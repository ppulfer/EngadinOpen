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anuel.hartmann\Desktop\Privat\16_Sport\Open\"/>
    </mc:Choice>
  </mc:AlternateContent>
  <xr:revisionPtr revIDLastSave="0" documentId="13_ncr:1_{508AFB88-237E-4A55-9B37-EF3DE9462938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Rohdaten" sheetId="1" r:id="rId1"/>
    <sheet name="Zusammenfassung Tag1" sheetId="2" r:id="rId2"/>
    <sheet name="Zusammenfassung Tag2" sheetId="3" r:id="rId3"/>
    <sheet name="Zusammenfassung Tag1-2" sheetId="4" r:id="rId4"/>
    <sheet name="Zusammenfassung Tag3" sheetId="5" r:id="rId5"/>
    <sheet name="Zusammenfassung Tag1-3" sheetId="6" r:id="rId6"/>
    <sheet name="Zusammenfassung Tag4" sheetId="7" r:id="rId7"/>
    <sheet name="Zusammenfassung Tag1-4" sheetId="8" r:id="rId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8" i="4" l="1"/>
  <c r="I17" i="4"/>
  <c r="I17" i="3"/>
  <c r="KF93" i="1"/>
  <c r="JJ93" i="1"/>
  <c r="K12" i="7" s="1"/>
  <c r="JH93" i="1"/>
  <c r="K5" i="7" s="1"/>
  <c r="IG93" i="1"/>
  <c r="J12" i="7" s="1"/>
  <c r="IE93" i="1"/>
  <c r="J5" i="7" s="1"/>
  <c r="HD93" i="1"/>
  <c r="I12" i="7" s="1"/>
  <c r="HB93" i="1"/>
  <c r="I5" i="7" s="1"/>
  <c r="GA93" i="1"/>
  <c r="H12" i="7" s="1"/>
  <c r="FY93" i="1"/>
  <c r="H5" i="7" s="1"/>
  <c r="EX93" i="1"/>
  <c r="G12" i="7" s="1"/>
  <c r="EV93" i="1"/>
  <c r="G5" i="7" s="1"/>
  <c r="DU93" i="1"/>
  <c r="F12" i="7" s="1"/>
  <c r="DS93" i="1"/>
  <c r="F5" i="7" s="1"/>
  <c r="CR93" i="1"/>
  <c r="E12" i="7" s="1"/>
  <c r="CP93" i="1"/>
  <c r="E5" i="7" s="1"/>
  <c r="CC93" i="1"/>
  <c r="BO93" i="1"/>
  <c r="D12" i="7" s="1"/>
  <c r="BM93" i="1"/>
  <c r="D5" i="7" s="1"/>
  <c r="AL93" i="1"/>
  <c r="C12" i="7" s="1"/>
  <c r="AJ93" i="1"/>
  <c r="C5" i="7" s="1"/>
  <c r="I93" i="1"/>
  <c r="G93" i="1"/>
  <c r="E93" i="1"/>
  <c r="KI92" i="1"/>
  <c r="KG92" i="1"/>
  <c r="KD92" i="1"/>
  <c r="KB92" i="1"/>
  <c r="JZ92" i="1"/>
  <c r="JX92" i="1"/>
  <c r="JV92" i="1"/>
  <c r="JT92" i="1"/>
  <c r="JR92" i="1"/>
  <c r="JP92" i="1"/>
  <c r="JL92" i="1"/>
  <c r="JN92" i="1" s="1"/>
  <c r="JF92" i="1"/>
  <c r="JD92" i="1"/>
  <c r="JA92" i="1"/>
  <c r="IY92" i="1"/>
  <c r="IW92" i="1"/>
  <c r="IU92" i="1"/>
  <c r="IS92" i="1"/>
  <c r="IQ92" i="1"/>
  <c r="IO92" i="1"/>
  <c r="IM92" i="1"/>
  <c r="II92" i="1"/>
  <c r="IC92" i="1"/>
  <c r="IA92" i="1"/>
  <c r="HX92" i="1"/>
  <c r="HV92" i="1"/>
  <c r="HT92" i="1"/>
  <c r="HR92" i="1"/>
  <c r="HP92" i="1"/>
  <c r="HN92" i="1"/>
  <c r="HL92" i="1"/>
  <c r="HJ92" i="1"/>
  <c r="HH92" i="1"/>
  <c r="HF92" i="1"/>
  <c r="GZ92" i="1"/>
  <c r="GX92" i="1"/>
  <c r="GU92" i="1"/>
  <c r="GS92" i="1"/>
  <c r="GQ92" i="1"/>
  <c r="GO92" i="1"/>
  <c r="GM92" i="1"/>
  <c r="GK92" i="1"/>
  <c r="GI92" i="1"/>
  <c r="GG92" i="1"/>
  <c r="GC92" i="1"/>
  <c r="GE92" i="1" s="1"/>
  <c r="FW92" i="1"/>
  <c r="FU92" i="1"/>
  <c r="FR92" i="1"/>
  <c r="FP92" i="1"/>
  <c r="FN92" i="1"/>
  <c r="FL92" i="1"/>
  <c r="FJ92" i="1"/>
  <c r="FH92" i="1"/>
  <c r="FF92" i="1"/>
  <c r="FD92" i="1"/>
  <c r="FB92" i="1"/>
  <c r="EZ92" i="1"/>
  <c r="ET92" i="1"/>
  <c r="ER92" i="1"/>
  <c r="EO92" i="1"/>
  <c r="EM92" i="1"/>
  <c r="EK92" i="1"/>
  <c r="EI92" i="1"/>
  <c r="EG92" i="1"/>
  <c r="EE92" i="1"/>
  <c r="EC92" i="1"/>
  <c r="EA92" i="1"/>
  <c r="DW92" i="1"/>
  <c r="DQ92" i="1"/>
  <c r="DO92" i="1"/>
  <c r="DL92" i="1"/>
  <c r="DJ92" i="1"/>
  <c r="DH92" i="1"/>
  <c r="DF92" i="1"/>
  <c r="DD92" i="1"/>
  <c r="DB92" i="1"/>
  <c r="CZ92" i="1"/>
  <c r="CX92" i="1"/>
  <c r="CV92" i="1"/>
  <c r="CT92" i="1"/>
  <c r="CN92" i="1"/>
  <c r="CL92" i="1"/>
  <c r="CI92" i="1"/>
  <c r="CG92" i="1"/>
  <c r="CE92" i="1"/>
  <c r="CC92" i="1"/>
  <c r="CA92" i="1"/>
  <c r="BY92" i="1"/>
  <c r="BW92" i="1"/>
  <c r="BU92" i="1"/>
  <c r="BQ92" i="1"/>
  <c r="BS92" i="1" s="1"/>
  <c r="BK92" i="1"/>
  <c r="BI92" i="1"/>
  <c r="BF92" i="1"/>
  <c r="BD92" i="1"/>
  <c r="BB92" i="1"/>
  <c r="AZ92" i="1"/>
  <c r="AX92" i="1"/>
  <c r="AV92" i="1"/>
  <c r="AT92" i="1"/>
  <c r="AR92" i="1"/>
  <c r="AP92" i="1"/>
  <c r="AN92" i="1"/>
  <c r="AH92" i="1"/>
  <c r="AF92" i="1"/>
  <c r="AC92" i="1"/>
  <c r="AA92" i="1"/>
  <c r="Y92" i="1"/>
  <c r="W92" i="1"/>
  <c r="U92" i="1"/>
  <c r="S92" i="1"/>
  <c r="Q92" i="1"/>
  <c r="O92" i="1"/>
  <c r="K92" i="1"/>
  <c r="M92" i="1" s="1"/>
  <c r="KI91" i="1"/>
  <c r="KH91" i="1"/>
  <c r="KD91" i="1"/>
  <c r="KB91" i="1"/>
  <c r="JZ91" i="1"/>
  <c r="JX91" i="1"/>
  <c r="JV91" i="1"/>
  <c r="JT91" i="1"/>
  <c r="JR91" i="1"/>
  <c r="JP91" i="1"/>
  <c r="JN91" i="1"/>
  <c r="JL91" i="1"/>
  <c r="JF91" i="1"/>
  <c r="JE91" i="1"/>
  <c r="JA91" i="1"/>
  <c r="IY91" i="1"/>
  <c r="IW91" i="1"/>
  <c r="IU91" i="1"/>
  <c r="IS91" i="1"/>
  <c r="IQ91" i="1"/>
  <c r="IO91" i="1"/>
  <c r="IM91" i="1"/>
  <c r="IK91" i="1"/>
  <c r="II91" i="1"/>
  <c r="IC91" i="1"/>
  <c r="IB91" i="1"/>
  <c r="HX91" i="1"/>
  <c r="HV91" i="1"/>
  <c r="HT91" i="1"/>
  <c r="HR91" i="1"/>
  <c r="HP91" i="1"/>
  <c r="HN91" i="1"/>
  <c r="HL91" i="1"/>
  <c r="HJ91" i="1"/>
  <c r="HF91" i="1"/>
  <c r="GZ91" i="1"/>
  <c r="GY91" i="1"/>
  <c r="GU91" i="1"/>
  <c r="GS91" i="1"/>
  <c r="GQ91" i="1"/>
  <c r="GO91" i="1"/>
  <c r="GM91" i="1"/>
  <c r="GK91" i="1"/>
  <c r="GI91" i="1"/>
  <c r="GG91" i="1"/>
  <c r="GC91" i="1"/>
  <c r="GE91" i="1" s="1"/>
  <c r="FW91" i="1"/>
  <c r="FV91" i="1"/>
  <c r="FR91" i="1"/>
  <c r="FP91" i="1"/>
  <c r="FN91" i="1"/>
  <c r="FL91" i="1"/>
  <c r="FJ91" i="1"/>
  <c r="FH91" i="1"/>
  <c r="FF91" i="1"/>
  <c r="FD91" i="1"/>
  <c r="FB91" i="1"/>
  <c r="EZ91" i="1"/>
  <c r="ET91" i="1"/>
  <c r="ES91" i="1"/>
  <c r="EO91" i="1"/>
  <c r="EM91" i="1"/>
  <c r="EK91" i="1"/>
  <c r="EI91" i="1"/>
  <c r="EG91" i="1"/>
  <c r="EE91" i="1"/>
  <c r="EC91" i="1"/>
  <c r="EA91" i="1"/>
  <c r="DW91" i="1"/>
  <c r="DQ91" i="1"/>
  <c r="DP91" i="1"/>
  <c r="DL91" i="1"/>
  <c r="DJ91" i="1"/>
  <c r="DH91" i="1"/>
  <c r="DF91" i="1"/>
  <c r="DD91" i="1"/>
  <c r="DB91" i="1"/>
  <c r="CZ91" i="1"/>
  <c r="CX91" i="1"/>
  <c r="CV91" i="1"/>
  <c r="CT91" i="1"/>
  <c r="CN91" i="1"/>
  <c r="CM91" i="1"/>
  <c r="CI91" i="1"/>
  <c r="CG91" i="1"/>
  <c r="CE91" i="1"/>
  <c r="CC91" i="1"/>
  <c r="CA91" i="1"/>
  <c r="BY91" i="1"/>
  <c r="BW91" i="1"/>
  <c r="BU91" i="1"/>
  <c r="BS91" i="1"/>
  <c r="BQ91" i="1"/>
  <c r="BK91" i="1"/>
  <c r="BJ91" i="1"/>
  <c r="BF91" i="1"/>
  <c r="BD91" i="1"/>
  <c r="BB91" i="1"/>
  <c r="AZ91" i="1"/>
  <c r="AX91" i="1"/>
  <c r="AV91" i="1"/>
  <c r="AT91" i="1"/>
  <c r="AR91" i="1"/>
  <c r="AN91" i="1"/>
  <c r="AH91" i="1"/>
  <c r="AG91" i="1"/>
  <c r="AC91" i="1"/>
  <c r="AA91" i="1"/>
  <c r="Y91" i="1"/>
  <c r="W91" i="1"/>
  <c r="U91" i="1"/>
  <c r="S91" i="1"/>
  <c r="Q91" i="1"/>
  <c r="O91" i="1"/>
  <c r="K91" i="1"/>
  <c r="KI90" i="1"/>
  <c r="KF90" i="1"/>
  <c r="KD90" i="1"/>
  <c r="KB90" i="1"/>
  <c r="JZ90" i="1"/>
  <c r="JX90" i="1"/>
  <c r="JV90" i="1"/>
  <c r="JT90" i="1"/>
  <c r="JR90" i="1"/>
  <c r="JP90" i="1"/>
  <c r="JL90" i="1"/>
  <c r="JN90" i="1" s="1"/>
  <c r="JF90" i="1"/>
  <c r="JC90" i="1"/>
  <c r="JA90" i="1"/>
  <c r="IY90" i="1"/>
  <c r="IW90" i="1"/>
  <c r="IU90" i="1"/>
  <c r="IS90" i="1"/>
  <c r="IQ90" i="1"/>
  <c r="IO90" i="1"/>
  <c r="IM90" i="1"/>
  <c r="IK90" i="1"/>
  <c r="II90" i="1"/>
  <c r="IC90" i="1"/>
  <c r="HZ90" i="1"/>
  <c r="HX90" i="1"/>
  <c r="HV90" i="1"/>
  <c r="HT90" i="1"/>
  <c r="HR90" i="1"/>
  <c r="HP90" i="1"/>
  <c r="HN90" i="1"/>
  <c r="HL90" i="1"/>
  <c r="HJ90" i="1"/>
  <c r="HH90" i="1"/>
  <c r="HF90" i="1"/>
  <c r="GZ90" i="1"/>
  <c r="GW90" i="1"/>
  <c r="GU90" i="1"/>
  <c r="GS90" i="1"/>
  <c r="GQ90" i="1"/>
  <c r="GO90" i="1"/>
  <c r="GM90" i="1"/>
  <c r="GK90" i="1"/>
  <c r="GI90" i="1"/>
  <c r="GG90" i="1"/>
  <c r="GC90" i="1"/>
  <c r="FW90" i="1"/>
  <c r="FT90" i="1"/>
  <c r="FR90" i="1"/>
  <c r="FP90" i="1"/>
  <c r="FN90" i="1"/>
  <c r="FL90" i="1"/>
  <c r="FJ90" i="1"/>
  <c r="FH90" i="1"/>
  <c r="FF90" i="1"/>
  <c r="FD90" i="1"/>
  <c r="EZ90" i="1"/>
  <c r="FB90" i="1" s="1"/>
  <c r="ET90" i="1"/>
  <c r="EQ90" i="1"/>
  <c r="EO90" i="1"/>
  <c r="EM90" i="1"/>
  <c r="EK90" i="1"/>
  <c r="EI90" i="1"/>
  <c r="EG90" i="1"/>
  <c r="EE90" i="1"/>
  <c r="EC90" i="1"/>
  <c r="EA90" i="1"/>
  <c r="DY90" i="1"/>
  <c r="DW90" i="1"/>
  <c r="DQ90" i="1"/>
  <c r="DN90" i="1"/>
  <c r="DL90" i="1"/>
  <c r="DJ90" i="1"/>
  <c r="DH90" i="1"/>
  <c r="DF90" i="1"/>
  <c r="DD90" i="1"/>
  <c r="DB90" i="1"/>
  <c r="CZ90" i="1"/>
  <c r="CX90" i="1"/>
  <c r="CT90" i="1"/>
  <c r="CN90" i="1"/>
  <c r="CK90" i="1"/>
  <c r="CI90" i="1"/>
  <c r="CG90" i="1"/>
  <c r="CE90" i="1"/>
  <c r="CC90" i="1"/>
  <c r="CA90" i="1"/>
  <c r="BY90" i="1"/>
  <c r="BW90" i="1"/>
  <c r="BU90" i="1"/>
  <c r="BQ90" i="1"/>
  <c r="BK90" i="1"/>
  <c r="BH90" i="1"/>
  <c r="BH93" i="1" s="1"/>
  <c r="BF90" i="1"/>
  <c r="BD90" i="1"/>
  <c r="BB90" i="1"/>
  <c r="AZ90" i="1"/>
  <c r="AX90" i="1"/>
  <c r="AV90" i="1"/>
  <c r="AT90" i="1"/>
  <c r="AR90" i="1"/>
  <c r="AN90" i="1"/>
  <c r="AP90" i="1" s="1"/>
  <c r="AH90" i="1"/>
  <c r="AE90" i="1"/>
  <c r="AC90" i="1"/>
  <c r="AA90" i="1"/>
  <c r="Y90" i="1"/>
  <c r="W90" i="1"/>
  <c r="U90" i="1"/>
  <c r="S90" i="1"/>
  <c r="Q90" i="1"/>
  <c r="O90" i="1"/>
  <c r="K90" i="1"/>
  <c r="M90" i="1" s="1"/>
  <c r="KI89" i="1"/>
  <c r="KG89" i="1"/>
  <c r="KD89" i="1"/>
  <c r="KB89" i="1"/>
  <c r="JZ89" i="1"/>
  <c r="JX89" i="1"/>
  <c r="JV89" i="1"/>
  <c r="JT89" i="1"/>
  <c r="JR89" i="1"/>
  <c r="JP89" i="1"/>
  <c r="JL89" i="1"/>
  <c r="JF89" i="1"/>
  <c r="JD89" i="1"/>
  <c r="JA89" i="1"/>
  <c r="IY89" i="1"/>
  <c r="IW89" i="1"/>
  <c r="IU89" i="1"/>
  <c r="IS89" i="1"/>
  <c r="IQ89" i="1"/>
  <c r="IO89" i="1"/>
  <c r="IM89" i="1"/>
  <c r="II89" i="1"/>
  <c r="IK89" i="1" s="1"/>
  <c r="IC89" i="1"/>
  <c r="IA89" i="1"/>
  <c r="HX89" i="1"/>
  <c r="HV89" i="1"/>
  <c r="HT89" i="1"/>
  <c r="HR89" i="1"/>
  <c r="HP89" i="1"/>
  <c r="HN89" i="1"/>
  <c r="HL89" i="1"/>
  <c r="HJ89" i="1"/>
  <c r="HH89" i="1"/>
  <c r="HF89" i="1"/>
  <c r="GZ89" i="1"/>
  <c r="GX89" i="1"/>
  <c r="GU89" i="1"/>
  <c r="GS89" i="1"/>
  <c r="GQ89" i="1"/>
  <c r="GO89" i="1"/>
  <c r="GM89" i="1"/>
  <c r="GK89" i="1"/>
  <c r="GI89" i="1"/>
  <c r="GG89" i="1"/>
  <c r="GC89" i="1"/>
  <c r="FW89" i="1"/>
  <c r="FU89" i="1"/>
  <c r="FR89" i="1"/>
  <c r="FP89" i="1"/>
  <c r="FN89" i="1"/>
  <c r="FL89" i="1"/>
  <c r="FJ89" i="1"/>
  <c r="FH89" i="1"/>
  <c r="FF89" i="1"/>
  <c r="FD89" i="1"/>
  <c r="EZ89" i="1"/>
  <c r="ET89" i="1"/>
  <c r="ER89" i="1"/>
  <c r="EO89" i="1"/>
  <c r="EM89" i="1"/>
  <c r="EK89" i="1"/>
  <c r="EI89" i="1"/>
  <c r="EG89" i="1"/>
  <c r="EE89" i="1"/>
  <c r="EC89" i="1"/>
  <c r="EA89" i="1"/>
  <c r="DY89" i="1"/>
  <c r="DW89" i="1"/>
  <c r="DQ89" i="1"/>
  <c r="DO89" i="1"/>
  <c r="DL89" i="1"/>
  <c r="DJ89" i="1"/>
  <c r="DH89" i="1"/>
  <c r="DF89" i="1"/>
  <c r="DD89" i="1"/>
  <c r="DB89" i="1"/>
  <c r="CZ89" i="1"/>
  <c r="CX89" i="1"/>
  <c r="CT89" i="1"/>
  <c r="CN89" i="1"/>
  <c r="CL89" i="1"/>
  <c r="CI89" i="1"/>
  <c r="CG89" i="1"/>
  <c r="CE89" i="1"/>
  <c r="CC89" i="1"/>
  <c r="CA89" i="1"/>
  <c r="BY89" i="1"/>
  <c r="BW89" i="1"/>
  <c r="BU89" i="1"/>
  <c r="BS89" i="1"/>
  <c r="BQ89" i="1"/>
  <c r="BK89" i="1"/>
  <c r="BI89" i="1"/>
  <c r="BF89" i="1"/>
  <c r="BD89" i="1"/>
  <c r="BB89" i="1"/>
  <c r="AZ89" i="1"/>
  <c r="AX89" i="1"/>
  <c r="AV89" i="1"/>
  <c r="AT89" i="1"/>
  <c r="AR89" i="1"/>
  <c r="AN89" i="1"/>
  <c r="AH89" i="1"/>
  <c r="AF89" i="1"/>
  <c r="AC89" i="1"/>
  <c r="AA89" i="1"/>
  <c r="Y89" i="1"/>
  <c r="W89" i="1"/>
  <c r="U89" i="1"/>
  <c r="S89" i="1"/>
  <c r="Q89" i="1"/>
  <c r="O89" i="1"/>
  <c r="M89" i="1"/>
  <c r="K89" i="1"/>
  <c r="KI88" i="1"/>
  <c r="KF88" i="1"/>
  <c r="KD88" i="1"/>
  <c r="KB88" i="1"/>
  <c r="JZ88" i="1"/>
  <c r="JX88" i="1"/>
  <c r="JV88" i="1"/>
  <c r="JT88" i="1"/>
  <c r="JR88" i="1"/>
  <c r="JP88" i="1"/>
  <c r="JL88" i="1"/>
  <c r="JF88" i="1"/>
  <c r="JC88" i="1"/>
  <c r="JA88" i="1"/>
  <c r="IY88" i="1"/>
  <c r="IW88" i="1"/>
  <c r="IU88" i="1"/>
  <c r="IS88" i="1"/>
  <c r="IQ88" i="1"/>
  <c r="IO88" i="1"/>
  <c r="IM88" i="1"/>
  <c r="II88" i="1"/>
  <c r="IC88" i="1"/>
  <c r="HZ88" i="1"/>
  <c r="HX88" i="1"/>
  <c r="HV88" i="1"/>
  <c r="HT88" i="1"/>
  <c r="HR88" i="1"/>
  <c r="HP88" i="1"/>
  <c r="HN88" i="1"/>
  <c r="HL88" i="1"/>
  <c r="HJ88" i="1"/>
  <c r="HH88" i="1"/>
  <c r="HF88" i="1"/>
  <c r="GZ88" i="1"/>
  <c r="GW88" i="1"/>
  <c r="GW93" i="1" s="1"/>
  <c r="GU88" i="1"/>
  <c r="GS88" i="1"/>
  <c r="GQ88" i="1"/>
  <c r="GO88" i="1"/>
  <c r="GM88" i="1"/>
  <c r="GK88" i="1"/>
  <c r="GI88" i="1"/>
  <c r="GG88" i="1"/>
  <c r="GE88" i="1"/>
  <c r="GC88" i="1"/>
  <c r="FW88" i="1"/>
  <c r="FT88" i="1"/>
  <c r="FT93" i="1" s="1"/>
  <c r="FR88" i="1"/>
  <c r="FP88" i="1"/>
  <c r="FN88" i="1"/>
  <c r="FL88" i="1"/>
  <c r="FJ88" i="1"/>
  <c r="FH88" i="1"/>
  <c r="FF88" i="1"/>
  <c r="FD88" i="1"/>
  <c r="EZ88" i="1"/>
  <c r="ET88" i="1"/>
  <c r="EQ88" i="1"/>
  <c r="EO88" i="1"/>
  <c r="EM88" i="1"/>
  <c r="EK88" i="1"/>
  <c r="EI88" i="1"/>
  <c r="EG88" i="1"/>
  <c r="EE88" i="1"/>
  <c r="EC88" i="1"/>
  <c r="EA88" i="1"/>
  <c r="DY88" i="1"/>
  <c r="DW88" i="1"/>
  <c r="DQ88" i="1"/>
  <c r="DN88" i="1"/>
  <c r="DN93" i="1" s="1"/>
  <c r="DL88" i="1"/>
  <c r="DJ88" i="1"/>
  <c r="DH88" i="1"/>
  <c r="DF88" i="1"/>
  <c r="DD88" i="1"/>
  <c r="DB88" i="1"/>
  <c r="CZ88" i="1"/>
  <c r="CX88" i="1"/>
  <c r="CT88" i="1"/>
  <c r="CN88" i="1"/>
  <c r="CK88" i="1"/>
  <c r="CK93" i="1" s="1"/>
  <c r="CI88" i="1"/>
  <c r="CG88" i="1"/>
  <c r="CE88" i="1"/>
  <c r="CC88" i="1"/>
  <c r="CA88" i="1"/>
  <c r="BY88" i="1"/>
  <c r="BW88" i="1"/>
  <c r="BU88" i="1"/>
  <c r="BQ88" i="1"/>
  <c r="BS88" i="1" s="1"/>
  <c r="BK88" i="1"/>
  <c r="BH88" i="1"/>
  <c r="BF88" i="1"/>
  <c r="BD88" i="1"/>
  <c r="BB88" i="1"/>
  <c r="AZ88" i="1"/>
  <c r="AX88" i="1"/>
  <c r="AV88" i="1"/>
  <c r="AT88" i="1"/>
  <c r="AR88" i="1"/>
  <c r="AP88" i="1"/>
  <c r="AN88" i="1"/>
  <c r="AH88" i="1"/>
  <c r="AE88" i="1"/>
  <c r="AE93" i="1" s="1"/>
  <c r="AC88" i="1"/>
  <c r="AA88" i="1"/>
  <c r="Y88" i="1"/>
  <c r="W88" i="1"/>
  <c r="U88" i="1"/>
  <c r="S88" i="1"/>
  <c r="Q88" i="1"/>
  <c r="O88" i="1"/>
  <c r="K88" i="1"/>
  <c r="M88" i="1" s="1"/>
  <c r="KI87" i="1"/>
  <c r="KH87" i="1"/>
  <c r="KH93" i="1" s="1"/>
  <c r="KD87" i="1"/>
  <c r="KB87" i="1"/>
  <c r="JZ87" i="1"/>
  <c r="JX87" i="1"/>
  <c r="JV87" i="1"/>
  <c r="JT87" i="1"/>
  <c r="JR87" i="1"/>
  <c r="JP87" i="1"/>
  <c r="JL87" i="1"/>
  <c r="JF87" i="1"/>
  <c r="JE87" i="1"/>
  <c r="JE93" i="1" s="1"/>
  <c r="JA87" i="1"/>
  <c r="IY87" i="1"/>
  <c r="IW87" i="1"/>
  <c r="IU87" i="1"/>
  <c r="IS87" i="1"/>
  <c r="IQ87" i="1"/>
  <c r="IO87" i="1"/>
  <c r="IM87" i="1"/>
  <c r="IK87" i="1"/>
  <c r="II87" i="1"/>
  <c r="IC87" i="1"/>
  <c r="IB87" i="1"/>
  <c r="HX87" i="1"/>
  <c r="HV87" i="1"/>
  <c r="HT87" i="1"/>
  <c r="HR87" i="1"/>
  <c r="HP87" i="1"/>
  <c r="HN87" i="1"/>
  <c r="HL87" i="1"/>
  <c r="HJ87" i="1"/>
  <c r="HH87" i="1"/>
  <c r="HF87" i="1"/>
  <c r="GZ87" i="1"/>
  <c r="GY87" i="1"/>
  <c r="GY93" i="1" s="1"/>
  <c r="GU87" i="1"/>
  <c r="GS87" i="1"/>
  <c r="GQ87" i="1"/>
  <c r="GO87" i="1"/>
  <c r="GM87" i="1"/>
  <c r="GK87" i="1"/>
  <c r="GI87" i="1"/>
  <c r="GG87" i="1"/>
  <c r="GC87" i="1"/>
  <c r="GE87" i="1" s="1"/>
  <c r="FW87" i="1"/>
  <c r="FV87" i="1"/>
  <c r="FV93" i="1" s="1"/>
  <c r="FR87" i="1"/>
  <c r="FP87" i="1"/>
  <c r="FN87" i="1"/>
  <c r="FL87" i="1"/>
  <c r="FJ87" i="1"/>
  <c r="FH87" i="1"/>
  <c r="FF87" i="1"/>
  <c r="FD87" i="1"/>
  <c r="EZ87" i="1"/>
  <c r="ET87" i="1"/>
  <c r="ES87" i="1"/>
  <c r="ES93" i="1" s="1"/>
  <c r="EO87" i="1"/>
  <c r="EM87" i="1"/>
  <c r="EK87" i="1"/>
  <c r="EI87" i="1"/>
  <c r="EG87" i="1"/>
  <c r="EE87" i="1"/>
  <c r="EC87" i="1"/>
  <c r="EA87" i="1"/>
  <c r="DW87" i="1"/>
  <c r="DY87" i="1" s="1"/>
  <c r="DQ87" i="1"/>
  <c r="DP87" i="1"/>
  <c r="DP93" i="1" s="1"/>
  <c r="DL87" i="1"/>
  <c r="DJ87" i="1"/>
  <c r="DH87" i="1"/>
  <c r="DF87" i="1"/>
  <c r="DD87" i="1"/>
  <c r="DB87" i="1"/>
  <c r="CZ87" i="1"/>
  <c r="CX87" i="1"/>
  <c r="CV87" i="1"/>
  <c r="CT87" i="1"/>
  <c r="CN87" i="1"/>
  <c r="CM87" i="1"/>
  <c r="CM93" i="1" s="1"/>
  <c r="CI87" i="1"/>
  <c r="CG87" i="1"/>
  <c r="CE87" i="1"/>
  <c r="CC87" i="1"/>
  <c r="CA87" i="1"/>
  <c r="BY87" i="1"/>
  <c r="BW87" i="1"/>
  <c r="BU87" i="1"/>
  <c r="BQ87" i="1"/>
  <c r="BK87" i="1"/>
  <c r="BJ87" i="1"/>
  <c r="BJ93" i="1" s="1"/>
  <c r="BF87" i="1"/>
  <c r="BD87" i="1"/>
  <c r="BB87" i="1"/>
  <c r="AZ87" i="1"/>
  <c r="AX87" i="1"/>
  <c r="AV87" i="1"/>
  <c r="AT87" i="1"/>
  <c r="AR87" i="1"/>
  <c r="AN87" i="1"/>
  <c r="AP87" i="1" s="1"/>
  <c r="AH87" i="1"/>
  <c r="AG87" i="1"/>
  <c r="AG93" i="1" s="1"/>
  <c r="AC87" i="1"/>
  <c r="AA87" i="1"/>
  <c r="Y87" i="1"/>
  <c r="W87" i="1"/>
  <c r="U87" i="1"/>
  <c r="S87" i="1"/>
  <c r="Q87" i="1"/>
  <c r="O87" i="1"/>
  <c r="M87" i="1"/>
  <c r="K87" i="1"/>
  <c r="KI86" i="1"/>
  <c r="KG86" i="1"/>
  <c r="KG93" i="1" s="1"/>
  <c r="KD86" i="1"/>
  <c r="KB86" i="1"/>
  <c r="JZ86" i="1"/>
  <c r="JX86" i="1"/>
  <c r="JV86" i="1"/>
  <c r="JT86" i="1"/>
  <c r="JR86" i="1"/>
  <c r="JP86" i="1"/>
  <c r="JN86" i="1"/>
  <c r="JL86" i="1"/>
  <c r="JF86" i="1"/>
  <c r="JD86" i="1"/>
  <c r="JA86" i="1"/>
  <c r="IY86" i="1"/>
  <c r="IW86" i="1"/>
  <c r="IU86" i="1"/>
  <c r="IS86" i="1"/>
  <c r="IQ86" i="1"/>
  <c r="IO86" i="1"/>
  <c r="IM86" i="1"/>
  <c r="IK86" i="1"/>
  <c r="II86" i="1"/>
  <c r="IC86" i="1"/>
  <c r="IA86" i="1"/>
  <c r="HX86" i="1"/>
  <c r="HV86" i="1"/>
  <c r="HT86" i="1"/>
  <c r="HR86" i="1"/>
  <c r="HP86" i="1"/>
  <c r="HN86" i="1"/>
  <c r="HL86" i="1"/>
  <c r="HJ86" i="1"/>
  <c r="HF86" i="1"/>
  <c r="GZ86" i="1"/>
  <c r="GX86" i="1"/>
  <c r="GU86" i="1"/>
  <c r="GS86" i="1"/>
  <c r="GQ86" i="1"/>
  <c r="GO86" i="1"/>
  <c r="GM86" i="1"/>
  <c r="GK86" i="1"/>
  <c r="GI86" i="1"/>
  <c r="GG86" i="1"/>
  <c r="GC86" i="1"/>
  <c r="GE86" i="1" s="1"/>
  <c r="FW86" i="1"/>
  <c r="FU86" i="1"/>
  <c r="FR86" i="1"/>
  <c r="FP86" i="1"/>
  <c r="FN86" i="1"/>
  <c r="FL86" i="1"/>
  <c r="FJ86" i="1"/>
  <c r="FH86" i="1"/>
  <c r="FF86" i="1"/>
  <c r="FD86" i="1"/>
  <c r="FB86" i="1"/>
  <c r="EZ86" i="1"/>
  <c r="ET86" i="1"/>
  <c r="ER86" i="1"/>
  <c r="EO86" i="1"/>
  <c r="EM86" i="1"/>
  <c r="EK86" i="1"/>
  <c r="EI86" i="1"/>
  <c r="EG86" i="1"/>
  <c r="EE86" i="1"/>
  <c r="EC86" i="1"/>
  <c r="EA86" i="1"/>
  <c r="DY86" i="1"/>
  <c r="DW86" i="1"/>
  <c r="DQ86" i="1"/>
  <c r="DO86" i="1"/>
  <c r="DL86" i="1"/>
  <c r="DJ86" i="1"/>
  <c r="DH86" i="1"/>
  <c r="DF86" i="1"/>
  <c r="DD86" i="1"/>
  <c r="DB86" i="1"/>
  <c r="CZ86" i="1"/>
  <c r="CX86" i="1"/>
  <c r="CT86" i="1"/>
  <c r="CN86" i="1"/>
  <c r="CL86" i="1"/>
  <c r="CI86" i="1"/>
  <c r="CG86" i="1"/>
  <c r="CE86" i="1"/>
  <c r="CC86" i="1"/>
  <c r="CA86" i="1"/>
  <c r="BY86" i="1"/>
  <c r="BW86" i="1"/>
  <c r="BU86" i="1"/>
  <c r="BS86" i="1"/>
  <c r="BQ86" i="1"/>
  <c r="BK86" i="1"/>
  <c r="BI86" i="1"/>
  <c r="BF86" i="1"/>
  <c r="BD86" i="1"/>
  <c r="BB86" i="1"/>
  <c r="AZ86" i="1"/>
  <c r="AX86" i="1"/>
  <c r="AV86" i="1"/>
  <c r="AT86" i="1"/>
  <c r="AR86" i="1"/>
  <c r="AN86" i="1"/>
  <c r="AH86" i="1"/>
  <c r="AF86" i="1"/>
  <c r="AC86" i="1"/>
  <c r="AA86" i="1"/>
  <c r="Y86" i="1"/>
  <c r="W86" i="1"/>
  <c r="U86" i="1"/>
  <c r="S86" i="1"/>
  <c r="Q86" i="1"/>
  <c r="O86" i="1"/>
  <c r="K86" i="1"/>
  <c r="M86" i="1" s="1"/>
  <c r="KI85" i="1"/>
  <c r="KG85" i="1"/>
  <c r="KD85" i="1"/>
  <c r="KB85" i="1"/>
  <c r="JZ85" i="1"/>
  <c r="JX85" i="1"/>
  <c r="JV85" i="1"/>
  <c r="JT85" i="1"/>
  <c r="JR85" i="1"/>
  <c r="JP85" i="1"/>
  <c r="JL85" i="1"/>
  <c r="JN85" i="1" s="1"/>
  <c r="JF85" i="1"/>
  <c r="JD85" i="1"/>
  <c r="JA85" i="1"/>
  <c r="IY85" i="1"/>
  <c r="IW85" i="1"/>
  <c r="IU85" i="1"/>
  <c r="IS85" i="1"/>
  <c r="IQ85" i="1"/>
  <c r="IO85" i="1"/>
  <c r="IM85" i="1"/>
  <c r="IK85" i="1"/>
  <c r="II85" i="1"/>
  <c r="IC85" i="1"/>
  <c r="IA85" i="1"/>
  <c r="HX85" i="1"/>
  <c r="HV85" i="1"/>
  <c r="HT85" i="1"/>
  <c r="HR85" i="1"/>
  <c r="HP85" i="1"/>
  <c r="HN85" i="1"/>
  <c r="HL85" i="1"/>
  <c r="HJ85" i="1"/>
  <c r="HH85" i="1"/>
  <c r="HF85" i="1"/>
  <c r="GZ85" i="1"/>
  <c r="GX85" i="1"/>
  <c r="GU85" i="1"/>
  <c r="GS85" i="1"/>
  <c r="GQ85" i="1"/>
  <c r="GO85" i="1"/>
  <c r="GM85" i="1"/>
  <c r="GK85" i="1"/>
  <c r="GI85" i="1"/>
  <c r="GG85" i="1"/>
  <c r="GE85" i="1"/>
  <c r="GC85" i="1"/>
  <c r="FW85" i="1"/>
  <c r="FU85" i="1"/>
  <c r="FR85" i="1"/>
  <c r="FP85" i="1"/>
  <c r="FP93" i="1" s="1"/>
  <c r="FN85" i="1"/>
  <c r="FL85" i="1"/>
  <c r="FJ85" i="1"/>
  <c r="FH85" i="1"/>
  <c r="FF85" i="1"/>
  <c r="FD85" i="1"/>
  <c r="EZ85" i="1"/>
  <c r="ET85" i="1"/>
  <c r="ER85" i="1"/>
  <c r="EO85" i="1"/>
  <c r="EM85" i="1"/>
  <c r="EK85" i="1"/>
  <c r="EI85" i="1"/>
  <c r="EG85" i="1"/>
  <c r="EE85" i="1"/>
  <c r="EC85" i="1"/>
  <c r="EA85" i="1"/>
  <c r="DW85" i="1"/>
  <c r="DQ85" i="1"/>
  <c r="DO85" i="1"/>
  <c r="DL85" i="1"/>
  <c r="DJ85" i="1"/>
  <c r="DH85" i="1"/>
  <c r="DF85" i="1"/>
  <c r="DD85" i="1"/>
  <c r="DB85" i="1"/>
  <c r="CZ85" i="1"/>
  <c r="CX85" i="1"/>
  <c r="CV85" i="1"/>
  <c r="CT85" i="1"/>
  <c r="CN85" i="1"/>
  <c r="CL85" i="1"/>
  <c r="CI85" i="1"/>
  <c r="CG85" i="1"/>
  <c r="CE85" i="1"/>
  <c r="CC85" i="1"/>
  <c r="CA85" i="1"/>
  <c r="BY85" i="1"/>
  <c r="BW85" i="1"/>
  <c r="BU85" i="1"/>
  <c r="BQ85" i="1"/>
  <c r="BS85" i="1" s="1"/>
  <c r="BK85" i="1"/>
  <c r="BI85" i="1"/>
  <c r="BF85" i="1"/>
  <c r="BD85" i="1"/>
  <c r="BB85" i="1"/>
  <c r="AZ85" i="1"/>
  <c r="AX85" i="1"/>
  <c r="AV85" i="1"/>
  <c r="AT85" i="1"/>
  <c r="AR85" i="1"/>
  <c r="AP85" i="1"/>
  <c r="AN85" i="1"/>
  <c r="AH85" i="1"/>
  <c r="AF85" i="1"/>
  <c r="AC85" i="1"/>
  <c r="AA85" i="1"/>
  <c r="Y85" i="1"/>
  <c r="W85" i="1"/>
  <c r="U85" i="1"/>
  <c r="S85" i="1"/>
  <c r="Q85" i="1"/>
  <c r="O85" i="1"/>
  <c r="K85" i="1"/>
  <c r="KI84" i="1"/>
  <c r="KG84" i="1"/>
  <c r="KD84" i="1"/>
  <c r="KB84" i="1"/>
  <c r="JZ84" i="1"/>
  <c r="JX84" i="1"/>
  <c r="JV84" i="1"/>
  <c r="JT84" i="1"/>
  <c r="JR84" i="1"/>
  <c r="JP84" i="1"/>
  <c r="JN84" i="1"/>
  <c r="JL84" i="1"/>
  <c r="JF84" i="1"/>
  <c r="JD84" i="1"/>
  <c r="JD93" i="1" s="1"/>
  <c r="JA84" i="1"/>
  <c r="IY84" i="1"/>
  <c r="IW84" i="1"/>
  <c r="IU84" i="1"/>
  <c r="IS84" i="1"/>
  <c r="IQ84" i="1"/>
  <c r="IO84" i="1"/>
  <c r="IM84" i="1"/>
  <c r="IK84" i="1"/>
  <c r="II84" i="1"/>
  <c r="IC84" i="1"/>
  <c r="IA84" i="1"/>
  <c r="HX84" i="1"/>
  <c r="HV84" i="1"/>
  <c r="HT84" i="1"/>
  <c r="HR84" i="1"/>
  <c r="HP84" i="1"/>
  <c r="HN84" i="1"/>
  <c r="HL84" i="1"/>
  <c r="HJ84" i="1"/>
  <c r="HF84" i="1"/>
  <c r="GZ84" i="1"/>
  <c r="GX84" i="1"/>
  <c r="GX93" i="1" s="1"/>
  <c r="GU84" i="1"/>
  <c r="GS84" i="1"/>
  <c r="GQ84" i="1"/>
  <c r="GO84" i="1"/>
  <c r="GM84" i="1"/>
  <c r="GK84" i="1"/>
  <c r="GI84" i="1"/>
  <c r="GG84" i="1"/>
  <c r="GC84" i="1"/>
  <c r="FW84" i="1"/>
  <c r="FU84" i="1"/>
  <c r="FR84" i="1"/>
  <c r="FP84" i="1"/>
  <c r="FN84" i="1"/>
  <c r="FL84" i="1"/>
  <c r="FJ84" i="1"/>
  <c r="FH84" i="1"/>
  <c r="FF84" i="1"/>
  <c r="FD84" i="1"/>
  <c r="EZ84" i="1"/>
  <c r="ET84" i="1"/>
  <c r="ER84" i="1"/>
  <c r="EO84" i="1"/>
  <c r="EM84" i="1"/>
  <c r="EK84" i="1"/>
  <c r="EI84" i="1"/>
  <c r="EG84" i="1"/>
  <c r="EE84" i="1"/>
  <c r="EC84" i="1"/>
  <c r="EA84" i="1"/>
  <c r="EA93" i="1" s="1"/>
  <c r="DY84" i="1"/>
  <c r="DW84" i="1"/>
  <c r="DQ84" i="1"/>
  <c r="DO84" i="1"/>
  <c r="DL84" i="1"/>
  <c r="DJ84" i="1"/>
  <c r="DH84" i="1"/>
  <c r="DF84" i="1"/>
  <c r="DD84" i="1"/>
  <c r="DB84" i="1"/>
  <c r="CZ84" i="1"/>
  <c r="CX84" i="1"/>
  <c r="CT84" i="1"/>
  <c r="CT93" i="1" s="1"/>
  <c r="CN84" i="1"/>
  <c r="CL84" i="1"/>
  <c r="CI84" i="1"/>
  <c r="CG84" i="1"/>
  <c r="CE84" i="1"/>
  <c r="CC84" i="1"/>
  <c r="CA84" i="1"/>
  <c r="CA93" i="1" s="1"/>
  <c r="BY84" i="1"/>
  <c r="BW84" i="1"/>
  <c r="BU84" i="1"/>
  <c r="BS84" i="1"/>
  <c r="BQ84" i="1"/>
  <c r="BK84" i="1"/>
  <c r="BI84" i="1"/>
  <c r="BF84" i="1"/>
  <c r="BD84" i="1"/>
  <c r="BB84" i="1"/>
  <c r="AZ84" i="1"/>
  <c r="AX84" i="1"/>
  <c r="AV84" i="1"/>
  <c r="AT84" i="1"/>
  <c r="AR84" i="1"/>
  <c r="AN84" i="1"/>
  <c r="AH84" i="1"/>
  <c r="AF84" i="1"/>
  <c r="AC84" i="1"/>
  <c r="AA84" i="1"/>
  <c r="AA93" i="1" s="1"/>
  <c r="Y84" i="1"/>
  <c r="W84" i="1"/>
  <c r="U84" i="1"/>
  <c r="S84" i="1"/>
  <c r="Q84" i="1"/>
  <c r="Q93" i="1" s="1"/>
  <c r="O84" i="1"/>
  <c r="K84" i="1"/>
  <c r="JJ83" i="1"/>
  <c r="JH83" i="1"/>
  <c r="JF83" i="1"/>
  <c r="JE83" i="1"/>
  <c r="IG83" i="1"/>
  <c r="IE83" i="1"/>
  <c r="HZ83" i="1"/>
  <c r="HD83" i="1"/>
  <c r="HB83" i="1"/>
  <c r="GA83" i="1"/>
  <c r="FY83" i="1"/>
  <c r="FV83" i="1"/>
  <c r="FT83" i="1"/>
  <c r="EX83" i="1"/>
  <c r="EV83" i="1"/>
  <c r="DU83" i="1"/>
  <c r="DS83" i="1"/>
  <c r="CR83" i="1"/>
  <c r="CP83" i="1"/>
  <c r="BO83" i="1"/>
  <c r="BM83" i="1"/>
  <c r="BB83" i="1"/>
  <c r="AX83" i="1"/>
  <c r="AL83" i="1"/>
  <c r="AJ83" i="1"/>
  <c r="I83" i="1"/>
  <c r="I94" i="1" s="1"/>
  <c r="G83" i="1"/>
  <c r="G94" i="1" s="1"/>
  <c r="E83" i="1"/>
  <c r="E94" i="1" s="1"/>
  <c r="KI82" i="1"/>
  <c r="KG82" i="1"/>
  <c r="KD82" i="1"/>
  <c r="KB82" i="1"/>
  <c r="JZ82" i="1"/>
  <c r="JX82" i="1"/>
  <c r="JV82" i="1"/>
  <c r="JT82" i="1"/>
  <c r="JR82" i="1"/>
  <c r="JP82" i="1"/>
  <c r="JL82" i="1"/>
  <c r="JF82" i="1"/>
  <c r="JD82" i="1"/>
  <c r="JA82" i="1"/>
  <c r="IY82" i="1"/>
  <c r="IW82" i="1"/>
  <c r="IU82" i="1"/>
  <c r="IS82" i="1"/>
  <c r="IQ82" i="1"/>
  <c r="IO82" i="1"/>
  <c r="IM82" i="1"/>
  <c r="II82" i="1"/>
  <c r="IK82" i="1" s="1"/>
  <c r="IC82" i="1"/>
  <c r="IA82" i="1"/>
  <c r="HX82" i="1"/>
  <c r="HV82" i="1"/>
  <c r="HT82" i="1"/>
  <c r="HR82" i="1"/>
  <c r="HP82" i="1"/>
  <c r="HN82" i="1"/>
  <c r="HL82" i="1"/>
  <c r="HJ82" i="1"/>
  <c r="HF82" i="1"/>
  <c r="HH82" i="1" s="1"/>
  <c r="GZ82" i="1"/>
  <c r="GX82" i="1"/>
  <c r="GU82" i="1"/>
  <c r="GS82" i="1"/>
  <c r="GQ82" i="1"/>
  <c r="GO82" i="1"/>
  <c r="GM82" i="1"/>
  <c r="GK82" i="1"/>
  <c r="GI82" i="1"/>
  <c r="GG82" i="1"/>
  <c r="GE82" i="1"/>
  <c r="GC82" i="1"/>
  <c r="FW82" i="1"/>
  <c r="FU82" i="1"/>
  <c r="FR82" i="1"/>
  <c r="FP82" i="1"/>
  <c r="FN82" i="1"/>
  <c r="FL82" i="1"/>
  <c r="FJ82" i="1"/>
  <c r="FH82" i="1"/>
  <c r="FF82" i="1"/>
  <c r="FD82" i="1"/>
  <c r="FB82" i="1"/>
  <c r="EZ82" i="1"/>
  <c r="ET82" i="1"/>
  <c r="ER82" i="1"/>
  <c r="EO82" i="1"/>
  <c r="EM82" i="1"/>
  <c r="EK82" i="1"/>
  <c r="EI82" i="1"/>
  <c r="EG82" i="1"/>
  <c r="EE82" i="1"/>
  <c r="EC82" i="1"/>
  <c r="EA82" i="1"/>
  <c r="DW82" i="1"/>
  <c r="DY82" i="1" s="1"/>
  <c r="DQ82" i="1"/>
  <c r="DO82" i="1"/>
  <c r="DL82" i="1"/>
  <c r="DJ82" i="1"/>
  <c r="DH82" i="1"/>
  <c r="DF82" i="1"/>
  <c r="DD82" i="1"/>
  <c r="DB82" i="1"/>
  <c r="CZ82" i="1"/>
  <c r="CX82" i="1"/>
  <c r="CV82" i="1"/>
  <c r="CT82" i="1"/>
  <c r="CN82" i="1"/>
  <c r="CL82" i="1"/>
  <c r="CI82" i="1"/>
  <c r="CG82" i="1"/>
  <c r="CE82" i="1"/>
  <c r="CC82" i="1"/>
  <c r="CA82" i="1"/>
  <c r="BY82" i="1"/>
  <c r="BW82" i="1"/>
  <c r="BU82" i="1"/>
  <c r="BS82" i="1"/>
  <c r="BQ82" i="1"/>
  <c r="BK82" i="1"/>
  <c r="BI82" i="1"/>
  <c r="BF82" i="1"/>
  <c r="BD82" i="1"/>
  <c r="BB82" i="1"/>
  <c r="AZ82" i="1"/>
  <c r="AX82" i="1"/>
  <c r="AV82" i="1"/>
  <c r="AT82" i="1"/>
  <c r="AR82" i="1"/>
  <c r="AN82" i="1"/>
  <c r="AH82" i="1"/>
  <c r="AF82" i="1"/>
  <c r="AC82" i="1"/>
  <c r="AA82" i="1"/>
  <c r="Y82" i="1"/>
  <c r="W82" i="1"/>
  <c r="U82" i="1"/>
  <c r="S82" i="1"/>
  <c r="Q82" i="1"/>
  <c r="O82" i="1"/>
  <c r="K82" i="1"/>
  <c r="KI81" i="1"/>
  <c r="KF81" i="1"/>
  <c r="KD81" i="1"/>
  <c r="KB81" i="1"/>
  <c r="JZ81" i="1"/>
  <c r="JX81" i="1"/>
  <c r="JV81" i="1"/>
  <c r="JT81" i="1"/>
  <c r="JR81" i="1"/>
  <c r="JP81" i="1"/>
  <c r="JN81" i="1"/>
  <c r="JL81" i="1"/>
  <c r="JF81" i="1"/>
  <c r="JC81" i="1"/>
  <c r="JA81" i="1"/>
  <c r="IY81" i="1"/>
  <c r="IW81" i="1"/>
  <c r="IU81" i="1"/>
  <c r="IS81" i="1"/>
  <c r="IQ81" i="1"/>
  <c r="IO81" i="1"/>
  <c r="IM81" i="1"/>
  <c r="II81" i="1"/>
  <c r="IK81" i="1" s="1"/>
  <c r="IC81" i="1"/>
  <c r="HZ81" i="1"/>
  <c r="HX81" i="1"/>
  <c r="HV81" i="1"/>
  <c r="HT81" i="1"/>
  <c r="HR81" i="1"/>
  <c r="HP81" i="1"/>
  <c r="HN81" i="1"/>
  <c r="HL81" i="1"/>
  <c r="HJ81" i="1"/>
  <c r="HH81" i="1"/>
  <c r="HF81" i="1"/>
  <c r="GZ81" i="1"/>
  <c r="GW81" i="1"/>
  <c r="GU81" i="1"/>
  <c r="GS81" i="1"/>
  <c r="GQ81" i="1"/>
  <c r="GO81" i="1"/>
  <c r="GM81" i="1"/>
  <c r="GK81" i="1"/>
  <c r="GI81" i="1"/>
  <c r="GG81" i="1"/>
  <c r="GE81" i="1"/>
  <c r="GC81" i="1"/>
  <c r="FW81" i="1"/>
  <c r="FT81" i="1"/>
  <c r="FR81" i="1"/>
  <c r="FP81" i="1"/>
  <c r="FN81" i="1"/>
  <c r="FL81" i="1"/>
  <c r="FJ81" i="1"/>
  <c r="FH81" i="1"/>
  <c r="FF81" i="1"/>
  <c r="FD81" i="1"/>
  <c r="FB81" i="1"/>
  <c r="EZ81" i="1"/>
  <c r="ET81" i="1"/>
  <c r="EQ81" i="1"/>
  <c r="EO81" i="1"/>
  <c r="EM81" i="1"/>
  <c r="EK81" i="1"/>
  <c r="EI81" i="1"/>
  <c r="EG81" i="1"/>
  <c r="EE81" i="1"/>
  <c r="EC81" i="1"/>
  <c r="EA81" i="1"/>
  <c r="DW81" i="1"/>
  <c r="DQ81" i="1"/>
  <c r="DN81" i="1"/>
  <c r="DL81" i="1"/>
  <c r="DJ81" i="1"/>
  <c r="DH81" i="1"/>
  <c r="DF81" i="1"/>
  <c r="DD81" i="1"/>
  <c r="DB81" i="1"/>
  <c r="CZ81" i="1"/>
  <c r="CX81" i="1"/>
  <c r="CT81" i="1"/>
  <c r="CV81" i="1" s="1"/>
  <c r="CN81" i="1"/>
  <c r="CK81" i="1"/>
  <c r="CI81" i="1"/>
  <c r="CG81" i="1"/>
  <c r="CE81" i="1"/>
  <c r="CC81" i="1"/>
  <c r="CA81" i="1"/>
  <c r="BY81" i="1"/>
  <c r="BW81" i="1"/>
  <c r="BU81" i="1"/>
  <c r="BS81" i="1"/>
  <c r="BQ81" i="1"/>
  <c r="BK81" i="1"/>
  <c r="BH81" i="1"/>
  <c r="BF81" i="1"/>
  <c r="BD81" i="1"/>
  <c r="BB81" i="1"/>
  <c r="AZ81" i="1"/>
  <c r="AX81" i="1"/>
  <c r="AV81" i="1"/>
  <c r="AT81" i="1"/>
  <c r="AR81" i="1"/>
  <c r="AP81" i="1"/>
  <c r="AN81" i="1"/>
  <c r="AH81" i="1"/>
  <c r="AE81" i="1"/>
  <c r="AC81" i="1"/>
  <c r="AA81" i="1"/>
  <c r="Y81" i="1"/>
  <c r="W81" i="1"/>
  <c r="U81" i="1"/>
  <c r="S81" i="1"/>
  <c r="Q81" i="1"/>
  <c r="O81" i="1"/>
  <c r="K81" i="1"/>
  <c r="KI80" i="1"/>
  <c r="KH80" i="1"/>
  <c r="KD80" i="1"/>
  <c r="KB80" i="1"/>
  <c r="JZ80" i="1"/>
  <c r="JX80" i="1"/>
  <c r="JV80" i="1"/>
  <c r="JT80" i="1"/>
  <c r="JR80" i="1"/>
  <c r="JP80" i="1"/>
  <c r="JN80" i="1"/>
  <c r="JL80" i="1"/>
  <c r="JF80" i="1"/>
  <c r="JE80" i="1"/>
  <c r="JA80" i="1"/>
  <c r="IY80" i="1"/>
  <c r="IW80" i="1"/>
  <c r="IU80" i="1"/>
  <c r="IS80" i="1"/>
  <c r="IQ80" i="1"/>
  <c r="IO80" i="1"/>
  <c r="IM80" i="1"/>
  <c r="IK80" i="1"/>
  <c r="II80" i="1"/>
  <c r="IC80" i="1"/>
  <c r="IB80" i="1"/>
  <c r="HX80" i="1"/>
  <c r="HV80" i="1"/>
  <c r="HT80" i="1"/>
  <c r="HR80" i="1"/>
  <c r="HP80" i="1"/>
  <c r="HN80" i="1"/>
  <c r="HL80" i="1"/>
  <c r="HJ80" i="1"/>
  <c r="HF80" i="1"/>
  <c r="GZ80" i="1"/>
  <c r="GY80" i="1"/>
  <c r="GU80" i="1"/>
  <c r="GS80" i="1"/>
  <c r="GQ80" i="1"/>
  <c r="GO80" i="1"/>
  <c r="GM80" i="1"/>
  <c r="GK80" i="1"/>
  <c r="GI80" i="1"/>
  <c r="GG80" i="1"/>
  <c r="GE80" i="1"/>
  <c r="GC80" i="1"/>
  <c r="FW80" i="1"/>
  <c r="FV80" i="1"/>
  <c r="FR80" i="1"/>
  <c r="FP80" i="1"/>
  <c r="FN80" i="1"/>
  <c r="FL80" i="1"/>
  <c r="FJ80" i="1"/>
  <c r="FH80" i="1"/>
  <c r="FF80" i="1"/>
  <c r="FD80" i="1"/>
  <c r="EZ80" i="1"/>
  <c r="FB80" i="1" s="1"/>
  <c r="ET80" i="1"/>
  <c r="ES80" i="1"/>
  <c r="EO80" i="1"/>
  <c r="EM80" i="1"/>
  <c r="EK80" i="1"/>
  <c r="EI80" i="1"/>
  <c r="EG80" i="1"/>
  <c r="EE80" i="1"/>
  <c r="EC80" i="1"/>
  <c r="EA80" i="1"/>
  <c r="DY80" i="1"/>
  <c r="DW80" i="1"/>
  <c r="DQ80" i="1"/>
  <c r="DP80" i="1"/>
  <c r="DL80" i="1"/>
  <c r="DJ80" i="1"/>
  <c r="DH80" i="1"/>
  <c r="DF80" i="1"/>
  <c r="DD80" i="1"/>
  <c r="DB80" i="1"/>
  <c r="CZ80" i="1"/>
  <c r="CX80" i="1"/>
  <c r="CV80" i="1"/>
  <c r="CT80" i="1"/>
  <c r="CN80" i="1"/>
  <c r="CM80" i="1"/>
  <c r="CI80" i="1"/>
  <c r="CG80" i="1"/>
  <c r="CE80" i="1"/>
  <c r="CC80" i="1"/>
  <c r="CA80" i="1"/>
  <c r="BY80" i="1"/>
  <c r="BW80" i="1"/>
  <c r="BU80" i="1"/>
  <c r="BS80" i="1"/>
  <c r="BQ80" i="1"/>
  <c r="BK80" i="1"/>
  <c r="BJ80" i="1"/>
  <c r="BF80" i="1"/>
  <c r="BD80" i="1"/>
  <c r="BB80" i="1"/>
  <c r="AZ80" i="1"/>
  <c r="AX80" i="1"/>
  <c r="AV80" i="1"/>
  <c r="AT80" i="1"/>
  <c r="AR80" i="1"/>
  <c r="AP80" i="1"/>
  <c r="AN80" i="1"/>
  <c r="AH80" i="1"/>
  <c r="AG80" i="1"/>
  <c r="AC80" i="1"/>
  <c r="AA80" i="1"/>
  <c r="Y80" i="1"/>
  <c r="W80" i="1"/>
  <c r="U80" i="1"/>
  <c r="S80" i="1"/>
  <c r="Q80" i="1"/>
  <c r="O80" i="1"/>
  <c r="M80" i="1"/>
  <c r="K80" i="1"/>
  <c r="KI79" i="1"/>
  <c r="KG79" i="1"/>
  <c r="KD79" i="1"/>
  <c r="KB79" i="1"/>
  <c r="JZ79" i="1"/>
  <c r="JX79" i="1"/>
  <c r="JV79" i="1"/>
  <c r="JT79" i="1"/>
  <c r="JR79" i="1"/>
  <c r="JP79" i="1"/>
  <c r="JL79" i="1"/>
  <c r="JN79" i="1" s="1"/>
  <c r="JF79" i="1"/>
  <c r="JD79" i="1"/>
  <c r="JA79" i="1"/>
  <c r="IY79" i="1"/>
  <c r="IW79" i="1"/>
  <c r="IU79" i="1"/>
  <c r="IS79" i="1"/>
  <c r="IQ79" i="1"/>
  <c r="IO79" i="1"/>
  <c r="IM79" i="1"/>
  <c r="IK79" i="1"/>
  <c r="II79" i="1"/>
  <c r="IC79" i="1"/>
  <c r="IA79" i="1"/>
  <c r="HX79" i="1"/>
  <c r="HV79" i="1"/>
  <c r="HT79" i="1"/>
  <c r="HR79" i="1"/>
  <c r="HP79" i="1"/>
  <c r="HN79" i="1"/>
  <c r="HL79" i="1"/>
  <c r="HJ79" i="1"/>
  <c r="HH79" i="1"/>
  <c r="HF79" i="1"/>
  <c r="GZ79" i="1"/>
  <c r="GX79" i="1"/>
  <c r="GU79" i="1"/>
  <c r="GS79" i="1"/>
  <c r="GQ79" i="1"/>
  <c r="GO79" i="1"/>
  <c r="GM79" i="1"/>
  <c r="GK79" i="1"/>
  <c r="GI79" i="1"/>
  <c r="GG79" i="1"/>
  <c r="GE79" i="1"/>
  <c r="GC79" i="1"/>
  <c r="FW79" i="1"/>
  <c r="FU79" i="1"/>
  <c r="FR79" i="1"/>
  <c r="FP79" i="1"/>
  <c r="FN79" i="1"/>
  <c r="FL79" i="1"/>
  <c r="FJ79" i="1"/>
  <c r="FH79" i="1"/>
  <c r="FF79" i="1"/>
  <c r="FD79" i="1"/>
  <c r="FB79" i="1"/>
  <c r="EZ79" i="1"/>
  <c r="ET79" i="1"/>
  <c r="ER79" i="1"/>
  <c r="EO79" i="1"/>
  <c r="EM79" i="1"/>
  <c r="EK79" i="1"/>
  <c r="EI79" i="1"/>
  <c r="EG79" i="1"/>
  <c r="EE79" i="1"/>
  <c r="EC79" i="1"/>
  <c r="EA79" i="1"/>
  <c r="DY79" i="1"/>
  <c r="DW79" i="1"/>
  <c r="DQ79" i="1"/>
  <c r="DO79" i="1"/>
  <c r="DL79" i="1"/>
  <c r="DJ79" i="1"/>
  <c r="DH79" i="1"/>
  <c r="DF79" i="1"/>
  <c r="DD79" i="1"/>
  <c r="DB79" i="1"/>
  <c r="CZ79" i="1"/>
  <c r="CX79" i="1"/>
  <c r="CV79" i="1"/>
  <c r="CT79" i="1"/>
  <c r="CN79" i="1"/>
  <c r="CL79" i="1"/>
  <c r="CI79" i="1"/>
  <c r="CG79" i="1"/>
  <c r="CE79" i="1"/>
  <c r="CC79" i="1"/>
  <c r="CA79" i="1"/>
  <c r="BY79" i="1"/>
  <c r="BW79" i="1"/>
  <c r="BU79" i="1"/>
  <c r="BS79" i="1"/>
  <c r="BQ79" i="1"/>
  <c r="BK79" i="1"/>
  <c r="BI79" i="1"/>
  <c r="BF79" i="1"/>
  <c r="BD79" i="1"/>
  <c r="BB79" i="1"/>
  <c r="AZ79" i="1"/>
  <c r="AX79" i="1"/>
  <c r="AV79" i="1"/>
  <c r="AT79" i="1"/>
  <c r="AR79" i="1"/>
  <c r="AP79" i="1"/>
  <c r="AN79" i="1"/>
  <c r="AH79" i="1"/>
  <c r="AF79" i="1"/>
  <c r="AC79" i="1"/>
  <c r="AA79" i="1"/>
  <c r="Y79" i="1"/>
  <c r="W79" i="1"/>
  <c r="U79" i="1"/>
  <c r="S79" i="1"/>
  <c r="Q79" i="1"/>
  <c r="O79" i="1"/>
  <c r="K79" i="1"/>
  <c r="KI78" i="1"/>
  <c r="KG78" i="1"/>
  <c r="KD78" i="1"/>
  <c r="KB78" i="1"/>
  <c r="JZ78" i="1"/>
  <c r="JX78" i="1"/>
  <c r="JV78" i="1"/>
  <c r="JT78" i="1"/>
  <c r="JR78" i="1"/>
  <c r="JP78" i="1"/>
  <c r="JL78" i="1"/>
  <c r="JF78" i="1"/>
  <c r="JD78" i="1"/>
  <c r="JA78" i="1"/>
  <c r="IY78" i="1"/>
  <c r="IW78" i="1"/>
  <c r="IU78" i="1"/>
  <c r="IS78" i="1"/>
  <c r="IQ78" i="1"/>
  <c r="IO78" i="1"/>
  <c r="IM78" i="1"/>
  <c r="II78" i="1"/>
  <c r="IC78" i="1"/>
  <c r="IA78" i="1"/>
  <c r="HX78" i="1"/>
  <c r="HV78" i="1"/>
  <c r="HT78" i="1"/>
  <c r="HR78" i="1"/>
  <c r="HP78" i="1"/>
  <c r="HN78" i="1"/>
  <c r="HL78" i="1"/>
  <c r="HJ78" i="1"/>
  <c r="HF78" i="1"/>
  <c r="HH78" i="1" s="1"/>
  <c r="GZ78" i="1"/>
  <c r="GX78" i="1"/>
  <c r="GU78" i="1"/>
  <c r="GS78" i="1"/>
  <c r="GQ78" i="1"/>
  <c r="GO78" i="1"/>
  <c r="GM78" i="1"/>
  <c r="GK78" i="1"/>
  <c r="GI78" i="1"/>
  <c r="GG78" i="1"/>
  <c r="GE78" i="1"/>
  <c r="GC78" i="1"/>
  <c r="FW78" i="1"/>
  <c r="FU78" i="1"/>
  <c r="FR78" i="1"/>
  <c r="FP78" i="1"/>
  <c r="FN78" i="1"/>
  <c r="FL78" i="1"/>
  <c r="FJ78" i="1"/>
  <c r="FH78" i="1"/>
  <c r="FF78" i="1"/>
  <c r="FD78" i="1"/>
  <c r="EZ78" i="1"/>
  <c r="ET78" i="1"/>
  <c r="ER78" i="1"/>
  <c r="EO78" i="1"/>
  <c r="EM78" i="1"/>
  <c r="EK78" i="1"/>
  <c r="EI78" i="1"/>
  <c r="EG78" i="1"/>
  <c r="EE78" i="1"/>
  <c r="EC78" i="1"/>
  <c r="EA78" i="1"/>
  <c r="DW78" i="1"/>
  <c r="DQ78" i="1"/>
  <c r="DO78" i="1"/>
  <c r="DL78" i="1"/>
  <c r="DJ78" i="1"/>
  <c r="DH78" i="1"/>
  <c r="DF78" i="1"/>
  <c r="DD78" i="1"/>
  <c r="DB78" i="1"/>
  <c r="CZ78" i="1"/>
  <c r="CX78" i="1"/>
  <c r="CT78" i="1"/>
  <c r="CV78" i="1" s="1"/>
  <c r="CN78" i="1"/>
  <c r="CL78" i="1"/>
  <c r="CI78" i="1"/>
  <c r="CG78" i="1"/>
  <c r="CE78" i="1"/>
  <c r="CC78" i="1"/>
  <c r="CA78" i="1"/>
  <c r="BY78" i="1"/>
  <c r="BW78" i="1"/>
  <c r="BU78" i="1"/>
  <c r="BQ78" i="1"/>
  <c r="BS78" i="1" s="1"/>
  <c r="BK78" i="1"/>
  <c r="BI78" i="1"/>
  <c r="BF78" i="1"/>
  <c r="BD78" i="1"/>
  <c r="BB78" i="1"/>
  <c r="AZ78" i="1"/>
  <c r="AX78" i="1"/>
  <c r="AV78" i="1"/>
  <c r="AT78" i="1"/>
  <c r="AR78" i="1"/>
  <c r="AP78" i="1"/>
  <c r="AN78" i="1"/>
  <c r="AH78" i="1"/>
  <c r="AF78" i="1"/>
  <c r="AC78" i="1"/>
  <c r="AA78" i="1"/>
  <c r="Y78" i="1"/>
  <c r="W78" i="1"/>
  <c r="U78" i="1"/>
  <c r="S78" i="1"/>
  <c r="Q78" i="1"/>
  <c r="O78" i="1"/>
  <c r="K78" i="1"/>
  <c r="KI77" i="1"/>
  <c r="KF77" i="1"/>
  <c r="KD77" i="1"/>
  <c r="KB77" i="1"/>
  <c r="JZ77" i="1"/>
  <c r="JX77" i="1"/>
  <c r="JV77" i="1"/>
  <c r="JT77" i="1"/>
  <c r="JR77" i="1"/>
  <c r="JP77" i="1"/>
  <c r="JN77" i="1"/>
  <c r="JL77" i="1"/>
  <c r="JF77" i="1"/>
  <c r="JC77" i="1"/>
  <c r="JA77" i="1"/>
  <c r="IY77" i="1"/>
  <c r="IW77" i="1"/>
  <c r="IU77" i="1"/>
  <c r="IS77" i="1"/>
  <c r="IQ77" i="1"/>
  <c r="IO77" i="1"/>
  <c r="IM77" i="1"/>
  <c r="II77" i="1"/>
  <c r="IC77" i="1"/>
  <c r="HZ77" i="1"/>
  <c r="HZ94" i="1" s="1"/>
  <c r="I24" i="7" s="1"/>
  <c r="HX77" i="1"/>
  <c r="HV77" i="1"/>
  <c r="HT77" i="1"/>
  <c r="HR77" i="1"/>
  <c r="HP77" i="1"/>
  <c r="HN77" i="1"/>
  <c r="HL77" i="1"/>
  <c r="HJ77" i="1"/>
  <c r="HJ83" i="1" s="1"/>
  <c r="HF77" i="1"/>
  <c r="HH77" i="1" s="1"/>
  <c r="GZ77" i="1"/>
  <c r="GW77" i="1"/>
  <c r="GU77" i="1"/>
  <c r="GS77" i="1"/>
  <c r="GQ77" i="1"/>
  <c r="GO77" i="1"/>
  <c r="GM77" i="1"/>
  <c r="GK77" i="1"/>
  <c r="GI77" i="1"/>
  <c r="GG77" i="1"/>
  <c r="GC77" i="1"/>
  <c r="FW77" i="1"/>
  <c r="FT77" i="1"/>
  <c r="FT94" i="1" s="1"/>
  <c r="G24" i="7" s="1"/>
  <c r="FR77" i="1"/>
  <c r="FP77" i="1"/>
  <c r="FN77" i="1"/>
  <c r="FL77" i="1"/>
  <c r="FJ77" i="1"/>
  <c r="FH77" i="1"/>
  <c r="FF77" i="1"/>
  <c r="FD77" i="1"/>
  <c r="EZ77" i="1"/>
  <c r="ET77" i="1"/>
  <c r="EQ77" i="1"/>
  <c r="EO77" i="1"/>
  <c r="EM77" i="1"/>
  <c r="EK77" i="1"/>
  <c r="EI77" i="1"/>
  <c r="EG77" i="1"/>
  <c r="EE77" i="1"/>
  <c r="EC77" i="1"/>
  <c r="EA77" i="1"/>
  <c r="DW77" i="1"/>
  <c r="DY77" i="1" s="1"/>
  <c r="DQ77" i="1"/>
  <c r="DN77" i="1"/>
  <c r="DL77" i="1"/>
  <c r="DJ77" i="1"/>
  <c r="DH77" i="1"/>
  <c r="DF77" i="1"/>
  <c r="DD77" i="1"/>
  <c r="DB77" i="1"/>
  <c r="CZ77" i="1"/>
  <c r="CX77" i="1"/>
  <c r="CV77" i="1"/>
  <c r="CT77" i="1"/>
  <c r="CN77" i="1"/>
  <c r="CK77" i="1"/>
  <c r="CI77" i="1"/>
  <c r="CG77" i="1"/>
  <c r="CE77" i="1"/>
  <c r="CC77" i="1"/>
  <c r="CA77" i="1"/>
  <c r="CB77" i="1" s="1"/>
  <c r="CB78" i="1" s="1"/>
  <c r="BY77" i="1"/>
  <c r="BW77" i="1"/>
  <c r="BU77" i="1"/>
  <c r="BQ77" i="1"/>
  <c r="BK77" i="1"/>
  <c r="BH77" i="1"/>
  <c r="BF77" i="1"/>
  <c r="BD77" i="1"/>
  <c r="BB77" i="1"/>
  <c r="AZ77" i="1"/>
  <c r="AX77" i="1"/>
  <c r="AV77" i="1"/>
  <c r="AW77" i="1" s="1"/>
  <c r="AT77" i="1"/>
  <c r="AR77" i="1"/>
  <c r="AN77" i="1"/>
  <c r="AH77" i="1"/>
  <c r="AE77" i="1"/>
  <c r="AC77" i="1"/>
  <c r="AA77" i="1"/>
  <c r="Y77" i="1"/>
  <c r="W77" i="1"/>
  <c r="V77" i="1"/>
  <c r="V78" i="1" s="1"/>
  <c r="U77" i="1"/>
  <c r="S77" i="1"/>
  <c r="Q77" i="1"/>
  <c r="O77" i="1"/>
  <c r="M77" i="1"/>
  <c r="K77" i="1"/>
  <c r="KI76" i="1"/>
  <c r="KG76" i="1"/>
  <c r="KD76" i="1"/>
  <c r="KB76" i="1"/>
  <c r="KC76" i="1" s="1"/>
  <c r="KC77" i="1" s="1"/>
  <c r="JZ76" i="1"/>
  <c r="JX76" i="1"/>
  <c r="JV76" i="1"/>
  <c r="JT76" i="1"/>
  <c r="JR76" i="1"/>
  <c r="JP76" i="1"/>
  <c r="JN76" i="1"/>
  <c r="JL76" i="1"/>
  <c r="JF76" i="1"/>
  <c r="JD76" i="1"/>
  <c r="JA76" i="1"/>
  <c r="IY76" i="1"/>
  <c r="IW76" i="1"/>
  <c r="IU76" i="1"/>
  <c r="IS76" i="1"/>
  <c r="IQ76" i="1"/>
  <c r="IO76" i="1"/>
  <c r="IM76" i="1"/>
  <c r="II76" i="1"/>
  <c r="IC76" i="1"/>
  <c r="IA76" i="1"/>
  <c r="HX76" i="1"/>
  <c r="HV76" i="1"/>
  <c r="HT76" i="1"/>
  <c r="HR76" i="1"/>
  <c r="HP76" i="1"/>
  <c r="HN76" i="1"/>
  <c r="HL76" i="1"/>
  <c r="HJ76" i="1"/>
  <c r="HH76" i="1"/>
  <c r="HF76" i="1"/>
  <c r="GZ76" i="1"/>
  <c r="GX76" i="1"/>
  <c r="GU76" i="1"/>
  <c r="GS76" i="1"/>
  <c r="GQ76" i="1"/>
  <c r="GO76" i="1"/>
  <c r="GM76" i="1"/>
  <c r="GK76" i="1"/>
  <c r="GI76" i="1"/>
  <c r="GG76" i="1"/>
  <c r="GC76" i="1"/>
  <c r="FW76" i="1"/>
  <c r="FU76" i="1"/>
  <c r="FR76" i="1"/>
  <c r="FP76" i="1"/>
  <c r="FN76" i="1"/>
  <c r="FL76" i="1"/>
  <c r="FJ76" i="1"/>
  <c r="FH76" i="1"/>
  <c r="FF76" i="1"/>
  <c r="FD76" i="1"/>
  <c r="FB76" i="1"/>
  <c r="EZ76" i="1"/>
  <c r="ET76" i="1"/>
  <c r="ER76" i="1"/>
  <c r="EO76" i="1"/>
  <c r="EM76" i="1"/>
  <c r="EK76" i="1"/>
  <c r="EI76" i="1"/>
  <c r="EG76" i="1"/>
  <c r="EE76" i="1"/>
  <c r="EC76" i="1"/>
  <c r="EA76" i="1"/>
  <c r="DW76" i="1"/>
  <c r="DQ76" i="1"/>
  <c r="DO76" i="1"/>
  <c r="DL76" i="1"/>
  <c r="DJ76" i="1"/>
  <c r="DH76" i="1"/>
  <c r="DF76" i="1"/>
  <c r="DD76" i="1"/>
  <c r="DB76" i="1"/>
  <c r="CZ76" i="1"/>
  <c r="CX76" i="1"/>
  <c r="CV76" i="1"/>
  <c r="CT76" i="1"/>
  <c r="CN76" i="1"/>
  <c r="CL76" i="1"/>
  <c r="CI76" i="1"/>
  <c r="CG76" i="1"/>
  <c r="CE76" i="1"/>
  <c r="CC76" i="1"/>
  <c r="CA76" i="1"/>
  <c r="CB76" i="1" s="1"/>
  <c r="BY76" i="1"/>
  <c r="BW76" i="1"/>
  <c r="BU76" i="1"/>
  <c r="BS76" i="1"/>
  <c r="BQ76" i="1"/>
  <c r="BK76" i="1"/>
  <c r="BI76" i="1"/>
  <c r="BF76" i="1"/>
  <c r="BD76" i="1"/>
  <c r="BB76" i="1"/>
  <c r="AZ76" i="1"/>
  <c r="AX76" i="1"/>
  <c r="AV76" i="1"/>
  <c r="AT76" i="1"/>
  <c r="AR76" i="1"/>
  <c r="AN76" i="1"/>
  <c r="AH76" i="1"/>
  <c r="AF76" i="1"/>
  <c r="AC76" i="1"/>
  <c r="AA76" i="1"/>
  <c r="Y76" i="1"/>
  <c r="W76" i="1"/>
  <c r="V76" i="1"/>
  <c r="U76" i="1"/>
  <c r="S76" i="1"/>
  <c r="Q76" i="1"/>
  <c r="O76" i="1"/>
  <c r="K76" i="1"/>
  <c r="M76" i="1" s="1"/>
  <c r="KI75" i="1"/>
  <c r="KH75" i="1"/>
  <c r="KH94" i="1" s="1"/>
  <c r="K26" i="7" s="1"/>
  <c r="KD75" i="1"/>
  <c r="KB75" i="1"/>
  <c r="JZ75" i="1"/>
  <c r="JX75" i="1"/>
  <c r="JV75" i="1"/>
  <c r="JV83" i="1" s="1"/>
  <c r="JT75" i="1"/>
  <c r="JR75" i="1"/>
  <c r="JP75" i="1"/>
  <c r="JN75" i="1"/>
  <c r="JL75" i="1"/>
  <c r="JF75" i="1"/>
  <c r="JE75" i="1"/>
  <c r="JA75" i="1"/>
  <c r="IY75" i="1"/>
  <c r="IW75" i="1"/>
  <c r="IU75" i="1"/>
  <c r="IT75" i="1"/>
  <c r="IS75" i="1"/>
  <c r="IQ75" i="1"/>
  <c r="IO75" i="1"/>
  <c r="IM75" i="1"/>
  <c r="IK75" i="1"/>
  <c r="II75" i="1"/>
  <c r="IC75" i="1"/>
  <c r="IB75" i="1"/>
  <c r="HX75" i="1"/>
  <c r="HV75" i="1"/>
  <c r="HT75" i="1"/>
  <c r="HR75" i="1"/>
  <c r="HP75" i="1"/>
  <c r="HN75" i="1"/>
  <c r="HL75" i="1"/>
  <c r="HJ75" i="1"/>
  <c r="HK75" i="1" s="1"/>
  <c r="HH75" i="1"/>
  <c r="HF75" i="1"/>
  <c r="GZ75" i="1"/>
  <c r="GY75" i="1"/>
  <c r="GU75" i="1"/>
  <c r="GS75" i="1"/>
  <c r="GQ75" i="1"/>
  <c r="GO75" i="1"/>
  <c r="GM75" i="1"/>
  <c r="GN75" i="1" s="1"/>
  <c r="GK75" i="1"/>
  <c r="GI75" i="1"/>
  <c r="GG75" i="1"/>
  <c r="GH75" i="1" s="1"/>
  <c r="GE75" i="1"/>
  <c r="GC75" i="1"/>
  <c r="FW75" i="1"/>
  <c r="FW83" i="1" s="1"/>
  <c r="FV75" i="1"/>
  <c r="FR75" i="1"/>
  <c r="FP75" i="1"/>
  <c r="FN75" i="1"/>
  <c r="FL75" i="1"/>
  <c r="FJ75" i="1"/>
  <c r="FH75" i="1"/>
  <c r="FG75" i="1"/>
  <c r="FF75" i="1"/>
  <c r="FD75" i="1"/>
  <c r="EZ75" i="1"/>
  <c r="ET75" i="1"/>
  <c r="ES75" i="1"/>
  <c r="EO75" i="1"/>
  <c r="EM75" i="1"/>
  <c r="EK75" i="1"/>
  <c r="EI75" i="1"/>
  <c r="EH75" i="1"/>
  <c r="EH76" i="1" s="1"/>
  <c r="EG75" i="1"/>
  <c r="EG83" i="1" s="1"/>
  <c r="EE75" i="1"/>
  <c r="EC75" i="1"/>
  <c r="EA75" i="1"/>
  <c r="DW75" i="1"/>
  <c r="DQ75" i="1"/>
  <c r="DP75" i="1"/>
  <c r="DL75" i="1"/>
  <c r="DJ75" i="1"/>
  <c r="DH75" i="1"/>
  <c r="DF75" i="1"/>
  <c r="DG75" i="1" s="1"/>
  <c r="DD75" i="1"/>
  <c r="DE75" i="1" s="1"/>
  <c r="DB75" i="1"/>
  <c r="CZ75" i="1"/>
  <c r="CX75" i="1"/>
  <c r="CT75" i="1"/>
  <c r="CV75" i="1" s="1"/>
  <c r="CN75" i="1"/>
  <c r="CM75" i="1"/>
  <c r="CI75" i="1"/>
  <c r="CG75" i="1"/>
  <c r="CE75" i="1"/>
  <c r="CC75" i="1"/>
  <c r="CA75" i="1"/>
  <c r="BY75" i="1"/>
  <c r="BW75" i="1"/>
  <c r="BU75" i="1"/>
  <c r="BS75" i="1"/>
  <c r="BQ75" i="1"/>
  <c r="BK75" i="1"/>
  <c r="BJ75" i="1"/>
  <c r="BF75" i="1"/>
  <c r="BD75" i="1"/>
  <c r="BB75" i="1"/>
  <c r="AZ75" i="1"/>
  <c r="AX75" i="1"/>
  <c r="AV75" i="1"/>
  <c r="AW75" i="1" s="1"/>
  <c r="AW76" i="1" s="1"/>
  <c r="AT75" i="1"/>
  <c r="AR75" i="1"/>
  <c r="AP75" i="1"/>
  <c r="AN75" i="1"/>
  <c r="AH75" i="1"/>
  <c r="AG75" i="1"/>
  <c r="AC75" i="1"/>
  <c r="AA75" i="1"/>
  <c r="Y75" i="1"/>
  <c r="W75" i="1"/>
  <c r="U75" i="1"/>
  <c r="S75" i="1"/>
  <c r="Q75" i="1"/>
  <c r="O75" i="1"/>
  <c r="M75" i="1"/>
  <c r="K75" i="1"/>
  <c r="KI74" i="1"/>
  <c r="KG74" i="1"/>
  <c r="KD74" i="1"/>
  <c r="KC74" i="1"/>
  <c r="KC75" i="1" s="1"/>
  <c r="KB74" i="1"/>
  <c r="JZ74" i="1"/>
  <c r="JX74" i="1"/>
  <c r="JY74" i="1" s="1"/>
  <c r="JW74" i="1"/>
  <c r="JV74" i="1"/>
  <c r="JT74" i="1"/>
  <c r="JR74" i="1"/>
  <c r="JQ74" i="1"/>
  <c r="JQ75" i="1" s="1"/>
  <c r="JP74" i="1"/>
  <c r="JP83" i="1" s="1"/>
  <c r="JN74" i="1"/>
  <c r="JL74" i="1"/>
  <c r="JF74" i="1"/>
  <c r="JD74" i="1"/>
  <c r="JA74" i="1"/>
  <c r="IZ74" i="1"/>
  <c r="IY74" i="1"/>
  <c r="IW74" i="1"/>
  <c r="IU74" i="1"/>
  <c r="IT74" i="1"/>
  <c r="IS74" i="1"/>
  <c r="IR74" i="1"/>
  <c r="IQ74" i="1"/>
  <c r="IO74" i="1"/>
  <c r="IN74" i="1"/>
  <c r="IM74" i="1"/>
  <c r="IK74" i="1"/>
  <c r="II74" i="1"/>
  <c r="IC74" i="1"/>
  <c r="IA74" i="1"/>
  <c r="HX74" i="1"/>
  <c r="HX83" i="1" s="1"/>
  <c r="HV74" i="1"/>
  <c r="HT74" i="1"/>
  <c r="HR74" i="1"/>
  <c r="HP74" i="1"/>
  <c r="HN74" i="1"/>
  <c r="HL74" i="1"/>
  <c r="HL83" i="1" s="1"/>
  <c r="HK74" i="1"/>
  <c r="HJ74" i="1"/>
  <c r="HH74" i="1"/>
  <c r="HF74" i="1"/>
  <c r="GZ74" i="1"/>
  <c r="GX74" i="1"/>
  <c r="GU74" i="1"/>
  <c r="GT74" i="1"/>
  <c r="GS74" i="1"/>
  <c r="GQ74" i="1"/>
  <c r="GQ83" i="1" s="1"/>
  <c r="GO74" i="1"/>
  <c r="GN74" i="1"/>
  <c r="GM74" i="1"/>
  <c r="GK74" i="1"/>
  <c r="GJ74" i="1"/>
  <c r="GI74" i="1"/>
  <c r="GH74" i="1"/>
  <c r="GG74" i="1"/>
  <c r="GE74" i="1"/>
  <c r="GC74" i="1"/>
  <c r="FW74" i="1"/>
  <c r="FU74" i="1"/>
  <c r="FR74" i="1"/>
  <c r="FQ74" i="1"/>
  <c r="FQ75" i="1" s="1"/>
  <c r="FP74" i="1"/>
  <c r="FN74" i="1"/>
  <c r="FL74" i="1"/>
  <c r="FM74" i="1" s="1"/>
  <c r="FJ74" i="1"/>
  <c r="FH74" i="1"/>
  <c r="FI74" i="1" s="1"/>
  <c r="FI75" i="1" s="1"/>
  <c r="FG74" i="1"/>
  <c r="FF74" i="1"/>
  <c r="FF83" i="1" s="1"/>
  <c r="FE74" i="1"/>
  <c r="FE75" i="1" s="1"/>
  <c r="FE76" i="1" s="1"/>
  <c r="FE77" i="1" s="1"/>
  <c r="FD74" i="1"/>
  <c r="FB74" i="1"/>
  <c r="EZ74" i="1"/>
  <c r="ET74" i="1"/>
  <c r="ER74" i="1"/>
  <c r="EO74" i="1"/>
  <c r="EO83" i="1" s="1"/>
  <c r="EN74" i="1"/>
  <c r="EM74" i="1"/>
  <c r="EM83" i="1" s="1"/>
  <c r="EK74" i="1"/>
  <c r="EJ74" i="1"/>
  <c r="EJ75" i="1" s="1"/>
  <c r="EI74" i="1"/>
  <c r="EG74" i="1"/>
  <c r="EH74" i="1" s="1"/>
  <c r="EE74" i="1"/>
  <c r="ED74" i="1"/>
  <c r="EC74" i="1"/>
  <c r="EA74" i="1"/>
  <c r="EA83" i="1" s="1"/>
  <c r="EA94" i="1" s="1"/>
  <c r="F15" i="7" s="1"/>
  <c r="DY74" i="1"/>
  <c r="DW74" i="1"/>
  <c r="DQ74" i="1"/>
  <c r="DO74" i="1"/>
  <c r="DL74" i="1"/>
  <c r="DK74" i="1"/>
  <c r="DJ74" i="1"/>
  <c r="DH74" i="1"/>
  <c r="DF74" i="1"/>
  <c r="DG74" i="1" s="1"/>
  <c r="DE74" i="1"/>
  <c r="DD74" i="1"/>
  <c r="DB74" i="1"/>
  <c r="CZ74" i="1"/>
  <c r="CX74" i="1"/>
  <c r="CT74" i="1"/>
  <c r="CN74" i="1"/>
  <c r="CL74" i="1"/>
  <c r="CI74" i="1"/>
  <c r="CH74" i="1"/>
  <c r="CG74" i="1"/>
  <c r="CE74" i="1"/>
  <c r="CD74" i="1"/>
  <c r="CC74" i="1"/>
  <c r="CB74" i="1"/>
  <c r="CB75" i="1" s="1"/>
  <c r="CA74" i="1"/>
  <c r="BY74" i="1"/>
  <c r="BW74" i="1"/>
  <c r="BV74" i="1"/>
  <c r="BV75" i="1" s="1"/>
  <c r="BU74" i="1"/>
  <c r="BU83" i="1" s="1"/>
  <c r="BQ74" i="1"/>
  <c r="BK74" i="1"/>
  <c r="BI74" i="1"/>
  <c r="BF74" i="1"/>
  <c r="BE74" i="1"/>
  <c r="BE75" i="1" s="1"/>
  <c r="BD74" i="1"/>
  <c r="BB74" i="1"/>
  <c r="BA74" i="1"/>
  <c r="AZ74" i="1"/>
  <c r="AY74" i="1"/>
  <c r="AY75" i="1" s="1"/>
  <c r="AX74" i="1"/>
  <c r="AV74" i="1"/>
  <c r="AW74" i="1" s="1"/>
  <c r="AU74" i="1"/>
  <c r="AT74" i="1"/>
  <c r="AR74" i="1"/>
  <c r="AP74" i="1"/>
  <c r="AN74" i="1"/>
  <c r="AH74" i="1"/>
  <c r="AF74" i="1"/>
  <c r="AC74" i="1"/>
  <c r="AB74" i="1"/>
  <c r="AA74" i="1"/>
  <c r="Y74" i="1"/>
  <c r="W74" i="1"/>
  <c r="V74" i="1"/>
  <c r="V75" i="1" s="1"/>
  <c r="U74" i="1"/>
  <c r="S74" i="1"/>
  <c r="Q74" i="1"/>
  <c r="O74" i="1"/>
  <c r="O83" i="1" s="1"/>
  <c r="K74" i="1"/>
  <c r="K83" i="1" s="1"/>
  <c r="HZ70" i="1"/>
  <c r="I24" i="5" s="1"/>
  <c r="HB70" i="1"/>
  <c r="I3" i="5" s="1"/>
  <c r="JJ69" i="1"/>
  <c r="K12" i="5" s="1"/>
  <c r="JH69" i="1"/>
  <c r="K5" i="5" s="1"/>
  <c r="IG69" i="1"/>
  <c r="J12" i="5" s="1"/>
  <c r="IE69" i="1"/>
  <c r="J5" i="5" s="1"/>
  <c r="HD69" i="1"/>
  <c r="I12" i="5" s="1"/>
  <c r="HB69" i="1"/>
  <c r="I5" i="5" s="1"/>
  <c r="GY69" i="1"/>
  <c r="GA69" i="1"/>
  <c r="H12" i="5" s="1"/>
  <c r="FY69" i="1"/>
  <c r="H5" i="5" s="1"/>
  <c r="FF69" i="1"/>
  <c r="EX69" i="1"/>
  <c r="G12" i="5" s="1"/>
  <c r="EV69" i="1"/>
  <c r="G5" i="5" s="1"/>
  <c r="EA69" i="1"/>
  <c r="DU69" i="1"/>
  <c r="F12" i="5" s="1"/>
  <c r="DS69" i="1"/>
  <c r="F5" i="5" s="1"/>
  <c r="CR69" i="1"/>
  <c r="E12" i="5" s="1"/>
  <c r="CP69" i="1"/>
  <c r="E5" i="5" s="1"/>
  <c r="BO69" i="1"/>
  <c r="D12" i="5" s="1"/>
  <c r="BM69" i="1"/>
  <c r="D5" i="5" s="1"/>
  <c r="AL69" i="1"/>
  <c r="AJ69" i="1"/>
  <c r="I69" i="1"/>
  <c r="G69" i="1"/>
  <c r="E69" i="1"/>
  <c r="KI68" i="1"/>
  <c r="KH68" i="1"/>
  <c r="KD68" i="1"/>
  <c r="KB68" i="1"/>
  <c r="JZ68" i="1"/>
  <c r="JX68" i="1"/>
  <c r="JV68" i="1"/>
  <c r="JT68" i="1"/>
  <c r="JR68" i="1"/>
  <c r="JP68" i="1"/>
  <c r="JL68" i="1"/>
  <c r="JN68" i="1" s="1"/>
  <c r="JF68" i="1"/>
  <c r="JE68" i="1"/>
  <c r="JA68" i="1"/>
  <c r="IY68" i="1"/>
  <c r="IW68" i="1"/>
  <c r="IU68" i="1"/>
  <c r="IS68" i="1"/>
  <c r="IQ68" i="1"/>
  <c r="IO68" i="1"/>
  <c r="IM68" i="1"/>
  <c r="II68" i="1"/>
  <c r="IC68" i="1"/>
  <c r="IB68" i="1"/>
  <c r="HX68" i="1"/>
  <c r="HV68" i="1"/>
  <c r="HT68" i="1"/>
  <c r="HR68" i="1"/>
  <c r="HP68" i="1"/>
  <c r="HN68" i="1"/>
  <c r="HL68" i="1"/>
  <c r="HJ68" i="1"/>
  <c r="HH68" i="1"/>
  <c r="HF68" i="1"/>
  <c r="GZ68" i="1"/>
  <c r="GY68" i="1"/>
  <c r="GU68" i="1"/>
  <c r="GS68" i="1"/>
  <c r="GQ68" i="1"/>
  <c r="GO68" i="1"/>
  <c r="GM68" i="1"/>
  <c r="GK68" i="1"/>
  <c r="GI68" i="1"/>
  <c r="GG68" i="1"/>
  <c r="GE68" i="1"/>
  <c r="GC68" i="1"/>
  <c r="FW68" i="1"/>
  <c r="FV68" i="1"/>
  <c r="FV69" i="1" s="1"/>
  <c r="FR68" i="1"/>
  <c r="FP68" i="1"/>
  <c r="FN68" i="1"/>
  <c r="FL68" i="1"/>
  <c r="FJ68" i="1"/>
  <c r="FH68" i="1"/>
  <c r="FF68" i="1"/>
  <c r="FD68" i="1"/>
  <c r="FB68" i="1"/>
  <c r="EZ68" i="1"/>
  <c r="ET68" i="1"/>
  <c r="ES68" i="1"/>
  <c r="EO68" i="1"/>
  <c r="EM68" i="1"/>
  <c r="EK68" i="1"/>
  <c r="EI68" i="1"/>
  <c r="EG68" i="1"/>
  <c r="EE68" i="1"/>
  <c r="EC68" i="1"/>
  <c r="EA68" i="1"/>
  <c r="DY68" i="1"/>
  <c r="DW68" i="1"/>
  <c r="DQ68" i="1"/>
  <c r="DP68" i="1"/>
  <c r="DL68" i="1"/>
  <c r="DJ68" i="1"/>
  <c r="DH68" i="1"/>
  <c r="DF68" i="1"/>
  <c r="DD68" i="1"/>
  <c r="DB68" i="1"/>
  <c r="CZ68" i="1"/>
  <c r="CX68" i="1"/>
  <c r="CV68" i="1"/>
  <c r="CT68" i="1"/>
  <c r="CN68" i="1"/>
  <c r="CM68" i="1"/>
  <c r="CI68" i="1"/>
  <c r="CG68" i="1"/>
  <c r="CE68" i="1"/>
  <c r="CC68" i="1"/>
  <c r="CA68" i="1"/>
  <c r="BY68" i="1"/>
  <c r="BW68" i="1"/>
  <c r="BU68" i="1"/>
  <c r="BQ68" i="1"/>
  <c r="BK68" i="1"/>
  <c r="BJ68" i="1"/>
  <c r="BF68" i="1"/>
  <c r="BD68" i="1"/>
  <c r="BB68" i="1"/>
  <c r="AZ68" i="1"/>
  <c r="AX68" i="1"/>
  <c r="AV68" i="1"/>
  <c r="AT68" i="1"/>
  <c r="AR68" i="1"/>
  <c r="AN68" i="1"/>
  <c r="AH68" i="1"/>
  <c r="AG68" i="1"/>
  <c r="AC68" i="1"/>
  <c r="AA68" i="1"/>
  <c r="Y68" i="1"/>
  <c r="W68" i="1"/>
  <c r="U68" i="1"/>
  <c r="S68" i="1"/>
  <c r="Q68" i="1"/>
  <c r="O68" i="1"/>
  <c r="M68" i="1"/>
  <c r="K68" i="1"/>
  <c r="KI67" i="1"/>
  <c r="KF67" i="1"/>
  <c r="KD67" i="1"/>
  <c r="KB67" i="1"/>
  <c r="JZ67" i="1"/>
  <c r="JX67" i="1"/>
  <c r="JV67" i="1"/>
  <c r="JT67" i="1"/>
  <c r="JR67" i="1"/>
  <c r="JP67" i="1"/>
  <c r="JL67" i="1"/>
  <c r="JF67" i="1"/>
  <c r="JC67" i="1"/>
  <c r="JA67" i="1"/>
  <c r="IY67" i="1"/>
  <c r="IW67" i="1"/>
  <c r="IU67" i="1"/>
  <c r="IS67" i="1"/>
  <c r="IQ67" i="1"/>
  <c r="IO67" i="1"/>
  <c r="IM67" i="1"/>
  <c r="IK67" i="1"/>
  <c r="II67" i="1"/>
  <c r="IC67" i="1"/>
  <c r="HZ67" i="1"/>
  <c r="HX67" i="1"/>
  <c r="HV67" i="1"/>
  <c r="HT67" i="1"/>
  <c r="HR67" i="1"/>
  <c r="HP67" i="1"/>
  <c r="HN67" i="1"/>
  <c r="HL67" i="1"/>
  <c r="HJ67" i="1"/>
  <c r="HH67" i="1"/>
  <c r="HF67" i="1"/>
  <c r="GZ67" i="1"/>
  <c r="GW67" i="1"/>
  <c r="GU67" i="1"/>
  <c r="GS67" i="1"/>
  <c r="GQ67" i="1"/>
  <c r="GO67" i="1"/>
  <c r="GM67" i="1"/>
  <c r="GK67" i="1"/>
  <c r="GI67" i="1"/>
  <c r="GG67" i="1"/>
  <c r="GE67" i="1"/>
  <c r="GC67" i="1"/>
  <c r="FW67" i="1"/>
  <c r="FT67" i="1"/>
  <c r="FR67" i="1"/>
  <c r="FP67" i="1"/>
  <c r="FN67" i="1"/>
  <c r="FL67" i="1"/>
  <c r="FJ67" i="1"/>
  <c r="FH67" i="1"/>
  <c r="FF67" i="1"/>
  <c r="FD67" i="1"/>
  <c r="EZ67" i="1"/>
  <c r="ET67" i="1"/>
  <c r="EQ67" i="1"/>
  <c r="EO67" i="1"/>
  <c r="EM67" i="1"/>
  <c r="EK67" i="1"/>
  <c r="EI67" i="1"/>
  <c r="EG67" i="1"/>
  <c r="EE67" i="1"/>
  <c r="EC67" i="1"/>
  <c r="EA67" i="1"/>
  <c r="DW67" i="1"/>
  <c r="DY67" i="1" s="1"/>
  <c r="DQ67" i="1"/>
  <c r="DN67" i="1"/>
  <c r="DL67" i="1"/>
  <c r="DJ67" i="1"/>
  <c r="DH67" i="1"/>
  <c r="DF67" i="1"/>
  <c r="DD67" i="1"/>
  <c r="DB67" i="1"/>
  <c r="CZ67" i="1"/>
  <c r="CX67" i="1"/>
  <c r="CT67" i="1"/>
  <c r="CV67" i="1" s="1"/>
  <c r="CN67" i="1"/>
  <c r="CK67" i="1"/>
  <c r="CI67" i="1"/>
  <c r="CG67" i="1"/>
  <c r="CE67" i="1"/>
  <c r="CC67" i="1"/>
  <c r="CA67" i="1"/>
  <c r="BY67" i="1"/>
  <c r="BW67" i="1"/>
  <c r="BU67" i="1"/>
  <c r="BS67" i="1"/>
  <c r="BQ67" i="1"/>
  <c r="BK67" i="1"/>
  <c r="BH67" i="1"/>
  <c r="BF67" i="1"/>
  <c r="BD67" i="1"/>
  <c r="BB67" i="1"/>
  <c r="AZ67" i="1"/>
  <c r="AX67" i="1"/>
  <c r="AV67" i="1"/>
  <c r="AT67" i="1"/>
  <c r="AR67" i="1"/>
  <c r="AN67" i="1"/>
  <c r="AH67" i="1"/>
  <c r="AE67" i="1"/>
  <c r="AC67" i="1"/>
  <c r="AA67" i="1"/>
  <c r="Y67" i="1"/>
  <c r="W67" i="1"/>
  <c r="U67" i="1"/>
  <c r="S67" i="1"/>
  <c r="Q67" i="1"/>
  <c r="O67" i="1"/>
  <c r="K67" i="1"/>
  <c r="M67" i="1" s="1"/>
  <c r="KI66" i="1"/>
  <c r="KG66" i="1"/>
  <c r="KD66" i="1"/>
  <c r="KB66" i="1"/>
  <c r="JZ66" i="1"/>
  <c r="JX66" i="1"/>
  <c r="JV66" i="1"/>
  <c r="JT66" i="1"/>
  <c r="JR66" i="1"/>
  <c r="JP66" i="1"/>
  <c r="JL66" i="1"/>
  <c r="JF66" i="1"/>
  <c r="JD66" i="1"/>
  <c r="JA66" i="1"/>
  <c r="IY66" i="1"/>
  <c r="IW66" i="1"/>
  <c r="IU66" i="1"/>
  <c r="IS66" i="1"/>
  <c r="IQ66" i="1"/>
  <c r="IO66" i="1"/>
  <c r="IM66" i="1"/>
  <c r="II66" i="1"/>
  <c r="IC66" i="1"/>
  <c r="IA66" i="1"/>
  <c r="HX66" i="1"/>
  <c r="HV66" i="1"/>
  <c r="HT66" i="1"/>
  <c r="HR66" i="1"/>
  <c r="HP66" i="1"/>
  <c r="HN66" i="1"/>
  <c r="HL66" i="1"/>
  <c r="HJ66" i="1"/>
  <c r="HH66" i="1"/>
  <c r="HF66" i="1"/>
  <c r="GZ66" i="1"/>
  <c r="GX66" i="1"/>
  <c r="GU66" i="1"/>
  <c r="GS66" i="1"/>
  <c r="GQ66" i="1"/>
  <c r="GO66" i="1"/>
  <c r="GM66" i="1"/>
  <c r="GK66" i="1"/>
  <c r="GI66" i="1"/>
  <c r="GG66" i="1"/>
  <c r="GC66" i="1"/>
  <c r="GE66" i="1" s="1"/>
  <c r="FW66" i="1"/>
  <c r="FU66" i="1"/>
  <c r="FR66" i="1"/>
  <c r="FP66" i="1"/>
  <c r="FN66" i="1"/>
  <c r="FL66" i="1"/>
  <c r="FJ66" i="1"/>
  <c r="FH66" i="1"/>
  <c r="FF66" i="1"/>
  <c r="FD66" i="1"/>
  <c r="EZ66" i="1"/>
  <c r="FB66" i="1" s="1"/>
  <c r="ET66" i="1"/>
  <c r="ER66" i="1"/>
  <c r="EO66" i="1"/>
  <c r="EM66" i="1"/>
  <c r="EK66" i="1"/>
  <c r="EI66" i="1"/>
  <c r="EG66" i="1"/>
  <c r="EE66" i="1"/>
  <c r="EC66" i="1"/>
  <c r="EA66" i="1"/>
  <c r="DW66" i="1"/>
  <c r="DY66" i="1" s="1"/>
  <c r="DQ66" i="1"/>
  <c r="DO66" i="1"/>
  <c r="DL66" i="1"/>
  <c r="DJ66" i="1"/>
  <c r="DH66" i="1"/>
  <c r="DF66" i="1"/>
  <c r="DD66" i="1"/>
  <c r="DB66" i="1"/>
  <c r="CZ66" i="1"/>
  <c r="CX66" i="1"/>
  <c r="CV66" i="1"/>
  <c r="CT66" i="1"/>
  <c r="CN66" i="1"/>
  <c r="CL66" i="1"/>
  <c r="CI66" i="1"/>
  <c r="CG66" i="1"/>
  <c r="CE66" i="1"/>
  <c r="CE69" i="1" s="1"/>
  <c r="CC66" i="1"/>
  <c r="CA66" i="1"/>
  <c r="BY66" i="1"/>
  <c r="BW66" i="1"/>
  <c r="BU66" i="1"/>
  <c r="BQ66" i="1"/>
  <c r="BS66" i="1" s="1"/>
  <c r="BK66" i="1"/>
  <c r="BI66" i="1"/>
  <c r="BF66" i="1"/>
  <c r="BD66" i="1"/>
  <c r="BB66" i="1"/>
  <c r="AZ66" i="1"/>
  <c r="AX66" i="1"/>
  <c r="AV66" i="1"/>
  <c r="AT66" i="1"/>
  <c r="AR66" i="1"/>
  <c r="AP66" i="1"/>
  <c r="AN66" i="1"/>
  <c r="AH66" i="1"/>
  <c r="AF66" i="1"/>
  <c r="AC66" i="1"/>
  <c r="AA66" i="1"/>
  <c r="Y66" i="1"/>
  <c r="W66" i="1"/>
  <c r="U66" i="1"/>
  <c r="S66" i="1"/>
  <c r="Q66" i="1"/>
  <c r="O66" i="1"/>
  <c r="M66" i="1"/>
  <c r="K66" i="1"/>
  <c r="KI65" i="1"/>
  <c r="KF65" i="1"/>
  <c r="KD65" i="1"/>
  <c r="KB65" i="1"/>
  <c r="JZ65" i="1"/>
  <c r="JX65" i="1"/>
  <c r="JV65" i="1"/>
  <c r="JT65" i="1"/>
  <c r="JR65" i="1"/>
  <c r="JP65" i="1"/>
  <c r="JL65" i="1"/>
  <c r="JF65" i="1"/>
  <c r="JC65" i="1"/>
  <c r="JA65" i="1"/>
  <c r="IY65" i="1"/>
  <c r="IW65" i="1"/>
  <c r="IU65" i="1"/>
  <c r="IS65" i="1"/>
  <c r="IQ65" i="1"/>
  <c r="IO65" i="1"/>
  <c r="IM65" i="1"/>
  <c r="IK65" i="1"/>
  <c r="II65" i="1"/>
  <c r="IC65" i="1"/>
  <c r="HZ65" i="1"/>
  <c r="HX65" i="1"/>
  <c r="HV65" i="1"/>
  <c r="HT65" i="1"/>
  <c r="HR65" i="1"/>
  <c r="HP65" i="1"/>
  <c r="HN65" i="1"/>
  <c r="HL65" i="1"/>
  <c r="HJ65" i="1"/>
  <c r="HF65" i="1"/>
  <c r="HH65" i="1" s="1"/>
  <c r="GZ65" i="1"/>
  <c r="GW65" i="1"/>
  <c r="GU65" i="1"/>
  <c r="GS65" i="1"/>
  <c r="GQ65" i="1"/>
  <c r="GO65" i="1"/>
  <c r="GM65" i="1"/>
  <c r="GK65" i="1"/>
  <c r="GI65" i="1"/>
  <c r="GG65" i="1"/>
  <c r="GE65" i="1"/>
  <c r="GC65" i="1"/>
  <c r="FW65" i="1"/>
  <c r="FT65" i="1"/>
  <c r="FR65" i="1"/>
  <c r="FP65" i="1"/>
  <c r="FN65" i="1"/>
  <c r="FL65" i="1"/>
  <c r="FJ65" i="1"/>
  <c r="FH65" i="1"/>
  <c r="FF65" i="1"/>
  <c r="FD65" i="1"/>
  <c r="EZ65" i="1"/>
  <c r="FB65" i="1" s="1"/>
  <c r="ET65" i="1"/>
  <c r="EQ65" i="1"/>
  <c r="EO65" i="1"/>
  <c r="EM65" i="1"/>
  <c r="EK65" i="1"/>
  <c r="EI65" i="1"/>
  <c r="EG65" i="1"/>
  <c r="EE65" i="1"/>
  <c r="EC65" i="1"/>
  <c r="EA65" i="1"/>
  <c r="DY65" i="1"/>
  <c r="DW65" i="1"/>
  <c r="DQ65" i="1"/>
  <c r="DN65" i="1"/>
  <c r="DL65" i="1"/>
  <c r="DJ65" i="1"/>
  <c r="DH65" i="1"/>
  <c r="DF65" i="1"/>
  <c r="DD65" i="1"/>
  <c r="DB65" i="1"/>
  <c r="CZ65" i="1"/>
  <c r="CX65" i="1"/>
  <c r="CT65" i="1"/>
  <c r="CN65" i="1"/>
  <c r="CK65" i="1"/>
  <c r="CI65" i="1"/>
  <c r="CG65" i="1"/>
  <c r="CE65" i="1"/>
  <c r="CC65" i="1"/>
  <c r="CA65" i="1"/>
  <c r="BY65" i="1"/>
  <c r="BW65" i="1"/>
  <c r="BU65" i="1"/>
  <c r="BQ65" i="1"/>
  <c r="BS65" i="1" s="1"/>
  <c r="BK65" i="1"/>
  <c r="BH65" i="1"/>
  <c r="BF65" i="1"/>
  <c r="BD65" i="1"/>
  <c r="BB65" i="1"/>
  <c r="AZ65" i="1"/>
  <c r="AX65" i="1"/>
  <c r="AV65" i="1"/>
  <c r="AT65" i="1"/>
  <c r="AR65" i="1"/>
  <c r="AP65" i="1"/>
  <c r="AN65" i="1"/>
  <c r="AH65" i="1"/>
  <c r="AE65" i="1"/>
  <c r="AC65" i="1"/>
  <c r="AA65" i="1"/>
  <c r="Y65" i="1"/>
  <c r="W65" i="1"/>
  <c r="U65" i="1"/>
  <c r="S65" i="1"/>
  <c r="Q65" i="1"/>
  <c r="O65" i="1"/>
  <c r="M65" i="1"/>
  <c r="K65" i="1"/>
  <c r="KI64" i="1"/>
  <c r="KG64" i="1"/>
  <c r="KD64" i="1"/>
  <c r="KB64" i="1"/>
  <c r="JZ64" i="1"/>
  <c r="JX64" i="1"/>
  <c r="JV64" i="1"/>
  <c r="JT64" i="1"/>
  <c r="JR64" i="1"/>
  <c r="JP64" i="1"/>
  <c r="JN64" i="1"/>
  <c r="JL64" i="1"/>
  <c r="JF64" i="1"/>
  <c r="JD64" i="1"/>
  <c r="JA64" i="1"/>
  <c r="IY64" i="1"/>
  <c r="IW64" i="1"/>
  <c r="IU64" i="1"/>
  <c r="IS64" i="1"/>
  <c r="IQ64" i="1"/>
  <c r="IO64" i="1"/>
  <c r="IM64" i="1"/>
  <c r="IK64" i="1"/>
  <c r="II64" i="1"/>
  <c r="IC64" i="1"/>
  <c r="IA64" i="1"/>
  <c r="HX64" i="1"/>
  <c r="HV64" i="1"/>
  <c r="HT64" i="1"/>
  <c r="HR64" i="1"/>
  <c r="HP64" i="1"/>
  <c r="HN64" i="1"/>
  <c r="HL64" i="1"/>
  <c r="HJ64" i="1"/>
  <c r="HH64" i="1"/>
  <c r="HF64" i="1"/>
  <c r="GZ64" i="1"/>
  <c r="GX64" i="1"/>
  <c r="GU64" i="1"/>
  <c r="GS64" i="1"/>
  <c r="GQ64" i="1"/>
  <c r="GO64" i="1"/>
  <c r="GM64" i="1"/>
  <c r="GK64" i="1"/>
  <c r="GI64" i="1"/>
  <c r="GG64" i="1"/>
  <c r="GC64" i="1"/>
  <c r="GE64" i="1" s="1"/>
  <c r="FW64" i="1"/>
  <c r="FU64" i="1"/>
  <c r="FR64" i="1"/>
  <c r="FP64" i="1"/>
  <c r="FN64" i="1"/>
  <c r="FL64" i="1"/>
  <c r="FJ64" i="1"/>
  <c r="FH64" i="1"/>
  <c r="FF64" i="1"/>
  <c r="FD64" i="1"/>
  <c r="EZ64" i="1"/>
  <c r="FB64" i="1" s="1"/>
  <c r="ET64" i="1"/>
  <c r="ER64" i="1"/>
  <c r="EO64" i="1"/>
  <c r="EM64" i="1"/>
  <c r="EK64" i="1"/>
  <c r="EI64" i="1"/>
  <c r="EG64" i="1"/>
  <c r="EE64" i="1"/>
  <c r="EC64" i="1"/>
  <c r="EA64" i="1"/>
  <c r="DY64" i="1"/>
  <c r="DW64" i="1"/>
  <c r="DQ64" i="1"/>
  <c r="DO64" i="1"/>
  <c r="DL64" i="1"/>
  <c r="DJ64" i="1"/>
  <c r="DH64" i="1"/>
  <c r="DF64" i="1"/>
  <c r="DD64" i="1"/>
  <c r="DB64" i="1"/>
  <c r="CZ64" i="1"/>
  <c r="CX64" i="1"/>
  <c r="CT64" i="1"/>
  <c r="CV64" i="1" s="1"/>
  <c r="CN64" i="1"/>
  <c r="CL64" i="1"/>
  <c r="CI64" i="1"/>
  <c r="CG64" i="1"/>
  <c r="CE64" i="1"/>
  <c r="CC64" i="1"/>
  <c r="CA64" i="1"/>
  <c r="BY64" i="1"/>
  <c r="BW64" i="1"/>
  <c r="BU64" i="1"/>
  <c r="BS64" i="1"/>
  <c r="BQ64" i="1"/>
  <c r="BK64" i="1"/>
  <c r="BI64" i="1"/>
  <c r="BF64" i="1"/>
  <c r="BD64" i="1"/>
  <c r="BB64" i="1"/>
  <c r="AZ64" i="1"/>
  <c r="AX64" i="1"/>
  <c r="AV64" i="1"/>
  <c r="AT64" i="1"/>
  <c r="AR64" i="1"/>
  <c r="AN64" i="1"/>
  <c r="AH64" i="1"/>
  <c r="AF64" i="1"/>
  <c r="AC64" i="1"/>
  <c r="AA64" i="1"/>
  <c r="Y64" i="1"/>
  <c r="W64" i="1"/>
  <c r="U64" i="1"/>
  <c r="S64" i="1"/>
  <c r="Q64" i="1"/>
  <c r="O64" i="1"/>
  <c r="K64" i="1"/>
  <c r="KI63" i="1"/>
  <c r="KH63" i="1"/>
  <c r="KD63" i="1"/>
  <c r="KB63" i="1"/>
  <c r="JZ63" i="1"/>
  <c r="JX63" i="1"/>
  <c r="JV63" i="1"/>
  <c r="JT63" i="1"/>
  <c r="JR63" i="1"/>
  <c r="JP63" i="1"/>
  <c r="JN63" i="1"/>
  <c r="JL63" i="1"/>
  <c r="JF63" i="1"/>
  <c r="JE63" i="1"/>
  <c r="JE69" i="1" s="1"/>
  <c r="JA63" i="1"/>
  <c r="IY63" i="1"/>
  <c r="IW63" i="1"/>
  <c r="IU63" i="1"/>
  <c r="IS63" i="1"/>
  <c r="IQ63" i="1"/>
  <c r="IO63" i="1"/>
  <c r="IM63" i="1"/>
  <c r="II63" i="1"/>
  <c r="IK63" i="1" s="1"/>
  <c r="IC63" i="1"/>
  <c r="IB63" i="1"/>
  <c r="IB69" i="1" s="1"/>
  <c r="HX63" i="1"/>
  <c r="HV63" i="1"/>
  <c r="HT63" i="1"/>
  <c r="HR63" i="1"/>
  <c r="HP63" i="1"/>
  <c r="HN63" i="1"/>
  <c r="HL63" i="1"/>
  <c r="HJ63" i="1"/>
  <c r="HH63" i="1"/>
  <c r="HF63" i="1"/>
  <c r="GZ63" i="1"/>
  <c r="GY63" i="1"/>
  <c r="GU63" i="1"/>
  <c r="GS63" i="1"/>
  <c r="GQ63" i="1"/>
  <c r="GO63" i="1"/>
  <c r="GM63" i="1"/>
  <c r="GK63" i="1"/>
  <c r="GI63" i="1"/>
  <c r="GG63" i="1"/>
  <c r="GC63" i="1"/>
  <c r="GE63" i="1" s="1"/>
  <c r="FW63" i="1"/>
  <c r="FV63" i="1"/>
  <c r="FR63" i="1"/>
  <c r="FP63" i="1"/>
  <c r="FN63" i="1"/>
  <c r="FL63" i="1"/>
  <c r="FJ63" i="1"/>
  <c r="FH63" i="1"/>
  <c r="FF63" i="1"/>
  <c r="FD63" i="1"/>
  <c r="FB63" i="1"/>
  <c r="EZ63" i="1"/>
  <c r="ET63" i="1"/>
  <c r="ES63" i="1"/>
  <c r="ES69" i="1" s="1"/>
  <c r="EO63" i="1"/>
  <c r="EM63" i="1"/>
  <c r="EK63" i="1"/>
  <c r="EI63" i="1"/>
  <c r="EG63" i="1"/>
  <c r="EE63" i="1"/>
  <c r="EC63" i="1"/>
  <c r="EA63" i="1"/>
  <c r="DW63" i="1"/>
  <c r="DY63" i="1" s="1"/>
  <c r="DQ63" i="1"/>
  <c r="DP63" i="1"/>
  <c r="DP69" i="1" s="1"/>
  <c r="DL63" i="1"/>
  <c r="DJ63" i="1"/>
  <c r="DH63" i="1"/>
  <c r="DF63" i="1"/>
  <c r="DD63" i="1"/>
  <c r="DB63" i="1"/>
  <c r="CZ63" i="1"/>
  <c r="CX63" i="1"/>
  <c r="CT63" i="1"/>
  <c r="CV63" i="1" s="1"/>
  <c r="CN63" i="1"/>
  <c r="CM63" i="1"/>
  <c r="CM69" i="1" s="1"/>
  <c r="CI63" i="1"/>
  <c r="CG63" i="1"/>
  <c r="CE63" i="1"/>
  <c r="CC63" i="1"/>
  <c r="CA63" i="1"/>
  <c r="BY63" i="1"/>
  <c r="BW63" i="1"/>
  <c r="BU63" i="1"/>
  <c r="BQ63" i="1"/>
  <c r="BS63" i="1" s="1"/>
  <c r="BK63" i="1"/>
  <c r="BJ63" i="1"/>
  <c r="BJ69" i="1" s="1"/>
  <c r="BF63" i="1"/>
  <c r="BD63" i="1"/>
  <c r="BB63" i="1"/>
  <c r="AZ63" i="1"/>
  <c r="AX63" i="1"/>
  <c r="AV63" i="1"/>
  <c r="AT63" i="1"/>
  <c r="AR63" i="1"/>
  <c r="AP63" i="1"/>
  <c r="AN63" i="1"/>
  <c r="AH63" i="1"/>
  <c r="AG63" i="1"/>
  <c r="AG69" i="1" s="1"/>
  <c r="AC63" i="1"/>
  <c r="AA63" i="1"/>
  <c r="Y63" i="1"/>
  <c r="W63" i="1"/>
  <c r="U63" i="1"/>
  <c r="S63" i="1"/>
  <c r="Q63" i="1"/>
  <c r="O63" i="1"/>
  <c r="K63" i="1"/>
  <c r="KI62" i="1"/>
  <c r="KG62" i="1"/>
  <c r="KD62" i="1"/>
  <c r="KB62" i="1"/>
  <c r="JZ62" i="1"/>
  <c r="JX62" i="1"/>
  <c r="JV62" i="1"/>
  <c r="JT62" i="1"/>
  <c r="JR62" i="1"/>
  <c r="JP62" i="1"/>
  <c r="JL62" i="1"/>
  <c r="JF62" i="1"/>
  <c r="JD62" i="1"/>
  <c r="JA62" i="1"/>
  <c r="IY62" i="1"/>
  <c r="IW62" i="1"/>
  <c r="IU62" i="1"/>
  <c r="IS62" i="1"/>
  <c r="IQ62" i="1"/>
  <c r="IO62" i="1"/>
  <c r="IM62" i="1"/>
  <c r="II62" i="1"/>
  <c r="IK62" i="1" s="1"/>
  <c r="IC62" i="1"/>
  <c r="IA62" i="1"/>
  <c r="HX62" i="1"/>
  <c r="HV62" i="1"/>
  <c r="HT62" i="1"/>
  <c r="HR62" i="1"/>
  <c r="HP62" i="1"/>
  <c r="HN62" i="1"/>
  <c r="HL62" i="1"/>
  <c r="HJ62" i="1"/>
  <c r="HF62" i="1"/>
  <c r="GZ62" i="1"/>
  <c r="GX62" i="1"/>
  <c r="GU62" i="1"/>
  <c r="GS62" i="1"/>
  <c r="GQ62" i="1"/>
  <c r="GO62" i="1"/>
  <c r="GM62" i="1"/>
  <c r="GK62" i="1"/>
  <c r="GI62" i="1"/>
  <c r="GG62" i="1"/>
  <c r="GC62" i="1"/>
  <c r="FW62" i="1"/>
  <c r="FU62" i="1"/>
  <c r="FR62" i="1"/>
  <c r="FP62" i="1"/>
  <c r="FN62" i="1"/>
  <c r="FL62" i="1"/>
  <c r="FJ62" i="1"/>
  <c r="FH62" i="1"/>
  <c r="FF62" i="1"/>
  <c r="FD62" i="1"/>
  <c r="FB62" i="1"/>
  <c r="EZ62" i="1"/>
  <c r="ET62" i="1"/>
  <c r="ER62" i="1"/>
  <c r="EO62" i="1"/>
  <c r="EM62" i="1"/>
  <c r="EK62" i="1"/>
  <c r="EI62" i="1"/>
  <c r="EG62" i="1"/>
  <c r="EE62" i="1"/>
  <c r="EC62" i="1"/>
  <c r="EA62" i="1"/>
  <c r="DW62" i="1"/>
  <c r="DY62" i="1" s="1"/>
  <c r="DQ62" i="1"/>
  <c r="DO62" i="1"/>
  <c r="DL62" i="1"/>
  <c r="DJ62" i="1"/>
  <c r="DH62" i="1"/>
  <c r="DF62" i="1"/>
  <c r="DD62" i="1"/>
  <c r="DB62" i="1"/>
  <c r="CZ62" i="1"/>
  <c r="CX62" i="1"/>
  <c r="CT62" i="1"/>
  <c r="CN62" i="1"/>
  <c r="CL62" i="1"/>
  <c r="CI62" i="1"/>
  <c r="CG62" i="1"/>
  <c r="CE62" i="1"/>
  <c r="CC62" i="1"/>
  <c r="CA62" i="1"/>
  <c r="BY62" i="1"/>
  <c r="BW62" i="1"/>
  <c r="BU62" i="1"/>
  <c r="BQ62" i="1"/>
  <c r="BS62" i="1" s="1"/>
  <c r="BK62" i="1"/>
  <c r="BI62" i="1"/>
  <c r="BF62" i="1"/>
  <c r="BD62" i="1"/>
  <c r="BB62" i="1"/>
  <c r="AZ62" i="1"/>
  <c r="AX62" i="1"/>
  <c r="AV62" i="1"/>
  <c r="AT62" i="1"/>
  <c r="AR62" i="1"/>
  <c r="AP62" i="1"/>
  <c r="AN62" i="1"/>
  <c r="AH62" i="1"/>
  <c r="AF62" i="1"/>
  <c r="AC62" i="1"/>
  <c r="AA62" i="1"/>
  <c r="Y62" i="1"/>
  <c r="W62" i="1"/>
  <c r="U62" i="1"/>
  <c r="S62" i="1"/>
  <c r="Q62" i="1"/>
  <c r="O62" i="1"/>
  <c r="M62" i="1"/>
  <c r="K62" i="1"/>
  <c r="KI61" i="1"/>
  <c r="KG61" i="1"/>
  <c r="KG69" i="1" s="1"/>
  <c r="KD61" i="1"/>
  <c r="KB61" i="1"/>
  <c r="JZ61" i="1"/>
  <c r="JX61" i="1"/>
  <c r="JV61" i="1"/>
  <c r="JT61" i="1"/>
  <c r="JR61" i="1"/>
  <c r="JP61" i="1"/>
  <c r="JN61" i="1"/>
  <c r="JL61" i="1"/>
  <c r="JF61" i="1"/>
  <c r="JD61" i="1"/>
  <c r="JD69" i="1" s="1"/>
  <c r="JA61" i="1"/>
  <c r="IY61" i="1"/>
  <c r="IW61" i="1"/>
  <c r="IU61" i="1"/>
  <c r="IS61" i="1"/>
  <c r="IQ61" i="1"/>
  <c r="IO61" i="1"/>
  <c r="IM61" i="1"/>
  <c r="II61" i="1"/>
  <c r="IC61" i="1"/>
  <c r="IA61" i="1"/>
  <c r="HX61" i="1"/>
  <c r="HV61" i="1"/>
  <c r="HT61" i="1"/>
  <c r="HR61" i="1"/>
  <c r="HP61" i="1"/>
  <c r="HN61" i="1"/>
  <c r="HL61" i="1"/>
  <c r="HJ61" i="1"/>
  <c r="HF61" i="1"/>
  <c r="GZ61" i="1"/>
  <c r="GX61" i="1"/>
  <c r="GX69" i="1" s="1"/>
  <c r="GU61" i="1"/>
  <c r="GS61" i="1"/>
  <c r="GQ61" i="1"/>
  <c r="GO61" i="1"/>
  <c r="GM61" i="1"/>
  <c r="GK61" i="1"/>
  <c r="GI61" i="1"/>
  <c r="GG61" i="1"/>
  <c r="GC61" i="1"/>
  <c r="FW61" i="1"/>
  <c r="FU61" i="1"/>
  <c r="FR61" i="1"/>
  <c r="FP61" i="1"/>
  <c r="FN61" i="1"/>
  <c r="FL61" i="1"/>
  <c r="FJ61" i="1"/>
  <c r="FH61" i="1"/>
  <c r="FF61" i="1"/>
  <c r="FD61" i="1"/>
  <c r="EZ61" i="1"/>
  <c r="ET61" i="1"/>
  <c r="ER61" i="1"/>
  <c r="EO61" i="1"/>
  <c r="EM61" i="1"/>
  <c r="EK61" i="1"/>
  <c r="EI61" i="1"/>
  <c r="EG61" i="1"/>
  <c r="EE61" i="1"/>
  <c r="EC61" i="1"/>
  <c r="EA61" i="1"/>
  <c r="DW61" i="1"/>
  <c r="DY61" i="1" s="1"/>
  <c r="DQ61" i="1"/>
  <c r="DO61" i="1"/>
  <c r="DO69" i="1" s="1"/>
  <c r="DL61" i="1"/>
  <c r="DJ61" i="1"/>
  <c r="DH61" i="1"/>
  <c r="DF61" i="1"/>
  <c r="DD61" i="1"/>
  <c r="DB61" i="1"/>
  <c r="CZ61" i="1"/>
  <c r="CX61" i="1"/>
  <c r="CT61" i="1"/>
  <c r="CV61" i="1" s="1"/>
  <c r="CN61" i="1"/>
  <c r="CL61" i="1"/>
  <c r="CI61" i="1"/>
  <c r="CG61" i="1"/>
  <c r="CE61" i="1"/>
  <c r="CC61" i="1"/>
  <c r="CA61" i="1"/>
  <c r="BY61" i="1"/>
  <c r="BW61" i="1"/>
  <c r="BU61" i="1"/>
  <c r="BS61" i="1"/>
  <c r="BQ61" i="1"/>
  <c r="BK61" i="1"/>
  <c r="BI61" i="1"/>
  <c r="BI69" i="1" s="1"/>
  <c r="BF61" i="1"/>
  <c r="BD61" i="1"/>
  <c r="BB61" i="1"/>
  <c r="AZ61" i="1"/>
  <c r="AX61" i="1"/>
  <c r="AV61" i="1"/>
  <c r="AT61" i="1"/>
  <c r="AR61" i="1"/>
  <c r="AP61" i="1"/>
  <c r="AN61" i="1"/>
  <c r="AH61" i="1"/>
  <c r="AF61" i="1"/>
  <c r="AC61" i="1"/>
  <c r="AA61" i="1"/>
  <c r="Y61" i="1"/>
  <c r="W61" i="1"/>
  <c r="U61" i="1"/>
  <c r="S61" i="1"/>
  <c r="Q61" i="1"/>
  <c r="O61" i="1"/>
  <c r="K61" i="1"/>
  <c r="M61" i="1" s="1"/>
  <c r="KI60" i="1"/>
  <c r="KF60" i="1"/>
  <c r="KF69" i="1" s="1"/>
  <c r="KD60" i="1"/>
  <c r="KD69" i="1" s="1"/>
  <c r="KB60" i="1"/>
  <c r="KB69" i="1" s="1"/>
  <c r="JZ60" i="1"/>
  <c r="JX60" i="1"/>
  <c r="JV60" i="1"/>
  <c r="JT60" i="1"/>
  <c r="JR60" i="1"/>
  <c r="JR69" i="1" s="1"/>
  <c r="JP60" i="1"/>
  <c r="JN60" i="1"/>
  <c r="JL60" i="1"/>
  <c r="JF60" i="1"/>
  <c r="JC60" i="1"/>
  <c r="JC69" i="1" s="1"/>
  <c r="JA60" i="1"/>
  <c r="JA69" i="1" s="1"/>
  <c r="IY60" i="1"/>
  <c r="IW60" i="1"/>
  <c r="IW69" i="1" s="1"/>
  <c r="IU60" i="1"/>
  <c r="IS60" i="1"/>
  <c r="IQ60" i="1"/>
  <c r="IO60" i="1"/>
  <c r="IM60" i="1"/>
  <c r="IM69" i="1" s="1"/>
  <c r="IK60" i="1"/>
  <c r="II60" i="1"/>
  <c r="IC60" i="1"/>
  <c r="HZ60" i="1"/>
  <c r="HZ69" i="1" s="1"/>
  <c r="HX60" i="1"/>
  <c r="HV60" i="1"/>
  <c r="HT60" i="1"/>
  <c r="HR60" i="1"/>
  <c r="HP60" i="1"/>
  <c r="HP69" i="1" s="1"/>
  <c r="HN60" i="1"/>
  <c r="HL60" i="1"/>
  <c r="HJ60" i="1"/>
  <c r="HJ69" i="1" s="1"/>
  <c r="HF60" i="1"/>
  <c r="GZ60" i="1"/>
  <c r="GW60" i="1"/>
  <c r="GW69" i="1" s="1"/>
  <c r="GU60" i="1"/>
  <c r="GU69" i="1" s="1"/>
  <c r="GS60" i="1"/>
  <c r="GQ60" i="1"/>
  <c r="GO60" i="1"/>
  <c r="GM60" i="1"/>
  <c r="GK60" i="1"/>
  <c r="GI60" i="1"/>
  <c r="GG60" i="1"/>
  <c r="GC60" i="1"/>
  <c r="FW60" i="1"/>
  <c r="FT60" i="1"/>
  <c r="FT69" i="1" s="1"/>
  <c r="FR60" i="1"/>
  <c r="FR69" i="1" s="1"/>
  <c r="FP60" i="1"/>
  <c r="FN60" i="1"/>
  <c r="FL60" i="1"/>
  <c r="FJ60" i="1"/>
  <c r="FH60" i="1"/>
  <c r="FH69" i="1" s="1"/>
  <c r="FF60" i="1"/>
  <c r="FD60" i="1"/>
  <c r="EZ60" i="1"/>
  <c r="ET60" i="1"/>
  <c r="ET69" i="1" s="1"/>
  <c r="EQ60" i="1"/>
  <c r="EQ69" i="1" s="1"/>
  <c r="EO60" i="1"/>
  <c r="EO69" i="1" s="1"/>
  <c r="EM60" i="1"/>
  <c r="EK60" i="1"/>
  <c r="EI60" i="1"/>
  <c r="EG60" i="1"/>
  <c r="EG69" i="1" s="1"/>
  <c r="EE60" i="1"/>
  <c r="EE69" i="1" s="1"/>
  <c r="EC60" i="1"/>
  <c r="EC69" i="1" s="1"/>
  <c r="EA60" i="1"/>
  <c r="DW60" i="1"/>
  <c r="DQ60" i="1"/>
  <c r="DN60" i="1"/>
  <c r="DN69" i="1" s="1"/>
  <c r="DL60" i="1"/>
  <c r="DJ60" i="1"/>
  <c r="DH60" i="1"/>
  <c r="DF60" i="1"/>
  <c r="DF69" i="1" s="1"/>
  <c r="DD60" i="1"/>
  <c r="DD69" i="1" s="1"/>
  <c r="DB60" i="1"/>
  <c r="CZ60" i="1"/>
  <c r="CX60" i="1"/>
  <c r="CT60" i="1"/>
  <c r="CN60" i="1"/>
  <c r="CK60" i="1"/>
  <c r="CK69" i="1" s="1"/>
  <c r="CI60" i="1"/>
  <c r="CG60" i="1"/>
  <c r="CG69" i="1" s="1"/>
  <c r="CE60" i="1"/>
  <c r="CC60" i="1"/>
  <c r="CA60" i="1"/>
  <c r="BY60" i="1"/>
  <c r="BW60" i="1"/>
  <c r="BU60" i="1"/>
  <c r="BS60" i="1"/>
  <c r="BQ60" i="1"/>
  <c r="BQ69" i="1" s="1"/>
  <c r="BK60" i="1"/>
  <c r="BK69" i="1" s="1"/>
  <c r="BH60" i="1"/>
  <c r="BH69" i="1" s="1"/>
  <c r="BF60" i="1"/>
  <c r="BD60" i="1"/>
  <c r="BB60" i="1"/>
  <c r="BB69" i="1" s="1"/>
  <c r="AZ60" i="1"/>
  <c r="AX60" i="1"/>
  <c r="AV60" i="1"/>
  <c r="AT60" i="1"/>
  <c r="AR60" i="1"/>
  <c r="AN60" i="1"/>
  <c r="AN69" i="1" s="1"/>
  <c r="AH60" i="1"/>
  <c r="AE60" i="1"/>
  <c r="AE69" i="1" s="1"/>
  <c r="AC60" i="1"/>
  <c r="AA60" i="1"/>
  <c r="Y60" i="1"/>
  <c r="W60" i="1"/>
  <c r="U60" i="1"/>
  <c r="S60" i="1"/>
  <c r="Q60" i="1"/>
  <c r="Q69" i="1" s="1"/>
  <c r="O60" i="1"/>
  <c r="O69" i="1" s="1"/>
  <c r="K60" i="1"/>
  <c r="K69" i="1" s="1"/>
  <c r="JJ59" i="1"/>
  <c r="JH59" i="1"/>
  <c r="K4" i="5" s="1"/>
  <c r="JE59" i="1"/>
  <c r="JC59" i="1"/>
  <c r="IG59" i="1"/>
  <c r="IE59" i="1"/>
  <c r="HD59" i="1"/>
  <c r="HB59" i="1"/>
  <c r="I4" i="5" s="1"/>
  <c r="GY59" i="1"/>
  <c r="GA59" i="1"/>
  <c r="FY59" i="1"/>
  <c r="EX59" i="1"/>
  <c r="G11" i="5" s="1"/>
  <c r="EV59" i="1"/>
  <c r="G4" i="5" s="1"/>
  <c r="DU59" i="1"/>
  <c r="DS59" i="1"/>
  <c r="F4" i="5" s="1"/>
  <c r="DF59" i="1"/>
  <c r="DF70" i="1" s="1"/>
  <c r="E19" i="5" s="1"/>
  <c r="CR59" i="1"/>
  <c r="CP59" i="1"/>
  <c r="CN59" i="1"/>
  <c r="BO59" i="1"/>
  <c r="BM59" i="1"/>
  <c r="AL59" i="1"/>
  <c r="AL70" i="1" s="1"/>
  <c r="AJ59" i="1"/>
  <c r="AJ70" i="1" s="1"/>
  <c r="I59" i="1"/>
  <c r="I70" i="1" s="1"/>
  <c r="G59" i="1"/>
  <c r="G70" i="1" s="1"/>
  <c r="E59" i="1"/>
  <c r="E70" i="1" s="1"/>
  <c r="KI58" i="1"/>
  <c r="KG58" i="1"/>
  <c r="KD58" i="1"/>
  <c r="KB58" i="1"/>
  <c r="JZ58" i="1"/>
  <c r="JX58" i="1"/>
  <c r="JV58" i="1"/>
  <c r="JT58" i="1"/>
  <c r="JR58" i="1"/>
  <c r="JP58" i="1"/>
  <c r="JL58" i="1"/>
  <c r="JF58" i="1"/>
  <c r="JD58" i="1"/>
  <c r="JA58" i="1"/>
  <c r="IY58" i="1"/>
  <c r="IW58" i="1"/>
  <c r="IU58" i="1"/>
  <c r="IS58" i="1"/>
  <c r="IQ58" i="1"/>
  <c r="IO58" i="1"/>
  <c r="IM58" i="1"/>
  <c r="II58" i="1"/>
  <c r="IK58" i="1" s="1"/>
  <c r="IC58" i="1"/>
  <c r="IA58" i="1"/>
  <c r="HX58" i="1"/>
  <c r="HV58" i="1"/>
  <c r="HT58" i="1"/>
  <c r="HR58" i="1"/>
  <c r="HP58" i="1"/>
  <c r="HN58" i="1"/>
  <c r="HL58" i="1"/>
  <c r="HJ58" i="1"/>
  <c r="HF58" i="1"/>
  <c r="GZ58" i="1"/>
  <c r="GX58" i="1"/>
  <c r="GU58" i="1"/>
  <c r="GS58" i="1"/>
  <c r="GQ58" i="1"/>
  <c r="GO58" i="1"/>
  <c r="GM58" i="1"/>
  <c r="GK58" i="1"/>
  <c r="GI58" i="1"/>
  <c r="GG58" i="1"/>
  <c r="GE58" i="1"/>
  <c r="GC58" i="1"/>
  <c r="FW58" i="1"/>
  <c r="FU58" i="1"/>
  <c r="FR58" i="1"/>
  <c r="FP58" i="1"/>
  <c r="FN58" i="1"/>
  <c r="FL58" i="1"/>
  <c r="FJ58" i="1"/>
  <c r="FH58" i="1"/>
  <c r="FF58" i="1"/>
  <c r="FD58" i="1"/>
  <c r="EZ58" i="1"/>
  <c r="FB58" i="1" s="1"/>
  <c r="ET58" i="1"/>
  <c r="ER58" i="1"/>
  <c r="EO58" i="1"/>
  <c r="EM58" i="1"/>
  <c r="EK58" i="1"/>
  <c r="EI58" i="1"/>
  <c r="EG58" i="1"/>
  <c r="EE58" i="1"/>
  <c r="EC58" i="1"/>
  <c r="EA58" i="1"/>
  <c r="DW58" i="1"/>
  <c r="DY58" i="1" s="1"/>
  <c r="DQ58" i="1"/>
  <c r="DO58" i="1"/>
  <c r="DL58" i="1"/>
  <c r="DJ58" i="1"/>
  <c r="DH58" i="1"/>
  <c r="DF58" i="1"/>
  <c r="DD58" i="1"/>
  <c r="DB58" i="1"/>
  <c r="CZ58" i="1"/>
  <c r="CX58" i="1"/>
  <c r="CT58" i="1"/>
  <c r="CV58" i="1" s="1"/>
  <c r="CN58" i="1"/>
  <c r="CL58" i="1"/>
  <c r="CI58" i="1"/>
  <c r="CG58" i="1"/>
  <c r="CE58" i="1"/>
  <c r="CC58" i="1"/>
  <c r="CA58" i="1"/>
  <c r="BY58" i="1"/>
  <c r="BW58" i="1"/>
  <c r="BU58" i="1"/>
  <c r="BS58" i="1"/>
  <c r="BQ58" i="1"/>
  <c r="BK58" i="1"/>
  <c r="BI58" i="1"/>
  <c r="BF58" i="1"/>
  <c r="BD58" i="1"/>
  <c r="BB58" i="1"/>
  <c r="AZ58" i="1"/>
  <c r="AX58" i="1"/>
  <c r="AV58" i="1"/>
  <c r="AT58" i="1"/>
  <c r="AR58" i="1"/>
  <c r="AP58" i="1"/>
  <c r="AN58" i="1"/>
  <c r="AH58" i="1"/>
  <c r="AF58" i="1"/>
  <c r="AC58" i="1"/>
  <c r="AA58" i="1"/>
  <c r="Y58" i="1"/>
  <c r="W58" i="1"/>
  <c r="U58" i="1"/>
  <c r="S58" i="1"/>
  <c r="Q58" i="1"/>
  <c r="O58" i="1"/>
  <c r="M58" i="1"/>
  <c r="K58" i="1"/>
  <c r="KI57" i="1"/>
  <c r="KG57" i="1"/>
  <c r="KD57" i="1"/>
  <c r="KB57" i="1"/>
  <c r="JZ57" i="1"/>
  <c r="JX57" i="1"/>
  <c r="JV57" i="1"/>
  <c r="JT57" i="1"/>
  <c r="JR57" i="1"/>
  <c r="JP57" i="1"/>
  <c r="JL57" i="1"/>
  <c r="JF57" i="1"/>
  <c r="JD57" i="1"/>
  <c r="JA57" i="1"/>
  <c r="IY57" i="1"/>
  <c r="IW57" i="1"/>
  <c r="IU57" i="1"/>
  <c r="IS57" i="1"/>
  <c r="IQ57" i="1"/>
  <c r="IO57" i="1"/>
  <c r="IM57" i="1"/>
  <c r="IK57" i="1"/>
  <c r="II57" i="1"/>
  <c r="IC57" i="1"/>
  <c r="IA57" i="1"/>
  <c r="HX57" i="1"/>
  <c r="HV57" i="1"/>
  <c r="HT57" i="1"/>
  <c r="HR57" i="1"/>
  <c r="HP57" i="1"/>
  <c r="HN57" i="1"/>
  <c r="HL57" i="1"/>
  <c r="HJ57" i="1"/>
  <c r="HF57" i="1"/>
  <c r="HH57" i="1" s="1"/>
  <c r="GZ57" i="1"/>
  <c r="GX57" i="1"/>
  <c r="GU57" i="1"/>
  <c r="GS57" i="1"/>
  <c r="GQ57" i="1"/>
  <c r="GO57" i="1"/>
  <c r="GM57" i="1"/>
  <c r="GK57" i="1"/>
  <c r="GI57" i="1"/>
  <c r="GG57" i="1"/>
  <c r="GE57" i="1"/>
  <c r="GC57" i="1"/>
  <c r="FW57" i="1"/>
  <c r="FU57" i="1"/>
  <c r="FR57" i="1"/>
  <c r="FP57" i="1"/>
  <c r="FN57" i="1"/>
  <c r="FL57" i="1"/>
  <c r="FJ57" i="1"/>
  <c r="FH57" i="1"/>
  <c r="FF57" i="1"/>
  <c r="FD57" i="1"/>
  <c r="EZ57" i="1"/>
  <c r="FB57" i="1" s="1"/>
  <c r="ET57" i="1"/>
  <c r="ER57" i="1"/>
  <c r="EO57" i="1"/>
  <c r="EM57" i="1"/>
  <c r="EK57" i="1"/>
  <c r="EI57" i="1"/>
  <c r="EG57" i="1"/>
  <c r="EE57" i="1"/>
  <c r="EC57" i="1"/>
  <c r="EA57" i="1"/>
  <c r="DW57" i="1"/>
  <c r="DY57" i="1" s="1"/>
  <c r="DQ57" i="1"/>
  <c r="DO57" i="1"/>
  <c r="DL57" i="1"/>
  <c r="DJ57" i="1"/>
  <c r="DH57" i="1"/>
  <c r="DF57" i="1"/>
  <c r="DD57" i="1"/>
  <c r="DB57" i="1"/>
  <c r="CZ57" i="1"/>
  <c r="CX57" i="1"/>
  <c r="CT57" i="1"/>
  <c r="CV57" i="1" s="1"/>
  <c r="CN57" i="1"/>
  <c r="CL57" i="1"/>
  <c r="CI57" i="1"/>
  <c r="CG57" i="1"/>
  <c r="CE57" i="1"/>
  <c r="CC57" i="1"/>
  <c r="CA57" i="1"/>
  <c r="BY57" i="1"/>
  <c r="BW57" i="1"/>
  <c r="BU57" i="1"/>
  <c r="BQ57" i="1"/>
  <c r="BS57" i="1" s="1"/>
  <c r="BK57" i="1"/>
  <c r="BI57" i="1"/>
  <c r="BF57" i="1"/>
  <c r="BD57" i="1"/>
  <c r="BB57" i="1"/>
  <c r="AZ57" i="1"/>
  <c r="AX57" i="1"/>
  <c r="AV57" i="1"/>
  <c r="AT57" i="1"/>
  <c r="AR57" i="1"/>
  <c r="AN57" i="1"/>
  <c r="AP57" i="1" s="1"/>
  <c r="AH57" i="1"/>
  <c r="AF57" i="1"/>
  <c r="AC57" i="1"/>
  <c r="AA57" i="1"/>
  <c r="Y57" i="1"/>
  <c r="W57" i="1"/>
  <c r="U57" i="1"/>
  <c r="S57" i="1"/>
  <c r="Q57" i="1"/>
  <c r="O57" i="1"/>
  <c r="K57" i="1"/>
  <c r="KI56" i="1"/>
  <c r="KF56" i="1"/>
  <c r="KD56" i="1"/>
  <c r="KB56" i="1"/>
  <c r="JZ56" i="1"/>
  <c r="JX56" i="1"/>
  <c r="JV56" i="1"/>
  <c r="JT56" i="1"/>
  <c r="JR56" i="1"/>
  <c r="JP56" i="1"/>
  <c r="JL56" i="1"/>
  <c r="JF56" i="1"/>
  <c r="JC56" i="1"/>
  <c r="JA56" i="1"/>
  <c r="IY56" i="1"/>
  <c r="IW56" i="1"/>
  <c r="IU56" i="1"/>
  <c r="IS56" i="1"/>
  <c r="IQ56" i="1"/>
  <c r="IO56" i="1"/>
  <c r="IM56" i="1"/>
  <c r="II56" i="1"/>
  <c r="IK56" i="1" s="1"/>
  <c r="IC56" i="1"/>
  <c r="HZ56" i="1"/>
  <c r="HZ59" i="1" s="1"/>
  <c r="HX56" i="1"/>
  <c r="HV56" i="1"/>
  <c r="HT56" i="1"/>
  <c r="HR56" i="1"/>
  <c r="HP56" i="1"/>
  <c r="HN56" i="1"/>
  <c r="HL56" i="1"/>
  <c r="HJ56" i="1"/>
  <c r="HH56" i="1"/>
  <c r="HF56" i="1"/>
  <c r="GZ56" i="1"/>
  <c r="GW56" i="1"/>
  <c r="GU56" i="1"/>
  <c r="GS56" i="1"/>
  <c r="GQ56" i="1"/>
  <c r="GO56" i="1"/>
  <c r="GM56" i="1"/>
  <c r="GK56" i="1"/>
  <c r="GI56" i="1"/>
  <c r="GG56" i="1"/>
  <c r="GE56" i="1"/>
  <c r="GC56" i="1"/>
  <c r="FW56" i="1"/>
  <c r="FT56" i="1"/>
  <c r="FT70" i="1" s="1"/>
  <c r="G24" i="5" s="1"/>
  <c r="FR56" i="1"/>
  <c r="FP56" i="1"/>
  <c r="FN56" i="1"/>
  <c r="FL56" i="1"/>
  <c r="FJ56" i="1"/>
  <c r="FH56" i="1"/>
  <c r="FF56" i="1"/>
  <c r="FD56" i="1"/>
  <c r="EZ56" i="1"/>
  <c r="ET56" i="1"/>
  <c r="EQ56" i="1"/>
  <c r="EO56" i="1"/>
  <c r="EM56" i="1"/>
  <c r="EK56" i="1"/>
  <c r="EI56" i="1"/>
  <c r="EG56" i="1"/>
  <c r="EE56" i="1"/>
  <c r="EC56" i="1"/>
  <c r="EA56" i="1"/>
  <c r="DW56" i="1"/>
  <c r="DY56" i="1" s="1"/>
  <c r="DQ56" i="1"/>
  <c r="DN56" i="1"/>
  <c r="DL56" i="1"/>
  <c r="DJ56" i="1"/>
  <c r="DH56" i="1"/>
  <c r="DF56" i="1"/>
  <c r="DD56" i="1"/>
  <c r="DB56" i="1"/>
  <c r="CZ56" i="1"/>
  <c r="CX56" i="1"/>
  <c r="CV56" i="1"/>
  <c r="CT56" i="1"/>
  <c r="CN56" i="1"/>
  <c r="CK56" i="1"/>
  <c r="CI56" i="1"/>
  <c r="CG56" i="1"/>
  <c r="CE56" i="1"/>
  <c r="CC56" i="1"/>
  <c r="CA56" i="1"/>
  <c r="BY56" i="1"/>
  <c r="BW56" i="1"/>
  <c r="BU56" i="1"/>
  <c r="BQ56" i="1"/>
  <c r="BK56" i="1"/>
  <c r="BH56" i="1"/>
  <c r="BF56" i="1"/>
  <c r="BD56" i="1"/>
  <c r="BB56" i="1"/>
  <c r="AZ56" i="1"/>
  <c r="AX56" i="1"/>
  <c r="AV56" i="1"/>
  <c r="AT56" i="1"/>
  <c r="AR56" i="1"/>
  <c r="AN56" i="1"/>
  <c r="AP56" i="1" s="1"/>
  <c r="AH56" i="1"/>
  <c r="AE56" i="1"/>
  <c r="AC56" i="1"/>
  <c r="AA56" i="1"/>
  <c r="Y56" i="1"/>
  <c r="W56" i="1"/>
  <c r="U56" i="1"/>
  <c r="S56" i="1"/>
  <c r="Q56" i="1"/>
  <c r="O56" i="1"/>
  <c r="K56" i="1"/>
  <c r="KI55" i="1"/>
  <c r="KG55" i="1"/>
  <c r="KD55" i="1"/>
  <c r="KB55" i="1"/>
  <c r="JZ55" i="1"/>
  <c r="JX55" i="1"/>
  <c r="JV55" i="1"/>
  <c r="JT55" i="1"/>
  <c r="JR55" i="1"/>
  <c r="JP55" i="1"/>
  <c r="JL55" i="1"/>
  <c r="JF55" i="1"/>
  <c r="JD55" i="1"/>
  <c r="JA55" i="1"/>
  <c r="IY55" i="1"/>
  <c r="IW55" i="1"/>
  <c r="IU55" i="1"/>
  <c r="IS55" i="1"/>
  <c r="IQ55" i="1"/>
  <c r="IO55" i="1"/>
  <c r="IM55" i="1"/>
  <c r="II55" i="1"/>
  <c r="IK55" i="1" s="1"/>
  <c r="IC55" i="1"/>
  <c r="IA55" i="1"/>
  <c r="HX55" i="1"/>
  <c r="HV55" i="1"/>
  <c r="HT55" i="1"/>
  <c r="HR55" i="1"/>
  <c r="HP55" i="1"/>
  <c r="HN55" i="1"/>
  <c r="HL55" i="1"/>
  <c r="HJ55" i="1"/>
  <c r="HH55" i="1"/>
  <c r="HF55" i="1"/>
  <c r="GZ55" i="1"/>
  <c r="GX55" i="1"/>
  <c r="GU55" i="1"/>
  <c r="GS55" i="1"/>
  <c r="GQ55" i="1"/>
  <c r="GO55" i="1"/>
  <c r="GM55" i="1"/>
  <c r="GK55" i="1"/>
  <c r="GI55" i="1"/>
  <c r="GG55" i="1"/>
  <c r="GE55" i="1"/>
  <c r="GC55" i="1"/>
  <c r="FW55" i="1"/>
  <c r="FU55" i="1"/>
  <c r="FR55" i="1"/>
  <c r="FP55" i="1"/>
  <c r="FN55" i="1"/>
  <c r="FL55" i="1"/>
  <c r="FJ55" i="1"/>
  <c r="FH55" i="1"/>
  <c r="FF55" i="1"/>
  <c r="FD55" i="1"/>
  <c r="FB55" i="1"/>
  <c r="EZ55" i="1"/>
  <c r="ET55" i="1"/>
  <c r="ER55" i="1"/>
  <c r="EO55" i="1"/>
  <c r="EM55" i="1"/>
  <c r="EK55" i="1"/>
  <c r="EI55" i="1"/>
  <c r="EG55" i="1"/>
  <c r="EE55" i="1"/>
  <c r="EC55" i="1"/>
  <c r="EA55" i="1"/>
  <c r="DY55" i="1"/>
  <c r="DW55" i="1"/>
  <c r="DQ55" i="1"/>
  <c r="DO55" i="1"/>
  <c r="DL55" i="1"/>
  <c r="DJ55" i="1"/>
  <c r="DH55" i="1"/>
  <c r="DF55" i="1"/>
  <c r="DD55" i="1"/>
  <c r="DB55" i="1"/>
  <c r="CZ55" i="1"/>
  <c r="CX55" i="1"/>
  <c r="CV55" i="1"/>
  <c r="CT55" i="1"/>
  <c r="CN55" i="1"/>
  <c r="CL55" i="1"/>
  <c r="CI55" i="1"/>
  <c r="CG55" i="1"/>
  <c r="CE55" i="1"/>
  <c r="CC55" i="1"/>
  <c r="CA55" i="1"/>
  <c r="BY55" i="1"/>
  <c r="BW55" i="1"/>
  <c r="BU55" i="1"/>
  <c r="BS55" i="1"/>
  <c r="BQ55" i="1"/>
  <c r="BK55" i="1"/>
  <c r="BI55" i="1"/>
  <c r="BF55" i="1"/>
  <c r="BD55" i="1"/>
  <c r="BB55" i="1"/>
  <c r="AZ55" i="1"/>
  <c r="AX55" i="1"/>
  <c r="AV55" i="1"/>
  <c r="AT55" i="1"/>
  <c r="AR55" i="1"/>
  <c r="AP55" i="1"/>
  <c r="AN55" i="1"/>
  <c r="AH55" i="1"/>
  <c r="AF55" i="1"/>
  <c r="AC55" i="1"/>
  <c r="AA55" i="1"/>
  <c r="Y55" i="1"/>
  <c r="W55" i="1"/>
  <c r="U55" i="1"/>
  <c r="S55" i="1"/>
  <c r="Q55" i="1"/>
  <c r="O55" i="1"/>
  <c r="K55" i="1"/>
  <c r="KI54" i="1"/>
  <c r="KG54" i="1"/>
  <c r="KD54" i="1"/>
  <c r="KB54" i="1"/>
  <c r="JZ54" i="1"/>
  <c r="JX54" i="1"/>
  <c r="JV54" i="1"/>
  <c r="JT54" i="1"/>
  <c r="JR54" i="1"/>
  <c r="JP54" i="1"/>
  <c r="JN54" i="1"/>
  <c r="JL54" i="1"/>
  <c r="JF54" i="1"/>
  <c r="JD54" i="1"/>
  <c r="JA54" i="1"/>
  <c r="IY54" i="1"/>
  <c r="IW54" i="1"/>
  <c r="IU54" i="1"/>
  <c r="IS54" i="1"/>
  <c r="IQ54" i="1"/>
  <c r="IO54" i="1"/>
  <c r="IM54" i="1"/>
  <c r="IK54" i="1"/>
  <c r="II54" i="1"/>
  <c r="IC54" i="1"/>
  <c r="IA54" i="1"/>
  <c r="HX54" i="1"/>
  <c r="HV54" i="1"/>
  <c r="HT54" i="1"/>
  <c r="HR54" i="1"/>
  <c r="HP54" i="1"/>
  <c r="HN54" i="1"/>
  <c r="HL54" i="1"/>
  <c r="HJ54" i="1"/>
  <c r="HH54" i="1"/>
  <c r="HF54" i="1"/>
  <c r="GZ54" i="1"/>
  <c r="GX54" i="1"/>
  <c r="GU54" i="1"/>
  <c r="GS54" i="1"/>
  <c r="GQ54" i="1"/>
  <c r="GO54" i="1"/>
  <c r="GM54" i="1"/>
  <c r="GK54" i="1"/>
  <c r="GI54" i="1"/>
  <c r="GG54" i="1"/>
  <c r="GH54" i="1" s="1"/>
  <c r="GE54" i="1"/>
  <c r="GC54" i="1"/>
  <c r="FW54" i="1"/>
  <c r="FU54" i="1"/>
  <c r="FR54" i="1"/>
  <c r="FP54" i="1"/>
  <c r="FN54" i="1"/>
  <c r="FL54" i="1"/>
  <c r="FJ54" i="1"/>
  <c r="FH54" i="1"/>
  <c r="FF54" i="1"/>
  <c r="FD54" i="1"/>
  <c r="EZ54" i="1"/>
  <c r="FB54" i="1" s="1"/>
  <c r="ET54" i="1"/>
  <c r="ER54" i="1"/>
  <c r="EO54" i="1"/>
  <c r="EM54" i="1"/>
  <c r="EK54" i="1"/>
  <c r="EI54" i="1"/>
  <c r="EG54" i="1"/>
  <c r="EE54" i="1"/>
  <c r="EC54" i="1"/>
  <c r="EA54" i="1"/>
  <c r="DY54" i="1"/>
  <c r="DW54" i="1"/>
  <c r="DQ54" i="1"/>
  <c r="DO54" i="1"/>
  <c r="DL54" i="1"/>
  <c r="DJ54" i="1"/>
  <c r="DH54" i="1"/>
  <c r="DF54" i="1"/>
  <c r="DD54" i="1"/>
  <c r="DB54" i="1"/>
  <c r="CZ54" i="1"/>
  <c r="CX54" i="1"/>
  <c r="CT54" i="1"/>
  <c r="CV54" i="1" s="1"/>
  <c r="CN54" i="1"/>
  <c r="CL54" i="1"/>
  <c r="CI54" i="1"/>
  <c r="CG54" i="1"/>
  <c r="CE54" i="1"/>
  <c r="CC54" i="1"/>
  <c r="CA54" i="1"/>
  <c r="BY54" i="1"/>
  <c r="BW54" i="1"/>
  <c r="BU54" i="1"/>
  <c r="BQ54" i="1"/>
  <c r="BK54" i="1"/>
  <c r="BI54" i="1"/>
  <c r="BF54" i="1"/>
  <c r="BD54" i="1"/>
  <c r="BB54" i="1"/>
  <c r="AZ54" i="1"/>
  <c r="AX54" i="1"/>
  <c r="AV54" i="1"/>
  <c r="AT54" i="1"/>
  <c r="AR54" i="1"/>
  <c r="AN54" i="1"/>
  <c r="AH54" i="1"/>
  <c r="AF54" i="1"/>
  <c r="AC54" i="1"/>
  <c r="AA54" i="1"/>
  <c r="Y54" i="1"/>
  <c r="W54" i="1"/>
  <c r="U54" i="1"/>
  <c r="S54" i="1"/>
  <c r="Q54" i="1"/>
  <c r="O54" i="1"/>
  <c r="M54" i="1"/>
  <c r="K54" i="1"/>
  <c r="KI53" i="1"/>
  <c r="KG53" i="1"/>
  <c r="KD53" i="1"/>
  <c r="KB53" i="1"/>
  <c r="JZ53" i="1"/>
  <c r="JX53" i="1"/>
  <c r="JV53" i="1"/>
  <c r="JT53" i="1"/>
  <c r="JR53" i="1"/>
  <c r="JP53" i="1"/>
  <c r="JL53" i="1"/>
  <c r="JF53" i="1"/>
  <c r="JD53" i="1"/>
  <c r="JA53" i="1"/>
  <c r="IY53" i="1"/>
  <c r="IW53" i="1"/>
  <c r="IU53" i="1"/>
  <c r="IS53" i="1"/>
  <c r="IQ53" i="1"/>
  <c r="IO53" i="1"/>
  <c r="IM53" i="1"/>
  <c r="II53" i="1"/>
  <c r="IK53" i="1" s="1"/>
  <c r="IC53" i="1"/>
  <c r="IA53" i="1"/>
  <c r="HX53" i="1"/>
  <c r="HV53" i="1"/>
  <c r="HT53" i="1"/>
  <c r="HR53" i="1"/>
  <c r="HP53" i="1"/>
  <c r="HN53" i="1"/>
  <c r="HL53" i="1"/>
  <c r="HJ53" i="1"/>
  <c r="HH53" i="1"/>
  <c r="HF53" i="1"/>
  <c r="GZ53" i="1"/>
  <c r="GX53" i="1"/>
  <c r="GU53" i="1"/>
  <c r="GS53" i="1"/>
  <c r="GQ53" i="1"/>
  <c r="GO53" i="1"/>
  <c r="GM53" i="1"/>
  <c r="GK53" i="1"/>
  <c r="GI53" i="1"/>
  <c r="GG53" i="1"/>
  <c r="GE53" i="1"/>
  <c r="GC53" i="1"/>
  <c r="FW53" i="1"/>
  <c r="FU53" i="1"/>
  <c r="FR53" i="1"/>
  <c r="FP53" i="1"/>
  <c r="FN53" i="1"/>
  <c r="FL53" i="1"/>
  <c r="FJ53" i="1"/>
  <c r="FH53" i="1"/>
  <c r="FF53" i="1"/>
  <c r="FD53" i="1"/>
  <c r="FB53" i="1"/>
  <c r="EZ53" i="1"/>
  <c r="ET53" i="1"/>
  <c r="ER53" i="1"/>
  <c r="EO53" i="1"/>
  <c r="EM53" i="1"/>
  <c r="EK53" i="1"/>
  <c r="EI53" i="1"/>
  <c r="EG53" i="1"/>
  <c r="EE53" i="1"/>
  <c r="EC53" i="1"/>
  <c r="EA53" i="1"/>
  <c r="DW53" i="1"/>
  <c r="DQ53" i="1"/>
  <c r="DO53" i="1"/>
  <c r="DL53" i="1"/>
  <c r="DJ53" i="1"/>
  <c r="DH53" i="1"/>
  <c r="DF53" i="1"/>
  <c r="DD53" i="1"/>
  <c r="DB53" i="1"/>
  <c r="CZ53" i="1"/>
  <c r="CY53" i="1"/>
  <c r="CY54" i="1" s="1"/>
  <c r="CY55" i="1" s="1"/>
  <c r="CY56" i="1" s="1"/>
  <c r="CX53" i="1"/>
  <c r="CV53" i="1"/>
  <c r="CT53" i="1"/>
  <c r="CN53" i="1"/>
  <c r="CL53" i="1"/>
  <c r="CI53" i="1"/>
  <c r="CG53" i="1"/>
  <c r="CE53" i="1"/>
  <c r="CC53" i="1"/>
  <c r="CA53" i="1"/>
  <c r="BY53" i="1"/>
  <c r="BW53" i="1"/>
  <c r="BU53" i="1"/>
  <c r="BS53" i="1"/>
  <c r="BQ53" i="1"/>
  <c r="BK53" i="1"/>
  <c r="BI53" i="1"/>
  <c r="BF53" i="1"/>
  <c r="BD53" i="1"/>
  <c r="BB53" i="1"/>
  <c r="AZ53" i="1"/>
  <c r="AX53" i="1"/>
  <c r="AV53" i="1"/>
  <c r="AT53" i="1"/>
  <c r="AR53" i="1"/>
  <c r="AN53" i="1"/>
  <c r="AH53" i="1"/>
  <c r="AF53" i="1"/>
  <c r="AC53" i="1"/>
  <c r="AA53" i="1"/>
  <c r="Y53" i="1"/>
  <c r="W53" i="1"/>
  <c r="U53" i="1"/>
  <c r="S53" i="1"/>
  <c r="Q53" i="1"/>
  <c r="O53" i="1"/>
  <c r="K53" i="1"/>
  <c r="M53" i="1" s="1"/>
  <c r="KI52" i="1"/>
  <c r="KH52" i="1"/>
  <c r="KD52" i="1"/>
  <c r="KB52" i="1"/>
  <c r="JZ52" i="1"/>
  <c r="JX52" i="1"/>
  <c r="JV52" i="1"/>
  <c r="JT52" i="1"/>
  <c r="JR52" i="1"/>
  <c r="JP52" i="1"/>
  <c r="JN52" i="1"/>
  <c r="JL52" i="1"/>
  <c r="JF52" i="1"/>
  <c r="JE52" i="1"/>
  <c r="JA52" i="1"/>
  <c r="IY52" i="1"/>
  <c r="IZ52" i="1" s="1"/>
  <c r="IZ53" i="1" s="1"/>
  <c r="IW52" i="1"/>
  <c r="IU52" i="1"/>
  <c r="IS52" i="1"/>
  <c r="IQ52" i="1"/>
  <c r="IO52" i="1"/>
  <c r="IM52" i="1"/>
  <c r="II52" i="1"/>
  <c r="IC52" i="1"/>
  <c r="IB52" i="1"/>
  <c r="HX52" i="1"/>
  <c r="HV52" i="1"/>
  <c r="HT52" i="1"/>
  <c r="HR52" i="1"/>
  <c r="HP52" i="1"/>
  <c r="HN52" i="1"/>
  <c r="HL52" i="1"/>
  <c r="HJ52" i="1"/>
  <c r="HF52" i="1"/>
  <c r="HH52" i="1" s="1"/>
  <c r="GZ52" i="1"/>
  <c r="GY52" i="1"/>
  <c r="GU52" i="1"/>
  <c r="GS52" i="1"/>
  <c r="GQ52" i="1"/>
  <c r="GO52" i="1"/>
  <c r="GM52" i="1"/>
  <c r="GK52" i="1"/>
  <c r="GI52" i="1"/>
  <c r="GI59" i="1" s="1"/>
  <c r="GG52" i="1"/>
  <c r="GH52" i="1" s="1"/>
  <c r="GH53" i="1" s="1"/>
  <c r="GE52" i="1"/>
  <c r="GC52" i="1"/>
  <c r="FW52" i="1"/>
  <c r="FV52" i="1"/>
  <c r="FR52" i="1"/>
  <c r="FP52" i="1"/>
  <c r="FN52" i="1"/>
  <c r="FM52" i="1"/>
  <c r="FL52" i="1"/>
  <c r="FJ52" i="1"/>
  <c r="FH52" i="1"/>
  <c r="FF52" i="1"/>
  <c r="FD52" i="1"/>
  <c r="FB52" i="1"/>
  <c r="EZ52" i="1"/>
  <c r="ET52" i="1"/>
  <c r="ES52" i="1"/>
  <c r="EO52" i="1"/>
  <c r="EM52" i="1"/>
  <c r="EN52" i="1" s="1"/>
  <c r="EK52" i="1"/>
  <c r="EI52" i="1"/>
  <c r="EG52" i="1"/>
  <c r="EE52" i="1"/>
  <c r="EC52" i="1"/>
  <c r="ED52" i="1" s="1"/>
  <c r="ED53" i="1" s="1"/>
  <c r="EA52" i="1"/>
  <c r="DY52" i="1"/>
  <c r="DW52" i="1"/>
  <c r="DQ52" i="1"/>
  <c r="DP52" i="1"/>
  <c r="DL52" i="1"/>
  <c r="DJ52" i="1"/>
  <c r="DH52" i="1"/>
  <c r="DF52" i="1"/>
  <c r="DD52" i="1"/>
  <c r="DB52" i="1"/>
  <c r="CZ52" i="1"/>
  <c r="CX52" i="1"/>
  <c r="CT52" i="1"/>
  <c r="CN52" i="1"/>
  <c r="CM52" i="1"/>
  <c r="CI52" i="1"/>
  <c r="CG52" i="1"/>
  <c r="CE52" i="1"/>
  <c r="CC52" i="1"/>
  <c r="CA52" i="1"/>
  <c r="BY52" i="1"/>
  <c r="BW52" i="1"/>
  <c r="BU52" i="1"/>
  <c r="BS52" i="1"/>
  <c r="BQ52" i="1"/>
  <c r="BK52" i="1"/>
  <c r="BJ52" i="1"/>
  <c r="BF52" i="1"/>
  <c r="BD52" i="1"/>
  <c r="BB52" i="1"/>
  <c r="AZ52" i="1"/>
  <c r="AX52" i="1"/>
  <c r="AV52" i="1"/>
  <c r="AT52" i="1"/>
  <c r="AR52" i="1"/>
  <c r="AP52" i="1"/>
  <c r="AN52" i="1"/>
  <c r="AH52" i="1"/>
  <c r="AG52" i="1"/>
  <c r="AC52" i="1"/>
  <c r="AA52" i="1"/>
  <c r="Y52" i="1"/>
  <c r="W52" i="1"/>
  <c r="U52" i="1"/>
  <c r="S52" i="1"/>
  <c r="Q52" i="1"/>
  <c r="O52" i="1"/>
  <c r="K52" i="1"/>
  <c r="KI51" i="1"/>
  <c r="KH51" i="1"/>
  <c r="KD51" i="1"/>
  <c r="KB51" i="1"/>
  <c r="JZ51" i="1"/>
  <c r="JX51" i="1"/>
  <c r="JV51" i="1"/>
  <c r="JT51" i="1"/>
  <c r="JR51" i="1"/>
  <c r="JS51" i="1" s="1"/>
  <c r="JP51" i="1"/>
  <c r="JL51" i="1"/>
  <c r="JN51" i="1" s="1"/>
  <c r="JF51" i="1"/>
  <c r="JE51" i="1"/>
  <c r="JA51" i="1"/>
  <c r="IY51" i="1"/>
  <c r="IZ51" i="1" s="1"/>
  <c r="IW51" i="1"/>
  <c r="IU51" i="1"/>
  <c r="IS51" i="1"/>
  <c r="IR51" i="1"/>
  <c r="IQ51" i="1"/>
  <c r="IO51" i="1"/>
  <c r="IM51" i="1"/>
  <c r="IK51" i="1"/>
  <c r="II51" i="1"/>
  <c r="IC51" i="1"/>
  <c r="IB51" i="1"/>
  <c r="HX51" i="1"/>
  <c r="HV51" i="1"/>
  <c r="HT51" i="1"/>
  <c r="HR51" i="1"/>
  <c r="HS51" i="1" s="1"/>
  <c r="HP51" i="1"/>
  <c r="HN51" i="1"/>
  <c r="HL51" i="1"/>
  <c r="HJ51" i="1"/>
  <c r="HF51" i="1"/>
  <c r="GZ51" i="1"/>
  <c r="GY51" i="1"/>
  <c r="GY70" i="1" s="1"/>
  <c r="H26" i="5" s="1"/>
  <c r="GU51" i="1"/>
  <c r="GS51" i="1"/>
  <c r="GT51" i="1" s="1"/>
  <c r="GT52" i="1" s="1"/>
  <c r="GT53" i="1" s="1"/>
  <c r="GQ51" i="1"/>
  <c r="GO51" i="1"/>
  <c r="GM51" i="1"/>
  <c r="GK51" i="1"/>
  <c r="GI51" i="1"/>
  <c r="GJ51" i="1" s="1"/>
  <c r="GH51" i="1"/>
  <c r="GG51" i="1"/>
  <c r="GC51" i="1"/>
  <c r="FW51" i="1"/>
  <c r="FV51" i="1"/>
  <c r="FR51" i="1"/>
  <c r="FP51" i="1"/>
  <c r="FN51" i="1"/>
  <c r="FM51" i="1"/>
  <c r="FL51" i="1"/>
  <c r="FJ51" i="1"/>
  <c r="FK51" i="1" s="1"/>
  <c r="FH51" i="1"/>
  <c r="FF51" i="1"/>
  <c r="FD51" i="1"/>
  <c r="EZ51" i="1"/>
  <c r="FB51" i="1" s="1"/>
  <c r="ET51" i="1"/>
  <c r="ES51" i="1"/>
  <c r="EO51" i="1"/>
  <c r="EN51" i="1"/>
  <c r="EM51" i="1"/>
  <c r="EK51" i="1"/>
  <c r="EI51" i="1"/>
  <c r="EG51" i="1"/>
  <c r="EE51" i="1"/>
  <c r="EF51" i="1" s="1"/>
  <c r="ED51" i="1"/>
  <c r="EC51" i="1"/>
  <c r="EA51" i="1"/>
  <c r="DY51" i="1"/>
  <c r="DW51" i="1"/>
  <c r="DQ51" i="1"/>
  <c r="DP51" i="1"/>
  <c r="DL51" i="1"/>
  <c r="DJ51" i="1"/>
  <c r="DH51" i="1"/>
  <c r="DF51" i="1"/>
  <c r="DG51" i="1" s="1"/>
  <c r="DD51" i="1"/>
  <c r="DB51" i="1"/>
  <c r="CZ51" i="1"/>
  <c r="CX51" i="1"/>
  <c r="CY51" i="1" s="1"/>
  <c r="CY52" i="1" s="1"/>
  <c r="CV51" i="1"/>
  <c r="CT51" i="1"/>
  <c r="CN51" i="1"/>
  <c r="CM51" i="1"/>
  <c r="CI51" i="1"/>
  <c r="CG51" i="1"/>
  <c r="CE51" i="1"/>
  <c r="CC51" i="1"/>
  <c r="CA51" i="1"/>
  <c r="CB51" i="1" s="1"/>
  <c r="BY51" i="1"/>
  <c r="BW51" i="1"/>
  <c r="BU51" i="1"/>
  <c r="BQ51" i="1"/>
  <c r="BK51" i="1"/>
  <c r="BJ51" i="1"/>
  <c r="BF51" i="1"/>
  <c r="BD51" i="1"/>
  <c r="BB51" i="1"/>
  <c r="AZ51" i="1"/>
  <c r="AX51" i="1"/>
  <c r="AV51" i="1"/>
  <c r="AT51" i="1"/>
  <c r="AR51" i="1"/>
  <c r="AP51" i="1"/>
  <c r="AN51" i="1"/>
  <c r="AH51" i="1"/>
  <c r="AG51" i="1"/>
  <c r="AC51" i="1"/>
  <c r="AA51" i="1"/>
  <c r="Y51" i="1"/>
  <c r="W51" i="1"/>
  <c r="X51" i="1" s="1"/>
  <c r="U51" i="1"/>
  <c r="S51" i="1"/>
  <c r="Q51" i="1"/>
  <c r="O51" i="1"/>
  <c r="M51" i="1"/>
  <c r="K51" i="1"/>
  <c r="KI50" i="1"/>
  <c r="KG50" i="1"/>
  <c r="KD50" i="1"/>
  <c r="KB50" i="1"/>
  <c r="JZ50" i="1"/>
  <c r="JY50" i="1"/>
  <c r="JY51" i="1" s="1"/>
  <c r="JY52" i="1" s="1"/>
  <c r="JX50" i="1"/>
  <c r="JW50" i="1"/>
  <c r="JV50" i="1"/>
  <c r="JU50" i="1"/>
  <c r="JT50" i="1"/>
  <c r="JS50" i="1"/>
  <c r="JR50" i="1"/>
  <c r="JP50" i="1"/>
  <c r="JN50" i="1"/>
  <c r="JL50" i="1"/>
  <c r="JF50" i="1"/>
  <c r="JD50" i="1"/>
  <c r="JA50" i="1"/>
  <c r="IZ50" i="1"/>
  <c r="IY50" i="1"/>
  <c r="IW50" i="1"/>
  <c r="IV50" i="1"/>
  <c r="IV51" i="1" s="1"/>
  <c r="IU50" i="1"/>
  <c r="IS50" i="1"/>
  <c r="IR50" i="1"/>
  <c r="IQ50" i="1"/>
  <c r="IO50" i="1"/>
  <c r="IN50" i="1"/>
  <c r="IM50" i="1"/>
  <c r="IK50" i="1"/>
  <c r="II50" i="1"/>
  <c r="II59" i="1" s="1"/>
  <c r="IC50" i="1"/>
  <c r="IA50" i="1"/>
  <c r="HX50" i="1"/>
  <c r="HV50" i="1"/>
  <c r="HT50" i="1"/>
  <c r="HT59" i="1" s="1"/>
  <c r="HS50" i="1"/>
  <c r="HR50" i="1"/>
  <c r="HP50" i="1"/>
  <c r="HO50" i="1"/>
  <c r="HN50" i="1"/>
  <c r="HL50" i="1"/>
  <c r="HJ50" i="1"/>
  <c r="HH50" i="1"/>
  <c r="HF50" i="1"/>
  <c r="HF59" i="1" s="1"/>
  <c r="GZ50" i="1"/>
  <c r="GX50" i="1"/>
  <c r="GU50" i="1"/>
  <c r="GT50" i="1"/>
  <c r="GS50" i="1"/>
  <c r="GQ50" i="1"/>
  <c r="GO50" i="1"/>
  <c r="GM50" i="1"/>
  <c r="GK50" i="1"/>
  <c r="GL50" i="1" s="1"/>
  <c r="GJ50" i="1"/>
  <c r="GI50" i="1"/>
  <c r="GH50" i="1"/>
  <c r="GG50" i="1"/>
  <c r="GC50" i="1"/>
  <c r="FW50" i="1"/>
  <c r="FU50" i="1"/>
  <c r="FR50" i="1"/>
  <c r="FQ50" i="1"/>
  <c r="FP50" i="1"/>
  <c r="FN50" i="1"/>
  <c r="FM50" i="1"/>
  <c r="FL50" i="1"/>
  <c r="FK50" i="1"/>
  <c r="FJ50" i="1"/>
  <c r="FH50" i="1"/>
  <c r="FF50" i="1"/>
  <c r="FD50" i="1"/>
  <c r="EZ50" i="1"/>
  <c r="FB50" i="1" s="1"/>
  <c r="ET50" i="1"/>
  <c r="ER50" i="1"/>
  <c r="EO50" i="1"/>
  <c r="EN50" i="1"/>
  <c r="EM50" i="1"/>
  <c r="EK50" i="1"/>
  <c r="EJ50" i="1"/>
  <c r="EJ51" i="1" s="1"/>
  <c r="EI50" i="1"/>
  <c r="EG50" i="1"/>
  <c r="EH50" i="1" s="1"/>
  <c r="EF50" i="1"/>
  <c r="EE50" i="1"/>
  <c r="ED50" i="1"/>
  <c r="EC50" i="1"/>
  <c r="EA50" i="1"/>
  <c r="DW50" i="1"/>
  <c r="DQ50" i="1"/>
  <c r="DO50" i="1"/>
  <c r="DL50" i="1"/>
  <c r="DK50" i="1"/>
  <c r="DJ50" i="1"/>
  <c r="DH50" i="1"/>
  <c r="DG50" i="1"/>
  <c r="DF50" i="1"/>
  <c r="DD50" i="1"/>
  <c r="DE50" i="1" s="1"/>
  <c r="DE51" i="1" s="1"/>
  <c r="DB50" i="1"/>
  <c r="CZ50" i="1"/>
  <c r="CY50" i="1"/>
  <c r="CX50" i="1"/>
  <c r="CV50" i="1"/>
  <c r="CT50" i="1"/>
  <c r="CN50" i="1"/>
  <c r="CL50" i="1"/>
  <c r="CI50" i="1"/>
  <c r="CI59" i="1" s="1"/>
  <c r="CG50" i="1"/>
  <c r="CE50" i="1"/>
  <c r="CC50" i="1"/>
  <c r="CB50" i="1"/>
  <c r="CA50" i="1"/>
  <c r="BY50" i="1"/>
  <c r="BW50" i="1"/>
  <c r="BU50" i="1"/>
  <c r="BS50" i="1"/>
  <c r="BQ50" i="1"/>
  <c r="BK50" i="1"/>
  <c r="BK59" i="1" s="1"/>
  <c r="BK70" i="1" s="1"/>
  <c r="BI50" i="1"/>
  <c r="BF50" i="1"/>
  <c r="BD50" i="1"/>
  <c r="BB50" i="1"/>
  <c r="BB59" i="1" s="1"/>
  <c r="BB70" i="1" s="1"/>
  <c r="AZ50" i="1"/>
  <c r="AX50" i="1"/>
  <c r="AV50" i="1"/>
  <c r="AV59" i="1" s="1"/>
  <c r="AU50" i="1"/>
  <c r="AT50" i="1"/>
  <c r="AR50" i="1"/>
  <c r="AR59" i="1" s="1"/>
  <c r="AN50" i="1"/>
  <c r="AH50" i="1"/>
  <c r="AF50" i="1"/>
  <c r="AC50" i="1"/>
  <c r="AB50" i="1"/>
  <c r="AB51" i="1" s="1"/>
  <c r="AA50" i="1"/>
  <c r="Y50" i="1"/>
  <c r="X50" i="1"/>
  <c r="W50" i="1"/>
  <c r="U50" i="1"/>
  <c r="S50" i="1"/>
  <c r="Q50" i="1"/>
  <c r="O50" i="1"/>
  <c r="M50" i="1"/>
  <c r="K50" i="1"/>
  <c r="FN46" i="1"/>
  <c r="G20" i="3" s="1"/>
  <c r="BO46" i="1"/>
  <c r="D10" i="3" s="1"/>
  <c r="D23" i="3" s="1"/>
  <c r="G46" i="1"/>
  <c r="B3" i="3" s="1"/>
  <c r="B6" i="3" s="1"/>
  <c r="KH45" i="1"/>
  <c r="JZ45" i="1"/>
  <c r="JJ45" i="1"/>
  <c r="JH45" i="1"/>
  <c r="IG45" i="1"/>
  <c r="IE45" i="1"/>
  <c r="HV45" i="1"/>
  <c r="HD45" i="1"/>
  <c r="I12" i="3" s="1"/>
  <c r="HB45" i="1"/>
  <c r="I5" i="3" s="1"/>
  <c r="GY45" i="1"/>
  <c r="GA45" i="1"/>
  <c r="H12" i="3" s="1"/>
  <c r="FY45" i="1"/>
  <c r="H5" i="3" s="1"/>
  <c r="FD45" i="1"/>
  <c r="EX45" i="1"/>
  <c r="G12" i="3" s="1"/>
  <c r="EV45" i="1"/>
  <c r="G5" i="3" s="1"/>
  <c r="DU45" i="1"/>
  <c r="F12" i="3" s="1"/>
  <c r="DS45" i="1"/>
  <c r="F5" i="3" s="1"/>
  <c r="DO45" i="1"/>
  <c r="CR45" i="1"/>
  <c r="E12" i="3" s="1"/>
  <c r="CP45" i="1"/>
  <c r="E5" i="3" s="1"/>
  <c r="BO45" i="1"/>
  <c r="D12" i="3" s="1"/>
  <c r="BM45" i="1"/>
  <c r="D5" i="3" s="1"/>
  <c r="BJ45" i="1"/>
  <c r="AX45" i="1"/>
  <c r="AL45" i="1"/>
  <c r="C12" i="3" s="1"/>
  <c r="AJ45" i="1"/>
  <c r="C5" i="3" s="1"/>
  <c r="I45" i="1"/>
  <c r="B12" i="3" s="1"/>
  <c r="G45" i="1"/>
  <c r="B5" i="3" s="1"/>
  <c r="E45" i="1"/>
  <c r="KI44" i="1"/>
  <c r="KH44" i="1"/>
  <c r="KD44" i="1"/>
  <c r="KB44" i="1"/>
  <c r="JZ44" i="1"/>
  <c r="JX44" i="1"/>
  <c r="JV44" i="1"/>
  <c r="JT44" i="1"/>
  <c r="JR44" i="1"/>
  <c r="JP44" i="1"/>
  <c r="JL44" i="1"/>
  <c r="JN44" i="1" s="1"/>
  <c r="JF44" i="1"/>
  <c r="JE44" i="1"/>
  <c r="JA44" i="1"/>
  <c r="IY44" i="1"/>
  <c r="IW44" i="1"/>
  <c r="IU44" i="1"/>
  <c r="IS44" i="1"/>
  <c r="IQ44" i="1"/>
  <c r="IO44" i="1"/>
  <c r="IM44" i="1"/>
  <c r="II44" i="1"/>
  <c r="IK44" i="1" s="1"/>
  <c r="IC44" i="1"/>
  <c r="IB44" i="1"/>
  <c r="HX44" i="1"/>
  <c r="HV44" i="1"/>
  <c r="HT44" i="1"/>
  <c r="HR44" i="1"/>
  <c r="HP44" i="1"/>
  <c r="HN44" i="1"/>
  <c r="HL44" i="1"/>
  <c r="HJ44" i="1"/>
  <c r="HF44" i="1"/>
  <c r="HH44" i="1" s="1"/>
  <c r="GZ44" i="1"/>
  <c r="GY44" i="1"/>
  <c r="GU44" i="1"/>
  <c r="GS44" i="1"/>
  <c r="GQ44" i="1"/>
  <c r="GO44" i="1"/>
  <c r="GM44" i="1"/>
  <c r="GK44" i="1"/>
  <c r="GI44" i="1"/>
  <c r="GG44" i="1"/>
  <c r="GC44" i="1"/>
  <c r="GE44" i="1" s="1"/>
  <c r="FW44" i="1"/>
  <c r="FV44" i="1"/>
  <c r="FR44" i="1"/>
  <c r="FP44" i="1"/>
  <c r="FN44" i="1"/>
  <c r="FL44" i="1"/>
  <c r="FJ44" i="1"/>
  <c r="FH44" i="1"/>
  <c r="FF44" i="1"/>
  <c r="FD44" i="1"/>
  <c r="FB44" i="1"/>
  <c r="EZ44" i="1"/>
  <c r="ET44" i="1"/>
  <c r="ES44" i="1"/>
  <c r="EO44" i="1"/>
  <c r="EM44" i="1"/>
  <c r="EK44" i="1"/>
  <c r="EI44" i="1"/>
  <c r="EG44" i="1"/>
  <c r="EE44" i="1"/>
  <c r="EC44" i="1"/>
  <c r="EA44" i="1"/>
  <c r="DY44" i="1"/>
  <c r="DW44" i="1"/>
  <c r="DQ44" i="1"/>
  <c r="DP44" i="1"/>
  <c r="DP45" i="1" s="1"/>
  <c r="DL44" i="1"/>
  <c r="DJ44" i="1"/>
  <c r="DH44" i="1"/>
  <c r="DF44" i="1"/>
  <c r="DD44" i="1"/>
  <c r="DB44" i="1"/>
  <c r="CZ44" i="1"/>
  <c r="CX44" i="1"/>
  <c r="CT44" i="1"/>
  <c r="CV44" i="1" s="1"/>
  <c r="CN44" i="1"/>
  <c r="CM44" i="1"/>
  <c r="CI44" i="1"/>
  <c r="CG44" i="1"/>
  <c r="CE44" i="1"/>
  <c r="CC44" i="1"/>
  <c r="CA44" i="1"/>
  <c r="BY44" i="1"/>
  <c r="BW44" i="1"/>
  <c r="BU44" i="1"/>
  <c r="BS44" i="1"/>
  <c r="BQ44" i="1"/>
  <c r="BK44" i="1"/>
  <c r="BJ44" i="1"/>
  <c r="BF44" i="1"/>
  <c r="BD44" i="1"/>
  <c r="BB44" i="1"/>
  <c r="AZ44" i="1"/>
  <c r="AX44" i="1"/>
  <c r="AV44" i="1"/>
  <c r="AT44" i="1"/>
  <c r="AR44" i="1"/>
  <c r="AP44" i="1"/>
  <c r="AN44" i="1"/>
  <c r="AH44" i="1"/>
  <c r="AG44" i="1"/>
  <c r="AC44" i="1"/>
  <c r="AA44" i="1"/>
  <c r="Y44" i="1"/>
  <c r="W44" i="1"/>
  <c r="U44" i="1"/>
  <c r="S44" i="1"/>
  <c r="Q44" i="1"/>
  <c r="O44" i="1"/>
  <c r="M44" i="1"/>
  <c r="K44" i="1"/>
  <c r="KI43" i="1"/>
  <c r="KF43" i="1"/>
  <c r="KD43" i="1"/>
  <c r="KB43" i="1"/>
  <c r="JZ43" i="1"/>
  <c r="JX43" i="1"/>
  <c r="JV43" i="1"/>
  <c r="JT43" i="1"/>
  <c r="JR43" i="1"/>
  <c r="JP43" i="1"/>
  <c r="JL43" i="1"/>
  <c r="JN43" i="1" s="1"/>
  <c r="JF43" i="1"/>
  <c r="JC43" i="1"/>
  <c r="JA43" i="1"/>
  <c r="IY43" i="1"/>
  <c r="IW43" i="1"/>
  <c r="IU43" i="1"/>
  <c r="IS43" i="1"/>
  <c r="IQ43" i="1"/>
  <c r="IO43" i="1"/>
  <c r="IM43" i="1"/>
  <c r="II43" i="1"/>
  <c r="IK43" i="1" s="1"/>
  <c r="IC43" i="1"/>
  <c r="HZ43" i="1"/>
  <c r="HX43" i="1"/>
  <c r="HV43" i="1"/>
  <c r="HT43" i="1"/>
  <c r="HR43" i="1"/>
  <c r="HP43" i="1"/>
  <c r="HN43" i="1"/>
  <c r="HL43" i="1"/>
  <c r="HJ43" i="1"/>
  <c r="HF43" i="1"/>
  <c r="HH43" i="1" s="1"/>
  <c r="GZ43" i="1"/>
  <c r="GW43" i="1"/>
  <c r="GU43" i="1"/>
  <c r="GS43" i="1"/>
  <c r="GQ43" i="1"/>
  <c r="GO43" i="1"/>
  <c r="GM43" i="1"/>
  <c r="GK43" i="1"/>
  <c r="GI43" i="1"/>
  <c r="GG43" i="1"/>
  <c r="GC43" i="1"/>
  <c r="GE43" i="1" s="1"/>
  <c r="FW43" i="1"/>
  <c r="FT43" i="1"/>
  <c r="FR43" i="1"/>
  <c r="FP43" i="1"/>
  <c r="FN43" i="1"/>
  <c r="FL43" i="1"/>
  <c r="FJ43" i="1"/>
  <c r="FH43" i="1"/>
  <c r="FF43" i="1"/>
  <c r="FD43" i="1"/>
  <c r="FB43" i="1"/>
  <c r="EZ43" i="1"/>
  <c r="ET43" i="1"/>
  <c r="EQ43" i="1"/>
  <c r="EO43" i="1"/>
  <c r="EM43" i="1"/>
  <c r="EK43" i="1"/>
  <c r="EI43" i="1"/>
  <c r="EG43" i="1"/>
  <c r="EE43" i="1"/>
  <c r="EC43" i="1"/>
  <c r="EA43" i="1"/>
  <c r="DY43" i="1"/>
  <c r="DW43" i="1"/>
  <c r="DQ43" i="1"/>
  <c r="DN43" i="1"/>
  <c r="DN46" i="1" s="1"/>
  <c r="E24" i="3" s="1"/>
  <c r="DL43" i="1"/>
  <c r="DJ43" i="1"/>
  <c r="DH43" i="1"/>
  <c r="DF43" i="1"/>
  <c r="DD43" i="1"/>
  <c r="DB43" i="1"/>
  <c r="CZ43" i="1"/>
  <c r="CX43" i="1"/>
  <c r="CT43" i="1"/>
  <c r="CV43" i="1" s="1"/>
  <c r="CN43" i="1"/>
  <c r="CK43" i="1"/>
  <c r="CI43" i="1"/>
  <c r="CG43" i="1"/>
  <c r="CE43" i="1"/>
  <c r="CC43" i="1"/>
  <c r="CA43" i="1"/>
  <c r="BY43" i="1"/>
  <c r="BW43" i="1"/>
  <c r="BU43" i="1"/>
  <c r="BS43" i="1"/>
  <c r="BQ43" i="1"/>
  <c r="BK43" i="1"/>
  <c r="BH43" i="1"/>
  <c r="BF43" i="1"/>
  <c r="BD43" i="1"/>
  <c r="BB43" i="1"/>
  <c r="AZ43" i="1"/>
  <c r="AX43" i="1"/>
  <c r="AV43" i="1"/>
  <c r="AT43" i="1"/>
  <c r="AR43" i="1"/>
  <c r="AP43" i="1"/>
  <c r="AN43" i="1"/>
  <c r="AH43" i="1"/>
  <c r="AE43" i="1"/>
  <c r="AC43" i="1"/>
  <c r="AA43" i="1"/>
  <c r="Y43" i="1"/>
  <c r="W43" i="1"/>
  <c r="U43" i="1"/>
  <c r="S43" i="1"/>
  <c r="Q43" i="1"/>
  <c r="O43" i="1"/>
  <c r="M43" i="1"/>
  <c r="K43" i="1"/>
  <c r="KI42" i="1"/>
  <c r="KG42" i="1"/>
  <c r="KD42" i="1"/>
  <c r="KB42" i="1"/>
  <c r="JZ42" i="1"/>
  <c r="JX42" i="1"/>
  <c r="JV42" i="1"/>
  <c r="JT42" i="1"/>
  <c r="JR42" i="1"/>
  <c r="JP42" i="1"/>
  <c r="JL42" i="1"/>
  <c r="JN42" i="1" s="1"/>
  <c r="JF42" i="1"/>
  <c r="JD42" i="1"/>
  <c r="JA42" i="1"/>
  <c r="IY42" i="1"/>
  <c r="IW42" i="1"/>
  <c r="IU42" i="1"/>
  <c r="IS42" i="1"/>
  <c r="IQ42" i="1"/>
  <c r="IO42" i="1"/>
  <c r="IM42" i="1"/>
  <c r="II42" i="1"/>
  <c r="IC42" i="1"/>
  <c r="IA42" i="1"/>
  <c r="HX42" i="1"/>
  <c r="HV42" i="1"/>
  <c r="HT42" i="1"/>
  <c r="HR42" i="1"/>
  <c r="HP42" i="1"/>
  <c r="HN42" i="1"/>
  <c r="HL42" i="1"/>
  <c r="HJ42" i="1"/>
  <c r="HF42" i="1"/>
  <c r="HH42" i="1" s="1"/>
  <c r="GZ42" i="1"/>
  <c r="GX42" i="1"/>
  <c r="GU42" i="1"/>
  <c r="GS42" i="1"/>
  <c r="GQ42" i="1"/>
  <c r="GO42" i="1"/>
  <c r="GM42" i="1"/>
  <c r="GK42" i="1"/>
  <c r="GI42" i="1"/>
  <c r="GG42" i="1"/>
  <c r="GC42" i="1"/>
  <c r="GE42" i="1" s="1"/>
  <c r="FW42" i="1"/>
  <c r="FU42" i="1"/>
  <c r="FR42" i="1"/>
  <c r="FP42" i="1"/>
  <c r="FN42" i="1"/>
  <c r="FL42" i="1"/>
  <c r="FJ42" i="1"/>
  <c r="FH42" i="1"/>
  <c r="FF42" i="1"/>
  <c r="FD42" i="1"/>
  <c r="FB42" i="1"/>
  <c r="EZ42" i="1"/>
  <c r="ET42" i="1"/>
  <c r="ER42" i="1"/>
  <c r="EO42" i="1"/>
  <c r="EM42" i="1"/>
  <c r="EK42" i="1"/>
  <c r="EI42" i="1"/>
  <c r="EG42" i="1"/>
  <c r="EE42" i="1"/>
  <c r="EC42" i="1"/>
  <c r="EA42" i="1"/>
  <c r="DW42" i="1"/>
  <c r="DQ42" i="1"/>
  <c r="DO42" i="1"/>
  <c r="DL42" i="1"/>
  <c r="DJ42" i="1"/>
  <c r="DH42" i="1"/>
  <c r="DF42" i="1"/>
  <c r="DD42" i="1"/>
  <c r="DB42" i="1"/>
  <c r="CZ42" i="1"/>
  <c r="CX42" i="1"/>
  <c r="CT42" i="1"/>
  <c r="CV42" i="1" s="1"/>
  <c r="CN42" i="1"/>
  <c r="CL42" i="1"/>
  <c r="CI42" i="1"/>
  <c r="CG42" i="1"/>
  <c r="CE42" i="1"/>
  <c r="CC42" i="1"/>
  <c r="CA42" i="1"/>
  <c r="BY42" i="1"/>
  <c r="BW42" i="1"/>
  <c r="BU42" i="1"/>
  <c r="BQ42" i="1"/>
  <c r="BK42" i="1"/>
  <c r="BI42" i="1"/>
  <c r="BF42" i="1"/>
  <c r="BD42" i="1"/>
  <c r="BB42" i="1"/>
  <c r="AZ42" i="1"/>
  <c r="AX42" i="1"/>
  <c r="AV42" i="1"/>
  <c r="AT42" i="1"/>
  <c r="AR42" i="1"/>
  <c r="AN42" i="1"/>
  <c r="AP42" i="1" s="1"/>
  <c r="AH42" i="1"/>
  <c r="AF42" i="1"/>
  <c r="AC42" i="1"/>
  <c r="AA42" i="1"/>
  <c r="Y42" i="1"/>
  <c r="W42" i="1"/>
  <c r="U42" i="1"/>
  <c r="S42" i="1"/>
  <c r="Q42" i="1"/>
  <c r="O42" i="1"/>
  <c r="M42" i="1"/>
  <c r="K42" i="1"/>
  <c r="KI41" i="1"/>
  <c r="KF41" i="1"/>
  <c r="KD41" i="1"/>
  <c r="KB41" i="1"/>
  <c r="JZ41" i="1"/>
  <c r="JX41" i="1"/>
  <c r="JV41" i="1"/>
  <c r="JT41" i="1"/>
  <c r="JR41" i="1"/>
  <c r="JP41" i="1"/>
  <c r="JL41" i="1"/>
  <c r="JN41" i="1" s="1"/>
  <c r="JF41" i="1"/>
  <c r="JC41" i="1"/>
  <c r="JA41" i="1"/>
  <c r="IY41" i="1"/>
  <c r="IW41" i="1"/>
  <c r="IU41" i="1"/>
  <c r="IS41" i="1"/>
  <c r="IQ41" i="1"/>
  <c r="IO41" i="1"/>
  <c r="IM41" i="1"/>
  <c r="IK41" i="1"/>
  <c r="II41" i="1"/>
  <c r="IC41" i="1"/>
  <c r="HZ41" i="1"/>
  <c r="HX41" i="1"/>
  <c r="HV41" i="1"/>
  <c r="HT41" i="1"/>
  <c r="HR41" i="1"/>
  <c r="HP41" i="1"/>
  <c r="HN41" i="1"/>
  <c r="HL41" i="1"/>
  <c r="HJ41" i="1"/>
  <c r="HF41" i="1"/>
  <c r="HH41" i="1" s="1"/>
  <c r="GZ41" i="1"/>
  <c r="GW41" i="1"/>
  <c r="GU41" i="1"/>
  <c r="GS41" i="1"/>
  <c r="GQ41" i="1"/>
  <c r="GO41" i="1"/>
  <c r="GM41" i="1"/>
  <c r="GK41" i="1"/>
  <c r="GI41" i="1"/>
  <c r="GG41" i="1"/>
  <c r="GE41" i="1"/>
  <c r="GC41" i="1"/>
  <c r="FW41" i="1"/>
  <c r="FT41" i="1"/>
  <c r="FR41" i="1"/>
  <c r="FP41" i="1"/>
  <c r="FN41" i="1"/>
  <c r="FL41" i="1"/>
  <c r="FJ41" i="1"/>
  <c r="FH41" i="1"/>
  <c r="FF41" i="1"/>
  <c r="FD41" i="1"/>
  <c r="FB41" i="1"/>
  <c r="EZ41" i="1"/>
  <c r="ET41" i="1"/>
  <c r="EQ41" i="1"/>
  <c r="EO41" i="1"/>
  <c r="EM41" i="1"/>
  <c r="EK41" i="1"/>
  <c r="EI41" i="1"/>
  <c r="EG41" i="1"/>
  <c r="EE41" i="1"/>
  <c r="EC41" i="1"/>
  <c r="EA41" i="1"/>
  <c r="DW41" i="1"/>
  <c r="DQ41" i="1"/>
  <c r="DN41" i="1"/>
  <c r="DL41" i="1"/>
  <c r="DJ41" i="1"/>
  <c r="DH41" i="1"/>
  <c r="DF41" i="1"/>
  <c r="DD41" i="1"/>
  <c r="DB41" i="1"/>
  <c r="CZ41" i="1"/>
  <c r="CX41" i="1"/>
  <c r="CT41" i="1"/>
  <c r="CS41" i="1"/>
  <c r="CS42" i="1" s="1"/>
  <c r="CS43" i="1" s="1"/>
  <c r="CS44" i="1" s="1"/>
  <c r="CS50" i="1" s="1"/>
  <c r="CS51" i="1" s="1"/>
  <c r="CS52" i="1" s="1"/>
  <c r="CS53" i="1" s="1"/>
  <c r="CS54" i="1" s="1"/>
  <c r="CS55" i="1" s="1"/>
  <c r="CS56" i="1" s="1"/>
  <c r="CS57" i="1" s="1"/>
  <c r="CS58" i="1" s="1"/>
  <c r="CS60" i="1" s="1"/>
  <c r="CS61" i="1" s="1"/>
  <c r="CS62" i="1" s="1"/>
  <c r="CS63" i="1" s="1"/>
  <c r="CS64" i="1" s="1"/>
  <c r="CS65" i="1" s="1"/>
  <c r="CS66" i="1" s="1"/>
  <c r="CS67" i="1" s="1"/>
  <c r="CS68" i="1" s="1"/>
  <c r="CS74" i="1" s="1"/>
  <c r="CS75" i="1" s="1"/>
  <c r="CS76" i="1" s="1"/>
  <c r="CS77" i="1" s="1"/>
  <c r="CS78" i="1" s="1"/>
  <c r="CS79" i="1" s="1"/>
  <c r="CS80" i="1" s="1"/>
  <c r="CS81" i="1" s="1"/>
  <c r="CS82" i="1" s="1"/>
  <c r="CS84" i="1" s="1"/>
  <c r="CS85" i="1" s="1"/>
  <c r="CS86" i="1" s="1"/>
  <c r="CS87" i="1" s="1"/>
  <c r="CS88" i="1" s="1"/>
  <c r="CS89" i="1" s="1"/>
  <c r="CS90" i="1" s="1"/>
  <c r="CS91" i="1" s="1"/>
  <c r="CS92" i="1" s="1"/>
  <c r="CN41" i="1"/>
  <c r="CK41" i="1"/>
  <c r="CI41" i="1"/>
  <c r="CG41" i="1"/>
  <c r="CE41" i="1"/>
  <c r="CC41" i="1"/>
  <c r="CA41" i="1"/>
  <c r="BY41" i="1"/>
  <c r="BW41" i="1"/>
  <c r="BU41" i="1"/>
  <c r="BS41" i="1"/>
  <c r="BQ41" i="1"/>
  <c r="BK41" i="1"/>
  <c r="BH41" i="1"/>
  <c r="BF41" i="1"/>
  <c r="BD41" i="1"/>
  <c r="BB41" i="1"/>
  <c r="AZ41" i="1"/>
  <c r="AX41" i="1"/>
  <c r="AV41" i="1"/>
  <c r="AT41" i="1"/>
  <c r="AR41" i="1"/>
  <c r="AP41" i="1"/>
  <c r="AN41" i="1"/>
  <c r="AH41" i="1"/>
  <c r="AE41" i="1"/>
  <c r="AC41" i="1"/>
  <c r="AA41" i="1"/>
  <c r="Y41" i="1"/>
  <c r="W41" i="1"/>
  <c r="U41" i="1"/>
  <c r="S41" i="1"/>
  <c r="Q41" i="1"/>
  <c r="O41" i="1"/>
  <c r="M41" i="1"/>
  <c r="K41" i="1"/>
  <c r="KI40" i="1"/>
  <c r="KG40" i="1"/>
  <c r="KD40" i="1"/>
  <c r="KB40" i="1"/>
  <c r="JZ40" i="1"/>
  <c r="JX40" i="1"/>
  <c r="JV40" i="1"/>
  <c r="JT40" i="1"/>
  <c r="JR40" i="1"/>
  <c r="JP40" i="1"/>
  <c r="JL40" i="1"/>
  <c r="JN40" i="1" s="1"/>
  <c r="JF40" i="1"/>
  <c r="JD40" i="1"/>
  <c r="JA40" i="1"/>
  <c r="IY40" i="1"/>
  <c r="IW40" i="1"/>
  <c r="IU40" i="1"/>
  <c r="IS40" i="1"/>
  <c r="IQ40" i="1"/>
  <c r="IO40" i="1"/>
  <c r="IM40" i="1"/>
  <c r="II40" i="1"/>
  <c r="IC40" i="1"/>
  <c r="IA40" i="1"/>
  <c r="HX40" i="1"/>
  <c r="HV40" i="1"/>
  <c r="HT40" i="1"/>
  <c r="HR40" i="1"/>
  <c r="HP40" i="1"/>
  <c r="HN40" i="1"/>
  <c r="HL40" i="1"/>
  <c r="HJ40" i="1"/>
  <c r="HF40" i="1"/>
  <c r="HH40" i="1" s="1"/>
  <c r="GZ40" i="1"/>
  <c r="GX40" i="1"/>
  <c r="GU40" i="1"/>
  <c r="GS40" i="1"/>
  <c r="GQ40" i="1"/>
  <c r="GO40" i="1"/>
  <c r="GM40" i="1"/>
  <c r="GK40" i="1"/>
  <c r="GI40" i="1"/>
  <c r="GG40" i="1"/>
  <c r="GE40" i="1"/>
  <c r="GC40" i="1"/>
  <c r="FW40" i="1"/>
  <c r="FU40" i="1"/>
  <c r="FR40" i="1"/>
  <c r="FP40" i="1"/>
  <c r="FN40" i="1"/>
  <c r="FL40" i="1"/>
  <c r="FJ40" i="1"/>
  <c r="FH40" i="1"/>
  <c r="FF40" i="1"/>
  <c r="FD40" i="1"/>
  <c r="FB40" i="1"/>
  <c r="EZ40" i="1"/>
  <c r="ET40" i="1"/>
  <c r="ER40" i="1"/>
  <c r="EO40" i="1"/>
  <c r="EM40" i="1"/>
  <c r="EK40" i="1"/>
  <c r="EI40" i="1"/>
  <c r="EG40" i="1"/>
  <c r="EE40" i="1"/>
  <c r="EC40" i="1"/>
  <c r="EA40" i="1"/>
  <c r="DW40" i="1"/>
  <c r="DQ40" i="1"/>
  <c r="DO40" i="1"/>
  <c r="DL40" i="1"/>
  <c r="DJ40" i="1"/>
  <c r="DH40" i="1"/>
  <c r="DF40" i="1"/>
  <c r="DD40" i="1"/>
  <c r="DB40" i="1"/>
  <c r="CZ40" i="1"/>
  <c r="CX40" i="1"/>
  <c r="CT40" i="1"/>
  <c r="CV40" i="1" s="1"/>
  <c r="CN40" i="1"/>
  <c r="CL40" i="1"/>
  <c r="CI40" i="1"/>
  <c r="CG40" i="1"/>
  <c r="CE40" i="1"/>
  <c r="CC40" i="1"/>
  <c r="CA40" i="1"/>
  <c r="BY40" i="1"/>
  <c r="BW40" i="1"/>
  <c r="BU40" i="1"/>
  <c r="BQ40" i="1"/>
  <c r="BK40" i="1"/>
  <c r="BI40" i="1"/>
  <c r="BF40" i="1"/>
  <c r="BD40" i="1"/>
  <c r="BB40" i="1"/>
  <c r="AZ40" i="1"/>
  <c r="AX40" i="1"/>
  <c r="AV40" i="1"/>
  <c r="AT40" i="1"/>
  <c r="AR40" i="1"/>
  <c r="AN40" i="1"/>
  <c r="AH40" i="1"/>
  <c r="AF40" i="1"/>
  <c r="AC40" i="1"/>
  <c r="AA40" i="1"/>
  <c r="Y40" i="1"/>
  <c r="W40" i="1"/>
  <c r="U40" i="1"/>
  <c r="S40" i="1"/>
  <c r="Q40" i="1"/>
  <c r="O40" i="1"/>
  <c r="K40" i="1"/>
  <c r="KI39" i="1"/>
  <c r="KH39" i="1"/>
  <c r="KD39" i="1"/>
  <c r="KB39" i="1"/>
  <c r="JZ39" i="1"/>
  <c r="JX39" i="1"/>
  <c r="JV39" i="1"/>
  <c r="JT39" i="1"/>
  <c r="JR39" i="1"/>
  <c r="JP39" i="1"/>
  <c r="JL39" i="1"/>
  <c r="JN39" i="1" s="1"/>
  <c r="JF39" i="1"/>
  <c r="JE39" i="1"/>
  <c r="JE45" i="1" s="1"/>
  <c r="JA39" i="1"/>
  <c r="IY39" i="1"/>
  <c r="IW39" i="1"/>
  <c r="IU39" i="1"/>
  <c r="IS39" i="1"/>
  <c r="IQ39" i="1"/>
  <c r="IO39" i="1"/>
  <c r="IM39" i="1"/>
  <c r="IK39" i="1"/>
  <c r="II39" i="1"/>
  <c r="IC39" i="1"/>
  <c r="IB39" i="1"/>
  <c r="IB45" i="1" s="1"/>
  <c r="HX39" i="1"/>
  <c r="HV39" i="1"/>
  <c r="HT39" i="1"/>
  <c r="HR39" i="1"/>
  <c r="HP39" i="1"/>
  <c r="HN39" i="1"/>
  <c r="HL39" i="1"/>
  <c r="HJ39" i="1"/>
  <c r="HF39" i="1"/>
  <c r="GZ39" i="1"/>
  <c r="GY39" i="1"/>
  <c r="GU39" i="1"/>
  <c r="GS39" i="1"/>
  <c r="GQ39" i="1"/>
  <c r="GO39" i="1"/>
  <c r="GM39" i="1"/>
  <c r="GK39" i="1"/>
  <c r="GI39" i="1"/>
  <c r="GG39" i="1"/>
  <c r="GC39" i="1"/>
  <c r="GE39" i="1" s="1"/>
  <c r="FW39" i="1"/>
  <c r="FV39" i="1"/>
  <c r="FV45" i="1" s="1"/>
  <c r="FR39" i="1"/>
  <c r="FP39" i="1"/>
  <c r="FN39" i="1"/>
  <c r="FL39" i="1"/>
  <c r="FJ39" i="1"/>
  <c r="FH39" i="1"/>
  <c r="FF39" i="1"/>
  <c r="FD39" i="1"/>
  <c r="EZ39" i="1"/>
  <c r="ET39" i="1"/>
  <c r="ES39" i="1"/>
  <c r="ES45" i="1" s="1"/>
  <c r="EO39" i="1"/>
  <c r="EM39" i="1"/>
  <c r="EK39" i="1"/>
  <c r="EI39" i="1"/>
  <c r="EG39" i="1"/>
  <c r="EE39" i="1"/>
  <c r="EC39" i="1"/>
  <c r="EA39" i="1"/>
  <c r="DW39" i="1"/>
  <c r="DQ39" i="1"/>
  <c r="DP39" i="1"/>
  <c r="DL39" i="1"/>
  <c r="DJ39" i="1"/>
  <c r="DH39" i="1"/>
  <c r="DF39" i="1"/>
  <c r="DD39" i="1"/>
  <c r="DB39" i="1"/>
  <c r="CZ39" i="1"/>
  <c r="CX39" i="1"/>
  <c r="CT39" i="1"/>
  <c r="CN39" i="1"/>
  <c r="CM39" i="1"/>
  <c r="CM45" i="1" s="1"/>
  <c r="CI39" i="1"/>
  <c r="CG39" i="1"/>
  <c r="CE39" i="1"/>
  <c r="CC39" i="1"/>
  <c r="CA39" i="1"/>
  <c r="BY39" i="1"/>
  <c r="BW39" i="1"/>
  <c r="BU39" i="1"/>
  <c r="BS39" i="1"/>
  <c r="BQ39" i="1"/>
  <c r="BK39" i="1"/>
  <c r="BJ39" i="1"/>
  <c r="BF39" i="1"/>
  <c r="BD39" i="1"/>
  <c r="BB39" i="1"/>
  <c r="AZ39" i="1"/>
  <c r="AX39" i="1"/>
  <c r="AV39" i="1"/>
  <c r="AT39" i="1"/>
  <c r="AR39" i="1"/>
  <c r="AP39" i="1"/>
  <c r="AN39" i="1"/>
  <c r="AH39" i="1"/>
  <c r="AG39" i="1"/>
  <c r="AC39" i="1"/>
  <c r="AA39" i="1"/>
  <c r="Y39" i="1"/>
  <c r="W39" i="1"/>
  <c r="U39" i="1"/>
  <c r="S39" i="1"/>
  <c r="Q39" i="1"/>
  <c r="O39" i="1"/>
  <c r="M39" i="1"/>
  <c r="K39" i="1"/>
  <c r="KI38" i="1"/>
  <c r="KG38" i="1"/>
  <c r="KD38" i="1"/>
  <c r="KB38" i="1"/>
  <c r="JZ38" i="1"/>
  <c r="JX38" i="1"/>
  <c r="JV38" i="1"/>
  <c r="JT38" i="1"/>
  <c r="JR38" i="1"/>
  <c r="JP38" i="1"/>
  <c r="JL38" i="1"/>
  <c r="JN38" i="1" s="1"/>
  <c r="JF38" i="1"/>
  <c r="JD38" i="1"/>
  <c r="JA38" i="1"/>
  <c r="IY38" i="1"/>
  <c r="IW38" i="1"/>
  <c r="IU38" i="1"/>
  <c r="IS38" i="1"/>
  <c r="IQ38" i="1"/>
  <c r="IO38" i="1"/>
  <c r="IM38" i="1"/>
  <c r="IK38" i="1"/>
  <c r="II38" i="1"/>
  <c r="IC38" i="1"/>
  <c r="IA38" i="1"/>
  <c r="HX38" i="1"/>
  <c r="HV38" i="1"/>
  <c r="HT38" i="1"/>
  <c r="HR38" i="1"/>
  <c r="HP38" i="1"/>
  <c r="HN38" i="1"/>
  <c r="HL38" i="1"/>
  <c r="HJ38" i="1"/>
  <c r="HH38" i="1"/>
  <c r="HF38" i="1"/>
  <c r="GZ38" i="1"/>
  <c r="GX38" i="1"/>
  <c r="GU38" i="1"/>
  <c r="GS38" i="1"/>
  <c r="GQ38" i="1"/>
  <c r="GO38" i="1"/>
  <c r="GM38" i="1"/>
  <c r="GK38" i="1"/>
  <c r="GI38" i="1"/>
  <c r="GG38" i="1"/>
  <c r="GE38" i="1"/>
  <c r="GC38" i="1"/>
  <c r="FW38" i="1"/>
  <c r="FU38" i="1"/>
  <c r="FR38" i="1"/>
  <c r="FP38" i="1"/>
  <c r="FN38" i="1"/>
  <c r="FL38" i="1"/>
  <c r="FJ38" i="1"/>
  <c r="FH38" i="1"/>
  <c r="FF38" i="1"/>
  <c r="FD38" i="1"/>
  <c r="FB38" i="1"/>
  <c r="EZ38" i="1"/>
  <c r="ET38" i="1"/>
  <c r="ER38" i="1"/>
  <c r="EO38" i="1"/>
  <c r="EM38" i="1"/>
  <c r="EK38" i="1"/>
  <c r="EI38" i="1"/>
  <c r="EG38" i="1"/>
  <c r="EE38" i="1"/>
  <c r="EC38" i="1"/>
  <c r="EA38" i="1"/>
  <c r="DY38" i="1"/>
  <c r="DW38" i="1"/>
  <c r="DQ38" i="1"/>
  <c r="DO38" i="1"/>
  <c r="DL38" i="1"/>
  <c r="DJ38" i="1"/>
  <c r="DH38" i="1"/>
  <c r="DF38" i="1"/>
  <c r="DD38" i="1"/>
  <c r="DB38" i="1"/>
  <c r="CZ38" i="1"/>
  <c r="CX38" i="1"/>
  <c r="CV38" i="1"/>
  <c r="CT38" i="1"/>
  <c r="CN38" i="1"/>
  <c r="CL38" i="1"/>
  <c r="CI38" i="1"/>
  <c r="CG38" i="1"/>
  <c r="CE38" i="1"/>
  <c r="CC38" i="1"/>
  <c r="CA38" i="1"/>
  <c r="BY38" i="1"/>
  <c r="BW38" i="1"/>
  <c r="BU38" i="1"/>
  <c r="BS38" i="1"/>
  <c r="BQ38" i="1"/>
  <c r="BK38" i="1"/>
  <c r="BI38" i="1"/>
  <c r="BF38" i="1"/>
  <c r="BD38" i="1"/>
  <c r="BB38" i="1"/>
  <c r="AZ38" i="1"/>
  <c r="AX38" i="1"/>
  <c r="AV38" i="1"/>
  <c r="AT38" i="1"/>
  <c r="AR38" i="1"/>
  <c r="AP38" i="1"/>
  <c r="AN38" i="1"/>
  <c r="AH38" i="1"/>
  <c r="AF38" i="1"/>
  <c r="AC38" i="1"/>
  <c r="AA38" i="1"/>
  <c r="Y38" i="1"/>
  <c r="W38" i="1"/>
  <c r="U38" i="1"/>
  <c r="S38" i="1"/>
  <c r="Q38" i="1"/>
  <c r="O38" i="1"/>
  <c r="M38" i="1"/>
  <c r="K38" i="1"/>
  <c r="KI37" i="1"/>
  <c r="KG37" i="1"/>
  <c r="KD37" i="1"/>
  <c r="KB37" i="1"/>
  <c r="JZ37" i="1"/>
  <c r="JX37" i="1"/>
  <c r="JV37" i="1"/>
  <c r="JT37" i="1"/>
  <c r="JR37" i="1"/>
  <c r="JP37" i="1"/>
  <c r="JL37" i="1"/>
  <c r="JN37" i="1" s="1"/>
  <c r="JF37" i="1"/>
  <c r="JD37" i="1"/>
  <c r="JA37" i="1"/>
  <c r="IY37" i="1"/>
  <c r="IW37" i="1"/>
  <c r="IU37" i="1"/>
  <c r="IS37" i="1"/>
  <c r="IQ37" i="1"/>
  <c r="IO37" i="1"/>
  <c r="IM37" i="1"/>
  <c r="IK37" i="1"/>
  <c r="II37" i="1"/>
  <c r="IC37" i="1"/>
  <c r="IA37" i="1"/>
  <c r="IA45" i="1" s="1"/>
  <c r="HX37" i="1"/>
  <c r="HV37" i="1"/>
  <c r="HT37" i="1"/>
  <c r="HR37" i="1"/>
  <c r="HP37" i="1"/>
  <c r="HN37" i="1"/>
  <c r="HL37" i="1"/>
  <c r="HJ37" i="1"/>
  <c r="HH37" i="1"/>
  <c r="HF37" i="1"/>
  <c r="GZ37" i="1"/>
  <c r="GX37" i="1"/>
  <c r="GU37" i="1"/>
  <c r="GS37" i="1"/>
  <c r="GQ37" i="1"/>
  <c r="GO37" i="1"/>
  <c r="GM37" i="1"/>
  <c r="GK37" i="1"/>
  <c r="GI37" i="1"/>
  <c r="GG37" i="1"/>
  <c r="GE37" i="1"/>
  <c r="GC37" i="1"/>
  <c r="FW37" i="1"/>
  <c r="FU37" i="1"/>
  <c r="FR37" i="1"/>
  <c r="FP37" i="1"/>
  <c r="FN37" i="1"/>
  <c r="FL37" i="1"/>
  <c r="FJ37" i="1"/>
  <c r="FH37" i="1"/>
  <c r="FF37" i="1"/>
  <c r="FD37" i="1"/>
  <c r="FB37" i="1"/>
  <c r="EZ37" i="1"/>
  <c r="ET37" i="1"/>
  <c r="ER37" i="1"/>
  <c r="EO37" i="1"/>
  <c r="EM37" i="1"/>
  <c r="EK37" i="1"/>
  <c r="EI37" i="1"/>
  <c r="EG37" i="1"/>
  <c r="EE37" i="1"/>
  <c r="EC37" i="1"/>
  <c r="EA37" i="1"/>
  <c r="DY37" i="1"/>
  <c r="DW37" i="1"/>
  <c r="DQ37" i="1"/>
  <c r="DO37" i="1"/>
  <c r="DL37" i="1"/>
  <c r="DJ37" i="1"/>
  <c r="DH37" i="1"/>
  <c r="DF37" i="1"/>
  <c r="DD37" i="1"/>
  <c r="DB37" i="1"/>
  <c r="CZ37" i="1"/>
  <c r="CX37" i="1"/>
  <c r="CT37" i="1"/>
  <c r="CN37" i="1"/>
  <c r="CL37" i="1"/>
  <c r="CI37" i="1"/>
  <c r="CG37" i="1"/>
  <c r="CE37" i="1"/>
  <c r="CC37" i="1"/>
  <c r="CA37" i="1"/>
  <c r="BY37" i="1"/>
  <c r="BW37" i="1"/>
  <c r="BU37" i="1"/>
  <c r="BS37" i="1"/>
  <c r="BQ37" i="1"/>
  <c r="BK37" i="1"/>
  <c r="BI37" i="1"/>
  <c r="BI45" i="1" s="1"/>
  <c r="BF37" i="1"/>
  <c r="BD37" i="1"/>
  <c r="BB37" i="1"/>
  <c r="AZ37" i="1"/>
  <c r="AX37" i="1"/>
  <c r="AV37" i="1"/>
  <c r="AT37" i="1"/>
  <c r="AR37" i="1"/>
  <c r="AN37" i="1"/>
  <c r="AH37" i="1"/>
  <c r="AF37" i="1"/>
  <c r="AC37" i="1"/>
  <c r="AA37" i="1"/>
  <c r="Y37" i="1"/>
  <c r="W37" i="1"/>
  <c r="U37" i="1"/>
  <c r="S37" i="1"/>
  <c r="Q37" i="1"/>
  <c r="O37" i="1"/>
  <c r="M37" i="1"/>
  <c r="K37" i="1"/>
  <c r="KI36" i="1"/>
  <c r="KF36" i="1"/>
  <c r="KF45" i="1" s="1"/>
  <c r="KD36" i="1"/>
  <c r="KB36" i="1"/>
  <c r="JZ36" i="1"/>
  <c r="JX36" i="1"/>
  <c r="JV36" i="1"/>
  <c r="JT36" i="1"/>
  <c r="JR36" i="1"/>
  <c r="JP36" i="1"/>
  <c r="JL36" i="1"/>
  <c r="JF36" i="1"/>
  <c r="JC36" i="1"/>
  <c r="JC45" i="1" s="1"/>
  <c r="JA36" i="1"/>
  <c r="JA45" i="1" s="1"/>
  <c r="IY36" i="1"/>
  <c r="IY45" i="1" s="1"/>
  <c r="IW36" i="1"/>
  <c r="IU36" i="1"/>
  <c r="IS36" i="1"/>
  <c r="IQ36" i="1"/>
  <c r="IR36" i="1" s="1"/>
  <c r="IR37" i="1" s="1"/>
  <c r="IO36" i="1"/>
  <c r="IM36" i="1"/>
  <c r="IK36" i="1"/>
  <c r="II36" i="1"/>
  <c r="IC36" i="1"/>
  <c r="HZ36" i="1"/>
  <c r="HZ45" i="1" s="1"/>
  <c r="HX36" i="1"/>
  <c r="HV36" i="1"/>
  <c r="HT36" i="1"/>
  <c r="HR36" i="1"/>
  <c r="HP36" i="1"/>
  <c r="HN36" i="1"/>
  <c r="HL36" i="1"/>
  <c r="HJ36" i="1"/>
  <c r="HF36" i="1"/>
  <c r="GZ36" i="1"/>
  <c r="GW36" i="1"/>
  <c r="GU36" i="1"/>
  <c r="GS36" i="1"/>
  <c r="GQ36" i="1"/>
  <c r="GO36" i="1"/>
  <c r="GM36" i="1"/>
  <c r="GK36" i="1"/>
  <c r="GI36" i="1"/>
  <c r="GG36" i="1"/>
  <c r="GE36" i="1"/>
  <c r="GC36" i="1"/>
  <c r="FW36" i="1"/>
  <c r="FW45" i="1" s="1"/>
  <c r="FT36" i="1"/>
  <c r="FT45" i="1" s="1"/>
  <c r="FR36" i="1"/>
  <c r="FP36" i="1"/>
  <c r="FN36" i="1"/>
  <c r="FN45" i="1" s="1"/>
  <c r="FL36" i="1"/>
  <c r="FJ36" i="1"/>
  <c r="FJ45" i="1" s="1"/>
  <c r="FH36" i="1"/>
  <c r="FF36" i="1"/>
  <c r="FD36" i="1"/>
  <c r="EZ36" i="1"/>
  <c r="ET36" i="1"/>
  <c r="EQ36" i="1"/>
  <c r="EQ45" i="1" s="1"/>
  <c r="EO36" i="1"/>
  <c r="EM36" i="1"/>
  <c r="EK36" i="1"/>
  <c r="EI36" i="1"/>
  <c r="EG36" i="1"/>
  <c r="EE36" i="1"/>
  <c r="EC36" i="1"/>
  <c r="EA36" i="1"/>
  <c r="DY36" i="1"/>
  <c r="DW36" i="1"/>
  <c r="DQ36" i="1"/>
  <c r="DN36" i="1"/>
  <c r="DL36" i="1"/>
  <c r="DL45" i="1" s="1"/>
  <c r="DJ36" i="1"/>
  <c r="DH36" i="1"/>
  <c r="DF36" i="1"/>
  <c r="DD36" i="1"/>
  <c r="DB36" i="1"/>
  <c r="DB45" i="1" s="1"/>
  <c r="CZ36" i="1"/>
  <c r="CX36" i="1"/>
  <c r="CT36" i="1"/>
  <c r="CN36" i="1"/>
  <c r="CN45" i="1" s="1"/>
  <c r="CK36" i="1"/>
  <c r="CI36" i="1"/>
  <c r="CG36" i="1"/>
  <c r="CG45" i="1" s="1"/>
  <c r="CE36" i="1"/>
  <c r="CC36" i="1"/>
  <c r="CA36" i="1"/>
  <c r="BY36" i="1"/>
  <c r="BW36" i="1"/>
  <c r="BU36" i="1"/>
  <c r="BQ36" i="1"/>
  <c r="BK36" i="1"/>
  <c r="BH36" i="1"/>
  <c r="BH45" i="1" s="1"/>
  <c r="BF36" i="1"/>
  <c r="BD36" i="1"/>
  <c r="BB36" i="1"/>
  <c r="BB45" i="1" s="1"/>
  <c r="AZ36" i="1"/>
  <c r="AX36" i="1"/>
  <c r="AV36" i="1"/>
  <c r="AT36" i="1"/>
  <c r="AR36" i="1"/>
  <c r="AN36" i="1"/>
  <c r="AH36" i="1"/>
  <c r="AE36" i="1"/>
  <c r="AC36" i="1"/>
  <c r="AA36" i="1"/>
  <c r="Y36" i="1"/>
  <c r="W36" i="1"/>
  <c r="U36" i="1"/>
  <c r="S36" i="1"/>
  <c r="Q36" i="1"/>
  <c r="O36" i="1"/>
  <c r="M36" i="1"/>
  <c r="K36" i="1"/>
  <c r="KF35" i="1"/>
  <c r="JJ35" i="1"/>
  <c r="JH35" i="1"/>
  <c r="JH46" i="1" s="1"/>
  <c r="JE35" i="1"/>
  <c r="JD35" i="1"/>
  <c r="JC35" i="1"/>
  <c r="IQ35" i="1"/>
  <c r="IG35" i="1"/>
  <c r="IG46" i="1" s="1"/>
  <c r="IE35" i="1"/>
  <c r="IE46" i="1" s="1"/>
  <c r="HJ35" i="1"/>
  <c r="HF35" i="1"/>
  <c r="HD35" i="1"/>
  <c r="HB35" i="1"/>
  <c r="I4" i="3" s="1"/>
  <c r="GA35" i="1"/>
  <c r="FY35" i="1"/>
  <c r="FN35" i="1"/>
  <c r="EX35" i="1"/>
  <c r="EV35" i="1"/>
  <c r="EQ35" i="1"/>
  <c r="EM35" i="1"/>
  <c r="DU35" i="1"/>
  <c r="DS35" i="1"/>
  <c r="CR35" i="1"/>
  <c r="CP35" i="1"/>
  <c r="BO35" i="1"/>
  <c r="D11" i="3" s="1"/>
  <c r="BM35" i="1"/>
  <c r="AL35" i="1"/>
  <c r="AJ35" i="1"/>
  <c r="AC35" i="1"/>
  <c r="AA35" i="1"/>
  <c r="O35" i="1"/>
  <c r="I35" i="1"/>
  <c r="G35" i="1"/>
  <c r="B4" i="3" s="1"/>
  <c r="E35" i="1"/>
  <c r="E46" i="1" s="1"/>
  <c r="KI34" i="1"/>
  <c r="KG34" i="1"/>
  <c r="KD34" i="1"/>
  <c r="KB34" i="1"/>
  <c r="JZ34" i="1"/>
  <c r="JX34" i="1"/>
  <c r="JV34" i="1"/>
  <c r="JT34" i="1"/>
  <c r="JR34" i="1"/>
  <c r="JP34" i="1"/>
  <c r="JN34" i="1"/>
  <c r="JL34" i="1"/>
  <c r="JF34" i="1"/>
  <c r="JD34" i="1"/>
  <c r="JA34" i="1"/>
  <c r="IY34" i="1"/>
  <c r="IW34" i="1"/>
  <c r="IU34" i="1"/>
  <c r="IS34" i="1"/>
  <c r="IQ34" i="1"/>
  <c r="IO34" i="1"/>
  <c r="IM34" i="1"/>
  <c r="IK34" i="1"/>
  <c r="II34" i="1"/>
  <c r="IC34" i="1"/>
  <c r="IA34" i="1"/>
  <c r="HX34" i="1"/>
  <c r="HV34" i="1"/>
  <c r="HT34" i="1"/>
  <c r="HR34" i="1"/>
  <c r="HP34" i="1"/>
  <c r="HN34" i="1"/>
  <c r="HL34" i="1"/>
  <c r="HJ34" i="1"/>
  <c r="HH34" i="1"/>
  <c r="HF34" i="1"/>
  <c r="GZ34" i="1"/>
  <c r="GX34" i="1"/>
  <c r="GU34" i="1"/>
  <c r="GS34" i="1"/>
  <c r="GQ34" i="1"/>
  <c r="GO34" i="1"/>
  <c r="GM34" i="1"/>
  <c r="GK34" i="1"/>
  <c r="GI34" i="1"/>
  <c r="GG34" i="1"/>
  <c r="GE34" i="1"/>
  <c r="GC34" i="1"/>
  <c r="FW34" i="1"/>
  <c r="FU34" i="1"/>
  <c r="FR34" i="1"/>
  <c r="FP34" i="1"/>
  <c r="FN34" i="1"/>
  <c r="FL34" i="1"/>
  <c r="FJ34" i="1"/>
  <c r="FH34" i="1"/>
  <c r="FF34" i="1"/>
  <c r="FD34" i="1"/>
  <c r="FB34" i="1"/>
  <c r="EZ34" i="1"/>
  <c r="ET34" i="1"/>
  <c r="ER34" i="1"/>
  <c r="EO34" i="1"/>
  <c r="EM34" i="1"/>
  <c r="EK34" i="1"/>
  <c r="EI34" i="1"/>
  <c r="EG34" i="1"/>
  <c r="EE34" i="1"/>
  <c r="EC34" i="1"/>
  <c r="EA34" i="1"/>
  <c r="DY34" i="1"/>
  <c r="DW34" i="1"/>
  <c r="DQ34" i="1"/>
  <c r="DO34" i="1"/>
  <c r="DO35" i="1" s="1"/>
  <c r="DL34" i="1"/>
  <c r="DJ34" i="1"/>
  <c r="DJ35" i="1" s="1"/>
  <c r="DH34" i="1"/>
  <c r="DF34" i="1"/>
  <c r="DD34" i="1"/>
  <c r="DB34" i="1"/>
  <c r="CZ34" i="1"/>
  <c r="CX34" i="1"/>
  <c r="CV34" i="1"/>
  <c r="CT34" i="1"/>
  <c r="CN34" i="1"/>
  <c r="CL34" i="1"/>
  <c r="CI34" i="1"/>
  <c r="CG34" i="1"/>
  <c r="CE34" i="1"/>
  <c r="CC34" i="1"/>
  <c r="CA34" i="1"/>
  <c r="CB34" i="1" s="1"/>
  <c r="BY34" i="1"/>
  <c r="BW34" i="1"/>
  <c r="BU34" i="1"/>
  <c r="BQ34" i="1"/>
  <c r="BK34" i="1"/>
  <c r="BI34" i="1"/>
  <c r="BF34" i="1"/>
  <c r="BD34" i="1"/>
  <c r="BB34" i="1"/>
  <c r="AZ34" i="1"/>
  <c r="AX34" i="1"/>
  <c r="AV34" i="1"/>
  <c r="AT34" i="1"/>
  <c r="AR34" i="1"/>
  <c r="AN34" i="1"/>
  <c r="AP34" i="1" s="1"/>
  <c r="AH34" i="1"/>
  <c r="AF34" i="1"/>
  <c r="AC34" i="1"/>
  <c r="AA34" i="1"/>
  <c r="Y34" i="1"/>
  <c r="W34" i="1"/>
  <c r="U34" i="1"/>
  <c r="S34" i="1"/>
  <c r="Q34" i="1"/>
  <c r="O34" i="1"/>
  <c r="M34" i="1"/>
  <c r="K34" i="1"/>
  <c r="KI33" i="1"/>
  <c r="KG33" i="1"/>
  <c r="KD33" i="1"/>
  <c r="KB33" i="1"/>
  <c r="JZ33" i="1"/>
  <c r="JX33" i="1"/>
  <c r="JV33" i="1"/>
  <c r="JT33" i="1"/>
  <c r="JR33" i="1"/>
  <c r="JP33" i="1"/>
  <c r="JN33" i="1"/>
  <c r="JL33" i="1"/>
  <c r="JF33" i="1"/>
  <c r="JD33" i="1"/>
  <c r="JA33" i="1"/>
  <c r="IY33" i="1"/>
  <c r="IW33" i="1"/>
  <c r="IU33" i="1"/>
  <c r="IS33" i="1"/>
  <c r="IQ33" i="1"/>
  <c r="IO33" i="1"/>
  <c r="IM33" i="1"/>
  <c r="IK33" i="1"/>
  <c r="II33" i="1"/>
  <c r="IC33" i="1"/>
  <c r="IA33" i="1"/>
  <c r="HX33" i="1"/>
  <c r="HV33" i="1"/>
  <c r="HT33" i="1"/>
  <c r="HR33" i="1"/>
  <c r="HP33" i="1"/>
  <c r="HN33" i="1"/>
  <c r="HL33" i="1"/>
  <c r="HJ33" i="1"/>
  <c r="HH33" i="1"/>
  <c r="HF33" i="1"/>
  <c r="GZ33" i="1"/>
  <c r="GX33" i="1"/>
  <c r="GU33" i="1"/>
  <c r="GS33" i="1"/>
  <c r="GQ33" i="1"/>
  <c r="GO33" i="1"/>
  <c r="GM33" i="1"/>
  <c r="GK33" i="1"/>
  <c r="GI33" i="1"/>
  <c r="GG33" i="1"/>
  <c r="GE33" i="1"/>
  <c r="GC33" i="1"/>
  <c r="FW33" i="1"/>
  <c r="FU33" i="1"/>
  <c r="FR33" i="1"/>
  <c r="FP33" i="1"/>
  <c r="FN33" i="1"/>
  <c r="FL33" i="1"/>
  <c r="FJ33" i="1"/>
  <c r="FH33" i="1"/>
  <c r="FF33" i="1"/>
  <c r="FD33" i="1"/>
  <c r="EZ33" i="1"/>
  <c r="FB33" i="1" s="1"/>
  <c r="ET33" i="1"/>
  <c r="ER33" i="1"/>
  <c r="EO33" i="1"/>
  <c r="EM33" i="1"/>
  <c r="EK33" i="1"/>
  <c r="EI33" i="1"/>
  <c r="EG33" i="1"/>
  <c r="EE33" i="1"/>
  <c r="EC33" i="1"/>
  <c r="EA33" i="1"/>
  <c r="DY33" i="1"/>
  <c r="DW33" i="1"/>
  <c r="DQ33" i="1"/>
  <c r="DO33" i="1"/>
  <c r="DL33" i="1"/>
  <c r="DJ33" i="1"/>
  <c r="DH33" i="1"/>
  <c r="DF33" i="1"/>
  <c r="DD33" i="1"/>
  <c r="DB33" i="1"/>
  <c r="CZ33" i="1"/>
  <c r="CX33" i="1"/>
  <c r="CT33" i="1"/>
  <c r="CN33" i="1"/>
  <c r="CL33" i="1"/>
  <c r="CI33" i="1"/>
  <c r="CG33" i="1"/>
  <c r="CE33" i="1"/>
  <c r="CC33" i="1"/>
  <c r="CA33" i="1"/>
  <c r="BY33" i="1"/>
  <c r="BW33" i="1"/>
  <c r="BU33" i="1"/>
  <c r="BQ33" i="1"/>
  <c r="BS33" i="1" s="1"/>
  <c r="BK33" i="1"/>
  <c r="BI33" i="1"/>
  <c r="BF33" i="1"/>
  <c r="BD33" i="1"/>
  <c r="BB33" i="1"/>
  <c r="AZ33" i="1"/>
  <c r="AX33" i="1"/>
  <c r="AV33" i="1"/>
  <c r="AT33" i="1"/>
  <c r="AR33" i="1"/>
  <c r="AN33" i="1"/>
  <c r="AH33" i="1"/>
  <c r="AF33" i="1"/>
  <c r="AC33" i="1"/>
  <c r="AA33" i="1"/>
  <c r="Y33" i="1"/>
  <c r="W33" i="1"/>
  <c r="U33" i="1"/>
  <c r="S33" i="1"/>
  <c r="Q33" i="1"/>
  <c r="O33" i="1"/>
  <c r="M33" i="1"/>
  <c r="K33" i="1"/>
  <c r="KI32" i="1"/>
  <c r="KF32" i="1"/>
  <c r="KD32" i="1"/>
  <c r="KB32" i="1"/>
  <c r="JZ32" i="1"/>
  <c r="JX32" i="1"/>
  <c r="JV32" i="1"/>
  <c r="JT32" i="1"/>
  <c r="JR32" i="1"/>
  <c r="JP32" i="1"/>
  <c r="JL32" i="1"/>
  <c r="JN32" i="1" s="1"/>
  <c r="JF32" i="1"/>
  <c r="JC32" i="1"/>
  <c r="JA32" i="1"/>
  <c r="IY32" i="1"/>
  <c r="IW32" i="1"/>
  <c r="IU32" i="1"/>
  <c r="IS32" i="1"/>
  <c r="IQ32" i="1"/>
  <c r="IO32" i="1"/>
  <c r="IM32" i="1"/>
  <c r="II32" i="1"/>
  <c r="IK32" i="1" s="1"/>
  <c r="IC32" i="1"/>
  <c r="HZ32" i="1"/>
  <c r="HX32" i="1"/>
  <c r="HV32" i="1"/>
  <c r="HT32" i="1"/>
  <c r="HR32" i="1"/>
  <c r="HP32" i="1"/>
  <c r="HN32" i="1"/>
  <c r="HL32" i="1"/>
  <c r="HJ32" i="1"/>
  <c r="HH32" i="1"/>
  <c r="HF32" i="1"/>
  <c r="GZ32" i="1"/>
  <c r="GW32" i="1"/>
  <c r="GW46" i="1" s="1"/>
  <c r="H24" i="3" s="1"/>
  <c r="GU32" i="1"/>
  <c r="GS32" i="1"/>
  <c r="GQ32" i="1"/>
  <c r="GO32" i="1"/>
  <c r="GM32" i="1"/>
  <c r="GK32" i="1"/>
  <c r="GI32" i="1"/>
  <c r="GG32" i="1"/>
  <c r="GE32" i="1"/>
  <c r="GC32" i="1"/>
  <c r="FW32" i="1"/>
  <c r="FT32" i="1"/>
  <c r="FR32" i="1"/>
  <c r="FP32" i="1"/>
  <c r="FN32" i="1"/>
  <c r="FL32" i="1"/>
  <c r="FJ32" i="1"/>
  <c r="FH32" i="1"/>
  <c r="FF32" i="1"/>
  <c r="FD32" i="1"/>
  <c r="EZ32" i="1"/>
  <c r="FB32" i="1" s="1"/>
  <c r="ET32" i="1"/>
  <c r="EQ32" i="1"/>
  <c r="EQ46" i="1" s="1"/>
  <c r="F24" i="3" s="1"/>
  <c r="EO32" i="1"/>
  <c r="EO35" i="1" s="1"/>
  <c r="EM32" i="1"/>
  <c r="EK32" i="1"/>
  <c r="EI32" i="1"/>
  <c r="EG32" i="1"/>
  <c r="EE32" i="1"/>
  <c r="EC32" i="1"/>
  <c r="EA32" i="1"/>
  <c r="DY32" i="1"/>
  <c r="DW32" i="1"/>
  <c r="DQ32" i="1"/>
  <c r="DN32" i="1"/>
  <c r="DN35" i="1" s="1"/>
  <c r="DL32" i="1"/>
  <c r="DJ32" i="1"/>
  <c r="DH32" i="1"/>
  <c r="DF32" i="1"/>
  <c r="DD32" i="1"/>
  <c r="DB32" i="1"/>
  <c r="CZ32" i="1"/>
  <c r="CX32" i="1"/>
  <c r="CT32" i="1"/>
  <c r="CN32" i="1"/>
  <c r="CK32" i="1"/>
  <c r="CI32" i="1"/>
  <c r="CG32" i="1"/>
  <c r="CE32" i="1"/>
  <c r="CC32" i="1"/>
  <c r="CA32" i="1"/>
  <c r="BY32" i="1"/>
  <c r="BW32" i="1"/>
  <c r="BU32" i="1"/>
  <c r="BQ32" i="1"/>
  <c r="BS32" i="1" s="1"/>
  <c r="BK32" i="1"/>
  <c r="BH32" i="1"/>
  <c r="BF32" i="1"/>
  <c r="BD32" i="1"/>
  <c r="BB32" i="1"/>
  <c r="AZ32" i="1"/>
  <c r="AX32" i="1"/>
  <c r="AV32" i="1"/>
  <c r="AT32" i="1"/>
  <c r="AR32" i="1"/>
  <c r="AP32" i="1"/>
  <c r="AN32" i="1"/>
  <c r="AH32" i="1"/>
  <c r="AE32" i="1"/>
  <c r="AC32" i="1"/>
  <c r="AA32" i="1"/>
  <c r="Y32" i="1"/>
  <c r="W32" i="1"/>
  <c r="U32" i="1"/>
  <c r="S32" i="1"/>
  <c r="Q32" i="1"/>
  <c r="O32" i="1"/>
  <c r="M32" i="1"/>
  <c r="K32" i="1"/>
  <c r="KI31" i="1"/>
  <c r="KG31" i="1"/>
  <c r="KD31" i="1"/>
  <c r="KB31" i="1"/>
  <c r="JZ31" i="1"/>
  <c r="JX31" i="1"/>
  <c r="JV31" i="1"/>
  <c r="JT31" i="1"/>
  <c r="JR31" i="1"/>
  <c r="JP31" i="1"/>
  <c r="JL31" i="1"/>
  <c r="JF31" i="1"/>
  <c r="JD31" i="1"/>
  <c r="JA31" i="1"/>
  <c r="IY31" i="1"/>
  <c r="IW31" i="1"/>
  <c r="IU31" i="1"/>
  <c r="IS31" i="1"/>
  <c r="IQ31" i="1"/>
  <c r="IO31" i="1"/>
  <c r="IM31" i="1"/>
  <c r="IK31" i="1"/>
  <c r="II31" i="1"/>
  <c r="IC31" i="1"/>
  <c r="IA31" i="1"/>
  <c r="HX31" i="1"/>
  <c r="HV31" i="1"/>
  <c r="HT31" i="1"/>
  <c r="HR31" i="1"/>
  <c r="HP31" i="1"/>
  <c r="HN31" i="1"/>
  <c r="HL31" i="1"/>
  <c r="HJ31" i="1"/>
  <c r="HH31" i="1"/>
  <c r="HF31" i="1"/>
  <c r="GZ31" i="1"/>
  <c r="GX31" i="1"/>
  <c r="GU31" i="1"/>
  <c r="GS31" i="1"/>
  <c r="GQ31" i="1"/>
  <c r="GO31" i="1"/>
  <c r="GM31" i="1"/>
  <c r="GK31" i="1"/>
  <c r="GI31" i="1"/>
  <c r="GG31" i="1"/>
  <c r="GE31" i="1"/>
  <c r="GC31" i="1"/>
  <c r="FW31" i="1"/>
  <c r="FU31" i="1"/>
  <c r="FR31" i="1"/>
  <c r="FP31" i="1"/>
  <c r="FN31" i="1"/>
  <c r="FL31" i="1"/>
  <c r="FJ31" i="1"/>
  <c r="FH31" i="1"/>
  <c r="FF31" i="1"/>
  <c r="FD31" i="1"/>
  <c r="EZ31" i="1"/>
  <c r="FB31" i="1" s="1"/>
  <c r="ET31" i="1"/>
  <c r="ER31" i="1"/>
  <c r="EO31" i="1"/>
  <c r="EM31" i="1"/>
  <c r="EK31" i="1"/>
  <c r="EI31" i="1"/>
  <c r="EG31" i="1"/>
  <c r="EE31" i="1"/>
  <c r="EC31" i="1"/>
  <c r="EA31" i="1"/>
  <c r="DY31" i="1"/>
  <c r="DW31" i="1"/>
  <c r="DQ31" i="1"/>
  <c r="DO31" i="1"/>
  <c r="DL31" i="1"/>
  <c r="DK31" i="1"/>
  <c r="DK32" i="1" s="1"/>
  <c r="DK33" i="1" s="1"/>
  <c r="DJ31" i="1"/>
  <c r="DH31" i="1"/>
  <c r="DF31" i="1"/>
  <c r="DD31" i="1"/>
  <c r="DB31" i="1"/>
  <c r="CZ31" i="1"/>
  <c r="CX31" i="1"/>
  <c r="CT31" i="1"/>
  <c r="CN31" i="1"/>
  <c r="CL31" i="1"/>
  <c r="CI31" i="1"/>
  <c r="CG31" i="1"/>
  <c r="CE31" i="1"/>
  <c r="CC31" i="1"/>
  <c r="CA31" i="1"/>
  <c r="BY31" i="1"/>
  <c r="BW31" i="1"/>
  <c r="BU31" i="1"/>
  <c r="BQ31" i="1"/>
  <c r="BS31" i="1" s="1"/>
  <c r="BK31" i="1"/>
  <c r="BI31" i="1"/>
  <c r="BF31" i="1"/>
  <c r="BD31" i="1"/>
  <c r="BB31" i="1"/>
  <c r="AZ31" i="1"/>
  <c r="AX31" i="1"/>
  <c r="AV31" i="1"/>
  <c r="AT31" i="1"/>
  <c r="AR31" i="1"/>
  <c r="AP31" i="1"/>
  <c r="AN31" i="1"/>
  <c r="AH31" i="1"/>
  <c r="AF31" i="1"/>
  <c r="AC31" i="1"/>
  <c r="AA31" i="1"/>
  <c r="Y31" i="1"/>
  <c r="W31" i="1"/>
  <c r="U31" i="1"/>
  <c r="S31" i="1"/>
  <c r="Q31" i="1"/>
  <c r="O31" i="1"/>
  <c r="K31" i="1"/>
  <c r="M31" i="1" s="1"/>
  <c r="KI30" i="1"/>
  <c r="KG30" i="1"/>
  <c r="KD30" i="1"/>
  <c r="KB30" i="1"/>
  <c r="JZ30" i="1"/>
  <c r="JX30" i="1"/>
  <c r="JV30" i="1"/>
  <c r="JT30" i="1"/>
  <c r="JR30" i="1"/>
  <c r="JP30" i="1"/>
  <c r="JN30" i="1"/>
  <c r="JL30" i="1"/>
  <c r="JF30" i="1"/>
  <c r="JD30" i="1"/>
  <c r="JA30" i="1"/>
  <c r="IY30" i="1"/>
  <c r="IW30" i="1"/>
  <c r="IU30" i="1"/>
  <c r="IS30" i="1"/>
  <c r="IQ30" i="1"/>
  <c r="IO30" i="1"/>
  <c r="IM30" i="1"/>
  <c r="IK30" i="1"/>
  <c r="II30" i="1"/>
  <c r="IC30" i="1"/>
  <c r="IA30" i="1"/>
  <c r="HX30" i="1"/>
  <c r="HV30" i="1"/>
  <c r="HT30" i="1"/>
  <c r="HR30" i="1"/>
  <c r="HP30" i="1"/>
  <c r="HN30" i="1"/>
  <c r="HL30" i="1"/>
  <c r="HJ30" i="1"/>
  <c r="HH30" i="1"/>
  <c r="HF30" i="1"/>
  <c r="GZ30" i="1"/>
  <c r="GX30" i="1"/>
  <c r="GU30" i="1"/>
  <c r="GS30" i="1"/>
  <c r="GQ30" i="1"/>
  <c r="GO30" i="1"/>
  <c r="GM30" i="1"/>
  <c r="GK30" i="1"/>
  <c r="GI30" i="1"/>
  <c r="GG30" i="1"/>
  <c r="GE30" i="1"/>
  <c r="GC30" i="1"/>
  <c r="FW30" i="1"/>
  <c r="FU30" i="1"/>
  <c r="FR30" i="1"/>
  <c r="FP30" i="1"/>
  <c r="FN30" i="1"/>
  <c r="FL30" i="1"/>
  <c r="FJ30" i="1"/>
  <c r="FH30" i="1"/>
  <c r="FF30" i="1"/>
  <c r="FD30" i="1"/>
  <c r="EZ30" i="1"/>
  <c r="ET30" i="1"/>
  <c r="ER30" i="1"/>
  <c r="EO30" i="1"/>
  <c r="EM30" i="1"/>
  <c r="EK30" i="1"/>
  <c r="EI30" i="1"/>
  <c r="EG30" i="1"/>
  <c r="EE30" i="1"/>
  <c r="EC30" i="1"/>
  <c r="ED30" i="1" s="1"/>
  <c r="EA30" i="1"/>
  <c r="DY30" i="1"/>
  <c r="DW30" i="1"/>
  <c r="DQ30" i="1"/>
  <c r="DO30" i="1"/>
  <c r="DL30" i="1"/>
  <c r="DJ30" i="1"/>
  <c r="DH30" i="1"/>
  <c r="DF30" i="1"/>
  <c r="DG30" i="1" s="1"/>
  <c r="DD30" i="1"/>
  <c r="DB30" i="1"/>
  <c r="CZ30" i="1"/>
  <c r="CX30" i="1"/>
  <c r="CT30" i="1"/>
  <c r="CN30" i="1"/>
  <c r="CL30" i="1"/>
  <c r="CI30" i="1"/>
  <c r="CG30" i="1"/>
  <c r="CE30" i="1"/>
  <c r="CC30" i="1"/>
  <c r="CA30" i="1"/>
  <c r="CB30" i="1" s="1"/>
  <c r="CB31" i="1" s="1"/>
  <c r="CB32" i="1" s="1"/>
  <c r="CB33" i="1" s="1"/>
  <c r="BY30" i="1"/>
  <c r="BW30" i="1"/>
  <c r="BU30" i="1"/>
  <c r="BQ30" i="1"/>
  <c r="BK30" i="1"/>
  <c r="BI30" i="1"/>
  <c r="BI35" i="1" s="1"/>
  <c r="BF30" i="1"/>
  <c r="BD30" i="1"/>
  <c r="BB30" i="1"/>
  <c r="AZ30" i="1"/>
  <c r="AX30" i="1"/>
  <c r="AV30" i="1"/>
  <c r="AT30" i="1"/>
  <c r="AR30" i="1"/>
  <c r="AP30" i="1"/>
  <c r="AN30" i="1"/>
  <c r="AH30" i="1"/>
  <c r="AF30" i="1"/>
  <c r="AC30" i="1"/>
  <c r="AB30" i="1"/>
  <c r="AB31" i="1" s="1"/>
  <c r="AB32" i="1" s="1"/>
  <c r="AB33" i="1" s="1"/>
  <c r="AB34" i="1" s="1"/>
  <c r="AB36" i="1" s="1"/>
  <c r="AA30" i="1"/>
  <c r="Y30" i="1"/>
  <c r="W30" i="1"/>
  <c r="U30" i="1"/>
  <c r="S30" i="1"/>
  <c r="Q30" i="1"/>
  <c r="O30" i="1"/>
  <c r="K30" i="1"/>
  <c r="M30" i="1" s="1"/>
  <c r="KI29" i="1"/>
  <c r="KG29" i="1"/>
  <c r="KD29" i="1"/>
  <c r="KB29" i="1"/>
  <c r="JZ29" i="1"/>
  <c r="JX29" i="1"/>
  <c r="JV29" i="1"/>
  <c r="JT29" i="1"/>
  <c r="JR29" i="1"/>
  <c r="JP29" i="1"/>
  <c r="JN29" i="1"/>
  <c r="JL29" i="1"/>
  <c r="JF29" i="1"/>
  <c r="JD29" i="1"/>
  <c r="JA29" i="1"/>
  <c r="IY29" i="1"/>
  <c r="IW29" i="1"/>
  <c r="IU29" i="1"/>
  <c r="IS29" i="1"/>
  <c r="IQ29" i="1"/>
  <c r="IO29" i="1"/>
  <c r="IM29" i="1"/>
  <c r="IK29" i="1"/>
  <c r="II29" i="1"/>
  <c r="IC29" i="1"/>
  <c r="IA29" i="1"/>
  <c r="HX29" i="1"/>
  <c r="HV29" i="1"/>
  <c r="HT29" i="1"/>
  <c r="HR29" i="1"/>
  <c r="HP29" i="1"/>
  <c r="HN29" i="1"/>
  <c r="HL29" i="1"/>
  <c r="HJ29" i="1"/>
  <c r="HH29" i="1"/>
  <c r="HF29" i="1"/>
  <c r="GZ29" i="1"/>
  <c r="GX29" i="1"/>
  <c r="GU29" i="1"/>
  <c r="GS29" i="1"/>
  <c r="GQ29" i="1"/>
  <c r="GO29" i="1"/>
  <c r="GM29" i="1"/>
  <c r="GK29" i="1"/>
  <c r="GI29" i="1"/>
  <c r="GG29" i="1"/>
  <c r="GE29" i="1"/>
  <c r="GC29" i="1"/>
  <c r="FW29" i="1"/>
  <c r="FU29" i="1"/>
  <c r="FR29" i="1"/>
  <c r="FP29" i="1"/>
  <c r="FN29" i="1"/>
  <c r="FL29" i="1"/>
  <c r="FJ29" i="1"/>
  <c r="FH29" i="1"/>
  <c r="FF29" i="1"/>
  <c r="FG29" i="1" s="1"/>
  <c r="FG30" i="1" s="1"/>
  <c r="FG31" i="1" s="1"/>
  <c r="FG32" i="1" s="1"/>
  <c r="FG33" i="1" s="1"/>
  <c r="FG34" i="1" s="1"/>
  <c r="FG36" i="1" s="1"/>
  <c r="FG37" i="1" s="1"/>
  <c r="FG38" i="1" s="1"/>
  <c r="FG39" i="1" s="1"/>
  <c r="FG40" i="1" s="1"/>
  <c r="FG41" i="1" s="1"/>
  <c r="FG42" i="1" s="1"/>
  <c r="FD29" i="1"/>
  <c r="EZ29" i="1"/>
  <c r="ET29" i="1"/>
  <c r="ER29" i="1"/>
  <c r="EO29" i="1"/>
  <c r="EN29" i="1"/>
  <c r="EN30" i="1" s="1"/>
  <c r="EN31" i="1" s="1"/>
  <c r="EM29" i="1"/>
  <c r="EK29" i="1"/>
  <c r="EI29" i="1"/>
  <c r="EG29" i="1"/>
  <c r="EE29" i="1"/>
  <c r="ED29" i="1"/>
  <c r="EC29" i="1"/>
  <c r="EA29" i="1"/>
  <c r="EB29" i="1" s="1"/>
  <c r="DY29" i="1"/>
  <c r="DW29" i="1"/>
  <c r="DQ29" i="1"/>
  <c r="DO29" i="1"/>
  <c r="DL29" i="1"/>
  <c r="DJ29" i="1"/>
  <c r="DH29" i="1"/>
  <c r="DF29" i="1"/>
  <c r="DG29" i="1" s="1"/>
  <c r="DD29" i="1"/>
  <c r="DB29" i="1"/>
  <c r="CZ29" i="1"/>
  <c r="CY29" i="1"/>
  <c r="CY30" i="1" s="1"/>
  <c r="CY31" i="1" s="1"/>
  <c r="CY32" i="1" s="1"/>
  <c r="CY33" i="1" s="1"/>
  <c r="CY34" i="1" s="1"/>
  <c r="CX29" i="1"/>
  <c r="CT29" i="1"/>
  <c r="CN29" i="1"/>
  <c r="CL29" i="1"/>
  <c r="CI29" i="1"/>
  <c r="CG29" i="1"/>
  <c r="CE29" i="1"/>
  <c r="CC29" i="1"/>
  <c r="CA29" i="1"/>
  <c r="BY29" i="1"/>
  <c r="BW29" i="1"/>
  <c r="BU29" i="1"/>
  <c r="BQ29" i="1"/>
  <c r="BS29" i="1" s="1"/>
  <c r="BK29" i="1"/>
  <c r="BI29" i="1"/>
  <c r="BF29" i="1"/>
  <c r="BD29" i="1"/>
  <c r="BB29" i="1"/>
  <c r="AZ29" i="1"/>
  <c r="AX29" i="1"/>
  <c r="AV29" i="1"/>
  <c r="AT29" i="1"/>
  <c r="AR29" i="1"/>
  <c r="AP29" i="1"/>
  <c r="AN29" i="1"/>
  <c r="AH29" i="1"/>
  <c r="AF29" i="1"/>
  <c r="AC29" i="1"/>
  <c r="AA29" i="1"/>
  <c r="Y29" i="1"/>
  <c r="W29" i="1"/>
  <c r="U29" i="1"/>
  <c r="S29" i="1"/>
  <c r="Q29" i="1"/>
  <c r="O29" i="1"/>
  <c r="K29" i="1"/>
  <c r="M29" i="1" s="1"/>
  <c r="KI28" i="1"/>
  <c r="KH28" i="1"/>
  <c r="KD28" i="1"/>
  <c r="KB28" i="1"/>
  <c r="JZ28" i="1"/>
  <c r="JX28" i="1"/>
  <c r="JV28" i="1"/>
  <c r="JT28" i="1"/>
  <c r="JR28" i="1"/>
  <c r="JP28" i="1"/>
  <c r="JL28" i="1"/>
  <c r="JN28" i="1" s="1"/>
  <c r="JF28" i="1"/>
  <c r="JE28" i="1"/>
  <c r="JA28" i="1"/>
  <c r="IY28" i="1"/>
  <c r="IW28" i="1"/>
  <c r="IU28" i="1"/>
  <c r="IS28" i="1"/>
  <c r="IQ28" i="1"/>
  <c r="IO28" i="1"/>
  <c r="IM28" i="1"/>
  <c r="IK28" i="1"/>
  <c r="II28" i="1"/>
  <c r="IC28" i="1"/>
  <c r="IB28" i="1"/>
  <c r="HX28" i="1"/>
  <c r="HV28" i="1"/>
  <c r="HT28" i="1"/>
  <c r="HR28" i="1"/>
  <c r="HP28" i="1"/>
  <c r="HN28" i="1"/>
  <c r="HL28" i="1"/>
  <c r="HJ28" i="1"/>
  <c r="HH28" i="1"/>
  <c r="HF28" i="1"/>
  <c r="GZ28" i="1"/>
  <c r="GY28" i="1"/>
  <c r="GU28" i="1"/>
  <c r="GS28" i="1"/>
  <c r="GQ28" i="1"/>
  <c r="GO28" i="1"/>
  <c r="GM28" i="1"/>
  <c r="GK28" i="1"/>
  <c r="GI28" i="1"/>
  <c r="GG28" i="1"/>
  <c r="GC28" i="1"/>
  <c r="FW28" i="1"/>
  <c r="FV28" i="1"/>
  <c r="FR28" i="1"/>
  <c r="FP28" i="1"/>
  <c r="FN28" i="1"/>
  <c r="FL28" i="1"/>
  <c r="FJ28" i="1"/>
  <c r="FH28" i="1"/>
  <c r="FF28" i="1"/>
  <c r="FD28" i="1"/>
  <c r="EZ28" i="1"/>
  <c r="ET28" i="1"/>
  <c r="ES28" i="1"/>
  <c r="EO28" i="1"/>
  <c r="EM28" i="1"/>
  <c r="EK28" i="1"/>
  <c r="EI28" i="1"/>
  <c r="EG28" i="1"/>
  <c r="EE28" i="1"/>
  <c r="EC28" i="1"/>
  <c r="ED28" i="1" s="1"/>
  <c r="EA28" i="1"/>
  <c r="DY28" i="1"/>
  <c r="DW28" i="1"/>
  <c r="DQ28" i="1"/>
  <c r="DP28" i="1"/>
  <c r="DL28" i="1"/>
  <c r="DJ28" i="1"/>
  <c r="DH28" i="1"/>
  <c r="DF28" i="1"/>
  <c r="DG28" i="1" s="1"/>
  <c r="DD28" i="1"/>
  <c r="DB28" i="1"/>
  <c r="CZ28" i="1"/>
  <c r="CX28" i="1"/>
  <c r="CT28" i="1"/>
  <c r="CN28" i="1"/>
  <c r="CM28" i="1"/>
  <c r="CI28" i="1"/>
  <c r="CG28" i="1"/>
  <c r="CH28" i="1" s="1"/>
  <c r="CE28" i="1"/>
  <c r="CC28" i="1"/>
  <c r="CA28" i="1"/>
  <c r="BY28" i="1"/>
  <c r="BW28" i="1"/>
  <c r="BU28" i="1"/>
  <c r="BQ28" i="1"/>
  <c r="BS28" i="1" s="1"/>
  <c r="BK28" i="1"/>
  <c r="BJ28" i="1"/>
  <c r="BJ35" i="1" s="1"/>
  <c r="BF28" i="1"/>
  <c r="BD28" i="1"/>
  <c r="BB28" i="1"/>
  <c r="AZ28" i="1"/>
  <c r="AX28" i="1"/>
  <c r="AV28" i="1"/>
  <c r="AU28" i="1"/>
  <c r="AU29" i="1" s="1"/>
  <c r="AU30" i="1" s="1"/>
  <c r="AU31" i="1" s="1"/>
  <c r="AU32" i="1" s="1"/>
  <c r="AU33" i="1" s="1"/>
  <c r="AT28" i="1"/>
  <c r="AR28" i="1"/>
  <c r="AN28" i="1"/>
  <c r="AP28" i="1" s="1"/>
  <c r="AH28" i="1"/>
  <c r="AG28" i="1"/>
  <c r="AC28" i="1"/>
  <c r="AA28" i="1"/>
  <c r="Y28" i="1"/>
  <c r="W28" i="1"/>
  <c r="U28" i="1"/>
  <c r="S28" i="1"/>
  <c r="Q28" i="1"/>
  <c r="O28" i="1"/>
  <c r="M28" i="1"/>
  <c r="K28" i="1"/>
  <c r="KI27" i="1"/>
  <c r="KH27" i="1"/>
  <c r="KD27" i="1"/>
  <c r="KB27" i="1"/>
  <c r="JZ27" i="1"/>
  <c r="JX27" i="1"/>
  <c r="JV27" i="1"/>
  <c r="JT27" i="1"/>
  <c r="JR27" i="1"/>
  <c r="JP27" i="1"/>
  <c r="JN27" i="1"/>
  <c r="JL27" i="1"/>
  <c r="JF27" i="1"/>
  <c r="JE27" i="1"/>
  <c r="JE46" i="1" s="1"/>
  <c r="JA27" i="1"/>
  <c r="IY27" i="1"/>
  <c r="IW27" i="1"/>
  <c r="IU27" i="1"/>
  <c r="IV27" i="1" s="1"/>
  <c r="IV28" i="1" s="1"/>
  <c r="IV29" i="1" s="1"/>
  <c r="IV30" i="1" s="1"/>
  <c r="IS27" i="1"/>
  <c r="IQ27" i="1"/>
  <c r="IO27" i="1"/>
  <c r="IM27" i="1"/>
  <c r="IK27" i="1"/>
  <c r="II27" i="1"/>
  <c r="IC27" i="1"/>
  <c r="IB27" i="1"/>
  <c r="IB35" i="1" s="1"/>
  <c r="HX27" i="1"/>
  <c r="HV27" i="1"/>
  <c r="HT27" i="1"/>
  <c r="HR27" i="1"/>
  <c r="HP27" i="1"/>
  <c r="HN27" i="1"/>
  <c r="HL27" i="1"/>
  <c r="HM27" i="1" s="1"/>
  <c r="HM28" i="1" s="1"/>
  <c r="HM29" i="1" s="1"/>
  <c r="HM30" i="1" s="1"/>
  <c r="HM31" i="1" s="1"/>
  <c r="HM32" i="1" s="1"/>
  <c r="HM33" i="1" s="1"/>
  <c r="HM34" i="1" s="1"/>
  <c r="HM36" i="1" s="1"/>
  <c r="HM37" i="1" s="1"/>
  <c r="HJ27" i="1"/>
  <c r="HH27" i="1"/>
  <c r="HF27" i="1"/>
  <c r="GZ27" i="1"/>
  <c r="GY27" i="1"/>
  <c r="GY46" i="1" s="1"/>
  <c r="H26" i="3" s="1"/>
  <c r="GU27" i="1"/>
  <c r="GS27" i="1"/>
  <c r="GQ27" i="1"/>
  <c r="GO27" i="1"/>
  <c r="GN27" i="1"/>
  <c r="GN28" i="1" s="1"/>
  <c r="GN29" i="1" s="1"/>
  <c r="GN30" i="1" s="1"/>
  <c r="GN31" i="1" s="1"/>
  <c r="GN32" i="1" s="1"/>
  <c r="GN33" i="1" s="1"/>
  <c r="GN34" i="1" s="1"/>
  <c r="GM27" i="1"/>
  <c r="GK27" i="1"/>
  <c r="GI27" i="1"/>
  <c r="GG27" i="1"/>
  <c r="GE27" i="1"/>
  <c r="GC27" i="1"/>
  <c r="FW27" i="1"/>
  <c r="FV27" i="1"/>
  <c r="FR27" i="1"/>
  <c r="FP27" i="1"/>
  <c r="FN27" i="1"/>
  <c r="FL27" i="1"/>
  <c r="FJ27" i="1"/>
  <c r="FK27" i="1" s="1"/>
  <c r="FH27" i="1"/>
  <c r="FG27" i="1"/>
  <c r="FG28" i="1" s="1"/>
  <c r="FF27" i="1"/>
  <c r="FD27" i="1"/>
  <c r="EZ27" i="1"/>
  <c r="FB27" i="1" s="1"/>
  <c r="ET27" i="1"/>
  <c r="ES27" i="1"/>
  <c r="EO27" i="1"/>
  <c r="EM27" i="1"/>
  <c r="EK27" i="1"/>
  <c r="EI27" i="1"/>
  <c r="EG27" i="1"/>
  <c r="EE27" i="1"/>
  <c r="ED27" i="1"/>
  <c r="EC27" i="1"/>
  <c r="EB27" i="1"/>
  <c r="EB28" i="1" s="1"/>
  <c r="EA27" i="1"/>
  <c r="DY27" i="1"/>
  <c r="DW27" i="1"/>
  <c r="DQ27" i="1"/>
  <c r="DP27" i="1"/>
  <c r="DP46" i="1" s="1"/>
  <c r="E26" i="3" s="1"/>
  <c r="DL27" i="1"/>
  <c r="DK27" i="1"/>
  <c r="DK28" i="1" s="1"/>
  <c r="DK29" i="1" s="1"/>
  <c r="DK30" i="1" s="1"/>
  <c r="DJ27" i="1"/>
  <c r="DH27" i="1"/>
  <c r="DF27" i="1"/>
  <c r="DG27" i="1" s="1"/>
  <c r="DD27" i="1"/>
  <c r="DB27" i="1"/>
  <c r="DC27" i="1" s="1"/>
  <c r="CZ27" i="1"/>
  <c r="DA27" i="1" s="1"/>
  <c r="DA28" i="1" s="1"/>
  <c r="DA29" i="1" s="1"/>
  <c r="DA30" i="1" s="1"/>
  <c r="CX27" i="1"/>
  <c r="CV27" i="1"/>
  <c r="CT27" i="1"/>
  <c r="CN27" i="1"/>
  <c r="CM27" i="1"/>
  <c r="CI27" i="1"/>
  <c r="CG27" i="1"/>
  <c r="CH27" i="1" s="1"/>
  <c r="CE27" i="1"/>
  <c r="CC27" i="1"/>
  <c r="CA27" i="1"/>
  <c r="CB27" i="1" s="1"/>
  <c r="CB28" i="1" s="1"/>
  <c r="CB29" i="1" s="1"/>
  <c r="BY27" i="1"/>
  <c r="BW27" i="1"/>
  <c r="BX27" i="1" s="1"/>
  <c r="BX28" i="1" s="1"/>
  <c r="BX29" i="1" s="1"/>
  <c r="BX30" i="1" s="1"/>
  <c r="BX31" i="1" s="1"/>
  <c r="BU27" i="1"/>
  <c r="BV27" i="1" s="1"/>
  <c r="BQ27" i="1"/>
  <c r="BS27" i="1" s="1"/>
  <c r="BK27" i="1"/>
  <c r="BJ27" i="1"/>
  <c r="BF27" i="1"/>
  <c r="BD27" i="1"/>
  <c r="BE27" i="1" s="1"/>
  <c r="BE28" i="1" s="1"/>
  <c r="BB27" i="1"/>
  <c r="AZ27" i="1"/>
  <c r="AX27" i="1"/>
  <c r="AW27" i="1"/>
  <c r="AW28" i="1" s="1"/>
  <c r="AW29" i="1" s="1"/>
  <c r="AV27" i="1"/>
  <c r="AT27" i="1"/>
  <c r="AR27" i="1"/>
  <c r="AP27" i="1"/>
  <c r="AN27" i="1"/>
  <c r="AH27" i="1"/>
  <c r="AG27" i="1"/>
  <c r="AC27" i="1"/>
  <c r="AB27" i="1"/>
  <c r="AB28" i="1" s="1"/>
  <c r="AB29" i="1" s="1"/>
  <c r="AA27" i="1"/>
  <c r="Y27" i="1"/>
  <c r="W27" i="1"/>
  <c r="U27" i="1"/>
  <c r="S27" i="1"/>
  <c r="Q27" i="1"/>
  <c r="R27" i="1" s="1"/>
  <c r="O27" i="1"/>
  <c r="M27" i="1"/>
  <c r="K27" i="1"/>
  <c r="KI26" i="1"/>
  <c r="KG26" i="1"/>
  <c r="KD26" i="1"/>
  <c r="KB26" i="1"/>
  <c r="JZ26" i="1"/>
  <c r="JX26" i="1"/>
  <c r="JW26" i="1"/>
  <c r="JW27" i="1" s="1"/>
  <c r="JW28" i="1" s="1"/>
  <c r="JW29" i="1" s="1"/>
  <c r="JW30" i="1" s="1"/>
  <c r="JW31" i="1" s="1"/>
  <c r="JW32" i="1" s="1"/>
  <c r="JW33" i="1" s="1"/>
  <c r="JW34" i="1" s="1"/>
  <c r="JW36" i="1" s="1"/>
  <c r="JW37" i="1" s="1"/>
  <c r="JW38" i="1" s="1"/>
  <c r="JV26" i="1"/>
  <c r="JV35" i="1" s="1"/>
  <c r="JT26" i="1"/>
  <c r="JR26" i="1"/>
  <c r="JS26" i="1" s="1"/>
  <c r="JP26" i="1"/>
  <c r="JN26" i="1"/>
  <c r="JL26" i="1"/>
  <c r="JF26" i="1"/>
  <c r="JD26" i="1"/>
  <c r="JD46" i="1" s="1"/>
  <c r="JA26" i="1"/>
  <c r="IY26" i="1"/>
  <c r="IW26" i="1"/>
  <c r="IV26" i="1"/>
  <c r="IU26" i="1"/>
  <c r="IS26" i="1"/>
  <c r="IT26" i="1" s="1"/>
  <c r="IR26" i="1"/>
  <c r="IR27" i="1" s="1"/>
  <c r="IR28" i="1" s="1"/>
  <c r="IR29" i="1" s="1"/>
  <c r="IR30" i="1" s="1"/>
  <c r="IR31" i="1" s="1"/>
  <c r="IR32" i="1" s="1"/>
  <c r="IR33" i="1" s="1"/>
  <c r="IR34" i="1" s="1"/>
  <c r="IQ26" i="1"/>
  <c r="IO26" i="1"/>
  <c r="IN26" i="1"/>
  <c r="IM26" i="1"/>
  <c r="IK26" i="1"/>
  <c r="II26" i="1"/>
  <c r="IC26" i="1"/>
  <c r="IC35" i="1" s="1"/>
  <c r="IA26" i="1"/>
  <c r="HX26" i="1"/>
  <c r="HW26" i="1"/>
  <c r="HV26" i="1"/>
  <c r="HT26" i="1"/>
  <c r="HS26" i="1"/>
  <c r="HS27" i="1" s="1"/>
  <c r="HS28" i="1" s="1"/>
  <c r="HS29" i="1" s="1"/>
  <c r="HS30" i="1" s="1"/>
  <c r="HS31" i="1" s="1"/>
  <c r="HS32" i="1" s="1"/>
  <c r="HR26" i="1"/>
  <c r="HR35" i="1" s="1"/>
  <c r="HP26" i="1"/>
  <c r="HN26" i="1"/>
  <c r="HM26" i="1"/>
  <c r="HL26" i="1"/>
  <c r="HK26" i="1"/>
  <c r="HK27" i="1" s="1"/>
  <c r="HJ26" i="1"/>
  <c r="HH26" i="1"/>
  <c r="HF26" i="1"/>
  <c r="GZ26" i="1"/>
  <c r="GX26" i="1"/>
  <c r="GX35" i="1" s="1"/>
  <c r="GU26" i="1"/>
  <c r="GS26" i="1"/>
  <c r="GQ26" i="1"/>
  <c r="GO26" i="1"/>
  <c r="GN26" i="1"/>
  <c r="GM26" i="1"/>
  <c r="GM35" i="1" s="1"/>
  <c r="GK26" i="1"/>
  <c r="GL26" i="1" s="1"/>
  <c r="GL27" i="1" s="1"/>
  <c r="GL28" i="1" s="1"/>
  <c r="GJ26" i="1"/>
  <c r="GJ27" i="1" s="1"/>
  <c r="GI26" i="1"/>
  <c r="GI35" i="1" s="1"/>
  <c r="GG26" i="1"/>
  <c r="GC26" i="1"/>
  <c r="FW26" i="1"/>
  <c r="FU26" i="1"/>
  <c r="FR26" i="1"/>
  <c r="FP26" i="1"/>
  <c r="FN26" i="1"/>
  <c r="FL26" i="1"/>
  <c r="FL35" i="1" s="1"/>
  <c r="FK26" i="1"/>
  <c r="FJ26" i="1"/>
  <c r="FH26" i="1"/>
  <c r="FH35" i="1" s="1"/>
  <c r="FG26" i="1"/>
  <c r="FF26" i="1"/>
  <c r="FD26" i="1"/>
  <c r="EZ26" i="1"/>
  <c r="ET26" i="1"/>
  <c r="ER26" i="1"/>
  <c r="EO26" i="1"/>
  <c r="EM26" i="1"/>
  <c r="EN26" i="1" s="1"/>
  <c r="EN27" i="1" s="1"/>
  <c r="EN28" i="1" s="1"/>
  <c r="EK26" i="1"/>
  <c r="EI26" i="1"/>
  <c r="EG26" i="1"/>
  <c r="EH26" i="1" s="1"/>
  <c r="EF26" i="1"/>
  <c r="EF27" i="1" s="1"/>
  <c r="EE26" i="1"/>
  <c r="EE35" i="1" s="1"/>
  <c r="ED26" i="1"/>
  <c r="EC26" i="1"/>
  <c r="EB26" i="1"/>
  <c r="EA26" i="1"/>
  <c r="DY26" i="1"/>
  <c r="DW26" i="1"/>
  <c r="DW35" i="1" s="1"/>
  <c r="DQ26" i="1"/>
  <c r="DO26" i="1"/>
  <c r="DL26" i="1"/>
  <c r="DK26" i="1"/>
  <c r="DJ26" i="1"/>
  <c r="DH26" i="1"/>
  <c r="DF26" i="1"/>
  <c r="DG26" i="1" s="1"/>
  <c r="DD26" i="1"/>
  <c r="DC26" i="1"/>
  <c r="DB26" i="1"/>
  <c r="DA26" i="1"/>
  <c r="CZ26" i="1"/>
  <c r="CY26" i="1"/>
  <c r="CY27" i="1" s="1"/>
  <c r="CY28" i="1" s="1"/>
  <c r="CX26" i="1"/>
  <c r="CX35" i="1" s="1"/>
  <c r="CV26" i="1"/>
  <c r="CT26" i="1"/>
  <c r="CN26" i="1"/>
  <c r="CL26" i="1"/>
  <c r="CI26" i="1"/>
  <c r="CG26" i="1"/>
  <c r="CH26" i="1" s="1"/>
  <c r="CE26" i="1"/>
  <c r="CC26" i="1"/>
  <c r="CB26" i="1"/>
  <c r="CA26" i="1"/>
  <c r="BZ26" i="1"/>
  <c r="BY26" i="1"/>
  <c r="BX26" i="1"/>
  <c r="BW26" i="1"/>
  <c r="BU26" i="1"/>
  <c r="BV26" i="1" s="1"/>
  <c r="BS26" i="1"/>
  <c r="BQ26" i="1"/>
  <c r="BK26" i="1"/>
  <c r="BI26" i="1"/>
  <c r="BF26" i="1"/>
  <c r="BE26" i="1"/>
  <c r="BD26" i="1"/>
  <c r="BB26" i="1"/>
  <c r="AZ26" i="1"/>
  <c r="AX26" i="1"/>
  <c r="AW26" i="1"/>
  <c r="AV26" i="1"/>
  <c r="AV35" i="1" s="1"/>
  <c r="AU26" i="1"/>
  <c r="AU27" i="1" s="1"/>
  <c r="AT26" i="1"/>
  <c r="AR26" i="1"/>
  <c r="AN26" i="1"/>
  <c r="AH26" i="1"/>
  <c r="AF26" i="1"/>
  <c r="AC26" i="1"/>
  <c r="AB26" i="1"/>
  <c r="AA26" i="1"/>
  <c r="Y26" i="1"/>
  <c r="W26" i="1"/>
  <c r="U26" i="1"/>
  <c r="T26" i="1"/>
  <c r="S26" i="1"/>
  <c r="Q26" i="1"/>
  <c r="R26" i="1" s="1"/>
  <c r="O26" i="1"/>
  <c r="M26" i="1"/>
  <c r="K26" i="1"/>
  <c r="FV23" i="1"/>
  <c r="G26" i="2" s="1"/>
  <c r="EX23" i="1"/>
  <c r="G10" i="2" s="1"/>
  <c r="G23" i="2" s="1"/>
  <c r="CK23" i="1"/>
  <c r="D24" i="2" s="1"/>
  <c r="KG22" i="1"/>
  <c r="KF22" i="1"/>
  <c r="KB22" i="1"/>
  <c r="JZ22" i="1"/>
  <c r="JJ22" i="1"/>
  <c r="JH22" i="1"/>
  <c r="JD22" i="1"/>
  <c r="IW22" i="1"/>
  <c r="IG22" i="1"/>
  <c r="IE22" i="1"/>
  <c r="IB22" i="1"/>
  <c r="HD22" i="1"/>
  <c r="I12" i="2" s="1"/>
  <c r="HB22" i="1"/>
  <c r="I5" i="2" s="1"/>
  <c r="GK22" i="1"/>
  <c r="GA22" i="1"/>
  <c r="H12" i="2" s="1"/>
  <c r="FY22" i="1"/>
  <c r="H5" i="2" s="1"/>
  <c r="FU22" i="1"/>
  <c r="FL22" i="1"/>
  <c r="FH22" i="1"/>
  <c r="EX22" i="1"/>
  <c r="G12" i="2" s="1"/>
  <c r="EV22" i="1"/>
  <c r="G5" i="2" s="1"/>
  <c r="ET22" i="1"/>
  <c r="EO22" i="1"/>
  <c r="DU22" i="1"/>
  <c r="F12" i="2" s="1"/>
  <c r="DS22" i="1"/>
  <c r="F5" i="2" s="1"/>
  <c r="CT22" i="1"/>
  <c r="CR22" i="1"/>
  <c r="E12" i="2" s="1"/>
  <c r="CP22" i="1"/>
  <c r="E5" i="2" s="1"/>
  <c r="BO22" i="1"/>
  <c r="D12" i="2" s="1"/>
  <c r="BM22" i="1"/>
  <c r="D5" i="2" s="1"/>
  <c r="AZ22" i="1"/>
  <c r="AL22" i="1"/>
  <c r="C12" i="2" s="1"/>
  <c r="AJ22" i="1"/>
  <c r="C5" i="2" s="1"/>
  <c r="I22" i="1"/>
  <c r="B12" i="2" s="1"/>
  <c r="G22" i="1"/>
  <c r="B5" i="2" s="1"/>
  <c r="E22" i="1"/>
  <c r="KI21" i="1"/>
  <c r="KG21" i="1"/>
  <c r="KD21" i="1"/>
  <c r="KB21" i="1"/>
  <c r="JZ21" i="1"/>
  <c r="JX21" i="1"/>
  <c r="JV21" i="1"/>
  <c r="JT21" i="1"/>
  <c r="JR21" i="1"/>
  <c r="JP21" i="1"/>
  <c r="JN21" i="1"/>
  <c r="JL21" i="1"/>
  <c r="JF21" i="1"/>
  <c r="JD21" i="1"/>
  <c r="JA21" i="1"/>
  <c r="IY21" i="1"/>
  <c r="IW21" i="1"/>
  <c r="IU21" i="1"/>
  <c r="IS21" i="1"/>
  <c r="IQ21" i="1"/>
  <c r="IO21" i="1"/>
  <c r="IM21" i="1"/>
  <c r="II21" i="1"/>
  <c r="IC21" i="1"/>
  <c r="IA21" i="1"/>
  <c r="HX21" i="1"/>
  <c r="HV21" i="1"/>
  <c r="HT21" i="1"/>
  <c r="HR21" i="1"/>
  <c r="HP21" i="1"/>
  <c r="HN21" i="1"/>
  <c r="HL21" i="1"/>
  <c r="HJ21" i="1"/>
  <c r="HF21" i="1"/>
  <c r="HH21" i="1" s="1"/>
  <c r="GZ21" i="1"/>
  <c r="GX21" i="1"/>
  <c r="GU21" i="1"/>
  <c r="GS21" i="1"/>
  <c r="GQ21" i="1"/>
  <c r="GO21" i="1"/>
  <c r="GM21" i="1"/>
  <c r="GK21" i="1"/>
  <c r="GI21" i="1"/>
  <c r="GG21" i="1"/>
  <c r="GC21" i="1"/>
  <c r="FW21" i="1"/>
  <c r="FU21" i="1"/>
  <c r="FR21" i="1"/>
  <c r="FP21" i="1"/>
  <c r="FN21" i="1"/>
  <c r="FL21" i="1"/>
  <c r="FJ21" i="1"/>
  <c r="FH21" i="1"/>
  <c r="FF21" i="1"/>
  <c r="FD21" i="1"/>
  <c r="FB21" i="1"/>
  <c r="EZ21" i="1"/>
  <c r="ET21" i="1"/>
  <c r="ER21" i="1"/>
  <c r="EO21" i="1"/>
  <c r="EM21" i="1"/>
  <c r="EK21" i="1"/>
  <c r="EI21" i="1"/>
  <c r="EG21" i="1"/>
  <c r="EE21" i="1"/>
  <c r="EC21" i="1"/>
  <c r="EA21" i="1"/>
  <c r="DY21" i="1"/>
  <c r="DW21" i="1"/>
  <c r="DQ21" i="1"/>
  <c r="DO21" i="1"/>
  <c r="DL21" i="1"/>
  <c r="DJ21" i="1"/>
  <c r="DH21" i="1"/>
  <c r="DF21" i="1"/>
  <c r="DD21" i="1"/>
  <c r="DB21" i="1"/>
  <c r="CZ21" i="1"/>
  <c r="CX21" i="1"/>
  <c r="CT21" i="1"/>
  <c r="CV21" i="1" s="1"/>
  <c r="CN21" i="1"/>
  <c r="CL21" i="1"/>
  <c r="CI21" i="1"/>
  <c r="CG21" i="1"/>
  <c r="CE21" i="1"/>
  <c r="CC21" i="1"/>
  <c r="CA21" i="1"/>
  <c r="BY21" i="1"/>
  <c r="BW21" i="1"/>
  <c r="BU21" i="1"/>
  <c r="BS21" i="1"/>
  <c r="BQ21" i="1"/>
  <c r="BK21" i="1"/>
  <c r="BI21" i="1"/>
  <c r="BF21" i="1"/>
  <c r="BD21" i="1"/>
  <c r="BB21" i="1"/>
  <c r="AZ21" i="1"/>
  <c r="AX21" i="1"/>
  <c r="AV21" i="1"/>
  <c r="AT21" i="1"/>
  <c r="AR21" i="1"/>
  <c r="AP21" i="1"/>
  <c r="AN21" i="1"/>
  <c r="AH21" i="1"/>
  <c r="AF21" i="1"/>
  <c r="AC21" i="1"/>
  <c r="AA21" i="1"/>
  <c r="Y21" i="1"/>
  <c r="W21" i="1"/>
  <c r="U21" i="1"/>
  <c r="S21" i="1"/>
  <c r="Q21" i="1"/>
  <c r="O21" i="1"/>
  <c r="K21" i="1"/>
  <c r="KI20" i="1"/>
  <c r="KH20" i="1"/>
  <c r="KD20" i="1"/>
  <c r="KB20" i="1"/>
  <c r="JZ20" i="1"/>
  <c r="JX20" i="1"/>
  <c r="JV20" i="1"/>
  <c r="JT20" i="1"/>
  <c r="JR20" i="1"/>
  <c r="JP20" i="1"/>
  <c r="JL20" i="1"/>
  <c r="JF20" i="1"/>
  <c r="JE20" i="1"/>
  <c r="JA20" i="1"/>
  <c r="IY20" i="1"/>
  <c r="IW20" i="1"/>
  <c r="IU20" i="1"/>
  <c r="IS20" i="1"/>
  <c r="IQ20" i="1"/>
  <c r="IO20" i="1"/>
  <c r="IM20" i="1"/>
  <c r="II20" i="1"/>
  <c r="IK20" i="1" s="1"/>
  <c r="IC20" i="1"/>
  <c r="IB20" i="1"/>
  <c r="HX20" i="1"/>
  <c r="HV20" i="1"/>
  <c r="HT20" i="1"/>
  <c r="HR20" i="1"/>
  <c r="HP20" i="1"/>
  <c r="HN20" i="1"/>
  <c r="HL20" i="1"/>
  <c r="HJ20" i="1"/>
  <c r="HH20" i="1"/>
  <c r="HF20" i="1"/>
  <c r="GZ20" i="1"/>
  <c r="GY20" i="1"/>
  <c r="GU20" i="1"/>
  <c r="GS20" i="1"/>
  <c r="GQ20" i="1"/>
  <c r="GO20" i="1"/>
  <c r="GM20" i="1"/>
  <c r="GK20" i="1"/>
  <c r="GI20" i="1"/>
  <c r="GI22" i="1" s="1"/>
  <c r="GG20" i="1"/>
  <c r="GE20" i="1"/>
  <c r="GC20" i="1"/>
  <c r="FW20" i="1"/>
  <c r="FV20" i="1"/>
  <c r="FR20" i="1"/>
  <c r="FP20" i="1"/>
  <c r="FN20" i="1"/>
  <c r="FL20" i="1"/>
  <c r="FJ20" i="1"/>
  <c r="FH20" i="1"/>
  <c r="FF20" i="1"/>
  <c r="FD20" i="1"/>
  <c r="FB20" i="1"/>
  <c r="EZ20" i="1"/>
  <c r="ET20" i="1"/>
  <c r="ES20" i="1"/>
  <c r="EO20" i="1"/>
  <c r="EM20" i="1"/>
  <c r="EK20" i="1"/>
  <c r="EI20" i="1"/>
  <c r="EG20" i="1"/>
  <c r="EE20" i="1"/>
  <c r="EC20" i="1"/>
  <c r="EA20" i="1"/>
  <c r="DY20" i="1"/>
  <c r="DW20" i="1"/>
  <c r="DQ20" i="1"/>
  <c r="DP20" i="1"/>
  <c r="DL20" i="1"/>
  <c r="DJ20" i="1"/>
  <c r="DH20" i="1"/>
  <c r="DF20" i="1"/>
  <c r="DD20" i="1"/>
  <c r="DB20" i="1"/>
  <c r="CZ20" i="1"/>
  <c r="CX20" i="1"/>
  <c r="CT20" i="1"/>
  <c r="CV20" i="1" s="1"/>
  <c r="CN20" i="1"/>
  <c r="CM20" i="1"/>
  <c r="CI20" i="1"/>
  <c r="CG20" i="1"/>
  <c r="CE20" i="1"/>
  <c r="CC20" i="1"/>
  <c r="CA20" i="1"/>
  <c r="BY20" i="1"/>
  <c r="BW20" i="1"/>
  <c r="BU20" i="1"/>
  <c r="BU22" i="1" s="1"/>
  <c r="BS20" i="1"/>
  <c r="BQ20" i="1"/>
  <c r="BK20" i="1"/>
  <c r="BJ20" i="1"/>
  <c r="BF20" i="1"/>
  <c r="BD20" i="1"/>
  <c r="BB20" i="1"/>
  <c r="AZ20" i="1"/>
  <c r="AX20" i="1"/>
  <c r="AV20" i="1"/>
  <c r="AT20" i="1"/>
  <c r="AR20" i="1"/>
  <c r="AP20" i="1"/>
  <c r="AN20" i="1"/>
  <c r="AH20" i="1"/>
  <c r="AG20" i="1"/>
  <c r="AC20" i="1"/>
  <c r="AA20" i="1"/>
  <c r="Y20" i="1"/>
  <c r="W20" i="1"/>
  <c r="U20" i="1"/>
  <c r="S20" i="1"/>
  <c r="Q20" i="1"/>
  <c r="O20" i="1"/>
  <c r="K20" i="1"/>
  <c r="KI19" i="1"/>
  <c r="KF19" i="1"/>
  <c r="KD19" i="1"/>
  <c r="KB19" i="1"/>
  <c r="JZ19" i="1"/>
  <c r="JX19" i="1"/>
  <c r="JV19" i="1"/>
  <c r="JT19" i="1"/>
  <c r="JR19" i="1"/>
  <c r="JP19" i="1"/>
  <c r="JL19" i="1"/>
  <c r="JF19" i="1"/>
  <c r="JC19" i="1"/>
  <c r="JA19" i="1"/>
  <c r="IY19" i="1"/>
  <c r="IW19" i="1"/>
  <c r="IU19" i="1"/>
  <c r="IS19" i="1"/>
  <c r="IQ19" i="1"/>
  <c r="IO19" i="1"/>
  <c r="IM19" i="1"/>
  <c r="II19" i="1"/>
  <c r="IK19" i="1" s="1"/>
  <c r="IC19" i="1"/>
  <c r="HZ19" i="1"/>
  <c r="HX19" i="1"/>
  <c r="HV19" i="1"/>
  <c r="HT19" i="1"/>
  <c r="HR19" i="1"/>
  <c r="HP19" i="1"/>
  <c r="HN19" i="1"/>
  <c r="HL19" i="1"/>
  <c r="HJ19" i="1"/>
  <c r="HH19" i="1"/>
  <c r="HF19" i="1"/>
  <c r="GZ19" i="1"/>
  <c r="GW19" i="1"/>
  <c r="GU19" i="1"/>
  <c r="GS19" i="1"/>
  <c r="GQ19" i="1"/>
  <c r="GO19" i="1"/>
  <c r="GM19" i="1"/>
  <c r="GK19" i="1"/>
  <c r="GI19" i="1"/>
  <c r="GG19" i="1"/>
  <c r="GC19" i="1"/>
  <c r="FW19" i="1"/>
  <c r="FT19" i="1"/>
  <c r="FR19" i="1"/>
  <c r="FP19" i="1"/>
  <c r="FN19" i="1"/>
  <c r="FL19" i="1"/>
  <c r="FJ19" i="1"/>
  <c r="FH19" i="1"/>
  <c r="FF19" i="1"/>
  <c r="FD19" i="1"/>
  <c r="FB19" i="1"/>
  <c r="EZ19" i="1"/>
  <c r="ET19" i="1"/>
  <c r="EQ19" i="1"/>
  <c r="EO19" i="1"/>
  <c r="EM19" i="1"/>
  <c r="EK19" i="1"/>
  <c r="EI19" i="1"/>
  <c r="EG19" i="1"/>
  <c r="EE19" i="1"/>
  <c r="EC19" i="1"/>
  <c r="EA19" i="1"/>
  <c r="DY19" i="1"/>
  <c r="DW19" i="1"/>
  <c r="DQ19" i="1"/>
  <c r="DN19" i="1"/>
  <c r="DL19" i="1"/>
  <c r="DJ19" i="1"/>
  <c r="DH19" i="1"/>
  <c r="DF19" i="1"/>
  <c r="DD19" i="1"/>
  <c r="DB19" i="1"/>
  <c r="CZ19" i="1"/>
  <c r="CX19" i="1"/>
  <c r="CT19" i="1"/>
  <c r="CV19" i="1" s="1"/>
  <c r="CN19" i="1"/>
  <c r="CK19" i="1"/>
  <c r="CI19" i="1"/>
  <c r="CG19" i="1"/>
  <c r="CE19" i="1"/>
  <c r="CC19" i="1"/>
  <c r="CA19" i="1"/>
  <c r="BY19" i="1"/>
  <c r="BW19" i="1"/>
  <c r="BU19" i="1"/>
  <c r="BS19" i="1"/>
  <c r="BQ19" i="1"/>
  <c r="BK19" i="1"/>
  <c r="BH19" i="1"/>
  <c r="BF19" i="1"/>
  <c r="BD19" i="1"/>
  <c r="BB19" i="1"/>
  <c r="AZ19" i="1"/>
  <c r="AX19" i="1"/>
  <c r="AV19" i="1"/>
  <c r="AT19" i="1"/>
  <c r="AR19" i="1"/>
  <c r="AP19" i="1"/>
  <c r="AN19" i="1"/>
  <c r="AH19" i="1"/>
  <c r="AE19" i="1"/>
  <c r="AC19" i="1"/>
  <c r="AA19" i="1"/>
  <c r="Y19" i="1"/>
  <c r="W19" i="1"/>
  <c r="U19" i="1"/>
  <c r="S19" i="1"/>
  <c r="Q19" i="1"/>
  <c r="O19" i="1"/>
  <c r="K19" i="1"/>
  <c r="KI18" i="1"/>
  <c r="KG18" i="1"/>
  <c r="KD18" i="1"/>
  <c r="KB18" i="1"/>
  <c r="JZ18" i="1"/>
  <c r="JX18" i="1"/>
  <c r="JV18" i="1"/>
  <c r="JT18" i="1"/>
  <c r="JR18" i="1"/>
  <c r="JP18" i="1"/>
  <c r="JN18" i="1"/>
  <c r="JL18" i="1"/>
  <c r="JF18" i="1"/>
  <c r="JD18" i="1"/>
  <c r="JA18" i="1"/>
  <c r="IY18" i="1"/>
  <c r="IW18" i="1"/>
  <c r="IU18" i="1"/>
  <c r="IS18" i="1"/>
  <c r="IQ18" i="1"/>
  <c r="IO18" i="1"/>
  <c r="IM18" i="1"/>
  <c r="II18" i="1"/>
  <c r="IK18" i="1" s="1"/>
  <c r="IC18" i="1"/>
  <c r="IA18" i="1"/>
  <c r="HX18" i="1"/>
  <c r="HV18" i="1"/>
  <c r="HT18" i="1"/>
  <c r="HR18" i="1"/>
  <c r="HP18" i="1"/>
  <c r="HN18" i="1"/>
  <c r="HL18" i="1"/>
  <c r="HJ18" i="1"/>
  <c r="HF18" i="1"/>
  <c r="HH18" i="1" s="1"/>
  <c r="GZ18" i="1"/>
  <c r="GX18" i="1"/>
  <c r="GU18" i="1"/>
  <c r="GS18" i="1"/>
  <c r="GQ18" i="1"/>
  <c r="GO18" i="1"/>
  <c r="GM18" i="1"/>
  <c r="GK18" i="1"/>
  <c r="GI18" i="1"/>
  <c r="GG18" i="1"/>
  <c r="GC18" i="1"/>
  <c r="FW18" i="1"/>
  <c r="FU18" i="1"/>
  <c r="FR18" i="1"/>
  <c r="FP18" i="1"/>
  <c r="FN18" i="1"/>
  <c r="FL18" i="1"/>
  <c r="FJ18" i="1"/>
  <c r="FH18" i="1"/>
  <c r="FF18" i="1"/>
  <c r="FD18" i="1"/>
  <c r="FB18" i="1"/>
  <c r="EZ18" i="1"/>
  <c r="ET18" i="1"/>
  <c r="ER18" i="1"/>
  <c r="EO18" i="1"/>
  <c r="EM18" i="1"/>
  <c r="EK18" i="1"/>
  <c r="EI18" i="1"/>
  <c r="EG18" i="1"/>
  <c r="EE18" i="1"/>
  <c r="EC18" i="1"/>
  <c r="EA18" i="1"/>
  <c r="DY18" i="1"/>
  <c r="DW18" i="1"/>
  <c r="DQ18" i="1"/>
  <c r="DO18" i="1"/>
  <c r="DL18" i="1"/>
  <c r="DJ18" i="1"/>
  <c r="DH18" i="1"/>
  <c r="DF18" i="1"/>
  <c r="DD18" i="1"/>
  <c r="DB18" i="1"/>
  <c r="CZ18" i="1"/>
  <c r="CX18" i="1"/>
  <c r="CT18" i="1"/>
  <c r="CV18" i="1" s="1"/>
  <c r="CN18" i="1"/>
  <c r="CL18" i="1"/>
  <c r="CI18" i="1"/>
  <c r="CG18" i="1"/>
  <c r="CE18" i="1"/>
  <c r="CC18" i="1"/>
  <c r="CA18" i="1"/>
  <c r="BY18" i="1"/>
  <c r="BW18" i="1"/>
  <c r="BU18" i="1"/>
  <c r="BS18" i="1"/>
  <c r="BQ18" i="1"/>
  <c r="BK18" i="1"/>
  <c r="BI18" i="1"/>
  <c r="BF18" i="1"/>
  <c r="BD18" i="1"/>
  <c r="BB18" i="1"/>
  <c r="AZ18" i="1"/>
  <c r="AX18" i="1"/>
  <c r="AV18" i="1"/>
  <c r="AT18" i="1"/>
  <c r="AR18" i="1"/>
  <c r="AP18" i="1"/>
  <c r="AN18" i="1"/>
  <c r="AH18" i="1"/>
  <c r="AF18" i="1"/>
  <c r="AC18" i="1"/>
  <c r="AA18" i="1"/>
  <c r="Y18" i="1"/>
  <c r="W18" i="1"/>
  <c r="U18" i="1"/>
  <c r="S18" i="1"/>
  <c r="Q18" i="1"/>
  <c r="O18" i="1"/>
  <c r="K18" i="1"/>
  <c r="KI17" i="1"/>
  <c r="KF17" i="1"/>
  <c r="KD17" i="1"/>
  <c r="KB17" i="1"/>
  <c r="JZ17" i="1"/>
  <c r="JX17" i="1"/>
  <c r="JV17" i="1"/>
  <c r="JT17" i="1"/>
  <c r="JR17" i="1"/>
  <c r="JP17" i="1"/>
  <c r="JN17" i="1"/>
  <c r="JL17" i="1"/>
  <c r="JF17" i="1"/>
  <c r="JC17" i="1"/>
  <c r="JC22" i="1" s="1"/>
  <c r="JA17" i="1"/>
  <c r="IY17" i="1"/>
  <c r="IW17" i="1"/>
  <c r="IU17" i="1"/>
  <c r="IS17" i="1"/>
  <c r="IQ17" i="1"/>
  <c r="IO17" i="1"/>
  <c r="IM17" i="1"/>
  <c r="II17" i="1"/>
  <c r="IK17" i="1" s="1"/>
  <c r="IC17" i="1"/>
  <c r="HZ17" i="1"/>
  <c r="HZ22" i="1" s="1"/>
  <c r="HX17" i="1"/>
  <c r="HV17" i="1"/>
  <c r="HT17" i="1"/>
  <c r="HR17" i="1"/>
  <c r="HP17" i="1"/>
  <c r="HN17" i="1"/>
  <c r="HL17" i="1"/>
  <c r="HJ17" i="1"/>
  <c r="HF17" i="1"/>
  <c r="HH17" i="1" s="1"/>
  <c r="GZ17" i="1"/>
  <c r="GW17" i="1"/>
  <c r="GW22" i="1" s="1"/>
  <c r="GU17" i="1"/>
  <c r="GS17" i="1"/>
  <c r="GQ17" i="1"/>
  <c r="GO17" i="1"/>
  <c r="GM17" i="1"/>
  <c r="GK17" i="1"/>
  <c r="GI17" i="1"/>
  <c r="GG17" i="1"/>
  <c r="GE17" i="1"/>
  <c r="GC17" i="1"/>
  <c r="FW17" i="1"/>
  <c r="FT17" i="1"/>
  <c r="FT22" i="1" s="1"/>
  <c r="FR17" i="1"/>
  <c r="FP17" i="1"/>
  <c r="FN17" i="1"/>
  <c r="FN22" i="1" s="1"/>
  <c r="FL17" i="1"/>
  <c r="FJ17" i="1"/>
  <c r="FH17" i="1"/>
  <c r="FF17" i="1"/>
  <c r="FD17" i="1"/>
  <c r="FB17" i="1"/>
  <c r="EZ17" i="1"/>
  <c r="ET17" i="1"/>
  <c r="EQ17" i="1"/>
  <c r="EQ22" i="1" s="1"/>
  <c r="EO17" i="1"/>
  <c r="EM17" i="1"/>
  <c r="EK17" i="1"/>
  <c r="EI17" i="1"/>
  <c r="EG17" i="1"/>
  <c r="EE17" i="1"/>
  <c r="EC17" i="1"/>
  <c r="EA17" i="1"/>
  <c r="DW17" i="1"/>
  <c r="DQ17" i="1"/>
  <c r="DN17" i="1"/>
  <c r="DL17" i="1"/>
  <c r="DJ17" i="1"/>
  <c r="DH17" i="1"/>
  <c r="DF17" i="1"/>
  <c r="DD17" i="1"/>
  <c r="DB17" i="1"/>
  <c r="CZ17" i="1"/>
  <c r="CX17" i="1"/>
  <c r="CT17" i="1"/>
  <c r="CV17" i="1" s="1"/>
  <c r="CN17" i="1"/>
  <c r="CK17" i="1"/>
  <c r="CK22" i="1" s="1"/>
  <c r="CI17" i="1"/>
  <c r="CG17" i="1"/>
  <c r="CE17" i="1"/>
  <c r="CC17" i="1"/>
  <c r="CA17" i="1"/>
  <c r="BY17" i="1"/>
  <c r="BW17" i="1"/>
  <c r="BU17" i="1"/>
  <c r="BS17" i="1"/>
  <c r="BQ17" i="1"/>
  <c r="BK17" i="1"/>
  <c r="BH17" i="1"/>
  <c r="BH22" i="1" s="1"/>
  <c r="BF17" i="1"/>
  <c r="BD17" i="1"/>
  <c r="BB17" i="1"/>
  <c r="AZ17" i="1"/>
  <c r="AX17" i="1"/>
  <c r="AV17" i="1"/>
  <c r="AT17" i="1"/>
  <c r="AR17" i="1"/>
  <c r="AP17" i="1"/>
  <c r="AN17" i="1"/>
  <c r="AH17" i="1"/>
  <c r="AE17" i="1"/>
  <c r="AE22" i="1" s="1"/>
  <c r="AC17" i="1"/>
  <c r="AA17" i="1"/>
  <c r="Y17" i="1"/>
  <c r="W17" i="1"/>
  <c r="U17" i="1"/>
  <c r="S17" i="1"/>
  <c r="Q17" i="1"/>
  <c r="O17" i="1"/>
  <c r="K17" i="1"/>
  <c r="KI16" i="1"/>
  <c r="KH16" i="1"/>
  <c r="KH22" i="1" s="1"/>
  <c r="KD16" i="1"/>
  <c r="KB16" i="1"/>
  <c r="JZ16" i="1"/>
  <c r="JX16" i="1"/>
  <c r="JV16" i="1"/>
  <c r="JT16" i="1"/>
  <c r="JR16" i="1"/>
  <c r="JP16" i="1"/>
  <c r="JN16" i="1"/>
  <c r="JL16" i="1"/>
  <c r="JF16" i="1"/>
  <c r="JE16" i="1"/>
  <c r="JE22" i="1" s="1"/>
  <c r="JA16" i="1"/>
  <c r="IY16" i="1"/>
  <c r="IW16" i="1"/>
  <c r="IU16" i="1"/>
  <c r="IS16" i="1"/>
  <c r="IQ16" i="1"/>
  <c r="IO16" i="1"/>
  <c r="IM16" i="1"/>
  <c r="II16" i="1"/>
  <c r="IH16" i="1"/>
  <c r="IH17" i="1" s="1"/>
  <c r="IH18" i="1" s="1"/>
  <c r="IH19" i="1" s="1"/>
  <c r="IH20" i="1" s="1"/>
  <c r="IH21" i="1" s="1"/>
  <c r="IH26" i="1" s="1"/>
  <c r="IH27" i="1" s="1"/>
  <c r="IH28" i="1" s="1"/>
  <c r="IH29" i="1" s="1"/>
  <c r="IH30" i="1" s="1"/>
  <c r="IH31" i="1" s="1"/>
  <c r="IH32" i="1" s="1"/>
  <c r="IH33" i="1" s="1"/>
  <c r="IH34" i="1" s="1"/>
  <c r="IH36" i="1" s="1"/>
  <c r="IH37" i="1" s="1"/>
  <c r="IH38" i="1" s="1"/>
  <c r="IH39" i="1" s="1"/>
  <c r="IH40" i="1" s="1"/>
  <c r="IH41" i="1" s="1"/>
  <c r="IH42" i="1" s="1"/>
  <c r="IH43" i="1" s="1"/>
  <c r="IH44" i="1" s="1"/>
  <c r="IH50" i="1" s="1"/>
  <c r="IH51" i="1" s="1"/>
  <c r="IH52" i="1" s="1"/>
  <c r="IH53" i="1" s="1"/>
  <c r="IH54" i="1" s="1"/>
  <c r="IH55" i="1" s="1"/>
  <c r="IH56" i="1" s="1"/>
  <c r="IH57" i="1" s="1"/>
  <c r="IH58" i="1" s="1"/>
  <c r="IH60" i="1" s="1"/>
  <c r="IH61" i="1" s="1"/>
  <c r="IH62" i="1" s="1"/>
  <c r="IH63" i="1" s="1"/>
  <c r="IH64" i="1" s="1"/>
  <c r="IH65" i="1" s="1"/>
  <c r="IH66" i="1" s="1"/>
  <c r="IH67" i="1" s="1"/>
  <c r="IH68" i="1" s="1"/>
  <c r="IH74" i="1" s="1"/>
  <c r="IH75" i="1" s="1"/>
  <c r="IH76" i="1" s="1"/>
  <c r="IH77" i="1" s="1"/>
  <c r="IH78" i="1" s="1"/>
  <c r="IH79" i="1" s="1"/>
  <c r="IH80" i="1" s="1"/>
  <c r="IH81" i="1" s="1"/>
  <c r="IH82" i="1" s="1"/>
  <c r="IH84" i="1" s="1"/>
  <c r="IH85" i="1" s="1"/>
  <c r="IH86" i="1" s="1"/>
  <c r="IH87" i="1" s="1"/>
  <c r="IH88" i="1" s="1"/>
  <c r="IH89" i="1" s="1"/>
  <c r="IH90" i="1" s="1"/>
  <c r="IH91" i="1" s="1"/>
  <c r="IH92" i="1" s="1"/>
  <c r="IF16" i="1"/>
  <c r="IF17" i="1" s="1"/>
  <c r="IF18" i="1" s="1"/>
  <c r="IF19" i="1" s="1"/>
  <c r="IF20" i="1" s="1"/>
  <c r="IF21" i="1" s="1"/>
  <c r="IF26" i="1" s="1"/>
  <c r="IF27" i="1" s="1"/>
  <c r="IF28" i="1" s="1"/>
  <c r="IF29" i="1" s="1"/>
  <c r="IF30" i="1" s="1"/>
  <c r="IF31" i="1" s="1"/>
  <c r="IF32" i="1" s="1"/>
  <c r="IF33" i="1" s="1"/>
  <c r="IF34" i="1" s="1"/>
  <c r="IF36" i="1" s="1"/>
  <c r="IF37" i="1" s="1"/>
  <c r="IF38" i="1" s="1"/>
  <c r="IF39" i="1" s="1"/>
  <c r="IF40" i="1" s="1"/>
  <c r="IF41" i="1" s="1"/>
  <c r="IF42" i="1" s="1"/>
  <c r="IF43" i="1" s="1"/>
  <c r="IF44" i="1" s="1"/>
  <c r="IF50" i="1" s="1"/>
  <c r="IF51" i="1" s="1"/>
  <c r="IF52" i="1" s="1"/>
  <c r="IF53" i="1" s="1"/>
  <c r="IF54" i="1" s="1"/>
  <c r="IF55" i="1" s="1"/>
  <c r="IF56" i="1" s="1"/>
  <c r="IF57" i="1" s="1"/>
  <c r="IF58" i="1" s="1"/>
  <c r="IF60" i="1" s="1"/>
  <c r="IF61" i="1" s="1"/>
  <c r="IF62" i="1" s="1"/>
  <c r="IF63" i="1" s="1"/>
  <c r="IF64" i="1" s="1"/>
  <c r="IF65" i="1" s="1"/>
  <c r="IF66" i="1" s="1"/>
  <c r="IF67" i="1" s="1"/>
  <c r="IF68" i="1" s="1"/>
  <c r="IF74" i="1" s="1"/>
  <c r="IF75" i="1" s="1"/>
  <c r="IF76" i="1" s="1"/>
  <c r="IF77" i="1" s="1"/>
  <c r="IF78" i="1" s="1"/>
  <c r="IF79" i="1" s="1"/>
  <c r="IF80" i="1" s="1"/>
  <c r="IF81" i="1" s="1"/>
  <c r="IF82" i="1" s="1"/>
  <c r="IF84" i="1" s="1"/>
  <c r="IF85" i="1" s="1"/>
  <c r="IF86" i="1" s="1"/>
  <c r="IF87" i="1" s="1"/>
  <c r="IF88" i="1" s="1"/>
  <c r="IF89" i="1" s="1"/>
  <c r="IF90" i="1" s="1"/>
  <c r="IF91" i="1" s="1"/>
  <c r="IF92" i="1" s="1"/>
  <c r="IC16" i="1"/>
  <c r="IB16" i="1"/>
  <c r="HX16" i="1"/>
  <c r="HV16" i="1"/>
  <c r="HT16" i="1"/>
  <c r="HR16" i="1"/>
  <c r="HP16" i="1"/>
  <c r="HN16" i="1"/>
  <c r="HL16" i="1"/>
  <c r="HJ16" i="1"/>
  <c r="HH16" i="1"/>
  <c r="HF16" i="1"/>
  <c r="GZ16" i="1"/>
  <c r="GY16" i="1"/>
  <c r="GY22" i="1" s="1"/>
  <c r="GU16" i="1"/>
  <c r="GS16" i="1"/>
  <c r="GQ16" i="1"/>
  <c r="GQ22" i="1" s="1"/>
  <c r="GO16" i="1"/>
  <c r="GM16" i="1"/>
  <c r="GK16" i="1"/>
  <c r="GI16" i="1"/>
  <c r="GG16" i="1"/>
  <c r="GE16" i="1"/>
  <c r="GC16" i="1"/>
  <c r="FW16" i="1"/>
  <c r="FV16" i="1"/>
  <c r="FV22" i="1" s="1"/>
  <c r="FR16" i="1"/>
  <c r="FP16" i="1"/>
  <c r="FN16" i="1"/>
  <c r="FL16" i="1"/>
  <c r="FJ16" i="1"/>
  <c r="FH16" i="1"/>
  <c r="FF16" i="1"/>
  <c r="FD16" i="1"/>
  <c r="FB16" i="1"/>
  <c r="EZ16" i="1"/>
  <c r="ET16" i="1"/>
  <c r="ES16" i="1"/>
  <c r="ES22" i="1" s="1"/>
  <c r="EO16" i="1"/>
  <c r="EM16" i="1"/>
  <c r="EK16" i="1"/>
  <c r="EI16" i="1"/>
  <c r="EG16" i="1"/>
  <c r="EE16" i="1"/>
  <c r="EC16" i="1"/>
  <c r="EA16" i="1"/>
  <c r="DY16" i="1"/>
  <c r="DW16" i="1"/>
  <c r="DQ16" i="1"/>
  <c r="DP16" i="1"/>
  <c r="DP22" i="1" s="1"/>
  <c r="DL16" i="1"/>
  <c r="DJ16" i="1"/>
  <c r="DH16" i="1"/>
  <c r="DF16" i="1"/>
  <c r="DD16" i="1"/>
  <c r="DB16" i="1"/>
  <c r="CZ16" i="1"/>
  <c r="CX16" i="1"/>
  <c r="CT16" i="1"/>
  <c r="CV16" i="1" s="1"/>
  <c r="CN16" i="1"/>
  <c r="CM16" i="1"/>
  <c r="CM22" i="1" s="1"/>
  <c r="CI16" i="1"/>
  <c r="CG16" i="1"/>
  <c r="CE16" i="1"/>
  <c r="CC16" i="1"/>
  <c r="CA16" i="1"/>
  <c r="BY16" i="1"/>
  <c r="BW16" i="1"/>
  <c r="BU16" i="1"/>
  <c r="BS16" i="1"/>
  <c r="BQ16" i="1"/>
  <c r="BK16" i="1"/>
  <c r="BJ16" i="1"/>
  <c r="BJ22" i="1" s="1"/>
  <c r="BF16" i="1"/>
  <c r="BD16" i="1"/>
  <c r="BB16" i="1"/>
  <c r="AZ16" i="1"/>
  <c r="AX16" i="1"/>
  <c r="AV16" i="1"/>
  <c r="AT16" i="1"/>
  <c r="AR16" i="1"/>
  <c r="AP16" i="1"/>
  <c r="AN16" i="1"/>
  <c r="AH16" i="1"/>
  <c r="AG16" i="1"/>
  <c r="AC16" i="1"/>
  <c r="AA16" i="1"/>
  <c r="Y16" i="1"/>
  <c r="W16" i="1"/>
  <c r="U16" i="1"/>
  <c r="S16" i="1"/>
  <c r="Q16" i="1"/>
  <c r="O16" i="1"/>
  <c r="K16" i="1"/>
  <c r="KI15" i="1"/>
  <c r="KG15" i="1"/>
  <c r="KD15" i="1"/>
  <c r="KB15" i="1"/>
  <c r="JZ15" i="1"/>
  <c r="JX15" i="1"/>
  <c r="JV15" i="1"/>
  <c r="JT15" i="1"/>
  <c r="JR15" i="1"/>
  <c r="JP15" i="1"/>
  <c r="JL15" i="1"/>
  <c r="JF15" i="1"/>
  <c r="JD15" i="1"/>
  <c r="JA15" i="1"/>
  <c r="IY15" i="1"/>
  <c r="IW15" i="1"/>
  <c r="IU15" i="1"/>
  <c r="IS15" i="1"/>
  <c r="IQ15" i="1"/>
  <c r="IO15" i="1"/>
  <c r="IM15" i="1"/>
  <c r="II15" i="1"/>
  <c r="IK15" i="1" s="1"/>
  <c r="IC15" i="1"/>
  <c r="IA15" i="1"/>
  <c r="HX15" i="1"/>
  <c r="HV15" i="1"/>
  <c r="HT15" i="1"/>
  <c r="HR15" i="1"/>
  <c r="HP15" i="1"/>
  <c r="HN15" i="1"/>
  <c r="HL15" i="1"/>
  <c r="HJ15" i="1"/>
  <c r="HF15" i="1"/>
  <c r="GZ15" i="1"/>
  <c r="GX15" i="1"/>
  <c r="GU15" i="1"/>
  <c r="GS15" i="1"/>
  <c r="GQ15" i="1"/>
  <c r="GO15" i="1"/>
  <c r="GM15" i="1"/>
  <c r="GK15" i="1"/>
  <c r="GI15" i="1"/>
  <c r="GG15" i="1"/>
  <c r="GE15" i="1"/>
  <c r="GC15" i="1"/>
  <c r="FW15" i="1"/>
  <c r="FU15" i="1"/>
  <c r="FR15" i="1"/>
  <c r="FP15" i="1"/>
  <c r="FN15" i="1"/>
  <c r="FL15" i="1"/>
  <c r="FJ15" i="1"/>
  <c r="FH15" i="1"/>
  <c r="FF15" i="1"/>
  <c r="FD15" i="1"/>
  <c r="FB15" i="1"/>
  <c r="EZ15" i="1"/>
  <c r="ET15" i="1"/>
  <c r="ER15" i="1"/>
  <c r="EO15" i="1"/>
  <c r="EM15" i="1"/>
  <c r="EK15" i="1"/>
  <c r="EI15" i="1"/>
  <c r="EG15" i="1"/>
  <c r="EE15" i="1"/>
  <c r="EC15" i="1"/>
  <c r="EA15" i="1"/>
  <c r="DW15" i="1"/>
  <c r="DY15" i="1" s="1"/>
  <c r="DQ15" i="1"/>
  <c r="DO15" i="1"/>
  <c r="DL15" i="1"/>
  <c r="DJ15" i="1"/>
  <c r="DH15" i="1"/>
  <c r="DF15" i="1"/>
  <c r="DD15" i="1"/>
  <c r="DB15" i="1"/>
  <c r="CZ15" i="1"/>
  <c r="CX15" i="1"/>
  <c r="CT15" i="1"/>
  <c r="CV15" i="1" s="1"/>
  <c r="CN15" i="1"/>
  <c r="CL15" i="1"/>
  <c r="CI15" i="1"/>
  <c r="CG15" i="1"/>
  <c r="CE15" i="1"/>
  <c r="CC15" i="1"/>
  <c r="CA15" i="1"/>
  <c r="BY15" i="1"/>
  <c r="BW15" i="1"/>
  <c r="BU15" i="1"/>
  <c r="BS15" i="1"/>
  <c r="BQ15" i="1"/>
  <c r="BN15" i="1"/>
  <c r="BN16" i="1" s="1"/>
  <c r="BN17" i="1" s="1"/>
  <c r="BN18" i="1" s="1"/>
  <c r="BN19" i="1" s="1"/>
  <c r="BN20" i="1" s="1"/>
  <c r="BN21" i="1" s="1"/>
  <c r="BN26" i="1" s="1"/>
  <c r="BN27" i="1" s="1"/>
  <c r="BN28" i="1" s="1"/>
  <c r="BN29" i="1" s="1"/>
  <c r="BN30" i="1" s="1"/>
  <c r="BN31" i="1" s="1"/>
  <c r="BN32" i="1" s="1"/>
  <c r="BN33" i="1" s="1"/>
  <c r="BN34" i="1" s="1"/>
  <c r="BN36" i="1" s="1"/>
  <c r="BN37" i="1" s="1"/>
  <c r="BN38" i="1" s="1"/>
  <c r="BN39" i="1" s="1"/>
  <c r="BN40" i="1" s="1"/>
  <c r="BN41" i="1" s="1"/>
  <c r="BN42" i="1" s="1"/>
  <c r="BN43" i="1" s="1"/>
  <c r="BN44" i="1" s="1"/>
  <c r="BN50" i="1" s="1"/>
  <c r="BN51" i="1" s="1"/>
  <c r="BN52" i="1" s="1"/>
  <c r="BN53" i="1" s="1"/>
  <c r="BN54" i="1" s="1"/>
  <c r="BN55" i="1" s="1"/>
  <c r="BN56" i="1" s="1"/>
  <c r="BN57" i="1" s="1"/>
  <c r="BN58" i="1" s="1"/>
  <c r="BN60" i="1" s="1"/>
  <c r="BN61" i="1" s="1"/>
  <c r="BN62" i="1" s="1"/>
  <c r="BN63" i="1" s="1"/>
  <c r="BN64" i="1" s="1"/>
  <c r="BN65" i="1" s="1"/>
  <c r="BN66" i="1" s="1"/>
  <c r="BN67" i="1" s="1"/>
  <c r="BN68" i="1" s="1"/>
  <c r="BN74" i="1" s="1"/>
  <c r="BN75" i="1" s="1"/>
  <c r="BN76" i="1" s="1"/>
  <c r="BN77" i="1" s="1"/>
  <c r="BN78" i="1" s="1"/>
  <c r="BN79" i="1" s="1"/>
  <c r="BN80" i="1" s="1"/>
  <c r="BN81" i="1" s="1"/>
  <c r="BN82" i="1" s="1"/>
  <c r="BN84" i="1" s="1"/>
  <c r="BN85" i="1" s="1"/>
  <c r="BN86" i="1" s="1"/>
  <c r="BN87" i="1" s="1"/>
  <c r="BN88" i="1" s="1"/>
  <c r="BN89" i="1" s="1"/>
  <c r="BN90" i="1" s="1"/>
  <c r="BN91" i="1" s="1"/>
  <c r="BN92" i="1" s="1"/>
  <c r="BK15" i="1"/>
  <c r="BI15" i="1"/>
  <c r="BF15" i="1"/>
  <c r="BD15" i="1"/>
  <c r="BB15" i="1"/>
  <c r="AZ15" i="1"/>
  <c r="AX15" i="1"/>
  <c r="AV15" i="1"/>
  <c r="AT15" i="1"/>
  <c r="AR15" i="1"/>
  <c r="AP15" i="1"/>
  <c r="AN15" i="1"/>
  <c r="AH15" i="1"/>
  <c r="AF15" i="1"/>
  <c r="AC15" i="1"/>
  <c r="AA15" i="1"/>
  <c r="Y15" i="1"/>
  <c r="W15" i="1"/>
  <c r="U15" i="1"/>
  <c r="S15" i="1"/>
  <c r="Q15" i="1"/>
  <c r="O15" i="1"/>
  <c r="K15" i="1"/>
  <c r="M15" i="1" s="1"/>
  <c r="KI14" i="1"/>
  <c r="KG14" i="1"/>
  <c r="KD14" i="1"/>
  <c r="KB14" i="1"/>
  <c r="JZ14" i="1"/>
  <c r="JX14" i="1"/>
  <c r="JV14" i="1"/>
  <c r="JT14" i="1"/>
  <c r="JR14" i="1"/>
  <c r="JP14" i="1"/>
  <c r="JL14" i="1"/>
  <c r="JF14" i="1"/>
  <c r="JD14" i="1"/>
  <c r="JA14" i="1"/>
  <c r="IY14" i="1"/>
  <c r="IW14" i="1"/>
  <c r="IU14" i="1"/>
  <c r="IS14" i="1"/>
  <c r="IQ14" i="1"/>
  <c r="IO14" i="1"/>
  <c r="IM14" i="1"/>
  <c r="II14" i="1"/>
  <c r="IK14" i="1" s="1"/>
  <c r="IC14" i="1"/>
  <c r="IC22" i="1" s="1"/>
  <c r="IA14" i="1"/>
  <c r="HX14" i="1"/>
  <c r="HV14" i="1"/>
  <c r="HT14" i="1"/>
  <c r="HR14" i="1"/>
  <c r="HP14" i="1"/>
  <c r="HN14" i="1"/>
  <c r="HL14" i="1"/>
  <c r="HJ14" i="1"/>
  <c r="HF14" i="1"/>
  <c r="GZ14" i="1"/>
  <c r="GX14" i="1"/>
  <c r="GU14" i="1"/>
  <c r="GS14" i="1"/>
  <c r="GQ14" i="1"/>
  <c r="GO14" i="1"/>
  <c r="GM14" i="1"/>
  <c r="GK14" i="1"/>
  <c r="GI14" i="1"/>
  <c r="GG14" i="1"/>
  <c r="GC14" i="1"/>
  <c r="FW14" i="1"/>
  <c r="FU14" i="1"/>
  <c r="FR14" i="1"/>
  <c r="FP14" i="1"/>
  <c r="FN14" i="1"/>
  <c r="FL14" i="1"/>
  <c r="FJ14" i="1"/>
  <c r="FH14" i="1"/>
  <c r="FF14" i="1"/>
  <c r="FD14" i="1"/>
  <c r="FB14" i="1"/>
  <c r="EZ14" i="1"/>
  <c r="ET14" i="1"/>
  <c r="ER14" i="1"/>
  <c r="EO14" i="1"/>
  <c r="EM14" i="1"/>
  <c r="EK14" i="1"/>
  <c r="EI14" i="1"/>
  <c r="EG14" i="1"/>
  <c r="EE14" i="1"/>
  <c r="EC14" i="1"/>
  <c r="EA14" i="1"/>
  <c r="DY14" i="1"/>
  <c r="DW14" i="1"/>
  <c r="DQ14" i="1"/>
  <c r="DO14" i="1"/>
  <c r="DO22" i="1" s="1"/>
  <c r="DL14" i="1"/>
  <c r="DJ14" i="1"/>
  <c r="DH14" i="1"/>
  <c r="DF14" i="1"/>
  <c r="DD14" i="1"/>
  <c r="DB14" i="1"/>
  <c r="CZ14" i="1"/>
  <c r="CX14" i="1"/>
  <c r="CV14" i="1"/>
  <c r="CT14" i="1"/>
  <c r="CN14" i="1"/>
  <c r="CL14" i="1"/>
  <c r="CI14" i="1"/>
  <c r="CG14" i="1"/>
  <c r="CE14" i="1"/>
  <c r="CE22" i="1" s="1"/>
  <c r="CC14" i="1"/>
  <c r="CA14" i="1"/>
  <c r="BY14" i="1"/>
  <c r="BW14" i="1"/>
  <c r="BU14" i="1"/>
  <c r="BS14" i="1"/>
  <c r="BQ14" i="1"/>
  <c r="BK14" i="1"/>
  <c r="BI14" i="1"/>
  <c r="BF14" i="1"/>
  <c r="BD14" i="1"/>
  <c r="BB14" i="1"/>
  <c r="AZ14" i="1"/>
  <c r="AX14" i="1"/>
  <c r="AV14" i="1"/>
  <c r="AT14" i="1"/>
  <c r="AR14" i="1"/>
  <c r="AP14" i="1"/>
  <c r="AN14" i="1"/>
  <c r="AH14" i="1"/>
  <c r="AF14" i="1"/>
  <c r="AC14" i="1"/>
  <c r="AA14" i="1"/>
  <c r="Y14" i="1"/>
  <c r="W14" i="1"/>
  <c r="U14" i="1"/>
  <c r="S14" i="1"/>
  <c r="Q14" i="1"/>
  <c r="O14" i="1"/>
  <c r="K14" i="1"/>
  <c r="KI13" i="1"/>
  <c r="KG13" i="1"/>
  <c r="KD13" i="1"/>
  <c r="KD22" i="1" s="1"/>
  <c r="KB13" i="1"/>
  <c r="JZ13" i="1"/>
  <c r="JX13" i="1"/>
  <c r="JV13" i="1"/>
  <c r="JV22" i="1" s="1"/>
  <c r="JT13" i="1"/>
  <c r="JR13" i="1"/>
  <c r="JP13" i="1"/>
  <c r="JP22" i="1" s="1"/>
  <c r="JL13" i="1"/>
  <c r="JF13" i="1"/>
  <c r="JF22" i="1" s="1"/>
  <c r="JD13" i="1"/>
  <c r="JA13" i="1"/>
  <c r="JA22" i="1" s="1"/>
  <c r="IY13" i="1"/>
  <c r="IW13" i="1"/>
  <c r="IU13" i="1"/>
  <c r="IS13" i="1"/>
  <c r="IQ13" i="1"/>
  <c r="IO13" i="1"/>
  <c r="IO22" i="1" s="1"/>
  <c r="IM13" i="1"/>
  <c r="IK13" i="1"/>
  <c r="II13" i="1"/>
  <c r="IC13" i="1"/>
  <c r="IA13" i="1"/>
  <c r="IA22" i="1" s="1"/>
  <c r="HX13" i="1"/>
  <c r="HX22" i="1" s="1"/>
  <c r="HV13" i="1"/>
  <c r="HT13" i="1"/>
  <c r="HR13" i="1"/>
  <c r="HP13" i="1"/>
  <c r="HN13" i="1"/>
  <c r="HL13" i="1"/>
  <c r="HL22" i="1" s="1"/>
  <c r="HJ13" i="1"/>
  <c r="HF13" i="1"/>
  <c r="GZ13" i="1"/>
  <c r="GX13" i="1"/>
  <c r="GU13" i="1"/>
  <c r="GS13" i="1"/>
  <c r="GS22" i="1" s="1"/>
  <c r="GQ13" i="1"/>
  <c r="GO13" i="1"/>
  <c r="GM13" i="1"/>
  <c r="GK13" i="1"/>
  <c r="GI13" i="1"/>
  <c r="GG13" i="1"/>
  <c r="GG22" i="1" s="1"/>
  <c r="GG23" i="1" s="1"/>
  <c r="GE13" i="1"/>
  <c r="GC13" i="1"/>
  <c r="FW13" i="1"/>
  <c r="FU13" i="1"/>
  <c r="FR13" i="1"/>
  <c r="FP13" i="1"/>
  <c r="FN13" i="1"/>
  <c r="FL13" i="1"/>
  <c r="FJ13" i="1"/>
  <c r="FJ22" i="1" s="1"/>
  <c r="FH13" i="1"/>
  <c r="FF13" i="1"/>
  <c r="FD13" i="1"/>
  <c r="EZ13" i="1"/>
  <c r="ET13" i="1"/>
  <c r="ER13" i="1"/>
  <c r="ER22" i="1" s="1"/>
  <c r="EO13" i="1"/>
  <c r="EM13" i="1"/>
  <c r="EK13" i="1"/>
  <c r="EI13" i="1"/>
  <c r="EG13" i="1"/>
  <c r="EE13" i="1"/>
  <c r="EC13" i="1"/>
  <c r="EC22" i="1" s="1"/>
  <c r="EA13" i="1"/>
  <c r="DW13" i="1"/>
  <c r="DQ13" i="1"/>
  <c r="DO13" i="1"/>
  <c r="DL13" i="1"/>
  <c r="DJ13" i="1"/>
  <c r="DH13" i="1"/>
  <c r="DF13" i="1"/>
  <c r="DD13" i="1"/>
  <c r="DD22" i="1" s="1"/>
  <c r="DB13" i="1"/>
  <c r="CZ13" i="1"/>
  <c r="CX13" i="1"/>
  <c r="CT13" i="1"/>
  <c r="CV13" i="1" s="1"/>
  <c r="CN13" i="1"/>
  <c r="CL13" i="1"/>
  <c r="CI13" i="1"/>
  <c r="CG13" i="1"/>
  <c r="CG22" i="1" s="1"/>
  <c r="CE13" i="1"/>
  <c r="CC13" i="1"/>
  <c r="CA13" i="1"/>
  <c r="BY13" i="1"/>
  <c r="BY22" i="1" s="1"/>
  <c r="BW13" i="1"/>
  <c r="BU13" i="1"/>
  <c r="BQ13" i="1"/>
  <c r="BK13" i="1"/>
  <c r="BI13" i="1"/>
  <c r="BI22" i="1" s="1"/>
  <c r="BF13" i="1"/>
  <c r="BD13" i="1"/>
  <c r="BB13" i="1"/>
  <c r="BB22" i="1" s="1"/>
  <c r="AZ13" i="1"/>
  <c r="AX13" i="1"/>
  <c r="AV13" i="1"/>
  <c r="AT13" i="1"/>
  <c r="AR13" i="1"/>
  <c r="AP13" i="1"/>
  <c r="AN13" i="1"/>
  <c r="AN22" i="1" s="1"/>
  <c r="AH13" i="1"/>
  <c r="AF13" i="1"/>
  <c r="AF22" i="1" s="1"/>
  <c r="AC13" i="1"/>
  <c r="AA13" i="1"/>
  <c r="Y13" i="1"/>
  <c r="W13" i="1"/>
  <c r="U13" i="1"/>
  <c r="S13" i="1"/>
  <c r="Q13" i="1"/>
  <c r="O13" i="1"/>
  <c r="M13" i="1"/>
  <c r="K13" i="1"/>
  <c r="KI12" i="1"/>
  <c r="KH12" i="1"/>
  <c r="KG12" i="1"/>
  <c r="KF12" i="1"/>
  <c r="JT12" i="1"/>
  <c r="JJ12" i="1"/>
  <c r="JJ23" i="1" s="1"/>
  <c r="JH12" i="1"/>
  <c r="JH23" i="1" s="1"/>
  <c r="JH47" i="1" s="1"/>
  <c r="JF12" i="1"/>
  <c r="JF23" i="1" s="1"/>
  <c r="JE12" i="1"/>
  <c r="IS12" i="1"/>
  <c r="IG12" i="1"/>
  <c r="IG23" i="1" s="1"/>
  <c r="IG47" i="1" s="1"/>
  <c r="IE12" i="1"/>
  <c r="IE23" i="1" s="1"/>
  <c r="IE47" i="1" s="1"/>
  <c r="HX12" i="1"/>
  <c r="HX23" i="1" s="1"/>
  <c r="HJ12" i="1"/>
  <c r="HD12" i="1"/>
  <c r="I11" i="2" s="1"/>
  <c r="HB12" i="1"/>
  <c r="GO12" i="1"/>
  <c r="GI12" i="1"/>
  <c r="GC12" i="1"/>
  <c r="GA12" i="1"/>
  <c r="FY12" i="1"/>
  <c r="H4" i="2" s="1"/>
  <c r="FL12" i="1"/>
  <c r="FL23" i="1" s="1"/>
  <c r="EX12" i="1"/>
  <c r="G11" i="2" s="1"/>
  <c r="EV12" i="1"/>
  <c r="EK12" i="1"/>
  <c r="DU12" i="1"/>
  <c r="DS12" i="1"/>
  <c r="DQ12" i="1"/>
  <c r="DB12" i="1"/>
  <c r="CR12" i="1"/>
  <c r="CP12" i="1"/>
  <c r="CN12" i="1"/>
  <c r="CM12" i="1"/>
  <c r="CG12" i="1"/>
  <c r="CG23" i="1" s="1"/>
  <c r="BO12" i="1"/>
  <c r="D11" i="2" s="1"/>
  <c r="BM12" i="1"/>
  <c r="BF12" i="1"/>
  <c r="AR12" i="1"/>
  <c r="AL12" i="1"/>
  <c r="C11" i="2" s="1"/>
  <c r="AJ12" i="1"/>
  <c r="C4" i="2" s="1"/>
  <c r="AG12" i="1"/>
  <c r="AF12" i="1"/>
  <c r="U12" i="1"/>
  <c r="Q12" i="1"/>
  <c r="I12" i="1"/>
  <c r="G12" i="1"/>
  <c r="E12" i="1"/>
  <c r="E23" i="1" s="1"/>
  <c r="E47" i="1" s="1"/>
  <c r="E71" i="1" s="1"/>
  <c r="E95" i="1" s="1"/>
  <c r="E96" i="1" s="1"/>
  <c r="E97" i="1" s="1"/>
  <c r="KI11" i="1"/>
  <c r="KG11" i="1"/>
  <c r="KD11" i="1"/>
  <c r="KB11" i="1"/>
  <c r="JZ11" i="1"/>
  <c r="JX11" i="1"/>
  <c r="JV11" i="1"/>
  <c r="JT11" i="1"/>
  <c r="JR11" i="1"/>
  <c r="JP11" i="1"/>
  <c r="JN11" i="1"/>
  <c r="JL11" i="1"/>
  <c r="JF11" i="1"/>
  <c r="JD11" i="1"/>
  <c r="JA11" i="1"/>
  <c r="IY11" i="1"/>
  <c r="IW11" i="1"/>
  <c r="IU11" i="1"/>
  <c r="IS11" i="1"/>
  <c r="IQ11" i="1"/>
  <c r="IO11" i="1"/>
  <c r="IM11" i="1"/>
  <c r="IK11" i="1"/>
  <c r="II11" i="1"/>
  <c r="IC11" i="1"/>
  <c r="IA11" i="1"/>
  <c r="HX11" i="1"/>
  <c r="HV11" i="1"/>
  <c r="HT11" i="1"/>
  <c r="HS11" i="1"/>
  <c r="HR11" i="1"/>
  <c r="HP11" i="1"/>
  <c r="HN11" i="1"/>
  <c r="HL11" i="1"/>
  <c r="HJ11" i="1"/>
  <c r="HH11" i="1"/>
  <c r="HF11" i="1"/>
  <c r="GZ11" i="1"/>
  <c r="GX11" i="1"/>
  <c r="GU11" i="1"/>
  <c r="GS11" i="1"/>
  <c r="GQ11" i="1"/>
  <c r="GO11" i="1"/>
  <c r="GM11" i="1"/>
  <c r="GK11" i="1"/>
  <c r="GI11" i="1"/>
  <c r="GG11" i="1"/>
  <c r="GE11" i="1"/>
  <c r="GC11" i="1"/>
  <c r="FW11" i="1"/>
  <c r="FU11" i="1"/>
  <c r="FR11" i="1"/>
  <c r="FP11" i="1"/>
  <c r="FN11" i="1"/>
  <c r="FL11" i="1"/>
  <c r="FJ11" i="1"/>
  <c r="FH11" i="1"/>
  <c r="FF11" i="1"/>
  <c r="FD11" i="1"/>
  <c r="FB11" i="1"/>
  <c r="EZ11" i="1"/>
  <c r="ET11" i="1"/>
  <c r="ER11" i="1"/>
  <c r="EO11" i="1"/>
  <c r="EM11" i="1"/>
  <c r="EK11" i="1"/>
  <c r="EI11" i="1"/>
  <c r="EG11" i="1"/>
  <c r="EE11" i="1"/>
  <c r="EC11" i="1"/>
  <c r="EA11" i="1"/>
  <c r="DW11" i="1"/>
  <c r="DY11" i="1" s="1"/>
  <c r="DQ11" i="1"/>
  <c r="DO11" i="1"/>
  <c r="DL11" i="1"/>
  <c r="DJ11" i="1"/>
  <c r="DH11" i="1"/>
  <c r="DF11" i="1"/>
  <c r="DD11" i="1"/>
  <c r="DB11" i="1"/>
  <c r="CZ11" i="1"/>
  <c r="CX11" i="1"/>
  <c r="CT11" i="1"/>
  <c r="CS11" i="1"/>
  <c r="CS13" i="1" s="1"/>
  <c r="CS14" i="1" s="1"/>
  <c r="CS15" i="1" s="1"/>
  <c r="CS16" i="1" s="1"/>
  <c r="CS17" i="1" s="1"/>
  <c r="CS18" i="1" s="1"/>
  <c r="CS19" i="1" s="1"/>
  <c r="CS20" i="1" s="1"/>
  <c r="CS21" i="1" s="1"/>
  <c r="CS26" i="1" s="1"/>
  <c r="CS27" i="1" s="1"/>
  <c r="CS28" i="1" s="1"/>
  <c r="CS29" i="1" s="1"/>
  <c r="CS30" i="1" s="1"/>
  <c r="CS31" i="1" s="1"/>
  <c r="CS32" i="1" s="1"/>
  <c r="CS33" i="1" s="1"/>
  <c r="CS34" i="1" s="1"/>
  <c r="CS36" i="1" s="1"/>
  <c r="CS37" i="1" s="1"/>
  <c r="CS38" i="1" s="1"/>
  <c r="CS39" i="1" s="1"/>
  <c r="CS40" i="1" s="1"/>
  <c r="CN11" i="1"/>
  <c r="CL11" i="1"/>
  <c r="CI11" i="1"/>
  <c r="CG11" i="1"/>
  <c r="CE11" i="1"/>
  <c r="CC11" i="1"/>
  <c r="CA11" i="1"/>
  <c r="BY11" i="1"/>
  <c r="BW11" i="1"/>
  <c r="BU11" i="1"/>
  <c r="BQ11" i="1"/>
  <c r="BS11" i="1" s="1"/>
  <c r="BK11" i="1"/>
  <c r="BI11" i="1"/>
  <c r="BF11" i="1"/>
  <c r="BD11" i="1"/>
  <c r="BB11" i="1"/>
  <c r="AZ11" i="1"/>
  <c r="AX11" i="1"/>
  <c r="AV11" i="1"/>
  <c r="AT11" i="1"/>
  <c r="AR11" i="1"/>
  <c r="AN11" i="1"/>
  <c r="AH11" i="1"/>
  <c r="AF11" i="1"/>
  <c r="AC11" i="1"/>
  <c r="AA11" i="1"/>
  <c r="Y11" i="1"/>
  <c r="W11" i="1"/>
  <c r="U11" i="1"/>
  <c r="S11" i="1"/>
  <c r="Q11" i="1"/>
  <c r="O11" i="1"/>
  <c r="K11" i="1"/>
  <c r="M11" i="1" s="1"/>
  <c r="KI10" i="1"/>
  <c r="KF10" i="1"/>
  <c r="KD10" i="1"/>
  <c r="KB10" i="1"/>
  <c r="JZ10" i="1"/>
  <c r="JX10" i="1"/>
  <c r="JV10" i="1"/>
  <c r="JT10" i="1"/>
  <c r="JR10" i="1"/>
  <c r="JP10" i="1"/>
  <c r="JN10" i="1"/>
  <c r="JL10" i="1"/>
  <c r="JF10" i="1"/>
  <c r="JC10" i="1"/>
  <c r="JA10" i="1"/>
  <c r="IY10" i="1"/>
  <c r="IW10" i="1"/>
  <c r="IU10" i="1"/>
  <c r="IS10" i="1"/>
  <c r="IQ10" i="1"/>
  <c r="IO10" i="1"/>
  <c r="IM10" i="1"/>
  <c r="IK10" i="1"/>
  <c r="II10" i="1"/>
  <c r="IC10" i="1"/>
  <c r="HZ10" i="1"/>
  <c r="HX10" i="1"/>
  <c r="HV10" i="1"/>
  <c r="HT10" i="1"/>
  <c r="HR10" i="1"/>
  <c r="HP10" i="1"/>
  <c r="HN10" i="1"/>
  <c r="HL10" i="1"/>
  <c r="HJ10" i="1"/>
  <c r="HH10" i="1"/>
  <c r="HF10" i="1"/>
  <c r="GZ10" i="1"/>
  <c r="GW10" i="1"/>
  <c r="GU10" i="1"/>
  <c r="GS10" i="1"/>
  <c r="GQ10" i="1"/>
  <c r="GO10" i="1"/>
  <c r="GM10" i="1"/>
  <c r="GK10" i="1"/>
  <c r="GI10" i="1"/>
  <c r="GG10" i="1"/>
  <c r="GE10" i="1"/>
  <c r="GC10" i="1"/>
  <c r="FW10" i="1"/>
  <c r="FT10" i="1"/>
  <c r="FR10" i="1"/>
  <c r="FP10" i="1"/>
  <c r="FN10" i="1"/>
  <c r="FL10" i="1"/>
  <c r="FJ10" i="1"/>
  <c r="FH10" i="1"/>
  <c r="FF10" i="1"/>
  <c r="FD10" i="1"/>
  <c r="FB10" i="1"/>
  <c r="EZ10" i="1"/>
  <c r="ET10" i="1"/>
  <c r="EQ10" i="1"/>
  <c r="EQ12" i="1" s="1"/>
  <c r="EO10" i="1"/>
  <c r="EM10" i="1"/>
  <c r="EK10" i="1"/>
  <c r="EI10" i="1"/>
  <c r="EG10" i="1"/>
  <c r="EE10" i="1"/>
  <c r="EC10" i="1"/>
  <c r="EA10" i="1"/>
  <c r="DW10" i="1"/>
  <c r="DY10" i="1" s="1"/>
  <c r="DQ10" i="1"/>
  <c r="DN10" i="1"/>
  <c r="DN12" i="1" s="1"/>
  <c r="DL10" i="1"/>
  <c r="DJ10" i="1"/>
  <c r="DH10" i="1"/>
  <c r="DF10" i="1"/>
  <c r="DD10" i="1"/>
  <c r="DB10" i="1"/>
  <c r="CZ10" i="1"/>
  <c r="CX10" i="1"/>
  <c r="CT10" i="1"/>
  <c r="CV10" i="1" s="1"/>
  <c r="CN10" i="1"/>
  <c r="CK10" i="1"/>
  <c r="CI10" i="1"/>
  <c r="CG10" i="1"/>
  <c r="CE10" i="1"/>
  <c r="CC10" i="1"/>
  <c r="CC12" i="1" s="1"/>
  <c r="CB10" i="1"/>
  <c r="CB11" i="1" s="1"/>
  <c r="CA10" i="1"/>
  <c r="BY10" i="1"/>
  <c r="BW10" i="1"/>
  <c r="BU10" i="1"/>
  <c r="BS10" i="1"/>
  <c r="BQ10" i="1"/>
  <c r="BK10" i="1"/>
  <c r="BH10" i="1"/>
  <c r="BG10" i="1"/>
  <c r="BG11" i="1" s="1"/>
  <c r="BG13" i="1" s="1"/>
  <c r="BF10" i="1"/>
  <c r="BD10" i="1"/>
  <c r="BB10" i="1"/>
  <c r="AZ10" i="1"/>
  <c r="AX10" i="1"/>
  <c r="AV10" i="1"/>
  <c r="AT10" i="1"/>
  <c r="AR10" i="1"/>
  <c r="AN10" i="1"/>
  <c r="AP10" i="1" s="1"/>
  <c r="AH10" i="1"/>
  <c r="AE10" i="1"/>
  <c r="AC10" i="1"/>
  <c r="AA10" i="1"/>
  <c r="Y10" i="1"/>
  <c r="W10" i="1"/>
  <c r="U10" i="1"/>
  <c r="S10" i="1"/>
  <c r="Q10" i="1"/>
  <c r="O10" i="1"/>
  <c r="M10" i="1"/>
  <c r="K10" i="1"/>
  <c r="KJ9" i="1"/>
  <c r="KJ10" i="1" s="1"/>
  <c r="KJ11" i="1" s="1"/>
  <c r="KI9" i="1"/>
  <c r="KH9" i="1"/>
  <c r="KD9" i="1"/>
  <c r="KB9" i="1"/>
  <c r="JZ9" i="1"/>
  <c r="JX9" i="1"/>
  <c r="JV9" i="1"/>
  <c r="JT9" i="1"/>
  <c r="JR9" i="1"/>
  <c r="JP9" i="1"/>
  <c r="JN9" i="1"/>
  <c r="JL9" i="1"/>
  <c r="JF9" i="1"/>
  <c r="JE9" i="1"/>
  <c r="JA9" i="1"/>
  <c r="IY9" i="1"/>
  <c r="IW9" i="1"/>
  <c r="IU9" i="1"/>
  <c r="IS9" i="1"/>
  <c r="IQ9" i="1"/>
  <c r="IO9" i="1"/>
  <c r="IM9" i="1"/>
  <c r="IK9" i="1"/>
  <c r="II9" i="1"/>
  <c r="IC9" i="1"/>
  <c r="IB9" i="1"/>
  <c r="HX9" i="1"/>
  <c r="HV9" i="1"/>
  <c r="HT9" i="1"/>
  <c r="HR9" i="1"/>
  <c r="HP9" i="1"/>
  <c r="HN9" i="1"/>
  <c r="HL9" i="1"/>
  <c r="HJ9" i="1"/>
  <c r="HH9" i="1"/>
  <c r="HF9" i="1"/>
  <c r="HF12" i="1" s="1"/>
  <c r="GZ9" i="1"/>
  <c r="GY9" i="1"/>
  <c r="GU9" i="1"/>
  <c r="GS9" i="1"/>
  <c r="GQ9" i="1"/>
  <c r="GO9" i="1"/>
  <c r="GM9" i="1"/>
  <c r="GK9" i="1"/>
  <c r="GJ9" i="1"/>
  <c r="GJ10" i="1" s="1"/>
  <c r="GJ11" i="1" s="1"/>
  <c r="GI9" i="1"/>
  <c r="GG9" i="1"/>
  <c r="GE9" i="1"/>
  <c r="GC9" i="1"/>
  <c r="FW9" i="1"/>
  <c r="FV9" i="1"/>
  <c r="FR9" i="1"/>
  <c r="FP9" i="1"/>
  <c r="FN9" i="1"/>
  <c r="FN12" i="1" s="1"/>
  <c r="FN23" i="1" s="1"/>
  <c r="FL9" i="1"/>
  <c r="FJ9" i="1"/>
  <c r="FH9" i="1"/>
  <c r="FF9" i="1"/>
  <c r="FD9" i="1"/>
  <c r="EZ9" i="1"/>
  <c r="ET9" i="1"/>
  <c r="ES9" i="1"/>
  <c r="EO9" i="1"/>
  <c r="EM9" i="1"/>
  <c r="EK9" i="1"/>
  <c r="EI9" i="1"/>
  <c r="EG9" i="1"/>
  <c r="EE9" i="1"/>
  <c r="EC9" i="1"/>
  <c r="EA9" i="1"/>
  <c r="DW9" i="1"/>
  <c r="DY9" i="1" s="1"/>
  <c r="DQ9" i="1"/>
  <c r="DP9" i="1"/>
  <c r="DL9" i="1"/>
  <c r="DJ9" i="1"/>
  <c r="DH9" i="1"/>
  <c r="DF9" i="1"/>
  <c r="DD9" i="1"/>
  <c r="DB9" i="1"/>
  <c r="CZ9" i="1"/>
  <c r="CX9" i="1"/>
  <c r="CT9" i="1"/>
  <c r="CV9" i="1" s="1"/>
  <c r="CN9" i="1"/>
  <c r="CM9" i="1"/>
  <c r="CI9" i="1"/>
  <c r="CG9" i="1"/>
  <c r="CE9" i="1"/>
  <c r="CC9" i="1"/>
  <c r="CA9" i="1"/>
  <c r="BY9" i="1"/>
  <c r="BW9" i="1"/>
  <c r="BU9" i="1"/>
  <c r="BQ9" i="1"/>
  <c r="BS9" i="1" s="1"/>
  <c r="BK9" i="1"/>
  <c r="BJ9" i="1"/>
  <c r="BF9" i="1"/>
  <c r="BD9" i="1"/>
  <c r="BB9" i="1"/>
  <c r="AZ9" i="1"/>
  <c r="BA9" i="1" s="1"/>
  <c r="BA10" i="1" s="1"/>
  <c r="BA11" i="1" s="1"/>
  <c r="BA13" i="1" s="1"/>
  <c r="BA14" i="1" s="1"/>
  <c r="BA15" i="1" s="1"/>
  <c r="BA16" i="1" s="1"/>
  <c r="BA17" i="1" s="1"/>
  <c r="BA18" i="1" s="1"/>
  <c r="BA19" i="1" s="1"/>
  <c r="BA20" i="1" s="1"/>
  <c r="BA21" i="1" s="1"/>
  <c r="AX9" i="1"/>
  <c r="AV9" i="1"/>
  <c r="AT9" i="1"/>
  <c r="AR9" i="1"/>
  <c r="AN9" i="1"/>
  <c r="AP9" i="1" s="1"/>
  <c r="AK9" i="1"/>
  <c r="AK10" i="1" s="1"/>
  <c r="AK11" i="1" s="1"/>
  <c r="AK13" i="1" s="1"/>
  <c r="AK14" i="1" s="1"/>
  <c r="AK15" i="1" s="1"/>
  <c r="AK16" i="1" s="1"/>
  <c r="AK17" i="1" s="1"/>
  <c r="AK18" i="1" s="1"/>
  <c r="AK19" i="1" s="1"/>
  <c r="AK20" i="1" s="1"/>
  <c r="AK21" i="1" s="1"/>
  <c r="AK26" i="1" s="1"/>
  <c r="AK27" i="1" s="1"/>
  <c r="AK28" i="1" s="1"/>
  <c r="AK29" i="1" s="1"/>
  <c r="AK30" i="1" s="1"/>
  <c r="AK31" i="1" s="1"/>
  <c r="AK32" i="1" s="1"/>
  <c r="AK33" i="1" s="1"/>
  <c r="AK34" i="1" s="1"/>
  <c r="AK36" i="1" s="1"/>
  <c r="AK37" i="1" s="1"/>
  <c r="AK38" i="1" s="1"/>
  <c r="AK39" i="1" s="1"/>
  <c r="AK40" i="1" s="1"/>
  <c r="AK41" i="1" s="1"/>
  <c r="AK42" i="1" s="1"/>
  <c r="AK43" i="1" s="1"/>
  <c r="AK44" i="1" s="1"/>
  <c r="AK50" i="1" s="1"/>
  <c r="AK51" i="1" s="1"/>
  <c r="AK52" i="1" s="1"/>
  <c r="AK53" i="1" s="1"/>
  <c r="AK54" i="1" s="1"/>
  <c r="AK55" i="1" s="1"/>
  <c r="AK56" i="1" s="1"/>
  <c r="AK57" i="1" s="1"/>
  <c r="AK58" i="1" s="1"/>
  <c r="AK60" i="1" s="1"/>
  <c r="AK61" i="1" s="1"/>
  <c r="AK62" i="1" s="1"/>
  <c r="AK63" i="1" s="1"/>
  <c r="AK64" i="1" s="1"/>
  <c r="AK65" i="1" s="1"/>
  <c r="AK66" i="1" s="1"/>
  <c r="AK67" i="1" s="1"/>
  <c r="AK68" i="1" s="1"/>
  <c r="AK74" i="1" s="1"/>
  <c r="AK75" i="1" s="1"/>
  <c r="AK76" i="1" s="1"/>
  <c r="AK77" i="1" s="1"/>
  <c r="AK78" i="1" s="1"/>
  <c r="AK79" i="1" s="1"/>
  <c r="AK80" i="1" s="1"/>
  <c r="AK81" i="1" s="1"/>
  <c r="AK82" i="1" s="1"/>
  <c r="AK84" i="1" s="1"/>
  <c r="AK85" i="1" s="1"/>
  <c r="AK86" i="1" s="1"/>
  <c r="AK87" i="1" s="1"/>
  <c r="AK88" i="1" s="1"/>
  <c r="AK89" i="1" s="1"/>
  <c r="AK90" i="1" s="1"/>
  <c r="AK91" i="1" s="1"/>
  <c r="AK92" i="1" s="1"/>
  <c r="AH9" i="1"/>
  <c r="AG9" i="1"/>
  <c r="AC9" i="1"/>
  <c r="AA9" i="1"/>
  <c r="Y9" i="1"/>
  <c r="W9" i="1"/>
  <c r="U9" i="1"/>
  <c r="S9" i="1"/>
  <c r="R9" i="1"/>
  <c r="R10" i="1" s="1"/>
  <c r="R11" i="1" s="1"/>
  <c r="Q9" i="1"/>
  <c r="O9" i="1"/>
  <c r="K9" i="1"/>
  <c r="M9" i="1" s="1"/>
  <c r="KI8" i="1"/>
  <c r="KG8" i="1"/>
  <c r="KD8" i="1"/>
  <c r="KB8" i="1"/>
  <c r="JZ8" i="1"/>
  <c r="JX8" i="1"/>
  <c r="JV8" i="1"/>
  <c r="JT8" i="1"/>
  <c r="JR8" i="1"/>
  <c r="JP8" i="1"/>
  <c r="JN8" i="1"/>
  <c r="JL8" i="1"/>
  <c r="JF8" i="1"/>
  <c r="JD8" i="1"/>
  <c r="JA8" i="1"/>
  <c r="IY8" i="1"/>
  <c r="IW8" i="1"/>
  <c r="IU8" i="1"/>
  <c r="IS8" i="1"/>
  <c r="IQ8" i="1"/>
  <c r="IO8" i="1"/>
  <c r="IM8" i="1"/>
  <c r="IK8" i="1"/>
  <c r="II8" i="1"/>
  <c r="IC8" i="1"/>
  <c r="IA8" i="1"/>
  <c r="HX8" i="1"/>
  <c r="HV8" i="1"/>
  <c r="HT8" i="1"/>
  <c r="HR8" i="1"/>
  <c r="HP8" i="1"/>
  <c r="HN8" i="1"/>
  <c r="HL8" i="1"/>
  <c r="HJ8" i="1"/>
  <c r="HF8" i="1"/>
  <c r="GZ8" i="1"/>
  <c r="GX8" i="1"/>
  <c r="GU8" i="1"/>
  <c r="GS8" i="1"/>
  <c r="GQ8" i="1"/>
  <c r="GO8" i="1"/>
  <c r="GM8" i="1"/>
  <c r="GK8" i="1"/>
  <c r="GI8" i="1"/>
  <c r="GG8" i="1"/>
  <c r="GE8" i="1"/>
  <c r="GD8" i="1"/>
  <c r="GD9" i="1" s="1"/>
  <c r="GD10" i="1" s="1"/>
  <c r="GD11" i="1" s="1"/>
  <c r="GC8" i="1"/>
  <c r="FW8" i="1"/>
  <c r="FU8" i="1"/>
  <c r="FR8" i="1"/>
  <c r="FP8" i="1"/>
  <c r="FN8" i="1"/>
  <c r="FL8" i="1"/>
  <c r="FJ8" i="1"/>
  <c r="FH8" i="1"/>
  <c r="FF8" i="1"/>
  <c r="FD8" i="1"/>
  <c r="FB8" i="1"/>
  <c r="EZ8" i="1"/>
  <c r="ET8" i="1"/>
  <c r="ER8" i="1"/>
  <c r="ER12" i="1" s="1"/>
  <c r="EO8" i="1"/>
  <c r="EM8" i="1"/>
  <c r="EL8" i="1"/>
  <c r="EL9" i="1" s="1"/>
  <c r="EL10" i="1" s="1"/>
  <c r="EL11" i="1" s="1"/>
  <c r="EK8" i="1"/>
  <c r="EI8" i="1"/>
  <c r="EG8" i="1"/>
  <c r="EE8" i="1"/>
  <c r="EC8" i="1"/>
  <c r="EA8" i="1"/>
  <c r="DW8" i="1"/>
  <c r="DV8" i="1"/>
  <c r="DV9" i="1" s="1"/>
  <c r="DV10" i="1" s="1"/>
  <c r="DV11" i="1" s="1"/>
  <c r="DV13" i="1" s="1"/>
  <c r="DV14" i="1" s="1"/>
  <c r="DV15" i="1" s="1"/>
  <c r="DV16" i="1" s="1"/>
  <c r="DV17" i="1" s="1"/>
  <c r="DV18" i="1" s="1"/>
  <c r="DV19" i="1" s="1"/>
  <c r="DV20" i="1" s="1"/>
  <c r="DV21" i="1" s="1"/>
  <c r="DV26" i="1" s="1"/>
  <c r="DV27" i="1" s="1"/>
  <c r="DV28" i="1" s="1"/>
  <c r="DV29" i="1" s="1"/>
  <c r="DV30" i="1" s="1"/>
  <c r="DV31" i="1" s="1"/>
  <c r="DV32" i="1" s="1"/>
  <c r="DV33" i="1" s="1"/>
  <c r="DV34" i="1" s="1"/>
  <c r="DV36" i="1" s="1"/>
  <c r="DV37" i="1" s="1"/>
  <c r="DV38" i="1" s="1"/>
  <c r="DV39" i="1" s="1"/>
  <c r="DV40" i="1" s="1"/>
  <c r="DV41" i="1" s="1"/>
  <c r="DV42" i="1" s="1"/>
  <c r="DV43" i="1" s="1"/>
  <c r="DV44" i="1" s="1"/>
  <c r="DV50" i="1" s="1"/>
  <c r="DV51" i="1" s="1"/>
  <c r="DV52" i="1" s="1"/>
  <c r="DV53" i="1" s="1"/>
  <c r="DV54" i="1" s="1"/>
  <c r="DV55" i="1" s="1"/>
  <c r="DV56" i="1" s="1"/>
  <c r="DV57" i="1" s="1"/>
  <c r="DV58" i="1" s="1"/>
  <c r="DV60" i="1" s="1"/>
  <c r="DV61" i="1" s="1"/>
  <c r="DV62" i="1" s="1"/>
  <c r="DV63" i="1" s="1"/>
  <c r="DV64" i="1" s="1"/>
  <c r="DV65" i="1" s="1"/>
  <c r="DV66" i="1" s="1"/>
  <c r="DV67" i="1" s="1"/>
  <c r="DV68" i="1" s="1"/>
  <c r="DV74" i="1" s="1"/>
  <c r="DV75" i="1" s="1"/>
  <c r="DV76" i="1" s="1"/>
  <c r="DV77" i="1" s="1"/>
  <c r="DV78" i="1" s="1"/>
  <c r="DV79" i="1" s="1"/>
  <c r="DV80" i="1" s="1"/>
  <c r="DV81" i="1" s="1"/>
  <c r="DV82" i="1" s="1"/>
  <c r="DV84" i="1" s="1"/>
  <c r="DV85" i="1" s="1"/>
  <c r="DV86" i="1" s="1"/>
  <c r="DV87" i="1" s="1"/>
  <c r="DV88" i="1" s="1"/>
  <c r="DV89" i="1" s="1"/>
  <c r="DV90" i="1" s="1"/>
  <c r="DV91" i="1" s="1"/>
  <c r="DV92" i="1" s="1"/>
  <c r="DQ8" i="1"/>
  <c r="DO8" i="1"/>
  <c r="DO12" i="1" s="1"/>
  <c r="DL8" i="1"/>
  <c r="DJ8" i="1"/>
  <c r="DH8" i="1"/>
  <c r="DF8" i="1"/>
  <c r="DD8" i="1"/>
  <c r="DB8" i="1"/>
  <c r="CZ8" i="1"/>
  <c r="CX8" i="1"/>
  <c r="CT8" i="1"/>
  <c r="CV8" i="1" s="1"/>
  <c r="CN8" i="1"/>
  <c r="CL8" i="1"/>
  <c r="CI8" i="1"/>
  <c r="CG8" i="1"/>
  <c r="CE8" i="1"/>
  <c r="CC8" i="1"/>
  <c r="CA8" i="1"/>
  <c r="BY8" i="1"/>
  <c r="BW8" i="1"/>
  <c r="BU8" i="1"/>
  <c r="BQ8" i="1"/>
  <c r="BK8" i="1"/>
  <c r="BI8" i="1"/>
  <c r="BF8" i="1"/>
  <c r="BD8" i="1"/>
  <c r="BB8" i="1"/>
  <c r="AZ8" i="1"/>
  <c r="AX8" i="1"/>
  <c r="AV8" i="1"/>
  <c r="AT8" i="1"/>
  <c r="AR8" i="1"/>
  <c r="AP8" i="1"/>
  <c r="AN8" i="1"/>
  <c r="AH8" i="1"/>
  <c r="AF8" i="1"/>
  <c r="AC8" i="1"/>
  <c r="AA8" i="1"/>
  <c r="Y8" i="1"/>
  <c r="W8" i="1"/>
  <c r="U8" i="1"/>
  <c r="S8" i="1"/>
  <c r="Q8" i="1"/>
  <c r="O8" i="1"/>
  <c r="M8" i="1"/>
  <c r="K8" i="1"/>
  <c r="KI7" i="1"/>
  <c r="KG7" i="1"/>
  <c r="KD7" i="1"/>
  <c r="KB7" i="1"/>
  <c r="JZ7" i="1"/>
  <c r="JX7" i="1"/>
  <c r="JV7" i="1"/>
  <c r="JT7" i="1"/>
  <c r="JR7" i="1"/>
  <c r="JP7" i="1"/>
  <c r="JL7" i="1"/>
  <c r="JF7" i="1"/>
  <c r="JD7" i="1"/>
  <c r="JA7" i="1"/>
  <c r="IY7" i="1"/>
  <c r="IW7" i="1"/>
  <c r="IU7" i="1"/>
  <c r="IS7" i="1"/>
  <c r="IQ7" i="1"/>
  <c r="IO7" i="1"/>
  <c r="IM7" i="1"/>
  <c r="II7" i="1"/>
  <c r="IC7" i="1"/>
  <c r="IA7" i="1"/>
  <c r="HX7" i="1"/>
  <c r="HV7" i="1"/>
  <c r="HT7" i="1"/>
  <c r="HR7" i="1"/>
  <c r="HP7" i="1"/>
  <c r="HN7" i="1"/>
  <c r="HL7" i="1"/>
  <c r="HJ7" i="1"/>
  <c r="HH7" i="1"/>
  <c r="HF7" i="1"/>
  <c r="GZ7" i="1"/>
  <c r="GX7" i="1"/>
  <c r="GU7" i="1"/>
  <c r="GS7" i="1"/>
  <c r="GQ7" i="1"/>
  <c r="GO7" i="1"/>
  <c r="GM7" i="1"/>
  <c r="GK7" i="1"/>
  <c r="GI7" i="1"/>
  <c r="GG7" i="1"/>
  <c r="GE7" i="1"/>
  <c r="GC7" i="1"/>
  <c r="FW7" i="1"/>
  <c r="FU7" i="1"/>
  <c r="FR7" i="1"/>
  <c r="FP7" i="1"/>
  <c r="FN7" i="1"/>
  <c r="FL7" i="1"/>
  <c r="FJ7" i="1"/>
  <c r="FH7" i="1"/>
  <c r="FF7" i="1"/>
  <c r="FD7" i="1"/>
  <c r="EZ7" i="1"/>
  <c r="FB7" i="1" s="1"/>
  <c r="ET7" i="1"/>
  <c r="ER7" i="1"/>
  <c r="EO7" i="1"/>
  <c r="EM7" i="1"/>
  <c r="EK7" i="1"/>
  <c r="EI7" i="1"/>
  <c r="EG7" i="1"/>
  <c r="EE7" i="1"/>
  <c r="EC7" i="1"/>
  <c r="EA7" i="1"/>
  <c r="DW7" i="1"/>
  <c r="DQ7" i="1"/>
  <c r="DO7" i="1"/>
  <c r="DL7" i="1"/>
  <c r="DJ7" i="1"/>
  <c r="DH7" i="1"/>
  <c r="DF7" i="1"/>
  <c r="DD7" i="1"/>
  <c r="DB7" i="1"/>
  <c r="CZ7" i="1"/>
  <c r="CX7" i="1"/>
  <c r="CT7" i="1"/>
  <c r="CV7" i="1" s="1"/>
  <c r="CN7" i="1"/>
  <c r="CL7" i="1"/>
  <c r="CI7" i="1"/>
  <c r="CG7" i="1"/>
  <c r="CE7" i="1"/>
  <c r="CC7" i="1"/>
  <c r="CA7" i="1"/>
  <c r="BY7" i="1"/>
  <c r="BW7" i="1"/>
  <c r="BU7" i="1"/>
  <c r="BQ7" i="1"/>
  <c r="BK7" i="1"/>
  <c r="BI7" i="1"/>
  <c r="BF7" i="1"/>
  <c r="BD7" i="1"/>
  <c r="BB7" i="1"/>
  <c r="AZ7" i="1"/>
  <c r="AX7" i="1"/>
  <c r="AV7" i="1"/>
  <c r="AT7" i="1"/>
  <c r="AR7" i="1"/>
  <c r="AP7" i="1"/>
  <c r="AN7" i="1"/>
  <c r="AH7" i="1"/>
  <c r="AF7" i="1"/>
  <c r="AC7" i="1"/>
  <c r="AA7" i="1"/>
  <c r="Y7" i="1"/>
  <c r="W7" i="1"/>
  <c r="U7" i="1"/>
  <c r="S7" i="1"/>
  <c r="Q7" i="1"/>
  <c r="O7" i="1"/>
  <c r="M7" i="1"/>
  <c r="K7" i="1"/>
  <c r="KI6" i="1"/>
  <c r="KF6" i="1"/>
  <c r="KD6" i="1"/>
  <c r="KB6" i="1"/>
  <c r="JZ6" i="1"/>
  <c r="JX6" i="1"/>
  <c r="JV6" i="1"/>
  <c r="JT6" i="1"/>
  <c r="JR6" i="1"/>
  <c r="JP6" i="1"/>
  <c r="JL6" i="1"/>
  <c r="JF6" i="1"/>
  <c r="JC6" i="1"/>
  <c r="JA6" i="1"/>
  <c r="IY6" i="1"/>
  <c r="IW6" i="1"/>
  <c r="IU6" i="1"/>
  <c r="IS6" i="1"/>
  <c r="IQ6" i="1"/>
  <c r="IO6" i="1"/>
  <c r="IM6" i="1"/>
  <c r="II6" i="1"/>
  <c r="IC6" i="1"/>
  <c r="HZ6" i="1"/>
  <c r="HX6" i="1"/>
  <c r="HV6" i="1"/>
  <c r="HT6" i="1"/>
  <c r="HR6" i="1"/>
  <c r="HP6" i="1"/>
  <c r="HN6" i="1"/>
  <c r="HL6" i="1"/>
  <c r="HJ6" i="1"/>
  <c r="HH6" i="1"/>
  <c r="HF6" i="1"/>
  <c r="GZ6" i="1"/>
  <c r="GW6" i="1"/>
  <c r="GU6" i="1"/>
  <c r="GS6" i="1"/>
  <c r="GQ6" i="1"/>
  <c r="GR6" i="1" s="1"/>
  <c r="GR7" i="1" s="1"/>
  <c r="GR8" i="1" s="1"/>
  <c r="GO6" i="1"/>
  <c r="GM6" i="1"/>
  <c r="GK6" i="1"/>
  <c r="GI6" i="1"/>
  <c r="GG6" i="1"/>
  <c r="GE6" i="1"/>
  <c r="GC6" i="1"/>
  <c r="FW6" i="1"/>
  <c r="FT6" i="1"/>
  <c r="FR6" i="1"/>
  <c r="FP6" i="1"/>
  <c r="FN6" i="1"/>
  <c r="FL6" i="1"/>
  <c r="FJ6" i="1"/>
  <c r="FH6" i="1"/>
  <c r="FF6" i="1"/>
  <c r="FD6" i="1"/>
  <c r="EZ6" i="1"/>
  <c r="FB6" i="1" s="1"/>
  <c r="ET6" i="1"/>
  <c r="EQ6" i="1"/>
  <c r="EO6" i="1"/>
  <c r="EM6" i="1"/>
  <c r="EK6" i="1"/>
  <c r="EI6" i="1"/>
  <c r="EG6" i="1"/>
  <c r="EE6" i="1"/>
  <c r="EC6" i="1"/>
  <c r="EA6" i="1"/>
  <c r="DW6" i="1"/>
  <c r="DQ6" i="1"/>
  <c r="DN6" i="1"/>
  <c r="DL6" i="1"/>
  <c r="DJ6" i="1"/>
  <c r="DH6" i="1"/>
  <c r="DF6" i="1"/>
  <c r="DD6" i="1"/>
  <c r="DB6" i="1"/>
  <c r="CZ6" i="1"/>
  <c r="CX6" i="1"/>
  <c r="CT6" i="1"/>
  <c r="CV6" i="1" s="1"/>
  <c r="CN6" i="1"/>
  <c r="CK6" i="1"/>
  <c r="CI6" i="1"/>
  <c r="CG6" i="1"/>
  <c r="CE6" i="1"/>
  <c r="CC6" i="1"/>
  <c r="CA6" i="1"/>
  <c r="BY6" i="1"/>
  <c r="BW6" i="1"/>
  <c r="BU6" i="1"/>
  <c r="BQ6" i="1"/>
  <c r="BK6" i="1"/>
  <c r="BH6" i="1"/>
  <c r="BH12" i="1" s="1"/>
  <c r="BF6" i="1"/>
  <c r="BD6" i="1"/>
  <c r="BB6" i="1"/>
  <c r="AZ6" i="1"/>
  <c r="AX6" i="1"/>
  <c r="AV6" i="1"/>
  <c r="AT6" i="1"/>
  <c r="AR6" i="1"/>
  <c r="AP6" i="1"/>
  <c r="AN6" i="1"/>
  <c r="AH6" i="1"/>
  <c r="AE6" i="1"/>
  <c r="AC6" i="1"/>
  <c r="AA6" i="1"/>
  <c r="Y6" i="1"/>
  <c r="W6" i="1"/>
  <c r="U6" i="1"/>
  <c r="S6" i="1"/>
  <c r="Q6" i="1"/>
  <c r="O6" i="1"/>
  <c r="M6" i="1"/>
  <c r="K6" i="1"/>
  <c r="KI5" i="1"/>
  <c r="KG5" i="1"/>
  <c r="KD5" i="1"/>
  <c r="KB5" i="1"/>
  <c r="JZ5" i="1"/>
  <c r="JX5" i="1"/>
  <c r="JV5" i="1"/>
  <c r="JT5" i="1"/>
  <c r="JS5" i="1"/>
  <c r="JS6" i="1" s="1"/>
  <c r="JS7" i="1" s="1"/>
  <c r="JS8" i="1" s="1"/>
  <c r="JS9" i="1" s="1"/>
  <c r="JS10" i="1" s="1"/>
  <c r="JR5" i="1"/>
  <c r="JP5" i="1"/>
  <c r="JL5" i="1"/>
  <c r="JF5" i="1"/>
  <c r="JD5" i="1"/>
  <c r="JA5" i="1"/>
  <c r="IY5" i="1"/>
  <c r="IW5" i="1"/>
  <c r="IX5" i="1" s="1"/>
  <c r="IU5" i="1"/>
  <c r="IS5" i="1"/>
  <c r="IQ5" i="1"/>
  <c r="IO5" i="1"/>
  <c r="IM5" i="1"/>
  <c r="II5" i="1"/>
  <c r="IC5" i="1"/>
  <c r="IA5" i="1"/>
  <c r="HX5" i="1"/>
  <c r="HV5" i="1"/>
  <c r="HT5" i="1"/>
  <c r="HR5" i="1"/>
  <c r="HP5" i="1"/>
  <c r="HN5" i="1"/>
  <c r="HL5" i="1"/>
  <c r="HJ5" i="1"/>
  <c r="HH5" i="1"/>
  <c r="HF5" i="1"/>
  <c r="GZ5" i="1"/>
  <c r="GX5" i="1"/>
  <c r="GU5" i="1"/>
  <c r="GS5" i="1"/>
  <c r="GQ5" i="1"/>
  <c r="GR5" i="1" s="1"/>
  <c r="GO5" i="1"/>
  <c r="GM5" i="1"/>
  <c r="GK5" i="1"/>
  <c r="GI5" i="1"/>
  <c r="GG5" i="1"/>
  <c r="GE5" i="1"/>
  <c r="GC5" i="1"/>
  <c r="FW5" i="1"/>
  <c r="FU5" i="1"/>
  <c r="FR5" i="1"/>
  <c r="FP5" i="1"/>
  <c r="FN5" i="1"/>
  <c r="FL5" i="1"/>
  <c r="FJ5" i="1"/>
  <c r="FH5" i="1"/>
  <c r="FF5" i="1"/>
  <c r="FD5" i="1"/>
  <c r="EZ5" i="1"/>
  <c r="FB5" i="1" s="1"/>
  <c r="ET5" i="1"/>
  <c r="ER5" i="1"/>
  <c r="EO5" i="1"/>
  <c r="EM5" i="1"/>
  <c r="EK5" i="1"/>
  <c r="EI5" i="1"/>
  <c r="EG5" i="1"/>
  <c r="EE5" i="1"/>
  <c r="EC5" i="1"/>
  <c r="EA5" i="1"/>
  <c r="DW5" i="1"/>
  <c r="DT5" i="1"/>
  <c r="DT6" i="1" s="1"/>
  <c r="DT7" i="1" s="1"/>
  <c r="DT8" i="1" s="1"/>
  <c r="DT9" i="1" s="1"/>
  <c r="DT10" i="1" s="1"/>
  <c r="DT11" i="1" s="1"/>
  <c r="DT13" i="1" s="1"/>
  <c r="DT14" i="1" s="1"/>
  <c r="DT15" i="1" s="1"/>
  <c r="DT16" i="1" s="1"/>
  <c r="DT17" i="1" s="1"/>
  <c r="DT18" i="1" s="1"/>
  <c r="DT19" i="1" s="1"/>
  <c r="DT20" i="1" s="1"/>
  <c r="DT21" i="1" s="1"/>
  <c r="DT26" i="1" s="1"/>
  <c r="DT27" i="1" s="1"/>
  <c r="DT28" i="1" s="1"/>
  <c r="DT29" i="1" s="1"/>
  <c r="DT30" i="1" s="1"/>
  <c r="DT31" i="1" s="1"/>
  <c r="DT32" i="1" s="1"/>
  <c r="DT33" i="1" s="1"/>
  <c r="DT34" i="1" s="1"/>
  <c r="DT36" i="1" s="1"/>
  <c r="DT37" i="1" s="1"/>
  <c r="DT38" i="1" s="1"/>
  <c r="DT39" i="1" s="1"/>
  <c r="DT40" i="1" s="1"/>
  <c r="DT41" i="1" s="1"/>
  <c r="DT42" i="1" s="1"/>
  <c r="DT43" i="1" s="1"/>
  <c r="DT44" i="1" s="1"/>
  <c r="DT50" i="1" s="1"/>
  <c r="DT51" i="1" s="1"/>
  <c r="DT52" i="1" s="1"/>
  <c r="DT53" i="1" s="1"/>
  <c r="DT54" i="1" s="1"/>
  <c r="DT55" i="1" s="1"/>
  <c r="DT56" i="1" s="1"/>
  <c r="DT57" i="1" s="1"/>
  <c r="DT58" i="1" s="1"/>
  <c r="DT60" i="1" s="1"/>
  <c r="DT61" i="1" s="1"/>
  <c r="DT62" i="1" s="1"/>
  <c r="DT63" i="1" s="1"/>
  <c r="DT64" i="1" s="1"/>
  <c r="DT65" i="1" s="1"/>
  <c r="DT66" i="1" s="1"/>
  <c r="DT67" i="1" s="1"/>
  <c r="DT68" i="1" s="1"/>
  <c r="DT74" i="1" s="1"/>
  <c r="DT75" i="1" s="1"/>
  <c r="DT76" i="1" s="1"/>
  <c r="DT77" i="1" s="1"/>
  <c r="DT78" i="1" s="1"/>
  <c r="DT79" i="1" s="1"/>
  <c r="DT80" i="1" s="1"/>
  <c r="DT81" i="1" s="1"/>
  <c r="DT82" i="1" s="1"/>
  <c r="DT84" i="1" s="1"/>
  <c r="DT85" i="1" s="1"/>
  <c r="DT86" i="1" s="1"/>
  <c r="DT87" i="1" s="1"/>
  <c r="DT88" i="1" s="1"/>
  <c r="DT89" i="1" s="1"/>
  <c r="DT90" i="1" s="1"/>
  <c r="DT91" i="1" s="1"/>
  <c r="DT92" i="1" s="1"/>
  <c r="DQ5" i="1"/>
  <c r="DO5" i="1"/>
  <c r="DL5" i="1"/>
  <c r="DJ5" i="1"/>
  <c r="DH5" i="1"/>
  <c r="DF5" i="1"/>
  <c r="DD5" i="1"/>
  <c r="DB5" i="1"/>
  <c r="DC5" i="1" s="1"/>
  <c r="CZ5" i="1"/>
  <c r="CX5" i="1"/>
  <c r="CT5" i="1"/>
  <c r="CV5" i="1" s="1"/>
  <c r="CN5" i="1"/>
  <c r="CL5" i="1"/>
  <c r="CI5" i="1"/>
  <c r="CG5" i="1"/>
  <c r="CE5" i="1"/>
  <c r="CF5" i="1" s="1"/>
  <c r="CD5" i="1"/>
  <c r="CD6" i="1" s="1"/>
  <c r="CD7" i="1" s="1"/>
  <c r="CD8" i="1" s="1"/>
  <c r="CC5" i="1"/>
  <c r="CA5" i="1"/>
  <c r="BY5" i="1"/>
  <c r="BW5" i="1"/>
  <c r="BU5" i="1"/>
  <c r="BQ5" i="1"/>
  <c r="BK5" i="1"/>
  <c r="BI5" i="1"/>
  <c r="BF5" i="1"/>
  <c r="BD5" i="1"/>
  <c r="BB5" i="1"/>
  <c r="AZ5" i="1"/>
  <c r="AX5" i="1"/>
  <c r="AV5" i="1"/>
  <c r="AT5" i="1"/>
  <c r="AR5" i="1"/>
  <c r="AP5" i="1"/>
  <c r="AN5" i="1"/>
  <c r="AH5" i="1"/>
  <c r="AF5" i="1"/>
  <c r="AC5" i="1"/>
  <c r="AA5" i="1"/>
  <c r="Y5" i="1"/>
  <c r="W5" i="1"/>
  <c r="U5" i="1"/>
  <c r="S5" i="1"/>
  <c r="Q5" i="1"/>
  <c r="O5" i="1"/>
  <c r="M5" i="1"/>
  <c r="K5" i="1"/>
  <c r="KI4" i="1"/>
  <c r="KH4" i="1"/>
  <c r="KE4" i="1"/>
  <c r="KE5" i="1" s="1"/>
  <c r="KE6" i="1" s="1"/>
  <c r="KE7" i="1" s="1"/>
  <c r="KD4" i="1"/>
  <c r="KB4" i="1"/>
  <c r="JZ4" i="1"/>
  <c r="JX4" i="1"/>
  <c r="JV4" i="1"/>
  <c r="JT4" i="1"/>
  <c r="JU4" i="1" s="1"/>
  <c r="JS4" i="1"/>
  <c r="JR4" i="1"/>
  <c r="JP4" i="1"/>
  <c r="JQ4" i="1" s="1"/>
  <c r="JL4" i="1"/>
  <c r="JF4" i="1"/>
  <c r="JG4" i="1" s="1"/>
  <c r="JE4" i="1"/>
  <c r="JA4" i="1"/>
  <c r="IY4" i="1"/>
  <c r="IW4" i="1"/>
  <c r="IX4" i="1" s="1"/>
  <c r="IV4" i="1"/>
  <c r="IV5" i="1" s="1"/>
  <c r="IV6" i="1" s="1"/>
  <c r="IV7" i="1" s="1"/>
  <c r="IV8" i="1" s="1"/>
  <c r="IV9" i="1" s="1"/>
  <c r="IV10" i="1" s="1"/>
  <c r="IU4" i="1"/>
  <c r="IS4" i="1"/>
  <c r="IQ4" i="1"/>
  <c r="IO4" i="1"/>
  <c r="IM4" i="1"/>
  <c r="II4" i="1"/>
  <c r="IC4" i="1"/>
  <c r="IB4" i="1"/>
  <c r="HX4" i="1"/>
  <c r="HV4" i="1"/>
  <c r="HT4" i="1"/>
  <c r="HR4" i="1"/>
  <c r="HP4" i="1"/>
  <c r="HQ4" i="1" s="1"/>
  <c r="HN4" i="1"/>
  <c r="HL4" i="1"/>
  <c r="HM4" i="1" s="1"/>
  <c r="HJ4" i="1"/>
  <c r="HK4" i="1" s="1"/>
  <c r="HH4" i="1"/>
  <c r="HF4" i="1"/>
  <c r="GZ4" i="1"/>
  <c r="GY4" i="1"/>
  <c r="GV4" i="1"/>
  <c r="GV5" i="1" s="1"/>
  <c r="GV6" i="1" s="1"/>
  <c r="GV7" i="1" s="1"/>
  <c r="GV8" i="1" s="1"/>
  <c r="GV9" i="1" s="1"/>
  <c r="GV10" i="1" s="1"/>
  <c r="GV11" i="1" s="1"/>
  <c r="GU4" i="1"/>
  <c r="GS4" i="1"/>
  <c r="GT4" i="1" s="1"/>
  <c r="GR4" i="1"/>
  <c r="GQ4" i="1"/>
  <c r="GO4" i="1"/>
  <c r="GM4" i="1"/>
  <c r="GK4" i="1"/>
  <c r="GI4" i="1"/>
  <c r="GG4" i="1"/>
  <c r="GH4" i="1" s="1"/>
  <c r="GE4" i="1"/>
  <c r="GC4" i="1"/>
  <c r="FZ4" i="1"/>
  <c r="FZ5" i="1" s="1"/>
  <c r="FZ6" i="1" s="1"/>
  <c r="FZ7" i="1" s="1"/>
  <c r="FZ8" i="1" s="1"/>
  <c r="FZ9" i="1" s="1"/>
  <c r="FZ10" i="1" s="1"/>
  <c r="FZ11" i="1" s="1"/>
  <c r="FZ13" i="1" s="1"/>
  <c r="FZ14" i="1" s="1"/>
  <c r="FZ15" i="1" s="1"/>
  <c r="FZ16" i="1" s="1"/>
  <c r="FZ17" i="1" s="1"/>
  <c r="FZ18" i="1" s="1"/>
  <c r="FZ19" i="1" s="1"/>
  <c r="FZ20" i="1" s="1"/>
  <c r="FZ21" i="1" s="1"/>
  <c r="FZ26" i="1" s="1"/>
  <c r="FZ27" i="1" s="1"/>
  <c r="FZ28" i="1" s="1"/>
  <c r="FZ29" i="1" s="1"/>
  <c r="FZ30" i="1" s="1"/>
  <c r="FZ31" i="1" s="1"/>
  <c r="FZ32" i="1" s="1"/>
  <c r="FZ33" i="1" s="1"/>
  <c r="FZ34" i="1" s="1"/>
  <c r="FZ36" i="1" s="1"/>
  <c r="FZ37" i="1" s="1"/>
  <c r="FZ38" i="1" s="1"/>
  <c r="FZ39" i="1" s="1"/>
  <c r="FZ40" i="1" s="1"/>
  <c r="FZ41" i="1" s="1"/>
  <c r="FZ42" i="1" s="1"/>
  <c r="FZ43" i="1" s="1"/>
  <c r="FZ44" i="1" s="1"/>
  <c r="FZ50" i="1" s="1"/>
  <c r="FZ51" i="1" s="1"/>
  <c r="FZ52" i="1" s="1"/>
  <c r="FZ53" i="1" s="1"/>
  <c r="FZ54" i="1" s="1"/>
  <c r="FZ55" i="1" s="1"/>
  <c r="FZ56" i="1" s="1"/>
  <c r="FZ57" i="1" s="1"/>
  <c r="FZ58" i="1" s="1"/>
  <c r="FZ60" i="1" s="1"/>
  <c r="FZ61" i="1" s="1"/>
  <c r="FZ62" i="1" s="1"/>
  <c r="FZ63" i="1" s="1"/>
  <c r="FZ64" i="1" s="1"/>
  <c r="FZ65" i="1" s="1"/>
  <c r="FZ66" i="1" s="1"/>
  <c r="FZ67" i="1" s="1"/>
  <c r="FZ68" i="1" s="1"/>
  <c r="FZ74" i="1" s="1"/>
  <c r="FZ75" i="1" s="1"/>
  <c r="FZ76" i="1" s="1"/>
  <c r="FZ77" i="1" s="1"/>
  <c r="FZ78" i="1" s="1"/>
  <c r="FZ79" i="1" s="1"/>
  <c r="FZ80" i="1" s="1"/>
  <c r="FZ81" i="1" s="1"/>
  <c r="FZ82" i="1" s="1"/>
  <c r="FZ84" i="1" s="1"/>
  <c r="FZ85" i="1" s="1"/>
  <c r="FZ86" i="1" s="1"/>
  <c r="FZ87" i="1" s="1"/>
  <c r="FZ88" i="1" s="1"/>
  <c r="FZ89" i="1" s="1"/>
  <c r="FZ90" i="1" s="1"/>
  <c r="FZ91" i="1" s="1"/>
  <c r="FZ92" i="1" s="1"/>
  <c r="FW4" i="1"/>
  <c r="FV4" i="1"/>
  <c r="FR4" i="1"/>
  <c r="FP4" i="1"/>
  <c r="FO4" i="1"/>
  <c r="FO5" i="1" s="1"/>
  <c r="FO6" i="1" s="1"/>
  <c r="FO7" i="1" s="1"/>
  <c r="FN4" i="1"/>
  <c r="FL4" i="1"/>
  <c r="FJ4" i="1"/>
  <c r="FH4" i="1"/>
  <c r="FF4" i="1"/>
  <c r="FD4" i="1"/>
  <c r="EZ4" i="1"/>
  <c r="FB4" i="1" s="1"/>
  <c r="EY4" i="1"/>
  <c r="EY5" i="1" s="1"/>
  <c r="EY6" i="1" s="1"/>
  <c r="EY7" i="1" s="1"/>
  <c r="EY8" i="1" s="1"/>
  <c r="EY9" i="1" s="1"/>
  <c r="EY10" i="1" s="1"/>
  <c r="EY11" i="1" s="1"/>
  <c r="EY13" i="1" s="1"/>
  <c r="EY14" i="1" s="1"/>
  <c r="EY15" i="1" s="1"/>
  <c r="EY16" i="1" s="1"/>
  <c r="EY17" i="1" s="1"/>
  <c r="EY18" i="1" s="1"/>
  <c r="EY19" i="1" s="1"/>
  <c r="EY20" i="1" s="1"/>
  <c r="EY21" i="1" s="1"/>
  <c r="EY26" i="1" s="1"/>
  <c r="EY27" i="1" s="1"/>
  <c r="EY28" i="1" s="1"/>
  <c r="EY29" i="1" s="1"/>
  <c r="EY30" i="1" s="1"/>
  <c r="EY31" i="1" s="1"/>
  <c r="EY32" i="1" s="1"/>
  <c r="EY33" i="1" s="1"/>
  <c r="EY34" i="1" s="1"/>
  <c r="EY36" i="1" s="1"/>
  <c r="EY37" i="1" s="1"/>
  <c r="EY38" i="1" s="1"/>
  <c r="EY39" i="1" s="1"/>
  <c r="EY40" i="1" s="1"/>
  <c r="EY41" i="1" s="1"/>
  <c r="EY42" i="1" s="1"/>
  <c r="EY43" i="1" s="1"/>
  <c r="EY44" i="1" s="1"/>
  <c r="EY50" i="1" s="1"/>
  <c r="EY51" i="1" s="1"/>
  <c r="EY52" i="1" s="1"/>
  <c r="EY53" i="1" s="1"/>
  <c r="EY54" i="1" s="1"/>
  <c r="EY55" i="1" s="1"/>
  <c r="EY56" i="1" s="1"/>
  <c r="EY57" i="1" s="1"/>
  <c r="EY58" i="1" s="1"/>
  <c r="EY60" i="1" s="1"/>
  <c r="EY61" i="1" s="1"/>
  <c r="EY62" i="1" s="1"/>
  <c r="EY63" i="1" s="1"/>
  <c r="EY64" i="1" s="1"/>
  <c r="EY65" i="1" s="1"/>
  <c r="EY66" i="1" s="1"/>
  <c r="EY67" i="1" s="1"/>
  <c r="EY68" i="1" s="1"/>
  <c r="EY74" i="1" s="1"/>
  <c r="EY75" i="1" s="1"/>
  <c r="EY76" i="1" s="1"/>
  <c r="EY77" i="1" s="1"/>
  <c r="EY78" i="1" s="1"/>
  <c r="EY79" i="1" s="1"/>
  <c r="EY80" i="1" s="1"/>
  <c r="EY81" i="1" s="1"/>
  <c r="EY82" i="1" s="1"/>
  <c r="EY84" i="1" s="1"/>
  <c r="EY85" i="1" s="1"/>
  <c r="EY86" i="1" s="1"/>
  <c r="EY87" i="1" s="1"/>
  <c r="EY88" i="1" s="1"/>
  <c r="EY89" i="1" s="1"/>
  <c r="EY90" i="1" s="1"/>
  <c r="EY91" i="1" s="1"/>
  <c r="EY92" i="1" s="1"/>
  <c r="EW4" i="1"/>
  <c r="EW5" i="1" s="1"/>
  <c r="EW6" i="1" s="1"/>
  <c r="EW7" i="1" s="1"/>
  <c r="EW8" i="1" s="1"/>
  <c r="EW9" i="1" s="1"/>
  <c r="EW10" i="1" s="1"/>
  <c r="EW11" i="1" s="1"/>
  <c r="EW13" i="1" s="1"/>
  <c r="EW14" i="1" s="1"/>
  <c r="EW15" i="1" s="1"/>
  <c r="EW16" i="1" s="1"/>
  <c r="EW17" i="1" s="1"/>
  <c r="EW18" i="1" s="1"/>
  <c r="EW19" i="1" s="1"/>
  <c r="EW20" i="1" s="1"/>
  <c r="EW21" i="1" s="1"/>
  <c r="EW26" i="1" s="1"/>
  <c r="EW27" i="1" s="1"/>
  <c r="EW28" i="1" s="1"/>
  <c r="EW29" i="1" s="1"/>
  <c r="EW30" i="1" s="1"/>
  <c r="EW31" i="1" s="1"/>
  <c r="EW32" i="1" s="1"/>
  <c r="EW33" i="1" s="1"/>
  <c r="EW34" i="1" s="1"/>
  <c r="EW36" i="1" s="1"/>
  <c r="EW37" i="1" s="1"/>
  <c r="EW38" i="1" s="1"/>
  <c r="EW39" i="1" s="1"/>
  <c r="EW40" i="1" s="1"/>
  <c r="EW41" i="1" s="1"/>
  <c r="EW42" i="1" s="1"/>
  <c r="EW43" i="1" s="1"/>
  <c r="EW44" i="1" s="1"/>
  <c r="EW50" i="1" s="1"/>
  <c r="EW51" i="1" s="1"/>
  <c r="EW52" i="1" s="1"/>
  <c r="EW53" i="1" s="1"/>
  <c r="EW54" i="1" s="1"/>
  <c r="EW55" i="1" s="1"/>
  <c r="EW56" i="1" s="1"/>
  <c r="EW57" i="1" s="1"/>
  <c r="EW58" i="1" s="1"/>
  <c r="EW60" i="1" s="1"/>
  <c r="EW61" i="1" s="1"/>
  <c r="EW62" i="1" s="1"/>
  <c r="EW63" i="1" s="1"/>
  <c r="EW64" i="1" s="1"/>
  <c r="EW65" i="1" s="1"/>
  <c r="EW66" i="1" s="1"/>
  <c r="EW67" i="1" s="1"/>
  <c r="EW68" i="1" s="1"/>
  <c r="EW74" i="1" s="1"/>
  <c r="EW75" i="1" s="1"/>
  <c r="EW76" i="1" s="1"/>
  <c r="EW77" i="1" s="1"/>
  <c r="EW78" i="1" s="1"/>
  <c r="EW79" i="1" s="1"/>
  <c r="EW80" i="1" s="1"/>
  <c r="EW81" i="1" s="1"/>
  <c r="EW82" i="1" s="1"/>
  <c r="EW84" i="1" s="1"/>
  <c r="EW85" i="1" s="1"/>
  <c r="EW86" i="1" s="1"/>
  <c r="EW87" i="1" s="1"/>
  <c r="EW88" i="1" s="1"/>
  <c r="EW89" i="1" s="1"/>
  <c r="EW90" i="1" s="1"/>
  <c r="EW91" i="1" s="1"/>
  <c r="EW92" i="1" s="1"/>
  <c r="ET4" i="1"/>
  <c r="ES4" i="1"/>
  <c r="EO4" i="1"/>
  <c r="EP4" i="1" s="1"/>
  <c r="EM4" i="1"/>
  <c r="EK4" i="1"/>
  <c r="EI4" i="1"/>
  <c r="EH4" i="1"/>
  <c r="EH5" i="1" s="1"/>
  <c r="EH6" i="1" s="1"/>
  <c r="EH7" i="1" s="1"/>
  <c r="EG4" i="1"/>
  <c r="EE4" i="1"/>
  <c r="EC4" i="1"/>
  <c r="EA4" i="1"/>
  <c r="DW4" i="1"/>
  <c r="DT4" i="1"/>
  <c r="DR4" i="1"/>
  <c r="DR5" i="1" s="1"/>
  <c r="DR6" i="1" s="1"/>
  <c r="DR7" i="1" s="1"/>
  <c r="DQ4" i="1"/>
  <c r="DP4" i="1"/>
  <c r="DL4" i="1"/>
  <c r="DM4" i="1" s="1"/>
  <c r="DJ4" i="1"/>
  <c r="DH4" i="1"/>
  <c r="DF4" i="1"/>
  <c r="DD4" i="1"/>
  <c r="DB4" i="1"/>
  <c r="DC4" i="1" s="1"/>
  <c r="CZ4" i="1"/>
  <c r="DA4" i="1" s="1"/>
  <c r="CY4" i="1"/>
  <c r="CY5" i="1" s="1"/>
  <c r="CY6" i="1" s="1"/>
  <c r="CY7" i="1" s="1"/>
  <c r="CY8" i="1" s="1"/>
  <c r="CY9" i="1" s="1"/>
  <c r="CY10" i="1" s="1"/>
  <c r="CX4" i="1"/>
  <c r="CT4" i="1"/>
  <c r="CV4" i="1" s="1"/>
  <c r="CN4" i="1"/>
  <c r="CM4" i="1"/>
  <c r="CI4" i="1"/>
  <c r="CG4" i="1"/>
  <c r="CE4" i="1"/>
  <c r="CF4" i="1" s="1"/>
  <c r="CD4" i="1"/>
  <c r="CC4" i="1"/>
  <c r="CA4" i="1"/>
  <c r="BY4" i="1"/>
  <c r="BW4" i="1"/>
  <c r="BU4" i="1"/>
  <c r="BQ4" i="1"/>
  <c r="BP4" i="1"/>
  <c r="BP5" i="1" s="1"/>
  <c r="BP6" i="1" s="1"/>
  <c r="BP7" i="1" s="1"/>
  <c r="BP8" i="1" s="1"/>
  <c r="BP9" i="1" s="1"/>
  <c r="BP10" i="1" s="1"/>
  <c r="BP11" i="1" s="1"/>
  <c r="BP13" i="1" s="1"/>
  <c r="BP14" i="1" s="1"/>
  <c r="BP15" i="1" s="1"/>
  <c r="BP16" i="1" s="1"/>
  <c r="BP17" i="1" s="1"/>
  <c r="BP18" i="1" s="1"/>
  <c r="BP19" i="1" s="1"/>
  <c r="BP20" i="1" s="1"/>
  <c r="BP21" i="1" s="1"/>
  <c r="BP26" i="1" s="1"/>
  <c r="BP27" i="1" s="1"/>
  <c r="BP28" i="1" s="1"/>
  <c r="BP29" i="1" s="1"/>
  <c r="BP30" i="1" s="1"/>
  <c r="BP31" i="1" s="1"/>
  <c r="BP32" i="1" s="1"/>
  <c r="BP33" i="1" s="1"/>
  <c r="BP34" i="1" s="1"/>
  <c r="BP36" i="1" s="1"/>
  <c r="BP37" i="1" s="1"/>
  <c r="BP38" i="1" s="1"/>
  <c r="BP39" i="1" s="1"/>
  <c r="BP40" i="1" s="1"/>
  <c r="BP41" i="1" s="1"/>
  <c r="BP42" i="1" s="1"/>
  <c r="BP43" i="1" s="1"/>
  <c r="BP44" i="1" s="1"/>
  <c r="BP50" i="1" s="1"/>
  <c r="BP51" i="1" s="1"/>
  <c r="BP52" i="1" s="1"/>
  <c r="BP53" i="1" s="1"/>
  <c r="BP54" i="1" s="1"/>
  <c r="BP55" i="1" s="1"/>
  <c r="BP56" i="1" s="1"/>
  <c r="BP57" i="1" s="1"/>
  <c r="BP58" i="1" s="1"/>
  <c r="BP60" i="1" s="1"/>
  <c r="BP61" i="1" s="1"/>
  <c r="BP62" i="1" s="1"/>
  <c r="BP63" i="1" s="1"/>
  <c r="BP64" i="1" s="1"/>
  <c r="BP65" i="1" s="1"/>
  <c r="BP66" i="1" s="1"/>
  <c r="BP67" i="1" s="1"/>
  <c r="BP68" i="1" s="1"/>
  <c r="BP74" i="1" s="1"/>
  <c r="BP75" i="1" s="1"/>
  <c r="BP76" i="1" s="1"/>
  <c r="BP77" i="1" s="1"/>
  <c r="BP78" i="1" s="1"/>
  <c r="BP79" i="1" s="1"/>
  <c r="BP80" i="1" s="1"/>
  <c r="BP81" i="1" s="1"/>
  <c r="BP82" i="1" s="1"/>
  <c r="BP84" i="1" s="1"/>
  <c r="BP85" i="1" s="1"/>
  <c r="BP86" i="1" s="1"/>
  <c r="BP87" i="1" s="1"/>
  <c r="BP88" i="1" s="1"/>
  <c r="BP89" i="1" s="1"/>
  <c r="BP90" i="1" s="1"/>
  <c r="BP91" i="1" s="1"/>
  <c r="BP92" i="1" s="1"/>
  <c r="BK4" i="1"/>
  <c r="BJ4" i="1"/>
  <c r="BF4" i="1"/>
  <c r="BD4" i="1"/>
  <c r="BB4" i="1"/>
  <c r="BA4" i="1"/>
  <c r="BA5" i="1" s="1"/>
  <c r="BA6" i="1" s="1"/>
  <c r="BA7" i="1" s="1"/>
  <c r="BA8" i="1" s="1"/>
  <c r="AZ4" i="1"/>
  <c r="AX4" i="1"/>
  <c r="AV4" i="1"/>
  <c r="AU4" i="1"/>
  <c r="AU5" i="1" s="1"/>
  <c r="AU6" i="1" s="1"/>
  <c r="AU7" i="1" s="1"/>
  <c r="AU8" i="1" s="1"/>
  <c r="AU9" i="1" s="1"/>
  <c r="AT4" i="1"/>
  <c r="AR4" i="1"/>
  <c r="AP4" i="1"/>
  <c r="AN4" i="1"/>
  <c r="AH4" i="1"/>
  <c r="AG4" i="1"/>
  <c r="AC4" i="1"/>
  <c r="AA4" i="1"/>
  <c r="Y4" i="1"/>
  <c r="Z4" i="1" s="1"/>
  <c r="X4" i="1"/>
  <c r="X5" i="1" s="1"/>
  <c r="X6" i="1" s="1"/>
  <c r="X7" i="1" s="1"/>
  <c r="X8" i="1" s="1"/>
  <c r="W4" i="1"/>
  <c r="U4" i="1"/>
  <c r="S4" i="1"/>
  <c r="Q4" i="1"/>
  <c r="O4" i="1"/>
  <c r="P4" i="1" s="1"/>
  <c r="M4" i="1"/>
  <c r="K4" i="1"/>
  <c r="KJ3" i="1"/>
  <c r="KJ4" i="1" s="1"/>
  <c r="KJ5" i="1" s="1"/>
  <c r="KJ6" i="1" s="1"/>
  <c r="KJ7" i="1" s="1"/>
  <c r="KJ8" i="1" s="1"/>
  <c r="KI3" i="1"/>
  <c r="KG3" i="1"/>
  <c r="KE3" i="1"/>
  <c r="KD3" i="1"/>
  <c r="KB3" i="1"/>
  <c r="KC3" i="1" s="1"/>
  <c r="JZ3" i="1"/>
  <c r="JX3" i="1"/>
  <c r="JW3" i="1"/>
  <c r="JW4" i="1" s="1"/>
  <c r="JW5" i="1" s="1"/>
  <c r="JW6" i="1" s="1"/>
  <c r="JW7" i="1" s="1"/>
  <c r="JV3" i="1"/>
  <c r="JT3" i="1"/>
  <c r="JU3" i="1" s="1"/>
  <c r="JS3" i="1"/>
  <c r="JR3" i="1"/>
  <c r="JR12" i="1" s="1"/>
  <c r="JQ3" i="1"/>
  <c r="JP3" i="1"/>
  <c r="JL3" i="1"/>
  <c r="JK3" i="1"/>
  <c r="JK4" i="1" s="1"/>
  <c r="JK5" i="1" s="1"/>
  <c r="JK6" i="1" s="1"/>
  <c r="JK7" i="1" s="1"/>
  <c r="JK8" i="1" s="1"/>
  <c r="JK9" i="1" s="1"/>
  <c r="JK10" i="1" s="1"/>
  <c r="JK11" i="1" s="1"/>
  <c r="JK13" i="1" s="1"/>
  <c r="JK14" i="1" s="1"/>
  <c r="JK15" i="1" s="1"/>
  <c r="JK16" i="1" s="1"/>
  <c r="JK17" i="1" s="1"/>
  <c r="JK18" i="1" s="1"/>
  <c r="JK19" i="1" s="1"/>
  <c r="JK20" i="1" s="1"/>
  <c r="JK21" i="1" s="1"/>
  <c r="JK26" i="1" s="1"/>
  <c r="JK27" i="1" s="1"/>
  <c r="JK28" i="1" s="1"/>
  <c r="JK29" i="1" s="1"/>
  <c r="JK30" i="1" s="1"/>
  <c r="JK31" i="1" s="1"/>
  <c r="JK32" i="1" s="1"/>
  <c r="JK33" i="1" s="1"/>
  <c r="JK34" i="1" s="1"/>
  <c r="JK36" i="1" s="1"/>
  <c r="JK37" i="1" s="1"/>
  <c r="JK38" i="1" s="1"/>
  <c r="JK39" i="1" s="1"/>
  <c r="JK40" i="1" s="1"/>
  <c r="JK41" i="1" s="1"/>
  <c r="JK42" i="1" s="1"/>
  <c r="JK43" i="1" s="1"/>
  <c r="JK44" i="1" s="1"/>
  <c r="JK50" i="1" s="1"/>
  <c r="JK51" i="1" s="1"/>
  <c r="JK52" i="1" s="1"/>
  <c r="JK53" i="1" s="1"/>
  <c r="JK54" i="1" s="1"/>
  <c r="JK55" i="1" s="1"/>
  <c r="JK56" i="1" s="1"/>
  <c r="JK57" i="1" s="1"/>
  <c r="JK58" i="1" s="1"/>
  <c r="JK60" i="1" s="1"/>
  <c r="JK61" i="1" s="1"/>
  <c r="JK62" i="1" s="1"/>
  <c r="JK63" i="1" s="1"/>
  <c r="JK64" i="1" s="1"/>
  <c r="JK65" i="1" s="1"/>
  <c r="JK66" i="1" s="1"/>
  <c r="JK67" i="1" s="1"/>
  <c r="JK68" i="1" s="1"/>
  <c r="JK74" i="1" s="1"/>
  <c r="JK75" i="1" s="1"/>
  <c r="JK76" i="1" s="1"/>
  <c r="JK77" i="1" s="1"/>
  <c r="JK78" i="1" s="1"/>
  <c r="JK79" i="1" s="1"/>
  <c r="JK80" i="1" s="1"/>
  <c r="JK81" i="1" s="1"/>
  <c r="JK82" i="1" s="1"/>
  <c r="JK84" i="1" s="1"/>
  <c r="JK85" i="1" s="1"/>
  <c r="JK86" i="1" s="1"/>
  <c r="JK87" i="1" s="1"/>
  <c r="JK88" i="1" s="1"/>
  <c r="JK89" i="1" s="1"/>
  <c r="JK90" i="1" s="1"/>
  <c r="JK91" i="1" s="1"/>
  <c r="JK92" i="1" s="1"/>
  <c r="JI3" i="1"/>
  <c r="JI4" i="1" s="1"/>
  <c r="JI5" i="1" s="1"/>
  <c r="JI6" i="1" s="1"/>
  <c r="JI7" i="1" s="1"/>
  <c r="JI8" i="1" s="1"/>
  <c r="JI9" i="1" s="1"/>
  <c r="JI10" i="1" s="1"/>
  <c r="JI11" i="1" s="1"/>
  <c r="JI13" i="1" s="1"/>
  <c r="JI14" i="1" s="1"/>
  <c r="JI15" i="1" s="1"/>
  <c r="JI16" i="1" s="1"/>
  <c r="JI17" i="1" s="1"/>
  <c r="JI18" i="1" s="1"/>
  <c r="JI19" i="1" s="1"/>
  <c r="JI20" i="1" s="1"/>
  <c r="JI21" i="1" s="1"/>
  <c r="JI26" i="1" s="1"/>
  <c r="JI27" i="1" s="1"/>
  <c r="JI28" i="1" s="1"/>
  <c r="JI29" i="1" s="1"/>
  <c r="JI30" i="1" s="1"/>
  <c r="JI31" i="1" s="1"/>
  <c r="JI32" i="1" s="1"/>
  <c r="JI33" i="1" s="1"/>
  <c r="JI34" i="1" s="1"/>
  <c r="JI36" i="1" s="1"/>
  <c r="JI37" i="1" s="1"/>
  <c r="JI38" i="1" s="1"/>
  <c r="JI39" i="1" s="1"/>
  <c r="JI40" i="1" s="1"/>
  <c r="JI41" i="1" s="1"/>
  <c r="JI42" i="1" s="1"/>
  <c r="JI43" i="1" s="1"/>
  <c r="JI44" i="1" s="1"/>
  <c r="JI50" i="1" s="1"/>
  <c r="JI51" i="1" s="1"/>
  <c r="JI52" i="1" s="1"/>
  <c r="JI53" i="1" s="1"/>
  <c r="JI54" i="1" s="1"/>
  <c r="JI55" i="1" s="1"/>
  <c r="JI56" i="1" s="1"/>
  <c r="JI57" i="1" s="1"/>
  <c r="JI58" i="1" s="1"/>
  <c r="JI60" i="1" s="1"/>
  <c r="JI61" i="1" s="1"/>
  <c r="JI62" i="1" s="1"/>
  <c r="JI63" i="1" s="1"/>
  <c r="JI64" i="1" s="1"/>
  <c r="JI65" i="1" s="1"/>
  <c r="JI66" i="1" s="1"/>
  <c r="JI67" i="1" s="1"/>
  <c r="JI68" i="1" s="1"/>
  <c r="JI74" i="1" s="1"/>
  <c r="JI75" i="1" s="1"/>
  <c r="JI76" i="1" s="1"/>
  <c r="JI77" i="1" s="1"/>
  <c r="JI78" i="1" s="1"/>
  <c r="JI79" i="1" s="1"/>
  <c r="JI80" i="1" s="1"/>
  <c r="JI81" i="1" s="1"/>
  <c r="JI82" i="1" s="1"/>
  <c r="JI84" i="1" s="1"/>
  <c r="JI85" i="1" s="1"/>
  <c r="JI86" i="1" s="1"/>
  <c r="JI87" i="1" s="1"/>
  <c r="JI88" i="1" s="1"/>
  <c r="JI89" i="1" s="1"/>
  <c r="JI90" i="1" s="1"/>
  <c r="JI91" i="1" s="1"/>
  <c r="JI92" i="1" s="1"/>
  <c r="JF3" i="1"/>
  <c r="JG3" i="1" s="1"/>
  <c r="JD3" i="1"/>
  <c r="JB3" i="1"/>
  <c r="JA3" i="1"/>
  <c r="JA12" i="1" s="1"/>
  <c r="JA23" i="1" s="1"/>
  <c r="IZ3" i="1"/>
  <c r="IZ4" i="1" s="1"/>
  <c r="IZ5" i="1" s="1"/>
  <c r="IZ6" i="1" s="1"/>
  <c r="IZ7" i="1" s="1"/>
  <c r="IY3" i="1"/>
  <c r="IX3" i="1"/>
  <c r="IW3" i="1"/>
  <c r="IV3" i="1"/>
  <c r="IU3" i="1"/>
  <c r="IU12" i="1" s="1"/>
  <c r="IT3" i="1"/>
  <c r="IT4" i="1" s="1"/>
  <c r="IT5" i="1" s="1"/>
  <c r="IT6" i="1" s="1"/>
  <c r="IT7" i="1" s="1"/>
  <c r="IT8" i="1" s="1"/>
  <c r="IT9" i="1" s="1"/>
  <c r="IT10" i="1" s="1"/>
  <c r="IT11" i="1" s="1"/>
  <c r="IS3" i="1"/>
  <c r="IQ3" i="1"/>
  <c r="IO3" i="1"/>
  <c r="IN3" i="1"/>
  <c r="IN4" i="1" s="1"/>
  <c r="IN5" i="1" s="1"/>
  <c r="IN6" i="1" s="1"/>
  <c r="IN7" i="1" s="1"/>
  <c r="IM3" i="1"/>
  <c r="IM12" i="1" s="1"/>
  <c r="IJ3" i="1"/>
  <c r="II3" i="1"/>
  <c r="IK3" i="1" s="1"/>
  <c r="IH3" i="1"/>
  <c r="IH4" i="1" s="1"/>
  <c r="IH5" i="1" s="1"/>
  <c r="IH6" i="1" s="1"/>
  <c r="IH7" i="1" s="1"/>
  <c r="IH8" i="1" s="1"/>
  <c r="IH9" i="1" s="1"/>
  <c r="IH10" i="1" s="1"/>
  <c r="IH11" i="1" s="1"/>
  <c r="IH13" i="1" s="1"/>
  <c r="IH14" i="1" s="1"/>
  <c r="IH15" i="1" s="1"/>
  <c r="IF3" i="1"/>
  <c r="IF4" i="1" s="1"/>
  <c r="IF5" i="1" s="1"/>
  <c r="IF6" i="1" s="1"/>
  <c r="IF7" i="1" s="1"/>
  <c r="IF8" i="1" s="1"/>
  <c r="IF9" i="1" s="1"/>
  <c r="IF10" i="1" s="1"/>
  <c r="IF11" i="1" s="1"/>
  <c r="IF13" i="1" s="1"/>
  <c r="IF14" i="1" s="1"/>
  <c r="IF15" i="1" s="1"/>
  <c r="IC3" i="1"/>
  <c r="IA3" i="1"/>
  <c r="HY3" i="1"/>
  <c r="HY4" i="1" s="1"/>
  <c r="HY5" i="1" s="1"/>
  <c r="HY6" i="1" s="1"/>
  <c r="HY7" i="1" s="1"/>
  <c r="HY8" i="1" s="1"/>
  <c r="HY9" i="1" s="1"/>
  <c r="HY10" i="1" s="1"/>
  <c r="HX3" i="1"/>
  <c r="HV3" i="1"/>
  <c r="HW3" i="1" s="1"/>
  <c r="HT3" i="1"/>
  <c r="HS3" i="1"/>
  <c r="HS4" i="1" s="1"/>
  <c r="HS5" i="1" s="1"/>
  <c r="HS6" i="1" s="1"/>
  <c r="HS7" i="1" s="1"/>
  <c r="HS8" i="1" s="1"/>
  <c r="HS9" i="1" s="1"/>
  <c r="HS10" i="1" s="1"/>
  <c r="HR3" i="1"/>
  <c r="HR12" i="1" s="1"/>
  <c r="HP3" i="1"/>
  <c r="HQ3" i="1" s="1"/>
  <c r="HN3" i="1"/>
  <c r="HM3" i="1"/>
  <c r="HL3" i="1"/>
  <c r="HJ3" i="1"/>
  <c r="HK3" i="1" s="1"/>
  <c r="HH3" i="1"/>
  <c r="HI3" i="1" s="1"/>
  <c r="HG3" i="1"/>
  <c r="HG4" i="1" s="1"/>
  <c r="HG5" i="1" s="1"/>
  <c r="HG6" i="1" s="1"/>
  <c r="HG7" i="1" s="1"/>
  <c r="HF3" i="1"/>
  <c r="HE3" i="1"/>
  <c r="HE4" i="1" s="1"/>
  <c r="HE5" i="1" s="1"/>
  <c r="HE6" i="1" s="1"/>
  <c r="HE7" i="1" s="1"/>
  <c r="HE8" i="1" s="1"/>
  <c r="HE9" i="1" s="1"/>
  <c r="HE10" i="1" s="1"/>
  <c r="HE11" i="1" s="1"/>
  <c r="HE13" i="1" s="1"/>
  <c r="HE14" i="1" s="1"/>
  <c r="HE15" i="1" s="1"/>
  <c r="HE16" i="1" s="1"/>
  <c r="HE17" i="1" s="1"/>
  <c r="HE18" i="1" s="1"/>
  <c r="HE19" i="1" s="1"/>
  <c r="HE20" i="1" s="1"/>
  <c r="HE21" i="1" s="1"/>
  <c r="HE26" i="1" s="1"/>
  <c r="HE27" i="1" s="1"/>
  <c r="HE28" i="1" s="1"/>
  <c r="HE29" i="1" s="1"/>
  <c r="HE30" i="1" s="1"/>
  <c r="HE31" i="1" s="1"/>
  <c r="HE32" i="1" s="1"/>
  <c r="HE33" i="1" s="1"/>
  <c r="HE34" i="1" s="1"/>
  <c r="HE36" i="1" s="1"/>
  <c r="HE37" i="1" s="1"/>
  <c r="HE38" i="1" s="1"/>
  <c r="HE39" i="1" s="1"/>
  <c r="HE40" i="1" s="1"/>
  <c r="HE41" i="1" s="1"/>
  <c r="HE42" i="1" s="1"/>
  <c r="HE43" i="1" s="1"/>
  <c r="HE44" i="1" s="1"/>
  <c r="HE50" i="1" s="1"/>
  <c r="HE51" i="1" s="1"/>
  <c r="HE52" i="1" s="1"/>
  <c r="HE53" i="1" s="1"/>
  <c r="HE54" i="1" s="1"/>
  <c r="HE55" i="1" s="1"/>
  <c r="HE56" i="1" s="1"/>
  <c r="HE57" i="1" s="1"/>
  <c r="HE58" i="1" s="1"/>
  <c r="HE60" i="1" s="1"/>
  <c r="HE61" i="1" s="1"/>
  <c r="HE62" i="1" s="1"/>
  <c r="HE63" i="1" s="1"/>
  <c r="HE64" i="1" s="1"/>
  <c r="HE65" i="1" s="1"/>
  <c r="HE66" i="1" s="1"/>
  <c r="HE67" i="1" s="1"/>
  <c r="HE68" i="1" s="1"/>
  <c r="HE74" i="1" s="1"/>
  <c r="HE75" i="1" s="1"/>
  <c r="HE76" i="1" s="1"/>
  <c r="HE77" i="1" s="1"/>
  <c r="HE78" i="1" s="1"/>
  <c r="HE79" i="1" s="1"/>
  <c r="HE80" i="1" s="1"/>
  <c r="HE81" i="1" s="1"/>
  <c r="HE82" i="1" s="1"/>
  <c r="HE84" i="1" s="1"/>
  <c r="HE85" i="1" s="1"/>
  <c r="HE86" i="1" s="1"/>
  <c r="HE87" i="1" s="1"/>
  <c r="HE88" i="1" s="1"/>
  <c r="HE89" i="1" s="1"/>
  <c r="HE90" i="1" s="1"/>
  <c r="HE91" i="1" s="1"/>
  <c r="HE92" i="1" s="1"/>
  <c r="HC3" i="1"/>
  <c r="HC4" i="1" s="1"/>
  <c r="HC5" i="1" s="1"/>
  <c r="HC6" i="1" s="1"/>
  <c r="HC7" i="1" s="1"/>
  <c r="HC8" i="1" s="1"/>
  <c r="HC9" i="1" s="1"/>
  <c r="HC10" i="1" s="1"/>
  <c r="HC11" i="1" s="1"/>
  <c r="HC13" i="1" s="1"/>
  <c r="HC14" i="1" s="1"/>
  <c r="HC15" i="1" s="1"/>
  <c r="HC16" i="1" s="1"/>
  <c r="HC17" i="1" s="1"/>
  <c r="HC18" i="1" s="1"/>
  <c r="HC19" i="1" s="1"/>
  <c r="HC20" i="1" s="1"/>
  <c r="HC21" i="1" s="1"/>
  <c r="HC26" i="1" s="1"/>
  <c r="HC27" i="1" s="1"/>
  <c r="HC28" i="1" s="1"/>
  <c r="HC29" i="1" s="1"/>
  <c r="HC30" i="1" s="1"/>
  <c r="HC31" i="1" s="1"/>
  <c r="HC32" i="1" s="1"/>
  <c r="HC33" i="1" s="1"/>
  <c r="HC34" i="1" s="1"/>
  <c r="HC36" i="1" s="1"/>
  <c r="HC37" i="1" s="1"/>
  <c r="HC38" i="1" s="1"/>
  <c r="HC39" i="1" s="1"/>
  <c r="HC40" i="1" s="1"/>
  <c r="HC41" i="1" s="1"/>
  <c r="HC42" i="1" s="1"/>
  <c r="HC43" i="1" s="1"/>
  <c r="HC44" i="1" s="1"/>
  <c r="HC50" i="1" s="1"/>
  <c r="HC51" i="1" s="1"/>
  <c r="HC52" i="1" s="1"/>
  <c r="HC53" i="1" s="1"/>
  <c r="HC54" i="1" s="1"/>
  <c r="HC55" i="1" s="1"/>
  <c r="HC56" i="1" s="1"/>
  <c r="HC57" i="1" s="1"/>
  <c r="HC58" i="1" s="1"/>
  <c r="HC60" i="1" s="1"/>
  <c r="HC61" i="1" s="1"/>
  <c r="HC62" i="1" s="1"/>
  <c r="HC63" i="1" s="1"/>
  <c r="HC64" i="1" s="1"/>
  <c r="HC65" i="1" s="1"/>
  <c r="HC66" i="1" s="1"/>
  <c r="HC67" i="1" s="1"/>
  <c r="HC68" i="1" s="1"/>
  <c r="HC74" i="1" s="1"/>
  <c r="HC75" i="1" s="1"/>
  <c r="HC76" i="1" s="1"/>
  <c r="HC77" i="1" s="1"/>
  <c r="HC78" i="1" s="1"/>
  <c r="HC79" i="1" s="1"/>
  <c r="HC80" i="1" s="1"/>
  <c r="HC81" i="1" s="1"/>
  <c r="HC82" i="1" s="1"/>
  <c r="HC84" i="1" s="1"/>
  <c r="HC85" i="1" s="1"/>
  <c r="HC86" i="1" s="1"/>
  <c r="HC87" i="1" s="1"/>
  <c r="HC88" i="1" s="1"/>
  <c r="HC89" i="1" s="1"/>
  <c r="HC90" i="1" s="1"/>
  <c r="HC91" i="1" s="1"/>
  <c r="HC92" i="1" s="1"/>
  <c r="HA3" i="1"/>
  <c r="HA4" i="1" s="1"/>
  <c r="HA5" i="1" s="1"/>
  <c r="HA6" i="1" s="1"/>
  <c r="HA7" i="1" s="1"/>
  <c r="GZ3" i="1"/>
  <c r="GZ12" i="1" s="1"/>
  <c r="GX3" i="1"/>
  <c r="GV3" i="1"/>
  <c r="GU3" i="1"/>
  <c r="GU12" i="1" s="1"/>
  <c r="GT3" i="1"/>
  <c r="GS3" i="1"/>
  <c r="GS12" i="1" s="1"/>
  <c r="GR3" i="1"/>
  <c r="GQ3" i="1"/>
  <c r="GP3" i="1"/>
  <c r="GP4" i="1" s="1"/>
  <c r="GP5" i="1" s="1"/>
  <c r="GP6" i="1" s="1"/>
  <c r="GP7" i="1" s="1"/>
  <c r="GP8" i="1" s="1"/>
  <c r="GP9" i="1" s="1"/>
  <c r="GP10" i="1" s="1"/>
  <c r="GP11" i="1" s="1"/>
  <c r="GO3" i="1"/>
  <c r="GM3" i="1"/>
  <c r="GL3" i="1"/>
  <c r="GK3" i="1"/>
  <c r="GK12" i="1" s="1"/>
  <c r="GK23" i="1" s="1"/>
  <c r="GJ3" i="1"/>
  <c r="GJ4" i="1" s="1"/>
  <c r="GJ5" i="1" s="1"/>
  <c r="GJ6" i="1" s="1"/>
  <c r="GJ7" i="1" s="1"/>
  <c r="GJ8" i="1" s="1"/>
  <c r="GI3" i="1"/>
  <c r="GH3" i="1"/>
  <c r="GG3" i="1"/>
  <c r="GG12" i="1" s="1"/>
  <c r="GE3" i="1"/>
  <c r="GD3" i="1"/>
  <c r="GD4" i="1" s="1"/>
  <c r="GD5" i="1" s="1"/>
  <c r="GD6" i="1" s="1"/>
  <c r="GD7" i="1" s="1"/>
  <c r="GC3" i="1"/>
  <c r="GB3" i="1"/>
  <c r="GB4" i="1" s="1"/>
  <c r="GB5" i="1" s="1"/>
  <c r="GB6" i="1" s="1"/>
  <c r="GB7" i="1" s="1"/>
  <c r="GB8" i="1" s="1"/>
  <c r="GB9" i="1" s="1"/>
  <c r="GB10" i="1" s="1"/>
  <c r="GB11" i="1" s="1"/>
  <c r="GB13" i="1" s="1"/>
  <c r="GB14" i="1" s="1"/>
  <c r="GB15" i="1" s="1"/>
  <c r="GB16" i="1" s="1"/>
  <c r="GB17" i="1" s="1"/>
  <c r="GB18" i="1" s="1"/>
  <c r="GB19" i="1" s="1"/>
  <c r="GB20" i="1" s="1"/>
  <c r="GB21" i="1" s="1"/>
  <c r="GB26" i="1" s="1"/>
  <c r="GB27" i="1" s="1"/>
  <c r="GB28" i="1" s="1"/>
  <c r="GB29" i="1" s="1"/>
  <c r="GB30" i="1" s="1"/>
  <c r="GB31" i="1" s="1"/>
  <c r="GB32" i="1" s="1"/>
  <c r="GB33" i="1" s="1"/>
  <c r="GB34" i="1" s="1"/>
  <c r="GB36" i="1" s="1"/>
  <c r="GB37" i="1" s="1"/>
  <c r="GB38" i="1" s="1"/>
  <c r="GB39" i="1" s="1"/>
  <c r="GB40" i="1" s="1"/>
  <c r="GB41" i="1" s="1"/>
  <c r="GB42" i="1" s="1"/>
  <c r="GB43" i="1" s="1"/>
  <c r="GB44" i="1" s="1"/>
  <c r="GB50" i="1" s="1"/>
  <c r="GB51" i="1" s="1"/>
  <c r="GB52" i="1" s="1"/>
  <c r="GB53" i="1" s="1"/>
  <c r="GB54" i="1" s="1"/>
  <c r="GB55" i="1" s="1"/>
  <c r="GB56" i="1" s="1"/>
  <c r="GB57" i="1" s="1"/>
  <c r="GB58" i="1" s="1"/>
  <c r="GB60" i="1" s="1"/>
  <c r="GB61" i="1" s="1"/>
  <c r="GB62" i="1" s="1"/>
  <c r="GB63" i="1" s="1"/>
  <c r="GB64" i="1" s="1"/>
  <c r="GB65" i="1" s="1"/>
  <c r="GB66" i="1" s="1"/>
  <c r="GB67" i="1" s="1"/>
  <c r="GB68" i="1" s="1"/>
  <c r="GB74" i="1" s="1"/>
  <c r="GB75" i="1" s="1"/>
  <c r="GB76" i="1" s="1"/>
  <c r="GB77" i="1" s="1"/>
  <c r="GB78" i="1" s="1"/>
  <c r="GB79" i="1" s="1"/>
  <c r="GB80" i="1" s="1"/>
  <c r="GB81" i="1" s="1"/>
  <c r="GB82" i="1" s="1"/>
  <c r="GB84" i="1" s="1"/>
  <c r="GB85" i="1" s="1"/>
  <c r="GB86" i="1" s="1"/>
  <c r="GB87" i="1" s="1"/>
  <c r="GB88" i="1" s="1"/>
  <c r="GB89" i="1" s="1"/>
  <c r="GB90" i="1" s="1"/>
  <c r="GB91" i="1" s="1"/>
  <c r="GB92" i="1" s="1"/>
  <c r="FZ3" i="1"/>
  <c r="FX3" i="1"/>
  <c r="FW3" i="1"/>
  <c r="FU3" i="1"/>
  <c r="FR3" i="1"/>
  <c r="FR12" i="1" s="1"/>
  <c r="FP3" i="1"/>
  <c r="FO3" i="1"/>
  <c r="FN3" i="1"/>
  <c r="FL3" i="1"/>
  <c r="FM3" i="1" s="1"/>
  <c r="FJ3" i="1"/>
  <c r="FJ12" i="1" s="1"/>
  <c r="FJ23" i="1" s="1"/>
  <c r="FH3" i="1"/>
  <c r="FH12" i="1" s="1"/>
  <c r="FH23" i="1" s="1"/>
  <c r="FF3" i="1"/>
  <c r="FF12" i="1" s="1"/>
  <c r="FD3" i="1"/>
  <c r="EZ3" i="1"/>
  <c r="FB3" i="1" s="1"/>
  <c r="EY3" i="1"/>
  <c r="EW3" i="1"/>
  <c r="ET3" i="1"/>
  <c r="ET12" i="1" s="1"/>
  <c r="ET23" i="1" s="1"/>
  <c r="ER3" i="1"/>
  <c r="EP3" i="1"/>
  <c r="EO3" i="1"/>
  <c r="EO12" i="1" s="1"/>
  <c r="EO23" i="1" s="1"/>
  <c r="EM3" i="1"/>
  <c r="EM12" i="1" s="1"/>
  <c r="EL3" i="1"/>
  <c r="EL4" i="1" s="1"/>
  <c r="EL5" i="1" s="1"/>
  <c r="EL6" i="1" s="1"/>
  <c r="EL7" i="1" s="1"/>
  <c r="EK3" i="1"/>
  <c r="EI3" i="1"/>
  <c r="EH3" i="1"/>
  <c r="EG3" i="1"/>
  <c r="EF3" i="1"/>
  <c r="EF4" i="1" s="1"/>
  <c r="EF5" i="1" s="1"/>
  <c r="EF6" i="1" s="1"/>
  <c r="EF7" i="1" s="1"/>
  <c r="EE3" i="1"/>
  <c r="EE12" i="1" s="1"/>
  <c r="EC3" i="1"/>
  <c r="EC12" i="1" s="1"/>
  <c r="EA3" i="1"/>
  <c r="DW3" i="1"/>
  <c r="DV3" i="1"/>
  <c r="DV4" i="1" s="1"/>
  <c r="DV5" i="1" s="1"/>
  <c r="DV6" i="1" s="1"/>
  <c r="DV7" i="1" s="1"/>
  <c r="DT3" i="1"/>
  <c r="DR3" i="1"/>
  <c r="DQ3" i="1"/>
  <c r="DO3" i="1"/>
  <c r="DL3" i="1"/>
  <c r="DM3" i="1" s="1"/>
  <c r="DK3" i="1"/>
  <c r="DK4" i="1" s="1"/>
  <c r="DK5" i="1" s="1"/>
  <c r="DK6" i="1" s="1"/>
  <c r="DK7" i="1" s="1"/>
  <c r="DJ3" i="1"/>
  <c r="DH3" i="1"/>
  <c r="DF3" i="1"/>
  <c r="DD3" i="1"/>
  <c r="DD12" i="1" s="1"/>
  <c r="DD23" i="1" s="1"/>
  <c r="DB3" i="1"/>
  <c r="DC3" i="1" s="1"/>
  <c r="CZ3" i="1"/>
  <c r="DA3" i="1" s="1"/>
  <c r="CY3" i="1"/>
  <c r="CX3" i="1"/>
  <c r="CX12" i="1" s="1"/>
  <c r="CT3" i="1"/>
  <c r="CU3" i="1" s="1"/>
  <c r="CS3" i="1"/>
  <c r="CS4" i="1" s="1"/>
  <c r="CS5" i="1" s="1"/>
  <c r="CS6" i="1" s="1"/>
  <c r="CS7" i="1" s="1"/>
  <c r="CS8" i="1" s="1"/>
  <c r="CS9" i="1" s="1"/>
  <c r="CS10" i="1" s="1"/>
  <c r="CQ3" i="1"/>
  <c r="CQ4" i="1" s="1"/>
  <c r="CQ5" i="1" s="1"/>
  <c r="CQ6" i="1" s="1"/>
  <c r="CQ7" i="1" s="1"/>
  <c r="CQ8" i="1" s="1"/>
  <c r="CQ9" i="1" s="1"/>
  <c r="CQ10" i="1" s="1"/>
  <c r="CQ11" i="1" s="1"/>
  <c r="CQ13" i="1" s="1"/>
  <c r="CQ14" i="1" s="1"/>
  <c r="CQ15" i="1" s="1"/>
  <c r="CQ16" i="1" s="1"/>
  <c r="CQ17" i="1" s="1"/>
  <c r="CQ18" i="1" s="1"/>
  <c r="CQ19" i="1" s="1"/>
  <c r="CQ20" i="1" s="1"/>
  <c r="CQ21" i="1" s="1"/>
  <c r="CQ26" i="1" s="1"/>
  <c r="CQ27" i="1" s="1"/>
  <c r="CQ28" i="1" s="1"/>
  <c r="CQ29" i="1" s="1"/>
  <c r="CQ30" i="1" s="1"/>
  <c r="CQ31" i="1" s="1"/>
  <c r="CQ32" i="1" s="1"/>
  <c r="CQ33" i="1" s="1"/>
  <c r="CQ34" i="1" s="1"/>
  <c r="CQ36" i="1" s="1"/>
  <c r="CQ37" i="1" s="1"/>
  <c r="CQ38" i="1" s="1"/>
  <c r="CQ39" i="1" s="1"/>
  <c r="CQ40" i="1" s="1"/>
  <c r="CQ41" i="1" s="1"/>
  <c r="CQ42" i="1" s="1"/>
  <c r="CQ43" i="1" s="1"/>
  <c r="CQ44" i="1" s="1"/>
  <c r="CQ50" i="1" s="1"/>
  <c r="CQ51" i="1" s="1"/>
  <c r="CQ52" i="1" s="1"/>
  <c r="CQ53" i="1" s="1"/>
  <c r="CQ54" i="1" s="1"/>
  <c r="CQ55" i="1" s="1"/>
  <c r="CQ56" i="1" s="1"/>
  <c r="CQ57" i="1" s="1"/>
  <c r="CQ58" i="1" s="1"/>
  <c r="CQ60" i="1" s="1"/>
  <c r="CQ61" i="1" s="1"/>
  <c r="CQ62" i="1" s="1"/>
  <c r="CQ63" i="1" s="1"/>
  <c r="CQ64" i="1" s="1"/>
  <c r="CQ65" i="1" s="1"/>
  <c r="CQ66" i="1" s="1"/>
  <c r="CQ67" i="1" s="1"/>
  <c r="CQ68" i="1" s="1"/>
  <c r="CQ74" i="1" s="1"/>
  <c r="CQ75" i="1" s="1"/>
  <c r="CQ76" i="1" s="1"/>
  <c r="CQ77" i="1" s="1"/>
  <c r="CQ78" i="1" s="1"/>
  <c r="CQ79" i="1" s="1"/>
  <c r="CQ80" i="1" s="1"/>
  <c r="CQ81" i="1" s="1"/>
  <c r="CQ82" i="1" s="1"/>
  <c r="CQ84" i="1" s="1"/>
  <c r="CQ85" i="1" s="1"/>
  <c r="CQ86" i="1" s="1"/>
  <c r="CQ87" i="1" s="1"/>
  <c r="CQ88" i="1" s="1"/>
  <c r="CQ89" i="1" s="1"/>
  <c r="CQ90" i="1" s="1"/>
  <c r="CQ91" i="1" s="1"/>
  <c r="CQ92" i="1" s="1"/>
  <c r="CN3" i="1"/>
  <c r="CO3" i="1" s="1"/>
  <c r="CL3" i="1"/>
  <c r="CI3" i="1"/>
  <c r="CI12" i="1" s="1"/>
  <c r="CH3" i="1"/>
  <c r="CH4" i="1" s="1"/>
  <c r="CH5" i="1" s="1"/>
  <c r="CH6" i="1" s="1"/>
  <c r="CH7" i="1" s="1"/>
  <c r="CH8" i="1" s="1"/>
  <c r="CH9" i="1" s="1"/>
  <c r="CH10" i="1" s="1"/>
  <c r="CH11" i="1" s="1"/>
  <c r="CG3" i="1"/>
  <c r="CE3" i="1"/>
  <c r="CF3" i="1" s="1"/>
  <c r="CD3" i="1"/>
  <c r="CC3" i="1"/>
  <c r="CB3" i="1"/>
  <c r="CB4" i="1" s="1"/>
  <c r="CB5" i="1" s="1"/>
  <c r="CB6" i="1" s="1"/>
  <c r="CB7" i="1" s="1"/>
  <c r="CB8" i="1" s="1"/>
  <c r="CB9" i="1" s="1"/>
  <c r="CA3" i="1"/>
  <c r="CA12" i="1" s="1"/>
  <c r="BY3" i="1"/>
  <c r="BY12" i="1" s="1"/>
  <c r="BY23" i="1" s="1"/>
  <c r="BW3" i="1"/>
  <c r="BV3" i="1"/>
  <c r="BV4" i="1" s="1"/>
  <c r="BV5" i="1" s="1"/>
  <c r="BV6" i="1" s="1"/>
  <c r="BV7" i="1" s="1"/>
  <c r="BV8" i="1" s="1"/>
  <c r="BV9" i="1" s="1"/>
  <c r="BV10" i="1" s="1"/>
  <c r="BV11" i="1" s="1"/>
  <c r="BU3" i="1"/>
  <c r="BU12" i="1" s="1"/>
  <c r="BS3" i="1"/>
  <c r="BQ3" i="1"/>
  <c r="BP3" i="1"/>
  <c r="BN3" i="1"/>
  <c r="BN4" i="1" s="1"/>
  <c r="BN5" i="1" s="1"/>
  <c r="BN6" i="1" s="1"/>
  <c r="BN7" i="1" s="1"/>
  <c r="BN8" i="1" s="1"/>
  <c r="BN9" i="1" s="1"/>
  <c r="BN10" i="1" s="1"/>
  <c r="BN11" i="1" s="1"/>
  <c r="BN13" i="1" s="1"/>
  <c r="BN14" i="1" s="1"/>
  <c r="BK3" i="1"/>
  <c r="BK12" i="1" s="1"/>
  <c r="BI3" i="1"/>
  <c r="BG3" i="1"/>
  <c r="BG4" i="1" s="1"/>
  <c r="BG5" i="1" s="1"/>
  <c r="BG6" i="1" s="1"/>
  <c r="BG7" i="1" s="1"/>
  <c r="BG8" i="1" s="1"/>
  <c r="BG9" i="1" s="1"/>
  <c r="BF3" i="1"/>
  <c r="BD3" i="1"/>
  <c r="BD12" i="1" s="1"/>
  <c r="BB3" i="1"/>
  <c r="BB12" i="1" s="1"/>
  <c r="BB23" i="1" s="1"/>
  <c r="BA3" i="1"/>
  <c r="AZ3" i="1"/>
  <c r="AX3" i="1"/>
  <c r="AX12" i="1" s="1"/>
  <c r="AV3" i="1"/>
  <c r="AU3" i="1"/>
  <c r="AT3" i="1"/>
  <c r="AR3" i="1"/>
  <c r="AS3" i="1" s="1"/>
  <c r="AN3" i="1"/>
  <c r="AM3" i="1"/>
  <c r="AM4" i="1" s="1"/>
  <c r="AM5" i="1" s="1"/>
  <c r="AM6" i="1" s="1"/>
  <c r="AM7" i="1" s="1"/>
  <c r="AM8" i="1" s="1"/>
  <c r="AM9" i="1" s="1"/>
  <c r="AM10" i="1" s="1"/>
  <c r="AM11" i="1" s="1"/>
  <c r="AM13" i="1" s="1"/>
  <c r="AM14" i="1" s="1"/>
  <c r="AM15" i="1" s="1"/>
  <c r="AM16" i="1" s="1"/>
  <c r="AM17" i="1" s="1"/>
  <c r="AM18" i="1" s="1"/>
  <c r="AM19" i="1" s="1"/>
  <c r="AM20" i="1" s="1"/>
  <c r="AM21" i="1" s="1"/>
  <c r="AM26" i="1" s="1"/>
  <c r="AM27" i="1" s="1"/>
  <c r="AM28" i="1" s="1"/>
  <c r="AM29" i="1" s="1"/>
  <c r="AM30" i="1" s="1"/>
  <c r="AM31" i="1" s="1"/>
  <c r="AM32" i="1" s="1"/>
  <c r="AM33" i="1" s="1"/>
  <c r="AM34" i="1" s="1"/>
  <c r="AM36" i="1" s="1"/>
  <c r="AM37" i="1" s="1"/>
  <c r="AM38" i="1" s="1"/>
  <c r="AM39" i="1" s="1"/>
  <c r="AM40" i="1" s="1"/>
  <c r="AM41" i="1" s="1"/>
  <c r="AM42" i="1" s="1"/>
  <c r="AM43" i="1" s="1"/>
  <c r="AM44" i="1" s="1"/>
  <c r="AM50" i="1" s="1"/>
  <c r="AM51" i="1" s="1"/>
  <c r="AM52" i="1" s="1"/>
  <c r="AM53" i="1" s="1"/>
  <c r="AM54" i="1" s="1"/>
  <c r="AM55" i="1" s="1"/>
  <c r="AM56" i="1" s="1"/>
  <c r="AM57" i="1" s="1"/>
  <c r="AM58" i="1" s="1"/>
  <c r="AM60" i="1" s="1"/>
  <c r="AM61" i="1" s="1"/>
  <c r="AM62" i="1" s="1"/>
  <c r="AM63" i="1" s="1"/>
  <c r="AM64" i="1" s="1"/>
  <c r="AM65" i="1" s="1"/>
  <c r="AM66" i="1" s="1"/>
  <c r="AM67" i="1" s="1"/>
  <c r="AM68" i="1" s="1"/>
  <c r="AM74" i="1" s="1"/>
  <c r="AM75" i="1" s="1"/>
  <c r="AM76" i="1" s="1"/>
  <c r="AM77" i="1" s="1"/>
  <c r="AM78" i="1" s="1"/>
  <c r="AM79" i="1" s="1"/>
  <c r="AM80" i="1" s="1"/>
  <c r="AM81" i="1" s="1"/>
  <c r="AM82" i="1" s="1"/>
  <c r="AM84" i="1" s="1"/>
  <c r="AM85" i="1" s="1"/>
  <c r="AM86" i="1" s="1"/>
  <c r="AM87" i="1" s="1"/>
  <c r="AM88" i="1" s="1"/>
  <c r="AM89" i="1" s="1"/>
  <c r="AM90" i="1" s="1"/>
  <c r="AM91" i="1" s="1"/>
  <c r="AM92" i="1" s="1"/>
  <c r="AK3" i="1"/>
  <c r="AK4" i="1" s="1"/>
  <c r="AK5" i="1" s="1"/>
  <c r="AK6" i="1" s="1"/>
  <c r="AK7" i="1" s="1"/>
  <c r="AK8" i="1" s="1"/>
  <c r="AH3" i="1"/>
  <c r="AF3" i="1"/>
  <c r="AD3" i="1"/>
  <c r="AD4" i="1" s="1"/>
  <c r="AD5" i="1" s="1"/>
  <c r="AD6" i="1" s="1"/>
  <c r="AD7" i="1" s="1"/>
  <c r="AD8" i="1" s="1"/>
  <c r="AD9" i="1" s="1"/>
  <c r="AD10" i="1" s="1"/>
  <c r="AD11" i="1" s="1"/>
  <c r="AD13" i="1" s="1"/>
  <c r="AC3" i="1"/>
  <c r="AC12" i="1" s="1"/>
  <c r="AA3" i="1"/>
  <c r="Z3" i="1"/>
  <c r="Y3" i="1"/>
  <c r="X3" i="1"/>
  <c r="W3" i="1"/>
  <c r="W12" i="1" s="1"/>
  <c r="U3" i="1"/>
  <c r="V3" i="1" s="1"/>
  <c r="T3" i="1"/>
  <c r="T4" i="1" s="1"/>
  <c r="T5" i="1" s="1"/>
  <c r="T6" i="1" s="1"/>
  <c r="T7" i="1" s="1"/>
  <c r="T8" i="1" s="1"/>
  <c r="T9" i="1" s="1"/>
  <c r="T10" i="1" s="1"/>
  <c r="T11" i="1" s="1"/>
  <c r="S3" i="1"/>
  <c r="S12" i="1" s="1"/>
  <c r="R3" i="1"/>
  <c r="R4" i="1" s="1"/>
  <c r="R5" i="1" s="1"/>
  <c r="R6" i="1" s="1"/>
  <c r="R7" i="1" s="1"/>
  <c r="R8" i="1" s="1"/>
  <c r="Q3" i="1"/>
  <c r="O3" i="1"/>
  <c r="P3" i="1" s="1"/>
  <c r="M3" i="1"/>
  <c r="N3" i="1" s="1"/>
  <c r="N4" i="1" s="1"/>
  <c r="N5" i="1" s="1"/>
  <c r="N6" i="1" s="1"/>
  <c r="N7" i="1" s="1"/>
  <c r="N8" i="1" s="1"/>
  <c r="L3" i="1"/>
  <c r="L4" i="1" s="1"/>
  <c r="L5" i="1" s="1"/>
  <c r="L6" i="1" s="1"/>
  <c r="L7" i="1" s="1"/>
  <c r="L8" i="1" s="1"/>
  <c r="K3" i="1"/>
  <c r="K12" i="1" s="1"/>
  <c r="J3" i="1"/>
  <c r="J4" i="1" s="1"/>
  <c r="J5" i="1" s="1"/>
  <c r="J6" i="1" s="1"/>
  <c r="J7" i="1" s="1"/>
  <c r="J8" i="1" s="1"/>
  <c r="J9" i="1" s="1"/>
  <c r="J10" i="1" s="1"/>
  <c r="J11" i="1" s="1"/>
  <c r="J13" i="1" s="1"/>
  <c r="J14" i="1" s="1"/>
  <c r="J15" i="1" s="1"/>
  <c r="J16" i="1" s="1"/>
  <c r="J17" i="1" s="1"/>
  <c r="J18" i="1" s="1"/>
  <c r="J19" i="1" s="1"/>
  <c r="J20" i="1" s="1"/>
  <c r="J21" i="1" s="1"/>
  <c r="J26" i="1" s="1"/>
  <c r="J27" i="1" s="1"/>
  <c r="J28" i="1" s="1"/>
  <c r="J29" i="1" s="1"/>
  <c r="J30" i="1" s="1"/>
  <c r="J31" i="1" s="1"/>
  <c r="J32" i="1" s="1"/>
  <c r="J33" i="1" s="1"/>
  <c r="J34" i="1" s="1"/>
  <c r="J36" i="1" s="1"/>
  <c r="J37" i="1" s="1"/>
  <c r="J38" i="1" s="1"/>
  <c r="J39" i="1" s="1"/>
  <c r="J40" i="1" s="1"/>
  <c r="J41" i="1" s="1"/>
  <c r="J42" i="1" s="1"/>
  <c r="J43" i="1" s="1"/>
  <c r="J44" i="1" s="1"/>
  <c r="J50" i="1" s="1"/>
  <c r="J51" i="1" s="1"/>
  <c r="J52" i="1" s="1"/>
  <c r="J53" i="1" s="1"/>
  <c r="J54" i="1" s="1"/>
  <c r="J55" i="1" s="1"/>
  <c r="J56" i="1" s="1"/>
  <c r="J57" i="1" s="1"/>
  <c r="J58" i="1" s="1"/>
  <c r="J60" i="1" s="1"/>
  <c r="J61" i="1" s="1"/>
  <c r="J62" i="1" s="1"/>
  <c r="J63" i="1" s="1"/>
  <c r="J64" i="1" s="1"/>
  <c r="J65" i="1" s="1"/>
  <c r="J66" i="1" s="1"/>
  <c r="J67" i="1" s="1"/>
  <c r="J68" i="1" s="1"/>
  <c r="J74" i="1" s="1"/>
  <c r="J75" i="1" s="1"/>
  <c r="J76" i="1" s="1"/>
  <c r="J77" i="1" s="1"/>
  <c r="J78" i="1" s="1"/>
  <c r="J79" i="1" s="1"/>
  <c r="J80" i="1" s="1"/>
  <c r="J81" i="1" s="1"/>
  <c r="J82" i="1" s="1"/>
  <c r="J84" i="1" s="1"/>
  <c r="J85" i="1" s="1"/>
  <c r="J86" i="1" s="1"/>
  <c r="J87" i="1" s="1"/>
  <c r="J88" i="1" s="1"/>
  <c r="J89" i="1" s="1"/>
  <c r="J90" i="1" s="1"/>
  <c r="J91" i="1" s="1"/>
  <c r="J92" i="1" s="1"/>
  <c r="H3" i="1"/>
  <c r="H4" i="1" s="1"/>
  <c r="H5" i="1" s="1"/>
  <c r="H6" i="1" s="1"/>
  <c r="H7" i="1" s="1"/>
  <c r="H8" i="1" s="1"/>
  <c r="H9" i="1" s="1"/>
  <c r="H10" i="1" s="1"/>
  <c r="H11" i="1" s="1"/>
  <c r="H13" i="1" s="1"/>
  <c r="H14" i="1" s="1"/>
  <c r="H15" i="1" s="1"/>
  <c r="H16" i="1" s="1"/>
  <c r="H17" i="1" s="1"/>
  <c r="H18" i="1" s="1"/>
  <c r="H19" i="1" s="1"/>
  <c r="H20" i="1" s="1"/>
  <c r="H21" i="1" s="1"/>
  <c r="H26" i="1" s="1"/>
  <c r="H27" i="1" s="1"/>
  <c r="H28" i="1" s="1"/>
  <c r="H29" i="1" s="1"/>
  <c r="H30" i="1" s="1"/>
  <c r="H31" i="1" s="1"/>
  <c r="H32" i="1" s="1"/>
  <c r="H33" i="1" s="1"/>
  <c r="H34" i="1" s="1"/>
  <c r="H36" i="1" s="1"/>
  <c r="H37" i="1" s="1"/>
  <c r="H38" i="1" s="1"/>
  <c r="H39" i="1" s="1"/>
  <c r="H40" i="1" s="1"/>
  <c r="H41" i="1" s="1"/>
  <c r="H42" i="1" s="1"/>
  <c r="H43" i="1" s="1"/>
  <c r="H44" i="1" s="1"/>
  <c r="F3" i="1"/>
  <c r="F4" i="1" s="1"/>
  <c r="F5" i="1" s="1"/>
  <c r="F6" i="1" s="1"/>
  <c r="F7" i="1" s="1"/>
  <c r="F8" i="1" s="1"/>
  <c r="F9" i="1" s="1"/>
  <c r="F10" i="1" s="1"/>
  <c r="F11" i="1" s="1"/>
  <c r="F13" i="1" s="1"/>
  <c r="F14" i="1" s="1"/>
  <c r="F15" i="1" s="1"/>
  <c r="F16" i="1" s="1"/>
  <c r="F17" i="1" s="1"/>
  <c r="F18" i="1" s="1"/>
  <c r="F19" i="1" s="1"/>
  <c r="F20" i="1" s="1"/>
  <c r="F21" i="1" s="1"/>
  <c r="F26" i="1" s="1"/>
  <c r="F27" i="1" s="1"/>
  <c r="F28" i="1" s="1"/>
  <c r="F29" i="1" s="1"/>
  <c r="F30" i="1" s="1"/>
  <c r="F31" i="1" s="1"/>
  <c r="F32" i="1" s="1"/>
  <c r="F33" i="1" s="1"/>
  <c r="F34" i="1" s="1"/>
  <c r="F36" i="1" s="1"/>
  <c r="F37" i="1" s="1"/>
  <c r="F38" i="1" s="1"/>
  <c r="F39" i="1" s="1"/>
  <c r="F40" i="1" s="1"/>
  <c r="F41" i="1" s="1"/>
  <c r="F42" i="1" s="1"/>
  <c r="F43" i="1" s="1"/>
  <c r="F44" i="1" s="1"/>
  <c r="F50" i="1" s="1"/>
  <c r="F51" i="1" s="1"/>
  <c r="F52" i="1" s="1"/>
  <c r="F53" i="1" s="1"/>
  <c r="F54" i="1" s="1"/>
  <c r="F55" i="1" s="1"/>
  <c r="F56" i="1" s="1"/>
  <c r="F57" i="1" s="1"/>
  <c r="F58" i="1" s="1"/>
  <c r="F60" i="1" s="1"/>
  <c r="F61" i="1" s="1"/>
  <c r="F62" i="1" s="1"/>
  <c r="F63" i="1" s="1"/>
  <c r="F64" i="1" s="1"/>
  <c r="F65" i="1" s="1"/>
  <c r="F66" i="1" s="1"/>
  <c r="F67" i="1" s="1"/>
  <c r="F68" i="1" s="1"/>
  <c r="F74" i="1" s="1"/>
  <c r="F75" i="1" s="1"/>
  <c r="F76" i="1" s="1"/>
  <c r="F77" i="1" s="1"/>
  <c r="F78" i="1" s="1"/>
  <c r="F79" i="1" s="1"/>
  <c r="F80" i="1" s="1"/>
  <c r="F81" i="1" s="1"/>
  <c r="F82" i="1" s="1"/>
  <c r="F84" i="1" s="1"/>
  <c r="F85" i="1" s="1"/>
  <c r="F86" i="1" s="1"/>
  <c r="F87" i="1" s="1"/>
  <c r="F88" i="1" s="1"/>
  <c r="F89" i="1" s="1"/>
  <c r="F90" i="1" s="1"/>
  <c r="F91" i="1" s="1"/>
  <c r="F92" i="1" s="1"/>
  <c r="D3" i="1"/>
  <c r="D4" i="1" s="1"/>
  <c r="D5" i="1" s="1"/>
  <c r="D6" i="1" s="1"/>
  <c r="D7" i="1" s="1"/>
  <c r="D8" i="1" s="1"/>
  <c r="D9" i="1" s="1"/>
  <c r="D10" i="1" s="1"/>
  <c r="D11" i="1" s="1"/>
  <c r="D13" i="1" s="1"/>
  <c r="D14" i="1" s="1"/>
  <c r="D15" i="1" s="1"/>
  <c r="D16" i="1" s="1"/>
  <c r="D17" i="1" s="1"/>
  <c r="D18" i="1" s="1"/>
  <c r="D19" i="1" s="1"/>
  <c r="D20" i="1" s="1"/>
  <c r="D21" i="1" s="1"/>
  <c r="D26" i="1" s="1"/>
  <c r="D27" i="1" s="1"/>
  <c r="D28" i="1" s="1"/>
  <c r="D29" i="1" s="1"/>
  <c r="D30" i="1" s="1"/>
  <c r="D31" i="1" s="1"/>
  <c r="D32" i="1" s="1"/>
  <c r="D33" i="1" s="1"/>
  <c r="D34" i="1" s="1"/>
  <c r="D36" i="1" s="1"/>
  <c r="D37" i="1" s="1"/>
  <c r="D38" i="1" s="1"/>
  <c r="D39" i="1" s="1"/>
  <c r="D40" i="1" s="1"/>
  <c r="D41" i="1" s="1"/>
  <c r="D42" i="1" s="1"/>
  <c r="D43" i="1" s="1"/>
  <c r="D44" i="1" s="1"/>
  <c r="D50" i="1" s="1"/>
  <c r="D51" i="1" s="1"/>
  <c r="D52" i="1" s="1"/>
  <c r="D53" i="1" s="1"/>
  <c r="D54" i="1" s="1"/>
  <c r="D55" i="1" s="1"/>
  <c r="D56" i="1" s="1"/>
  <c r="D57" i="1" s="1"/>
  <c r="D58" i="1" s="1"/>
  <c r="D60" i="1" s="1"/>
  <c r="D61" i="1" s="1"/>
  <c r="D62" i="1" s="1"/>
  <c r="D63" i="1" s="1"/>
  <c r="D64" i="1" s="1"/>
  <c r="D65" i="1" s="1"/>
  <c r="D66" i="1" s="1"/>
  <c r="D67" i="1" s="1"/>
  <c r="D68" i="1" s="1"/>
  <c r="D74" i="1" s="1"/>
  <c r="D75" i="1" s="1"/>
  <c r="D76" i="1" s="1"/>
  <c r="D77" i="1" s="1"/>
  <c r="D78" i="1" s="1"/>
  <c r="D79" i="1" s="1"/>
  <c r="D80" i="1" s="1"/>
  <c r="D81" i="1" s="1"/>
  <c r="D82" i="1" s="1"/>
  <c r="D84" i="1" s="1"/>
  <c r="D85" i="1" s="1"/>
  <c r="D86" i="1" s="1"/>
  <c r="D87" i="1" s="1"/>
  <c r="D88" i="1" s="1"/>
  <c r="D89" i="1" s="1"/>
  <c r="D90" i="1" s="1"/>
  <c r="D91" i="1" s="1"/>
  <c r="D92" i="1" s="1"/>
  <c r="G20" i="2" l="1"/>
  <c r="FN47" i="1"/>
  <c r="HM5" i="1"/>
  <c r="Z5" i="1"/>
  <c r="Z6" i="1" s="1"/>
  <c r="Z7" i="1" s="1"/>
  <c r="Z8" i="1" s="1"/>
  <c r="Z9" i="1" s="1"/>
  <c r="Z10" i="1" s="1"/>
  <c r="Z11" i="1" s="1"/>
  <c r="Z13" i="1" s="1"/>
  <c r="Z14" i="1" s="1"/>
  <c r="Z15" i="1" s="1"/>
  <c r="Z16" i="1" s="1"/>
  <c r="Z17" i="1" s="1"/>
  <c r="Z18" i="1" s="1"/>
  <c r="Z19" i="1" s="1"/>
  <c r="Z20" i="1" s="1"/>
  <c r="Z21" i="1" s="1"/>
  <c r="Z26" i="1" s="1"/>
  <c r="Z27" i="1" s="1"/>
  <c r="Z28" i="1" s="1"/>
  <c r="Z29" i="1" s="1"/>
  <c r="Z30" i="1" s="1"/>
  <c r="Z31" i="1" s="1"/>
  <c r="Z32" i="1" s="1"/>
  <c r="Z33" i="1" s="1"/>
  <c r="Z34" i="1" s="1"/>
  <c r="Z36" i="1" s="1"/>
  <c r="HM6" i="1"/>
  <c r="HM7" i="1" s="1"/>
  <c r="HM8" i="1" s="1"/>
  <c r="HM9" i="1" s="1"/>
  <c r="HM10" i="1" s="1"/>
  <c r="HM11" i="1" s="1"/>
  <c r="HM13" i="1" s="1"/>
  <c r="HM14" i="1" s="1"/>
  <c r="HM15" i="1" s="1"/>
  <c r="HM16" i="1" s="1"/>
  <c r="HM17" i="1" s="1"/>
  <c r="HM18" i="1" s="1"/>
  <c r="HM19" i="1" s="1"/>
  <c r="HM20" i="1" s="1"/>
  <c r="HM21" i="1" s="1"/>
  <c r="BS4" i="1"/>
  <c r="BR4" i="1"/>
  <c r="BR5" i="1" s="1"/>
  <c r="BR6" i="1" s="1"/>
  <c r="BR7" i="1" s="1"/>
  <c r="BR8" i="1" s="1"/>
  <c r="BR9" i="1" s="1"/>
  <c r="BR10" i="1" s="1"/>
  <c r="BR11" i="1" s="1"/>
  <c r="DY8" i="1"/>
  <c r="CD9" i="1"/>
  <c r="GM22" i="1"/>
  <c r="GE21" i="1"/>
  <c r="EN3" i="1"/>
  <c r="JU5" i="1"/>
  <c r="IX6" i="1"/>
  <c r="IX7" i="1" s="1"/>
  <c r="IX8" i="1" s="1"/>
  <c r="IX9" i="1" s="1"/>
  <c r="IX10" i="1" s="1"/>
  <c r="IX11" i="1" s="1"/>
  <c r="IX13" i="1" s="1"/>
  <c r="IX14" i="1" s="1"/>
  <c r="IX15" i="1" s="1"/>
  <c r="IX16" i="1" s="1"/>
  <c r="IX17" i="1" s="1"/>
  <c r="IX18" i="1" s="1"/>
  <c r="IX19" i="1" s="1"/>
  <c r="IX20" i="1" s="1"/>
  <c r="IX21" i="1" s="1"/>
  <c r="IX26" i="1" s="1"/>
  <c r="IX27" i="1" s="1"/>
  <c r="IX28" i="1" s="1"/>
  <c r="IX29" i="1" s="1"/>
  <c r="IX30" i="1" s="1"/>
  <c r="IX31" i="1" s="1"/>
  <c r="BS7" i="1"/>
  <c r="KC7" i="1"/>
  <c r="KC8" i="1" s="1"/>
  <c r="KC9" i="1" s="1"/>
  <c r="KC10" i="1" s="1"/>
  <c r="KC11" i="1" s="1"/>
  <c r="KC13" i="1" s="1"/>
  <c r="KC14" i="1" s="1"/>
  <c r="KC15" i="1" s="1"/>
  <c r="KC16" i="1" s="1"/>
  <c r="KC17" i="1" s="1"/>
  <c r="KC18" i="1" s="1"/>
  <c r="KC19" i="1" s="1"/>
  <c r="KC20" i="1" s="1"/>
  <c r="KC21" i="1" s="1"/>
  <c r="CD10" i="1"/>
  <c r="CD11" i="1" s="1"/>
  <c r="CD13" i="1"/>
  <c r="CD14" i="1" s="1"/>
  <c r="CD15" i="1" s="1"/>
  <c r="CD16" i="1" s="1"/>
  <c r="CD17" i="1" s="1"/>
  <c r="CD18" i="1" s="1"/>
  <c r="CD19" i="1" s="1"/>
  <c r="CD20" i="1" s="1"/>
  <c r="CD21" i="1" s="1"/>
  <c r="BB35" i="1"/>
  <c r="BB46" i="1" s="1"/>
  <c r="C20" i="3" s="1"/>
  <c r="GL5" i="1"/>
  <c r="GL6" i="1" s="1"/>
  <c r="JU6" i="1"/>
  <c r="JU7" i="1" s="1"/>
  <c r="JU8" i="1" s="1"/>
  <c r="JU9" i="1" s="1"/>
  <c r="JU10" i="1" s="1"/>
  <c r="JU11" i="1" s="1"/>
  <c r="JU13" i="1" s="1"/>
  <c r="JU14" i="1" s="1"/>
  <c r="JU15" i="1" s="1"/>
  <c r="JU16" i="1" s="1"/>
  <c r="JU17" i="1" s="1"/>
  <c r="JU18" i="1" s="1"/>
  <c r="JU19" i="1" s="1"/>
  <c r="JU20" i="1" s="1"/>
  <c r="JU21" i="1" s="1"/>
  <c r="DE3" i="1"/>
  <c r="FW12" i="1"/>
  <c r="KC6" i="1"/>
  <c r="IY22" i="1"/>
  <c r="AW30" i="1"/>
  <c r="AW31" i="1" s="1"/>
  <c r="CJ3" i="1"/>
  <c r="DF12" i="1"/>
  <c r="DG3" i="1"/>
  <c r="DG4" i="1" s="1"/>
  <c r="DG5" i="1" s="1"/>
  <c r="DG6" i="1" s="1"/>
  <c r="FX4" i="1"/>
  <c r="FX5" i="1" s="1"/>
  <c r="FX6" i="1" s="1"/>
  <c r="FX7" i="1" s="1"/>
  <c r="AW7" i="1"/>
  <c r="AW8" i="1" s="1"/>
  <c r="AW9" i="1" s="1"/>
  <c r="AW10" i="1" s="1"/>
  <c r="AW11" i="1" s="1"/>
  <c r="AW13" i="1" s="1"/>
  <c r="AW14" i="1" s="1"/>
  <c r="AW15" i="1" s="1"/>
  <c r="AW16" i="1" s="1"/>
  <c r="AW17" i="1" s="1"/>
  <c r="AW18" i="1" s="1"/>
  <c r="AW19" i="1" s="1"/>
  <c r="AW20" i="1" s="1"/>
  <c r="AW21" i="1" s="1"/>
  <c r="HG8" i="1"/>
  <c r="GR9" i="1"/>
  <c r="GR10" i="1" s="1"/>
  <c r="AU11" i="1"/>
  <c r="AU13" i="1" s="1"/>
  <c r="BG14" i="1"/>
  <c r="BG15" i="1" s="1"/>
  <c r="BG16" i="1" s="1"/>
  <c r="BG17" i="1" s="1"/>
  <c r="BG18" i="1" s="1"/>
  <c r="BG19" i="1" s="1"/>
  <c r="BG20" i="1" s="1"/>
  <c r="BG21" i="1" s="1"/>
  <c r="BG26" i="1" s="1"/>
  <c r="BG27" i="1" s="1"/>
  <c r="BG28" i="1" s="1"/>
  <c r="BG29" i="1" s="1"/>
  <c r="BG30" i="1" s="1"/>
  <c r="BG31" i="1" s="1"/>
  <c r="BG32" i="1" s="1"/>
  <c r="BG33" i="1" s="1"/>
  <c r="BG34" i="1" s="1"/>
  <c r="BG36" i="1" s="1"/>
  <c r="BG37" i="1" s="1"/>
  <c r="BG38" i="1" s="1"/>
  <c r="BG39" i="1" s="1"/>
  <c r="BG40" i="1" s="1"/>
  <c r="BG41" i="1" s="1"/>
  <c r="BG42" i="1" s="1"/>
  <c r="BG43" i="1" s="1"/>
  <c r="BG44" i="1" s="1"/>
  <c r="BG50" i="1" s="1"/>
  <c r="BG51" i="1" s="1"/>
  <c r="BG52" i="1" s="1"/>
  <c r="BG53" i="1" s="1"/>
  <c r="BG54" i="1" s="1"/>
  <c r="BG55" i="1" s="1"/>
  <c r="BG56" i="1" s="1"/>
  <c r="BG57" i="1" s="1"/>
  <c r="BG58" i="1" s="1"/>
  <c r="BG60" i="1" s="1"/>
  <c r="BG61" i="1" s="1"/>
  <c r="BG62" i="1" s="1"/>
  <c r="BG63" i="1" s="1"/>
  <c r="BG64" i="1" s="1"/>
  <c r="BG65" i="1" s="1"/>
  <c r="BG66" i="1" s="1"/>
  <c r="BG67" i="1" s="1"/>
  <c r="BG68" i="1" s="1"/>
  <c r="BG74" i="1" s="1"/>
  <c r="BG75" i="1" s="1"/>
  <c r="BG76" i="1" s="1"/>
  <c r="BG77" i="1" s="1"/>
  <c r="BG78" i="1" s="1"/>
  <c r="BG79" i="1" s="1"/>
  <c r="BG80" i="1" s="1"/>
  <c r="BG81" i="1" s="1"/>
  <c r="BG82" i="1" s="1"/>
  <c r="BG84" i="1" s="1"/>
  <c r="BG85" i="1" s="1"/>
  <c r="BG86" i="1" s="1"/>
  <c r="BG87" i="1" s="1"/>
  <c r="BG88" i="1" s="1"/>
  <c r="BG89" i="1" s="1"/>
  <c r="BG90" i="1" s="1"/>
  <c r="BG91" i="1" s="1"/>
  <c r="BG92" i="1" s="1"/>
  <c r="S59" i="1"/>
  <c r="T50" i="1"/>
  <c r="T51" i="1" s="1"/>
  <c r="G17" i="2"/>
  <c r="C20" i="2"/>
  <c r="BB47" i="1"/>
  <c r="DE4" i="1"/>
  <c r="DE5" i="1" s="1"/>
  <c r="BS5" i="1"/>
  <c r="KC5" i="1"/>
  <c r="HZ95" i="1"/>
  <c r="I34" i="8" s="1"/>
  <c r="HZ71" i="1"/>
  <c r="I34" i="6" s="1"/>
  <c r="HZ47" i="1"/>
  <c r="I34" i="4" s="1"/>
  <c r="HZ23" i="1"/>
  <c r="I24" i="2" s="1"/>
  <c r="HZ12" i="1"/>
  <c r="DC7" i="1"/>
  <c r="DC8" i="1" s="1"/>
  <c r="DC9" i="1" s="1"/>
  <c r="DC10" i="1" s="1"/>
  <c r="DC11" i="1" s="1"/>
  <c r="DC13" i="1" s="1"/>
  <c r="DC14" i="1" s="1"/>
  <c r="DC15" i="1" s="1"/>
  <c r="DC16" i="1" s="1"/>
  <c r="DC17" i="1" s="1"/>
  <c r="IK7" i="1"/>
  <c r="N9" i="1"/>
  <c r="BC3" i="1"/>
  <c r="BC4" i="1" s="1"/>
  <c r="BC5" i="1" s="1"/>
  <c r="BC6" i="1" s="1"/>
  <c r="BC7" i="1" s="1"/>
  <c r="BC8" i="1" s="1"/>
  <c r="BC9" i="1" s="1"/>
  <c r="BC10" i="1" s="1"/>
  <c r="BW12" i="1"/>
  <c r="BW23" i="1" s="1"/>
  <c r="BX3" i="1"/>
  <c r="BX4" i="1" s="1"/>
  <c r="BX5" i="1" s="1"/>
  <c r="BX6" i="1" s="1"/>
  <c r="BX7" i="1" s="1"/>
  <c r="BX8" i="1" s="1"/>
  <c r="BX9" i="1" s="1"/>
  <c r="BX10" i="1" s="1"/>
  <c r="BX11" i="1" s="1"/>
  <c r="BX13" i="1" s="1"/>
  <c r="KC4" i="1"/>
  <c r="IN8" i="1"/>
  <c r="AO27" i="1"/>
  <c r="AO28" i="1" s="1"/>
  <c r="AO29" i="1" s="1"/>
  <c r="AO30" i="1" s="1"/>
  <c r="AO31" i="1" s="1"/>
  <c r="AO32" i="1" s="1"/>
  <c r="AO33" i="1" s="1"/>
  <c r="AO34" i="1" s="1"/>
  <c r="AO36" i="1" s="1"/>
  <c r="AO37" i="1" s="1"/>
  <c r="AO38" i="1" s="1"/>
  <c r="AO39" i="1" s="1"/>
  <c r="AO40" i="1" s="1"/>
  <c r="AO41" i="1" s="1"/>
  <c r="AO42" i="1" s="1"/>
  <c r="AO43" i="1" s="1"/>
  <c r="AO44" i="1" s="1"/>
  <c r="AO50" i="1" s="1"/>
  <c r="AO51" i="1" s="1"/>
  <c r="AO52" i="1" s="1"/>
  <c r="AO53" i="1" s="1"/>
  <c r="AO54" i="1" s="1"/>
  <c r="AO55" i="1" s="1"/>
  <c r="AO56" i="1" s="1"/>
  <c r="AO57" i="1" s="1"/>
  <c r="AO58" i="1" s="1"/>
  <c r="AO60" i="1" s="1"/>
  <c r="AO61" i="1" s="1"/>
  <c r="AO62" i="1" s="1"/>
  <c r="AO63" i="1" s="1"/>
  <c r="AO64" i="1" s="1"/>
  <c r="AO65" i="1" s="1"/>
  <c r="AO66" i="1" s="1"/>
  <c r="AO67" i="1" s="1"/>
  <c r="AO68" i="1" s="1"/>
  <c r="AO74" i="1" s="1"/>
  <c r="AO75" i="1" s="1"/>
  <c r="AO76" i="1" s="1"/>
  <c r="AO77" i="1" s="1"/>
  <c r="AO78" i="1" s="1"/>
  <c r="AO79" i="1" s="1"/>
  <c r="AO80" i="1" s="1"/>
  <c r="AO81" i="1" s="1"/>
  <c r="AO82" i="1" s="1"/>
  <c r="AO84" i="1" s="1"/>
  <c r="AO85" i="1" s="1"/>
  <c r="AO86" i="1" s="1"/>
  <c r="AO87" i="1" s="1"/>
  <c r="AO88" i="1" s="1"/>
  <c r="AO89" i="1" s="1"/>
  <c r="AO90" i="1" s="1"/>
  <c r="AO91" i="1" s="1"/>
  <c r="AO92" i="1" s="1"/>
  <c r="H11" i="3"/>
  <c r="GA46" i="1"/>
  <c r="H10" i="3" s="1"/>
  <c r="H23" i="3" s="1"/>
  <c r="BS8" i="1"/>
  <c r="X9" i="1"/>
  <c r="X10" i="1" s="1"/>
  <c r="EI35" i="1"/>
  <c r="EJ26" i="1"/>
  <c r="EJ27" i="1" s="1"/>
  <c r="EJ28" i="1" s="1"/>
  <c r="EJ29" i="1" s="1"/>
  <c r="EJ30" i="1" s="1"/>
  <c r="EJ31" i="1" s="1"/>
  <c r="EJ32" i="1" s="1"/>
  <c r="EJ33" i="1" s="1"/>
  <c r="EJ34" i="1" s="1"/>
  <c r="CZ83" i="1"/>
  <c r="DA74" i="1"/>
  <c r="DA75" i="1" s="1"/>
  <c r="FI3" i="1"/>
  <c r="FI4" i="1" s="1"/>
  <c r="FI5" i="1" s="1"/>
  <c r="FI6" i="1" s="1"/>
  <c r="FI7" i="1" s="1"/>
  <c r="FI8" i="1" s="1"/>
  <c r="FI9" i="1" s="1"/>
  <c r="FI10" i="1" s="1"/>
  <c r="FI11" i="1" s="1"/>
  <c r="FI13" i="1" s="1"/>
  <c r="FI14" i="1" s="1"/>
  <c r="FI15" i="1" s="1"/>
  <c r="FI16" i="1" s="1"/>
  <c r="FI17" i="1" s="1"/>
  <c r="FI18" i="1" s="1"/>
  <c r="FI19" i="1" s="1"/>
  <c r="FI20" i="1" s="1"/>
  <c r="FI21" i="1" s="1"/>
  <c r="BQ12" i="1"/>
  <c r="E18" i="2"/>
  <c r="DW12" i="1"/>
  <c r="DY3" i="1"/>
  <c r="DX3" i="1"/>
  <c r="EA12" i="1"/>
  <c r="EB3" i="1"/>
  <c r="EB4" i="1"/>
  <c r="BS6" i="1"/>
  <c r="FE7" i="1"/>
  <c r="FE8" i="1" s="1"/>
  <c r="FO9" i="1"/>
  <c r="FO10" i="1" s="1"/>
  <c r="FO11" i="1" s="1"/>
  <c r="FO13" i="1" s="1"/>
  <c r="FO14" i="1" s="1"/>
  <c r="FO15" i="1" s="1"/>
  <c r="FO16" i="1" s="1"/>
  <c r="FO17" i="1" s="1"/>
  <c r="FO18" i="1" s="1"/>
  <c r="FO19" i="1" s="1"/>
  <c r="FO20" i="1" s="1"/>
  <c r="FO21" i="1" s="1"/>
  <c r="FO26" i="1" s="1"/>
  <c r="FO27" i="1" s="1"/>
  <c r="FO28" i="1" s="1"/>
  <c r="FO29" i="1" s="1"/>
  <c r="FO30" i="1" s="1"/>
  <c r="FO31" i="1" s="1"/>
  <c r="FO32" i="1" s="1"/>
  <c r="FO33" i="1" s="1"/>
  <c r="FO34" i="1" s="1"/>
  <c r="FO36" i="1" s="1"/>
  <c r="FO37" i="1" s="1"/>
  <c r="FO38" i="1" s="1"/>
  <c r="FO39" i="1" s="1"/>
  <c r="H17" i="2"/>
  <c r="IB95" i="1"/>
  <c r="I36" i="8" s="1"/>
  <c r="IB71" i="1"/>
  <c r="I36" i="6" s="1"/>
  <c r="IB47" i="1"/>
  <c r="I36" i="4" s="1"/>
  <c r="IB12" i="1"/>
  <c r="IB23" i="1"/>
  <c r="I26" i="2" s="1"/>
  <c r="JB4" i="1"/>
  <c r="JB5" i="1" s="1"/>
  <c r="JB6" i="1" s="1"/>
  <c r="JB7" i="1" s="1"/>
  <c r="JB8" i="1" s="1"/>
  <c r="JB9" i="1" s="1"/>
  <c r="JB10" i="1" s="1"/>
  <c r="JB11" i="1" s="1"/>
  <c r="JB13" i="1" s="1"/>
  <c r="JB14" i="1" s="1"/>
  <c r="JB15" i="1" s="1"/>
  <c r="JB16" i="1" s="1"/>
  <c r="JB17" i="1" s="1"/>
  <c r="JB18" i="1" s="1"/>
  <c r="JB19" i="1" s="1"/>
  <c r="JB20" i="1" s="1"/>
  <c r="JB21" i="1" s="1"/>
  <c r="JB26" i="1" s="1"/>
  <c r="JB27" i="1" s="1"/>
  <c r="DC6" i="1"/>
  <c r="IK6" i="1"/>
  <c r="DG7" i="1"/>
  <c r="DG8" i="1" s="1"/>
  <c r="DG9" i="1" s="1"/>
  <c r="DG10" i="1" s="1"/>
  <c r="DG11" i="1" s="1"/>
  <c r="DG13" i="1" s="1"/>
  <c r="DG14" i="1" s="1"/>
  <c r="DG15" i="1" s="1"/>
  <c r="DG16" i="1" s="1"/>
  <c r="DG17" i="1" s="1"/>
  <c r="DG18" i="1" s="1"/>
  <c r="DG19" i="1" s="1"/>
  <c r="DG20" i="1" s="1"/>
  <c r="DG21" i="1" s="1"/>
  <c r="GL7" i="1"/>
  <c r="GL8" i="1" s="1"/>
  <c r="GL9" i="1" s="1"/>
  <c r="GL10" i="1" s="1"/>
  <c r="GL11" i="1" s="1"/>
  <c r="GL13" i="1" s="1"/>
  <c r="GL14" i="1" s="1"/>
  <c r="GL15" i="1" s="1"/>
  <c r="GL16" i="1" s="1"/>
  <c r="GL17" i="1" s="1"/>
  <c r="GL18" i="1" s="1"/>
  <c r="GL19" i="1" s="1"/>
  <c r="GL20" i="1" s="1"/>
  <c r="GL21" i="1" s="1"/>
  <c r="HV12" i="1"/>
  <c r="AU10" i="1"/>
  <c r="JQ11" i="1"/>
  <c r="JQ13" i="1" s="1"/>
  <c r="JQ14" i="1" s="1"/>
  <c r="JQ15" i="1" s="1"/>
  <c r="JQ16" i="1" s="1"/>
  <c r="JQ17" i="1" s="1"/>
  <c r="JQ18" i="1" s="1"/>
  <c r="JQ19" i="1" s="1"/>
  <c r="JQ20" i="1" s="1"/>
  <c r="JQ21" i="1" s="1"/>
  <c r="DY13" i="1"/>
  <c r="DW22" i="1"/>
  <c r="AN12" i="1"/>
  <c r="AN23" i="1" s="1"/>
  <c r="AP3" i="1"/>
  <c r="DA5" i="1"/>
  <c r="DA6" i="1" s="1"/>
  <c r="DA7" i="1" s="1"/>
  <c r="DA8" i="1" s="1"/>
  <c r="DA9" i="1" s="1"/>
  <c r="DA10" i="1" s="1"/>
  <c r="DA11" i="1" s="1"/>
  <c r="DA13" i="1" s="1"/>
  <c r="DA14" i="1" s="1"/>
  <c r="EB5" i="1"/>
  <c r="EB6" i="1" s="1"/>
  <c r="EB7" i="1" s="1"/>
  <c r="ID5" i="1"/>
  <c r="ID6" i="1" s="1"/>
  <c r="ID7" i="1" s="1"/>
  <c r="ID8" i="1" s="1"/>
  <c r="ID9" i="1" s="1"/>
  <c r="ID10" i="1" s="1"/>
  <c r="ID11" i="1" s="1"/>
  <c r="ID13" i="1" s="1"/>
  <c r="ID14" i="1" s="1"/>
  <c r="ID15" i="1" s="1"/>
  <c r="ID16" i="1" s="1"/>
  <c r="ID17" i="1" s="1"/>
  <c r="DE6" i="1"/>
  <c r="DE7" i="1" s="1"/>
  <c r="DE8" i="1" s="1"/>
  <c r="DE9" i="1" s="1"/>
  <c r="DE10" i="1" s="1"/>
  <c r="DE11" i="1" s="1"/>
  <c r="DE13" i="1" s="1"/>
  <c r="DE14" i="1" s="1"/>
  <c r="DE15" i="1" s="1"/>
  <c r="DE16" i="1" s="1"/>
  <c r="DE17" i="1" s="1"/>
  <c r="DE18" i="1" s="1"/>
  <c r="DE19" i="1" s="1"/>
  <c r="DE20" i="1" s="1"/>
  <c r="DE21" i="1" s="1"/>
  <c r="HK6" i="1"/>
  <c r="HK7" i="1" s="1"/>
  <c r="HK8" i="1" s="1"/>
  <c r="HK9" i="1" s="1"/>
  <c r="HK10" i="1" s="1"/>
  <c r="JQ6" i="1"/>
  <c r="JQ7" i="1" s="1"/>
  <c r="JQ8" i="1" s="1"/>
  <c r="JQ9" i="1" s="1"/>
  <c r="CF7" i="1"/>
  <c r="CF8" i="1" s="1"/>
  <c r="FO8" i="1"/>
  <c r="JY10" i="1"/>
  <c r="JY11" i="1" s="1"/>
  <c r="JY13" i="1" s="1"/>
  <c r="JY14" i="1" s="1"/>
  <c r="JY15" i="1" s="1"/>
  <c r="JY16" i="1" s="1"/>
  <c r="JY17" i="1" s="1"/>
  <c r="JY18" i="1" s="1"/>
  <c r="JY19" i="1" s="1"/>
  <c r="JY20" i="1" s="1"/>
  <c r="JY21" i="1" s="1"/>
  <c r="X11" i="1"/>
  <c r="X13" i="1" s="1"/>
  <c r="X14" i="1" s="1"/>
  <c r="X15" i="1" s="1"/>
  <c r="X16" i="1" s="1"/>
  <c r="X17" i="1" s="1"/>
  <c r="X18" i="1" s="1"/>
  <c r="X19" i="1" s="1"/>
  <c r="CE12" i="1"/>
  <c r="CE23" i="1" s="1"/>
  <c r="GH26" i="1"/>
  <c r="GH27" i="1" s="1"/>
  <c r="GH28" i="1" s="1"/>
  <c r="GH29" i="1" s="1"/>
  <c r="GH30" i="1" s="1"/>
  <c r="GG35" i="1"/>
  <c r="CV31" i="1"/>
  <c r="CT35" i="1"/>
  <c r="AO3" i="1"/>
  <c r="AO4" i="1" s="1"/>
  <c r="AO5" i="1" s="1"/>
  <c r="AO6" i="1" s="1"/>
  <c r="AO7" i="1" s="1"/>
  <c r="AO8" i="1" s="1"/>
  <c r="AO9" i="1" s="1"/>
  <c r="AO10" i="1" s="1"/>
  <c r="GN3" i="1"/>
  <c r="GM12" i="1"/>
  <c r="HT12" i="1"/>
  <c r="HU3" i="1"/>
  <c r="HU4" i="1" s="1"/>
  <c r="CJ4" i="1"/>
  <c r="CJ5" i="1" s="1"/>
  <c r="CJ6" i="1" s="1"/>
  <c r="CJ7" i="1" s="1"/>
  <c r="CJ8" i="1" s="1"/>
  <c r="CJ9" i="1" s="1"/>
  <c r="CJ10" i="1" s="1"/>
  <c r="CJ11" i="1" s="1"/>
  <c r="CJ13" i="1" s="1"/>
  <c r="CJ14" i="1" s="1"/>
  <c r="CJ15" i="1" s="1"/>
  <c r="CJ16" i="1" s="1"/>
  <c r="CJ17" i="1" s="1"/>
  <c r="CJ18" i="1" s="1"/>
  <c r="CJ19" i="1" s="1"/>
  <c r="CJ20" i="1" s="1"/>
  <c r="CJ21" i="1" s="1"/>
  <c r="CJ26" i="1" s="1"/>
  <c r="IK4" i="1"/>
  <c r="IJ4" i="1"/>
  <c r="IJ5" i="1" s="1"/>
  <c r="IJ6" i="1" s="1"/>
  <c r="IJ7" i="1" s="1"/>
  <c r="IJ8" i="1" s="1"/>
  <c r="IJ9" i="1" s="1"/>
  <c r="IJ10" i="1" s="1"/>
  <c r="IJ11" i="1" s="1"/>
  <c r="IK5" i="1"/>
  <c r="BC11" i="1"/>
  <c r="BC13" i="1" s="1"/>
  <c r="BC14" i="1" s="1"/>
  <c r="BC15" i="1" s="1"/>
  <c r="BC16" i="1" s="1"/>
  <c r="BC17" i="1" s="1"/>
  <c r="BC18" i="1" s="1"/>
  <c r="BC19" i="1" s="1"/>
  <c r="BC20" i="1" s="1"/>
  <c r="BC21" i="1" s="1"/>
  <c r="BC26" i="1" s="1"/>
  <c r="G19" i="2"/>
  <c r="CZ22" i="1"/>
  <c r="R14" i="1"/>
  <c r="R16" i="1"/>
  <c r="R17" i="1" s="1"/>
  <c r="R18" i="1" s="1"/>
  <c r="R19" i="1" s="1"/>
  <c r="R20" i="1" s="1"/>
  <c r="R21" i="1" s="1"/>
  <c r="IT18" i="1"/>
  <c r="IT19" i="1" s="1"/>
  <c r="IT20" i="1" s="1"/>
  <c r="IT21" i="1" s="1"/>
  <c r="IO12" i="1"/>
  <c r="IO23" i="1" s="1"/>
  <c r="IP3" i="1"/>
  <c r="IP4" i="1" s="1"/>
  <c r="IP5" i="1" s="1"/>
  <c r="IP6" i="1" s="1"/>
  <c r="IP7" i="1" s="1"/>
  <c r="IP8" i="1" s="1"/>
  <c r="IP9" i="1" s="1"/>
  <c r="IP10" i="1" s="1"/>
  <c r="IP11" i="1" s="1"/>
  <c r="IP13" i="1" s="1"/>
  <c r="IP14" i="1" s="1"/>
  <c r="IP15" i="1" s="1"/>
  <c r="IP16" i="1" s="1"/>
  <c r="IP17" i="1" s="1"/>
  <c r="IP18" i="1" s="1"/>
  <c r="IP19" i="1" s="1"/>
  <c r="IP20" i="1" s="1"/>
  <c r="IP21" i="1" s="1"/>
  <c r="FF23" i="1"/>
  <c r="BL4" i="1"/>
  <c r="BL5" i="1" s="1"/>
  <c r="BL6" i="1" s="1"/>
  <c r="BL7" i="1" s="1"/>
  <c r="BL8" i="1" s="1"/>
  <c r="BL9" i="1" s="1"/>
  <c r="BL10" i="1" s="1"/>
  <c r="BL11" i="1" s="1"/>
  <c r="BL13" i="1" s="1"/>
  <c r="BL14" i="1" s="1"/>
  <c r="BL15" i="1" s="1"/>
  <c r="BL16" i="1" s="1"/>
  <c r="BL17" i="1" s="1"/>
  <c r="BL18" i="1" s="1"/>
  <c r="BL19" i="1" s="1"/>
  <c r="BL20" i="1" s="1"/>
  <c r="BL21" i="1" s="1"/>
  <c r="BL26" i="1" s="1"/>
  <c r="EN4" i="1"/>
  <c r="EN5" i="1" s="1"/>
  <c r="EN6" i="1" s="1"/>
  <c r="EN7" i="1" s="1"/>
  <c r="EN8" i="1" s="1"/>
  <c r="EN9" i="1" s="1"/>
  <c r="EN10" i="1" s="1"/>
  <c r="EN11" i="1" s="1"/>
  <c r="EN13" i="1" s="1"/>
  <c r="EN14" i="1" s="1"/>
  <c r="EN15" i="1" s="1"/>
  <c r="EN16" i="1" s="1"/>
  <c r="EN17" i="1" s="1"/>
  <c r="EN18" i="1" s="1"/>
  <c r="EN19" i="1" s="1"/>
  <c r="EN20" i="1" s="1"/>
  <c r="EN21" i="1" s="1"/>
  <c r="GL4" i="1"/>
  <c r="HK5" i="1"/>
  <c r="JQ5" i="1"/>
  <c r="CF6" i="1"/>
  <c r="DR8" i="1"/>
  <c r="DR9" i="1" s="1"/>
  <c r="DR10" i="1" s="1"/>
  <c r="DR11" i="1" s="1"/>
  <c r="DR13" i="1" s="1"/>
  <c r="DR14" i="1" s="1"/>
  <c r="HG9" i="1"/>
  <c r="HG10" i="1" s="1"/>
  <c r="HG11" i="1" s="1"/>
  <c r="HG13" i="1" s="1"/>
  <c r="HG14" i="1" s="1"/>
  <c r="HG15" i="1" s="1"/>
  <c r="HG16" i="1" s="1"/>
  <c r="HG17" i="1" s="1"/>
  <c r="HG18" i="1" s="1"/>
  <c r="HG19" i="1" s="1"/>
  <c r="HG20" i="1" s="1"/>
  <c r="HH15" i="1"/>
  <c r="CV11" i="1"/>
  <c r="D21" i="2"/>
  <c r="EZ22" i="1"/>
  <c r="FB13" i="1"/>
  <c r="IJ13" i="1"/>
  <c r="IJ14" i="1" s="1"/>
  <c r="IJ15" i="1" s="1"/>
  <c r="IJ16" i="1" s="1"/>
  <c r="IJ17" i="1" s="1"/>
  <c r="IJ18" i="1" s="1"/>
  <c r="IJ19" i="1" s="1"/>
  <c r="IJ20" i="1" s="1"/>
  <c r="IJ21" i="1" s="1"/>
  <c r="IJ26" i="1" s="1"/>
  <c r="IJ27" i="1" s="1"/>
  <c r="JX22" i="1"/>
  <c r="AY17" i="1"/>
  <c r="AY18" i="1" s="1"/>
  <c r="AY19" i="1" s="1"/>
  <c r="AY20" i="1" s="1"/>
  <c r="AY21" i="1" s="1"/>
  <c r="DY17" i="1"/>
  <c r="M35" i="1"/>
  <c r="GH31" i="1"/>
  <c r="GH32" i="1" s="1"/>
  <c r="G18" i="2"/>
  <c r="JD47" i="1"/>
  <c r="JD23" i="1"/>
  <c r="JD12" i="1"/>
  <c r="JX12" i="1"/>
  <c r="JX23" i="1" s="1"/>
  <c r="JY3" i="1"/>
  <c r="JY4" i="1" s="1"/>
  <c r="AB4" i="1"/>
  <c r="AB5" i="1" s="1"/>
  <c r="AB6" i="1" s="1"/>
  <c r="GT5" i="1"/>
  <c r="AY6" i="1"/>
  <c r="AY7" i="1" s="1"/>
  <c r="AY8" i="1" s="1"/>
  <c r="AY9" i="1" s="1"/>
  <c r="AY10" i="1" s="1"/>
  <c r="AY11" i="1" s="1"/>
  <c r="AY13" i="1" s="1"/>
  <c r="AY14" i="1" s="1"/>
  <c r="AY15" i="1" s="1"/>
  <c r="AY16" i="1" s="1"/>
  <c r="GT6" i="1"/>
  <c r="GT7" i="1" s="1"/>
  <c r="GT8" i="1" s="1"/>
  <c r="GT9" i="1" s="1"/>
  <c r="GT10" i="1" s="1"/>
  <c r="GT11" i="1" s="1"/>
  <c r="GT13" i="1" s="1"/>
  <c r="GT14" i="1" s="1"/>
  <c r="GT15" i="1" s="1"/>
  <c r="GT16" i="1" s="1"/>
  <c r="GT17" i="1" s="1"/>
  <c r="GT18" i="1" s="1"/>
  <c r="GT19" i="1" s="1"/>
  <c r="GT20" i="1" s="1"/>
  <c r="GT21" i="1" s="1"/>
  <c r="AB7" i="1"/>
  <c r="AB8" i="1" s="1"/>
  <c r="AB9" i="1" s="1"/>
  <c r="AB10" i="1" s="1"/>
  <c r="AB11" i="1" s="1"/>
  <c r="AB13" i="1" s="1"/>
  <c r="AB14" i="1" s="1"/>
  <c r="AB15" i="1" s="1"/>
  <c r="AB16" i="1" s="1"/>
  <c r="AB17" i="1" s="1"/>
  <c r="AB18" i="1" s="1"/>
  <c r="AB19" i="1" s="1"/>
  <c r="AB20" i="1" s="1"/>
  <c r="AB21" i="1" s="1"/>
  <c r="EF9" i="1"/>
  <c r="EF10" i="1" s="1"/>
  <c r="EF11" i="1" s="1"/>
  <c r="CY11" i="1"/>
  <c r="CY13" i="1" s="1"/>
  <c r="CY14" i="1" s="1"/>
  <c r="CY15" i="1" s="1"/>
  <c r="CY16" i="1" s="1"/>
  <c r="CY17" i="1" s="1"/>
  <c r="CY18" i="1" s="1"/>
  <c r="CY19" i="1" s="1"/>
  <c r="CY20" i="1" s="1"/>
  <c r="CY21" i="1" s="1"/>
  <c r="HH12" i="1"/>
  <c r="Q22" i="1"/>
  <c r="AP22" i="1"/>
  <c r="CH13" i="1"/>
  <c r="CH14" i="1" s="1"/>
  <c r="CH15" i="1" s="1"/>
  <c r="IK22" i="1"/>
  <c r="T19" i="1"/>
  <c r="T20" i="1" s="1"/>
  <c r="T21" i="1" s="1"/>
  <c r="IK21" i="1"/>
  <c r="DQ35" i="1"/>
  <c r="HW28" i="1"/>
  <c r="HW29" i="1" s="1"/>
  <c r="HW30" i="1" s="1"/>
  <c r="HW31" i="1" s="1"/>
  <c r="HW32" i="1" s="1"/>
  <c r="HW33" i="1" s="1"/>
  <c r="HW34" i="1" s="1"/>
  <c r="HW36" i="1" s="1"/>
  <c r="HW37" i="1" s="1"/>
  <c r="HW38" i="1" s="1"/>
  <c r="HW39" i="1" s="1"/>
  <c r="HW40" i="1" s="1"/>
  <c r="HW41" i="1" s="1"/>
  <c r="HW42" i="1" s="1"/>
  <c r="HW43" i="1" s="1"/>
  <c r="HW44" i="1" s="1"/>
  <c r="Y12" i="1"/>
  <c r="D17" i="2"/>
  <c r="EC23" i="1"/>
  <c r="FK3" i="1"/>
  <c r="FK4" i="1" s="1"/>
  <c r="FK5" i="1" s="1"/>
  <c r="FK6" i="1" s="1"/>
  <c r="FK7" i="1" s="1"/>
  <c r="FK8" i="1" s="1"/>
  <c r="FK9" i="1" s="1"/>
  <c r="FK10" i="1" s="1"/>
  <c r="GQ12" i="1"/>
  <c r="GQ23" i="1" s="1"/>
  <c r="IQ12" i="1"/>
  <c r="IR3" i="1"/>
  <c r="IR4" i="1" s="1"/>
  <c r="DY4" i="1"/>
  <c r="DX4" i="1"/>
  <c r="DX5" i="1"/>
  <c r="DY5" i="1"/>
  <c r="EP5" i="1"/>
  <c r="JY5" i="1"/>
  <c r="JY6" i="1" s="1"/>
  <c r="JY7" i="1" s="1"/>
  <c r="DY6" i="1"/>
  <c r="DX6" i="1"/>
  <c r="DX7" i="1" s="1"/>
  <c r="DX8" i="1" s="1"/>
  <c r="EP6" i="1"/>
  <c r="EP7" i="1" s="1"/>
  <c r="EP8" i="1" s="1"/>
  <c r="EP9" i="1" s="1"/>
  <c r="EP10" i="1" s="1"/>
  <c r="EP11" i="1" s="1"/>
  <c r="EP13" i="1" s="1"/>
  <c r="EP14" i="1" s="1"/>
  <c r="EP15" i="1" s="1"/>
  <c r="EP16" i="1" s="1"/>
  <c r="EP17" i="1" s="1"/>
  <c r="EP18" i="1" s="1"/>
  <c r="EP19" i="1" s="1"/>
  <c r="EP20" i="1" s="1"/>
  <c r="EP21" i="1" s="1"/>
  <c r="EP26" i="1" s="1"/>
  <c r="DY7" i="1"/>
  <c r="HA8" i="1"/>
  <c r="HA9" i="1" s="1"/>
  <c r="HA10" i="1" s="1"/>
  <c r="HA11" i="1" s="1"/>
  <c r="KE8" i="1"/>
  <c r="EH9" i="1"/>
  <c r="EH10" i="1" s="1"/>
  <c r="EH11" i="1" s="1"/>
  <c r="EH13" i="1" s="1"/>
  <c r="EH14" i="1" s="1"/>
  <c r="EH15" i="1" s="1"/>
  <c r="EH16" i="1" s="1"/>
  <c r="EH17" i="1" s="1"/>
  <c r="EH18" i="1" s="1"/>
  <c r="EH19" i="1" s="1"/>
  <c r="EH20" i="1" s="1"/>
  <c r="EH21" i="1" s="1"/>
  <c r="FB9" i="1"/>
  <c r="AO11" i="1"/>
  <c r="AO13" i="1" s="1"/>
  <c r="AO14" i="1" s="1"/>
  <c r="AO15" i="1" s="1"/>
  <c r="AO16" i="1" s="1"/>
  <c r="AO17" i="1" s="1"/>
  <c r="AO18" i="1" s="1"/>
  <c r="AO19" i="1" s="1"/>
  <c r="AO20" i="1" s="1"/>
  <c r="AO21" i="1" s="1"/>
  <c r="AP11" i="1"/>
  <c r="FK11" i="1"/>
  <c r="FK13" i="1" s="1"/>
  <c r="FK14" i="1" s="1"/>
  <c r="FK15" i="1" s="1"/>
  <c r="FK16" i="1" s="1"/>
  <c r="FK17" i="1" s="1"/>
  <c r="FK18" i="1" s="1"/>
  <c r="FK19" i="1" s="1"/>
  <c r="FK20" i="1" s="1"/>
  <c r="FK21" i="1" s="1"/>
  <c r="IV11" i="1"/>
  <c r="R13" i="1"/>
  <c r="BK22" i="1"/>
  <c r="DF22" i="1"/>
  <c r="ED14" i="1"/>
  <c r="ED15" i="1" s="1"/>
  <c r="ED16" i="1" s="1"/>
  <c r="ED17" i="1" s="1"/>
  <c r="ED18" i="1" s="1"/>
  <c r="ED19" i="1" s="1"/>
  <c r="ED20" i="1" s="1"/>
  <c r="ED21" i="1" s="1"/>
  <c r="IK16" i="1"/>
  <c r="JE47" i="1"/>
  <c r="JE23" i="1"/>
  <c r="HQ5" i="1"/>
  <c r="HQ6" i="1" s="1"/>
  <c r="HQ7" i="1" s="1"/>
  <c r="AE95" i="1"/>
  <c r="B34" i="8" s="1"/>
  <c r="B34" i="6" s="1"/>
  <c r="AE71" i="1"/>
  <c r="AE47" i="1"/>
  <c r="B34" i="4" s="1"/>
  <c r="AE23" i="1"/>
  <c r="B24" i="2" s="1"/>
  <c r="AE12" i="1"/>
  <c r="JC47" i="1"/>
  <c r="JC23" i="1"/>
  <c r="JC12" i="1"/>
  <c r="AA12" i="1"/>
  <c r="AB3" i="1"/>
  <c r="GS23" i="1"/>
  <c r="IA71" i="1"/>
  <c r="I35" i="6" s="1"/>
  <c r="IA95" i="1"/>
  <c r="I35" i="8" s="1"/>
  <c r="IA47" i="1"/>
  <c r="I35" i="4" s="1"/>
  <c r="IA23" i="1"/>
  <c r="I25" i="2" s="1"/>
  <c r="IA12" i="1"/>
  <c r="CO4" i="1"/>
  <c r="CO5" i="1" s="1"/>
  <c r="CO6" i="1" s="1"/>
  <c r="CO7" i="1" s="1"/>
  <c r="CO8" i="1" s="1"/>
  <c r="CO9" i="1" s="1"/>
  <c r="CO10" i="1" s="1"/>
  <c r="CO11" i="1" s="1"/>
  <c r="CO13" i="1" s="1"/>
  <c r="CO14" i="1" s="1"/>
  <c r="CO15" i="1" s="1"/>
  <c r="CO16" i="1" s="1"/>
  <c r="CO17" i="1" s="1"/>
  <c r="CO18" i="1" s="1"/>
  <c r="CO19" i="1" s="1"/>
  <c r="CO20" i="1" s="1"/>
  <c r="CO21" i="1" s="1"/>
  <c r="CO26" i="1" s="1"/>
  <c r="CO27" i="1" s="1"/>
  <c r="CO28" i="1" s="1"/>
  <c r="CO29" i="1" s="1"/>
  <c r="CO30" i="1" s="1"/>
  <c r="CO31" i="1" s="1"/>
  <c r="CO32" i="1" s="1"/>
  <c r="CO33" i="1" s="1"/>
  <c r="CO34" i="1" s="1"/>
  <c r="CO36" i="1" s="1"/>
  <c r="CO37" i="1" s="1"/>
  <c r="CO38" i="1" s="1"/>
  <c r="CO39" i="1" s="1"/>
  <c r="CO40" i="1" s="1"/>
  <c r="CO41" i="1" s="1"/>
  <c r="CO42" i="1" s="1"/>
  <c r="CO43" i="1" s="1"/>
  <c r="CO44" i="1" s="1"/>
  <c r="CO50" i="1" s="1"/>
  <c r="CO51" i="1" s="1"/>
  <c r="CO52" i="1" s="1"/>
  <c r="CO53" i="1" s="1"/>
  <c r="CO54" i="1" s="1"/>
  <c r="CO55" i="1" s="1"/>
  <c r="CO56" i="1" s="1"/>
  <c r="CO57" i="1" s="1"/>
  <c r="CO58" i="1" s="1"/>
  <c r="CO60" i="1" s="1"/>
  <c r="CO61" i="1" s="1"/>
  <c r="CO62" i="1" s="1"/>
  <c r="CO63" i="1" s="1"/>
  <c r="CO64" i="1" s="1"/>
  <c r="CO65" i="1" s="1"/>
  <c r="CO66" i="1" s="1"/>
  <c r="CO67" i="1" s="1"/>
  <c r="CO68" i="1" s="1"/>
  <c r="CO74" i="1" s="1"/>
  <c r="CO75" i="1" s="1"/>
  <c r="CO76" i="1" s="1"/>
  <c r="CO77" i="1" s="1"/>
  <c r="CO78" i="1" s="1"/>
  <c r="CO79" i="1" s="1"/>
  <c r="CO80" i="1" s="1"/>
  <c r="CO81" i="1" s="1"/>
  <c r="CO82" i="1" s="1"/>
  <c r="CO84" i="1" s="1"/>
  <c r="CO85" i="1" s="1"/>
  <c r="CO86" i="1" s="1"/>
  <c r="CO87" i="1" s="1"/>
  <c r="CO88" i="1" s="1"/>
  <c r="CO89" i="1" s="1"/>
  <c r="CO90" i="1" s="1"/>
  <c r="CO91" i="1" s="1"/>
  <c r="CO92" i="1" s="1"/>
  <c r="FE9" i="1"/>
  <c r="FE10" i="1" s="1"/>
  <c r="FE11" i="1" s="1"/>
  <c r="IZ9" i="1"/>
  <c r="IZ10" i="1" s="1"/>
  <c r="IZ11" i="1" s="1"/>
  <c r="IZ13" i="1" s="1"/>
  <c r="IZ14" i="1" s="1"/>
  <c r="IZ15" i="1" s="1"/>
  <c r="IZ16" i="1" s="1"/>
  <c r="IZ17" i="1" s="1"/>
  <c r="IZ18" i="1" s="1"/>
  <c r="IZ19" i="1" s="1"/>
  <c r="IZ20" i="1" s="1"/>
  <c r="IZ21" i="1" s="1"/>
  <c r="JY9" i="1"/>
  <c r="B4" i="2"/>
  <c r="G23" i="1"/>
  <c r="I22" i="2"/>
  <c r="EG12" i="1"/>
  <c r="EG23" i="1" s="1"/>
  <c r="HL12" i="1"/>
  <c r="HL23" i="1" s="1"/>
  <c r="ID3" i="1"/>
  <c r="ID4" i="1" s="1"/>
  <c r="IC12" i="1"/>
  <c r="IC23" i="1" s="1"/>
  <c r="JL12" i="1"/>
  <c r="JN3" i="1"/>
  <c r="JM3" i="1"/>
  <c r="JM4" i="1" s="1"/>
  <c r="JM5" i="1" s="1"/>
  <c r="JM6" i="1" s="1"/>
  <c r="JM7" i="1" s="1"/>
  <c r="JM8" i="1" s="1"/>
  <c r="JM9" i="1" s="1"/>
  <c r="JM10" i="1" s="1"/>
  <c r="JM11" i="1" s="1"/>
  <c r="JM13" i="1" s="1"/>
  <c r="JM14" i="1" s="1"/>
  <c r="JM15" i="1" s="1"/>
  <c r="JM16" i="1" s="1"/>
  <c r="JM17" i="1" s="1"/>
  <c r="JM18" i="1" s="1"/>
  <c r="JM19" i="1" s="1"/>
  <c r="JM20" i="1" s="1"/>
  <c r="JM21" i="1" s="1"/>
  <c r="JM26" i="1" s="1"/>
  <c r="JM27" i="1" s="1"/>
  <c r="JM28" i="1" s="1"/>
  <c r="JM29" i="1" s="1"/>
  <c r="JM30" i="1" s="1"/>
  <c r="JM31" i="1" s="1"/>
  <c r="JM32" i="1" s="1"/>
  <c r="JM33" i="1" s="1"/>
  <c r="JM34" i="1" s="1"/>
  <c r="JM36" i="1" s="1"/>
  <c r="JM37" i="1" s="1"/>
  <c r="JM38" i="1" s="1"/>
  <c r="JM39" i="1" s="1"/>
  <c r="JM40" i="1" s="1"/>
  <c r="JM41" i="1" s="1"/>
  <c r="JM42" i="1" s="1"/>
  <c r="JM43" i="1" s="1"/>
  <c r="JM44" i="1" s="1"/>
  <c r="JM50" i="1" s="1"/>
  <c r="JM51" i="1" s="1"/>
  <c r="JM52" i="1" s="1"/>
  <c r="JM53" i="1" s="1"/>
  <c r="JM54" i="1" s="1"/>
  <c r="JM55" i="1" s="1"/>
  <c r="JM56" i="1" s="1"/>
  <c r="JM57" i="1" s="1"/>
  <c r="JM58" i="1" s="1"/>
  <c r="JM60" i="1" s="1"/>
  <c r="JM61" i="1" s="1"/>
  <c r="JM62" i="1" s="1"/>
  <c r="JM63" i="1" s="1"/>
  <c r="JM64" i="1" s="1"/>
  <c r="JM65" i="1" s="1"/>
  <c r="JM66" i="1" s="1"/>
  <c r="JM67" i="1" s="1"/>
  <c r="JM68" i="1" s="1"/>
  <c r="JM74" i="1" s="1"/>
  <c r="JM75" i="1" s="1"/>
  <c r="JM76" i="1" s="1"/>
  <c r="JM77" i="1" s="1"/>
  <c r="JM78" i="1" s="1"/>
  <c r="JM79" i="1" s="1"/>
  <c r="JM80" i="1" s="1"/>
  <c r="JM81" i="1" s="1"/>
  <c r="JM82" i="1" s="1"/>
  <c r="JM84" i="1" s="1"/>
  <c r="JM85" i="1" s="1"/>
  <c r="JM86" i="1" s="1"/>
  <c r="JM87" i="1" s="1"/>
  <c r="JM88" i="1" s="1"/>
  <c r="JM89" i="1" s="1"/>
  <c r="JM90" i="1" s="1"/>
  <c r="JM91" i="1" s="1"/>
  <c r="JM92" i="1" s="1"/>
  <c r="KD12" i="1"/>
  <c r="KD23" i="1" s="1"/>
  <c r="HH8" i="1"/>
  <c r="HK11" i="1"/>
  <c r="HK13" i="1" s="1"/>
  <c r="HK14" i="1" s="1"/>
  <c r="HK15" i="1" s="1"/>
  <c r="HK16" i="1" s="1"/>
  <c r="HK17" i="1" s="1"/>
  <c r="HK18" i="1" s="1"/>
  <c r="CZ12" i="1"/>
  <c r="CZ23" i="1" s="1"/>
  <c r="W22" i="1"/>
  <c r="W23" i="1" s="1"/>
  <c r="AV22" i="1"/>
  <c r="BV13" i="1"/>
  <c r="BV14" i="1" s="1"/>
  <c r="BV15" i="1" s="1"/>
  <c r="BV16" i="1" s="1"/>
  <c r="BV17" i="1" s="1"/>
  <c r="EI22" i="1"/>
  <c r="HR22" i="1"/>
  <c r="HR23" i="1" s="1"/>
  <c r="HS13" i="1"/>
  <c r="HS14" i="1" s="1"/>
  <c r="HS15" i="1" s="1"/>
  <c r="IQ22" i="1"/>
  <c r="JN15" i="1"/>
  <c r="HS16" i="1"/>
  <c r="HS17" i="1" s="1"/>
  <c r="HS18" i="1" s="1"/>
  <c r="HS19" i="1" s="1"/>
  <c r="HS20" i="1" s="1"/>
  <c r="HS21" i="1" s="1"/>
  <c r="JN20" i="1"/>
  <c r="AX22" i="1"/>
  <c r="FY23" i="1"/>
  <c r="U35" i="1"/>
  <c r="V26" i="1"/>
  <c r="V27" i="1" s="1"/>
  <c r="V28" i="1" s="1"/>
  <c r="FP35" i="1"/>
  <c r="FQ26" i="1"/>
  <c r="GP26" i="1"/>
  <c r="GO35" i="1"/>
  <c r="GO46" i="1" s="1"/>
  <c r="H19" i="3" s="1"/>
  <c r="IJ28" i="1"/>
  <c r="IJ29" i="1" s="1"/>
  <c r="IJ30" i="1" s="1"/>
  <c r="IJ31" i="1" s="1"/>
  <c r="IJ32" i="1" s="1"/>
  <c r="IJ33" i="1" s="1"/>
  <c r="IJ34" i="1" s="1"/>
  <c r="IJ36" i="1" s="1"/>
  <c r="IJ37" i="1" s="1"/>
  <c r="IJ38" i="1" s="1"/>
  <c r="IJ39" i="1" s="1"/>
  <c r="IJ40" i="1" s="1"/>
  <c r="IJ41" i="1" s="1"/>
  <c r="IJ42" i="1" s="1"/>
  <c r="IJ43" i="1" s="1"/>
  <c r="IJ44" i="1" s="1"/>
  <c r="IJ50" i="1" s="1"/>
  <c r="IJ51" i="1" s="1"/>
  <c r="IJ52" i="1" s="1"/>
  <c r="IJ53" i="1" s="1"/>
  <c r="IJ54" i="1" s="1"/>
  <c r="IJ55" i="1" s="1"/>
  <c r="IJ56" i="1" s="1"/>
  <c r="IJ57" i="1" s="1"/>
  <c r="IJ58" i="1" s="1"/>
  <c r="IJ60" i="1" s="1"/>
  <c r="IJ61" i="1" s="1"/>
  <c r="IJ62" i="1" s="1"/>
  <c r="IJ63" i="1" s="1"/>
  <c r="IJ64" i="1" s="1"/>
  <c r="IJ65" i="1" s="1"/>
  <c r="IJ66" i="1" s="1"/>
  <c r="IJ67" i="1" s="1"/>
  <c r="IJ68" i="1" s="1"/>
  <c r="IJ74" i="1" s="1"/>
  <c r="IJ75" i="1" s="1"/>
  <c r="IJ76" i="1" s="1"/>
  <c r="IJ77" i="1" s="1"/>
  <c r="IJ78" i="1" s="1"/>
  <c r="IJ79" i="1" s="1"/>
  <c r="IJ80" i="1" s="1"/>
  <c r="IJ81" i="1" s="1"/>
  <c r="IJ82" i="1" s="1"/>
  <c r="IJ84" i="1" s="1"/>
  <c r="IJ85" i="1" s="1"/>
  <c r="IJ86" i="1" s="1"/>
  <c r="IJ87" i="1" s="1"/>
  <c r="IJ88" i="1" s="1"/>
  <c r="IJ89" i="1" s="1"/>
  <c r="IJ90" i="1" s="1"/>
  <c r="IJ91" i="1" s="1"/>
  <c r="IJ92" i="1" s="1"/>
  <c r="BI95" i="1"/>
  <c r="C35" i="8" s="1"/>
  <c r="BI71" i="1"/>
  <c r="C35" i="6" s="1"/>
  <c r="BI47" i="1"/>
  <c r="C35" i="4" s="1"/>
  <c r="BI23" i="1"/>
  <c r="C25" i="2" s="1"/>
  <c r="BI12" i="1"/>
  <c r="AR23" i="1"/>
  <c r="CN22" i="1"/>
  <c r="CN23" i="1" s="1"/>
  <c r="KB35" i="1"/>
  <c r="KC26" i="1"/>
  <c r="KC27" i="1" s="1"/>
  <c r="KC28" i="1" s="1"/>
  <c r="KC29" i="1" s="1"/>
  <c r="KC30" i="1" s="1"/>
  <c r="HW27" i="1"/>
  <c r="HV35" i="1"/>
  <c r="HV46" i="1" s="1"/>
  <c r="I21" i="3" s="1"/>
  <c r="GR34" i="1"/>
  <c r="GR36" i="1" s="1"/>
  <c r="GR37" i="1" s="1"/>
  <c r="GR38" i="1" s="1"/>
  <c r="GR39" i="1" s="1"/>
  <c r="IX34" i="1"/>
  <c r="IX36" i="1" s="1"/>
  <c r="CV37" i="1"/>
  <c r="AV12" i="1"/>
  <c r="AV23" i="1" s="1"/>
  <c r="AW3" i="1"/>
  <c r="AW4" i="1" s="1"/>
  <c r="AW5" i="1" s="1"/>
  <c r="AW6" i="1" s="1"/>
  <c r="FP12" i="1"/>
  <c r="FQ3" i="1"/>
  <c r="JP12" i="1"/>
  <c r="JP23" i="1" s="1"/>
  <c r="JN4" i="1"/>
  <c r="BE5" i="1"/>
  <c r="BE6" i="1" s="1"/>
  <c r="BE7" i="1" s="1"/>
  <c r="BE8" i="1" s="1"/>
  <c r="BE9" i="1" s="1"/>
  <c r="BE10" i="1" s="1"/>
  <c r="BE11" i="1" s="1"/>
  <c r="BE13" i="1" s="1"/>
  <c r="BE14" i="1" s="1"/>
  <c r="BE15" i="1" s="1"/>
  <c r="BE16" i="1" s="1"/>
  <c r="BE17" i="1" s="1"/>
  <c r="BE18" i="1" s="1"/>
  <c r="BE19" i="1" s="1"/>
  <c r="BE20" i="1" s="1"/>
  <c r="BE21" i="1" s="1"/>
  <c r="HU5" i="1"/>
  <c r="HU6" i="1" s="1"/>
  <c r="HU7" i="1" s="1"/>
  <c r="HU8" i="1" s="1"/>
  <c r="HU9" i="1" s="1"/>
  <c r="HU10" i="1" s="1"/>
  <c r="HU11" i="1" s="1"/>
  <c r="HU13" i="1" s="1"/>
  <c r="HU14" i="1" s="1"/>
  <c r="IR5" i="1"/>
  <c r="IR6" i="1" s="1"/>
  <c r="IR7" i="1" s="1"/>
  <c r="IR8" i="1" s="1"/>
  <c r="IR9" i="1" s="1"/>
  <c r="IR10" i="1" s="1"/>
  <c r="IR11" i="1" s="1"/>
  <c r="IR13" i="1" s="1"/>
  <c r="IR14" i="1" s="1"/>
  <c r="IR15" i="1" s="1"/>
  <c r="IR16" i="1" s="1"/>
  <c r="IR17" i="1" s="1"/>
  <c r="IR18" i="1" s="1"/>
  <c r="IR19" i="1" s="1"/>
  <c r="IR20" i="1" s="1"/>
  <c r="IR21" i="1" s="1"/>
  <c r="JN5" i="1"/>
  <c r="JN6" i="1"/>
  <c r="JN7" i="1"/>
  <c r="DK8" i="1"/>
  <c r="DK9" i="1" s="1"/>
  <c r="DK10" i="1" s="1"/>
  <c r="DK11" i="1" s="1"/>
  <c r="DK13" i="1" s="1"/>
  <c r="DK14" i="1" s="1"/>
  <c r="DK15" i="1" s="1"/>
  <c r="DK16" i="1" s="1"/>
  <c r="DK17" i="1" s="1"/>
  <c r="DK18" i="1" s="1"/>
  <c r="DK19" i="1" s="1"/>
  <c r="DK20" i="1" s="1"/>
  <c r="DK21" i="1" s="1"/>
  <c r="EF8" i="1"/>
  <c r="CF9" i="1"/>
  <c r="CF10" i="1" s="1"/>
  <c r="CF11" i="1" s="1"/>
  <c r="CF13" i="1" s="1"/>
  <c r="CF14" i="1" s="1"/>
  <c r="CF15" i="1" s="1"/>
  <c r="CF16" i="1" s="1"/>
  <c r="CF17" i="1" s="1"/>
  <c r="CF18" i="1" s="1"/>
  <c r="CF19" i="1" s="1"/>
  <c r="CF20" i="1" s="1"/>
  <c r="O12" i="1"/>
  <c r="BW22" i="1"/>
  <c r="DL22" i="1"/>
  <c r="GF13" i="1"/>
  <c r="GE14" i="1"/>
  <c r="HU15" i="1"/>
  <c r="HU16" i="1" s="1"/>
  <c r="HU17" i="1" s="1"/>
  <c r="GE18" i="1"/>
  <c r="HN22" i="1"/>
  <c r="EC35" i="1"/>
  <c r="KG46" i="1"/>
  <c r="KG35" i="1"/>
  <c r="DC28" i="1"/>
  <c r="DC29" i="1" s="1"/>
  <c r="DC30" i="1" s="1"/>
  <c r="DC31" i="1" s="1"/>
  <c r="DC32" i="1" s="1"/>
  <c r="DC33" i="1" s="1"/>
  <c r="BS30" i="1"/>
  <c r="IV31" i="1"/>
  <c r="FH45" i="1"/>
  <c r="GE12" i="1"/>
  <c r="KB12" i="1"/>
  <c r="KB23" i="1" s="1"/>
  <c r="AT22" i="1"/>
  <c r="FE13" i="1"/>
  <c r="FE14" i="1" s="1"/>
  <c r="FE15" i="1" s="1"/>
  <c r="FE16" i="1" s="1"/>
  <c r="FE17" i="1" s="1"/>
  <c r="FE18" i="1" s="1"/>
  <c r="FE19" i="1" s="1"/>
  <c r="FE20" i="1" s="1"/>
  <c r="FE21" i="1" s="1"/>
  <c r="JN14" i="1"/>
  <c r="CC35" i="1"/>
  <c r="CD26" i="1"/>
  <c r="CD27" i="1" s="1"/>
  <c r="FM4" i="1"/>
  <c r="P5" i="1"/>
  <c r="P6" i="1" s="1"/>
  <c r="P7" i="1" s="1"/>
  <c r="P8" i="1" s="1"/>
  <c r="P9" i="1" s="1"/>
  <c r="P10" i="1" s="1"/>
  <c r="P11" i="1" s="1"/>
  <c r="P13" i="1" s="1"/>
  <c r="P14" i="1" s="1"/>
  <c r="P15" i="1" s="1"/>
  <c r="P16" i="1" s="1"/>
  <c r="P17" i="1" s="1"/>
  <c r="P18" i="1" s="1"/>
  <c r="P19" i="1" s="1"/>
  <c r="P20" i="1" s="1"/>
  <c r="P21" i="1" s="1"/>
  <c r="P26" i="1" s="1"/>
  <c r="P27" i="1" s="1"/>
  <c r="P28" i="1" s="1"/>
  <c r="P29" i="1" s="1"/>
  <c r="P30" i="1" s="1"/>
  <c r="P31" i="1" s="1"/>
  <c r="P32" i="1" s="1"/>
  <c r="P33" i="1" s="1"/>
  <c r="P34" i="1" s="1"/>
  <c r="P36" i="1" s="1"/>
  <c r="P37" i="1" s="1"/>
  <c r="P38" i="1" s="1"/>
  <c r="P39" i="1" s="1"/>
  <c r="P40" i="1" s="1"/>
  <c r="P41" i="1" s="1"/>
  <c r="P42" i="1" s="1"/>
  <c r="P43" i="1" s="1"/>
  <c r="P44" i="1" s="1"/>
  <c r="P50" i="1" s="1"/>
  <c r="P51" i="1" s="1"/>
  <c r="P52" i="1" s="1"/>
  <c r="P53" i="1" s="1"/>
  <c r="P54" i="1" s="1"/>
  <c r="P55" i="1" s="1"/>
  <c r="P56" i="1" s="1"/>
  <c r="P57" i="1" s="1"/>
  <c r="P58" i="1" s="1"/>
  <c r="P60" i="1" s="1"/>
  <c r="P61" i="1" s="1"/>
  <c r="P62" i="1" s="1"/>
  <c r="P63" i="1" s="1"/>
  <c r="P64" i="1" s="1"/>
  <c r="P65" i="1" s="1"/>
  <c r="P66" i="1" s="1"/>
  <c r="P67" i="1" s="1"/>
  <c r="P68" i="1" s="1"/>
  <c r="P74" i="1" s="1"/>
  <c r="P75" i="1" s="1"/>
  <c r="P76" i="1" s="1"/>
  <c r="P77" i="1" s="1"/>
  <c r="P78" i="1" s="1"/>
  <c r="P79" i="1" s="1"/>
  <c r="P80" i="1" s="1"/>
  <c r="P81" i="1" s="1"/>
  <c r="P82" i="1" s="1"/>
  <c r="P84" i="1" s="1"/>
  <c r="P85" i="1" s="1"/>
  <c r="P86" i="1" s="1"/>
  <c r="P87" i="1" s="1"/>
  <c r="P88" i="1" s="1"/>
  <c r="P89" i="1" s="1"/>
  <c r="P90" i="1" s="1"/>
  <c r="P91" i="1" s="1"/>
  <c r="P92" i="1" s="1"/>
  <c r="AF95" i="1"/>
  <c r="B35" i="8" s="1"/>
  <c r="B35" i="6" s="1"/>
  <c r="AF71" i="1"/>
  <c r="AF47" i="1"/>
  <c r="B35" i="4" s="1"/>
  <c r="AF23" i="1"/>
  <c r="B25" i="2" s="1"/>
  <c r="FQ4" i="1"/>
  <c r="FQ5" i="1" s="1"/>
  <c r="FQ6" i="1" s="1"/>
  <c r="FQ7" i="1" s="1"/>
  <c r="FQ8" i="1" s="1"/>
  <c r="FQ9" i="1" s="1"/>
  <c r="FQ10" i="1" s="1"/>
  <c r="FQ11" i="1" s="1"/>
  <c r="FQ13" i="1" s="1"/>
  <c r="HW4" i="1"/>
  <c r="HW5" i="1" s="1"/>
  <c r="HW6" i="1" s="1"/>
  <c r="HW7" i="1" s="1"/>
  <c r="HW8" i="1" s="1"/>
  <c r="HW9" i="1" s="1"/>
  <c r="HW10" i="1" s="1"/>
  <c r="HW11" i="1" s="1"/>
  <c r="HW13" i="1" s="1"/>
  <c r="HW14" i="1" s="1"/>
  <c r="HW15" i="1" s="1"/>
  <c r="HW16" i="1" s="1"/>
  <c r="HW17" i="1" s="1"/>
  <c r="HW18" i="1" s="1"/>
  <c r="HW19" i="1" s="1"/>
  <c r="HW20" i="1" s="1"/>
  <c r="HW21" i="1" s="1"/>
  <c r="EH8" i="1"/>
  <c r="IN9" i="1"/>
  <c r="IN10" i="1" s="1"/>
  <c r="IN11" i="1" s="1"/>
  <c r="IN13" i="1" s="1"/>
  <c r="IN14" i="1" s="1"/>
  <c r="IN15" i="1" s="1"/>
  <c r="IN16" i="1" s="1"/>
  <c r="IN17" i="1" s="1"/>
  <c r="IN18" i="1" s="1"/>
  <c r="JQ10" i="1"/>
  <c r="Q23" i="1"/>
  <c r="D4" i="2"/>
  <c r="BM23" i="1"/>
  <c r="DL12" i="1"/>
  <c r="II12" i="1"/>
  <c r="EK22" i="1"/>
  <c r="EK23" i="1" s="1"/>
  <c r="EL13" i="1"/>
  <c r="EL14" i="1" s="1"/>
  <c r="EL15" i="1" s="1"/>
  <c r="EL16" i="1" s="1"/>
  <c r="EL17" i="1" s="1"/>
  <c r="EL18" i="1" s="1"/>
  <c r="EL19" i="1" s="1"/>
  <c r="EL20" i="1" s="1"/>
  <c r="EL21" i="1" s="1"/>
  <c r="EL26" i="1" s="1"/>
  <c r="EL27" i="1" s="1"/>
  <c r="EL28" i="1" s="1"/>
  <c r="EL29" i="1" s="1"/>
  <c r="EL30" i="1" s="1"/>
  <c r="EL31" i="1" s="1"/>
  <c r="EL32" i="1" s="1"/>
  <c r="EL33" i="1" s="1"/>
  <c r="EL34" i="1" s="1"/>
  <c r="EL36" i="1" s="1"/>
  <c r="EL37" i="1" s="1"/>
  <c r="EL38" i="1" s="1"/>
  <c r="EL39" i="1" s="1"/>
  <c r="EL40" i="1" s="1"/>
  <c r="EL41" i="1" s="1"/>
  <c r="EL42" i="1" s="1"/>
  <c r="EL43" i="1" s="1"/>
  <c r="EL44" i="1" s="1"/>
  <c r="EL50" i="1" s="1"/>
  <c r="EL51" i="1" s="1"/>
  <c r="EL52" i="1" s="1"/>
  <c r="EL53" i="1" s="1"/>
  <c r="EL54" i="1" s="1"/>
  <c r="EL55" i="1" s="1"/>
  <c r="EL56" i="1" s="1"/>
  <c r="EL57" i="1" s="1"/>
  <c r="EL58" i="1" s="1"/>
  <c r="EL60" i="1" s="1"/>
  <c r="EL61" i="1" s="1"/>
  <c r="EL62" i="1" s="1"/>
  <c r="EL63" i="1" s="1"/>
  <c r="EL64" i="1" s="1"/>
  <c r="EL65" i="1" s="1"/>
  <c r="EL66" i="1" s="1"/>
  <c r="EL67" i="1" s="1"/>
  <c r="EL68" i="1" s="1"/>
  <c r="EL74" i="1" s="1"/>
  <c r="EL75" i="1" s="1"/>
  <c r="EL76" i="1" s="1"/>
  <c r="EL77" i="1" s="1"/>
  <c r="EL78" i="1" s="1"/>
  <c r="EL79" i="1" s="1"/>
  <c r="EL80" i="1" s="1"/>
  <c r="EL81" i="1" s="1"/>
  <c r="EL82" i="1" s="1"/>
  <c r="EL84" i="1" s="1"/>
  <c r="EL85" i="1" s="1"/>
  <c r="EL86" i="1" s="1"/>
  <c r="EL87" i="1" s="1"/>
  <c r="EL88" i="1" s="1"/>
  <c r="EL89" i="1" s="1"/>
  <c r="EL90" i="1" s="1"/>
  <c r="EL91" i="1" s="1"/>
  <c r="EL92" i="1" s="1"/>
  <c r="H15" i="2"/>
  <c r="IT13" i="1"/>
  <c r="IT14" i="1" s="1"/>
  <c r="IT15" i="1" s="1"/>
  <c r="IT16" i="1" s="1"/>
  <c r="IT17" i="1" s="1"/>
  <c r="AD14" i="1"/>
  <c r="AD15" i="1" s="1"/>
  <c r="AD16" i="1" s="1"/>
  <c r="AD17" i="1" s="1"/>
  <c r="AD18" i="1" s="1"/>
  <c r="JS15" i="1"/>
  <c r="JS16" i="1" s="1"/>
  <c r="JS17" i="1" s="1"/>
  <c r="JS18" i="1" s="1"/>
  <c r="JS19" i="1" s="1"/>
  <c r="JS20" i="1" s="1"/>
  <c r="JS21" i="1" s="1"/>
  <c r="HK19" i="1"/>
  <c r="HK20" i="1" s="1"/>
  <c r="HK21" i="1" s="1"/>
  <c r="JN19" i="1"/>
  <c r="Y35" i="1"/>
  <c r="CJ27" i="1"/>
  <c r="CJ28" i="1" s="1"/>
  <c r="CJ29" i="1" s="1"/>
  <c r="CJ30" i="1" s="1"/>
  <c r="CJ31" i="1" s="1"/>
  <c r="CJ32" i="1" s="1"/>
  <c r="CJ33" i="1" s="1"/>
  <c r="CJ34" i="1" s="1"/>
  <c r="CJ36" i="1" s="1"/>
  <c r="CJ37" i="1" s="1"/>
  <c r="CJ38" i="1" s="1"/>
  <c r="CJ39" i="1" s="1"/>
  <c r="CJ40" i="1" s="1"/>
  <c r="CJ41" i="1" s="1"/>
  <c r="CJ42" i="1" s="1"/>
  <c r="CJ43" i="1" s="1"/>
  <c r="CJ44" i="1" s="1"/>
  <c r="CJ50" i="1" s="1"/>
  <c r="CJ51" i="1" s="1"/>
  <c r="CJ52" i="1" s="1"/>
  <c r="CJ53" i="1" s="1"/>
  <c r="CJ54" i="1" s="1"/>
  <c r="CJ55" i="1" s="1"/>
  <c r="CJ56" i="1" s="1"/>
  <c r="CJ57" i="1" s="1"/>
  <c r="CJ58" i="1" s="1"/>
  <c r="CJ60" i="1" s="1"/>
  <c r="CJ61" i="1" s="1"/>
  <c r="CJ62" i="1" s="1"/>
  <c r="CJ63" i="1" s="1"/>
  <c r="CJ64" i="1" s="1"/>
  <c r="CJ65" i="1" s="1"/>
  <c r="CJ66" i="1" s="1"/>
  <c r="CJ67" i="1" s="1"/>
  <c r="CJ68" i="1" s="1"/>
  <c r="CJ74" i="1" s="1"/>
  <c r="CJ75" i="1" s="1"/>
  <c r="CJ76" i="1" s="1"/>
  <c r="CJ77" i="1" s="1"/>
  <c r="CJ78" i="1" s="1"/>
  <c r="CJ79" i="1" s="1"/>
  <c r="CJ80" i="1" s="1"/>
  <c r="CJ81" i="1" s="1"/>
  <c r="CJ82" i="1" s="1"/>
  <c r="CJ84" i="1" s="1"/>
  <c r="CJ85" i="1" s="1"/>
  <c r="CJ86" i="1" s="1"/>
  <c r="CJ87" i="1" s="1"/>
  <c r="CJ88" i="1" s="1"/>
  <c r="CJ89" i="1" s="1"/>
  <c r="CJ90" i="1" s="1"/>
  <c r="CJ91" i="1" s="1"/>
  <c r="CJ92" i="1" s="1"/>
  <c r="EF28" i="1"/>
  <c r="EF29" i="1" s="1"/>
  <c r="EF30" i="1" s="1"/>
  <c r="EF31" i="1" s="1"/>
  <c r="EF32" i="1" s="1"/>
  <c r="EF33" i="1" s="1"/>
  <c r="BL29" i="1"/>
  <c r="BL30" i="1" s="1"/>
  <c r="KC31" i="1"/>
  <c r="CA45" i="1"/>
  <c r="CB36" i="1"/>
  <c r="CB37" i="1" s="1"/>
  <c r="CA23" i="1"/>
  <c r="AG95" i="1"/>
  <c r="B36" i="8" s="1"/>
  <c r="B36" i="6" s="1"/>
  <c r="AG71" i="1"/>
  <c r="AG47" i="1"/>
  <c r="B36" i="4" s="1"/>
  <c r="AG23" i="1"/>
  <c r="B26" i="2" s="1"/>
  <c r="HY11" i="1"/>
  <c r="HY13" i="1" s="1"/>
  <c r="HY14" i="1" s="1"/>
  <c r="HY15" i="1" s="1"/>
  <c r="HY16" i="1" s="1"/>
  <c r="HY17" i="1" s="1"/>
  <c r="HY18" i="1" s="1"/>
  <c r="HY19" i="1" s="1"/>
  <c r="HY20" i="1" s="1"/>
  <c r="HY21" i="1" s="1"/>
  <c r="JS11" i="1"/>
  <c r="E4" i="2"/>
  <c r="CP23" i="1"/>
  <c r="T13" i="1"/>
  <c r="T14" i="1" s="1"/>
  <c r="T15" i="1" s="1"/>
  <c r="T16" i="1" s="1"/>
  <c r="T17" i="1" s="1"/>
  <c r="T18" i="1" s="1"/>
  <c r="HO13" i="1"/>
  <c r="HO14" i="1" s="1"/>
  <c r="HO15" i="1" s="1"/>
  <c r="HO16" i="1" s="1"/>
  <c r="HO17" i="1" s="1"/>
  <c r="HO18" i="1" s="1"/>
  <c r="HO19" i="1" s="1"/>
  <c r="HO20" i="1" s="1"/>
  <c r="HO21" i="1" s="1"/>
  <c r="AU14" i="1"/>
  <c r="AU15" i="1" s="1"/>
  <c r="AU16" i="1" s="1"/>
  <c r="AU17" i="1" s="1"/>
  <c r="AU18" i="1" s="1"/>
  <c r="AU19" i="1" s="1"/>
  <c r="AU20" i="1" s="1"/>
  <c r="AU21" i="1" s="1"/>
  <c r="M12" i="1"/>
  <c r="BK23" i="1"/>
  <c r="CV3" i="1"/>
  <c r="CT12" i="1"/>
  <c r="CT23" i="1" s="1"/>
  <c r="EU3" i="1"/>
  <c r="EU4" i="1" s="1"/>
  <c r="EU5" i="1" s="1"/>
  <c r="EU6" i="1" s="1"/>
  <c r="EU7" i="1" s="1"/>
  <c r="EU8" i="1" s="1"/>
  <c r="EU9" i="1" s="1"/>
  <c r="EU10" i="1" s="1"/>
  <c r="EU11" i="1" s="1"/>
  <c r="EU13" i="1" s="1"/>
  <c r="EU14" i="1" s="1"/>
  <c r="EU15" i="1" s="1"/>
  <c r="EU16" i="1" s="1"/>
  <c r="EU17" i="1" s="1"/>
  <c r="EU18" i="1" s="1"/>
  <c r="EU19" i="1" s="1"/>
  <c r="EU20" i="1" s="1"/>
  <c r="EU21" i="1" s="1"/>
  <c r="EU26" i="1" s="1"/>
  <c r="GF3" i="1"/>
  <c r="GF4" i="1" s="1"/>
  <c r="GF5" i="1" s="1"/>
  <c r="GF6" i="1" s="1"/>
  <c r="GF7" i="1" s="1"/>
  <c r="GF8" i="1" s="1"/>
  <c r="GF9" i="1" s="1"/>
  <c r="GF10" i="1" s="1"/>
  <c r="GF11" i="1" s="1"/>
  <c r="GY95" i="1"/>
  <c r="H36" i="8" s="1"/>
  <c r="GY71" i="1"/>
  <c r="H36" i="6" s="1"/>
  <c r="GY47" i="1"/>
  <c r="H36" i="4" s="1"/>
  <c r="GY23" i="1"/>
  <c r="H26" i="2" s="1"/>
  <c r="FM5" i="1"/>
  <c r="FM6" i="1" s="1"/>
  <c r="FM7" i="1" s="1"/>
  <c r="FM8" i="1" s="1"/>
  <c r="FM9" i="1" s="1"/>
  <c r="FM10" i="1" s="1"/>
  <c r="FM11" i="1" s="1"/>
  <c r="FM13" i="1" s="1"/>
  <c r="FM14" i="1" s="1"/>
  <c r="FM15" i="1" s="1"/>
  <c r="FM16" i="1" s="1"/>
  <c r="FM17" i="1" s="1"/>
  <c r="FM18" i="1" s="1"/>
  <c r="FM19" i="1" s="1"/>
  <c r="FM20" i="1" s="1"/>
  <c r="FM21" i="1" s="1"/>
  <c r="JG5" i="1"/>
  <c r="JG6" i="1" s="1"/>
  <c r="JG7" i="1" s="1"/>
  <c r="JG8" i="1" s="1"/>
  <c r="JG9" i="1" s="1"/>
  <c r="JG10" i="1" s="1"/>
  <c r="JG11" i="1" s="1"/>
  <c r="JG13" i="1" s="1"/>
  <c r="JG14" i="1" s="1"/>
  <c r="JG15" i="1" s="1"/>
  <c r="JG16" i="1" s="1"/>
  <c r="JG17" i="1" s="1"/>
  <c r="JG18" i="1" s="1"/>
  <c r="JG19" i="1" s="1"/>
  <c r="JG20" i="1" s="1"/>
  <c r="JG21" i="1" s="1"/>
  <c r="JG26" i="1" s="1"/>
  <c r="JG27" i="1" s="1"/>
  <c r="JG28" i="1" s="1"/>
  <c r="JG29" i="1" s="1"/>
  <c r="JG30" i="1" s="1"/>
  <c r="JG31" i="1" s="1"/>
  <c r="JG32" i="1" s="1"/>
  <c r="JG33" i="1" s="1"/>
  <c r="JG34" i="1" s="1"/>
  <c r="JG36" i="1" s="1"/>
  <c r="JG37" i="1" s="1"/>
  <c r="JG38" i="1" s="1"/>
  <c r="JG39" i="1" s="1"/>
  <c r="JG40" i="1" s="1"/>
  <c r="JG41" i="1" s="1"/>
  <c r="JG42" i="1" s="1"/>
  <c r="JG43" i="1" s="1"/>
  <c r="JG44" i="1" s="1"/>
  <c r="JG50" i="1" s="1"/>
  <c r="JG51" i="1" s="1"/>
  <c r="JG52" i="1" s="1"/>
  <c r="JG53" i="1" s="1"/>
  <c r="JG54" i="1" s="1"/>
  <c r="JG55" i="1" s="1"/>
  <c r="JG56" i="1" s="1"/>
  <c r="JG57" i="1" s="1"/>
  <c r="JG58" i="1" s="1"/>
  <c r="JG60" i="1" s="1"/>
  <c r="JG61" i="1" s="1"/>
  <c r="JG62" i="1" s="1"/>
  <c r="JG63" i="1" s="1"/>
  <c r="JG64" i="1" s="1"/>
  <c r="JG65" i="1" s="1"/>
  <c r="JG66" i="1" s="1"/>
  <c r="JG67" i="1" s="1"/>
  <c r="JG68" i="1" s="1"/>
  <c r="JG74" i="1" s="1"/>
  <c r="JG75" i="1" s="1"/>
  <c r="JG76" i="1" s="1"/>
  <c r="JG77" i="1" s="1"/>
  <c r="JG78" i="1" s="1"/>
  <c r="JG79" i="1" s="1"/>
  <c r="JG80" i="1" s="1"/>
  <c r="JG81" i="1" s="1"/>
  <c r="JG82" i="1" s="1"/>
  <c r="JG84" i="1" s="1"/>
  <c r="JG85" i="1" s="1"/>
  <c r="JG86" i="1" s="1"/>
  <c r="JG87" i="1" s="1"/>
  <c r="JG88" i="1" s="1"/>
  <c r="JG89" i="1" s="1"/>
  <c r="JG90" i="1" s="1"/>
  <c r="JG91" i="1" s="1"/>
  <c r="JG92" i="1" s="1"/>
  <c r="GW95" i="1"/>
  <c r="H34" i="8" s="1"/>
  <c r="GW71" i="1"/>
  <c r="H34" i="6" s="1"/>
  <c r="GW47" i="1"/>
  <c r="H34" i="4" s="1"/>
  <c r="GW23" i="1"/>
  <c r="H24" i="2" s="1"/>
  <c r="GW12" i="1"/>
  <c r="N10" i="1"/>
  <c r="N11" i="1" s="1"/>
  <c r="N13" i="1" s="1"/>
  <c r="GI23" i="1"/>
  <c r="AX23" i="1"/>
  <c r="EJ3" i="1"/>
  <c r="EJ4" i="1" s="1"/>
  <c r="EJ5" i="1" s="1"/>
  <c r="EJ6" i="1" s="1"/>
  <c r="EJ7" i="1" s="1"/>
  <c r="EJ8" i="1" s="1"/>
  <c r="EJ9" i="1" s="1"/>
  <c r="EJ10" i="1" s="1"/>
  <c r="EJ11" i="1" s="1"/>
  <c r="EJ13" i="1" s="1"/>
  <c r="EI12" i="1"/>
  <c r="EI23" i="1" s="1"/>
  <c r="HN12" i="1"/>
  <c r="HN23" i="1" s="1"/>
  <c r="IW12" i="1"/>
  <c r="IW23" i="1" s="1"/>
  <c r="AI3" i="1"/>
  <c r="AH12" i="1"/>
  <c r="AZ12" i="1"/>
  <c r="AZ23" i="1" s="1"/>
  <c r="BR3" i="1"/>
  <c r="FC3" i="1"/>
  <c r="FC4" i="1" s="1"/>
  <c r="FC5" i="1" s="1"/>
  <c r="FC6" i="1" s="1"/>
  <c r="FC7" i="1" s="1"/>
  <c r="FC8" i="1" s="1"/>
  <c r="FU95" i="1"/>
  <c r="G35" i="8" s="1"/>
  <c r="FU71" i="1"/>
  <c r="G35" i="6" s="1"/>
  <c r="FU47" i="1"/>
  <c r="G35" i="4" s="1"/>
  <c r="FU23" i="1"/>
  <c r="G25" i="2" s="1"/>
  <c r="FU12" i="1"/>
  <c r="GX95" i="1"/>
  <c r="H35" i="8" s="1"/>
  <c r="GX71" i="1"/>
  <c r="H35" i="6" s="1"/>
  <c r="GX47" i="1"/>
  <c r="H35" i="4" s="1"/>
  <c r="GX23" i="1"/>
  <c r="H25" i="2" s="1"/>
  <c r="HO3" i="1"/>
  <c r="HO4" i="1" s="1"/>
  <c r="HO5" i="1" s="1"/>
  <c r="HO6" i="1" s="1"/>
  <c r="HO7" i="1" s="1"/>
  <c r="HO8" i="1" s="1"/>
  <c r="HO9" i="1" s="1"/>
  <c r="HO10" i="1" s="1"/>
  <c r="HO11" i="1" s="1"/>
  <c r="IL3" i="1"/>
  <c r="V4" i="1"/>
  <c r="CU4" i="1"/>
  <c r="FS4" i="1"/>
  <c r="FS5" i="1" s="1"/>
  <c r="FS6" i="1" s="1"/>
  <c r="FS7" i="1" s="1"/>
  <c r="FS8" i="1" s="1"/>
  <c r="FS9" i="1" s="1"/>
  <c r="FS10" i="1" s="1"/>
  <c r="FS11" i="1" s="1"/>
  <c r="V5" i="1"/>
  <c r="CU5" i="1"/>
  <c r="CU6" i="1" s="1"/>
  <c r="CU7" i="1" s="1"/>
  <c r="CU8" i="1" s="1"/>
  <c r="CU9" i="1" s="1"/>
  <c r="CU10" i="1" s="1"/>
  <c r="CU11" i="1" s="1"/>
  <c r="CU13" i="1" s="1"/>
  <c r="CU14" i="1" s="1"/>
  <c r="CU15" i="1" s="1"/>
  <c r="CU16" i="1" s="1"/>
  <c r="CU17" i="1" s="1"/>
  <c r="CU18" i="1" s="1"/>
  <c r="CU19" i="1" s="1"/>
  <c r="CU20" i="1" s="1"/>
  <c r="CU21" i="1" s="1"/>
  <c r="CU26" i="1" s="1"/>
  <c r="CU27" i="1" s="1"/>
  <c r="CU28" i="1" s="1"/>
  <c r="CU29" i="1" s="1"/>
  <c r="DM5" i="1"/>
  <c r="DM6" i="1" s="1"/>
  <c r="DM7" i="1" s="1"/>
  <c r="DM8" i="1" s="1"/>
  <c r="DM9" i="1" s="1"/>
  <c r="DM10" i="1" s="1"/>
  <c r="DM11" i="1" s="1"/>
  <c r="DM13" i="1" s="1"/>
  <c r="DM14" i="1" s="1"/>
  <c r="DM15" i="1" s="1"/>
  <c r="DM16" i="1" s="1"/>
  <c r="DM17" i="1" s="1"/>
  <c r="DM18" i="1" s="1"/>
  <c r="DM19" i="1" s="1"/>
  <c r="DM20" i="1" s="1"/>
  <c r="DM21" i="1" s="1"/>
  <c r="DM26" i="1" s="1"/>
  <c r="DM27" i="1" s="1"/>
  <c r="DM28" i="1" s="1"/>
  <c r="DM29" i="1" s="1"/>
  <c r="DM30" i="1" s="1"/>
  <c r="DM31" i="1" s="1"/>
  <c r="DM32" i="1" s="1"/>
  <c r="DM33" i="1" s="1"/>
  <c r="DM34" i="1" s="1"/>
  <c r="DM36" i="1" s="1"/>
  <c r="DM37" i="1" s="1"/>
  <c r="DM38" i="1" s="1"/>
  <c r="DM39" i="1" s="1"/>
  <c r="DM40" i="1" s="1"/>
  <c r="DM41" i="1" s="1"/>
  <c r="DM42" i="1" s="1"/>
  <c r="DM43" i="1" s="1"/>
  <c r="DM44" i="1" s="1"/>
  <c r="DM50" i="1" s="1"/>
  <c r="DM51" i="1" s="1"/>
  <c r="DM52" i="1" s="1"/>
  <c r="DM53" i="1" s="1"/>
  <c r="DM54" i="1" s="1"/>
  <c r="DM55" i="1" s="1"/>
  <c r="DM56" i="1" s="1"/>
  <c r="DM57" i="1" s="1"/>
  <c r="DM58" i="1" s="1"/>
  <c r="DM60" i="1" s="1"/>
  <c r="DM61" i="1" s="1"/>
  <c r="DM62" i="1" s="1"/>
  <c r="DM63" i="1" s="1"/>
  <c r="DM64" i="1" s="1"/>
  <c r="DM65" i="1" s="1"/>
  <c r="DM66" i="1" s="1"/>
  <c r="DM67" i="1" s="1"/>
  <c r="DM68" i="1" s="1"/>
  <c r="DM74" i="1" s="1"/>
  <c r="DM75" i="1" s="1"/>
  <c r="DM76" i="1" s="1"/>
  <c r="DM77" i="1" s="1"/>
  <c r="DM78" i="1" s="1"/>
  <c r="DM79" i="1" s="1"/>
  <c r="DM80" i="1" s="1"/>
  <c r="DM81" i="1" s="1"/>
  <c r="DM82" i="1" s="1"/>
  <c r="DM84" i="1" s="1"/>
  <c r="DM85" i="1" s="1"/>
  <c r="DM86" i="1" s="1"/>
  <c r="DM87" i="1" s="1"/>
  <c r="DM88" i="1" s="1"/>
  <c r="DM89" i="1" s="1"/>
  <c r="DM90" i="1" s="1"/>
  <c r="DM91" i="1" s="1"/>
  <c r="DM92" i="1" s="1"/>
  <c r="V6" i="1"/>
  <c r="V7" i="1" s="1"/>
  <c r="V8" i="1" s="1"/>
  <c r="V9" i="1" s="1"/>
  <c r="V10" i="1" s="1"/>
  <c r="V11" i="1" s="1"/>
  <c r="V13" i="1" s="1"/>
  <c r="V14" i="1" s="1"/>
  <c r="V15" i="1" s="1"/>
  <c r="V16" i="1" s="1"/>
  <c r="V17" i="1" s="1"/>
  <c r="V18" i="1" s="1"/>
  <c r="V19" i="1" s="1"/>
  <c r="V20" i="1" s="1"/>
  <c r="V21" i="1" s="1"/>
  <c r="FX8" i="1"/>
  <c r="FX9" i="1" s="1"/>
  <c r="FX10" i="1" s="1"/>
  <c r="FX11" i="1" s="1"/>
  <c r="JW8" i="1"/>
  <c r="JW9" i="1" s="1"/>
  <c r="JW10" i="1" s="1"/>
  <c r="JW11" i="1" s="1"/>
  <c r="JW13" i="1" s="1"/>
  <c r="JW14" i="1" s="1"/>
  <c r="JW15" i="1" s="1"/>
  <c r="L9" i="1"/>
  <c r="L10" i="1" s="1"/>
  <c r="L11" i="1" s="1"/>
  <c r="DX9" i="1"/>
  <c r="DX10" i="1" s="1"/>
  <c r="DX11" i="1" s="1"/>
  <c r="DX13" i="1" s="1"/>
  <c r="DX14" i="1" s="1"/>
  <c r="DX15" i="1" s="1"/>
  <c r="DX16" i="1" s="1"/>
  <c r="DX17" i="1" s="1"/>
  <c r="DX18" i="1" s="1"/>
  <c r="DX19" i="1" s="1"/>
  <c r="DX20" i="1" s="1"/>
  <c r="DX21" i="1" s="1"/>
  <c r="DX26" i="1" s="1"/>
  <c r="DX27" i="1" s="1"/>
  <c r="DX28" i="1" s="1"/>
  <c r="DX29" i="1" s="1"/>
  <c r="DX30" i="1" s="1"/>
  <c r="DX31" i="1" s="1"/>
  <c r="DX32" i="1" s="1"/>
  <c r="DX33" i="1" s="1"/>
  <c r="DX34" i="1" s="1"/>
  <c r="DX36" i="1" s="1"/>
  <c r="DX37" i="1" s="1"/>
  <c r="DX38" i="1" s="1"/>
  <c r="DX39" i="1" s="1"/>
  <c r="DX40" i="1" s="1"/>
  <c r="DX41" i="1" s="1"/>
  <c r="DX42" i="1" s="1"/>
  <c r="DX43" i="1" s="1"/>
  <c r="DX44" i="1" s="1"/>
  <c r="DX50" i="1" s="1"/>
  <c r="DX51" i="1" s="1"/>
  <c r="DX52" i="1" s="1"/>
  <c r="DX53" i="1" s="1"/>
  <c r="DX54" i="1" s="1"/>
  <c r="DX55" i="1" s="1"/>
  <c r="DX56" i="1" s="1"/>
  <c r="DX57" i="1" s="1"/>
  <c r="DX58" i="1" s="1"/>
  <c r="DX60" i="1" s="1"/>
  <c r="DX61" i="1" s="1"/>
  <c r="DX62" i="1" s="1"/>
  <c r="DX63" i="1" s="1"/>
  <c r="DX64" i="1" s="1"/>
  <c r="DX65" i="1" s="1"/>
  <c r="DX66" i="1" s="1"/>
  <c r="DX67" i="1" s="1"/>
  <c r="DX68" i="1" s="1"/>
  <c r="DX74" i="1" s="1"/>
  <c r="DX75" i="1" s="1"/>
  <c r="DX76" i="1" s="1"/>
  <c r="DX77" i="1" s="1"/>
  <c r="DX78" i="1" s="1"/>
  <c r="DX79" i="1" s="1"/>
  <c r="DX80" i="1" s="1"/>
  <c r="DX81" i="1" s="1"/>
  <c r="DX82" i="1" s="1"/>
  <c r="DX84" i="1" s="1"/>
  <c r="DX85" i="1" s="1"/>
  <c r="DX86" i="1" s="1"/>
  <c r="DX87" i="1" s="1"/>
  <c r="DX88" i="1" s="1"/>
  <c r="DX89" i="1" s="1"/>
  <c r="DX90" i="1" s="1"/>
  <c r="DX91" i="1" s="1"/>
  <c r="DX92" i="1" s="1"/>
  <c r="GR11" i="1"/>
  <c r="GR13" i="1" s="1"/>
  <c r="EZ12" i="1"/>
  <c r="EZ23" i="1" s="1"/>
  <c r="GX12" i="1"/>
  <c r="AC22" i="1"/>
  <c r="JR22" i="1"/>
  <c r="JR23" i="1" s="1"/>
  <c r="JS13" i="1"/>
  <c r="JS14" i="1" s="1"/>
  <c r="BX14" i="1"/>
  <c r="BX15" i="1" s="1"/>
  <c r="BX16" i="1" s="1"/>
  <c r="BX17" i="1" s="1"/>
  <c r="BX18" i="1" s="1"/>
  <c r="BX19" i="1" s="1"/>
  <c r="BX20" i="1" s="1"/>
  <c r="BX21" i="1" s="1"/>
  <c r="DH35" i="1"/>
  <c r="IO35" i="1"/>
  <c r="IP26" i="1"/>
  <c r="CD28" i="1"/>
  <c r="CD29" i="1" s="1"/>
  <c r="CD30" i="1" s="1"/>
  <c r="CD31" i="1" s="1"/>
  <c r="CD32" i="1" s="1"/>
  <c r="CD33" i="1" s="1"/>
  <c r="CD34" i="1" s="1"/>
  <c r="CD36" i="1" s="1"/>
  <c r="CD37" i="1" s="1"/>
  <c r="CD38" i="1" s="1"/>
  <c r="CD39" i="1" s="1"/>
  <c r="CD40" i="1" s="1"/>
  <c r="CD41" i="1" s="1"/>
  <c r="CD42" i="1" s="1"/>
  <c r="CD43" i="1" s="1"/>
  <c r="CD44" i="1" s="1"/>
  <c r="F7" i="2"/>
  <c r="F8" i="2" s="1"/>
  <c r="KA4" i="1"/>
  <c r="KA5" i="1"/>
  <c r="KA6" i="1" s="1"/>
  <c r="KA7" i="1" s="1"/>
  <c r="KA8" i="1" s="1"/>
  <c r="KA9" i="1" s="1"/>
  <c r="KA10" i="1" s="1"/>
  <c r="KA11" i="1" s="1"/>
  <c r="KA13" i="1" s="1"/>
  <c r="KA14" i="1" s="1"/>
  <c r="KA15" i="1" s="1"/>
  <c r="KA16" i="1" s="1"/>
  <c r="KA17" i="1" s="1"/>
  <c r="KA18" i="1" s="1"/>
  <c r="KA19" i="1" s="1"/>
  <c r="KA20" i="1" s="1"/>
  <c r="KA21" i="1" s="1"/>
  <c r="KA26" i="1" s="1"/>
  <c r="KA27" i="1" s="1"/>
  <c r="KA28" i="1" s="1"/>
  <c r="KA29" i="1" s="1"/>
  <c r="KA30" i="1" s="1"/>
  <c r="KA31" i="1" s="1"/>
  <c r="KA32" i="1" s="1"/>
  <c r="KA33" i="1" s="1"/>
  <c r="KA34" i="1" s="1"/>
  <c r="KA36" i="1" s="1"/>
  <c r="KA37" i="1" s="1"/>
  <c r="KA38" i="1" s="1"/>
  <c r="KA39" i="1" s="1"/>
  <c r="KA40" i="1" s="1"/>
  <c r="KA41" i="1" s="1"/>
  <c r="KA42" i="1" s="1"/>
  <c r="KA43" i="1" s="1"/>
  <c r="KA44" i="1" s="1"/>
  <c r="KA50" i="1" s="1"/>
  <c r="KA51" i="1" s="1"/>
  <c r="KA52" i="1" s="1"/>
  <c r="EB8" i="1"/>
  <c r="EB9" i="1" s="1"/>
  <c r="EB10" i="1" s="1"/>
  <c r="EB11" i="1" s="1"/>
  <c r="EB13" i="1" s="1"/>
  <c r="EB14" i="1" s="1"/>
  <c r="EB15" i="1" s="1"/>
  <c r="EB16" i="1" s="1"/>
  <c r="EB17" i="1" s="1"/>
  <c r="EB18" i="1" s="1"/>
  <c r="EB19" i="1" s="1"/>
  <c r="EB20" i="1" s="1"/>
  <c r="EB21" i="1" s="1"/>
  <c r="JT23" i="1"/>
  <c r="FW22" i="1"/>
  <c r="FX13" i="1"/>
  <c r="FX14" i="1" s="1"/>
  <c r="FX15" i="1" s="1"/>
  <c r="FX16" i="1" s="1"/>
  <c r="FX17" i="1" s="1"/>
  <c r="FX18" i="1" s="1"/>
  <c r="FX19" i="1" s="1"/>
  <c r="FX20" i="1" s="1"/>
  <c r="FX21" i="1" s="1"/>
  <c r="FX26" i="1" s="1"/>
  <c r="FX27" i="1" s="1"/>
  <c r="FX28" i="1" s="1"/>
  <c r="FX29" i="1" s="1"/>
  <c r="FX30" i="1" s="1"/>
  <c r="FX31" i="1" s="1"/>
  <c r="FX32" i="1" s="1"/>
  <c r="FX33" i="1" s="1"/>
  <c r="FX34" i="1" s="1"/>
  <c r="FX36" i="1" s="1"/>
  <c r="FX37" i="1" s="1"/>
  <c r="FX38" i="1" s="1"/>
  <c r="FX39" i="1" s="1"/>
  <c r="IY35" i="1"/>
  <c r="IY46" i="1" s="1"/>
  <c r="IZ26" i="1"/>
  <c r="IZ27" i="1" s="1"/>
  <c r="IZ28" i="1" s="1"/>
  <c r="IZ29" i="1" s="1"/>
  <c r="IZ30" i="1" s="1"/>
  <c r="IZ31" i="1" s="1"/>
  <c r="IZ32" i="1" s="1"/>
  <c r="AP33" i="1"/>
  <c r="AI4" i="1"/>
  <c r="AI5" i="1" s="1"/>
  <c r="AI6" i="1" s="1"/>
  <c r="AI7" i="1" s="1"/>
  <c r="AI8" i="1" s="1"/>
  <c r="AI9" i="1" s="1"/>
  <c r="AI10" i="1" s="1"/>
  <c r="AI11" i="1" s="1"/>
  <c r="AI13" i="1" s="1"/>
  <c r="AI14" i="1" s="1"/>
  <c r="AI15" i="1" s="1"/>
  <c r="AI16" i="1" s="1"/>
  <c r="AI17" i="1" s="1"/>
  <c r="AI18" i="1" s="1"/>
  <c r="AI19" i="1" s="1"/>
  <c r="AI20" i="1" s="1"/>
  <c r="AI21" i="1" s="1"/>
  <c r="AI26" i="1" s="1"/>
  <c r="AI27" i="1" s="1"/>
  <c r="AI28" i="1" s="1"/>
  <c r="AI29" i="1" s="1"/>
  <c r="AI30" i="1" s="1"/>
  <c r="AI31" i="1" s="1"/>
  <c r="AI32" i="1" s="1"/>
  <c r="AI33" i="1" s="1"/>
  <c r="AI34" i="1" s="1"/>
  <c r="AI36" i="1" s="1"/>
  <c r="AI37" i="1" s="1"/>
  <c r="AI38" i="1" s="1"/>
  <c r="AI39" i="1" s="1"/>
  <c r="AI40" i="1" s="1"/>
  <c r="AI41" i="1" s="1"/>
  <c r="AI42" i="1" s="1"/>
  <c r="AI43" i="1" s="1"/>
  <c r="GH5" i="1"/>
  <c r="GH6" i="1" s="1"/>
  <c r="GH7" i="1" s="1"/>
  <c r="GH8" i="1" s="1"/>
  <c r="GH9" i="1" s="1"/>
  <c r="GH10" i="1" s="1"/>
  <c r="GH11" i="1" s="1"/>
  <c r="GH13" i="1" s="1"/>
  <c r="GH14" i="1" s="1"/>
  <c r="GH15" i="1" s="1"/>
  <c r="GH16" i="1" s="1"/>
  <c r="GH17" i="1" s="1"/>
  <c r="GH18" i="1" s="1"/>
  <c r="GH19" i="1" s="1"/>
  <c r="GH20" i="1" s="1"/>
  <c r="GH21" i="1" s="1"/>
  <c r="BT3" i="1"/>
  <c r="FD12" i="1"/>
  <c r="FD23" i="1" s="1"/>
  <c r="FE3" i="1"/>
  <c r="FE4" i="1" s="1"/>
  <c r="FE5" i="1" s="1"/>
  <c r="FE6" i="1" s="1"/>
  <c r="AS4" i="1"/>
  <c r="BJ95" i="1"/>
  <c r="C36" i="8" s="1"/>
  <c r="BJ71" i="1"/>
  <c r="C36" i="6" s="1"/>
  <c r="BJ47" i="1"/>
  <c r="C36" i="4" s="1"/>
  <c r="BJ23" i="1"/>
  <c r="C26" i="2" s="1"/>
  <c r="BJ12" i="1"/>
  <c r="FV95" i="1"/>
  <c r="G36" i="8" s="1"/>
  <c r="FV71" i="1"/>
  <c r="G36" i="6" s="1"/>
  <c r="FV47" i="1"/>
  <c r="G36" i="4" s="1"/>
  <c r="FV12" i="1"/>
  <c r="GN4" i="1"/>
  <c r="HI4" i="1"/>
  <c r="HI5" i="1" s="1"/>
  <c r="HI6" i="1" s="1"/>
  <c r="HI7" i="1" s="1"/>
  <c r="AS5" i="1"/>
  <c r="AS6" i="1" s="1"/>
  <c r="AS7" i="1" s="1"/>
  <c r="GN5" i="1"/>
  <c r="GN6" i="1" s="1"/>
  <c r="GN7" i="1" s="1"/>
  <c r="GN8" i="1" s="1"/>
  <c r="GN9" i="1" s="1"/>
  <c r="GN10" i="1" s="1"/>
  <c r="GN11" i="1" s="1"/>
  <c r="GN13" i="1" s="1"/>
  <c r="GN14" i="1" s="1"/>
  <c r="GN15" i="1" s="1"/>
  <c r="GN16" i="1" s="1"/>
  <c r="GN17" i="1" s="1"/>
  <c r="GN18" i="1" s="1"/>
  <c r="GN19" i="1" s="1"/>
  <c r="GN20" i="1" s="1"/>
  <c r="GN21" i="1" s="1"/>
  <c r="BH95" i="1"/>
  <c r="C34" i="8" s="1"/>
  <c r="BH71" i="1"/>
  <c r="C34" i="6" s="1"/>
  <c r="BH47" i="1"/>
  <c r="C34" i="4" s="1"/>
  <c r="BH23" i="1"/>
  <c r="C24" i="2" s="1"/>
  <c r="FT95" i="1"/>
  <c r="G34" i="8" s="1"/>
  <c r="FT71" i="1"/>
  <c r="G34" i="6" s="1"/>
  <c r="FT47" i="1"/>
  <c r="G34" i="4" s="1"/>
  <c r="FT23" i="1"/>
  <c r="G24" i="2" s="1"/>
  <c r="FT12" i="1"/>
  <c r="AS8" i="1"/>
  <c r="IZ8" i="1"/>
  <c r="JY8" i="1"/>
  <c r="KE9" i="1"/>
  <c r="KE10" i="1" s="1"/>
  <c r="KE11" i="1" s="1"/>
  <c r="KE13" i="1" s="1"/>
  <c r="KE14" i="1" s="1"/>
  <c r="KE15" i="1" s="1"/>
  <c r="KE16" i="1" s="1"/>
  <c r="KE17" i="1" s="1"/>
  <c r="KE18" i="1" s="1"/>
  <c r="KE19" i="1" s="1"/>
  <c r="KE20" i="1" s="1"/>
  <c r="KE21" i="1" s="1"/>
  <c r="KE26" i="1" s="1"/>
  <c r="KE27" i="1" s="1"/>
  <c r="KE28" i="1" s="1"/>
  <c r="KE29" i="1" s="1"/>
  <c r="GY12" i="1"/>
  <c r="CB13" i="1"/>
  <c r="CB14" i="1" s="1"/>
  <c r="CA22" i="1"/>
  <c r="M14" i="1"/>
  <c r="HH14" i="1"/>
  <c r="FG15" i="1"/>
  <c r="FG16" i="1" s="1"/>
  <c r="FG17" i="1" s="1"/>
  <c r="FG18" i="1" s="1"/>
  <c r="FG19" i="1" s="1"/>
  <c r="FG20" i="1" s="1"/>
  <c r="FG21" i="1" s="1"/>
  <c r="BV21" i="1"/>
  <c r="GC35" i="1"/>
  <c r="GE26" i="1"/>
  <c r="HT35" i="1"/>
  <c r="D4" i="3"/>
  <c r="BM46" i="1"/>
  <c r="D3" i="3" s="1"/>
  <c r="D6" i="3" s="1"/>
  <c r="CL95" i="1"/>
  <c r="D35" i="8" s="1"/>
  <c r="CL71" i="1"/>
  <c r="D35" i="6" s="1"/>
  <c r="CL47" i="1"/>
  <c r="D35" i="4" s="1"/>
  <c r="CL12" i="1"/>
  <c r="CL23" i="1"/>
  <c r="D25" i="2" s="1"/>
  <c r="F22" i="2"/>
  <c r="CM95" i="1"/>
  <c r="D36" i="8" s="1"/>
  <c r="CM71" i="1"/>
  <c r="D36" i="6" s="1"/>
  <c r="CM47" i="1"/>
  <c r="D36" i="4" s="1"/>
  <c r="CM23" i="1"/>
  <c r="D26" i="2" s="1"/>
  <c r="CK95" i="1"/>
  <c r="D34" i="8" s="1"/>
  <c r="CK71" i="1"/>
  <c r="D34" i="6" s="1"/>
  <c r="CK47" i="1"/>
  <c r="D34" i="4" s="1"/>
  <c r="B11" i="2"/>
  <c r="I23" i="1"/>
  <c r="H11" i="2"/>
  <c r="GA23" i="1"/>
  <c r="BD22" i="1"/>
  <c r="BD23" i="1" s="1"/>
  <c r="CI22" i="1"/>
  <c r="CI23" i="1" s="1"/>
  <c r="EE22" i="1"/>
  <c r="EE23" i="1" s="1"/>
  <c r="EF13" i="1"/>
  <c r="EF14" i="1" s="1"/>
  <c r="EF15" i="1" s="1"/>
  <c r="EF16" i="1" s="1"/>
  <c r="EF17" i="1" s="1"/>
  <c r="EF18" i="1" s="1"/>
  <c r="EF19" i="1" s="1"/>
  <c r="EF20" i="1" s="1"/>
  <c r="EF21" i="1" s="1"/>
  <c r="HH13" i="1"/>
  <c r="HF22" i="1"/>
  <c r="HF23" i="1" s="1"/>
  <c r="DC19" i="1"/>
  <c r="DC20" i="1" s="1"/>
  <c r="DC21" i="1" s="1"/>
  <c r="FB26" i="1"/>
  <c r="EZ35" i="1"/>
  <c r="IK35" i="1"/>
  <c r="JA35" i="1"/>
  <c r="JA46" i="1" s="1"/>
  <c r="JA47" i="1" s="1"/>
  <c r="T27" i="1"/>
  <c r="T28" i="1" s="1"/>
  <c r="T29" i="1" s="1"/>
  <c r="T30" i="1" s="1"/>
  <c r="BL27" i="1"/>
  <c r="BL28" i="1" s="1"/>
  <c r="IP27" i="1"/>
  <c r="IP28" i="1" s="1"/>
  <c r="DC34" i="1"/>
  <c r="DC36" i="1" s="1"/>
  <c r="DC37" i="1" s="1"/>
  <c r="DC38" i="1" s="1"/>
  <c r="DC39" i="1" s="1"/>
  <c r="DC40" i="1" s="1"/>
  <c r="DC41" i="1" s="1"/>
  <c r="DC42" i="1" s="1"/>
  <c r="DC43" i="1" s="1"/>
  <c r="DP35" i="1"/>
  <c r="GW35" i="1"/>
  <c r="EG45" i="1"/>
  <c r="EH36" i="1"/>
  <c r="EH37" i="1" s="1"/>
  <c r="BZ3" i="1"/>
  <c r="BZ4" i="1" s="1"/>
  <c r="BZ5" i="1" s="1"/>
  <c r="BZ6" i="1" s="1"/>
  <c r="BZ7" i="1" s="1"/>
  <c r="BZ8" i="1" s="1"/>
  <c r="BZ9" i="1" s="1"/>
  <c r="BZ10" i="1" s="1"/>
  <c r="BZ11" i="1" s="1"/>
  <c r="BZ13" i="1" s="1"/>
  <c r="BZ14" i="1" s="1"/>
  <c r="BZ15" i="1" s="1"/>
  <c r="BZ16" i="1" s="1"/>
  <c r="BZ17" i="1" s="1"/>
  <c r="BZ18" i="1" s="1"/>
  <c r="BZ19" i="1" s="1"/>
  <c r="BZ20" i="1" s="1"/>
  <c r="BZ21" i="1" s="1"/>
  <c r="ED3" i="1"/>
  <c r="ED4" i="1" s="1"/>
  <c r="ED5" i="1" s="1"/>
  <c r="ED6" i="1" s="1"/>
  <c r="ED7" i="1" s="1"/>
  <c r="ED8" i="1" s="1"/>
  <c r="ED9" i="1" s="1"/>
  <c r="ED10" i="1" s="1"/>
  <c r="ED11" i="1" s="1"/>
  <c r="ED13" i="1" s="1"/>
  <c r="JZ12" i="1"/>
  <c r="JZ23" i="1" s="1"/>
  <c r="DP95" i="1"/>
  <c r="E36" i="8" s="1"/>
  <c r="DP47" i="1"/>
  <c r="E36" i="4" s="1"/>
  <c r="DP71" i="1"/>
  <c r="E36" i="6" s="1"/>
  <c r="DP23" i="1"/>
  <c r="E26" i="2" s="1"/>
  <c r="DP12" i="1"/>
  <c r="DN95" i="1"/>
  <c r="E34" i="8" s="1"/>
  <c r="DN71" i="1"/>
  <c r="E34" i="6" s="1"/>
  <c r="DN47" i="1"/>
  <c r="E34" i="4" s="1"/>
  <c r="DN23" i="1"/>
  <c r="E24" i="2" s="1"/>
  <c r="HQ8" i="1"/>
  <c r="HQ9" i="1"/>
  <c r="HQ10" i="1" s="1"/>
  <c r="HQ11" i="1" s="1"/>
  <c r="HQ13" i="1" s="1"/>
  <c r="HQ14" i="1" s="1"/>
  <c r="HQ15" i="1" s="1"/>
  <c r="HQ16" i="1" s="1"/>
  <c r="HQ17" i="1" s="1"/>
  <c r="HQ18" i="1" s="1"/>
  <c r="HQ19" i="1" s="1"/>
  <c r="HQ20" i="1" s="1"/>
  <c r="HQ21" i="1" s="1"/>
  <c r="I4" i="2"/>
  <c r="HB23" i="1"/>
  <c r="AA22" i="1"/>
  <c r="AR22" i="1"/>
  <c r="DB22" i="1"/>
  <c r="DB23" i="1" s="1"/>
  <c r="EG22" i="1"/>
  <c r="GO22" i="1"/>
  <c r="GO23" i="1" s="1"/>
  <c r="GP13" i="1"/>
  <c r="GP14" i="1" s="1"/>
  <c r="GP15" i="1" s="1"/>
  <c r="GP16" i="1" s="1"/>
  <c r="GP17" i="1" s="1"/>
  <c r="GP18" i="1" s="1"/>
  <c r="GP19" i="1" s="1"/>
  <c r="GP20" i="1" s="1"/>
  <c r="GP21" i="1" s="1"/>
  <c r="HV22" i="1"/>
  <c r="IM22" i="1"/>
  <c r="IM23" i="1" s="1"/>
  <c r="KI22" i="1"/>
  <c r="CB15" i="1"/>
  <c r="CB16" i="1" s="1"/>
  <c r="CB17" i="1" s="1"/>
  <c r="CB18" i="1" s="1"/>
  <c r="CB19" i="1" s="1"/>
  <c r="CB20" i="1" s="1"/>
  <c r="CB21" i="1" s="1"/>
  <c r="M16" i="1"/>
  <c r="CH16" i="1"/>
  <c r="CH17" i="1" s="1"/>
  <c r="CH18" i="1" s="1"/>
  <c r="CH19" i="1" s="1"/>
  <c r="CH20" i="1" s="1"/>
  <c r="CH21" i="1" s="1"/>
  <c r="DC18" i="1"/>
  <c r="CC22" i="1"/>
  <c r="CC23" i="1" s="1"/>
  <c r="JT22" i="1"/>
  <c r="T31" i="1"/>
  <c r="T32" i="1" s="1"/>
  <c r="IV32" i="1"/>
  <c r="EJ36" i="1"/>
  <c r="EI45" i="1"/>
  <c r="FL45" i="1"/>
  <c r="CB38" i="1"/>
  <c r="CB39" i="1" s="1"/>
  <c r="CB40" i="1" s="1"/>
  <c r="BL3" i="1"/>
  <c r="DO95" i="1"/>
  <c r="E35" i="8" s="1"/>
  <c r="DO71" i="1"/>
  <c r="E35" i="6" s="1"/>
  <c r="DO47" i="1"/>
  <c r="E35" i="4" s="1"/>
  <c r="DO23" i="1"/>
  <c r="E25" i="2" s="1"/>
  <c r="AY3" i="1"/>
  <c r="AY4" i="1" s="1"/>
  <c r="AY5" i="1" s="1"/>
  <c r="ER95" i="1"/>
  <c r="F35" i="8" s="1"/>
  <c r="ER71" i="1"/>
  <c r="F35" i="6" s="1"/>
  <c r="ER47" i="1"/>
  <c r="F35" i="4" s="1"/>
  <c r="ER23" i="1"/>
  <c r="F25" i="2" s="1"/>
  <c r="FG3" i="1"/>
  <c r="FG4" i="1" s="1"/>
  <c r="FG5" i="1" s="1"/>
  <c r="FG6" i="1" s="1"/>
  <c r="FG7" i="1" s="1"/>
  <c r="FG8" i="1" s="1"/>
  <c r="FG9" i="1" s="1"/>
  <c r="FG10" i="1" s="1"/>
  <c r="FG11" i="1" s="1"/>
  <c r="FG13" i="1" s="1"/>
  <c r="FG14" i="1" s="1"/>
  <c r="FS3" i="1"/>
  <c r="IY12" i="1"/>
  <c r="IY23" i="1" s="1"/>
  <c r="KA3" i="1"/>
  <c r="ES95" i="1"/>
  <c r="F36" i="8" s="1"/>
  <c r="ES71" i="1"/>
  <c r="F36" i="6" s="1"/>
  <c r="ES23" i="1"/>
  <c r="F26" i="2" s="1"/>
  <c r="ES47" i="1"/>
  <c r="F36" i="4" s="1"/>
  <c r="EQ95" i="1"/>
  <c r="F34" i="8" s="1"/>
  <c r="EQ71" i="1"/>
  <c r="F34" i="6" s="1"/>
  <c r="EQ47" i="1"/>
  <c r="F34" i="4" s="1"/>
  <c r="EQ23" i="1"/>
  <c r="F24" i="2" s="1"/>
  <c r="CK12" i="1"/>
  <c r="DJ12" i="1"/>
  <c r="O22" i="1"/>
  <c r="BF22" i="1"/>
  <c r="BF23" i="1" s="1"/>
  <c r="CL22" i="1"/>
  <c r="HJ22" i="1"/>
  <c r="HJ23" i="1" s="1"/>
  <c r="KJ13" i="1"/>
  <c r="KJ14" i="1" s="1"/>
  <c r="KJ15" i="1" s="1"/>
  <c r="KJ16" i="1" s="1"/>
  <c r="KJ17" i="1" s="1"/>
  <c r="KJ18" i="1" s="1"/>
  <c r="KJ19" i="1" s="1"/>
  <c r="KJ20" i="1" s="1"/>
  <c r="KJ21" i="1" s="1"/>
  <c r="KJ26" i="1" s="1"/>
  <c r="KJ27" i="1" s="1"/>
  <c r="KJ28" i="1" s="1"/>
  <c r="KJ29" i="1" s="1"/>
  <c r="KJ30" i="1" s="1"/>
  <c r="KJ31" i="1" s="1"/>
  <c r="KJ32" i="1" s="1"/>
  <c r="KJ33" i="1" s="1"/>
  <c r="KJ34" i="1" s="1"/>
  <c r="KJ36" i="1" s="1"/>
  <c r="KJ37" i="1" s="1"/>
  <c r="KJ38" i="1" s="1"/>
  <c r="KJ39" i="1" s="1"/>
  <c r="KJ40" i="1" s="1"/>
  <c r="KJ41" i="1" s="1"/>
  <c r="KJ42" i="1" s="1"/>
  <c r="KJ43" i="1" s="1"/>
  <c r="KJ44" i="1" s="1"/>
  <c r="KJ50" i="1" s="1"/>
  <c r="KJ51" i="1" s="1"/>
  <c r="KJ52" i="1" s="1"/>
  <c r="KJ53" i="1" s="1"/>
  <c r="KJ54" i="1" s="1"/>
  <c r="KJ55" i="1" s="1"/>
  <c r="KJ56" i="1" s="1"/>
  <c r="KJ57" i="1" s="1"/>
  <c r="KJ58" i="1" s="1"/>
  <c r="KJ60" i="1" s="1"/>
  <c r="KJ61" i="1" s="1"/>
  <c r="KJ62" i="1" s="1"/>
  <c r="KJ63" i="1" s="1"/>
  <c r="KJ64" i="1" s="1"/>
  <c r="KJ65" i="1" s="1"/>
  <c r="KJ66" i="1" s="1"/>
  <c r="KJ67" i="1" s="1"/>
  <c r="KJ68" i="1" s="1"/>
  <c r="KJ74" i="1" s="1"/>
  <c r="KJ75" i="1" s="1"/>
  <c r="KJ76" i="1" s="1"/>
  <c r="KJ77" i="1" s="1"/>
  <c r="KJ78" i="1" s="1"/>
  <c r="KJ79" i="1" s="1"/>
  <c r="KJ80" i="1" s="1"/>
  <c r="KJ81" i="1" s="1"/>
  <c r="KJ82" i="1" s="1"/>
  <c r="KJ84" i="1" s="1"/>
  <c r="KJ85" i="1" s="1"/>
  <c r="KJ86" i="1" s="1"/>
  <c r="KJ87" i="1" s="1"/>
  <c r="KJ88" i="1" s="1"/>
  <c r="KJ89" i="1" s="1"/>
  <c r="KJ90" i="1" s="1"/>
  <c r="KJ91" i="1" s="1"/>
  <c r="KJ92" i="1" s="1"/>
  <c r="GR14" i="1"/>
  <c r="GR15" i="1" s="1"/>
  <c r="GR16" i="1" s="1"/>
  <c r="GR17" i="1" s="1"/>
  <c r="GR18" i="1" s="1"/>
  <c r="GR19" i="1" s="1"/>
  <c r="GR20" i="1" s="1"/>
  <c r="GR21" i="1" s="1"/>
  <c r="GR26" i="1" s="1"/>
  <c r="GR27" i="1" s="1"/>
  <c r="GR28" i="1" s="1"/>
  <c r="GR29" i="1" s="1"/>
  <c r="GR30" i="1" s="1"/>
  <c r="GR31" i="1" s="1"/>
  <c r="GR32" i="1" s="1"/>
  <c r="GR33" i="1" s="1"/>
  <c r="IN19" i="1"/>
  <c r="IN20" i="1" s="1"/>
  <c r="IN21" i="1" s="1"/>
  <c r="AH22" i="1"/>
  <c r="EH27" i="1"/>
  <c r="EG35" i="1"/>
  <c r="BX32" i="1"/>
  <c r="BX33" i="1" s="1"/>
  <c r="T33" i="1"/>
  <c r="T34" i="1" s="1"/>
  <c r="GH33" i="1"/>
  <c r="GH34" i="1" s="1"/>
  <c r="BD45" i="1"/>
  <c r="AN59" i="1"/>
  <c r="AN70" i="1" s="1"/>
  <c r="AP50" i="1"/>
  <c r="F4" i="2"/>
  <c r="DS23" i="1"/>
  <c r="ES12" i="1"/>
  <c r="HP12" i="1"/>
  <c r="GX22" i="1"/>
  <c r="JL22" i="1"/>
  <c r="JN13" i="1"/>
  <c r="FQ14" i="1"/>
  <c r="FQ15" i="1" s="1"/>
  <c r="FQ16" i="1" s="1"/>
  <c r="FQ17" i="1" s="1"/>
  <c r="FQ18" i="1" s="1"/>
  <c r="FQ19" i="1" s="1"/>
  <c r="FQ20" i="1" s="1"/>
  <c r="FQ21" i="1" s="1"/>
  <c r="GJ14" i="1"/>
  <c r="GJ15" i="1" s="1"/>
  <c r="R15" i="1"/>
  <c r="BV18" i="1"/>
  <c r="BV19" i="1" s="1"/>
  <c r="BV20" i="1" s="1"/>
  <c r="FL46" i="1"/>
  <c r="FK28" i="1"/>
  <c r="FK29" i="1" s="1"/>
  <c r="FK30" i="1" s="1"/>
  <c r="BS34" i="1"/>
  <c r="BS35" i="1"/>
  <c r="U23" i="1"/>
  <c r="DQ23" i="1"/>
  <c r="KI23" i="1"/>
  <c r="FD22" i="1"/>
  <c r="GU22" i="1"/>
  <c r="GU23" i="1" s="1"/>
  <c r="GV13" i="1"/>
  <c r="GV14" i="1" s="1"/>
  <c r="JW16" i="1"/>
  <c r="JW17" i="1" s="1"/>
  <c r="JW18" i="1" s="1"/>
  <c r="JW19" i="1" s="1"/>
  <c r="JW20" i="1" s="1"/>
  <c r="JW21" i="1" s="1"/>
  <c r="AD19" i="1"/>
  <c r="AD20" i="1" s="1"/>
  <c r="AD21" i="1" s="1"/>
  <c r="AD26" i="1" s="1"/>
  <c r="AD27" i="1" s="1"/>
  <c r="AD28" i="1" s="1"/>
  <c r="AD29" i="1" s="1"/>
  <c r="AD30" i="1" s="1"/>
  <c r="AD31" i="1" s="1"/>
  <c r="AD32" i="1" s="1"/>
  <c r="AD33" i="1" s="1"/>
  <c r="AD34" i="1" s="1"/>
  <c r="AD36" i="1" s="1"/>
  <c r="AD37" i="1" s="1"/>
  <c r="AD38" i="1" s="1"/>
  <c r="AD39" i="1" s="1"/>
  <c r="AD40" i="1" s="1"/>
  <c r="AD41" i="1" s="1"/>
  <c r="AD42" i="1" s="1"/>
  <c r="AD43" i="1" s="1"/>
  <c r="AD44" i="1" s="1"/>
  <c r="AD50" i="1" s="1"/>
  <c r="AD51" i="1" s="1"/>
  <c r="AD52" i="1" s="1"/>
  <c r="AD53" i="1" s="1"/>
  <c r="AD54" i="1" s="1"/>
  <c r="AD55" i="1" s="1"/>
  <c r="AD56" i="1" s="1"/>
  <c r="AD57" i="1" s="1"/>
  <c r="AD58" i="1" s="1"/>
  <c r="AD60" i="1" s="1"/>
  <c r="AD61" i="1" s="1"/>
  <c r="AD62" i="1" s="1"/>
  <c r="AD63" i="1" s="1"/>
  <c r="AD64" i="1" s="1"/>
  <c r="AD65" i="1" s="1"/>
  <c r="AD66" i="1" s="1"/>
  <c r="AD67" i="1" s="1"/>
  <c r="AD68" i="1" s="1"/>
  <c r="AD74" i="1" s="1"/>
  <c r="AD75" i="1" s="1"/>
  <c r="AD76" i="1" s="1"/>
  <c r="AD77" i="1" s="1"/>
  <c r="AD78" i="1" s="1"/>
  <c r="AD79" i="1" s="1"/>
  <c r="AD80" i="1" s="1"/>
  <c r="AD81" i="1" s="1"/>
  <c r="AD82" i="1" s="1"/>
  <c r="AD84" i="1" s="1"/>
  <c r="AD85" i="1" s="1"/>
  <c r="AD86" i="1" s="1"/>
  <c r="AD87" i="1" s="1"/>
  <c r="AD88" i="1" s="1"/>
  <c r="AD89" i="1" s="1"/>
  <c r="AD90" i="1" s="1"/>
  <c r="AD91" i="1" s="1"/>
  <c r="AD92" i="1" s="1"/>
  <c r="EH28" i="1"/>
  <c r="EH29" i="1" s="1"/>
  <c r="EH30" i="1" s="1"/>
  <c r="EH31" i="1" s="1"/>
  <c r="EH32" i="1" s="1"/>
  <c r="EH33" i="1" s="1"/>
  <c r="DH12" i="1"/>
  <c r="DH23" i="1" s="1"/>
  <c r="KG47" i="1"/>
  <c r="KG23" i="1"/>
  <c r="KH47" i="1"/>
  <c r="KH23" i="1"/>
  <c r="AC23" i="1"/>
  <c r="BE3" i="1"/>
  <c r="BE4" i="1" s="1"/>
  <c r="BU23" i="1"/>
  <c r="DI3" i="1"/>
  <c r="DI4" i="1" s="1"/>
  <c r="DI5" i="1" s="1"/>
  <c r="DI6" i="1" s="1"/>
  <c r="DI7" i="1" s="1"/>
  <c r="DI8" i="1" s="1"/>
  <c r="DI9" i="1" s="1"/>
  <c r="DI10" i="1" s="1"/>
  <c r="DI11" i="1" s="1"/>
  <c r="DI13" i="1" s="1"/>
  <c r="DI14" i="1" s="1"/>
  <c r="DI15" i="1" s="1"/>
  <c r="DI16" i="1" s="1"/>
  <c r="DI17" i="1" s="1"/>
  <c r="DI18" i="1" s="1"/>
  <c r="DI19" i="1" s="1"/>
  <c r="DI20" i="1" s="1"/>
  <c r="DI21" i="1" s="1"/>
  <c r="DI26" i="1" s="1"/>
  <c r="DI27" i="1" s="1"/>
  <c r="DI28" i="1" s="1"/>
  <c r="DI29" i="1" s="1"/>
  <c r="DI30" i="1" s="1"/>
  <c r="DI31" i="1" s="1"/>
  <c r="DI32" i="1" s="1"/>
  <c r="DI33" i="1" s="1"/>
  <c r="DI34" i="1" s="1"/>
  <c r="FA3" i="1"/>
  <c r="FA4" i="1"/>
  <c r="FA5" i="1" s="1"/>
  <c r="FA6" i="1" s="1"/>
  <c r="FA7" i="1" s="1"/>
  <c r="FA8" i="1" s="1"/>
  <c r="FA9" i="1" s="1"/>
  <c r="FA10" i="1" s="1"/>
  <c r="FA11" i="1" s="1"/>
  <c r="FA13" i="1" s="1"/>
  <c r="FA14" i="1" s="1"/>
  <c r="FA15" i="1" s="1"/>
  <c r="FA16" i="1" s="1"/>
  <c r="FA17" i="1" s="1"/>
  <c r="FA18" i="1" s="1"/>
  <c r="FA19" i="1" s="1"/>
  <c r="FA20" i="1" s="1"/>
  <c r="FA21" i="1" s="1"/>
  <c r="FA26" i="1" s="1"/>
  <c r="FA27" i="1" s="1"/>
  <c r="FA28" i="1" s="1"/>
  <c r="FA29" i="1" s="1"/>
  <c r="FA30" i="1" s="1"/>
  <c r="FA31" i="1" s="1"/>
  <c r="FA32" i="1" s="1"/>
  <c r="FA33" i="1" s="1"/>
  <c r="FA34" i="1" s="1"/>
  <c r="FA36" i="1" s="1"/>
  <c r="FA37" i="1" s="1"/>
  <c r="FA38" i="1" s="1"/>
  <c r="FA39" i="1" s="1"/>
  <c r="FA40" i="1" s="1"/>
  <c r="FA41" i="1" s="1"/>
  <c r="FA42" i="1" s="1"/>
  <c r="FA43" i="1" s="1"/>
  <c r="FA44" i="1" s="1"/>
  <c r="FA50" i="1" s="1"/>
  <c r="FA51" i="1" s="1"/>
  <c r="FA52" i="1" s="1"/>
  <c r="FA53" i="1" s="1"/>
  <c r="FA54" i="1" s="1"/>
  <c r="FA55" i="1" s="1"/>
  <c r="FA56" i="1" s="1"/>
  <c r="FA57" i="1" s="1"/>
  <c r="FA58" i="1" s="1"/>
  <c r="FA60" i="1" s="1"/>
  <c r="FA61" i="1" s="1"/>
  <c r="FA62" i="1" s="1"/>
  <c r="FA63" i="1" s="1"/>
  <c r="FA64" i="1" s="1"/>
  <c r="FA65" i="1" s="1"/>
  <c r="FA66" i="1" s="1"/>
  <c r="FA67" i="1" s="1"/>
  <c r="FA68" i="1" s="1"/>
  <c r="FA74" i="1" s="1"/>
  <c r="FA75" i="1" s="1"/>
  <c r="FA76" i="1" s="1"/>
  <c r="FA77" i="1" s="1"/>
  <c r="FA78" i="1" s="1"/>
  <c r="FA79" i="1" s="1"/>
  <c r="FA80" i="1" s="1"/>
  <c r="FA81" i="1" s="1"/>
  <c r="FA82" i="1" s="1"/>
  <c r="FA84" i="1" s="1"/>
  <c r="FA85" i="1" s="1"/>
  <c r="FA86" i="1" s="1"/>
  <c r="FA87" i="1" s="1"/>
  <c r="FA88" i="1" s="1"/>
  <c r="FA89" i="1" s="1"/>
  <c r="FA90" i="1" s="1"/>
  <c r="FA91" i="1" s="1"/>
  <c r="FA92" i="1" s="1"/>
  <c r="F11" i="2"/>
  <c r="DU23" i="1"/>
  <c r="U22" i="1"/>
  <c r="BQ22" i="1"/>
  <c r="BR13" i="1"/>
  <c r="BR14" i="1" s="1"/>
  <c r="BR15" i="1" s="1"/>
  <c r="BR16" i="1" s="1"/>
  <c r="BR17" i="1" s="1"/>
  <c r="BR18" i="1" s="1"/>
  <c r="BR19" i="1" s="1"/>
  <c r="BR20" i="1" s="1"/>
  <c r="BR21" i="1" s="1"/>
  <c r="BR26" i="1" s="1"/>
  <c r="BR27" i="1" s="1"/>
  <c r="BR28" i="1" s="1"/>
  <c r="BR29" i="1" s="1"/>
  <c r="BR30" i="1" s="1"/>
  <c r="BR31" i="1" s="1"/>
  <c r="BR32" i="1" s="1"/>
  <c r="BR33" i="1" s="1"/>
  <c r="BR34" i="1" s="1"/>
  <c r="BR36" i="1" s="1"/>
  <c r="BR37" i="1" s="1"/>
  <c r="BR38" i="1" s="1"/>
  <c r="BR39" i="1" s="1"/>
  <c r="BR40" i="1" s="1"/>
  <c r="BR41" i="1" s="1"/>
  <c r="BR42" i="1" s="1"/>
  <c r="BR43" i="1" s="1"/>
  <c r="BR44" i="1" s="1"/>
  <c r="BR50" i="1" s="1"/>
  <c r="EA22" i="1"/>
  <c r="FF22" i="1"/>
  <c r="FR22" i="1"/>
  <c r="FR23" i="1" s="1"/>
  <c r="GJ13" i="1"/>
  <c r="GZ22" i="1"/>
  <c r="GZ23" i="1" s="1"/>
  <c r="HP22" i="1"/>
  <c r="IU22" i="1"/>
  <c r="IU23" i="1" s="1"/>
  <c r="IV13" i="1"/>
  <c r="IV14" i="1" s="1"/>
  <c r="IV15" i="1" s="1"/>
  <c r="IV16" i="1" s="1"/>
  <c r="IV17" i="1" s="1"/>
  <c r="IV18" i="1" s="1"/>
  <c r="IV19" i="1" s="1"/>
  <c r="IV20" i="1" s="1"/>
  <c r="IV21" i="1" s="1"/>
  <c r="GJ16" i="1"/>
  <c r="M21" i="1"/>
  <c r="L21" i="1"/>
  <c r="L26" i="1" s="1"/>
  <c r="L27" i="1" s="1"/>
  <c r="L28" i="1" s="1"/>
  <c r="L29" i="1" s="1"/>
  <c r="L30" i="1" s="1"/>
  <c r="L31" i="1" s="1"/>
  <c r="L32" i="1" s="1"/>
  <c r="L33" i="1" s="1"/>
  <c r="L34" i="1" s="1"/>
  <c r="L36" i="1" s="1"/>
  <c r="L37" i="1" s="1"/>
  <c r="L38" i="1" s="1"/>
  <c r="L39" i="1" s="1"/>
  <c r="L40" i="1" s="1"/>
  <c r="L41" i="1" s="1"/>
  <c r="L42" i="1" s="1"/>
  <c r="L43" i="1" s="1"/>
  <c r="L44" i="1" s="1"/>
  <c r="L50" i="1" s="1"/>
  <c r="L51" i="1" s="1"/>
  <c r="L52" i="1" s="1"/>
  <c r="L53" i="1" s="1"/>
  <c r="L54" i="1" s="1"/>
  <c r="L55" i="1" s="1"/>
  <c r="L56" i="1" s="1"/>
  <c r="L57" i="1" s="1"/>
  <c r="L58" i="1" s="1"/>
  <c r="L60" i="1" s="1"/>
  <c r="L61" i="1" s="1"/>
  <c r="L62" i="1" s="1"/>
  <c r="L63" i="1" s="1"/>
  <c r="L64" i="1" s="1"/>
  <c r="L65" i="1" s="1"/>
  <c r="L66" i="1" s="1"/>
  <c r="L67" i="1" s="1"/>
  <c r="L68" i="1" s="1"/>
  <c r="L74" i="1" s="1"/>
  <c r="L75" i="1" s="1"/>
  <c r="L76" i="1" s="1"/>
  <c r="L77" i="1" s="1"/>
  <c r="L78" i="1" s="1"/>
  <c r="L79" i="1" s="1"/>
  <c r="L80" i="1" s="1"/>
  <c r="L81" i="1" s="1"/>
  <c r="L82" i="1" s="1"/>
  <c r="L84" i="1" s="1"/>
  <c r="L85" i="1" s="1"/>
  <c r="L86" i="1" s="1"/>
  <c r="L87" i="1" s="1"/>
  <c r="L88" i="1" s="1"/>
  <c r="L89" i="1" s="1"/>
  <c r="L90" i="1" s="1"/>
  <c r="L91" i="1" s="1"/>
  <c r="L92" i="1" s="1"/>
  <c r="CF21" i="1"/>
  <c r="CF26" i="1" s="1"/>
  <c r="CF27" i="1" s="1"/>
  <c r="CF28" i="1" s="1"/>
  <c r="CF29" i="1" s="1"/>
  <c r="CF30" i="1" s="1"/>
  <c r="CF31" i="1" s="1"/>
  <c r="CF32" i="1" s="1"/>
  <c r="CF33" i="1" s="1"/>
  <c r="CF34" i="1" s="1"/>
  <c r="CF36" i="1" s="1"/>
  <c r="CF37" i="1" s="1"/>
  <c r="CF38" i="1" s="1"/>
  <c r="CF39" i="1" s="1"/>
  <c r="CF40" i="1" s="1"/>
  <c r="CF41" i="1" s="1"/>
  <c r="CF42" i="1" s="1"/>
  <c r="CF43" i="1" s="1"/>
  <c r="CF44" i="1" s="1"/>
  <c r="CF50" i="1" s="1"/>
  <c r="CF51" i="1" s="1"/>
  <c r="CF52" i="1" s="1"/>
  <c r="CF53" i="1" s="1"/>
  <c r="CF54" i="1" s="1"/>
  <c r="CF55" i="1" s="1"/>
  <c r="CF56" i="1" s="1"/>
  <c r="CF57" i="1" s="1"/>
  <c r="CF58" i="1" s="1"/>
  <c r="CF60" i="1" s="1"/>
  <c r="CF61" i="1" s="1"/>
  <c r="CF62" i="1" s="1"/>
  <c r="CF63" i="1" s="1"/>
  <c r="CF64" i="1" s="1"/>
  <c r="CF65" i="1" s="1"/>
  <c r="CF66" i="1" s="1"/>
  <c r="CF67" i="1" s="1"/>
  <c r="CF68" i="1" s="1"/>
  <c r="CF74" i="1" s="1"/>
  <c r="CF75" i="1" s="1"/>
  <c r="CF76" i="1" s="1"/>
  <c r="CF77" i="1" s="1"/>
  <c r="CF78" i="1" s="1"/>
  <c r="CF79" i="1" s="1"/>
  <c r="CF80" i="1" s="1"/>
  <c r="CF81" i="1" s="1"/>
  <c r="CF82" i="1" s="1"/>
  <c r="CF84" i="1" s="1"/>
  <c r="CF85" i="1" s="1"/>
  <c r="CF86" i="1" s="1"/>
  <c r="CF87" i="1" s="1"/>
  <c r="CF88" i="1" s="1"/>
  <c r="CF89" i="1" s="1"/>
  <c r="CF90" i="1" s="1"/>
  <c r="CF91" i="1" s="1"/>
  <c r="CF92" i="1" s="1"/>
  <c r="DQ22" i="1"/>
  <c r="AJ23" i="1"/>
  <c r="AX35" i="1"/>
  <c r="AX46" i="1" s="1"/>
  <c r="C18" i="3" s="1"/>
  <c r="AY26" i="1"/>
  <c r="AY27" i="1" s="1"/>
  <c r="AY28" i="1" s="1"/>
  <c r="AY29" i="1" s="1"/>
  <c r="AY30" i="1" s="1"/>
  <c r="AY31" i="1" s="1"/>
  <c r="AY32" i="1" s="1"/>
  <c r="AY33" i="1" s="1"/>
  <c r="AY34" i="1" s="1"/>
  <c r="AY36" i="1" s="1"/>
  <c r="AY37" i="1" s="1"/>
  <c r="AY38" i="1" s="1"/>
  <c r="AY39" i="1" s="1"/>
  <c r="AY40" i="1" s="1"/>
  <c r="AY41" i="1" s="1"/>
  <c r="AY42" i="1" s="1"/>
  <c r="AY43" i="1" s="1"/>
  <c r="AY44" i="1" s="1"/>
  <c r="FM26" i="1"/>
  <c r="IU35" i="1"/>
  <c r="AG46" i="1"/>
  <c r="B26" i="3" s="1"/>
  <c r="AG35" i="1"/>
  <c r="ES46" i="1"/>
  <c r="F26" i="3" s="1"/>
  <c r="ES35" i="1"/>
  <c r="GK35" i="1"/>
  <c r="GL29" i="1"/>
  <c r="GL30" i="1" s="1"/>
  <c r="GL31" i="1" s="1"/>
  <c r="GL32" i="1" s="1"/>
  <c r="GL33" i="1" s="1"/>
  <c r="GL34" i="1" s="1"/>
  <c r="GL36" i="1" s="1"/>
  <c r="GL37" i="1" s="1"/>
  <c r="GL38" i="1" s="1"/>
  <c r="GL39" i="1" s="1"/>
  <c r="GL40" i="1" s="1"/>
  <c r="GL41" i="1" s="1"/>
  <c r="GL42" i="1" s="1"/>
  <c r="GL43" i="1" s="1"/>
  <c r="GL44" i="1" s="1"/>
  <c r="JN31" i="1"/>
  <c r="BU35" i="1"/>
  <c r="CZ45" i="1"/>
  <c r="KB45" i="1"/>
  <c r="EP38" i="1"/>
  <c r="EP39" i="1" s="1"/>
  <c r="AU39" i="1"/>
  <c r="AU40" i="1" s="1"/>
  <c r="AU41" i="1" s="1"/>
  <c r="AU42" i="1" s="1"/>
  <c r="AU43" i="1" s="1"/>
  <c r="AU44" i="1" s="1"/>
  <c r="M55" i="1"/>
  <c r="S22" i="1"/>
  <c r="S23" i="1" s="1"/>
  <c r="CV22" i="1"/>
  <c r="EM22" i="1"/>
  <c r="EM23" i="1" s="1"/>
  <c r="FP22" i="1"/>
  <c r="IS22" i="1"/>
  <c r="IS23" i="1" s="1"/>
  <c r="EJ14" i="1"/>
  <c r="GE19" i="1"/>
  <c r="M20" i="1"/>
  <c r="CE35" i="1"/>
  <c r="FM27" i="1"/>
  <c r="FM28" i="1" s="1"/>
  <c r="JB29" i="1"/>
  <c r="JB30" i="1" s="1"/>
  <c r="JB31" i="1" s="1"/>
  <c r="JB32" i="1" s="1"/>
  <c r="JB33" i="1" s="1"/>
  <c r="JB34" i="1" s="1"/>
  <c r="JB36" i="1" s="1"/>
  <c r="JB37" i="1" s="1"/>
  <c r="JB38" i="1" s="1"/>
  <c r="JB39" i="1" s="1"/>
  <c r="JB40" i="1" s="1"/>
  <c r="JB41" i="1" s="1"/>
  <c r="JB42" i="1" s="1"/>
  <c r="JB43" i="1" s="1"/>
  <c r="JB44" i="1" s="1"/>
  <c r="JB50" i="1" s="1"/>
  <c r="JB51" i="1" s="1"/>
  <c r="JB52" i="1" s="1"/>
  <c r="JB53" i="1" s="1"/>
  <c r="JB54" i="1" s="1"/>
  <c r="JB55" i="1" s="1"/>
  <c r="JB56" i="1" s="1"/>
  <c r="JB57" i="1" s="1"/>
  <c r="JB58" i="1" s="1"/>
  <c r="JB60" i="1" s="1"/>
  <c r="JB61" i="1" s="1"/>
  <c r="JB62" i="1" s="1"/>
  <c r="JB63" i="1" s="1"/>
  <c r="JB64" i="1" s="1"/>
  <c r="JB65" i="1" s="1"/>
  <c r="JB66" i="1" s="1"/>
  <c r="JB67" i="1" s="1"/>
  <c r="JB68" i="1" s="1"/>
  <c r="JB74" i="1" s="1"/>
  <c r="JB75" i="1" s="1"/>
  <c r="JB76" i="1" s="1"/>
  <c r="JB77" i="1" s="1"/>
  <c r="JB78" i="1" s="1"/>
  <c r="JB79" i="1" s="1"/>
  <c r="JB80" i="1" s="1"/>
  <c r="JB81" i="1" s="1"/>
  <c r="JB82" i="1" s="1"/>
  <c r="JB84" i="1" s="1"/>
  <c r="JB85" i="1" s="1"/>
  <c r="JB86" i="1" s="1"/>
  <c r="JB87" i="1" s="1"/>
  <c r="JB88" i="1" s="1"/>
  <c r="JB89" i="1" s="1"/>
  <c r="JB90" i="1" s="1"/>
  <c r="JB91" i="1" s="1"/>
  <c r="JB92" i="1" s="1"/>
  <c r="KE30" i="1"/>
  <c r="KE31" i="1" s="1"/>
  <c r="KE32" i="1" s="1"/>
  <c r="KE33" i="1" s="1"/>
  <c r="KF47" i="1"/>
  <c r="KF23" i="1"/>
  <c r="AT12" i="1"/>
  <c r="JV12" i="1"/>
  <c r="JV23" i="1" s="1"/>
  <c r="JV47" i="1" s="1"/>
  <c r="AS9" i="1"/>
  <c r="AS10" i="1" s="1"/>
  <c r="AS11" i="1" s="1"/>
  <c r="AS13" i="1" s="1"/>
  <c r="AS14" i="1" s="1"/>
  <c r="AS15" i="1" s="1"/>
  <c r="AS16" i="1" s="1"/>
  <c r="AS17" i="1" s="1"/>
  <c r="AS18" i="1" s="1"/>
  <c r="AS19" i="1" s="1"/>
  <c r="AS20" i="1" s="1"/>
  <c r="AS21" i="1" s="1"/>
  <c r="AS26" i="1" s="1"/>
  <c r="AS27" i="1" s="1"/>
  <c r="AS28" i="1" s="1"/>
  <c r="AS29" i="1" s="1"/>
  <c r="AS30" i="1" s="1"/>
  <c r="AS31" i="1" s="1"/>
  <c r="AS32" i="1" s="1"/>
  <c r="AS33" i="1" s="1"/>
  <c r="AS34" i="1" s="1"/>
  <c r="AS36" i="1" s="1"/>
  <c r="AS37" i="1" s="1"/>
  <c r="AS38" i="1" s="1"/>
  <c r="AS39" i="1" s="1"/>
  <c r="AS40" i="1" s="1"/>
  <c r="AS41" i="1" s="1"/>
  <c r="AS42" i="1" s="1"/>
  <c r="AS43" i="1" s="1"/>
  <c r="AS44" i="1" s="1"/>
  <c r="AS50" i="1" s="1"/>
  <c r="AS51" i="1" s="1"/>
  <c r="AS52" i="1" s="1"/>
  <c r="AS53" i="1" s="1"/>
  <c r="AS54" i="1" s="1"/>
  <c r="AS55" i="1" s="1"/>
  <c r="AS56" i="1" s="1"/>
  <c r="AS57" i="1" s="1"/>
  <c r="AS58" i="1" s="1"/>
  <c r="AS60" i="1" s="1"/>
  <c r="AS61" i="1" s="1"/>
  <c r="AS62" i="1" s="1"/>
  <c r="AS63" i="1" s="1"/>
  <c r="AS64" i="1" s="1"/>
  <c r="AS65" i="1" s="1"/>
  <c r="AS66" i="1" s="1"/>
  <c r="AS67" i="1" s="1"/>
  <c r="AS68" i="1" s="1"/>
  <c r="AS74" i="1" s="1"/>
  <c r="AS75" i="1" s="1"/>
  <c r="AS76" i="1" s="1"/>
  <c r="AS77" i="1" s="1"/>
  <c r="AS78" i="1" s="1"/>
  <c r="AS79" i="1" s="1"/>
  <c r="AS80" i="1" s="1"/>
  <c r="AS81" i="1" s="1"/>
  <c r="AS82" i="1" s="1"/>
  <c r="AS84" i="1" s="1"/>
  <c r="AS85" i="1" s="1"/>
  <c r="AS86" i="1" s="1"/>
  <c r="AS87" i="1" s="1"/>
  <c r="AS88" i="1" s="1"/>
  <c r="AS89" i="1" s="1"/>
  <c r="AS90" i="1" s="1"/>
  <c r="AS91" i="1" s="1"/>
  <c r="AS92" i="1" s="1"/>
  <c r="G4" i="2"/>
  <c r="EV23" i="1"/>
  <c r="BS13" i="1"/>
  <c r="CX22" i="1"/>
  <c r="CX23" i="1" s="1"/>
  <c r="DJ22" i="1"/>
  <c r="FS13" i="1"/>
  <c r="FS14" i="1" s="1"/>
  <c r="FS15" i="1" s="1"/>
  <c r="FS16" i="1" s="1"/>
  <c r="FS17" i="1" s="1"/>
  <c r="FS18" i="1" s="1"/>
  <c r="FS19" i="1" s="1"/>
  <c r="FS20" i="1" s="1"/>
  <c r="FS21" i="1" s="1"/>
  <c r="FS26" i="1" s="1"/>
  <c r="FS27" i="1" s="1"/>
  <c r="FS28" i="1" s="1"/>
  <c r="FS29" i="1" s="1"/>
  <c r="FS30" i="1" s="1"/>
  <c r="FS31" i="1" s="1"/>
  <c r="FS32" i="1" s="1"/>
  <c r="FS33" i="1" s="1"/>
  <c r="FS34" i="1" s="1"/>
  <c r="FS36" i="1" s="1"/>
  <c r="FS37" i="1" s="1"/>
  <c r="FS38" i="1" s="1"/>
  <c r="FS39" i="1" s="1"/>
  <c r="FS40" i="1" s="1"/>
  <c r="FS41" i="1" s="1"/>
  <c r="FS42" i="1" s="1"/>
  <c r="FS43" i="1" s="1"/>
  <c r="FS44" i="1" s="1"/>
  <c r="FS50" i="1" s="1"/>
  <c r="FS51" i="1" s="1"/>
  <c r="FS52" i="1" s="1"/>
  <c r="FS53" i="1" s="1"/>
  <c r="FS54" i="1" s="1"/>
  <c r="FS55" i="1" s="1"/>
  <c r="FS56" i="1" s="1"/>
  <c r="FS57" i="1" s="1"/>
  <c r="FS58" i="1" s="1"/>
  <c r="FS60" i="1" s="1"/>
  <c r="FS61" i="1" s="1"/>
  <c r="FS62" i="1" s="1"/>
  <c r="FS63" i="1" s="1"/>
  <c r="FS64" i="1" s="1"/>
  <c r="FS65" i="1" s="1"/>
  <c r="FS66" i="1" s="1"/>
  <c r="FS67" i="1" s="1"/>
  <c r="FS68" i="1" s="1"/>
  <c r="FS74" i="1" s="1"/>
  <c r="FS75" i="1" s="1"/>
  <c r="FS76" i="1" s="1"/>
  <c r="FS77" i="1" s="1"/>
  <c r="FS78" i="1" s="1"/>
  <c r="FS79" i="1" s="1"/>
  <c r="FS80" i="1" s="1"/>
  <c r="FS81" i="1" s="1"/>
  <c r="FS82" i="1" s="1"/>
  <c r="FS84" i="1" s="1"/>
  <c r="FS85" i="1" s="1"/>
  <c r="FS86" i="1" s="1"/>
  <c r="FS87" i="1" s="1"/>
  <c r="FS88" i="1" s="1"/>
  <c r="FS89" i="1" s="1"/>
  <c r="FS90" i="1" s="1"/>
  <c r="FS91" i="1" s="1"/>
  <c r="FS92" i="1" s="1"/>
  <c r="HA13" i="1"/>
  <c r="HA14" i="1" s="1"/>
  <c r="HA15" i="1" s="1"/>
  <c r="HA16" i="1" s="1"/>
  <c r="HA17" i="1" s="1"/>
  <c r="HA18" i="1" s="1"/>
  <c r="HA19" i="1" s="1"/>
  <c r="HA20" i="1" s="1"/>
  <c r="HA21" i="1" s="1"/>
  <c r="HA26" i="1" s="1"/>
  <c r="ID18" i="1"/>
  <c r="ID19" i="1" s="1"/>
  <c r="ID20" i="1" s="1"/>
  <c r="ID21" i="1" s="1"/>
  <c r="ID26" i="1" s="1"/>
  <c r="ID27" i="1" s="1"/>
  <c r="ID28" i="1" s="1"/>
  <c r="ID29" i="1" s="1"/>
  <c r="ID30" i="1" s="1"/>
  <c r="ID31" i="1" s="1"/>
  <c r="ID32" i="1" s="1"/>
  <c r="ID33" i="1" s="1"/>
  <c r="ID34" i="1" s="1"/>
  <c r="ID36" i="1" s="1"/>
  <c r="ID37" i="1" s="1"/>
  <c r="ID38" i="1" s="1"/>
  <c r="ID39" i="1" s="1"/>
  <c r="ID40" i="1" s="1"/>
  <c r="ID41" i="1" s="1"/>
  <c r="ID42" i="1" s="1"/>
  <c r="ID43" i="1" s="1"/>
  <c r="ID44" i="1" s="1"/>
  <c r="ID50" i="1" s="1"/>
  <c r="ID51" i="1" s="1"/>
  <c r="ID52" i="1" s="1"/>
  <c r="ID53" i="1" s="1"/>
  <c r="ID54" i="1" s="1"/>
  <c r="ID55" i="1" s="1"/>
  <c r="ID56" i="1" s="1"/>
  <c r="ID57" i="1" s="1"/>
  <c r="ID58" i="1" s="1"/>
  <c r="ID60" i="1" s="1"/>
  <c r="ID61" i="1" s="1"/>
  <c r="ID62" i="1" s="1"/>
  <c r="ID63" i="1" s="1"/>
  <c r="ID64" i="1" s="1"/>
  <c r="ID65" i="1" s="1"/>
  <c r="ID66" i="1" s="1"/>
  <c r="ID67" i="1" s="1"/>
  <c r="ID68" i="1" s="1"/>
  <c r="ID74" i="1" s="1"/>
  <c r="ID75" i="1" s="1"/>
  <c r="ID76" i="1" s="1"/>
  <c r="ID77" i="1" s="1"/>
  <c r="ID78" i="1" s="1"/>
  <c r="ID79" i="1" s="1"/>
  <c r="ID80" i="1" s="1"/>
  <c r="ID81" i="1" s="1"/>
  <c r="ID82" i="1" s="1"/>
  <c r="ID84" i="1" s="1"/>
  <c r="ID85" i="1" s="1"/>
  <c r="ID86" i="1" s="1"/>
  <c r="ID87" i="1" s="1"/>
  <c r="ID88" i="1" s="1"/>
  <c r="ID89" i="1" s="1"/>
  <c r="ID90" i="1" s="1"/>
  <c r="ID91" i="1" s="1"/>
  <c r="ID92" i="1" s="1"/>
  <c r="AL23" i="1"/>
  <c r="BA26" i="1"/>
  <c r="BA27" i="1" s="1"/>
  <c r="BA28" i="1" s="1"/>
  <c r="BA29" i="1" s="1"/>
  <c r="BA30" i="1" s="1"/>
  <c r="BA31" i="1" s="1"/>
  <c r="BA32" i="1" s="1"/>
  <c r="BA33" i="1" s="1"/>
  <c r="BA34" i="1" s="1"/>
  <c r="BA36" i="1" s="1"/>
  <c r="BA37" i="1" s="1"/>
  <c r="BA38" i="1" s="1"/>
  <c r="BA39" i="1" s="1"/>
  <c r="BA40" i="1" s="1"/>
  <c r="BA41" i="1" s="1"/>
  <c r="BA42" i="1" s="1"/>
  <c r="BA43" i="1" s="1"/>
  <c r="BA44" i="1" s="1"/>
  <c r="AZ35" i="1"/>
  <c r="DD35" i="1"/>
  <c r="DE26" i="1"/>
  <c r="DE27" i="1" s="1"/>
  <c r="DE28" i="1" s="1"/>
  <c r="DE29" i="1" s="1"/>
  <c r="DE30" i="1" s="1"/>
  <c r="DE31" i="1" s="1"/>
  <c r="DE32" i="1" s="1"/>
  <c r="DE33" i="1" s="1"/>
  <c r="DE34" i="1" s="1"/>
  <c r="DE36" i="1" s="1"/>
  <c r="DE37" i="1" s="1"/>
  <c r="DE38" i="1" s="1"/>
  <c r="DE39" i="1" s="1"/>
  <c r="DE40" i="1" s="1"/>
  <c r="DE41" i="1" s="1"/>
  <c r="DE42" i="1" s="1"/>
  <c r="EU27" i="1"/>
  <c r="EU28" i="1" s="1"/>
  <c r="EU29" i="1" s="1"/>
  <c r="EU30" i="1" s="1"/>
  <c r="EU31" i="1" s="1"/>
  <c r="EU32" i="1" s="1"/>
  <c r="EU33" i="1" s="1"/>
  <c r="EU34" i="1" s="1"/>
  <c r="EU36" i="1" s="1"/>
  <c r="EU37" i="1" s="1"/>
  <c r="EU38" i="1" s="1"/>
  <c r="EU39" i="1" s="1"/>
  <c r="EU40" i="1" s="1"/>
  <c r="EU41" i="1" s="1"/>
  <c r="EU42" i="1" s="1"/>
  <c r="EU43" i="1" s="1"/>
  <c r="EU44" i="1" s="1"/>
  <c r="EU50" i="1" s="1"/>
  <c r="EU51" i="1" s="1"/>
  <c r="EU52" i="1" s="1"/>
  <c r="EU53" i="1" s="1"/>
  <c r="EU54" i="1" s="1"/>
  <c r="EU55" i="1" s="1"/>
  <c r="EU56" i="1" s="1"/>
  <c r="EU57" i="1" s="1"/>
  <c r="EU58" i="1" s="1"/>
  <c r="EU60" i="1" s="1"/>
  <c r="EU61" i="1" s="1"/>
  <c r="EU62" i="1" s="1"/>
  <c r="EU63" i="1" s="1"/>
  <c r="EU64" i="1" s="1"/>
  <c r="EU65" i="1" s="1"/>
  <c r="EU66" i="1" s="1"/>
  <c r="EU67" i="1" s="1"/>
  <c r="EU68" i="1" s="1"/>
  <c r="EU74" i="1" s="1"/>
  <c r="EU75" i="1" s="1"/>
  <c r="EU76" i="1" s="1"/>
  <c r="EU77" i="1" s="1"/>
  <c r="EU78" i="1" s="1"/>
  <c r="EU79" i="1" s="1"/>
  <c r="EU80" i="1" s="1"/>
  <c r="EU81" i="1" s="1"/>
  <c r="EU82" i="1" s="1"/>
  <c r="EU84" i="1" s="1"/>
  <c r="EU85" i="1" s="1"/>
  <c r="EU86" i="1" s="1"/>
  <c r="EU87" i="1" s="1"/>
  <c r="EU88" i="1" s="1"/>
  <c r="EU89" i="1" s="1"/>
  <c r="EU90" i="1" s="1"/>
  <c r="EU91" i="1" s="1"/>
  <c r="EU92" i="1" s="1"/>
  <c r="FQ27" i="1"/>
  <c r="FQ28" i="1" s="1"/>
  <c r="FQ29" i="1" s="1"/>
  <c r="FQ30" i="1" s="1"/>
  <c r="FQ31" i="1" s="1"/>
  <c r="FQ32" i="1" s="1"/>
  <c r="FQ33" i="1" s="1"/>
  <c r="FQ34" i="1" s="1"/>
  <c r="FQ36" i="1" s="1"/>
  <c r="FQ37" i="1" s="1"/>
  <c r="FQ38" i="1" s="1"/>
  <c r="FQ39" i="1" s="1"/>
  <c r="FQ40" i="1" s="1"/>
  <c r="FQ41" i="1" s="1"/>
  <c r="FQ42" i="1" s="1"/>
  <c r="FQ43" i="1" s="1"/>
  <c r="FQ44" i="1" s="1"/>
  <c r="V29" i="1"/>
  <c r="IV33" i="1"/>
  <c r="H4" i="3"/>
  <c r="FY46" i="1"/>
  <c r="H3" i="3" s="1"/>
  <c r="H6" i="3" s="1"/>
  <c r="Z37" i="1"/>
  <c r="Z38" i="1" s="1"/>
  <c r="Z39" i="1" s="1"/>
  <c r="Z40" i="1" s="1"/>
  <c r="Z41" i="1" s="1"/>
  <c r="Z42" i="1" s="1"/>
  <c r="Z43" i="1" s="1"/>
  <c r="Z44" i="1" s="1"/>
  <c r="Z50" i="1" s="1"/>
  <c r="Z51" i="1" s="1"/>
  <c r="Z52" i="1" s="1"/>
  <c r="Z53" i="1" s="1"/>
  <c r="Z54" i="1" s="1"/>
  <c r="Z55" i="1" s="1"/>
  <c r="Z56" i="1" s="1"/>
  <c r="Z57" i="1" s="1"/>
  <c r="II22" i="1"/>
  <c r="GI46" i="1"/>
  <c r="H16" i="3" s="1"/>
  <c r="JZ35" i="1"/>
  <c r="JZ46" i="1" s="1"/>
  <c r="GP27" i="1"/>
  <c r="GP28" i="1" s="1"/>
  <c r="GP29" i="1" s="1"/>
  <c r="GP30" i="1" s="1"/>
  <c r="GP31" i="1" s="1"/>
  <c r="GJ28" i="1"/>
  <c r="GJ29" i="1" s="1"/>
  <c r="GJ30" i="1" s="1"/>
  <c r="GJ31" i="1" s="1"/>
  <c r="GJ32" i="1" s="1"/>
  <c r="GJ33" i="1" s="1"/>
  <c r="GJ34" i="1" s="1"/>
  <c r="CK46" i="1"/>
  <c r="D24" i="3" s="1"/>
  <c r="CK35" i="1"/>
  <c r="HS33" i="1"/>
  <c r="HS34" i="1" s="1"/>
  <c r="HS36" i="1" s="1"/>
  <c r="HS37" i="1" s="1"/>
  <c r="HS38" i="1" s="1"/>
  <c r="HS39" i="1" s="1"/>
  <c r="HS40" i="1" s="1"/>
  <c r="HS41" i="1" s="1"/>
  <c r="HS42" i="1" s="1"/>
  <c r="HS43" i="1" s="1"/>
  <c r="HS44" i="1" s="1"/>
  <c r="O45" i="1"/>
  <c r="O46" i="1" s="1"/>
  <c r="B15" i="3" s="1"/>
  <c r="AN45" i="1"/>
  <c r="AP36" i="1"/>
  <c r="BK45" i="1"/>
  <c r="KG45" i="1"/>
  <c r="GC22" i="1"/>
  <c r="GC23" i="1" s="1"/>
  <c r="AG22" i="1"/>
  <c r="GJ17" i="1"/>
  <c r="AN35" i="1"/>
  <c r="AO26" i="1"/>
  <c r="HH35" i="1"/>
  <c r="HK28" i="1"/>
  <c r="HK29" i="1" s="1"/>
  <c r="HK30" i="1" s="1"/>
  <c r="HK31" i="1" s="1"/>
  <c r="HK32" i="1" s="1"/>
  <c r="CU30" i="1"/>
  <c r="CU31" i="1" s="1"/>
  <c r="CU32" i="1" s="1"/>
  <c r="CU33" i="1" s="1"/>
  <c r="CU34" i="1" s="1"/>
  <c r="CU36" i="1" s="1"/>
  <c r="CU37" i="1" s="1"/>
  <c r="CU38" i="1" s="1"/>
  <c r="CU39" i="1" s="1"/>
  <c r="CU40" i="1" s="1"/>
  <c r="CU41" i="1" s="1"/>
  <c r="CU42" i="1" s="1"/>
  <c r="CU43" i="1" s="1"/>
  <c r="CU44" i="1" s="1"/>
  <c r="CU50" i="1" s="1"/>
  <c r="CU51" i="1" s="1"/>
  <c r="CU52" i="1" s="1"/>
  <c r="CU53" i="1" s="1"/>
  <c r="CV30" i="1"/>
  <c r="AW32" i="1"/>
  <c r="AW33" i="1" s="1"/>
  <c r="AW34" i="1" s="1"/>
  <c r="AW36" i="1" s="1"/>
  <c r="AW37" i="1" s="1"/>
  <c r="AW38" i="1" s="1"/>
  <c r="AW39" i="1" s="1"/>
  <c r="AW40" i="1" s="1"/>
  <c r="AW41" i="1" s="1"/>
  <c r="AW42" i="1" s="1"/>
  <c r="AW43" i="1" s="1"/>
  <c r="Q35" i="1"/>
  <c r="Q46" i="1" s="1"/>
  <c r="B16" i="3" s="1"/>
  <c r="CX45" i="1"/>
  <c r="IM45" i="1"/>
  <c r="JW39" i="1"/>
  <c r="JW40" i="1" s="1"/>
  <c r="JW41" i="1" s="1"/>
  <c r="JW42" i="1" s="1"/>
  <c r="JW43" i="1" s="1"/>
  <c r="JW44" i="1" s="1"/>
  <c r="DH59" i="1"/>
  <c r="FI50" i="1"/>
  <c r="FI51" i="1" s="1"/>
  <c r="FH59" i="1"/>
  <c r="FH70" i="1" s="1"/>
  <c r="G17" i="5" s="1"/>
  <c r="CN70" i="1"/>
  <c r="D7" i="5" s="1"/>
  <c r="D8" i="5" s="1"/>
  <c r="E11" i="2"/>
  <c r="CR23" i="1"/>
  <c r="L13" i="1"/>
  <c r="L14" i="1" s="1"/>
  <c r="L15" i="1" s="1"/>
  <c r="L16" i="1" s="1"/>
  <c r="L17" i="1" s="1"/>
  <c r="Y22" i="1"/>
  <c r="DH22" i="1"/>
  <c r="GD13" i="1"/>
  <c r="GD14" i="1" s="1"/>
  <c r="GD15" i="1" s="1"/>
  <c r="GD16" i="1" s="1"/>
  <c r="GD17" i="1" s="1"/>
  <c r="GD18" i="1" s="1"/>
  <c r="GD19" i="1" s="1"/>
  <c r="GD20" i="1" s="1"/>
  <c r="GD21" i="1" s="1"/>
  <c r="GD26" i="1" s="1"/>
  <c r="GD27" i="1" s="1"/>
  <c r="GD28" i="1" s="1"/>
  <c r="GD29" i="1" s="1"/>
  <c r="GD30" i="1" s="1"/>
  <c r="GD31" i="1" s="1"/>
  <c r="GD32" i="1" s="1"/>
  <c r="HT22" i="1"/>
  <c r="DA15" i="1"/>
  <c r="DA16" i="1" s="1"/>
  <c r="DA17" i="1" s="1"/>
  <c r="DA18" i="1" s="1"/>
  <c r="DA19" i="1" s="1"/>
  <c r="DA20" i="1" s="1"/>
  <c r="DA21" i="1" s="1"/>
  <c r="DR15" i="1"/>
  <c r="DR16" i="1" s="1"/>
  <c r="DR17" i="1" s="1"/>
  <c r="DR18" i="1" s="1"/>
  <c r="DR19" i="1" s="1"/>
  <c r="DR20" i="1" s="1"/>
  <c r="DR21" i="1" s="1"/>
  <c r="DR26" i="1" s="1"/>
  <c r="DR27" i="1" s="1"/>
  <c r="DR28" i="1" s="1"/>
  <c r="DR29" i="1" s="1"/>
  <c r="DR30" i="1" s="1"/>
  <c r="DR31" i="1" s="1"/>
  <c r="DR32" i="1" s="1"/>
  <c r="DR33" i="1" s="1"/>
  <c r="DR34" i="1" s="1"/>
  <c r="DR36" i="1" s="1"/>
  <c r="DR37" i="1" s="1"/>
  <c r="DR38" i="1" s="1"/>
  <c r="DR39" i="1" s="1"/>
  <c r="DR40" i="1" s="1"/>
  <c r="DR41" i="1" s="1"/>
  <c r="DR42" i="1" s="1"/>
  <c r="DR43" i="1" s="1"/>
  <c r="DR44" i="1" s="1"/>
  <c r="DR50" i="1" s="1"/>
  <c r="DR51" i="1" s="1"/>
  <c r="DR52" i="1" s="1"/>
  <c r="DR53" i="1" s="1"/>
  <c r="DR54" i="1" s="1"/>
  <c r="DR55" i="1" s="1"/>
  <c r="DR56" i="1" s="1"/>
  <c r="DR57" i="1" s="1"/>
  <c r="DR58" i="1" s="1"/>
  <c r="DR60" i="1" s="1"/>
  <c r="DR61" i="1" s="1"/>
  <c r="DR62" i="1" s="1"/>
  <c r="DR63" i="1" s="1"/>
  <c r="DR64" i="1" s="1"/>
  <c r="DR65" i="1" s="1"/>
  <c r="DR66" i="1" s="1"/>
  <c r="DR67" i="1" s="1"/>
  <c r="DR68" i="1" s="1"/>
  <c r="DR74" i="1" s="1"/>
  <c r="DR75" i="1" s="1"/>
  <c r="DR76" i="1" s="1"/>
  <c r="DR77" i="1" s="1"/>
  <c r="DR78" i="1" s="1"/>
  <c r="DR79" i="1" s="1"/>
  <c r="DR80" i="1" s="1"/>
  <c r="DR81" i="1" s="1"/>
  <c r="DR82" i="1" s="1"/>
  <c r="DR84" i="1" s="1"/>
  <c r="DR85" i="1" s="1"/>
  <c r="DR86" i="1" s="1"/>
  <c r="DR87" i="1" s="1"/>
  <c r="DR88" i="1" s="1"/>
  <c r="DR89" i="1" s="1"/>
  <c r="DR90" i="1" s="1"/>
  <c r="DR91" i="1" s="1"/>
  <c r="DR92" i="1" s="1"/>
  <c r="EJ15" i="1"/>
  <c r="EJ16" i="1" s="1"/>
  <c r="EJ17" i="1" s="1"/>
  <c r="EJ18" i="1" s="1"/>
  <c r="EJ19" i="1" s="1"/>
  <c r="EJ20" i="1" s="1"/>
  <c r="GV15" i="1"/>
  <c r="GV16" i="1" s="1"/>
  <c r="GV17" i="1" s="1"/>
  <c r="GV18" i="1" s="1"/>
  <c r="GV19" i="1" s="1"/>
  <c r="GV20" i="1" s="1"/>
  <c r="GV21" i="1" s="1"/>
  <c r="GV26" i="1" s="1"/>
  <c r="GV27" i="1" s="1"/>
  <c r="GV28" i="1" s="1"/>
  <c r="GV29" i="1" s="1"/>
  <c r="GV30" i="1" s="1"/>
  <c r="GV31" i="1" s="1"/>
  <c r="GV32" i="1" s="1"/>
  <c r="GV33" i="1" s="1"/>
  <c r="GV34" i="1" s="1"/>
  <c r="GV36" i="1" s="1"/>
  <c r="GV37" i="1" s="1"/>
  <c r="GV38" i="1" s="1"/>
  <c r="GV39" i="1" s="1"/>
  <c r="GV40" i="1" s="1"/>
  <c r="GV41" i="1" s="1"/>
  <c r="GV42" i="1" s="1"/>
  <c r="GV43" i="1" s="1"/>
  <c r="GV44" i="1" s="1"/>
  <c r="GV50" i="1" s="1"/>
  <c r="GV51" i="1" s="1"/>
  <c r="GV52" i="1" s="1"/>
  <c r="GV53" i="1" s="1"/>
  <c r="GV54" i="1" s="1"/>
  <c r="GV55" i="1" s="1"/>
  <c r="GV56" i="1" s="1"/>
  <c r="GV57" i="1" s="1"/>
  <c r="GV58" i="1" s="1"/>
  <c r="GV60" i="1" s="1"/>
  <c r="GV61" i="1" s="1"/>
  <c r="GV62" i="1" s="1"/>
  <c r="GV63" i="1" s="1"/>
  <c r="GV64" i="1" s="1"/>
  <c r="GV65" i="1" s="1"/>
  <c r="GV66" i="1" s="1"/>
  <c r="GV67" i="1" s="1"/>
  <c r="GV68" i="1" s="1"/>
  <c r="GV74" i="1" s="1"/>
  <c r="GV75" i="1" s="1"/>
  <c r="GV76" i="1" s="1"/>
  <c r="GV77" i="1" s="1"/>
  <c r="GV78" i="1" s="1"/>
  <c r="GV79" i="1" s="1"/>
  <c r="GV80" i="1" s="1"/>
  <c r="GV81" i="1" s="1"/>
  <c r="GV82" i="1" s="1"/>
  <c r="GV84" i="1" s="1"/>
  <c r="GV85" i="1" s="1"/>
  <c r="GV86" i="1" s="1"/>
  <c r="GV87" i="1" s="1"/>
  <c r="GV88" i="1" s="1"/>
  <c r="GV89" i="1" s="1"/>
  <c r="GV90" i="1" s="1"/>
  <c r="GV91" i="1" s="1"/>
  <c r="GV92" i="1" s="1"/>
  <c r="M17" i="1"/>
  <c r="DN22" i="1"/>
  <c r="M18" i="1"/>
  <c r="L18" i="1"/>
  <c r="L19" i="1" s="1"/>
  <c r="L20" i="1" s="1"/>
  <c r="K22" i="1"/>
  <c r="K23" i="1" s="1"/>
  <c r="W35" i="1"/>
  <c r="X26" i="1"/>
  <c r="X27" i="1" s="1"/>
  <c r="X28" i="1" s="1"/>
  <c r="X29" i="1" s="1"/>
  <c r="X30" i="1" s="1"/>
  <c r="X31" i="1" s="1"/>
  <c r="X32" i="1" s="1"/>
  <c r="X33" i="1" s="1"/>
  <c r="X34" i="1" s="1"/>
  <c r="AP26" i="1"/>
  <c r="BW35" i="1"/>
  <c r="BW46" i="1" s="1"/>
  <c r="D16" i="3" s="1"/>
  <c r="FD35" i="1"/>
  <c r="FD46" i="1" s="1"/>
  <c r="G15" i="3" s="1"/>
  <c r="FE26" i="1"/>
  <c r="FE27" i="1" s="1"/>
  <c r="FE28" i="1" s="1"/>
  <c r="FE29" i="1" s="1"/>
  <c r="FE30" i="1" s="1"/>
  <c r="FE31" i="1" s="1"/>
  <c r="FE32" i="1" s="1"/>
  <c r="FE33" i="1" s="1"/>
  <c r="FE34" i="1" s="1"/>
  <c r="FE36" i="1" s="1"/>
  <c r="FE37" i="1" s="1"/>
  <c r="FE38" i="1" s="1"/>
  <c r="FE39" i="1" s="1"/>
  <c r="FE40" i="1" s="1"/>
  <c r="FE41" i="1" s="1"/>
  <c r="FE42" i="1" s="1"/>
  <c r="FE43" i="1" s="1"/>
  <c r="FE44" i="1" s="1"/>
  <c r="HY26" i="1"/>
  <c r="HY27" i="1" s="1"/>
  <c r="HY28" i="1" s="1"/>
  <c r="HY29" i="1" s="1"/>
  <c r="HY30" i="1" s="1"/>
  <c r="HY31" i="1" s="1"/>
  <c r="HY32" i="1" s="1"/>
  <c r="HY33" i="1" s="1"/>
  <c r="HY34" i="1" s="1"/>
  <c r="CM46" i="1"/>
  <c r="D26" i="3" s="1"/>
  <c r="CM35" i="1"/>
  <c r="EP27" i="1"/>
  <c r="EP28" i="1" s="1"/>
  <c r="EP29" i="1" s="1"/>
  <c r="EP30" i="1" s="1"/>
  <c r="FB28" i="1"/>
  <c r="DA31" i="1"/>
  <c r="DA32" i="1" s="1"/>
  <c r="DA33" i="1" s="1"/>
  <c r="DA34" i="1" s="1"/>
  <c r="DA36" i="1" s="1"/>
  <c r="DA37" i="1" s="1"/>
  <c r="DA38" i="1" s="1"/>
  <c r="DA39" i="1" s="1"/>
  <c r="DA40" i="1" s="1"/>
  <c r="DA41" i="1" s="1"/>
  <c r="DA42" i="1" s="1"/>
  <c r="DA43" i="1" s="1"/>
  <c r="DA44" i="1" s="1"/>
  <c r="EN32" i="1"/>
  <c r="EN33" i="1" s="1"/>
  <c r="EN34" i="1" s="1"/>
  <c r="EN36" i="1" s="1"/>
  <c r="EN37" i="1" s="1"/>
  <c r="EN38" i="1" s="1"/>
  <c r="EN39" i="1" s="1"/>
  <c r="EN40" i="1" s="1"/>
  <c r="EN41" i="1" s="1"/>
  <c r="EN42" i="1" s="1"/>
  <c r="EN43" i="1" s="1"/>
  <c r="EN44" i="1" s="1"/>
  <c r="AA46" i="1"/>
  <c r="B21" i="3" s="1"/>
  <c r="E11" i="3"/>
  <c r="CR46" i="1"/>
  <c r="E10" i="3" s="1"/>
  <c r="E23" i="3" s="1"/>
  <c r="U45" i="1"/>
  <c r="BY45" i="1"/>
  <c r="CY36" i="1"/>
  <c r="CY37" i="1" s="1"/>
  <c r="CY38" i="1" s="1"/>
  <c r="CY39" i="1" s="1"/>
  <c r="CY40" i="1" s="1"/>
  <c r="CY41" i="1" s="1"/>
  <c r="CY42" i="1" s="1"/>
  <c r="CY43" i="1" s="1"/>
  <c r="CY44" i="1" s="1"/>
  <c r="EO45" i="1"/>
  <c r="EO46" i="1" s="1"/>
  <c r="HP45" i="1"/>
  <c r="IO45" i="1"/>
  <c r="JP45" i="1"/>
  <c r="GX45" i="1"/>
  <c r="CV39" i="1"/>
  <c r="EC45" i="1"/>
  <c r="X20" i="1"/>
  <c r="X21" i="1" s="1"/>
  <c r="EK35" i="1"/>
  <c r="GQ35" i="1"/>
  <c r="JP35" i="1"/>
  <c r="JP46" i="1" s="1"/>
  <c r="JQ26" i="1"/>
  <c r="JQ27" i="1" s="1"/>
  <c r="JQ28" i="1" s="1"/>
  <c r="JQ29" i="1" s="1"/>
  <c r="JQ30" i="1" s="1"/>
  <c r="JQ31" i="1" s="1"/>
  <c r="JQ32" i="1" s="1"/>
  <c r="JQ33" i="1" s="1"/>
  <c r="JQ34" i="1" s="1"/>
  <c r="JQ36" i="1" s="1"/>
  <c r="JQ37" i="1" s="1"/>
  <c r="JQ38" i="1" s="1"/>
  <c r="JQ39" i="1" s="1"/>
  <c r="JQ40" i="1" s="1"/>
  <c r="JQ41" i="1" s="1"/>
  <c r="JQ42" i="1" s="1"/>
  <c r="JQ43" i="1" s="1"/>
  <c r="JQ44" i="1" s="1"/>
  <c r="KI35" i="1"/>
  <c r="KI46" i="1" s="1"/>
  <c r="IN27" i="1"/>
  <c r="IN28" i="1" s="1"/>
  <c r="IN29" i="1" s="1"/>
  <c r="IN30" i="1" s="1"/>
  <c r="IN31" i="1" s="1"/>
  <c r="IN32" i="1" s="1"/>
  <c r="IN33" i="1" s="1"/>
  <c r="IN34" i="1" s="1"/>
  <c r="IN36" i="1" s="1"/>
  <c r="IN37" i="1" s="1"/>
  <c r="IN38" i="1" s="1"/>
  <c r="IN39" i="1" s="1"/>
  <c r="IN40" i="1" s="1"/>
  <c r="IN41" i="1" s="1"/>
  <c r="IN42" i="1" s="1"/>
  <c r="IN43" i="1" s="1"/>
  <c r="IN44" i="1" s="1"/>
  <c r="GT28" i="1"/>
  <c r="GT29" i="1" s="1"/>
  <c r="GT30" i="1" s="1"/>
  <c r="IP29" i="1"/>
  <c r="IP30" i="1" s="1"/>
  <c r="IP31" i="1" s="1"/>
  <c r="IP32" i="1" s="1"/>
  <c r="IP33" i="1" s="1"/>
  <c r="IP34" i="1" s="1"/>
  <c r="IP36" i="1" s="1"/>
  <c r="IP37" i="1" s="1"/>
  <c r="IP38" i="1" s="1"/>
  <c r="IP39" i="1" s="1"/>
  <c r="IP40" i="1" s="1"/>
  <c r="IP41" i="1" s="1"/>
  <c r="IP42" i="1" s="1"/>
  <c r="V30" i="1"/>
  <c r="V31" i="1" s="1"/>
  <c r="V32" i="1" s="1"/>
  <c r="V33" i="1" s="1"/>
  <c r="V34" i="1" s="1"/>
  <c r="V36" i="1" s="1"/>
  <c r="V37" i="1" s="1"/>
  <c r="ED31" i="1"/>
  <c r="ED32" i="1" s="1"/>
  <c r="DF35" i="1"/>
  <c r="JR35" i="1"/>
  <c r="GS45" i="1"/>
  <c r="EJ37" i="1"/>
  <c r="EJ38" i="1" s="1"/>
  <c r="EJ39" i="1" s="1"/>
  <c r="EJ40" i="1" s="1"/>
  <c r="EJ41" i="1" s="1"/>
  <c r="EJ42" i="1" s="1"/>
  <c r="EJ43" i="1" s="1"/>
  <c r="EJ44" i="1" s="1"/>
  <c r="HX45" i="1"/>
  <c r="CV41" i="1"/>
  <c r="EK59" i="1"/>
  <c r="CV52" i="1"/>
  <c r="M19" i="1"/>
  <c r="HG21" i="1"/>
  <c r="HG26" i="1" s="1"/>
  <c r="HG27" i="1" s="1"/>
  <c r="HG28" i="1" s="1"/>
  <c r="HG29" i="1" s="1"/>
  <c r="HG30" i="1" s="1"/>
  <c r="HG31" i="1" s="1"/>
  <c r="HG32" i="1" s="1"/>
  <c r="HG33" i="1" s="1"/>
  <c r="HG34" i="1" s="1"/>
  <c r="HG36" i="1" s="1"/>
  <c r="HG37" i="1" s="1"/>
  <c r="HG38" i="1" s="1"/>
  <c r="HG39" i="1" s="1"/>
  <c r="HG40" i="1" s="1"/>
  <c r="HG41" i="1" s="1"/>
  <c r="HG42" i="1" s="1"/>
  <c r="HG43" i="1" s="1"/>
  <c r="HG44" i="1" s="1"/>
  <c r="HG50" i="1" s="1"/>
  <c r="HG51" i="1" s="1"/>
  <c r="HG52" i="1" s="1"/>
  <c r="HG53" i="1" s="1"/>
  <c r="HG54" i="1" s="1"/>
  <c r="HG55" i="1" s="1"/>
  <c r="HG56" i="1" s="1"/>
  <c r="HG57" i="1" s="1"/>
  <c r="HG58" i="1" s="1"/>
  <c r="HG60" i="1" s="1"/>
  <c r="HG61" i="1" s="1"/>
  <c r="HG62" i="1" s="1"/>
  <c r="HG63" i="1" s="1"/>
  <c r="HG64" i="1" s="1"/>
  <c r="HG65" i="1" s="1"/>
  <c r="HG66" i="1" s="1"/>
  <c r="HG67" i="1" s="1"/>
  <c r="HG68" i="1" s="1"/>
  <c r="HG74" i="1" s="1"/>
  <c r="HG75" i="1" s="1"/>
  <c r="HG76" i="1" s="1"/>
  <c r="HG77" i="1" s="1"/>
  <c r="HG78" i="1" s="1"/>
  <c r="HG79" i="1" s="1"/>
  <c r="HG80" i="1" s="1"/>
  <c r="HG81" i="1" s="1"/>
  <c r="HG82" i="1" s="1"/>
  <c r="HG84" i="1" s="1"/>
  <c r="HG85" i="1" s="1"/>
  <c r="HG86" i="1" s="1"/>
  <c r="HG87" i="1" s="1"/>
  <c r="HG88" i="1" s="1"/>
  <c r="HG89" i="1" s="1"/>
  <c r="HG90" i="1" s="1"/>
  <c r="HG91" i="1" s="1"/>
  <c r="HG92" i="1" s="1"/>
  <c r="HD23" i="1"/>
  <c r="GS35" i="1"/>
  <c r="GS46" i="1" s="1"/>
  <c r="H21" i="3" s="1"/>
  <c r="II35" i="1"/>
  <c r="IW35" i="1"/>
  <c r="CV28" i="1"/>
  <c r="JB28" i="1"/>
  <c r="CV29" i="1"/>
  <c r="AE46" i="1"/>
  <c r="B24" i="3" s="1"/>
  <c r="AE35" i="1"/>
  <c r="KC32" i="1"/>
  <c r="KC33" i="1"/>
  <c r="KC34" i="1" s="1"/>
  <c r="KC36" i="1" s="1"/>
  <c r="KC37" i="1" s="1"/>
  <c r="KC38" i="1" s="1"/>
  <c r="KC39" i="1" s="1"/>
  <c r="KC40" i="1" s="1"/>
  <c r="KC41" i="1" s="1"/>
  <c r="AU34" i="1"/>
  <c r="AU36" i="1" s="1"/>
  <c r="AU37" i="1" s="1"/>
  <c r="AU38" i="1" s="1"/>
  <c r="BX34" i="1"/>
  <c r="CL45" i="1"/>
  <c r="AB39" i="1"/>
  <c r="AB40" i="1" s="1"/>
  <c r="AB41" i="1" s="1"/>
  <c r="AB42" i="1" s="1"/>
  <c r="AB43" i="1" s="1"/>
  <c r="AB44" i="1" s="1"/>
  <c r="DC44" i="1"/>
  <c r="GJ18" i="1"/>
  <c r="GJ19" i="1" s="1"/>
  <c r="GJ20" i="1" s="1"/>
  <c r="GJ21" i="1" s="1"/>
  <c r="HU18" i="1"/>
  <c r="HU19" i="1" s="1"/>
  <c r="HU20" i="1" s="1"/>
  <c r="HU21" i="1" s="1"/>
  <c r="HU26" i="1" s="1"/>
  <c r="HU27" i="1" s="1"/>
  <c r="HU28" i="1" s="1"/>
  <c r="HU29" i="1" s="1"/>
  <c r="HU30" i="1" s="1"/>
  <c r="HU31" i="1" s="1"/>
  <c r="HU32" i="1" s="1"/>
  <c r="HU33" i="1" s="1"/>
  <c r="HU34" i="1" s="1"/>
  <c r="HU36" i="1" s="1"/>
  <c r="HU37" i="1" s="1"/>
  <c r="HU38" i="1" s="1"/>
  <c r="HU39" i="1" s="1"/>
  <c r="HU40" i="1" s="1"/>
  <c r="HU41" i="1" s="1"/>
  <c r="HU42" i="1" s="1"/>
  <c r="HU43" i="1" s="1"/>
  <c r="HU44" i="1" s="1"/>
  <c r="HU50" i="1" s="1"/>
  <c r="HU51" i="1" s="1"/>
  <c r="HU52" i="1" s="1"/>
  <c r="HU53" i="1" s="1"/>
  <c r="HU54" i="1" s="1"/>
  <c r="HU55" i="1" s="1"/>
  <c r="HU56" i="1" s="1"/>
  <c r="HU57" i="1" s="1"/>
  <c r="HU58" i="1" s="1"/>
  <c r="HU60" i="1" s="1"/>
  <c r="HU61" i="1" s="1"/>
  <c r="HU62" i="1" s="1"/>
  <c r="HU63" i="1" s="1"/>
  <c r="HU64" i="1" s="1"/>
  <c r="HU65" i="1" s="1"/>
  <c r="HU66" i="1" s="1"/>
  <c r="HU67" i="1" s="1"/>
  <c r="HU68" i="1" s="1"/>
  <c r="HU74" i="1" s="1"/>
  <c r="HU75" i="1" s="1"/>
  <c r="HU76" i="1" s="1"/>
  <c r="HU77" i="1" s="1"/>
  <c r="HU78" i="1" s="1"/>
  <c r="HU79" i="1" s="1"/>
  <c r="HU80" i="1" s="1"/>
  <c r="HU81" i="1" s="1"/>
  <c r="HU82" i="1" s="1"/>
  <c r="HU84" i="1" s="1"/>
  <c r="HU85" i="1" s="1"/>
  <c r="HU86" i="1" s="1"/>
  <c r="HU87" i="1" s="1"/>
  <c r="HU88" i="1" s="1"/>
  <c r="HU89" i="1" s="1"/>
  <c r="HU90" i="1" s="1"/>
  <c r="HU91" i="1" s="1"/>
  <c r="HU92" i="1" s="1"/>
  <c r="EJ21" i="1"/>
  <c r="BK35" i="1"/>
  <c r="BK46" i="1" s="1"/>
  <c r="C7" i="3" s="1"/>
  <c r="C8" i="3" s="1"/>
  <c r="CA35" i="1"/>
  <c r="CA46" i="1" s="1"/>
  <c r="D18" i="3" s="1"/>
  <c r="DY35" i="1"/>
  <c r="FJ35" i="1"/>
  <c r="FJ46" i="1" s="1"/>
  <c r="G18" i="3" s="1"/>
  <c r="GT26" i="1"/>
  <c r="GT27" i="1" s="1"/>
  <c r="JT35" i="1"/>
  <c r="JU26" i="1"/>
  <c r="JU27" i="1" s="1"/>
  <c r="JU28" i="1" s="1"/>
  <c r="JU29" i="1" s="1"/>
  <c r="JU30" i="1" s="1"/>
  <c r="JU31" i="1" s="1"/>
  <c r="JU32" i="1" s="1"/>
  <c r="JU33" i="1" s="1"/>
  <c r="JU34" i="1" s="1"/>
  <c r="JU36" i="1" s="1"/>
  <c r="BZ27" i="1"/>
  <c r="BZ28" i="1" s="1"/>
  <c r="BZ29" i="1" s="1"/>
  <c r="BZ30" i="1" s="1"/>
  <c r="BZ31" i="1" s="1"/>
  <c r="BZ32" i="1" s="1"/>
  <c r="FI28" i="1"/>
  <c r="FI29" i="1" s="1"/>
  <c r="FI30" i="1" s="1"/>
  <c r="FI31" i="1" s="1"/>
  <c r="FI32" i="1" s="1"/>
  <c r="FI33" i="1" s="1"/>
  <c r="FI34" i="1" s="1"/>
  <c r="FI36" i="1" s="1"/>
  <c r="FI37" i="1" s="1"/>
  <c r="FI38" i="1" s="1"/>
  <c r="FI39" i="1" s="1"/>
  <c r="FI40" i="1" s="1"/>
  <c r="FI41" i="1" s="1"/>
  <c r="FI42" i="1" s="1"/>
  <c r="GE28" i="1"/>
  <c r="EB30" i="1"/>
  <c r="EB31" i="1" s="1"/>
  <c r="EB32" i="1" s="1"/>
  <c r="EB33" i="1" s="1"/>
  <c r="EB34" i="1" s="1"/>
  <c r="EB36" i="1" s="1"/>
  <c r="EB37" i="1" s="1"/>
  <c r="EB38" i="1" s="1"/>
  <c r="CV33" i="1"/>
  <c r="FW35" i="1"/>
  <c r="FW46" i="1" s="1"/>
  <c r="G7" i="3" s="1"/>
  <c r="G8" i="3" s="1"/>
  <c r="HX35" i="1"/>
  <c r="HX46" i="1" s="1"/>
  <c r="DD45" i="1"/>
  <c r="Q45" i="1"/>
  <c r="HH39" i="1"/>
  <c r="BW59" i="1"/>
  <c r="BX50" i="1"/>
  <c r="BX51" i="1" s="1"/>
  <c r="BX55" i="1"/>
  <c r="BX56" i="1" s="1"/>
  <c r="BX57" i="1" s="1"/>
  <c r="BX58" i="1" s="1"/>
  <c r="BX60" i="1" s="1"/>
  <c r="BX61" i="1" s="1"/>
  <c r="BX62" i="1" s="1"/>
  <c r="BX63" i="1" s="1"/>
  <c r="BX64" i="1" s="1"/>
  <c r="BX65" i="1" s="1"/>
  <c r="BX66" i="1" s="1"/>
  <c r="BX67" i="1" s="1"/>
  <c r="BX68" i="1" s="1"/>
  <c r="BO23" i="1"/>
  <c r="K35" i="1"/>
  <c r="BQ35" i="1"/>
  <c r="BQ46" i="1" s="1"/>
  <c r="D13" i="3" s="1"/>
  <c r="IM35" i="1"/>
  <c r="IM46" i="1" s="1"/>
  <c r="BJ46" i="1"/>
  <c r="C26" i="3" s="1"/>
  <c r="JS27" i="1"/>
  <c r="JS28" i="1" s="1"/>
  <c r="KH46" i="1"/>
  <c r="KH35" i="1"/>
  <c r="R28" i="1"/>
  <c r="R29" i="1" s="1"/>
  <c r="R30" i="1" s="1"/>
  <c r="R31" i="1" s="1"/>
  <c r="R32" i="1" s="1"/>
  <c r="R33" i="1" s="1"/>
  <c r="R34" i="1" s="1"/>
  <c r="R36" i="1" s="1"/>
  <c r="R37" i="1" s="1"/>
  <c r="R38" i="1" s="1"/>
  <c r="R39" i="1" s="1"/>
  <c r="R40" i="1" s="1"/>
  <c r="R41" i="1" s="1"/>
  <c r="R42" i="1" s="1"/>
  <c r="R43" i="1" s="1"/>
  <c r="R44" i="1" s="1"/>
  <c r="JS29" i="1"/>
  <c r="JS30" i="1" s="1"/>
  <c r="JS31" i="1" s="1"/>
  <c r="BE32" i="1"/>
  <c r="BE33" i="1" s="1"/>
  <c r="BE34" i="1" s="1"/>
  <c r="BE36" i="1" s="1"/>
  <c r="BE37" i="1" s="1"/>
  <c r="BE38" i="1" s="1"/>
  <c r="BE39" i="1" s="1"/>
  <c r="BE40" i="1" s="1"/>
  <c r="BE41" i="1" s="1"/>
  <c r="BE42" i="1" s="1"/>
  <c r="BE43" i="1" s="1"/>
  <c r="BE44" i="1" s="1"/>
  <c r="CV32" i="1"/>
  <c r="BZ33" i="1"/>
  <c r="BZ34" i="1" s="1"/>
  <c r="BZ36" i="1" s="1"/>
  <c r="BZ37" i="1" s="1"/>
  <c r="BZ38" i="1" s="1"/>
  <c r="BZ39" i="1" s="1"/>
  <c r="BZ40" i="1" s="1"/>
  <c r="BZ41" i="1" s="1"/>
  <c r="BZ42" i="1" s="1"/>
  <c r="BZ43" i="1" s="1"/>
  <c r="BZ44" i="1" s="1"/>
  <c r="ED33" i="1"/>
  <c r="ED34" i="1" s="1"/>
  <c r="ED36" i="1" s="1"/>
  <c r="ED37" i="1" s="1"/>
  <c r="ED38" i="1" s="1"/>
  <c r="ED39" i="1" s="1"/>
  <c r="ED40" i="1" s="1"/>
  <c r="ED41" i="1" s="1"/>
  <c r="ED42" i="1" s="1"/>
  <c r="ED43" i="1" s="1"/>
  <c r="ED44" i="1" s="1"/>
  <c r="GE45" i="1"/>
  <c r="HR45" i="1"/>
  <c r="HR46" i="1" s="1"/>
  <c r="I19" i="3" s="1"/>
  <c r="JN36" i="1"/>
  <c r="JL45" i="1"/>
  <c r="IR38" i="1"/>
  <c r="BS40" i="1"/>
  <c r="BU59" i="1"/>
  <c r="BV50" i="1"/>
  <c r="BV51" i="1" s="1"/>
  <c r="BV52" i="1" s="1"/>
  <c r="BV53" i="1" s="1"/>
  <c r="BV54" i="1" s="1"/>
  <c r="BV55" i="1" s="1"/>
  <c r="BV56" i="1" s="1"/>
  <c r="BV57" i="1" s="1"/>
  <c r="BV58" i="1" s="1"/>
  <c r="BV60" i="1" s="1"/>
  <c r="BV61" i="1" s="1"/>
  <c r="BV62" i="1" s="1"/>
  <c r="BV63" i="1" s="1"/>
  <c r="BV64" i="1" s="1"/>
  <c r="BV65" i="1" s="1"/>
  <c r="BV66" i="1" s="1"/>
  <c r="BV67" i="1" s="1"/>
  <c r="BV68" i="1" s="1"/>
  <c r="DO70" i="1"/>
  <c r="E25" i="5" s="1"/>
  <c r="DO59" i="1"/>
  <c r="KA53" i="1"/>
  <c r="KA54" i="1" s="1"/>
  <c r="KA55" i="1" s="1"/>
  <c r="KA56" i="1" s="1"/>
  <c r="KA57" i="1" s="1"/>
  <c r="KA58" i="1" s="1"/>
  <c r="KA60" i="1" s="1"/>
  <c r="KA61" i="1" s="1"/>
  <c r="AR35" i="1"/>
  <c r="AR46" i="1" s="1"/>
  <c r="C15" i="3" s="1"/>
  <c r="BD35" i="1"/>
  <c r="BD46" i="1" s="1"/>
  <c r="C21" i="3" s="1"/>
  <c r="CX46" i="1"/>
  <c r="E15" i="3" s="1"/>
  <c r="EA35" i="1"/>
  <c r="EA46" i="1" s="1"/>
  <c r="F15" i="3" s="1"/>
  <c r="GU35" i="1"/>
  <c r="HL35" i="1"/>
  <c r="IB46" i="1"/>
  <c r="I26" i="3" s="1"/>
  <c r="CH29" i="1"/>
  <c r="CH30" i="1" s="1"/>
  <c r="CH31" i="1" s="1"/>
  <c r="CH32" i="1" s="1"/>
  <c r="CH33" i="1" s="1"/>
  <c r="CH34" i="1" s="1"/>
  <c r="CH36" i="1" s="1"/>
  <c r="CH37" i="1" s="1"/>
  <c r="CH38" i="1" s="1"/>
  <c r="CH39" i="1" s="1"/>
  <c r="CH40" i="1" s="1"/>
  <c r="CH41" i="1" s="1"/>
  <c r="CH42" i="1" s="1"/>
  <c r="CH43" i="1" s="1"/>
  <c r="CH44" i="1" s="1"/>
  <c r="FM29" i="1"/>
  <c r="FM30" i="1" s="1"/>
  <c r="FM31" i="1" s="1"/>
  <c r="FM32" i="1" s="1"/>
  <c r="FM33" i="1" s="1"/>
  <c r="FM34" i="1" s="1"/>
  <c r="FM36" i="1" s="1"/>
  <c r="FM37" i="1" s="1"/>
  <c r="FM38" i="1" s="1"/>
  <c r="FM39" i="1" s="1"/>
  <c r="FM40" i="1" s="1"/>
  <c r="FM41" i="1" s="1"/>
  <c r="FM42" i="1" s="1"/>
  <c r="FM43" i="1" s="1"/>
  <c r="FM44" i="1" s="1"/>
  <c r="BL31" i="1"/>
  <c r="BH46" i="1"/>
  <c r="C24" i="3" s="1"/>
  <c r="BH35" i="1"/>
  <c r="FT46" i="1"/>
  <c r="G24" i="3" s="1"/>
  <c r="FT35" i="1"/>
  <c r="GP32" i="1"/>
  <c r="GP33" i="1" s="1"/>
  <c r="GP34" i="1" s="1"/>
  <c r="GP36" i="1" s="1"/>
  <c r="GP37" i="1" s="1"/>
  <c r="GP38" i="1" s="1"/>
  <c r="GP39" i="1" s="1"/>
  <c r="GP40" i="1" s="1"/>
  <c r="GP41" i="1" s="1"/>
  <c r="GP42" i="1" s="1"/>
  <c r="GP43" i="1" s="1"/>
  <c r="GP44" i="1" s="1"/>
  <c r="HZ46" i="1"/>
  <c r="I24" i="3" s="1"/>
  <c r="HZ35" i="1"/>
  <c r="HK33" i="1"/>
  <c r="C4" i="3"/>
  <c r="AJ46" i="1"/>
  <c r="C3" i="3" s="1"/>
  <c r="C6" i="3" s="1"/>
  <c r="KD35" i="1"/>
  <c r="W45" i="1"/>
  <c r="X36" i="1"/>
  <c r="AT45" i="1"/>
  <c r="CI45" i="1"/>
  <c r="GK45" i="1"/>
  <c r="IS45" i="1"/>
  <c r="KI45" i="1"/>
  <c r="DY39" i="1"/>
  <c r="HM39" i="1"/>
  <c r="HM40" i="1"/>
  <c r="HM41" i="1" s="1"/>
  <c r="HM42" i="1" s="1"/>
  <c r="HM43" i="1" s="1"/>
  <c r="HM44" i="1" s="1"/>
  <c r="DY41" i="1"/>
  <c r="BW69" i="1"/>
  <c r="GE62" i="1"/>
  <c r="CI35" i="1"/>
  <c r="CI46" i="1" s="1"/>
  <c r="D22" i="3" s="1"/>
  <c r="FF35" i="1"/>
  <c r="FF46" i="1" s="1"/>
  <c r="G16" i="3" s="1"/>
  <c r="FR35" i="1"/>
  <c r="IA46" i="1"/>
  <c r="I25" i="3" s="1"/>
  <c r="IA35" i="1"/>
  <c r="JF35" i="1"/>
  <c r="HO27" i="1"/>
  <c r="HO28" i="1" s="1"/>
  <c r="HO29" i="1" s="1"/>
  <c r="HO30" i="1" s="1"/>
  <c r="HO31" i="1" s="1"/>
  <c r="HO32" i="1" s="1"/>
  <c r="HO33" i="1" s="1"/>
  <c r="HO34" i="1" s="1"/>
  <c r="HO36" i="1" s="1"/>
  <c r="HO37" i="1" s="1"/>
  <c r="HO38" i="1" s="1"/>
  <c r="HO39" i="1" s="1"/>
  <c r="HO40" i="1" s="1"/>
  <c r="HO41" i="1" s="1"/>
  <c r="HO42" i="1" s="1"/>
  <c r="HO43" i="1" s="1"/>
  <c r="HO44" i="1" s="1"/>
  <c r="IT28" i="1"/>
  <c r="IT29" i="1" s="1"/>
  <c r="IT30" i="1" s="1"/>
  <c r="IT31" i="1" s="1"/>
  <c r="IT32" i="1" s="1"/>
  <c r="IT33" i="1" s="1"/>
  <c r="IT34" i="1" s="1"/>
  <c r="IT36" i="1" s="1"/>
  <c r="IT37" i="1" s="1"/>
  <c r="IT38" i="1" s="1"/>
  <c r="IT39" i="1" s="1"/>
  <c r="IT40" i="1" s="1"/>
  <c r="IT41" i="1" s="1"/>
  <c r="IT42" i="1" s="1"/>
  <c r="IT43" i="1" s="1"/>
  <c r="IT44" i="1" s="1"/>
  <c r="BL32" i="1"/>
  <c r="BL33" i="1" s="1"/>
  <c r="BL34" i="1" s="1"/>
  <c r="BL36" i="1" s="1"/>
  <c r="BL37" i="1" s="1"/>
  <c r="BL38" i="1" s="1"/>
  <c r="BL39" i="1" s="1"/>
  <c r="BL40" i="1" s="1"/>
  <c r="BL41" i="1" s="1"/>
  <c r="BL42" i="1" s="1"/>
  <c r="BL43" i="1" s="1"/>
  <c r="BL44" i="1" s="1"/>
  <c r="BL50" i="1" s="1"/>
  <c r="BL51" i="1" s="1"/>
  <c r="BL52" i="1" s="1"/>
  <c r="BL53" i="1" s="1"/>
  <c r="BL54" i="1" s="1"/>
  <c r="BL55" i="1" s="1"/>
  <c r="BL56" i="1" s="1"/>
  <c r="BL57" i="1" s="1"/>
  <c r="BL58" i="1" s="1"/>
  <c r="BL60" i="1" s="1"/>
  <c r="BL61" i="1" s="1"/>
  <c r="BL62" i="1" s="1"/>
  <c r="BL63" i="1" s="1"/>
  <c r="BL64" i="1" s="1"/>
  <c r="BL65" i="1" s="1"/>
  <c r="BL66" i="1" s="1"/>
  <c r="BL67" i="1" s="1"/>
  <c r="BL68" i="1" s="1"/>
  <c r="BL74" i="1" s="1"/>
  <c r="BL75" i="1" s="1"/>
  <c r="BL76" i="1" s="1"/>
  <c r="BL77" i="1" s="1"/>
  <c r="BL78" i="1" s="1"/>
  <c r="BL79" i="1" s="1"/>
  <c r="BL80" i="1" s="1"/>
  <c r="BL81" i="1" s="1"/>
  <c r="BL82" i="1" s="1"/>
  <c r="BL84" i="1" s="1"/>
  <c r="BL85" i="1" s="1"/>
  <c r="BL86" i="1" s="1"/>
  <c r="BL87" i="1" s="1"/>
  <c r="BL88" i="1" s="1"/>
  <c r="BL89" i="1" s="1"/>
  <c r="BL90" i="1" s="1"/>
  <c r="BL91" i="1" s="1"/>
  <c r="BL92" i="1" s="1"/>
  <c r="IX32" i="1"/>
  <c r="IX33" i="1" s="1"/>
  <c r="JS32" i="1"/>
  <c r="JS33" i="1" s="1"/>
  <c r="JS34" i="1" s="1"/>
  <c r="JS36" i="1" s="1"/>
  <c r="JS37" i="1" s="1"/>
  <c r="JS38" i="1" s="1"/>
  <c r="JS39" i="1" s="1"/>
  <c r="JS40" i="1" s="1"/>
  <c r="JS41" i="1" s="1"/>
  <c r="JS42" i="1" s="1"/>
  <c r="JS43" i="1" s="1"/>
  <c r="JS44" i="1" s="1"/>
  <c r="C11" i="3"/>
  <c r="AL46" i="1"/>
  <c r="C10" i="3" s="1"/>
  <c r="C23" i="3" s="1"/>
  <c r="CG35" i="1"/>
  <c r="CG46" i="1" s="1"/>
  <c r="GY35" i="1"/>
  <c r="IS35" i="1"/>
  <c r="Y45" i="1"/>
  <c r="ET45" i="1"/>
  <c r="HY36" i="1"/>
  <c r="HY37" i="1" s="1"/>
  <c r="HY38" i="1" s="1"/>
  <c r="HY39" i="1" s="1"/>
  <c r="HY40" i="1" s="1"/>
  <c r="HY41" i="1" s="1"/>
  <c r="HY42" i="1" s="1"/>
  <c r="HY43" i="1" s="1"/>
  <c r="HY44" i="1" s="1"/>
  <c r="HY50" i="1" s="1"/>
  <c r="HY51" i="1" s="1"/>
  <c r="HY52" i="1" s="1"/>
  <c r="HY53" i="1" s="1"/>
  <c r="HY54" i="1" s="1"/>
  <c r="HY55" i="1" s="1"/>
  <c r="HY56" i="1" s="1"/>
  <c r="HY57" i="1" s="1"/>
  <c r="HY58" i="1" s="1"/>
  <c r="HY60" i="1" s="1"/>
  <c r="HY61" i="1" s="1"/>
  <c r="HY62" i="1" s="1"/>
  <c r="HY63" i="1" s="1"/>
  <c r="HY64" i="1" s="1"/>
  <c r="HY65" i="1" s="1"/>
  <c r="HY66" i="1" s="1"/>
  <c r="HY67" i="1" s="1"/>
  <c r="HY68" i="1" s="1"/>
  <c r="HY74" i="1" s="1"/>
  <c r="HY75" i="1" s="1"/>
  <c r="HY76" i="1" s="1"/>
  <c r="HY77" i="1" s="1"/>
  <c r="HY78" i="1" s="1"/>
  <c r="HY79" i="1" s="1"/>
  <c r="HY80" i="1" s="1"/>
  <c r="HY81" i="1" s="1"/>
  <c r="HY82" i="1" s="1"/>
  <c r="HY84" i="1" s="1"/>
  <c r="HY85" i="1" s="1"/>
  <c r="HY86" i="1" s="1"/>
  <c r="HY87" i="1" s="1"/>
  <c r="HY88" i="1" s="1"/>
  <c r="HY89" i="1" s="1"/>
  <c r="HY90" i="1" s="1"/>
  <c r="HY91" i="1" s="1"/>
  <c r="HY92" i="1" s="1"/>
  <c r="AB37" i="1"/>
  <c r="AB38" i="1" s="1"/>
  <c r="FO40" i="1"/>
  <c r="FO41" i="1" s="1"/>
  <c r="FO42" i="1" s="1"/>
  <c r="FO43" i="1" s="1"/>
  <c r="FO44" i="1" s="1"/>
  <c r="FO50" i="1" s="1"/>
  <c r="GM59" i="1"/>
  <c r="GN50" i="1"/>
  <c r="GN51" i="1" s="1"/>
  <c r="IO69" i="1"/>
  <c r="AT35" i="1"/>
  <c r="BF35" i="1"/>
  <c r="BF46" i="1" s="1"/>
  <c r="C22" i="3" s="1"/>
  <c r="CZ35" i="1"/>
  <c r="CZ46" i="1" s="1"/>
  <c r="E16" i="3" s="1"/>
  <c r="DL35" i="1"/>
  <c r="DL46" i="1" s="1"/>
  <c r="E22" i="3" s="1"/>
  <c r="GX46" i="1"/>
  <c r="H25" i="3" s="1"/>
  <c r="HN35" i="1"/>
  <c r="HN46" i="1" s="1"/>
  <c r="HO26" i="1"/>
  <c r="HA27" i="1"/>
  <c r="HA28" i="1" s="1"/>
  <c r="HA29" i="1" s="1"/>
  <c r="HA30" i="1" s="1"/>
  <c r="HA31" i="1" s="1"/>
  <c r="HA32" i="1" s="1"/>
  <c r="HA33" i="1" s="1"/>
  <c r="HA34" i="1" s="1"/>
  <c r="HA36" i="1" s="1"/>
  <c r="HA37" i="1" s="1"/>
  <c r="HA38" i="1" s="1"/>
  <c r="HA39" i="1" s="1"/>
  <c r="HA40" i="1" s="1"/>
  <c r="HA41" i="1" s="1"/>
  <c r="HA42" i="1" s="1"/>
  <c r="HA43" i="1" s="1"/>
  <c r="HA44" i="1" s="1"/>
  <c r="HA50" i="1" s="1"/>
  <c r="HA51" i="1" s="1"/>
  <c r="HA52" i="1" s="1"/>
  <c r="HA53" i="1" s="1"/>
  <c r="HA54" i="1" s="1"/>
  <c r="HA55" i="1" s="1"/>
  <c r="HA56" i="1" s="1"/>
  <c r="HA57" i="1" s="1"/>
  <c r="HA58" i="1" s="1"/>
  <c r="HA60" i="1" s="1"/>
  <c r="HA61" i="1" s="1"/>
  <c r="HA62" i="1" s="1"/>
  <c r="HA63" i="1" s="1"/>
  <c r="HA64" i="1" s="1"/>
  <c r="HA65" i="1" s="1"/>
  <c r="HA66" i="1" s="1"/>
  <c r="HA67" i="1" s="1"/>
  <c r="HA68" i="1" s="1"/>
  <c r="HA74" i="1" s="1"/>
  <c r="HA75" i="1" s="1"/>
  <c r="HA76" i="1" s="1"/>
  <c r="HA77" i="1" s="1"/>
  <c r="HA78" i="1" s="1"/>
  <c r="HA79" i="1" s="1"/>
  <c r="HA80" i="1" s="1"/>
  <c r="HA81" i="1" s="1"/>
  <c r="HA82" i="1" s="1"/>
  <c r="HA84" i="1" s="1"/>
  <c r="HA85" i="1" s="1"/>
  <c r="HA86" i="1" s="1"/>
  <c r="HA87" i="1" s="1"/>
  <c r="HA88" i="1" s="1"/>
  <c r="HA89" i="1" s="1"/>
  <c r="HA90" i="1" s="1"/>
  <c r="HA91" i="1" s="1"/>
  <c r="HA92" i="1" s="1"/>
  <c r="IT27" i="1"/>
  <c r="BE29" i="1"/>
  <c r="BE30" i="1"/>
  <c r="BE31" i="1" s="1"/>
  <c r="GT31" i="1"/>
  <c r="GT32" i="1" s="1"/>
  <c r="GT33" i="1" s="1"/>
  <c r="GT34" i="1" s="1"/>
  <c r="GT36" i="1" s="1"/>
  <c r="IZ33" i="1"/>
  <c r="IZ34" i="1" s="1"/>
  <c r="IZ36" i="1" s="1"/>
  <c r="IZ37" i="1" s="1"/>
  <c r="IZ38" i="1" s="1"/>
  <c r="IZ39" i="1" s="1"/>
  <c r="IZ40" i="1" s="1"/>
  <c r="IZ41" i="1" s="1"/>
  <c r="IZ42" i="1" s="1"/>
  <c r="IZ43" i="1" s="1"/>
  <c r="IZ44" i="1" s="1"/>
  <c r="IV34" i="1"/>
  <c r="AV45" i="1"/>
  <c r="AV46" i="1" s="1"/>
  <c r="C17" i="3" s="1"/>
  <c r="BU45" i="1"/>
  <c r="EA45" i="1"/>
  <c r="GM45" i="1"/>
  <c r="GM46" i="1" s="1"/>
  <c r="H18" i="3" s="1"/>
  <c r="GN36" i="1"/>
  <c r="GN37" i="1" s="1"/>
  <c r="GN38" i="1" s="1"/>
  <c r="GN39" i="1" s="1"/>
  <c r="GN40" i="1" s="1"/>
  <c r="IU45" i="1"/>
  <c r="IV36" i="1"/>
  <c r="IV37" i="1" s="1"/>
  <c r="IV38" i="1" s="1"/>
  <c r="IV39" i="1" s="1"/>
  <c r="IV40" i="1" s="1"/>
  <c r="IV41" i="1" s="1"/>
  <c r="IV42" i="1" s="1"/>
  <c r="IV43" i="1" s="1"/>
  <c r="IV44" i="1" s="1"/>
  <c r="JT45" i="1"/>
  <c r="HM38" i="1"/>
  <c r="EB39" i="1"/>
  <c r="EB40" i="1" s="1"/>
  <c r="EB41" i="1" s="1"/>
  <c r="EB42" i="1" s="1"/>
  <c r="EB43" i="1" s="1"/>
  <c r="EB44" i="1" s="1"/>
  <c r="FB39" i="1"/>
  <c r="GO59" i="1"/>
  <c r="GO70" i="1" s="1"/>
  <c r="H19" i="5" s="1"/>
  <c r="GP50" i="1"/>
  <c r="GP51" i="1" s="1"/>
  <c r="GP52" i="1" s="1"/>
  <c r="GP53" i="1" s="1"/>
  <c r="GE51" i="1"/>
  <c r="AF46" i="1"/>
  <c r="B25" i="3" s="1"/>
  <c r="AF35" i="1"/>
  <c r="CL46" i="1"/>
  <c r="D25" i="3" s="1"/>
  <c r="ER46" i="1"/>
  <c r="F25" i="3" s="1"/>
  <c r="ER35" i="1"/>
  <c r="FH46" i="1"/>
  <c r="FU46" i="1"/>
  <c r="G25" i="3" s="1"/>
  <c r="FU35" i="1"/>
  <c r="GZ35" i="1"/>
  <c r="HP35" i="1"/>
  <c r="HP46" i="1" s="1"/>
  <c r="I18" i="3" s="1"/>
  <c r="JX35" i="1"/>
  <c r="JX46" i="1" s="1"/>
  <c r="FV46" i="1"/>
  <c r="G26" i="3" s="1"/>
  <c r="FV35" i="1"/>
  <c r="FB29" i="1"/>
  <c r="FB30" i="1"/>
  <c r="DK34" i="1"/>
  <c r="DK36" i="1" s="1"/>
  <c r="DK37" i="1" s="1"/>
  <c r="EF34" i="1"/>
  <c r="HK34" i="1"/>
  <c r="HK36" i="1" s="1"/>
  <c r="HK37" i="1" s="1"/>
  <c r="HK38" i="1" s="1"/>
  <c r="HK39" i="1" s="1"/>
  <c r="HK40" i="1" s="1"/>
  <c r="HK41" i="1" s="1"/>
  <c r="HK42" i="1" s="1"/>
  <c r="HK43" i="1" s="1"/>
  <c r="HK44" i="1" s="1"/>
  <c r="CL35" i="1"/>
  <c r="I11" i="3"/>
  <c r="HD46" i="1"/>
  <c r="I10" i="3" s="1"/>
  <c r="I23" i="3" s="1"/>
  <c r="EZ45" i="1"/>
  <c r="IW45" i="1"/>
  <c r="JU37" i="1"/>
  <c r="JU38" i="1" s="1"/>
  <c r="JU39" i="1" s="1"/>
  <c r="JU40" i="1" s="1"/>
  <c r="JU41" i="1" s="1"/>
  <c r="JU42" i="1" s="1"/>
  <c r="JU43" i="1" s="1"/>
  <c r="JU44" i="1" s="1"/>
  <c r="DK38" i="1"/>
  <c r="DK39" i="1" s="1"/>
  <c r="DK40" i="1" s="1"/>
  <c r="DK41" i="1" s="1"/>
  <c r="DK42" i="1" s="1"/>
  <c r="DK43" i="1" s="1"/>
  <c r="DK44" i="1" s="1"/>
  <c r="EH38" i="1"/>
  <c r="EH39" i="1" s="1"/>
  <c r="EH40" i="1" s="1"/>
  <c r="EH41" i="1" s="1"/>
  <c r="EH42" i="1" s="1"/>
  <c r="CB41" i="1"/>
  <c r="CB42" i="1" s="1"/>
  <c r="CB43" i="1" s="1"/>
  <c r="CB44" i="1" s="1"/>
  <c r="FR59" i="1"/>
  <c r="FR70" i="1" s="1"/>
  <c r="G22" i="5" s="1"/>
  <c r="GQ59" i="1"/>
  <c r="HP59" i="1"/>
  <c r="HP70" i="1" s="1"/>
  <c r="I18" i="5" s="1"/>
  <c r="HQ50" i="1"/>
  <c r="HQ51" i="1" s="1"/>
  <c r="HQ52" i="1" s="1"/>
  <c r="FE53" i="1"/>
  <c r="FE54" i="1" s="1"/>
  <c r="S35" i="1"/>
  <c r="S46" i="1" s="1"/>
  <c r="B17" i="3" s="1"/>
  <c r="AH35" i="1"/>
  <c r="BI46" i="1"/>
  <c r="C25" i="3" s="1"/>
  <c r="BY35" i="1"/>
  <c r="CN35" i="1"/>
  <c r="CN46" i="1" s="1"/>
  <c r="D7" i="3" s="1"/>
  <c r="D8" i="3" s="1"/>
  <c r="DB35" i="1"/>
  <c r="DB46" i="1" s="1"/>
  <c r="E17" i="3" s="1"/>
  <c r="DO46" i="1"/>
  <c r="E25" i="3" s="1"/>
  <c r="ET35" i="1"/>
  <c r="FI26" i="1"/>
  <c r="FI27" i="1" s="1"/>
  <c r="HQ26" i="1"/>
  <c r="HQ27" i="1" s="1"/>
  <c r="HQ28" i="1" s="1"/>
  <c r="HQ29" i="1" s="1"/>
  <c r="HQ30" i="1" s="1"/>
  <c r="HQ31" i="1" s="1"/>
  <c r="HQ32" i="1" s="1"/>
  <c r="HQ33" i="1" s="1"/>
  <c r="HQ34" i="1" s="1"/>
  <c r="HQ36" i="1" s="1"/>
  <c r="HQ37" i="1" s="1"/>
  <c r="HQ38" i="1" s="1"/>
  <c r="HQ39" i="1" s="1"/>
  <c r="HQ40" i="1" s="1"/>
  <c r="HQ41" i="1" s="1"/>
  <c r="HQ42" i="1" s="1"/>
  <c r="HQ43" i="1" s="1"/>
  <c r="HQ44" i="1" s="1"/>
  <c r="JL35" i="1"/>
  <c r="JY26" i="1"/>
  <c r="JY27" i="1" s="1"/>
  <c r="JY28" i="1" s="1"/>
  <c r="JY29" i="1" s="1"/>
  <c r="JY30" i="1" s="1"/>
  <c r="JY31" i="1" s="1"/>
  <c r="JY32" i="1" s="1"/>
  <c r="JY33" i="1" s="1"/>
  <c r="JY34" i="1" s="1"/>
  <c r="JY36" i="1" s="1"/>
  <c r="JY37" i="1" s="1"/>
  <c r="JY38" i="1" s="1"/>
  <c r="JY39" i="1" s="1"/>
  <c r="JY40" i="1" s="1"/>
  <c r="JY41" i="1" s="1"/>
  <c r="JY42" i="1" s="1"/>
  <c r="JY43" i="1" s="1"/>
  <c r="JY44" i="1" s="1"/>
  <c r="BC27" i="1"/>
  <c r="BC28" i="1" s="1"/>
  <c r="BC29" i="1" s="1"/>
  <c r="BC30" i="1" s="1"/>
  <c r="BC31" i="1" s="1"/>
  <c r="BC32" i="1" s="1"/>
  <c r="BC33" i="1" s="1"/>
  <c r="BC34" i="1" s="1"/>
  <c r="BC36" i="1" s="1"/>
  <c r="BC37" i="1" s="1"/>
  <c r="BC38" i="1" s="1"/>
  <c r="BC39" i="1" s="1"/>
  <c r="BC40" i="1" s="1"/>
  <c r="BC41" i="1" s="1"/>
  <c r="BC42" i="1" s="1"/>
  <c r="BC43" i="1" s="1"/>
  <c r="BC44" i="1" s="1"/>
  <c r="BC50" i="1" s="1"/>
  <c r="BC51" i="1" s="1"/>
  <c r="BC52" i="1" s="1"/>
  <c r="BC53" i="1" s="1"/>
  <c r="BC54" i="1" s="1"/>
  <c r="BC55" i="1" s="1"/>
  <c r="BC56" i="1" s="1"/>
  <c r="BC57" i="1" s="1"/>
  <c r="BC58" i="1" s="1"/>
  <c r="BC60" i="1" s="1"/>
  <c r="BC61" i="1" s="1"/>
  <c r="BC62" i="1" s="1"/>
  <c r="BC63" i="1" s="1"/>
  <c r="BC64" i="1" s="1"/>
  <c r="BC65" i="1" s="1"/>
  <c r="BC66" i="1" s="1"/>
  <c r="BC67" i="1" s="1"/>
  <c r="BC68" i="1" s="1"/>
  <c r="BC74" i="1" s="1"/>
  <c r="BC75" i="1" s="1"/>
  <c r="BC76" i="1" s="1"/>
  <c r="BC77" i="1" s="1"/>
  <c r="BC78" i="1" s="1"/>
  <c r="BC79" i="1" s="1"/>
  <c r="BC80" i="1" s="1"/>
  <c r="BC81" i="1" s="1"/>
  <c r="BC82" i="1" s="1"/>
  <c r="BC84" i="1" s="1"/>
  <c r="BC85" i="1" s="1"/>
  <c r="BC86" i="1" s="1"/>
  <c r="BC87" i="1" s="1"/>
  <c r="BC88" i="1" s="1"/>
  <c r="BC89" i="1" s="1"/>
  <c r="BC90" i="1" s="1"/>
  <c r="BC91" i="1" s="1"/>
  <c r="BC92" i="1" s="1"/>
  <c r="BV28" i="1"/>
  <c r="BV29" i="1" s="1"/>
  <c r="BV30" i="1" s="1"/>
  <c r="BV31" i="1" s="1"/>
  <c r="BV32" i="1" s="1"/>
  <c r="BV33" i="1" s="1"/>
  <c r="BV34" i="1" s="1"/>
  <c r="BV36" i="1" s="1"/>
  <c r="BV37" i="1" s="1"/>
  <c r="BV38" i="1" s="1"/>
  <c r="BV39" i="1" s="1"/>
  <c r="BV40" i="1" s="1"/>
  <c r="BV41" i="1" s="1"/>
  <c r="BV42" i="1" s="1"/>
  <c r="BV43" i="1" s="1"/>
  <c r="BV44" i="1" s="1"/>
  <c r="DG31" i="1"/>
  <c r="DG32" i="1" s="1"/>
  <c r="DG33" i="1" s="1"/>
  <c r="EP31" i="1"/>
  <c r="EP32" i="1" s="1"/>
  <c r="EP33" i="1" s="1"/>
  <c r="EP34" i="1" s="1"/>
  <c r="EP36" i="1" s="1"/>
  <c r="EP37" i="1" s="1"/>
  <c r="FK31" i="1"/>
  <c r="FK32" i="1" s="1"/>
  <c r="FK33" i="1" s="1"/>
  <c r="FK34" i="1" s="1"/>
  <c r="FK36" i="1" s="1"/>
  <c r="FK37" i="1" s="1"/>
  <c r="FK38" i="1" s="1"/>
  <c r="FK39" i="1" s="1"/>
  <c r="FK40" i="1" s="1"/>
  <c r="FK41" i="1" s="1"/>
  <c r="FK42" i="1" s="1"/>
  <c r="FK43" i="1" s="1"/>
  <c r="FK44" i="1" s="1"/>
  <c r="GD33" i="1"/>
  <c r="GD34" i="1" s="1"/>
  <c r="GD36" i="1" s="1"/>
  <c r="GD37" i="1" s="1"/>
  <c r="GD38" i="1" s="1"/>
  <c r="GD39" i="1" s="1"/>
  <c r="GD40" i="1" s="1"/>
  <c r="GD41" i="1" s="1"/>
  <c r="GD42" i="1" s="1"/>
  <c r="GD43" i="1" s="1"/>
  <c r="GD44" i="1" s="1"/>
  <c r="GD50" i="1" s="1"/>
  <c r="GD51" i="1" s="1"/>
  <c r="GD52" i="1" s="1"/>
  <c r="GD53" i="1" s="1"/>
  <c r="GD54" i="1" s="1"/>
  <c r="GD55" i="1" s="1"/>
  <c r="GD56" i="1" s="1"/>
  <c r="GD57" i="1" s="1"/>
  <c r="GD58" i="1" s="1"/>
  <c r="GD60" i="1" s="1"/>
  <c r="GD61" i="1" s="1"/>
  <c r="GD62" i="1" s="1"/>
  <c r="GD63" i="1" s="1"/>
  <c r="GD64" i="1" s="1"/>
  <c r="GD65" i="1" s="1"/>
  <c r="GD66" i="1" s="1"/>
  <c r="GD67" i="1" s="1"/>
  <c r="GD68" i="1" s="1"/>
  <c r="GD74" i="1" s="1"/>
  <c r="GD75" i="1" s="1"/>
  <c r="GD76" i="1" s="1"/>
  <c r="GD77" i="1" s="1"/>
  <c r="GD78" i="1" s="1"/>
  <c r="GD79" i="1" s="1"/>
  <c r="GD80" i="1" s="1"/>
  <c r="GD81" i="1" s="1"/>
  <c r="GD82" i="1" s="1"/>
  <c r="GD84" i="1" s="1"/>
  <c r="GD85" i="1" s="1"/>
  <c r="GD86" i="1" s="1"/>
  <c r="GD87" i="1" s="1"/>
  <c r="GD88" i="1" s="1"/>
  <c r="GD89" i="1" s="1"/>
  <c r="GD90" i="1" s="1"/>
  <c r="GD91" i="1" s="1"/>
  <c r="GD92" i="1" s="1"/>
  <c r="EH34" i="1"/>
  <c r="E4" i="3"/>
  <c r="CP46" i="1"/>
  <c r="E3" i="3" s="1"/>
  <c r="E6" i="3" s="1"/>
  <c r="AC45" i="1"/>
  <c r="AC46" i="1" s="1"/>
  <c r="B22" i="3" s="1"/>
  <c r="FB36" i="1"/>
  <c r="GQ45" i="1"/>
  <c r="AF45" i="1"/>
  <c r="IR39" i="1"/>
  <c r="IR40" i="1" s="1"/>
  <c r="IR41" i="1" s="1"/>
  <c r="IR42" i="1" s="1"/>
  <c r="IR43" i="1" s="1"/>
  <c r="IR44" i="1" s="1"/>
  <c r="M40" i="1"/>
  <c r="FI43" i="1"/>
  <c r="FI44" i="1" s="1"/>
  <c r="AI44" i="1"/>
  <c r="AI50" i="1" s="1"/>
  <c r="AI51" i="1" s="1"/>
  <c r="AI52" i="1" s="1"/>
  <c r="AI53" i="1" s="1"/>
  <c r="AI54" i="1" s="1"/>
  <c r="AI55" i="1" s="1"/>
  <c r="AI56" i="1" s="1"/>
  <c r="AI57" i="1" s="1"/>
  <c r="AI58" i="1" s="1"/>
  <c r="AI60" i="1" s="1"/>
  <c r="AI61" i="1" s="1"/>
  <c r="AI62" i="1" s="1"/>
  <c r="AI63" i="1" s="1"/>
  <c r="AI64" i="1" s="1"/>
  <c r="AI65" i="1" s="1"/>
  <c r="AI66" i="1" s="1"/>
  <c r="AI67" i="1" s="1"/>
  <c r="AI68" i="1" s="1"/>
  <c r="AI74" i="1" s="1"/>
  <c r="AI75" i="1" s="1"/>
  <c r="AI76" i="1" s="1"/>
  <c r="AI77" i="1" s="1"/>
  <c r="AI78" i="1" s="1"/>
  <c r="AI79" i="1" s="1"/>
  <c r="AI80" i="1" s="1"/>
  <c r="AI81" i="1" s="1"/>
  <c r="AI82" i="1" s="1"/>
  <c r="AI84" i="1" s="1"/>
  <c r="AI85" i="1" s="1"/>
  <c r="AI86" i="1" s="1"/>
  <c r="AI87" i="1" s="1"/>
  <c r="AI88" i="1" s="1"/>
  <c r="AI89" i="1" s="1"/>
  <c r="AI90" i="1" s="1"/>
  <c r="AI91" i="1" s="1"/>
  <c r="AI92" i="1" s="1"/>
  <c r="Q59" i="1"/>
  <c r="Q70" i="1" s="1"/>
  <c r="R50" i="1"/>
  <c r="R51" i="1" s="1"/>
  <c r="FU70" i="1"/>
  <c r="G25" i="5" s="1"/>
  <c r="FU59" i="1"/>
  <c r="BA53" i="1"/>
  <c r="BA54" i="1" s="1"/>
  <c r="BA55" i="1" s="1"/>
  <c r="BA56" i="1" s="1"/>
  <c r="BA57" i="1" s="1"/>
  <c r="BA58" i="1" s="1"/>
  <c r="BA60" i="1" s="1"/>
  <c r="BA61" i="1" s="1"/>
  <c r="BA62" i="1" s="1"/>
  <c r="BA63" i="1" s="1"/>
  <c r="BA64" i="1" s="1"/>
  <c r="BA65" i="1" s="1"/>
  <c r="BA66" i="1" s="1"/>
  <c r="BA67" i="1" s="1"/>
  <c r="BA68" i="1" s="1"/>
  <c r="JF59" i="1"/>
  <c r="JF70" i="1" s="1"/>
  <c r="M56" i="1"/>
  <c r="AR45" i="1"/>
  <c r="BW45" i="1"/>
  <c r="DN45" i="1"/>
  <c r="EE45" i="1"/>
  <c r="EE46" i="1" s="1"/>
  <c r="F17" i="3" s="1"/>
  <c r="HF45" i="1"/>
  <c r="HF46" i="1" s="1"/>
  <c r="I13" i="3" s="1"/>
  <c r="JD45" i="1"/>
  <c r="EM45" i="1"/>
  <c r="EM46" i="1" s="1"/>
  <c r="F21" i="3" s="1"/>
  <c r="HT45" i="1"/>
  <c r="HB46" i="1"/>
  <c r="I3" i="3" s="1"/>
  <c r="I6" i="3" s="1"/>
  <c r="FD59" i="1"/>
  <c r="FE50" i="1"/>
  <c r="FE51" i="1" s="1"/>
  <c r="FE52" i="1" s="1"/>
  <c r="FI52" i="1"/>
  <c r="AR69" i="1"/>
  <c r="AR70" i="1" s="1"/>
  <c r="KE34" i="1"/>
  <c r="KE36" i="1" s="1"/>
  <c r="KE37" i="1" s="1"/>
  <c r="KE38" i="1" s="1"/>
  <c r="KE39" i="1" s="1"/>
  <c r="KE40" i="1" s="1"/>
  <c r="KE41" i="1" s="1"/>
  <c r="KE42" i="1" s="1"/>
  <c r="KE43" i="1" s="1"/>
  <c r="KE44" i="1" s="1"/>
  <c r="KE50" i="1" s="1"/>
  <c r="KE51" i="1" s="1"/>
  <c r="KE52" i="1" s="1"/>
  <c r="KE53" i="1" s="1"/>
  <c r="KE54" i="1" s="1"/>
  <c r="KE55" i="1" s="1"/>
  <c r="KE56" i="1" s="1"/>
  <c r="KE57" i="1" s="1"/>
  <c r="KE58" i="1" s="1"/>
  <c r="KE60" i="1" s="1"/>
  <c r="KE61" i="1" s="1"/>
  <c r="KE62" i="1" s="1"/>
  <c r="KE63" i="1" s="1"/>
  <c r="KE64" i="1" s="1"/>
  <c r="KE65" i="1" s="1"/>
  <c r="KE66" i="1" s="1"/>
  <c r="KE67" i="1" s="1"/>
  <c r="KE68" i="1" s="1"/>
  <c r="KE74" i="1" s="1"/>
  <c r="KE75" i="1" s="1"/>
  <c r="KE76" i="1" s="1"/>
  <c r="KE77" i="1" s="1"/>
  <c r="KE78" i="1" s="1"/>
  <c r="KE79" i="1" s="1"/>
  <c r="KE80" i="1" s="1"/>
  <c r="KE81" i="1" s="1"/>
  <c r="KE82" i="1" s="1"/>
  <c r="KE84" i="1" s="1"/>
  <c r="KE85" i="1" s="1"/>
  <c r="KE86" i="1" s="1"/>
  <c r="KE87" i="1" s="1"/>
  <c r="KE88" i="1" s="1"/>
  <c r="KE89" i="1" s="1"/>
  <c r="KE90" i="1" s="1"/>
  <c r="KE91" i="1" s="1"/>
  <c r="KE92" i="1" s="1"/>
  <c r="M45" i="1"/>
  <c r="AA45" i="1"/>
  <c r="BF45" i="1"/>
  <c r="BX36" i="1"/>
  <c r="BX37" i="1" s="1"/>
  <c r="BX38" i="1" s="1"/>
  <c r="BX39" i="1" s="1"/>
  <c r="BX40" i="1" s="1"/>
  <c r="BX41" i="1" s="1"/>
  <c r="CK45" i="1"/>
  <c r="DQ45" i="1"/>
  <c r="EF36" i="1"/>
  <c r="EF37" i="1" s="1"/>
  <c r="EF38" i="1" s="1"/>
  <c r="EF39" i="1" s="1"/>
  <c r="EF40" i="1" s="1"/>
  <c r="EF41" i="1" s="1"/>
  <c r="EF42" i="1" s="1"/>
  <c r="EF43" i="1" s="1"/>
  <c r="EF44" i="1" s="1"/>
  <c r="GO45" i="1"/>
  <c r="HH36" i="1"/>
  <c r="JR45" i="1"/>
  <c r="KD45" i="1"/>
  <c r="GT37" i="1"/>
  <c r="GT38" i="1" s="1"/>
  <c r="GT39" i="1" s="1"/>
  <c r="GT40" i="1" s="1"/>
  <c r="GT41" i="1" s="1"/>
  <c r="GT42" i="1" s="1"/>
  <c r="GT43" i="1" s="1"/>
  <c r="GT44" i="1" s="1"/>
  <c r="V38" i="1"/>
  <c r="V39" i="1" s="1"/>
  <c r="V40" i="1" s="1"/>
  <c r="V41" i="1" s="1"/>
  <c r="V42" i="1" s="1"/>
  <c r="V43" i="1" s="1"/>
  <c r="V44" i="1" s="1"/>
  <c r="AG45" i="1"/>
  <c r="R52" i="1"/>
  <c r="R53" i="1" s="1"/>
  <c r="R54" i="1" s="1"/>
  <c r="R55" i="1" s="1"/>
  <c r="R56" i="1" s="1"/>
  <c r="R57" i="1" s="1"/>
  <c r="R58" i="1" s="1"/>
  <c r="R60" i="1" s="1"/>
  <c r="R61" i="1" s="1"/>
  <c r="R62" i="1" s="1"/>
  <c r="R63" i="1" s="1"/>
  <c r="R64" i="1" s="1"/>
  <c r="R65" i="1" s="1"/>
  <c r="R66" i="1" s="1"/>
  <c r="R67" i="1" s="1"/>
  <c r="R68" i="1" s="1"/>
  <c r="JN53" i="1"/>
  <c r="AE70" i="1"/>
  <c r="AE59" i="1"/>
  <c r="GN41" i="1"/>
  <c r="GN42" i="1" s="1"/>
  <c r="GN43" i="1" s="1"/>
  <c r="GN44" i="1" s="1"/>
  <c r="BS42" i="1"/>
  <c r="GH44" i="1"/>
  <c r="BY59" i="1"/>
  <c r="BZ50" i="1"/>
  <c r="BZ51" i="1" s="1"/>
  <c r="BZ52" i="1" s="1"/>
  <c r="BZ53" i="1" s="1"/>
  <c r="BZ54" i="1" s="1"/>
  <c r="JP59" i="1"/>
  <c r="JP70" i="1" s="1"/>
  <c r="JQ50" i="1"/>
  <c r="JQ51" i="1" s="1"/>
  <c r="JQ52" i="1" s="1"/>
  <c r="JQ53" i="1" s="1"/>
  <c r="JQ54" i="1" s="1"/>
  <c r="JQ55" i="1" s="1"/>
  <c r="JQ56" i="1" s="1"/>
  <c r="JQ57" i="1" s="1"/>
  <c r="JQ58" i="1" s="1"/>
  <c r="JQ60" i="1" s="1"/>
  <c r="JQ61" i="1" s="1"/>
  <c r="JQ62" i="1" s="1"/>
  <c r="JQ63" i="1" s="1"/>
  <c r="JQ64" i="1" s="1"/>
  <c r="JQ65" i="1" s="1"/>
  <c r="JQ66" i="1" s="1"/>
  <c r="JQ67" i="1" s="1"/>
  <c r="JQ68" i="1" s="1"/>
  <c r="FG51" i="1"/>
  <c r="FG52" i="1" s="1"/>
  <c r="FG53" i="1" s="1"/>
  <c r="FG54" i="1" s="1"/>
  <c r="FG55" i="1" s="1"/>
  <c r="FG56" i="1" s="1"/>
  <c r="FG57" i="1" s="1"/>
  <c r="FG58" i="1" s="1"/>
  <c r="FG60" i="1" s="1"/>
  <c r="FG61" i="1" s="1"/>
  <c r="FG62" i="1" s="1"/>
  <c r="FG63" i="1" s="1"/>
  <c r="FG64" i="1" s="1"/>
  <c r="FG65" i="1" s="1"/>
  <c r="FG66" i="1" s="1"/>
  <c r="FG67" i="1" s="1"/>
  <c r="FG68" i="1" s="1"/>
  <c r="AP54" i="1"/>
  <c r="IZ54" i="1"/>
  <c r="IZ55" i="1" s="1"/>
  <c r="JN55" i="1"/>
  <c r="JC46" i="1"/>
  <c r="F4" i="3"/>
  <c r="DS46" i="1"/>
  <c r="F3" i="3" s="1"/>
  <c r="F6" i="3" s="1"/>
  <c r="AE45" i="1"/>
  <c r="CC45" i="1"/>
  <c r="DF45" i="1"/>
  <c r="EK45" i="1"/>
  <c r="FP45" i="1"/>
  <c r="GU45" i="1"/>
  <c r="HL45" i="1"/>
  <c r="JF45" i="1"/>
  <c r="JV45" i="1"/>
  <c r="AZ59" i="1"/>
  <c r="BA50" i="1"/>
  <c r="BA51" i="1" s="1"/>
  <c r="KG95" i="1"/>
  <c r="K35" i="8" s="1"/>
  <c r="KG70" i="1"/>
  <c r="K25" i="5" s="1"/>
  <c r="KG71" i="1"/>
  <c r="K35" i="6" s="1"/>
  <c r="KG59" i="1"/>
  <c r="BX52" i="1"/>
  <c r="BX53" i="1" s="1"/>
  <c r="GH55" i="1"/>
  <c r="GH56" i="1" s="1"/>
  <c r="JN56" i="1"/>
  <c r="FO64" i="1"/>
  <c r="FO65" i="1" s="1"/>
  <c r="FO66" i="1" s="1"/>
  <c r="FO67" i="1" s="1"/>
  <c r="FO68" i="1" s="1"/>
  <c r="FO74" i="1" s="1"/>
  <c r="FO75" i="1" s="1"/>
  <c r="FO76" i="1" s="1"/>
  <c r="FO77" i="1" s="1"/>
  <c r="FO78" i="1" s="1"/>
  <c r="FO79" i="1" s="1"/>
  <c r="FO80" i="1" s="1"/>
  <c r="FO81" i="1" s="1"/>
  <c r="FO82" i="1" s="1"/>
  <c r="FO84" i="1" s="1"/>
  <c r="FO85" i="1" s="1"/>
  <c r="FO86" i="1" s="1"/>
  <c r="FO87" i="1" s="1"/>
  <c r="FO88" i="1" s="1"/>
  <c r="FO89" i="1" s="1"/>
  <c r="FO90" i="1" s="1"/>
  <c r="FO91" i="1" s="1"/>
  <c r="FO92" i="1" s="1"/>
  <c r="KF46" i="1"/>
  <c r="F11" i="3"/>
  <c r="DU46" i="1"/>
  <c r="F10" i="3" s="1"/>
  <c r="F23" i="3" s="1"/>
  <c r="AH45" i="1"/>
  <c r="CT45" i="1"/>
  <c r="DH45" i="1"/>
  <c r="GH36" i="1"/>
  <c r="GH37" i="1" s="1"/>
  <c r="GG45" i="1"/>
  <c r="AP40" i="1"/>
  <c r="EP40" i="1"/>
  <c r="EP41" i="1" s="1"/>
  <c r="EP42" i="1" s="1"/>
  <c r="EP43" i="1" s="1"/>
  <c r="EP44" i="1" s="1"/>
  <c r="EP50" i="1" s="1"/>
  <c r="EP51" i="1" s="1"/>
  <c r="EP52" i="1" s="1"/>
  <c r="EP53" i="1" s="1"/>
  <c r="EP54" i="1" s="1"/>
  <c r="EP55" i="1" s="1"/>
  <c r="EP56" i="1" s="1"/>
  <c r="EP57" i="1" s="1"/>
  <c r="EP58" i="1" s="1"/>
  <c r="EP60" i="1" s="1"/>
  <c r="EP61" i="1" s="1"/>
  <c r="EP62" i="1" s="1"/>
  <c r="EP63" i="1" s="1"/>
  <c r="EP64" i="1" s="1"/>
  <c r="EP65" i="1" s="1"/>
  <c r="EP66" i="1" s="1"/>
  <c r="EP67" i="1" s="1"/>
  <c r="EP68" i="1" s="1"/>
  <c r="EP74" i="1" s="1"/>
  <c r="EP75" i="1" s="1"/>
  <c r="EP76" i="1" s="1"/>
  <c r="EP77" i="1" s="1"/>
  <c r="EP78" i="1" s="1"/>
  <c r="EP79" i="1" s="1"/>
  <c r="EP80" i="1" s="1"/>
  <c r="EP81" i="1" s="1"/>
  <c r="EP82" i="1" s="1"/>
  <c r="EP84" i="1" s="1"/>
  <c r="EP85" i="1" s="1"/>
  <c r="EP86" i="1" s="1"/>
  <c r="EP87" i="1" s="1"/>
  <c r="EP88" i="1" s="1"/>
  <c r="EP89" i="1" s="1"/>
  <c r="EP90" i="1" s="1"/>
  <c r="EP91" i="1" s="1"/>
  <c r="EP92" i="1" s="1"/>
  <c r="FX40" i="1"/>
  <c r="FX41" i="1" s="1"/>
  <c r="FX42" i="1" s="1"/>
  <c r="FX43" i="1" s="1"/>
  <c r="FX44" i="1" s="1"/>
  <c r="FX50" i="1" s="1"/>
  <c r="FX51" i="1" s="1"/>
  <c r="FX52" i="1" s="1"/>
  <c r="FX53" i="1" s="1"/>
  <c r="FX54" i="1" s="1"/>
  <c r="FX55" i="1" s="1"/>
  <c r="FX56" i="1" s="1"/>
  <c r="FX57" i="1" s="1"/>
  <c r="FX58" i="1" s="1"/>
  <c r="FX60" i="1" s="1"/>
  <c r="FX61" i="1" s="1"/>
  <c r="FX62" i="1" s="1"/>
  <c r="FX63" i="1" s="1"/>
  <c r="FX64" i="1" s="1"/>
  <c r="FX65" i="1" s="1"/>
  <c r="FX66" i="1" s="1"/>
  <c r="FX67" i="1" s="1"/>
  <c r="FX68" i="1" s="1"/>
  <c r="FX74" i="1" s="1"/>
  <c r="FX75" i="1" s="1"/>
  <c r="FX76" i="1" s="1"/>
  <c r="FX77" i="1" s="1"/>
  <c r="FX78" i="1" s="1"/>
  <c r="FX79" i="1" s="1"/>
  <c r="FX80" i="1" s="1"/>
  <c r="FX81" i="1" s="1"/>
  <c r="FX82" i="1" s="1"/>
  <c r="FX84" i="1" s="1"/>
  <c r="FX85" i="1" s="1"/>
  <c r="FX86" i="1" s="1"/>
  <c r="FX87" i="1" s="1"/>
  <c r="FX88" i="1" s="1"/>
  <c r="FX89" i="1" s="1"/>
  <c r="FX90" i="1" s="1"/>
  <c r="FX91" i="1" s="1"/>
  <c r="FX92" i="1" s="1"/>
  <c r="IP43" i="1"/>
  <c r="IP44" i="1" s="1"/>
  <c r="IQ45" i="1"/>
  <c r="IQ46" i="1" s="1"/>
  <c r="CZ59" i="1"/>
  <c r="DA50" i="1"/>
  <c r="DA51" i="1" s="1"/>
  <c r="DA52" i="1" s="1"/>
  <c r="DA53" i="1" s="1"/>
  <c r="DA54" i="1" s="1"/>
  <c r="DA55" i="1" s="1"/>
  <c r="KI59" i="1"/>
  <c r="KI70" i="1" s="1"/>
  <c r="HK51" i="1"/>
  <c r="HK52" i="1" s="1"/>
  <c r="HK53" i="1" s="1"/>
  <c r="HK54" i="1" s="1"/>
  <c r="HK55" i="1" s="1"/>
  <c r="HK56" i="1" s="1"/>
  <c r="HK57" i="1" s="1"/>
  <c r="HK58" i="1" s="1"/>
  <c r="HK60" i="1" s="1"/>
  <c r="HK61" i="1" s="1"/>
  <c r="HK62" i="1" s="1"/>
  <c r="HK63" i="1" s="1"/>
  <c r="HK64" i="1" s="1"/>
  <c r="HK65" i="1" s="1"/>
  <c r="HK66" i="1" s="1"/>
  <c r="HK67" i="1" s="1"/>
  <c r="HK68" i="1" s="1"/>
  <c r="HS52" i="1"/>
  <c r="HS53" i="1" s="1"/>
  <c r="HS54" i="1" s="1"/>
  <c r="HS55" i="1" s="1"/>
  <c r="HS56" i="1" s="1"/>
  <c r="HS57" i="1" s="1"/>
  <c r="HS58" i="1" s="1"/>
  <c r="HS60" i="1" s="1"/>
  <c r="HS61" i="1" s="1"/>
  <c r="HS62" i="1" s="1"/>
  <c r="HS63" i="1" s="1"/>
  <c r="HS64" i="1" s="1"/>
  <c r="HS65" i="1" s="1"/>
  <c r="HS66" i="1" s="1"/>
  <c r="HS67" i="1" s="1"/>
  <c r="HS68" i="1" s="1"/>
  <c r="IV52" i="1"/>
  <c r="IV53" i="1" s="1"/>
  <c r="IV54" i="1" s="1"/>
  <c r="IV55" i="1" s="1"/>
  <c r="IV56" i="1" s="1"/>
  <c r="IV57" i="1" s="1"/>
  <c r="IV58" i="1" s="1"/>
  <c r="IV60" i="1" s="1"/>
  <c r="IV61" i="1" s="1"/>
  <c r="IV62" i="1" s="1"/>
  <c r="IV63" i="1" s="1"/>
  <c r="IV64" i="1" s="1"/>
  <c r="IV65" i="1" s="1"/>
  <c r="IV66" i="1" s="1"/>
  <c r="IV67" i="1" s="1"/>
  <c r="IV68" i="1" s="1"/>
  <c r="JY53" i="1"/>
  <c r="JY54" i="1" s="1"/>
  <c r="JY55" i="1" s="1"/>
  <c r="JY56" i="1" s="1"/>
  <c r="JY57" i="1" s="1"/>
  <c r="JY58" i="1" s="1"/>
  <c r="JY60" i="1" s="1"/>
  <c r="JY61" i="1" s="1"/>
  <c r="JY62" i="1" s="1"/>
  <c r="JY63" i="1" s="1"/>
  <c r="JY64" i="1" s="1"/>
  <c r="JY65" i="1" s="1"/>
  <c r="JY66" i="1" s="1"/>
  <c r="JY67" i="1" s="1"/>
  <c r="JY68" i="1" s="1"/>
  <c r="DD59" i="1"/>
  <c r="DD70" i="1" s="1"/>
  <c r="E18" i="5" s="1"/>
  <c r="B11" i="3"/>
  <c r="I46" i="1"/>
  <c r="B10" i="3" s="1"/>
  <c r="B23" i="3" s="1"/>
  <c r="G4" i="3"/>
  <c r="EV46" i="1"/>
  <c r="G3" i="3" s="1"/>
  <c r="G6" i="3" s="1"/>
  <c r="JJ46" i="1"/>
  <c r="JJ47" i="1" s="1"/>
  <c r="S45" i="1"/>
  <c r="BQ45" i="1"/>
  <c r="CV36" i="1"/>
  <c r="DI36" i="1"/>
  <c r="DI37" i="1" s="1"/>
  <c r="DI38" i="1" s="1"/>
  <c r="DI39" i="1" s="1"/>
  <c r="DI40" i="1" s="1"/>
  <c r="DI41" i="1" s="1"/>
  <c r="DI42" i="1" s="1"/>
  <c r="DI43" i="1" s="1"/>
  <c r="DI44" i="1" s="1"/>
  <c r="DI50" i="1" s="1"/>
  <c r="DI51" i="1" s="1"/>
  <c r="DI52" i="1" s="1"/>
  <c r="DI53" i="1" s="1"/>
  <c r="DI54" i="1" s="1"/>
  <c r="DI55" i="1" s="1"/>
  <c r="DI56" i="1" s="1"/>
  <c r="DI57" i="1" s="1"/>
  <c r="DY45" i="1"/>
  <c r="FR45" i="1"/>
  <c r="GI45" i="1"/>
  <c r="GW45" i="1"/>
  <c r="HN45" i="1"/>
  <c r="IC45" i="1"/>
  <c r="IC46" i="1" s="1"/>
  <c r="I7" i="3" s="1"/>
  <c r="I8" i="3" s="1"/>
  <c r="JX45" i="1"/>
  <c r="FU45" i="1"/>
  <c r="IX37" i="1"/>
  <c r="IX38" i="1" s="1"/>
  <c r="IX39" i="1" s="1"/>
  <c r="IX40" i="1" s="1"/>
  <c r="IX41" i="1" s="1"/>
  <c r="IX42" i="1" s="1"/>
  <c r="IX43" i="1" s="1"/>
  <c r="IX44" i="1" s="1"/>
  <c r="IX50" i="1" s="1"/>
  <c r="IX51" i="1" s="1"/>
  <c r="IX52" i="1" s="1"/>
  <c r="IX53" i="1" s="1"/>
  <c r="IX54" i="1" s="1"/>
  <c r="IX55" i="1" s="1"/>
  <c r="IX56" i="1" s="1"/>
  <c r="IX57" i="1" s="1"/>
  <c r="IX58" i="1" s="1"/>
  <c r="IX60" i="1" s="1"/>
  <c r="IX61" i="1" s="1"/>
  <c r="IX62" i="1" s="1"/>
  <c r="IX63" i="1" s="1"/>
  <c r="IX64" i="1" s="1"/>
  <c r="IX65" i="1" s="1"/>
  <c r="IX66" i="1" s="1"/>
  <c r="IX67" i="1" s="1"/>
  <c r="IX68" i="1" s="1"/>
  <c r="IX74" i="1" s="1"/>
  <c r="IX75" i="1" s="1"/>
  <c r="IX76" i="1" s="1"/>
  <c r="IX77" i="1" s="1"/>
  <c r="IX78" i="1" s="1"/>
  <c r="IX79" i="1" s="1"/>
  <c r="IX80" i="1" s="1"/>
  <c r="IX81" i="1" s="1"/>
  <c r="IX82" i="1" s="1"/>
  <c r="IX84" i="1" s="1"/>
  <c r="IX85" i="1" s="1"/>
  <c r="IX86" i="1" s="1"/>
  <c r="IX87" i="1" s="1"/>
  <c r="IX88" i="1" s="1"/>
  <c r="IX89" i="1" s="1"/>
  <c r="IX90" i="1" s="1"/>
  <c r="IX91" i="1" s="1"/>
  <c r="IX92" i="1" s="1"/>
  <c r="GH38" i="1"/>
  <c r="GH39" i="1" s="1"/>
  <c r="GH40" i="1" s="1"/>
  <c r="GH41" i="1" s="1"/>
  <c r="GH42" i="1" s="1"/>
  <c r="GH43" i="1" s="1"/>
  <c r="DY40" i="1"/>
  <c r="KC42" i="1"/>
  <c r="KC43" i="1" s="1"/>
  <c r="KC44" i="1" s="1"/>
  <c r="EH43" i="1"/>
  <c r="EH44" i="1" s="1"/>
  <c r="BD59" i="1"/>
  <c r="BE50" i="1"/>
  <c r="BE51" i="1" s="1"/>
  <c r="BE52" i="1" s="1"/>
  <c r="BE53" i="1" s="1"/>
  <c r="BE54" i="1" s="1"/>
  <c r="BE55" i="1" s="1"/>
  <c r="BE56" i="1" s="1"/>
  <c r="BE57" i="1" s="1"/>
  <c r="BE58" i="1" s="1"/>
  <c r="BE60" i="1" s="1"/>
  <c r="BE61" i="1" s="1"/>
  <c r="BE62" i="1" s="1"/>
  <c r="BE63" i="1" s="1"/>
  <c r="BE64" i="1" s="1"/>
  <c r="BE65" i="1" s="1"/>
  <c r="BE66" i="1" s="1"/>
  <c r="BE67" i="1" s="1"/>
  <c r="BE68" i="1" s="1"/>
  <c r="DY53" i="1"/>
  <c r="HW53" i="1"/>
  <c r="BX54" i="1"/>
  <c r="FI55" i="1"/>
  <c r="FI56" i="1" s="1"/>
  <c r="FI57" i="1" s="1"/>
  <c r="FI58" i="1" s="1"/>
  <c r="FI60" i="1" s="1"/>
  <c r="FI61" i="1" s="1"/>
  <c r="FI62" i="1" s="1"/>
  <c r="FI63" i="1" s="1"/>
  <c r="FI64" i="1" s="1"/>
  <c r="FI65" i="1" s="1"/>
  <c r="FI66" i="1" s="1"/>
  <c r="JV46" i="1"/>
  <c r="DG34" i="1"/>
  <c r="DG36" i="1" s="1"/>
  <c r="DG37" i="1" s="1"/>
  <c r="DG38" i="1" s="1"/>
  <c r="DG39" i="1" s="1"/>
  <c r="DG40" i="1" s="1"/>
  <c r="DG41" i="1" s="1"/>
  <c r="DG42" i="1" s="1"/>
  <c r="DG43" i="1" s="1"/>
  <c r="DG44" i="1" s="1"/>
  <c r="G11" i="3"/>
  <c r="EX46" i="1"/>
  <c r="T36" i="1"/>
  <c r="T37" i="1" s="1"/>
  <c r="T38" i="1" s="1"/>
  <c r="T39" i="1" s="1"/>
  <c r="T40" i="1" s="1"/>
  <c r="T41" i="1" s="1"/>
  <c r="T42" i="1" s="1"/>
  <c r="T43" i="1" s="1"/>
  <c r="T44" i="1" s="1"/>
  <c r="BS36" i="1"/>
  <c r="DJ45" i="1"/>
  <c r="DJ46" i="1" s="1"/>
  <c r="E21" i="3" s="1"/>
  <c r="FF45" i="1"/>
  <c r="GJ36" i="1"/>
  <c r="GJ37" i="1" s="1"/>
  <c r="GJ38" i="1" s="1"/>
  <c r="GJ39" i="1" s="1"/>
  <c r="GJ40" i="1" s="1"/>
  <c r="GJ41" i="1" s="1"/>
  <c r="GJ42" i="1" s="1"/>
  <c r="GJ43" i="1" s="1"/>
  <c r="GJ44" i="1" s="1"/>
  <c r="GZ45" i="1"/>
  <c r="X37" i="1"/>
  <c r="X38" i="1" s="1"/>
  <c r="X39" i="1" s="1"/>
  <c r="X40" i="1" s="1"/>
  <c r="X41" i="1" s="1"/>
  <c r="X42" i="1" s="1"/>
  <c r="X43" i="1" s="1"/>
  <c r="X44" i="1" s="1"/>
  <c r="AP37" i="1"/>
  <c r="ER45" i="1"/>
  <c r="IK40" i="1"/>
  <c r="FG43" i="1"/>
  <c r="FG44" i="1" s="1"/>
  <c r="AW44" i="1"/>
  <c r="AZ45" i="1"/>
  <c r="DE52" i="1"/>
  <c r="DE53" i="1" s="1"/>
  <c r="DE54" i="1" s="1"/>
  <c r="IK42" i="1"/>
  <c r="AH59" i="1"/>
  <c r="AH70" i="1" s="1"/>
  <c r="EI59" i="1"/>
  <c r="EI70" i="1" s="1"/>
  <c r="F19" i="5" s="1"/>
  <c r="IW59" i="1"/>
  <c r="IW70" i="1" s="1"/>
  <c r="BA52" i="1"/>
  <c r="BS54" i="1"/>
  <c r="BS56" i="1"/>
  <c r="DE43" i="1"/>
  <c r="DE44" i="1" s="1"/>
  <c r="U59" i="1"/>
  <c r="U70" i="1" s="1"/>
  <c r="V50" i="1"/>
  <c r="V51" i="1" s="1"/>
  <c r="V52" i="1" s="1"/>
  <c r="V53" i="1" s="1"/>
  <c r="V54" i="1" s="1"/>
  <c r="V55" i="1" s="1"/>
  <c r="V56" i="1" s="1"/>
  <c r="V57" i="1" s="1"/>
  <c r="V58" i="1" s="1"/>
  <c r="V60" i="1" s="1"/>
  <c r="V61" i="1" s="1"/>
  <c r="V62" i="1" s="1"/>
  <c r="V63" i="1" s="1"/>
  <c r="V64" i="1" s="1"/>
  <c r="V65" i="1" s="1"/>
  <c r="V66" i="1" s="1"/>
  <c r="V67" i="1" s="1"/>
  <c r="V68" i="1" s="1"/>
  <c r="DW59" i="1"/>
  <c r="FO51" i="1"/>
  <c r="FO52" i="1" s="1"/>
  <c r="FO53" i="1" s="1"/>
  <c r="FO54" i="1" s="1"/>
  <c r="FO55" i="1" s="1"/>
  <c r="FO56" i="1" s="1"/>
  <c r="JU51" i="1"/>
  <c r="JU52" i="1" s="1"/>
  <c r="DG52" i="1"/>
  <c r="DG53" i="1" s="1"/>
  <c r="DG54" i="1" s="1"/>
  <c r="DG55" i="1" s="1"/>
  <c r="DG56" i="1" s="1"/>
  <c r="DG57" i="1" s="1"/>
  <c r="DG58" i="1" s="1"/>
  <c r="DG60" i="1" s="1"/>
  <c r="DG61" i="1" s="1"/>
  <c r="DG62" i="1" s="1"/>
  <c r="DG63" i="1" s="1"/>
  <c r="DG64" i="1" s="1"/>
  <c r="DG65" i="1" s="1"/>
  <c r="DG66" i="1" s="1"/>
  <c r="DG67" i="1" s="1"/>
  <c r="DG68" i="1" s="1"/>
  <c r="GN52" i="1"/>
  <c r="GN53" i="1" s="1"/>
  <c r="GN54" i="1" s="1"/>
  <c r="GN55" i="1" s="1"/>
  <c r="GN56" i="1" s="1"/>
  <c r="GN57" i="1" s="1"/>
  <c r="GN58" i="1" s="1"/>
  <c r="GN60" i="1" s="1"/>
  <c r="GN61" i="1" s="1"/>
  <c r="GN62" i="1" s="1"/>
  <c r="GN63" i="1" s="1"/>
  <c r="GN64" i="1" s="1"/>
  <c r="GN65" i="1" s="1"/>
  <c r="GN66" i="1" s="1"/>
  <c r="GN67" i="1" s="1"/>
  <c r="GN68" i="1" s="1"/>
  <c r="AP53" i="1"/>
  <c r="CB54" i="1"/>
  <c r="CB55" i="1" s="1"/>
  <c r="CB56" i="1" s="1"/>
  <c r="CB57" i="1" s="1"/>
  <c r="CB58" i="1" s="1"/>
  <c r="CG59" i="1"/>
  <c r="CG70" i="1" s="1"/>
  <c r="D21" i="5" s="1"/>
  <c r="CH50" i="1"/>
  <c r="CH51" i="1" s="1"/>
  <c r="CH52" i="1" s="1"/>
  <c r="CH53" i="1" s="1"/>
  <c r="CH54" i="1" s="1"/>
  <c r="CH55" i="1" s="1"/>
  <c r="CH56" i="1" s="1"/>
  <c r="CH57" i="1" s="1"/>
  <c r="CH58" i="1" s="1"/>
  <c r="CH60" i="1" s="1"/>
  <c r="CH61" i="1" s="1"/>
  <c r="CH62" i="1" s="1"/>
  <c r="CH63" i="1" s="1"/>
  <c r="CH64" i="1" s="1"/>
  <c r="CH65" i="1" s="1"/>
  <c r="CH66" i="1" s="1"/>
  <c r="CH67" i="1" s="1"/>
  <c r="CH68" i="1" s="1"/>
  <c r="DB59" i="1"/>
  <c r="DC50" i="1"/>
  <c r="DC51" i="1" s="1"/>
  <c r="DC52" i="1" s="1"/>
  <c r="DC53" i="1" s="1"/>
  <c r="DC54" i="1" s="1"/>
  <c r="DC55" i="1" s="1"/>
  <c r="DC56" i="1" s="1"/>
  <c r="DC57" i="1" s="1"/>
  <c r="DC58" i="1" s="1"/>
  <c r="DC60" i="1" s="1"/>
  <c r="DC61" i="1" s="1"/>
  <c r="DC62" i="1" s="1"/>
  <c r="DC63" i="1" s="1"/>
  <c r="DC64" i="1" s="1"/>
  <c r="DC65" i="1" s="1"/>
  <c r="DC66" i="1" s="1"/>
  <c r="DC67" i="1" s="1"/>
  <c r="DC68" i="1" s="1"/>
  <c r="DY50" i="1"/>
  <c r="EO59" i="1"/>
  <c r="EO70" i="1" s="1"/>
  <c r="F22" i="5" s="1"/>
  <c r="JD95" i="1"/>
  <c r="J35" i="8" s="1"/>
  <c r="JD70" i="1"/>
  <c r="J25" i="5" s="1"/>
  <c r="JD71" i="1"/>
  <c r="J35" i="6" s="1"/>
  <c r="JD59" i="1"/>
  <c r="BJ70" i="1"/>
  <c r="BJ59" i="1"/>
  <c r="FQ51" i="1"/>
  <c r="FQ52" i="1" s="1"/>
  <c r="IK52" i="1"/>
  <c r="BR53" i="1"/>
  <c r="BR54" i="1" s="1"/>
  <c r="BR55" i="1" s="1"/>
  <c r="BR56" i="1" s="1"/>
  <c r="BR57" i="1" s="1"/>
  <c r="BR58" i="1" s="1"/>
  <c r="BR60" i="1" s="1"/>
  <c r="BR61" i="1" s="1"/>
  <c r="BR62" i="1" s="1"/>
  <c r="BR63" i="1" s="1"/>
  <c r="BR64" i="1" s="1"/>
  <c r="BR65" i="1" s="1"/>
  <c r="BR66" i="1" s="1"/>
  <c r="BR67" i="1" s="1"/>
  <c r="BR68" i="1" s="1"/>
  <c r="BR74" i="1" s="1"/>
  <c r="BR75" i="1" s="1"/>
  <c r="BR76" i="1" s="1"/>
  <c r="BR77" i="1" s="1"/>
  <c r="BR78" i="1" s="1"/>
  <c r="BR79" i="1" s="1"/>
  <c r="BR80" i="1" s="1"/>
  <c r="BR81" i="1" s="1"/>
  <c r="BR82" i="1" s="1"/>
  <c r="BR84" i="1" s="1"/>
  <c r="BR85" i="1" s="1"/>
  <c r="BR86" i="1" s="1"/>
  <c r="BR87" i="1" s="1"/>
  <c r="BR88" i="1" s="1"/>
  <c r="BR89" i="1" s="1"/>
  <c r="BR90" i="1" s="1"/>
  <c r="BR91" i="1" s="1"/>
  <c r="BR92" i="1" s="1"/>
  <c r="CI70" i="1"/>
  <c r="D22" i="5" s="1"/>
  <c r="EA59" i="1"/>
  <c r="EA70" i="1" s="1"/>
  <c r="F15" i="5" s="1"/>
  <c r="EB50" i="1"/>
  <c r="EB51" i="1" s="1"/>
  <c r="HO51" i="1"/>
  <c r="HO52" i="1" s="1"/>
  <c r="HO53" i="1" s="1"/>
  <c r="HO54" i="1" s="1"/>
  <c r="HO55" i="1" s="1"/>
  <c r="HO56" i="1" s="1"/>
  <c r="HO57" i="1" s="1"/>
  <c r="HO58" i="1" s="1"/>
  <c r="HO60" i="1" s="1"/>
  <c r="HO61" i="1" s="1"/>
  <c r="HO62" i="1" s="1"/>
  <c r="HO63" i="1" s="1"/>
  <c r="HO64" i="1" s="1"/>
  <c r="HO65" i="1" s="1"/>
  <c r="HO66" i="1" s="1"/>
  <c r="HO67" i="1" s="1"/>
  <c r="HO68" i="1" s="1"/>
  <c r="T52" i="1"/>
  <c r="T53" i="1" s="1"/>
  <c r="T54" i="1" s="1"/>
  <c r="T55" i="1" s="1"/>
  <c r="T56" i="1" s="1"/>
  <c r="T57" i="1" s="1"/>
  <c r="T58" i="1" s="1"/>
  <c r="T60" i="1" s="1"/>
  <c r="T61" i="1" s="1"/>
  <c r="T62" i="1" s="1"/>
  <c r="T63" i="1" s="1"/>
  <c r="T64" i="1" s="1"/>
  <c r="T65" i="1" s="1"/>
  <c r="T66" i="1" s="1"/>
  <c r="T67" i="1" s="1"/>
  <c r="T68" i="1" s="1"/>
  <c r="EN53" i="1"/>
  <c r="EN54" i="1" s="1"/>
  <c r="HW54" i="1"/>
  <c r="HW55" i="1" s="1"/>
  <c r="HW56" i="1" s="1"/>
  <c r="HW57" i="1" s="1"/>
  <c r="HW58" i="1" s="1"/>
  <c r="HW60" i="1" s="1"/>
  <c r="HW61" i="1" s="1"/>
  <c r="HW62" i="1" s="1"/>
  <c r="HW63" i="1" s="1"/>
  <c r="HW64" i="1" s="1"/>
  <c r="HW65" i="1" s="1"/>
  <c r="HW66" i="1" s="1"/>
  <c r="HW67" i="1" s="1"/>
  <c r="HW68" i="1" s="1"/>
  <c r="JU54" i="1"/>
  <c r="JN57" i="1"/>
  <c r="FE58" i="1"/>
  <c r="FE60" i="1" s="1"/>
  <c r="AC69" i="1"/>
  <c r="BS59" i="1"/>
  <c r="BS70" i="1" s="1"/>
  <c r="D14" i="5" s="1"/>
  <c r="CM70" i="1"/>
  <c r="D26" i="5" s="1"/>
  <c r="CM59" i="1"/>
  <c r="DK52" i="1"/>
  <c r="DK53" i="1" s="1"/>
  <c r="DK54" i="1" s="1"/>
  <c r="DK55" i="1" s="1"/>
  <c r="DK56" i="1" s="1"/>
  <c r="DK57" i="1" s="1"/>
  <c r="DK58" i="1" s="1"/>
  <c r="DK60" i="1" s="1"/>
  <c r="DK61" i="1" s="1"/>
  <c r="DK62" i="1" s="1"/>
  <c r="DK63" i="1" s="1"/>
  <c r="DK64" i="1" s="1"/>
  <c r="DK65" i="1" s="1"/>
  <c r="DK66" i="1" s="1"/>
  <c r="DK67" i="1" s="1"/>
  <c r="DK68" i="1" s="1"/>
  <c r="ED55" i="1"/>
  <c r="ED56" i="1" s="1"/>
  <c r="ED57" i="1" s="1"/>
  <c r="ED58" i="1" s="1"/>
  <c r="K45" i="1"/>
  <c r="CE45" i="1"/>
  <c r="DW45" i="1"/>
  <c r="DW46" i="1" s="1"/>
  <c r="F13" i="3" s="1"/>
  <c r="GC45" i="1"/>
  <c r="II45" i="1"/>
  <c r="GR40" i="1"/>
  <c r="GR41" i="1" s="1"/>
  <c r="GR42" i="1" s="1"/>
  <c r="GR43" i="1" s="1"/>
  <c r="GR44" i="1" s="1"/>
  <c r="GR50" i="1" s="1"/>
  <c r="GR51" i="1" s="1"/>
  <c r="GR52" i="1" s="1"/>
  <c r="GR53" i="1" s="1"/>
  <c r="GR54" i="1" s="1"/>
  <c r="GR55" i="1" s="1"/>
  <c r="GR56" i="1" s="1"/>
  <c r="GR57" i="1" s="1"/>
  <c r="GR58" i="1" s="1"/>
  <c r="GR60" i="1" s="1"/>
  <c r="GR61" i="1" s="1"/>
  <c r="GR62" i="1" s="1"/>
  <c r="GR63" i="1" s="1"/>
  <c r="GR64" i="1" s="1"/>
  <c r="GR65" i="1" s="1"/>
  <c r="GR66" i="1" s="1"/>
  <c r="GR67" i="1" s="1"/>
  <c r="GR68" i="1" s="1"/>
  <c r="GR74" i="1" s="1"/>
  <c r="GR75" i="1" s="1"/>
  <c r="GR76" i="1" s="1"/>
  <c r="GR77" i="1" s="1"/>
  <c r="GR78" i="1" s="1"/>
  <c r="GR79" i="1" s="1"/>
  <c r="GR80" i="1" s="1"/>
  <c r="GR81" i="1" s="1"/>
  <c r="GR82" i="1" s="1"/>
  <c r="GR84" i="1" s="1"/>
  <c r="GR85" i="1" s="1"/>
  <c r="GR86" i="1" s="1"/>
  <c r="GR87" i="1" s="1"/>
  <c r="GR88" i="1" s="1"/>
  <c r="GR89" i="1" s="1"/>
  <c r="GR90" i="1" s="1"/>
  <c r="GR91" i="1" s="1"/>
  <c r="GR92" i="1" s="1"/>
  <c r="BX42" i="1"/>
  <c r="BX43" i="1" s="1"/>
  <c r="BX44" i="1" s="1"/>
  <c r="DY42" i="1"/>
  <c r="CL70" i="1"/>
  <c r="D25" i="5" s="1"/>
  <c r="CL59" i="1"/>
  <c r="FP59" i="1"/>
  <c r="FP70" i="1" s="1"/>
  <c r="G21" i="5" s="1"/>
  <c r="X52" i="1"/>
  <c r="X53" i="1" s="1"/>
  <c r="X54" i="1" s="1"/>
  <c r="X55" i="1" s="1"/>
  <c r="IR52" i="1"/>
  <c r="IR53" i="1" s="1"/>
  <c r="IR54" i="1" s="1"/>
  <c r="IR55" i="1" s="1"/>
  <c r="IR56" i="1" s="1"/>
  <c r="IR57" i="1" s="1"/>
  <c r="IR58" i="1" s="1"/>
  <c r="IR60" i="1" s="1"/>
  <c r="IR61" i="1" s="1"/>
  <c r="IR62" i="1" s="1"/>
  <c r="IR63" i="1" s="1"/>
  <c r="IR64" i="1" s="1"/>
  <c r="IR65" i="1" s="1"/>
  <c r="IR66" i="1" s="1"/>
  <c r="IR67" i="1" s="1"/>
  <c r="IR68" i="1" s="1"/>
  <c r="ED54" i="1"/>
  <c r="FE55" i="1"/>
  <c r="FE56" i="1" s="1"/>
  <c r="FE57" i="1" s="1"/>
  <c r="EB56" i="1"/>
  <c r="EB57" i="1" s="1"/>
  <c r="EB58" i="1" s="1"/>
  <c r="EB60" i="1" s="1"/>
  <c r="EB61" i="1" s="1"/>
  <c r="EB62" i="1" s="1"/>
  <c r="EB63" i="1" s="1"/>
  <c r="EB64" i="1" s="1"/>
  <c r="EB65" i="1" s="1"/>
  <c r="EB66" i="1" s="1"/>
  <c r="EB67" i="1" s="1"/>
  <c r="EB68" i="1" s="1"/>
  <c r="EZ59" i="1"/>
  <c r="Z58" i="1"/>
  <c r="Z60" i="1" s="1"/>
  <c r="Z61" i="1" s="1"/>
  <c r="Z62" i="1" s="1"/>
  <c r="HH61" i="1"/>
  <c r="EM59" i="1"/>
  <c r="EM70" i="1" s="1"/>
  <c r="F21" i="5" s="1"/>
  <c r="FF59" i="1"/>
  <c r="FF70" i="1" s="1"/>
  <c r="G16" i="5" s="1"/>
  <c r="FG50" i="1"/>
  <c r="JT59" i="1"/>
  <c r="DK51" i="1"/>
  <c r="KH95" i="1"/>
  <c r="K36" i="8" s="1"/>
  <c r="KH70" i="1"/>
  <c r="K26" i="5" s="1"/>
  <c r="KH71" i="1"/>
  <c r="K36" i="6" s="1"/>
  <c r="KH59" i="1"/>
  <c r="EB52" i="1"/>
  <c r="EB53" i="1" s="1"/>
  <c r="EB54" i="1" s="1"/>
  <c r="EB55" i="1" s="1"/>
  <c r="FK52" i="1"/>
  <c r="FK53" i="1" s="1"/>
  <c r="FK54" i="1" s="1"/>
  <c r="FK55" i="1" s="1"/>
  <c r="FK56" i="1" s="1"/>
  <c r="FK57" i="1" s="1"/>
  <c r="FK58" i="1" s="1"/>
  <c r="FK60" i="1" s="1"/>
  <c r="FK61" i="1" s="1"/>
  <c r="FK62" i="1" s="1"/>
  <c r="FK63" i="1" s="1"/>
  <c r="FK64" i="1" s="1"/>
  <c r="FK65" i="1" s="1"/>
  <c r="FK66" i="1" s="1"/>
  <c r="FK67" i="1" s="1"/>
  <c r="FK68" i="1" s="1"/>
  <c r="FI53" i="1"/>
  <c r="FI54" i="1" s="1"/>
  <c r="EN55" i="1"/>
  <c r="EN56" i="1" s="1"/>
  <c r="EN57" i="1" s="1"/>
  <c r="EN58" i="1" s="1"/>
  <c r="EN60" i="1" s="1"/>
  <c r="EN61" i="1" s="1"/>
  <c r="EN62" i="1" s="1"/>
  <c r="EN63" i="1" s="1"/>
  <c r="EN64" i="1" s="1"/>
  <c r="EN65" i="1" s="1"/>
  <c r="EN66" i="1" s="1"/>
  <c r="EN67" i="1" s="1"/>
  <c r="EN68" i="1" s="1"/>
  <c r="GW70" i="1"/>
  <c r="H24" i="5" s="1"/>
  <c r="GW59" i="1"/>
  <c r="M57" i="1"/>
  <c r="HH58" i="1"/>
  <c r="GS69" i="1"/>
  <c r="GE61" i="1"/>
  <c r="K59" i="1"/>
  <c r="K70" i="1" s="1"/>
  <c r="Y59" i="1"/>
  <c r="BI70" i="1"/>
  <c r="BI59" i="1"/>
  <c r="GC59" i="1"/>
  <c r="HV59" i="1"/>
  <c r="HW50" i="1"/>
  <c r="DP70" i="1"/>
  <c r="E26" i="5" s="1"/>
  <c r="DP59" i="1"/>
  <c r="EH51" i="1"/>
  <c r="EH52" i="1" s="1"/>
  <c r="GL51" i="1"/>
  <c r="GL52" i="1" s="1"/>
  <c r="GL53" i="1" s="1"/>
  <c r="GL54" i="1" s="1"/>
  <c r="GL55" i="1" s="1"/>
  <c r="GL56" i="1" s="1"/>
  <c r="GL57" i="1" s="1"/>
  <c r="GL58" i="1" s="1"/>
  <c r="EF52" i="1"/>
  <c r="EF53" i="1" s="1"/>
  <c r="EF54" i="1" s="1"/>
  <c r="EF55" i="1" s="1"/>
  <c r="EF56" i="1" s="1"/>
  <c r="EF57" i="1" s="1"/>
  <c r="EF58" i="1" s="1"/>
  <c r="EF60" i="1" s="1"/>
  <c r="EF61" i="1" s="1"/>
  <c r="EF62" i="1" s="1"/>
  <c r="EF63" i="1" s="1"/>
  <c r="EF64" i="1" s="1"/>
  <c r="EF65" i="1" s="1"/>
  <c r="EF66" i="1" s="1"/>
  <c r="EF67" i="1" s="1"/>
  <c r="EF68" i="1" s="1"/>
  <c r="JS52" i="1"/>
  <c r="JS53" i="1" s="1"/>
  <c r="JS54" i="1" s="1"/>
  <c r="JS55" i="1" s="1"/>
  <c r="JS56" i="1" s="1"/>
  <c r="JS57" i="1" s="1"/>
  <c r="JS58" i="1" s="1"/>
  <c r="JS60" i="1" s="1"/>
  <c r="JS61" i="1" s="1"/>
  <c r="JS62" i="1" s="1"/>
  <c r="JS63" i="1" s="1"/>
  <c r="JS64" i="1" s="1"/>
  <c r="JS65" i="1" s="1"/>
  <c r="JS66" i="1" s="1"/>
  <c r="JS67" i="1" s="1"/>
  <c r="JS68" i="1" s="1"/>
  <c r="FM53" i="1"/>
  <c r="FM54" i="1" s="1"/>
  <c r="FM55" i="1" s="1"/>
  <c r="FM56" i="1" s="1"/>
  <c r="FM57" i="1" s="1"/>
  <c r="FM58" i="1" s="1"/>
  <c r="FM60" i="1" s="1"/>
  <c r="FM61" i="1" s="1"/>
  <c r="FM62" i="1" s="1"/>
  <c r="FM63" i="1" s="1"/>
  <c r="FM64" i="1" s="1"/>
  <c r="FM65" i="1" s="1"/>
  <c r="FM66" i="1" s="1"/>
  <c r="FM67" i="1" s="1"/>
  <c r="FM68" i="1" s="1"/>
  <c r="GP54" i="1"/>
  <c r="GP55" i="1" s="1"/>
  <c r="EQ70" i="1"/>
  <c r="F24" i="5" s="1"/>
  <c r="EQ59" i="1"/>
  <c r="FO58" i="1"/>
  <c r="FO60" i="1" s="1"/>
  <c r="FO61" i="1" s="1"/>
  <c r="DJ59" i="1"/>
  <c r="DJ70" i="1" s="1"/>
  <c r="E21" i="5" s="1"/>
  <c r="FE62" i="1"/>
  <c r="FE63" i="1" s="1"/>
  <c r="FE64" i="1" s="1"/>
  <c r="FE65" i="1" s="1"/>
  <c r="FE66" i="1" s="1"/>
  <c r="FE67" i="1" s="1"/>
  <c r="FE68" i="1" s="1"/>
  <c r="JN62" i="1"/>
  <c r="CY75" i="1"/>
  <c r="AA59" i="1"/>
  <c r="AA70" i="1" s="1"/>
  <c r="CV59" i="1"/>
  <c r="EC59" i="1"/>
  <c r="EC70" i="1" s="1"/>
  <c r="F16" i="5" s="1"/>
  <c r="FL59" i="1"/>
  <c r="FL70" i="1" s="1"/>
  <c r="G19" i="5" s="1"/>
  <c r="GE50" i="1"/>
  <c r="GS59" i="1"/>
  <c r="HX59" i="1"/>
  <c r="HX70" i="1" s="1"/>
  <c r="I22" i="5" s="1"/>
  <c r="IQ59" i="1"/>
  <c r="JX59" i="1"/>
  <c r="AU51" i="1"/>
  <c r="AU52" i="1" s="1"/>
  <c r="AU53" i="1" s="1"/>
  <c r="AU54" i="1" s="1"/>
  <c r="AU55" i="1" s="1"/>
  <c r="AU56" i="1" s="1"/>
  <c r="AU57" i="1" s="1"/>
  <c r="AU58" i="1" s="1"/>
  <c r="AU60" i="1" s="1"/>
  <c r="AU61" i="1" s="1"/>
  <c r="AU62" i="1" s="1"/>
  <c r="AU63" i="1" s="1"/>
  <c r="AU64" i="1" s="1"/>
  <c r="AU65" i="1" s="1"/>
  <c r="AU66" i="1" s="1"/>
  <c r="AU67" i="1" s="1"/>
  <c r="AU68" i="1" s="1"/>
  <c r="AB52" i="1"/>
  <c r="CB52" i="1"/>
  <c r="CB53" i="1" s="1"/>
  <c r="CD54" i="1"/>
  <c r="CD55" i="1" s="1"/>
  <c r="CD56" i="1" s="1"/>
  <c r="CD57" i="1" s="1"/>
  <c r="CD58" i="1" s="1"/>
  <c r="CD60" i="1" s="1"/>
  <c r="CD61" i="1" s="1"/>
  <c r="CD62" i="1" s="1"/>
  <c r="CD63" i="1" s="1"/>
  <c r="CD64" i="1" s="1"/>
  <c r="CD65" i="1" s="1"/>
  <c r="CD66" i="1" s="1"/>
  <c r="CD67" i="1" s="1"/>
  <c r="CD68" i="1" s="1"/>
  <c r="EH54" i="1"/>
  <c r="EH55" i="1" s="1"/>
  <c r="EH56" i="1" s="1"/>
  <c r="EH57" i="1" s="1"/>
  <c r="EH58" i="1" s="1"/>
  <c r="EH60" i="1" s="1"/>
  <c r="EH61" i="1" s="1"/>
  <c r="EH62" i="1" s="1"/>
  <c r="EH63" i="1" s="1"/>
  <c r="EH64" i="1" s="1"/>
  <c r="EH65" i="1" s="1"/>
  <c r="EH66" i="1" s="1"/>
  <c r="EH67" i="1" s="1"/>
  <c r="EH68" i="1" s="1"/>
  <c r="DA56" i="1"/>
  <c r="DA57" i="1" s="1"/>
  <c r="DA58" i="1" s="1"/>
  <c r="DA60" i="1" s="1"/>
  <c r="DA61" i="1" s="1"/>
  <c r="DA62" i="1" s="1"/>
  <c r="DA63" i="1" s="1"/>
  <c r="DA64" i="1" s="1"/>
  <c r="DA65" i="1" s="1"/>
  <c r="DA66" i="1" s="1"/>
  <c r="DA67" i="1" s="1"/>
  <c r="DA68" i="1" s="1"/>
  <c r="ET59" i="1"/>
  <c r="ET70" i="1" s="1"/>
  <c r="F7" i="5" s="1"/>
  <c r="F8" i="5" s="1"/>
  <c r="HJ59" i="1"/>
  <c r="HJ70" i="1" s="1"/>
  <c r="I15" i="5" s="1"/>
  <c r="HK50" i="1"/>
  <c r="IA59" i="1"/>
  <c r="BS51" i="1"/>
  <c r="BR51" i="1"/>
  <c r="BR52" i="1" s="1"/>
  <c r="HW51" i="1"/>
  <c r="HW52" i="1" s="1"/>
  <c r="IN51" i="1"/>
  <c r="IN52" i="1" s="1"/>
  <c r="IN53" i="1" s="1"/>
  <c r="IN54" i="1" s="1"/>
  <c r="IN55" i="1" s="1"/>
  <c r="IN56" i="1" s="1"/>
  <c r="IN57" i="1" s="1"/>
  <c r="IN58" i="1" s="1"/>
  <c r="IN60" i="1" s="1"/>
  <c r="IN61" i="1" s="1"/>
  <c r="IN62" i="1" s="1"/>
  <c r="JW51" i="1"/>
  <c r="JW52" i="1" s="1"/>
  <c r="JW53" i="1" s="1"/>
  <c r="JW54" i="1" s="1"/>
  <c r="JW55" i="1" s="1"/>
  <c r="JW56" i="1" s="1"/>
  <c r="JW57" i="1" s="1"/>
  <c r="JW58" i="1" s="1"/>
  <c r="M52" i="1"/>
  <c r="GJ52" i="1"/>
  <c r="GJ53" i="1" s="1"/>
  <c r="GJ54" i="1" s="1"/>
  <c r="GJ55" i="1" s="1"/>
  <c r="GJ56" i="1" s="1"/>
  <c r="GJ57" i="1" s="1"/>
  <c r="GJ58" i="1" s="1"/>
  <c r="GJ60" i="1" s="1"/>
  <c r="GJ61" i="1" s="1"/>
  <c r="GJ62" i="1" s="1"/>
  <c r="GJ63" i="1" s="1"/>
  <c r="GJ64" i="1" s="1"/>
  <c r="GJ65" i="1" s="1"/>
  <c r="GJ66" i="1" s="1"/>
  <c r="GJ67" i="1" s="1"/>
  <c r="GJ68" i="1" s="1"/>
  <c r="HQ53" i="1"/>
  <c r="JU53" i="1"/>
  <c r="HQ54" i="1"/>
  <c r="HQ55" i="1" s="1"/>
  <c r="HQ56" i="1" s="1"/>
  <c r="HQ57" i="1" s="1"/>
  <c r="HQ58" i="1" s="1"/>
  <c r="HQ60" i="1" s="1"/>
  <c r="HQ61" i="1" s="1"/>
  <c r="HQ62" i="1" s="1"/>
  <c r="HQ63" i="1" s="1"/>
  <c r="HQ64" i="1" s="1"/>
  <c r="HQ65" i="1" s="1"/>
  <c r="HQ66" i="1" s="1"/>
  <c r="HQ67" i="1" s="1"/>
  <c r="HQ68" i="1" s="1"/>
  <c r="BH70" i="1"/>
  <c r="BH59" i="1"/>
  <c r="J11" i="5"/>
  <c r="IG70" i="1"/>
  <c r="EZ69" i="1"/>
  <c r="FB60" i="1"/>
  <c r="IK69" i="1"/>
  <c r="HJ45" i="1"/>
  <c r="HJ46" i="1" s="1"/>
  <c r="I15" i="3" s="1"/>
  <c r="O59" i="1"/>
  <c r="O70" i="1" s="1"/>
  <c r="AC59" i="1"/>
  <c r="AW50" i="1"/>
  <c r="AW51" i="1" s="1"/>
  <c r="AW52" i="1" s="1"/>
  <c r="AW53" i="1" s="1"/>
  <c r="AW54" i="1" s="1"/>
  <c r="AW55" i="1" s="1"/>
  <c r="AW56" i="1" s="1"/>
  <c r="AW57" i="1" s="1"/>
  <c r="AW58" i="1" s="1"/>
  <c r="AW60" i="1" s="1"/>
  <c r="AW61" i="1" s="1"/>
  <c r="AW62" i="1" s="1"/>
  <c r="AW63" i="1" s="1"/>
  <c r="AW64" i="1" s="1"/>
  <c r="AW65" i="1" s="1"/>
  <c r="AW66" i="1" s="1"/>
  <c r="AW67" i="1" s="1"/>
  <c r="AW68" i="1" s="1"/>
  <c r="CE59" i="1"/>
  <c r="CE70" i="1" s="1"/>
  <c r="D20" i="5" s="1"/>
  <c r="DL59" i="1"/>
  <c r="GG59" i="1"/>
  <c r="HM50" i="1"/>
  <c r="HM51" i="1" s="1"/>
  <c r="HM52" i="1" s="1"/>
  <c r="HM53" i="1" s="1"/>
  <c r="HM54" i="1" s="1"/>
  <c r="HL59" i="1"/>
  <c r="IC59" i="1"/>
  <c r="IC70" i="1" s="1"/>
  <c r="I7" i="5" s="1"/>
  <c r="I8" i="5" s="1"/>
  <c r="IS59" i="1"/>
  <c r="IT50" i="1"/>
  <c r="IT51" i="1" s="1"/>
  <c r="IT52" i="1" s="1"/>
  <c r="IT53" i="1" s="1"/>
  <c r="IT54" i="1" s="1"/>
  <c r="IT55" i="1" s="1"/>
  <c r="JL59" i="1"/>
  <c r="JZ59" i="1"/>
  <c r="JZ70" i="1" s="1"/>
  <c r="HH51" i="1"/>
  <c r="EJ52" i="1"/>
  <c r="EJ53" i="1" s="1"/>
  <c r="EJ54" i="1" s="1"/>
  <c r="EJ55" i="1" s="1"/>
  <c r="EJ56" i="1" s="1"/>
  <c r="EJ57" i="1" s="1"/>
  <c r="EJ58" i="1" s="1"/>
  <c r="EJ60" i="1" s="1"/>
  <c r="EJ61" i="1" s="1"/>
  <c r="EJ62" i="1" s="1"/>
  <c r="EJ63" i="1" s="1"/>
  <c r="EJ64" i="1" s="1"/>
  <c r="EJ65" i="1" s="1"/>
  <c r="EJ66" i="1" s="1"/>
  <c r="EJ67" i="1" s="1"/>
  <c r="EJ68" i="1" s="1"/>
  <c r="FQ53" i="1"/>
  <c r="FQ54" i="1" s="1"/>
  <c r="FQ55" i="1" s="1"/>
  <c r="FQ56" i="1" s="1"/>
  <c r="FQ57" i="1" s="1"/>
  <c r="FQ58" i="1" s="1"/>
  <c r="FQ60" i="1" s="1"/>
  <c r="FQ61" i="1" s="1"/>
  <c r="FQ62" i="1" s="1"/>
  <c r="FQ63" i="1" s="1"/>
  <c r="FQ64" i="1" s="1"/>
  <c r="FQ65" i="1" s="1"/>
  <c r="FQ66" i="1" s="1"/>
  <c r="FQ67" i="1" s="1"/>
  <c r="FQ68" i="1" s="1"/>
  <c r="GT54" i="1"/>
  <c r="GT55" i="1" s="1"/>
  <c r="GT56" i="1" s="1"/>
  <c r="GT57" i="1" s="1"/>
  <c r="GT58" i="1" s="1"/>
  <c r="GT60" i="1" s="1"/>
  <c r="GT61" i="1" s="1"/>
  <c r="GT62" i="1" s="1"/>
  <c r="GT63" i="1" s="1"/>
  <c r="GT64" i="1" s="1"/>
  <c r="GT65" i="1" s="1"/>
  <c r="GT66" i="1" s="1"/>
  <c r="GT67" i="1" s="1"/>
  <c r="GT68" i="1" s="1"/>
  <c r="FB56" i="1"/>
  <c r="EG59" i="1"/>
  <c r="EG70" i="1" s="1"/>
  <c r="F18" i="5" s="1"/>
  <c r="AU78" i="1"/>
  <c r="AU79" i="1" s="1"/>
  <c r="AU80" i="1" s="1"/>
  <c r="AU81" i="1" s="1"/>
  <c r="AU82" i="1" s="1"/>
  <c r="AU84" i="1" s="1"/>
  <c r="AU85" i="1" s="1"/>
  <c r="AU86" i="1" s="1"/>
  <c r="AU87" i="1" s="1"/>
  <c r="AU88" i="1" s="1"/>
  <c r="AU89" i="1" s="1"/>
  <c r="AU90" i="1" s="1"/>
  <c r="AU91" i="1" s="1"/>
  <c r="AU92" i="1" s="1"/>
  <c r="AF70" i="1"/>
  <c r="AF59" i="1"/>
  <c r="AX59" i="1"/>
  <c r="AY50" i="1"/>
  <c r="AY51" i="1" s="1"/>
  <c r="AY52" i="1" s="1"/>
  <c r="AY53" i="1" s="1"/>
  <c r="AY54" i="1" s="1"/>
  <c r="AY55" i="1" s="1"/>
  <c r="AY56" i="1" s="1"/>
  <c r="AY57" i="1" s="1"/>
  <c r="AY58" i="1" s="1"/>
  <c r="AY60" i="1" s="1"/>
  <c r="AY61" i="1" s="1"/>
  <c r="AY62" i="1" s="1"/>
  <c r="AY63" i="1" s="1"/>
  <c r="AY64" i="1" s="1"/>
  <c r="AY65" i="1" s="1"/>
  <c r="AY66" i="1" s="1"/>
  <c r="AY67" i="1" s="1"/>
  <c r="AY68" i="1" s="1"/>
  <c r="FB59" i="1"/>
  <c r="IU59" i="1"/>
  <c r="IU70" i="1" s="1"/>
  <c r="KB59" i="1"/>
  <c r="KB70" i="1" s="1"/>
  <c r="KC50" i="1"/>
  <c r="KC51" i="1" s="1"/>
  <c r="KC52" i="1" s="1"/>
  <c r="KC53" i="1" s="1"/>
  <c r="KC54" i="1" s="1"/>
  <c r="KC55" i="1" s="1"/>
  <c r="KC56" i="1" s="1"/>
  <c r="KC57" i="1" s="1"/>
  <c r="KC58" i="1" s="1"/>
  <c r="KC60" i="1" s="1"/>
  <c r="KC61" i="1" s="1"/>
  <c r="KC62" i="1" s="1"/>
  <c r="KC63" i="1" s="1"/>
  <c r="KC64" i="1" s="1"/>
  <c r="KC65" i="1" s="1"/>
  <c r="KC66" i="1" s="1"/>
  <c r="KC67" i="1" s="1"/>
  <c r="KC68" i="1" s="1"/>
  <c r="AB53" i="1"/>
  <c r="AB54" i="1" s="1"/>
  <c r="AB55" i="1" s="1"/>
  <c r="AB56" i="1" s="1"/>
  <c r="AB57" i="1" s="1"/>
  <c r="AB58" i="1" s="1"/>
  <c r="AB60" i="1" s="1"/>
  <c r="AB61" i="1" s="1"/>
  <c r="CD53" i="1"/>
  <c r="EH53" i="1"/>
  <c r="BZ55" i="1"/>
  <c r="BZ56" i="1" s="1"/>
  <c r="BZ57" i="1" s="1"/>
  <c r="BZ58" i="1" s="1"/>
  <c r="BZ60" i="1" s="1"/>
  <c r="BZ61" i="1" s="1"/>
  <c r="BZ62" i="1" s="1"/>
  <c r="BZ63" i="1" s="1"/>
  <c r="BZ64" i="1" s="1"/>
  <c r="BZ65" i="1" s="1"/>
  <c r="BZ66" i="1" s="1"/>
  <c r="BZ67" i="1" s="1"/>
  <c r="BZ68" i="1" s="1"/>
  <c r="FO57" i="1"/>
  <c r="GK59" i="1"/>
  <c r="CA69" i="1"/>
  <c r="CB60" i="1"/>
  <c r="CB61" i="1" s="1"/>
  <c r="CB62" i="1" s="1"/>
  <c r="CB63" i="1" s="1"/>
  <c r="CB64" i="1" s="1"/>
  <c r="CB65" i="1" s="1"/>
  <c r="CB66" i="1" s="1"/>
  <c r="CB67" i="1" s="1"/>
  <c r="CB68" i="1" s="1"/>
  <c r="AT59" i="1"/>
  <c r="BF59" i="1"/>
  <c r="CX59" i="1"/>
  <c r="CX70" i="1" s="1"/>
  <c r="E15" i="5" s="1"/>
  <c r="FN59" i="1"/>
  <c r="FN70" i="1" s="1"/>
  <c r="G20" i="5" s="1"/>
  <c r="HR59" i="1"/>
  <c r="HR70" i="1" s="1"/>
  <c r="I19" i="5" s="1"/>
  <c r="JV59" i="1"/>
  <c r="AG70" i="1"/>
  <c r="AG59" i="1"/>
  <c r="HM55" i="1"/>
  <c r="HM56" i="1" s="1"/>
  <c r="HM57" i="1" s="1"/>
  <c r="HM58" i="1" s="1"/>
  <c r="HM60" i="1" s="1"/>
  <c r="HM61" i="1" s="1"/>
  <c r="HM62" i="1" s="1"/>
  <c r="HM63" i="1" s="1"/>
  <c r="HM64" i="1" s="1"/>
  <c r="HM65" i="1" s="1"/>
  <c r="HM66" i="1" s="1"/>
  <c r="HM67" i="1" s="1"/>
  <c r="HM68" i="1" s="1"/>
  <c r="IT56" i="1"/>
  <c r="IT57" i="1" s="1"/>
  <c r="IT58" i="1" s="1"/>
  <c r="IT60" i="1" s="1"/>
  <c r="IT61" i="1" s="1"/>
  <c r="IT62" i="1" s="1"/>
  <c r="IT63" i="1" s="1"/>
  <c r="IT64" i="1" s="1"/>
  <c r="IT65" i="1" s="1"/>
  <c r="IT66" i="1" s="1"/>
  <c r="IT67" i="1" s="1"/>
  <c r="IT68" i="1" s="1"/>
  <c r="CY57" i="1"/>
  <c r="CY58" i="1"/>
  <c r="CY60" i="1" s="1"/>
  <c r="CY61" i="1" s="1"/>
  <c r="CY62" i="1" s="1"/>
  <c r="CY63" i="1" s="1"/>
  <c r="CY64" i="1" s="1"/>
  <c r="CY65" i="1" s="1"/>
  <c r="CY66" i="1" s="1"/>
  <c r="CY67" i="1" s="1"/>
  <c r="CY68" i="1" s="1"/>
  <c r="JN58" i="1"/>
  <c r="JA59" i="1"/>
  <c r="JA70" i="1" s="1"/>
  <c r="BF69" i="1"/>
  <c r="DB69" i="1"/>
  <c r="GO69" i="1"/>
  <c r="HH62" i="1"/>
  <c r="ES70" i="1"/>
  <c r="F26" i="5" s="1"/>
  <c r="ES59" i="1"/>
  <c r="DN70" i="1"/>
  <c r="E24" i="5" s="1"/>
  <c r="DN59" i="1"/>
  <c r="DH69" i="1"/>
  <c r="JP69" i="1"/>
  <c r="CV62" i="1"/>
  <c r="DY85" i="1"/>
  <c r="W59" i="1"/>
  <c r="W70" i="1" s="1"/>
  <c r="CA59" i="1"/>
  <c r="CA70" i="1" s="1"/>
  <c r="D18" i="5" s="1"/>
  <c r="DQ59" i="1"/>
  <c r="EE59" i="1"/>
  <c r="EE70" i="1" s="1"/>
  <c r="F17" i="5" s="1"/>
  <c r="ER70" i="1"/>
  <c r="F25" i="5" s="1"/>
  <c r="ER59" i="1"/>
  <c r="GU59" i="1"/>
  <c r="GU70" i="1" s="1"/>
  <c r="H22" i="5" s="1"/>
  <c r="IM59" i="1"/>
  <c r="IM70" i="1" s="1"/>
  <c r="IY59" i="1"/>
  <c r="IY70" i="1" s="1"/>
  <c r="FV70" i="1"/>
  <c r="G26" i="5" s="1"/>
  <c r="FV59" i="1"/>
  <c r="CU54" i="1"/>
  <c r="CU55" i="1" s="1"/>
  <c r="CU56" i="1" s="1"/>
  <c r="CU57" i="1" s="1"/>
  <c r="CU58" i="1" s="1"/>
  <c r="CU60" i="1" s="1"/>
  <c r="CU61" i="1" s="1"/>
  <c r="CU62" i="1" s="1"/>
  <c r="CU63" i="1" s="1"/>
  <c r="CU64" i="1" s="1"/>
  <c r="CU65" i="1" s="1"/>
  <c r="CU66" i="1" s="1"/>
  <c r="CU67" i="1" s="1"/>
  <c r="CU68" i="1" s="1"/>
  <c r="CU74" i="1" s="1"/>
  <c r="CU75" i="1" s="1"/>
  <c r="CU76" i="1" s="1"/>
  <c r="CU77" i="1" s="1"/>
  <c r="CU78" i="1" s="1"/>
  <c r="CU79" i="1" s="1"/>
  <c r="CU80" i="1" s="1"/>
  <c r="CU81" i="1" s="1"/>
  <c r="CU82" i="1" s="1"/>
  <c r="CU84" i="1" s="1"/>
  <c r="CU85" i="1" s="1"/>
  <c r="CU86" i="1" s="1"/>
  <c r="CU87" i="1" s="1"/>
  <c r="CU88" i="1" s="1"/>
  <c r="CU89" i="1" s="1"/>
  <c r="CU90" i="1" s="1"/>
  <c r="CU91" i="1" s="1"/>
  <c r="CU92" i="1" s="1"/>
  <c r="IZ56" i="1"/>
  <c r="IZ57" i="1" s="1"/>
  <c r="IZ58" i="1" s="1"/>
  <c r="IZ60" i="1" s="1"/>
  <c r="IZ61" i="1" s="1"/>
  <c r="IZ62" i="1" s="1"/>
  <c r="IZ63" i="1" s="1"/>
  <c r="IZ64" i="1" s="1"/>
  <c r="IZ65" i="1" s="1"/>
  <c r="IZ66" i="1" s="1"/>
  <c r="IZ67" i="1" s="1"/>
  <c r="IZ68" i="1" s="1"/>
  <c r="KF95" i="1"/>
  <c r="K34" i="8" s="1"/>
  <c r="KF71" i="1"/>
  <c r="K34" i="6" s="1"/>
  <c r="KF70" i="1"/>
  <c r="K24" i="5" s="1"/>
  <c r="D11" i="5"/>
  <c r="BO70" i="1"/>
  <c r="D10" i="5" s="1"/>
  <c r="D23" i="5" s="1"/>
  <c r="K11" i="5"/>
  <c r="JJ70" i="1"/>
  <c r="GC69" i="1"/>
  <c r="GE60" i="1"/>
  <c r="AF69" i="1"/>
  <c r="CV65" i="1"/>
  <c r="IT77" i="1"/>
  <c r="DE55" i="1"/>
  <c r="DE56" i="1" s="1"/>
  <c r="DE57" i="1" s="1"/>
  <c r="DE58" i="1" s="1"/>
  <c r="DE60" i="1" s="1"/>
  <c r="DE61" i="1" s="1"/>
  <c r="DE62" i="1" s="1"/>
  <c r="DE63" i="1" s="1"/>
  <c r="DE64" i="1" s="1"/>
  <c r="DE65" i="1" s="1"/>
  <c r="DE66" i="1" s="1"/>
  <c r="DE67" i="1" s="1"/>
  <c r="DE68" i="1" s="1"/>
  <c r="CK70" i="1"/>
  <c r="D24" i="5" s="1"/>
  <c r="DI58" i="1"/>
  <c r="DI60" i="1" s="1"/>
  <c r="DI61" i="1" s="1"/>
  <c r="DI62" i="1" s="1"/>
  <c r="DI63" i="1" s="1"/>
  <c r="DI64" i="1" s="1"/>
  <c r="DI65" i="1" s="1"/>
  <c r="DI66" i="1" s="1"/>
  <c r="DI67" i="1" s="1"/>
  <c r="DI68" i="1" s="1"/>
  <c r="DI74" i="1" s="1"/>
  <c r="DI75" i="1" s="1"/>
  <c r="DI76" i="1" s="1"/>
  <c r="DI77" i="1" s="1"/>
  <c r="DI78" i="1" s="1"/>
  <c r="DI79" i="1" s="1"/>
  <c r="DI80" i="1" s="1"/>
  <c r="DI81" i="1" s="1"/>
  <c r="DI82" i="1" s="1"/>
  <c r="DI84" i="1" s="1"/>
  <c r="DI85" i="1" s="1"/>
  <c r="DI86" i="1" s="1"/>
  <c r="DI87" i="1" s="1"/>
  <c r="DI88" i="1" s="1"/>
  <c r="DI89" i="1" s="1"/>
  <c r="DI90" i="1" s="1"/>
  <c r="DI91" i="1" s="1"/>
  <c r="DI92" i="1" s="1"/>
  <c r="EI69" i="1"/>
  <c r="HX69" i="1"/>
  <c r="AB62" i="1"/>
  <c r="BQ59" i="1"/>
  <c r="BQ70" i="1" s="1"/>
  <c r="D13" i="5" s="1"/>
  <c r="CC59" i="1"/>
  <c r="FW59" i="1"/>
  <c r="GX70" i="1"/>
  <c r="H25" i="5" s="1"/>
  <c r="GX59" i="1"/>
  <c r="IO59" i="1"/>
  <c r="IO70" i="1" s="1"/>
  <c r="IB70" i="1"/>
  <c r="I26" i="5" s="1"/>
  <c r="JC95" i="1"/>
  <c r="J34" i="8" s="1"/>
  <c r="JC71" i="1"/>
  <c r="J34" i="6" s="1"/>
  <c r="JC70" i="1"/>
  <c r="J24" i="5" s="1"/>
  <c r="FJ69" i="1"/>
  <c r="HF69" i="1"/>
  <c r="HF70" i="1" s="1"/>
  <c r="I13" i="5" s="1"/>
  <c r="HH60" i="1"/>
  <c r="FB61" i="1"/>
  <c r="GQ69" i="1"/>
  <c r="BY69" i="1"/>
  <c r="S83" i="1"/>
  <c r="T74" i="1"/>
  <c r="T75" i="1" s="1"/>
  <c r="T76" i="1" s="1"/>
  <c r="T77" i="1" s="1"/>
  <c r="T78" i="1" s="1"/>
  <c r="T79" i="1" s="1"/>
  <c r="T80" i="1" s="1"/>
  <c r="T81" i="1" s="1"/>
  <c r="T82" i="1" s="1"/>
  <c r="T84" i="1" s="1"/>
  <c r="T85" i="1" s="1"/>
  <c r="T86" i="1" s="1"/>
  <c r="T87" i="1" s="1"/>
  <c r="T88" i="1" s="1"/>
  <c r="T89" i="1" s="1"/>
  <c r="T90" i="1" s="1"/>
  <c r="T91" i="1" s="1"/>
  <c r="T92" i="1" s="1"/>
  <c r="FW94" i="1"/>
  <c r="G7" i="7" s="1"/>
  <c r="G8" i="7" s="1"/>
  <c r="CD50" i="1"/>
  <c r="CD51" i="1" s="1"/>
  <c r="CD52" i="1" s="1"/>
  <c r="CT59" i="1"/>
  <c r="FJ59" i="1"/>
  <c r="FJ70" i="1" s="1"/>
  <c r="G18" i="5" s="1"/>
  <c r="GZ59" i="1"/>
  <c r="HN59" i="1"/>
  <c r="IA70" i="1"/>
  <c r="I25" i="5" s="1"/>
  <c r="IP50" i="1"/>
  <c r="IP51" i="1" s="1"/>
  <c r="IP52" i="1" s="1"/>
  <c r="IP53" i="1" s="1"/>
  <c r="IP54" i="1" s="1"/>
  <c r="IP55" i="1" s="1"/>
  <c r="IP56" i="1" s="1"/>
  <c r="IP57" i="1" s="1"/>
  <c r="IP58" i="1" s="1"/>
  <c r="IP60" i="1" s="1"/>
  <c r="IP61" i="1" s="1"/>
  <c r="IP62" i="1" s="1"/>
  <c r="IP63" i="1" s="1"/>
  <c r="IP64" i="1" s="1"/>
  <c r="IP65" i="1" s="1"/>
  <c r="IP66" i="1" s="1"/>
  <c r="IP67" i="1" s="1"/>
  <c r="IP68" i="1" s="1"/>
  <c r="JR59" i="1"/>
  <c r="JR70" i="1" s="1"/>
  <c r="KD59" i="1"/>
  <c r="KD70" i="1" s="1"/>
  <c r="JE95" i="1"/>
  <c r="J36" i="8" s="1"/>
  <c r="JE70" i="1"/>
  <c r="J26" i="5" s="1"/>
  <c r="JE71" i="1"/>
  <c r="J36" i="6" s="1"/>
  <c r="JU55" i="1"/>
  <c r="JU56" i="1" s="1"/>
  <c r="JU57" i="1" s="1"/>
  <c r="JU58" i="1" s="1"/>
  <c r="JU60" i="1" s="1"/>
  <c r="JU61" i="1" s="1"/>
  <c r="JU62" i="1" s="1"/>
  <c r="JU63" i="1" s="1"/>
  <c r="JU64" i="1" s="1"/>
  <c r="JU65" i="1" s="1"/>
  <c r="JU66" i="1" s="1"/>
  <c r="JU67" i="1" s="1"/>
  <c r="JU68" i="1" s="1"/>
  <c r="X56" i="1"/>
  <c r="X57" i="1" s="1"/>
  <c r="GP56" i="1"/>
  <c r="GP57" i="1" s="1"/>
  <c r="GP58" i="1" s="1"/>
  <c r="GP60" i="1" s="1"/>
  <c r="GP61" i="1" s="1"/>
  <c r="GP62" i="1" s="1"/>
  <c r="GP63" i="1" s="1"/>
  <c r="GP64" i="1" s="1"/>
  <c r="GP65" i="1" s="1"/>
  <c r="GP66" i="1" s="1"/>
  <c r="GP67" i="1" s="1"/>
  <c r="GP68" i="1" s="1"/>
  <c r="CK59" i="1"/>
  <c r="H4" i="5"/>
  <c r="FY70" i="1"/>
  <c r="H3" i="5" s="1"/>
  <c r="H6" i="5" s="1"/>
  <c r="IB59" i="1"/>
  <c r="KF59" i="1"/>
  <c r="DQ69" i="1"/>
  <c r="FL69" i="1"/>
  <c r="GI69" i="1"/>
  <c r="GI70" i="1" s="1"/>
  <c r="H16" i="5" s="1"/>
  <c r="IY69" i="1"/>
  <c r="KH69" i="1"/>
  <c r="GH57" i="1"/>
  <c r="GH58" i="1" s="1"/>
  <c r="GH60" i="1" s="1"/>
  <c r="GH61" i="1" s="1"/>
  <c r="GH62" i="1" s="1"/>
  <c r="GH63" i="1" s="1"/>
  <c r="GH64" i="1" s="1"/>
  <c r="GH65" i="1" s="1"/>
  <c r="GH66" i="1" s="1"/>
  <c r="GH67" i="1" s="1"/>
  <c r="GH68" i="1" s="1"/>
  <c r="H11" i="5"/>
  <c r="GA70" i="1"/>
  <c r="H10" i="5" s="1"/>
  <c r="H23" i="5" s="1"/>
  <c r="J4" i="5"/>
  <c r="IE70" i="1"/>
  <c r="X58" i="1"/>
  <c r="X60" i="1" s="1"/>
  <c r="X61" i="1" s="1"/>
  <c r="X62" i="1" s="1"/>
  <c r="X63" i="1" s="1"/>
  <c r="X64" i="1" s="1"/>
  <c r="X65" i="1" s="1"/>
  <c r="X66" i="1" s="1"/>
  <c r="X67" i="1" s="1"/>
  <c r="X68" i="1" s="1"/>
  <c r="I11" i="5"/>
  <c r="HD70" i="1"/>
  <c r="I10" i="5" s="1"/>
  <c r="I23" i="5" s="1"/>
  <c r="AT69" i="1"/>
  <c r="CN69" i="1"/>
  <c r="HV69" i="1"/>
  <c r="I6" i="5"/>
  <c r="D4" i="5"/>
  <c r="BM70" i="1"/>
  <c r="D3" i="5" s="1"/>
  <c r="D6" i="5" s="1"/>
  <c r="U69" i="1"/>
  <c r="AX69" i="1"/>
  <c r="DW69" i="1"/>
  <c r="FN69" i="1"/>
  <c r="GG69" i="1"/>
  <c r="HL69" i="1"/>
  <c r="JT69" i="1"/>
  <c r="KI69" i="1"/>
  <c r="AP64" i="1"/>
  <c r="JH70" i="1"/>
  <c r="CC69" i="1"/>
  <c r="CT69" i="1"/>
  <c r="EK69" i="1"/>
  <c r="IQ69" i="1"/>
  <c r="JF69" i="1"/>
  <c r="IA69" i="1"/>
  <c r="ED62" i="1"/>
  <c r="ED63" i="1" s="1"/>
  <c r="ED64" i="1" s="1"/>
  <c r="ED65" i="1" s="1"/>
  <c r="ED66" i="1" s="1"/>
  <c r="ED67" i="1" s="1"/>
  <c r="ED68" i="1" s="1"/>
  <c r="JN66" i="1"/>
  <c r="KD83" i="1"/>
  <c r="KD94" i="1" s="1"/>
  <c r="K22" i="7" s="1"/>
  <c r="E4" i="5"/>
  <c r="CP70" i="1"/>
  <c r="E3" i="5" s="1"/>
  <c r="E6" i="5" s="1"/>
  <c r="W69" i="1"/>
  <c r="AZ69" i="1"/>
  <c r="DY60" i="1"/>
  <c r="HN69" i="1"/>
  <c r="IC69" i="1"/>
  <c r="JV69" i="1"/>
  <c r="JW60" i="1"/>
  <c r="JW61" i="1" s="1"/>
  <c r="JW62" i="1" s="1"/>
  <c r="JW63" i="1" s="1"/>
  <c r="JW64" i="1" s="1"/>
  <c r="JW65" i="1" s="1"/>
  <c r="JW66" i="1" s="1"/>
  <c r="JW67" i="1" s="1"/>
  <c r="JW68" i="1" s="1"/>
  <c r="Z63" i="1"/>
  <c r="Z64" i="1" s="1"/>
  <c r="Z65" i="1" s="1"/>
  <c r="Z66" i="1" s="1"/>
  <c r="Z67" i="1" s="1"/>
  <c r="Z68" i="1" s="1"/>
  <c r="Z74" i="1" s="1"/>
  <c r="Z75" i="1" s="1"/>
  <c r="Z76" i="1" s="1"/>
  <c r="Z77" i="1" s="1"/>
  <c r="Z78" i="1" s="1"/>
  <c r="Z79" i="1" s="1"/>
  <c r="Z80" i="1" s="1"/>
  <c r="Z81" i="1" s="1"/>
  <c r="Z82" i="1" s="1"/>
  <c r="Z84" i="1" s="1"/>
  <c r="Z85" i="1" s="1"/>
  <c r="Z86" i="1" s="1"/>
  <c r="Z87" i="1" s="1"/>
  <c r="Z88" i="1" s="1"/>
  <c r="Z89" i="1" s="1"/>
  <c r="Z90" i="1" s="1"/>
  <c r="Z91" i="1" s="1"/>
  <c r="Z92" i="1" s="1"/>
  <c r="KG94" i="1"/>
  <c r="K25" i="7" s="1"/>
  <c r="KG83" i="1"/>
  <c r="IQ83" i="1"/>
  <c r="IQ94" i="1" s="1"/>
  <c r="J17" i="7" s="1"/>
  <c r="IR75" i="1"/>
  <c r="IR76" i="1" s="1"/>
  <c r="IR77" i="1" s="1"/>
  <c r="IR78" i="1" s="1"/>
  <c r="IR79" i="1" s="1"/>
  <c r="IR80" i="1" s="1"/>
  <c r="IR81" i="1" s="1"/>
  <c r="IR82" i="1" s="1"/>
  <c r="IR84" i="1" s="1"/>
  <c r="IR85" i="1" s="1"/>
  <c r="IR86" i="1" s="1"/>
  <c r="IR87" i="1" s="1"/>
  <c r="IR88" i="1" s="1"/>
  <c r="IR89" i="1" s="1"/>
  <c r="IR90" i="1" s="1"/>
  <c r="IR91" i="1" s="1"/>
  <c r="IR92" i="1" s="1"/>
  <c r="CY76" i="1"/>
  <c r="CY77" i="1" s="1"/>
  <c r="CY78" i="1" s="1"/>
  <c r="CY79" i="1" s="1"/>
  <c r="CY80" i="1" s="1"/>
  <c r="CY81" i="1" s="1"/>
  <c r="CY82" i="1" s="1"/>
  <c r="CY84" i="1" s="1"/>
  <c r="CY85" i="1" s="1"/>
  <c r="CY86" i="1" s="1"/>
  <c r="CY87" i="1" s="1"/>
  <c r="CY88" i="1" s="1"/>
  <c r="CY89" i="1" s="1"/>
  <c r="CY90" i="1" s="1"/>
  <c r="CY91" i="1" s="1"/>
  <c r="CY92" i="1" s="1"/>
  <c r="E11" i="5"/>
  <c r="CR70" i="1"/>
  <c r="E10" i="5" s="1"/>
  <c r="E23" i="5" s="1"/>
  <c r="FT59" i="1"/>
  <c r="CV60" i="1"/>
  <c r="EM69" i="1"/>
  <c r="IS69" i="1"/>
  <c r="JX69" i="1"/>
  <c r="FE61" i="1"/>
  <c r="AB63" i="1"/>
  <c r="FB67" i="1"/>
  <c r="M82" i="1"/>
  <c r="F11" i="5"/>
  <c r="DU70" i="1"/>
  <c r="F10" i="5" s="1"/>
  <c r="F23" i="5" s="1"/>
  <c r="Y69" i="1"/>
  <c r="BS69" i="1"/>
  <c r="DJ69" i="1"/>
  <c r="GK69" i="1"/>
  <c r="GZ69" i="1"/>
  <c r="JL69" i="1"/>
  <c r="FO62" i="1"/>
  <c r="FO63" i="1" s="1"/>
  <c r="M64" i="1"/>
  <c r="AB64" i="1"/>
  <c r="AB65" i="1" s="1"/>
  <c r="AB66" i="1" s="1"/>
  <c r="AB67" i="1" s="1"/>
  <c r="AB68" i="1" s="1"/>
  <c r="EV70" i="1"/>
  <c r="G3" i="5" s="1"/>
  <c r="G6" i="5" s="1"/>
  <c r="M60" i="1"/>
  <c r="AP60" i="1"/>
  <c r="CX69" i="1"/>
  <c r="GL60" i="1"/>
  <c r="GL61" i="1" s="1"/>
  <c r="GL62" i="1" s="1"/>
  <c r="GL63" i="1" s="1"/>
  <c r="GL64" i="1" s="1"/>
  <c r="GL65" i="1" s="1"/>
  <c r="GL66" i="1" s="1"/>
  <c r="GL67" i="1" s="1"/>
  <c r="GL68" i="1" s="1"/>
  <c r="JZ69" i="1"/>
  <c r="FU69" i="1"/>
  <c r="IK61" i="1"/>
  <c r="M63" i="1"/>
  <c r="JN65" i="1"/>
  <c r="BS68" i="1"/>
  <c r="AV69" i="1"/>
  <c r="AV70" i="1" s="1"/>
  <c r="EX70" i="1"/>
  <c r="G10" i="5" s="1"/>
  <c r="G23" i="5" s="1"/>
  <c r="JR83" i="1"/>
  <c r="JR94" i="1" s="1"/>
  <c r="K16" i="7" s="1"/>
  <c r="JS74" i="1"/>
  <c r="JS75" i="1" s="1"/>
  <c r="JS76" i="1" s="1"/>
  <c r="JS77" i="1" s="1"/>
  <c r="JS78" i="1" s="1"/>
  <c r="AA69" i="1"/>
  <c r="BD69" i="1"/>
  <c r="BU69" i="1"/>
  <c r="CZ69" i="1"/>
  <c r="ED60" i="1"/>
  <c r="ED61" i="1" s="1"/>
  <c r="FW69" i="1"/>
  <c r="GM69" i="1"/>
  <c r="HR69" i="1"/>
  <c r="ER69" i="1"/>
  <c r="FI67" i="1"/>
  <c r="FI68" i="1" s="1"/>
  <c r="HX94" i="1"/>
  <c r="I22" i="7" s="1"/>
  <c r="BB94" i="1"/>
  <c r="C20" i="7" s="1"/>
  <c r="II69" i="1"/>
  <c r="II70" i="1" s="1"/>
  <c r="GK83" i="1"/>
  <c r="GK94" i="1" s="1"/>
  <c r="H17" i="7" s="1"/>
  <c r="GL74" i="1"/>
  <c r="GL75" i="1" s="1"/>
  <c r="GL76" i="1" s="1"/>
  <c r="GL77" i="1" s="1"/>
  <c r="GL78" i="1" s="1"/>
  <c r="GL79" i="1" s="1"/>
  <c r="JP94" i="1"/>
  <c r="K15" i="7" s="1"/>
  <c r="KI83" i="1"/>
  <c r="AP67" i="1"/>
  <c r="DS70" i="1"/>
  <c r="F3" i="5" s="1"/>
  <c r="F6" i="5" s="1"/>
  <c r="Y83" i="1"/>
  <c r="Y94" i="1" s="1"/>
  <c r="DH83" i="1"/>
  <c r="DH94" i="1" s="1"/>
  <c r="E20" i="7" s="1"/>
  <c r="EE83" i="1"/>
  <c r="EE94" i="1" s="1"/>
  <c r="F17" i="7" s="1"/>
  <c r="EF74" i="1"/>
  <c r="FU94" i="1"/>
  <c r="G25" i="7" s="1"/>
  <c r="FU83" i="1"/>
  <c r="IW83" i="1"/>
  <c r="JT83" i="1"/>
  <c r="JT94" i="1" s="1"/>
  <c r="K17" i="7" s="1"/>
  <c r="JU74" i="1"/>
  <c r="JU75" i="1" s="1"/>
  <c r="EF75" i="1"/>
  <c r="EF76" i="1" s="1"/>
  <c r="DA76" i="1"/>
  <c r="DA77" i="1" s="1"/>
  <c r="DJ93" i="1"/>
  <c r="JF93" i="1"/>
  <c r="JF94" i="1" s="1"/>
  <c r="J7" i="7" s="1"/>
  <c r="J8" i="7" s="1"/>
  <c r="CI83" i="1"/>
  <c r="DJ83" i="1"/>
  <c r="DJ94" i="1" s="1"/>
  <c r="E21" i="7" s="1"/>
  <c r="HL94" i="1"/>
  <c r="I16" i="7" s="1"/>
  <c r="IB94" i="1"/>
  <c r="I26" i="7" s="1"/>
  <c r="IB83" i="1"/>
  <c r="M79" i="1"/>
  <c r="DL93" i="1"/>
  <c r="KA62" i="1"/>
  <c r="KA63" i="1" s="1"/>
  <c r="KA64" i="1" s="1"/>
  <c r="KA65" i="1" s="1"/>
  <c r="KA66" i="1" s="1"/>
  <c r="KA67" i="1" s="1"/>
  <c r="KA68" i="1" s="1"/>
  <c r="KA74" i="1" s="1"/>
  <c r="KA75" i="1" s="1"/>
  <c r="KA76" i="1" s="1"/>
  <c r="KA77" i="1" s="1"/>
  <c r="KA78" i="1" s="1"/>
  <c r="KA79" i="1" s="1"/>
  <c r="KA80" i="1" s="1"/>
  <c r="KA81" i="1" s="1"/>
  <c r="KA82" i="1" s="1"/>
  <c r="KA84" i="1" s="1"/>
  <c r="KA85" i="1" s="1"/>
  <c r="KA86" i="1" s="1"/>
  <c r="KA87" i="1" s="1"/>
  <c r="KA88" i="1" s="1"/>
  <c r="KA89" i="1" s="1"/>
  <c r="KA90" i="1" s="1"/>
  <c r="KA91" i="1" s="1"/>
  <c r="KA92" i="1" s="1"/>
  <c r="HM74" i="1"/>
  <c r="HM75" i="1" s="1"/>
  <c r="GJ76" i="1"/>
  <c r="GJ77" i="1" s="1"/>
  <c r="GJ78" i="1" s="1"/>
  <c r="GJ79" i="1" s="1"/>
  <c r="GJ80" i="1" s="1"/>
  <c r="GJ81" i="1" s="1"/>
  <c r="GJ82" i="1" s="1"/>
  <c r="GJ84" i="1" s="1"/>
  <c r="GJ85" i="1" s="1"/>
  <c r="GJ86" i="1" s="1"/>
  <c r="GJ87" i="1" s="1"/>
  <c r="GJ88" i="1" s="1"/>
  <c r="GJ89" i="1" s="1"/>
  <c r="GJ90" i="1" s="1"/>
  <c r="GJ91" i="1" s="1"/>
  <c r="GJ92" i="1" s="1"/>
  <c r="DN94" i="1"/>
  <c r="E24" i="7" s="1"/>
  <c r="DN83" i="1"/>
  <c r="IK93" i="1"/>
  <c r="JN67" i="1"/>
  <c r="AP68" i="1"/>
  <c r="IK68" i="1"/>
  <c r="CL83" i="1"/>
  <c r="CL94" i="1"/>
  <c r="D25" i="7" s="1"/>
  <c r="BE76" i="1"/>
  <c r="BE77" i="1" s="1"/>
  <c r="BE78" i="1" s="1"/>
  <c r="BE79" i="1" s="1"/>
  <c r="BE80" i="1" s="1"/>
  <c r="BE81" i="1" s="1"/>
  <c r="BE82" i="1" s="1"/>
  <c r="BE84" i="1" s="1"/>
  <c r="BE85" i="1" s="1"/>
  <c r="BE86" i="1" s="1"/>
  <c r="BE87" i="1" s="1"/>
  <c r="BE88" i="1" s="1"/>
  <c r="BE89" i="1" s="1"/>
  <c r="BE90" i="1" s="1"/>
  <c r="BE91" i="1" s="1"/>
  <c r="BE92" i="1" s="1"/>
  <c r="FB77" i="1"/>
  <c r="S69" i="1"/>
  <c r="CI69" i="1"/>
  <c r="IU69" i="1"/>
  <c r="IN63" i="1"/>
  <c r="IN64" i="1" s="1"/>
  <c r="IN65" i="1" s="1"/>
  <c r="IK66" i="1"/>
  <c r="M74" i="1"/>
  <c r="BW83" i="1"/>
  <c r="BX74" i="1"/>
  <c r="BX75" i="1" s="1"/>
  <c r="DO94" i="1"/>
  <c r="E25" i="7" s="1"/>
  <c r="DO83" i="1"/>
  <c r="HP83" i="1"/>
  <c r="HP94" i="1" s="1"/>
  <c r="I18" i="7" s="1"/>
  <c r="HQ74" i="1"/>
  <c r="JA83" i="1"/>
  <c r="GE77" i="1"/>
  <c r="HJ94" i="1"/>
  <c r="I15" i="7" s="1"/>
  <c r="AH69" i="1"/>
  <c r="DL69" i="1"/>
  <c r="FD69" i="1"/>
  <c r="FP69" i="1"/>
  <c r="HT69" i="1"/>
  <c r="HT70" i="1" s="1"/>
  <c r="I20" i="5" s="1"/>
  <c r="CL69" i="1"/>
  <c r="AF94" i="1"/>
  <c r="AF83" i="1"/>
  <c r="BY83" i="1"/>
  <c r="BZ74" i="1"/>
  <c r="BZ75" i="1" s="1"/>
  <c r="BZ76" i="1" s="1"/>
  <c r="BZ77" i="1" s="1"/>
  <c r="BZ78" i="1" s="1"/>
  <c r="CT83" i="1"/>
  <c r="CT94" i="1" s="1"/>
  <c r="E13" i="7" s="1"/>
  <c r="CV74" i="1"/>
  <c r="EM94" i="1"/>
  <c r="F21" i="7" s="1"/>
  <c r="GU83" i="1"/>
  <c r="GU94" i="1" s="1"/>
  <c r="H22" i="7" s="1"/>
  <c r="AU75" i="1"/>
  <c r="EN75" i="1"/>
  <c r="EN76" i="1" s="1"/>
  <c r="EN77" i="1" s="1"/>
  <c r="EN78" i="1" s="1"/>
  <c r="EN79" i="1" s="1"/>
  <c r="EN80" i="1" s="1"/>
  <c r="EN81" i="1" s="1"/>
  <c r="EN82" i="1" s="1"/>
  <c r="EN84" i="1" s="1"/>
  <c r="EN85" i="1" s="1"/>
  <c r="EN86" i="1" s="1"/>
  <c r="EN87" i="1" s="1"/>
  <c r="EN88" i="1" s="1"/>
  <c r="EN89" i="1" s="1"/>
  <c r="EN90" i="1" s="1"/>
  <c r="EN91" i="1" s="1"/>
  <c r="EN92" i="1" s="1"/>
  <c r="CH76" i="1"/>
  <c r="CH77" i="1" s="1"/>
  <c r="CH78" i="1" s="1"/>
  <c r="CH79" i="1" s="1"/>
  <c r="CH80" i="1" s="1"/>
  <c r="CH81" i="1" s="1"/>
  <c r="CH82" i="1" s="1"/>
  <c r="CH84" i="1" s="1"/>
  <c r="CH85" i="1" s="1"/>
  <c r="CH86" i="1" s="1"/>
  <c r="CH87" i="1" s="1"/>
  <c r="GN76" i="1"/>
  <c r="GN77" i="1" s="1"/>
  <c r="GN78" i="1" s="1"/>
  <c r="GN79" i="1" s="1"/>
  <c r="GN80" i="1" s="1"/>
  <c r="GN81" i="1" s="1"/>
  <c r="GN82" i="1" s="1"/>
  <c r="GN84" i="1" s="1"/>
  <c r="GN85" i="1" s="1"/>
  <c r="GN86" i="1" s="1"/>
  <c r="GN87" i="1" s="1"/>
  <c r="GN88" i="1" s="1"/>
  <c r="GN89" i="1" s="1"/>
  <c r="GN90" i="1" s="1"/>
  <c r="GN91" i="1" s="1"/>
  <c r="GN92" i="1" s="1"/>
  <c r="DY78" i="1"/>
  <c r="EJ81" i="1"/>
  <c r="EJ82" i="1" s="1"/>
  <c r="FH83" i="1"/>
  <c r="FH94" i="1" s="1"/>
  <c r="G17" i="7" s="1"/>
  <c r="IN66" i="1"/>
  <c r="IN67" i="1" s="1"/>
  <c r="IN68" i="1" s="1"/>
  <c r="Q83" i="1"/>
  <c r="Q94" i="1" s="1"/>
  <c r="R74" i="1"/>
  <c r="R75" i="1" s="1"/>
  <c r="R76" i="1" s="1"/>
  <c r="R77" i="1" s="1"/>
  <c r="R78" i="1" s="1"/>
  <c r="R79" i="1" s="1"/>
  <c r="DP94" i="1"/>
  <c r="E26" i="7" s="1"/>
  <c r="DP83" i="1"/>
  <c r="IV76" i="1"/>
  <c r="IV77" i="1" s="1"/>
  <c r="IV78" i="1" s="1"/>
  <c r="IV79" i="1" s="1"/>
  <c r="IV80" i="1" s="1"/>
  <c r="IV81" i="1" s="1"/>
  <c r="IV82" i="1" s="1"/>
  <c r="IV84" i="1" s="1"/>
  <c r="IV85" i="1" s="1"/>
  <c r="IV86" i="1" s="1"/>
  <c r="IV87" i="1" s="1"/>
  <c r="IV88" i="1" s="1"/>
  <c r="IV89" i="1" s="1"/>
  <c r="IV90" i="1" s="1"/>
  <c r="IV91" i="1" s="1"/>
  <c r="IV92" i="1" s="1"/>
  <c r="AV83" i="1"/>
  <c r="AV94" i="1" s="1"/>
  <c r="C17" i="7" s="1"/>
  <c r="CE93" i="1"/>
  <c r="DH93" i="1"/>
  <c r="AH83" i="1"/>
  <c r="GE83" i="1"/>
  <c r="HN83" i="1"/>
  <c r="HN94" i="1" s="1"/>
  <c r="I17" i="7" s="1"/>
  <c r="HO74" i="1"/>
  <c r="HO75" i="1" s="1"/>
  <c r="HO76" i="1" s="1"/>
  <c r="HO77" i="1" s="1"/>
  <c r="HO78" i="1" s="1"/>
  <c r="HO79" i="1" s="1"/>
  <c r="HO80" i="1" s="1"/>
  <c r="HO81" i="1" s="1"/>
  <c r="HO82" i="1" s="1"/>
  <c r="HO84" i="1" s="1"/>
  <c r="HO85" i="1" s="1"/>
  <c r="HO86" i="1" s="1"/>
  <c r="HO87" i="1" s="1"/>
  <c r="HO88" i="1" s="1"/>
  <c r="HO89" i="1" s="1"/>
  <c r="HO90" i="1" s="1"/>
  <c r="HO91" i="1" s="1"/>
  <c r="HO92" i="1" s="1"/>
  <c r="IC83" i="1"/>
  <c r="BA77" i="1"/>
  <c r="BA78" i="1" s="1"/>
  <c r="BA79" i="1" s="1"/>
  <c r="BA80" i="1" s="1"/>
  <c r="BA81" i="1" s="1"/>
  <c r="BA82" i="1" s="1"/>
  <c r="BA84" i="1" s="1"/>
  <c r="BA85" i="1" s="1"/>
  <c r="BA86" i="1" s="1"/>
  <c r="BA87" i="1" s="1"/>
  <c r="BA88" i="1" s="1"/>
  <c r="BA89" i="1" s="1"/>
  <c r="BA90" i="1" s="1"/>
  <c r="BA91" i="1" s="1"/>
  <c r="BA92" i="1" s="1"/>
  <c r="FG77" i="1"/>
  <c r="FG78" i="1" s="1"/>
  <c r="FG79" i="1" s="1"/>
  <c r="GZ93" i="1"/>
  <c r="EF77" i="1"/>
  <c r="EF78" i="1" s="1"/>
  <c r="EF79" i="1" s="1"/>
  <c r="EF80" i="1" s="1"/>
  <c r="EF81" i="1" s="1"/>
  <c r="EF82" i="1" s="1"/>
  <c r="EF84" i="1" s="1"/>
  <c r="EF85" i="1" s="1"/>
  <c r="EF86" i="1" s="1"/>
  <c r="EF87" i="1" s="1"/>
  <c r="EF88" i="1" s="1"/>
  <c r="EF89" i="1" s="1"/>
  <c r="EF90" i="1" s="1"/>
  <c r="EF91" i="1" s="1"/>
  <c r="EF92" i="1" s="1"/>
  <c r="KF94" i="1"/>
  <c r="K24" i="7" s="1"/>
  <c r="KF83" i="1"/>
  <c r="HH80" i="1"/>
  <c r="GC93" i="1"/>
  <c r="GE84" i="1"/>
  <c r="U83" i="1"/>
  <c r="BF83" i="1"/>
  <c r="BF94" i="1" s="1"/>
  <c r="C22" i="7" s="1"/>
  <c r="GX94" i="1"/>
  <c r="H25" i="7" s="1"/>
  <c r="GX83" i="1"/>
  <c r="CD75" i="1"/>
  <c r="CD76" i="1" s="1"/>
  <c r="AU76" i="1"/>
  <c r="AU77" i="1" s="1"/>
  <c r="BV76" i="1"/>
  <c r="FI78" i="1"/>
  <c r="FI79" i="1" s="1"/>
  <c r="FI80" i="1" s="1"/>
  <c r="FI81" i="1" s="1"/>
  <c r="FI82" i="1" s="1"/>
  <c r="FI84" i="1" s="1"/>
  <c r="FI85" i="1" s="1"/>
  <c r="FI86" i="1" s="1"/>
  <c r="FI87" i="1" s="1"/>
  <c r="FI88" i="1" s="1"/>
  <c r="FI89" i="1" s="1"/>
  <c r="FI90" i="1" s="1"/>
  <c r="FI91" i="1" s="1"/>
  <c r="FI92" i="1" s="1"/>
  <c r="BZ79" i="1"/>
  <c r="BZ80" i="1" s="1"/>
  <c r="BZ81" i="1" s="1"/>
  <c r="BZ82" i="1" s="1"/>
  <c r="BZ84" i="1" s="1"/>
  <c r="BZ85" i="1" s="1"/>
  <c r="BZ86" i="1" s="1"/>
  <c r="BZ87" i="1" s="1"/>
  <c r="BZ88" i="1" s="1"/>
  <c r="BZ89" i="1" s="1"/>
  <c r="BZ90" i="1" s="1"/>
  <c r="BZ91" i="1" s="1"/>
  <c r="BZ92" i="1" s="1"/>
  <c r="H4" i="7"/>
  <c r="FY94" i="1"/>
  <c r="H3" i="7" s="1"/>
  <c r="H6" i="7" s="1"/>
  <c r="O93" i="1"/>
  <c r="O94" i="1" s="1"/>
  <c r="FJ93" i="1"/>
  <c r="AR83" i="1"/>
  <c r="AR94" i="1" s="1"/>
  <c r="C15" i="7" s="1"/>
  <c r="GZ83" i="1"/>
  <c r="IO83" i="1"/>
  <c r="IP74" i="1"/>
  <c r="BX76" i="1"/>
  <c r="BX77" i="1" s="1"/>
  <c r="BX78" i="1" s="1"/>
  <c r="BX79" i="1" s="1"/>
  <c r="BX80" i="1" s="1"/>
  <c r="BX81" i="1" s="1"/>
  <c r="BX82" i="1" s="1"/>
  <c r="BX84" i="1" s="1"/>
  <c r="BX85" i="1" s="1"/>
  <c r="BX86" i="1" s="1"/>
  <c r="BX87" i="1" s="1"/>
  <c r="BX88" i="1" s="1"/>
  <c r="BX89" i="1" s="1"/>
  <c r="BX90" i="1" s="1"/>
  <c r="BX91" i="1" s="1"/>
  <c r="BX92" i="1" s="1"/>
  <c r="EI83" i="1"/>
  <c r="EI94" i="1" s="1"/>
  <c r="F19" i="7" s="1"/>
  <c r="M78" i="1"/>
  <c r="W83" i="1"/>
  <c r="W94" i="1" s="1"/>
  <c r="X74" i="1"/>
  <c r="X75" i="1" s="1"/>
  <c r="X76" i="1" s="1"/>
  <c r="X77" i="1" s="1"/>
  <c r="X78" i="1" s="1"/>
  <c r="X79" i="1" s="1"/>
  <c r="X80" i="1" s="1"/>
  <c r="X81" i="1" s="1"/>
  <c r="X82" i="1" s="1"/>
  <c r="X84" i="1" s="1"/>
  <c r="X85" i="1" s="1"/>
  <c r="X86" i="1" s="1"/>
  <c r="X87" i="1" s="1"/>
  <c r="X88" i="1" s="1"/>
  <c r="X89" i="1" s="1"/>
  <c r="X90" i="1" s="1"/>
  <c r="X91" i="1" s="1"/>
  <c r="X92" i="1" s="1"/>
  <c r="EB74" i="1"/>
  <c r="EB75" i="1" s="1"/>
  <c r="EB76" i="1" s="1"/>
  <c r="EB77" i="1" s="1"/>
  <c r="EB78" i="1" s="1"/>
  <c r="ER94" i="1"/>
  <c r="F25" i="7" s="1"/>
  <c r="ER83" i="1"/>
  <c r="FN83" i="1"/>
  <c r="FN94" i="1" s="1"/>
  <c r="G20" i="7" s="1"/>
  <c r="BJ83" i="1"/>
  <c r="BJ94" i="1"/>
  <c r="C26" i="7" s="1"/>
  <c r="CH75" i="1"/>
  <c r="ED75" i="1"/>
  <c r="ED76" i="1" s="1"/>
  <c r="ED77" i="1" s="1"/>
  <c r="ED78" i="1" s="1"/>
  <c r="ED79" i="1" s="1"/>
  <c r="ED80" i="1" s="1"/>
  <c r="ED81" i="1" s="1"/>
  <c r="ED82" i="1" s="1"/>
  <c r="ED84" i="1" s="1"/>
  <c r="ED85" i="1" s="1"/>
  <c r="ED86" i="1" s="1"/>
  <c r="ED87" i="1" s="1"/>
  <c r="ED88" i="1" s="1"/>
  <c r="ED89" i="1" s="1"/>
  <c r="ED90" i="1" s="1"/>
  <c r="ED91" i="1" s="1"/>
  <c r="ED92" i="1" s="1"/>
  <c r="HQ75" i="1"/>
  <c r="HQ76" i="1"/>
  <c r="HQ77" i="1" s="1"/>
  <c r="HQ78" i="1" s="1"/>
  <c r="HQ79" i="1" s="1"/>
  <c r="HQ80" i="1" s="1"/>
  <c r="HQ81" i="1" s="1"/>
  <c r="HQ82" i="1" s="1"/>
  <c r="HQ84" i="1" s="1"/>
  <c r="HQ85" i="1" s="1"/>
  <c r="HQ86" i="1" s="1"/>
  <c r="HQ87" i="1" s="1"/>
  <c r="HQ88" i="1" s="1"/>
  <c r="HQ89" i="1" s="1"/>
  <c r="HQ90" i="1" s="1"/>
  <c r="HQ91" i="1" s="1"/>
  <c r="HQ92" i="1" s="1"/>
  <c r="IT76" i="1"/>
  <c r="AP77" i="1"/>
  <c r="JQ77" i="1"/>
  <c r="JQ78" i="1" s="1"/>
  <c r="JQ79" i="1" s="1"/>
  <c r="JQ80" i="1" s="1"/>
  <c r="JQ81" i="1" s="1"/>
  <c r="JQ82" i="1" s="1"/>
  <c r="JQ84" i="1" s="1"/>
  <c r="JQ85" i="1" s="1"/>
  <c r="JQ86" i="1" s="1"/>
  <c r="JQ87" i="1" s="1"/>
  <c r="JQ88" i="1" s="1"/>
  <c r="JQ89" i="1" s="1"/>
  <c r="JQ90" i="1" s="1"/>
  <c r="JQ91" i="1" s="1"/>
  <c r="JQ92" i="1" s="1"/>
  <c r="AC83" i="1"/>
  <c r="DQ83" i="1"/>
  <c r="EK83" i="1"/>
  <c r="IA94" i="1"/>
  <c r="I25" i="7" s="1"/>
  <c r="IA83" i="1"/>
  <c r="DK75" i="1"/>
  <c r="DK76" i="1" s="1"/>
  <c r="DK77" i="1" s="1"/>
  <c r="DK78" i="1" s="1"/>
  <c r="DK79" i="1" s="1"/>
  <c r="DK80" i="1" s="1"/>
  <c r="DK81" i="1" s="1"/>
  <c r="DK82" i="1" s="1"/>
  <c r="DK84" i="1" s="1"/>
  <c r="AE94" i="1"/>
  <c r="AE83" i="1"/>
  <c r="IT79" i="1"/>
  <c r="IT80" i="1" s="1"/>
  <c r="IT81" i="1" s="1"/>
  <c r="IT82" i="1" s="1"/>
  <c r="IT84" i="1" s="1"/>
  <c r="IT85" i="1" s="1"/>
  <c r="IT86" i="1" s="1"/>
  <c r="IT87" i="1" s="1"/>
  <c r="IT88" i="1" s="1"/>
  <c r="IT89" i="1" s="1"/>
  <c r="IT90" i="1" s="1"/>
  <c r="IT91" i="1" s="1"/>
  <c r="IT92" i="1" s="1"/>
  <c r="JS79" i="1"/>
  <c r="M81" i="1"/>
  <c r="FL83" i="1"/>
  <c r="FL94" i="1" s="1"/>
  <c r="G19" i="7" s="1"/>
  <c r="FB85" i="1"/>
  <c r="BS74" i="1"/>
  <c r="BQ83" i="1"/>
  <c r="CG83" i="1"/>
  <c r="DB83" i="1"/>
  <c r="DC74" i="1"/>
  <c r="DC75" i="1" s="1"/>
  <c r="DC76" i="1" s="1"/>
  <c r="DC77" i="1" s="1"/>
  <c r="DC78" i="1" s="1"/>
  <c r="DC79" i="1" s="1"/>
  <c r="DC80" i="1" s="1"/>
  <c r="DC81" i="1" s="1"/>
  <c r="DC82" i="1" s="1"/>
  <c r="DC84" i="1" s="1"/>
  <c r="DC85" i="1" s="1"/>
  <c r="DC86" i="1" s="1"/>
  <c r="DC87" i="1" s="1"/>
  <c r="DC88" i="1" s="1"/>
  <c r="DC89" i="1" s="1"/>
  <c r="DC90" i="1" s="1"/>
  <c r="DC91" i="1" s="1"/>
  <c r="DC92" i="1" s="1"/>
  <c r="GQ94" i="1"/>
  <c r="H20" i="7" s="1"/>
  <c r="AP76" i="1"/>
  <c r="FQ76" i="1"/>
  <c r="FQ77" i="1" s="1"/>
  <c r="FQ78" i="1" s="1"/>
  <c r="FQ79" i="1" s="1"/>
  <c r="FQ80" i="1" s="1"/>
  <c r="FQ81" i="1" s="1"/>
  <c r="FQ82" i="1" s="1"/>
  <c r="FQ84" i="1" s="1"/>
  <c r="EH77" i="1"/>
  <c r="EH78" i="1" s="1"/>
  <c r="EH79" i="1" s="1"/>
  <c r="EH80" i="1" s="1"/>
  <c r="EH81" i="1" s="1"/>
  <c r="EH82" i="1" s="1"/>
  <c r="EH84" i="1" s="1"/>
  <c r="EH85" i="1" s="1"/>
  <c r="EH86" i="1" s="1"/>
  <c r="EH87" i="1" s="1"/>
  <c r="EH88" i="1" s="1"/>
  <c r="EH89" i="1" s="1"/>
  <c r="EH90" i="1" s="1"/>
  <c r="EH91" i="1" s="1"/>
  <c r="EH92" i="1" s="1"/>
  <c r="DA78" i="1"/>
  <c r="JS80" i="1"/>
  <c r="JS81" i="1" s="1"/>
  <c r="JS82" i="1" s="1"/>
  <c r="JS84" i="1" s="1"/>
  <c r="JS85" i="1" s="1"/>
  <c r="JS86" i="1" s="1"/>
  <c r="JS87" i="1" s="1"/>
  <c r="JS88" i="1" s="1"/>
  <c r="JS89" i="1" s="1"/>
  <c r="JS90" i="1" s="1"/>
  <c r="JS91" i="1" s="1"/>
  <c r="JS92" i="1" s="1"/>
  <c r="JW82" i="1"/>
  <c r="JW84" i="1" s="1"/>
  <c r="JW85" i="1" s="1"/>
  <c r="JW86" i="1" s="1"/>
  <c r="JW87" i="1" s="1"/>
  <c r="JW88" i="1" s="1"/>
  <c r="JW89" i="1" s="1"/>
  <c r="JW90" i="1" s="1"/>
  <c r="JW91" i="1" s="1"/>
  <c r="JW92" i="1" s="1"/>
  <c r="Y93" i="1"/>
  <c r="BS87" i="1"/>
  <c r="BD83" i="1"/>
  <c r="BD94" i="1" s="1"/>
  <c r="C21" i="7" s="1"/>
  <c r="EC83" i="1"/>
  <c r="EC94" i="1" s="1"/>
  <c r="F16" i="7" s="1"/>
  <c r="ET83" i="1"/>
  <c r="ET94" i="1" s="1"/>
  <c r="F7" i="7" s="1"/>
  <c r="F8" i="7" s="1"/>
  <c r="GI83" i="1"/>
  <c r="IM83" i="1"/>
  <c r="GT75" i="1"/>
  <c r="GT76" i="1" s="1"/>
  <c r="GT77" i="1" s="1"/>
  <c r="GT78" i="1" s="1"/>
  <c r="GT79" i="1" s="1"/>
  <c r="GT80" i="1" s="1"/>
  <c r="GT81" i="1" s="1"/>
  <c r="GT82" i="1" s="1"/>
  <c r="GT84" i="1" s="1"/>
  <c r="GT85" i="1" s="1"/>
  <c r="GT86" i="1" s="1"/>
  <c r="GT87" i="1" s="1"/>
  <c r="GT88" i="1" s="1"/>
  <c r="GT89" i="1" s="1"/>
  <c r="GT90" i="1" s="1"/>
  <c r="GT91" i="1" s="1"/>
  <c r="GT92" i="1" s="1"/>
  <c r="IZ75" i="1"/>
  <c r="IZ76" i="1" s="1"/>
  <c r="IZ77" i="1" s="1"/>
  <c r="IZ78" i="1" s="1"/>
  <c r="IZ79" i="1" s="1"/>
  <c r="IZ80" i="1" s="1"/>
  <c r="IZ81" i="1" s="1"/>
  <c r="IZ82" i="1" s="1"/>
  <c r="IZ84" i="1" s="1"/>
  <c r="IZ85" i="1" s="1"/>
  <c r="IZ86" i="1" s="1"/>
  <c r="IZ87" i="1" s="1"/>
  <c r="IZ88" i="1" s="1"/>
  <c r="IZ89" i="1" s="1"/>
  <c r="IZ90" i="1" s="1"/>
  <c r="IZ91" i="1" s="1"/>
  <c r="IZ92" i="1" s="1"/>
  <c r="FG76" i="1"/>
  <c r="HK76" i="1"/>
  <c r="HK77" i="1" s="1"/>
  <c r="JQ76" i="1"/>
  <c r="BH94" i="1"/>
  <c r="C24" i="7" s="1"/>
  <c r="BH83" i="1"/>
  <c r="AB78" i="1"/>
  <c r="AB79" i="1" s="1"/>
  <c r="AB80" i="1" s="1"/>
  <c r="AB81" i="1" s="1"/>
  <c r="AB82" i="1" s="1"/>
  <c r="AB84" i="1" s="1"/>
  <c r="AB85" i="1" s="1"/>
  <c r="AB86" i="1" s="1"/>
  <c r="AB87" i="1" s="1"/>
  <c r="AB88" i="1" s="1"/>
  <c r="AB89" i="1" s="1"/>
  <c r="AB90" i="1" s="1"/>
  <c r="AB91" i="1" s="1"/>
  <c r="AB92" i="1" s="1"/>
  <c r="HK78" i="1"/>
  <c r="HK79" i="1" s="1"/>
  <c r="CB79" i="1"/>
  <c r="CB80" i="1" s="1"/>
  <c r="CB81" i="1" s="1"/>
  <c r="CB82" i="1" s="1"/>
  <c r="CB84" i="1" s="1"/>
  <c r="CB85" i="1" s="1"/>
  <c r="CB86" i="1" s="1"/>
  <c r="CB87" i="1" s="1"/>
  <c r="CB88" i="1" s="1"/>
  <c r="CB89" i="1" s="1"/>
  <c r="CB90" i="1" s="1"/>
  <c r="CB91" i="1" s="1"/>
  <c r="CB92" i="1" s="1"/>
  <c r="DY92" i="1"/>
  <c r="FI76" i="1"/>
  <c r="FI77" i="1" s="1"/>
  <c r="HM76" i="1"/>
  <c r="HM77" i="1" s="1"/>
  <c r="HM78" i="1" s="1"/>
  <c r="HM79" i="1" s="1"/>
  <c r="HM80" i="1" s="1"/>
  <c r="HM81" i="1" s="1"/>
  <c r="HM82" i="1" s="1"/>
  <c r="HM84" i="1" s="1"/>
  <c r="HM85" i="1" s="1"/>
  <c r="HM86" i="1" s="1"/>
  <c r="HM87" i="1" s="1"/>
  <c r="HM88" i="1" s="1"/>
  <c r="HM89" i="1" s="1"/>
  <c r="HM90" i="1" s="1"/>
  <c r="HM91" i="1" s="1"/>
  <c r="HM92" i="1" s="1"/>
  <c r="EQ94" i="1"/>
  <c r="F24" i="7" s="1"/>
  <c r="EQ83" i="1"/>
  <c r="FB78" i="1"/>
  <c r="I4" i="7"/>
  <c r="HB94" i="1"/>
  <c r="I3" i="7" s="1"/>
  <c r="I6" i="7" s="1"/>
  <c r="JL83" i="1"/>
  <c r="BB93" i="1"/>
  <c r="CV84" i="1"/>
  <c r="ES94" i="1"/>
  <c r="F26" i="7" s="1"/>
  <c r="ES83" i="1"/>
  <c r="GY94" i="1"/>
  <c r="H26" i="7" s="1"/>
  <c r="GY83" i="1"/>
  <c r="JW75" i="1"/>
  <c r="JW76" i="1" s="1"/>
  <c r="JW77" i="1" s="1"/>
  <c r="JW78" i="1" s="1"/>
  <c r="JW79" i="1" s="1"/>
  <c r="JW80" i="1" s="1"/>
  <c r="JW81" i="1" s="1"/>
  <c r="AY76" i="1"/>
  <c r="AY77" i="1" s="1"/>
  <c r="JU76" i="1"/>
  <c r="JU77" i="1" s="1"/>
  <c r="JU78" i="1" s="1"/>
  <c r="JU79" i="1" s="1"/>
  <c r="JU80" i="1" s="1"/>
  <c r="JU81" i="1" s="1"/>
  <c r="JU82" i="1" s="1"/>
  <c r="JU84" i="1" s="1"/>
  <c r="JU85" i="1" s="1"/>
  <c r="JU86" i="1" s="1"/>
  <c r="JU87" i="1" s="1"/>
  <c r="JU88" i="1" s="1"/>
  <c r="JU89" i="1" s="1"/>
  <c r="JU90" i="1" s="1"/>
  <c r="JU91" i="1" s="1"/>
  <c r="JU92" i="1" s="1"/>
  <c r="IK78" i="1"/>
  <c r="DA79" i="1"/>
  <c r="DA80" i="1" s="1"/>
  <c r="DA81" i="1" s="1"/>
  <c r="DA82" i="1" s="1"/>
  <c r="DA84" i="1" s="1"/>
  <c r="DA85" i="1" s="1"/>
  <c r="DA86" i="1" s="1"/>
  <c r="DA87" i="1" s="1"/>
  <c r="DA88" i="1" s="1"/>
  <c r="DA89" i="1" s="1"/>
  <c r="DA90" i="1" s="1"/>
  <c r="DA91" i="1" s="1"/>
  <c r="DA92" i="1" s="1"/>
  <c r="JN82" i="1"/>
  <c r="CA83" i="1"/>
  <c r="CA94" i="1" s="1"/>
  <c r="D18" i="7" s="1"/>
  <c r="CX93" i="1"/>
  <c r="CX83" i="1"/>
  <c r="CX94" i="1" s="1"/>
  <c r="E15" i="7" s="1"/>
  <c r="DL83" i="1"/>
  <c r="FR83" i="1"/>
  <c r="FR94" i="1" s="1"/>
  <c r="G22" i="7" s="1"/>
  <c r="HV83" i="1"/>
  <c r="HV94" i="1" s="1"/>
  <c r="I21" i="7" s="1"/>
  <c r="HW74" i="1"/>
  <c r="HW75" i="1" s="1"/>
  <c r="HW76" i="1" s="1"/>
  <c r="HW77" i="1" s="1"/>
  <c r="HW78" i="1" s="1"/>
  <c r="HW79" i="1" s="1"/>
  <c r="HW80" i="1" s="1"/>
  <c r="HW81" i="1" s="1"/>
  <c r="HW82" i="1" s="1"/>
  <c r="HW84" i="1" s="1"/>
  <c r="HW85" i="1" s="1"/>
  <c r="HW86" i="1" s="1"/>
  <c r="HW87" i="1" s="1"/>
  <c r="HW88" i="1" s="1"/>
  <c r="HW89" i="1" s="1"/>
  <c r="HW90" i="1" s="1"/>
  <c r="HW91" i="1" s="1"/>
  <c r="HW92" i="1" s="1"/>
  <c r="AG94" i="1"/>
  <c r="AG83" i="1"/>
  <c r="GE76" i="1"/>
  <c r="IK76" i="1"/>
  <c r="CK94" i="1"/>
  <c r="D24" i="7" s="1"/>
  <c r="CK83" i="1"/>
  <c r="DE77" i="1"/>
  <c r="DE78" i="1" s="1"/>
  <c r="DE79" i="1" s="1"/>
  <c r="DE80" i="1" s="1"/>
  <c r="DE81" i="1" s="1"/>
  <c r="DE82" i="1" s="1"/>
  <c r="DE84" i="1" s="1"/>
  <c r="DE85" i="1" s="1"/>
  <c r="DE86" i="1" s="1"/>
  <c r="DE87" i="1" s="1"/>
  <c r="DE88" i="1" s="1"/>
  <c r="DE89" i="1" s="1"/>
  <c r="DE90" i="1" s="1"/>
  <c r="DE91" i="1" s="1"/>
  <c r="DE92" i="1" s="1"/>
  <c r="CC83" i="1"/>
  <c r="CC94" i="1" s="1"/>
  <c r="D19" i="7" s="1"/>
  <c r="IQ93" i="1"/>
  <c r="FQ85" i="1"/>
  <c r="FQ86" i="1" s="1"/>
  <c r="FQ87" i="1" s="1"/>
  <c r="FQ88" i="1" s="1"/>
  <c r="FQ89" i="1" s="1"/>
  <c r="FQ90" i="1" s="1"/>
  <c r="FQ91" i="1" s="1"/>
  <c r="JN87" i="1"/>
  <c r="AT83" i="1"/>
  <c r="BI94" i="1"/>
  <c r="C25" i="7" s="1"/>
  <c r="BI83" i="1"/>
  <c r="CY74" i="1"/>
  <c r="FD83" i="1"/>
  <c r="JZ83" i="1"/>
  <c r="BA75" i="1"/>
  <c r="CM94" i="1"/>
  <c r="D26" i="7" s="1"/>
  <c r="CM83" i="1"/>
  <c r="IP75" i="1"/>
  <c r="IP76" i="1" s="1"/>
  <c r="IP77" i="1" s="1"/>
  <c r="IP78" i="1" s="1"/>
  <c r="IP79" i="1" s="1"/>
  <c r="IP80" i="1" s="1"/>
  <c r="IP81" i="1" s="1"/>
  <c r="IP82" i="1" s="1"/>
  <c r="IP84" i="1" s="1"/>
  <c r="IP85" i="1" s="1"/>
  <c r="IP86" i="1" s="1"/>
  <c r="IP87" i="1" s="1"/>
  <c r="IP88" i="1" s="1"/>
  <c r="IP89" i="1" s="1"/>
  <c r="IP90" i="1" s="1"/>
  <c r="IP91" i="1" s="1"/>
  <c r="IP92" i="1" s="1"/>
  <c r="GH76" i="1"/>
  <c r="GH77" i="1" s="1"/>
  <c r="GH78" i="1" s="1"/>
  <c r="BV77" i="1"/>
  <c r="BV78" i="1" s="1"/>
  <c r="BV79" i="1" s="1"/>
  <c r="BV80" i="1" s="1"/>
  <c r="BV81" i="1" s="1"/>
  <c r="BV82" i="1" s="1"/>
  <c r="BV84" i="1" s="1"/>
  <c r="BV85" i="1" s="1"/>
  <c r="BV86" i="1" s="1"/>
  <c r="BV87" i="1" s="1"/>
  <c r="BV88" i="1" s="1"/>
  <c r="BV89" i="1" s="1"/>
  <c r="BV90" i="1" s="1"/>
  <c r="BV91" i="1" s="1"/>
  <c r="BV92" i="1" s="1"/>
  <c r="KC78" i="1"/>
  <c r="KC79" i="1" s="1"/>
  <c r="KC80" i="1" s="1"/>
  <c r="KC81" i="1" s="1"/>
  <c r="KC82" i="1" s="1"/>
  <c r="KC84" i="1" s="1"/>
  <c r="KC85" i="1" s="1"/>
  <c r="KC86" i="1" s="1"/>
  <c r="KC87" i="1" s="1"/>
  <c r="KC88" i="1" s="1"/>
  <c r="KC89" i="1" s="1"/>
  <c r="KC90" i="1" s="1"/>
  <c r="KC91" i="1" s="1"/>
  <c r="KC92" i="1" s="1"/>
  <c r="V79" i="1"/>
  <c r="V80" i="1" s="1"/>
  <c r="V81" i="1" s="1"/>
  <c r="V82" i="1" s="1"/>
  <c r="V84" i="1" s="1"/>
  <c r="V85" i="1" s="1"/>
  <c r="V86" i="1" s="1"/>
  <c r="V87" i="1" s="1"/>
  <c r="V88" i="1" s="1"/>
  <c r="V89" i="1" s="1"/>
  <c r="V90" i="1" s="1"/>
  <c r="V91" i="1" s="1"/>
  <c r="V92" i="1" s="1"/>
  <c r="AF93" i="1"/>
  <c r="AA83" i="1"/>
  <c r="AA94" i="1" s="1"/>
  <c r="FP83" i="1"/>
  <c r="FP94" i="1" s="1"/>
  <c r="G21" i="7" s="1"/>
  <c r="GG83" i="1"/>
  <c r="GG94" i="1" s="1"/>
  <c r="H15" i="7" s="1"/>
  <c r="GS83" i="1"/>
  <c r="IY83" i="1"/>
  <c r="KB83" i="1"/>
  <c r="KB94" i="1" s="1"/>
  <c r="K21" i="7" s="1"/>
  <c r="AB75" i="1"/>
  <c r="AB76" i="1" s="1"/>
  <c r="AB77" i="1" s="1"/>
  <c r="GJ75" i="1"/>
  <c r="JY75" i="1"/>
  <c r="JY76" i="1"/>
  <c r="JY77" i="1" s="1"/>
  <c r="JY78" i="1" s="1"/>
  <c r="JY79" i="1" s="1"/>
  <c r="JY80" i="1" s="1"/>
  <c r="JY81" i="1" s="1"/>
  <c r="JY82" i="1" s="1"/>
  <c r="JY84" i="1" s="1"/>
  <c r="JY85" i="1" s="1"/>
  <c r="JY86" i="1" s="1"/>
  <c r="JY87" i="1" s="1"/>
  <c r="JY88" i="1" s="1"/>
  <c r="JY89" i="1" s="1"/>
  <c r="JY90" i="1" s="1"/>
  <c r="JY91" i="1" s="1"/>
  <c r="JY92" i="1" s="1"/>
  <c r="JC94" i="1"/>
  <c r="J24" i="7" s="1"/>
  <c r="JC83" i="1"/>
  <c r="EB79" i="1"/>
  <c r="EB80" i="1" s="1"/>
  <c r="EB81" i="1" s="1"/>
  <c r="EB82" i="1" s="1"/>
  <c r="EB84" i="1" s="1"/>
  <c r="EB85" i="1" s="1"/>
  <c r="EB86" i="1" s="1"/>
  <c r="EB87" i="1" s="1"/>
  <c r="K4" i="7"/>
  <c r="JH94" i="1"/>
  <c r="K3" i="7" s="1"/>
  <c r="K6" i="7" s="1"/>
  <c r="AH93" i="1"/>
  <c r="EZ93" i="1"/>
  <c r="FB84" i="1"/>
  <c r="GS93" i="1"/>
  <c r="HR93" i="1"/>
  <c r="HV93" i="1"/>
  <c r="JN89" i="1"/>
  <c r="M91" i="1"/>
  <c r="FE80" i="1"/>
  <c r="FE81" i="1" s="1"/>
  <c r="FE82" i="1" s="1"/>
  <c r="FE84" i="1" s="1"/>
  <c r="H11" i="7"/>
  <c r="GA94" i="1"/>
  <c r="H10" i="7" s="1"/>
  <c r="H23" i="7" s="1"/>
  <c r="J4" i="7"/>
  <c r="IE94" i="1"/>
  <c r="J3" i="7" s="1"/>
  <c r="J6" i="7" s="1"/>
  <c r="JX83" i="1"/>
  <c r="JX94" i="1" s="1"/>
  <c r="K19" i="7" s="1"/>
  <c r="HF93" i="1"/>
  <c r="HH84" i="1"/>
  <c r="CV89" i="1"/>
  <c r="BK83" i="1"/>
  <c r="CN83" i="1"/>
  <c r="GM83" i="1"/>
  <c r="IS83" i="1"/>
  <c r="IS94" i="1" s="1"/>
  <c r="J18" i="7" s="1"/>
  <c r="FM75" i="1"/>
  <c r="FM76" i="1" s="1"/>
  <c r="FM77" i="1" s="1"/>
  <c r="FM78" i="1" s="1"/>
  <c r="FM79" i="1" s="1"/>
  <c r="FM80" i="1" s="1"/>
  <c r="FM81" i="1" s="1"/>
  <c r="FM82" i="1" s="1"/>
  <c r="FM84" i="1" s="1"/>
  <c r="FM85" i="1" s="1"/>
  <c r="FM86" i="1" s="1"/>
  <c r="FM87" i="1" s="1"/>
  <c r="FM88" i="1" s="1"/>
  <c r="FM89" i="1" s="1"/>
  <c r="FM90" i="1" s="1"/>
  <c r="FM91" i="1" s="1"/>
  <c r="FM92" i="1" s="1"/>
  <c r="GW94" i="1"/>
  <c r="H24" i="7" s="1"/>
  <c r="FG80" i="1"/>
  <c r="FG81" i="1" s="1"/>
  <c r="FG82" i="1" s="1"/>
  <c r="FG84" i="1" s="1"/>
  <c r="FG85" i="1" s="1"/>
  <c r="FG86" i="1" s="1"/>
  <c r="FG87" i="1" s="1"/>
  <c r="FG88" i="1" s="1"/>
  <c r="FG89" i="1" s="1"/>
  <c r="FG90" i="1" s="1"/>
  <c r="FG91" i="1" s="1"/>
  <c r="FG92" i="1" s="1"/>
  <c r="DY81" i="1"/>
  <c r="DF83" i="1"/>
  <c r="KH83" i="1"/>
  <c r="AV93" i="1"/>
  <c r="CG93" i="1"/>
  <c r="EM93" i="1"/>
  <c r="M85" i="1"/>
  <c r="DD83" i="1"/>
  <c r="DD94" i="1" s="1"/>
  <c r="E18" i="7" s="1"/>
  <c r="FJ83" i="1"/>
  <c r="FJ94" i="1" s="1"/>
  <c r="G18" i="7" s="1"/>
  <c r="FK74" i="1"/>
  <c r="FK75" i="1" s="1"/>
  <c r="FK76" i="1" s="1"/>
  <c r="FK77" i="1" s="1"/>
  <c r="FK78" i="1" s="1"/>
  <c r="FK79" i="1" s="1"/>
  <c r="FK80" i="1" s="1"/>
  <c r="FK81" i="1" s="1"/>
  <c r="FK82" i="1" s="1"/>
  <c r="FK84" i="1" s="1"/>
  <c r="FK85" i="1" s="1"/>
  <c r="FK86" i="1" s="1"/>
  <c r="FK87" i="1" s="1"/>
  <c r="FK88" i="1" s="1"/>
  <c r="FK89" i="1" s="1"/>
  <c r="FK90" i="1" s="1"/>
  <c r="FK91" i="1" s="1"/>
  <c r="FK92" i="1" s="1"/>
  <c r="HR83" i="1"/>
  <c r="IN75" i="1"/>
  <c r="IN76" i="1" s="1"/>
  <c r="IN77" i="1" s="1"/>
  <c r="IN78" i="1" s="1"/>
  <c r="IN79" i="1" s="1"/>
  <c r="IN80" i="1" s="1"/>
  <c r="IN81" i="1" s="1"/>
  <c r="IN82" i="1" s="1"/>
  <c r="IN84" i="1" s="1"/>
  <c r="IN85" i="1" s="1"/>
  <c r="IN86" i="1" s="1"/>
  <c r="IN87" i="1" s="1"/>
  <c r="IN88" i="1" s="1"/>
  <c r="IN89" i="1" s="1"/>
  <c r="IN90" i="1" s="1"/>
  <c r="IN91" i="1" s="1"/>
  <c r="IN92" i="1" s="1"/>
  <c r="EJ76" i="1"/>
  <c r="EJ77" i="1" s="1"/>
  <c r="EJ78" i="1" s="1"/>
  <c r="EJ79" i="1" s="1"/>
  <c r="EJ80" i="1" s="1"/>
  <c r="CD77" i="1"/>
  <c r="CD78" i="1" s="1"/>
  <c r="CD79" i="1" s="1"/>
  <c r="CD80" i="1" s="1"/>
  <c r="CD81" i="1" s="1"/>
  <c r="CD82" i="1" s="1"/>
  <c r="CD84" i="1" s="1"/>
  <c r="CD85" i="1" s="1"/>
  <c r="CD86" i="1" s="1"/>
  <c r="CD87" i="1" s="1"/>
  <c r="CD88" i="1" s="1"/>
  <c r="CD89" i="1" s="1"/>
  <c r="CD90" i="1" s="1"/>
  <c r="CD91" i="1" s="1"/>
  <c r="CD92" i="1" s="1"/>
  <c r="AW78" i="1"/>
  <c r="AW79" i="1" s="1"/>
  <c r="AW80" i="1" s="1"/>
  <c r="IT78" i="1"/>
  <c r="GW83" i="1"/>
  <c r="BS93" i="1"/>
  <c r="DY93" i="1"/>
  <c r="FL93" i="1"/>
  <c r="FE85" i="1"/>
  <c r="FE86" i="1" s="1"/>
  <c r="FE87" i="1" s="1"/>
  <c r="FE88" i="1" s="1"/>
  <c r="FE89" i="1" s="1"/>
  <c r="FE90" i="1" s="1"/>
  <c r="FE91" i="1" s="1"/>
  <c r="FE92" i="1" s="1"/>
  <c r="EJ87" i="1"/>
  <c r="EJ88" i="1" s="1"/>
  <c r="GC83" i="1"/>
  <c r="GC94" i="1" s="1"/>
  <c r="H13" i="7" s="1"/>
  <c r="GO83" i="1"/>
  <c r="GO94" i="1" s="1"/>
  <c r="H19" i="7" s="1"/>
  <c r="HF83" i="1"/>
  <c r="HF94" i="1" s="1"/>
  <c r="I13" i="7" s="1"/>
  <c r="HS74" i="1"/>
  <c r="HS75" i="1" s="1"/>
  <c r="HS76" i="1" s="1"/>
  <c r="HS77" i="1" s="1"/>
  <c r="HS78" i="1" s="1"/>
  <c r="HS79" i="1" s="1"/>
  <c r="HS80" i="1" s="1"/>
  <c r="HS81" i="1" s="1"/>
  <c r="HS82" i="1" s="1"/>
  <c r="HS84" i="1" s="1"/>
  <c r="HS85" i="1" s="1"/>
  <c r="HS86" i="1" s="1"/>
  <c r="HS87" i="1" s="1"/>
  <c r="HS88" i="1" s="1"/>
  <c r="HS89" i="1" s="1"/>
  <c r="HS90" i="1" s="1"/>
  <c r="HS91" i="1" s="1"/>
  <c r="HS92" i="1" s="1"/>
  <c r="II83" i="1"/>
  <c r="IU83" i="1"/>
  <c r="FB75" i="1"/>
  <c r="JE94" i="1"/>
  <c r="J26" i="7" s="1"/>
  <c r="DE76" i="1"/>
  <c r="IK77" i="1"/>
  <c r="AY78" i="1"/>
  <c r="AY79" i="1" s="1"/>
  <c r="AY80" i="1" s="1"/>
  <c r="AY81" i="1" s="1"/>
  <c r="AY82" i="1" s="1"/>
  <c r="AY84" i="1" s="1"/>
  <c r="AY85" i="1" s="1"/>
  <c r="AY86" i="1" s="1"/>
  <c r="AY87" i="1" s="1"/>
  <c r="AY88" i="1" s="1"/>
  <c r="AY89" i="1" s="1"/>
  <c r="AY90" i="1" s="1"/>
  <c r="AY91" i="1" s="1"/>
  <c r="AY92" i="1" s="1"/>
  <c r="JN78" i="1"/>
  <c r="HK80" i="1"/>
  <c r="HK81" i="1" s="1"/>
  <c r="HK82" i="1" s="1"/>
  <c r="HK84" i="1" s="1"/>
  <c r="HK85" i="1" s="1"/>
  <c r="HK86" i="1" s="1"/>
  <c r="HK87" i="1" s="1"/>
  <c r="HK88" i="1" s="1"/>
  <c r="HK89" i="1" s="1"/>
  <c r="HK90" i="1" s="1"/>
  <c r="HK91" i="1" s="1"/>
  <c r="HK92" i="1" s="1"/>
  <c r="AP82" i="1"/>
  <c r="G4" i="7"/>
  <c r="EV94" i="1"/>
  <c r="G3" i="7" s="1"/>
  <c r="G6" i="7" s="1"/>
  <c r="K93" i="1"/>
  <c r="K94" i="1" s="1"/>
  <c r="M84" i="1"/>
  <c r="FN93" i="1"/>
  <c r="DQ93" i="1"/>
  <c r="AN83" i="1"/>
  <c r="AZ83" i="1"/>
  <c r="EZ83" i="1"/>
  <c r="GP74" i="1"/>
  <c r="GP75" i="1" s="1"/>
  <c r="GP76" i="1" s="1"/>
  <c r="GP77" i="1" s="1"/>
  <c r="GP78" i="1" s="1"/>
  <c r="GP79" i="1" s="1"/>
  <c r="GP80" i="1" s="1"/>
  <c r="GP81" i="1" s="1"/>
  <c r="GP82" i="1" s="1"/>
  <c r="GP84" i="1" s="1"/>
  <c r="GP85" i="1" s="1"/>
  <c r="GP86" i="1" s="1"/>
  <c r="GP87" i="1" s="1"/>
  <c r="GP88" i="1" s="1"/>
  <c r="GP89" i="1" s="1"/>
  <c r="GP90" i="1" s="1"/>
  <c r="GP91" i="1" s="1"/>
  <c r="GP92" i="1" s="1"/>
  <c r="HT83" i="1"/>
  <c r="HT94" i="1" s="1"/>
  <c r="I20" i="7" s="1"/>
  <c r="IV74" i="1"/>
  <c r="IV75" i="1" s="1"/>
  <c r="DY75" i="1"/>
  <c r="DG76" i="1"/>
  <c r="DG77" i="1" s="1"/>
  <c r="DG78" i="1" s="1"/>
  <c r="DG79" i="1" s="1"/>
  <c r="DY76" i="1"/>
  <c r="BS77" i="1"/>
  <c r="R80" i="1"/>
  <c r="R81" i="1" s="1"/>
  <c r="R82" i="1" s="1"/>
  <c r="R84" i="1" s="1"/>
  <c r="R85" i="1" s="1"/>
  <c r="R86" i="1" s="1"/>
  <c r="AW81" i="1"/>
  <c r="AW82" i="1" s="1"/>
  <c r="AW84" i="1" s="1"/>
  <c r="AW85" i="1" s="1"/>
  <c r="AW86" i="1" s="1"/>
  <c r="AW87" i="1" s="1"/>
  <c r="AW88" i="1" s="1"/>
  <c r="AW89" i="1" s="1"/>
  <c r="AW90" i="1" s="1"/>
  <c r="AW91" i="1" s="1"/>
  <c r="AW92" i="1" s="1"/>
  <c r="C4" i="7"/>
  <c r="AJ94" i="1"/>
  <c r="C3" i="7" s="1"/>
  <c r="C6" i="7" s="1"/>
  <c r="AC93" i="1"/>
  <c r="AZ93" i="1"/>
  <c r="DF93" i="1"/>
  <c r="CV86" i="1"/>
  <c r="HH86" i="1"/>
  <c r="CV90" i="1"/>
  <c r="ET93" i="1"/>
  <c r="GK93" i="1"/>
  <c r="HT93" i="1"/>
  <c r="AP86" i="1"/>
  <c r="CE83" i="1"/>
  <c r="CE94" i="1" s="1"/>
  <c r="D20" i="7" s="1"/>
  <c r="DW83" i="1"/>
  <c r="DW94" i="1" s="1"/>
  <c r="F13" i="7" s="1"/>
  <c r="JD94" i="1"/>
  <c r="J25" i="7" s="1"/>
  <c r="JD83" i="1"/>
  <c r="BA76" i="1"/>
  <c r="FE78" i="1"/>
  <c r="FE79" i="1" s="1"/>
  <c r="GH79" i="1"/>
  <c r="GH80" i="1" s="1"/>
  <c r="GH81" i="1" s="1"/>
  <c r="GH82" i="1" s="1"/>
  <c r="GH84" i="1" s="1"/>
  <c r="GH85" i="1" s="1"/>
  <c r="GH86" i="1" s="1"/>
  <c r="GH87" i="1" s="1"/>
  <c r="GH88" i="1" s="1"/>
  <c r="GH89" i="1" s="1"/>
  <c r="GH90" i="1" s="1"/>
  <c r="GH91" i="1" s="1"/>
  <c r="GH92" i="1" s="1"/>
  <c r="DG80" i="1"/>
  <c r="DG81" i="1" s="1"/>
  <c r="DG82" i="1" s="1"/>
  <c r="DG84" i="1" s="1"/>
  <c r="DG85" i="1" s="1"/>
  <c r="DG86" i="1" s="1"/>
  <c r="DG87" i="1" s="1"/>
  <c r="S93" i="1"/>
  <c r="BU93" i="1"/>
  <c r="BU94" i="1" s="1"/>
  <c r="D15" i="7" s="1"/>
  <c r="CZ93" i="1"/>
  <c r="HX93" i="1"/>
  <c r="JP93" i="1"/>
  <c r="KD93" i="1"/>
  <c r="EQ93" i="1"/>
  <c r="F4" i="7"/>
  <c r="DS94" i="1"/>
  <c r="F3" i="7" s="1"/>
  <c r="F6" i="7" s="1"/>
  <c r="AN93" i="1"/>
  <c r="BD93" i="1"/>
  <c r="BW93" i="1"/>
  <c r="FD93" i="1"/>
  <c r="FW93" i="1"/>
  <c r="GO93" i="1"/>
  <c r="DK85" i="1"/>
  <c r="DK86" i="1" s="1"/>
  <c r="DK87" i="1" s="1"/>
  <c r="DK88" i="1" s="1"/>
  <c r="DK89" i="1" s="1"/>
  <c r="DK90" i="1" s="1"/>
  <c r="DK91" i="1" s="1"/>
  <c r="DK92" i="1" s="1"/>
  <c r="R87" i="1"/>
  <c r="R88" i="1" s="1"/>
  <c r="R89" i="1" s="1"/>
  <c r="R90" i="1" s="1"/>
  <c r="R91" i="1" s="1"/>
  <c r="R92" i="1" s="1"/>
  <c r="CH88" i="1"/>
  <c r="CH89" i="1" s="1"/>
  <c r="CH90" i="1" s="1"/>
  <c r="CH91" i="1" s="1"/>
  <c r="CH92" i="1" s="1"/>
  <c r="EB88" i="1"/>
  <c r="EB89" i="1" s="1"/>
  <c r="EB90" i="1" s="1"/>
  <c r="EB91" i="1" s="1"/>
  <c r="EB92" i="1" s="1"/>
  <c r="E4" i="7"/>
  <c r="CP94" i="1"/>
  <c r="E3" i="7" s="1"/>
  <c r="E6" i="7" s="1"/>
  <c r="AP84" i="1"/>
  <c r="BF93" i="1"/>
  <c r="EI93" i="1"/>
  <c r="IC93" i="1"/>
  <c r="IW93" i="1"/>
  <c r="JR93" i="1"/>
  <c r="KI93" i="1"/>
  <c r="DG88" i="1"/>
  <c r="DG89" i="1" s="1"/>
  <c r="DG90" i="1" s="1"/>
  <c r="DG91" i="1" s="1"/>
  <c r="DG92" i="1" s="1"/>
  <c r="IK88" i="1"/>
  <c r="AP89" i="1"/>
  <c r="DY91" i="1"/>
  <c r="GL80" i="1"/>
  <c r="GL81" i="1" s="1"/>
  <c r="GL82" i="1" s="1"/>
  <c r="GL84" i="1" s="1"/>
  <c r="GL85" i="1" s="1"/>
  <c r="GL86" i="1" s="1"/>
  <c r="GL87" i="1" s="1"/>
  <c r="GL88" i="1" s="1"/>
  <c r="GL89" i="1" s="1"/>
  <c r="D4" i="7"/>
  <c r="BM94" i="1"/>
  <c r="D3" i="7" s="1"/>
  <c r="D6" i="7" s="1"/>
  <c r="E11" i="7"/>
  <c r="CR94" i="1"/>
  <c r="E10" i="7" s="1"/>
  <c r="E23" i="7" s="1"/>
  <c r="W93" i="1"/>
  <c r="AR93" i="1"/>
  <c r="EK93" i="1"/>
  <c r="FH93" i="1"/>
  <c r="GQ93" i="1"/>
  <c r="II93" i="1"/>
  <c r="JT93" i="1"/>
  <c r="GL92" i="1"/>
  <c r="K11" i="7"/>
  <c r="JJ94" i="1"/>
  <c r="K10" i="7" s="1"/>
  <c r="K23" i="7" s="1"/>
  <c r="CI93" i="1"/>
  <c r="HJ93" i="1"/>
  <c r="JX93" i="1"/>
  <c r="JN88" i="1"/>
  <c r="GE89" i="1"/>
  <c r="GG93" i="1"/>
  <c r="HN93" i="1"/>
  <c r="JL93" i="1"/>
  <c r="JZ93" i="1"/>
  <c r="ER93" i="1"/>
  <c r="FV94" i="1"/>
  <c r="G26" i="7" s="1"/>
  <c r="AT93" i="1"/>
  <c r="BI93" i="1"/>
  <c r="DD93" i="1"/>
  <c r="DW93" i="1"/>
  <c r="EJ84" i="1"/>
  <c r="EJ85" i="1" s="1"/>
  <c r="EJ86" i="1" s="1"/>
  <c r="IU93" i="1"/>
  <c r="KB93" i="1"/>
  <c r="FB87" i="1"/>
  <c r="CV88" i="1"/>
  <c r="FB88" i="1"/>
  <c r="GL90" i="1"/>
  <c r="GL91" i="1" s="1"/>
  <c r="FQ92" i="1"/>
  <c r="IK92" i="1"/>
  <c r="C11" i="7"/>
  <c r="AL94" i="1"/>
  <c r="C10" i="7" s="1"/>
  <c r="C23" i="7" s="1"/>
  <c r="F11" i="7"/>
  <c r="DU94" i="1"/>
  <c r="F10" i="7" s="1"/>
  <c r="F23" i="7" s="1"/>
  <c r="I11" i="7"/>
  <c r="HD94" i="1"/>
  <c r="I10" i="7" s="1"/>
  <c r="I23" i="7" s="1"/>
  <c r="U93" i="1"/>
  <c r="BK93" i="1"/>
  <c r="BY93" i="1"/>
  <c r="CL93" i="1"/>
  <c r="EC93" i="1"/>
  <c r="EO93" i="1"/>
  <c r="EO94" i="1" s="1"/>
  <c r="F22" i="7" s="1"/>
  <c r="FR93" i="1"/>
  <c r="GU93" i="1"/>
  <c r="HL93" i="1"/>
  <c r="IO93" i="1"/>
  <c r="JA93" i="1"/>
  <c r="JC93" i="1"/>
  <c r="FB89" i="1"/>
  <c r="AP91" i="1"/>
  <c r="HH91" i="1"/>
  <c r="GI93" i="1"/>
  <c r="AX93" i="1"/>
  <c r="AX94" i="1" s="1"/>
  <c r="C18" i="7" s="1"/>
  <c r="CN93" i="1"/>
  <c r="DB93" i="1"/>
  <c r="DO93" i="1"/>
  <c r="FF93" i="1"/>
  <c r="FF94" i="1" s="1"/>
  <c r="G16" i="7" s="1"/>
  <c r="FU93" i="1"/>
  <c r="IA93" i="1"/>
  <c r="D11" i="7"/>
  <c r="BO94" i="1"/>
  <c r="D10" i="7" s="1"/>
  <c r="D23" i="7" s="1"/>
  <c r="G11" i="7"/>
  <c r="EX94" i="1"/>
  <c r="G10" i="7" s="1"/>
  <c r="G23" i="7" s="1"/>
  <c r="J11" i="7"/>
  <c r="IG94" i="1"/>
  <c r="J10" i="7" s="1"/>
  <c r="J23" i="7" s="1"/>
  <c r="BQ93" i="1"/>
  <c r="EG93" i="1"/>
  <c r="EG94" i="1" s="1"/>
  <c r="F18" i="7" s="1"/>
  <c r="GM93" i="1"/>
  <c r="HP93" i="1"/>
  <c r="IS93" i="1"/>
  <c r="JV93" i="1"/>
  <c r="JV94" i="1" s="1"/>
  <c r="K18" i="7" s="1"/>
  <c r="HZ93" i="1"/>
  <c r="EJ89" i="1"/>
  <c r="EJ90" i="1" s="1"/>
  <c r="EJ91" i="1" s="1"/>
  <c r="EJ92" i="1" s="1"/>
  <c r="BS90" i="1"/>
  <c r="GE90" i="1"/>
  <c r="EE93" i="1"/>
  <c r="IM93" i="1"/>
  <c r="IY93" i="1"/>
  <c r="IB93" i="1"/>
  <c r="IK45" i="1" l="1"/>
  <c r="FD94" i="1"/>
  <c r="G15" i="7" s="1"/>
  <c r="IK59" i="1"/>
  <c r="IK70" i="1" s="1"/>
  <c r="F21" i="2"/>
  <c r="EM47" i="1"/>
  <c r="F19" i="2"/>
  <c r="AZ94" i="1"/>
  <c r="C19" i="7" s="1"/>
  <c r="DL94" i="1"/>
  <c r="E22" i="7" s="1"/>
  <c r="JV70" i="1"/>
  <c r="J19" i="5"/>
  <c r="IU71" i="1"/>
  <c r="K15" i="5"/>
  <c r="JP71" i="1"/>
  <c r="JL46" i="1"/>
  <c r="F20" i="2"/>
  <c r="D22" i="2"/>
  <c r="CI47" i="1"/>
  <c r="AN94" i="1"/>
  <c r="C13" i="7" s="1"/>
  <c r="M93" i="1"/>
  <c r="K16" i="5"/>
  <c r="JR71" i="1"/>
  <c r="K10" i="5"/>
  <c r="K23" i="5" s="1"/>
  <c r="JJ71" i="1"/>
  <c r="FB70" i="1"/>
  <c r="G14" i="5" s="1"/>
  <c r="HH59" i="1"/>
  <c r="K46" i="1"/>
  <c r="B13" i="3" s="1"/>
  <c r="I22" i="3"/>
  <c r="HX47" i="1"/>
  <c r="IL4" i="1"/>
  <c r="IK12" i="1"/>
  <c r="IK23" i="1" s="1"/>
  <c r="EK94" i="1"/>
  <c r="F20" i="7" s="1"/>
  <c r="U94" i="1"/>
  <c r="JN69" i="1"/>
  <c r="JN59" i="1"/>
  <c r="J20" i="5"/>
  <c r="IW71" i="1"/>
  <c r="G10" i="3"/>
  <c r="G23" i="3" s="1"/>
  <c r="EX47" i="1"/>
  <c r="BY70" i="1"/>
  <c r="D17" i="5" s="1"/>
  <c r="D10" i="2"/>
  <c r="D23" i="2" s="1"/>
  <c r="BO47" i="1"/>
  <c r="FB69" i="1"/>
  <c r="DY59" i="1"/>
  <c r="H22" i="2"/>
  <c r="GU47" i="1"/>
  <c r="K20" i="5"/>
  <c r="JZ71" i="1"/>
  <c r="H13" i="2"/>
  <c r="D7" i="2"/>
  <c r="D8" i="2" s="1"/>
  <c r="CN47" i="1"/>
  <c r="BS83" i="1"/>
  <c r="BS94" i="1" s="1"/>
  <c r="D14" i="7" s="1"/>
  <c r="CV83" i="1"/>
  <c r="J15" i="5"/>
  <c r="IM71" i="1"/>
  <c r="J7" i="5"/>
  <c r="J8" i="5" s="1"/>
  <c r="JF71" i="1"/>
  <c r="IU47" i="1"/>
  <c r="H19" i="2"/>
  <c r="GO47" i="1"/>
  <c r="C15" i="2"/>
  <c r="AR47" i="1"/>
  <c r="AT94" i="1"/>
  <c r="C16" i="7" s="1"/>
  <c r="AP69" i="1"/>
  <c r="DY69" i="1"/>
  <c r="M59" i="1"/>
  <c r="CV70" i="1"/>
  <c r="E14" i="5" s="1"/>
  <c r="B19" i="2"/>
  <c r="AC70" i="1"/>
  <c r="CV35" i="1"/>
  <c r="HH45" i="1"/>
  <c r="HH46" i="1" s="1"/>
  <c r="I14" i="3" s="1"/>
  <c r="FB93" i="1"/>
  <c r="J13" i="5"/>
  <c r="II71" i="1"/>
  <c r="GC70" i="1"/>
  <c r="H13" i="5" s="1"/>
  <c r="H7" i="2"/>
  <c r="H8" i="2" s="1"/>
  <c r="HH22" i="1"/>
  <c r="J21" i="5"/>
  <c r="IY71" i="1"/>
  <c r="FB83" i="1"/>
  <c r="FB94" i="1" s="1"/>
  <c r="G14" i="7" s="1"/>
  <c r="JN93" i="1"/>
  <c r="GE93" i="1"/>
  <c r="GE94" i="1" s="1"/>
  <c r="H14" i="7" s="1"/>
  <c r="BY94" i="1"/>
  <c r="D17" i="7" s="1"/>
  <c r="CI94" i="1"/>
  <c r="D22" i="7" s="1"/>
  <c r="CT70" i="1"/>
  <c r="E13" i="5" s="1"/>
  <c r="HL70" i="1"/>
  <c r="I16" i="5" s="1"/>
  <c r="CV45" i="1"/>
  <c r="BQ94" i="1"/>
  <c r="D13" i="7" s="1"/>
  <c r="DY83" i="1"/>
  <c r="DY94" i="1" s="1"/>
  <c r="F14" i="7" s="1"/>
  <c r="CV93" i="1"/>
  <c r="AP93" i="1"/>
  <c r="HH83" i="1"/>
  <c r="AP83" i="1"/>
  <c r="K10" i="6"/>
  <c r="K10" i="8"/>
  <c r="K11" i="8"/>
  <c r="K9" i="6"/>
  <c r="K11" i="6"/>
  <c r="K3" i="5"/>
  <c r="K6" i="5" s="1"/>
  <c r="K9" i="8"/>
  <c r="JH71" i="1"/>
  <c r="FD70" i="1"/>
  <c r="G15" i="5" s="1"/>
  <c r="FB45" i="1"/>
  <c r="I10" i="2"/>
  <c r="I23" i="2" s="1"/>
  <c r="HD47" i="1"/>
  <c r="G22" i="2"/>
  <c r="D18" i="2"/>
  <c r="CA47" i="1"/>
  <c r="K7" i="5"/>
  <c r="K8" i="5" s="1"/>
  <c r="KI71" i="1"/>
  <c r="D21" i="3"/>
  <c r="CG47" i="1"/>
  <c r="FR46" i="1"/>
  <c r="G22" i="3" s="1"/>
  <c r="BW70" i="1"/>
  <c r="D16" i="5" s="1"/>
  <c r="EK70" i="1"/>
  <c r="F20" i="5" s="1"/>
  <c r="B13" i="2"/>
  <c r="DH70" i="1"/>
  <c r="E20" i="5" s="1"/>
  <c r="G10" i="8"/>
  <c r="G11" i="8"/>
  <c r="G9" i="8"/>
  <c r="G9" i="4"/>
  <c r="G3" i="2"/>
  <c r="G6" i="2" s="1"/>
  <c r="G11" i="4"/>
  <c r="G10" i="4"/>
  <c r="G9" i="6"/>
  <c r="G11" i="6"/>
  <c r="G10" i="6"/>
  <c r="EV47" i="1"/>
  <c r="E7" i="2"/>
  <c r="E8" i="2" s="1"/>
  <c r="FP23" i="1"/>
  <c r="I19" i="2"/>
  <c r="HR47" i="1"/>
  <c r="F16" i="2"/>
  <c r="D16" i="2"/>
  <c r="BW47" i="1"/>
  <c r="G17" i="3"/>
  <c r="FH47" i="1"/>
  <c r="AT46" i="1"/>
  <c r="C16" i="3" s="1"/>
  <c r="HL46" i="1"/>
  <c r="I16" i="3" s="1"/>
  <c r="C10" i="2"/>
  <c r="C23" i="2" s="1"/>
  <c r="AL47" i="1"/>
  <c r="D15" i="2"/>
  <c r="B18" i="2"/>
  <c r="G19" i="3"/>
  <c r="FL47" i="1"/>
  <c r="F10" i="6"/>
  <c r="F9" i="8"/>
  <c r="F11" i="8"/>
  <c r="F9" i="4"/>
  <c r="F10" i="8"/>
  <c r="F9" i="6"/>
  <c r="F11" i="4"/>
  <c r="F11" i="6"/>
  <c r="F3" i="2"/>
  <c r="F6" i="2" s="1"/>
  <c r="F10" i="4"/>
  <c r="DS47" i="1"/>
  <c r="C22" i="2"/>
  <c r="BF47" i="1"/>
  <c r="IK46" i="1"/>
  <c r="GE22" i="1"/>
  <c r="C20" i="4"/>
  <c r="C31" i="4" s="1"/>
  <c r="BB71" i="1"/>
  <c r="GS70" i="1"/>
  <c r="H21" i="5" s="1"/>
  <c r="BS45" i="1"/>
  <c r="BS46" i="1" s="1"/>
  <c r="D14" i="3" s="1"/>
  <c r="BD70" i="1"/>
  <c r="CZ70" i="1"/>
  <c r="E16" i="5" s="1"/>
  <c r="BY46" i="1"/>
  <c r="GQ70" i="1"/>
  <c r="H20" i="5" s="1"/>
  <c r="GU46" i="1"/>
  <c r="H22" i="3" s="1"/>
  <c r="BU70" i="1"/>
  <c r="D15" i="5" s="1"/>
  <c r="DY46" i="1"/>
  <c r="F14" i="3" s="1"/>
  <c r="E10" i="2"/>
  <c r="E23" i="2" s="1"/>
  <c r="CR47" i="1"/>
  <c r="BU46" i="1"/>
  <c r="D15" i="3" s="1"/>
  <c r="C9" i="8"/>
  <c r="C11" i="8"/>
  <c r="C9" i="6"/>
  <c r="C10" i="6"/>
  <c r="C11" i="4"/>
  <c r="C10" i="8"/>
  <c r="C9" i="4"/>
  <c r="C3" i="2"/>
  <c r="C6" i="2" s="1"/>
  <c r="C11" i="6"/>
  <c r="C10" i="4"/>
  <c r="AJ47" i="1"/>
  <c r="EZ46" i="1"/>
  <c r="G13" i="3" s="1"/>
  <c r="IW47" i="1"/>
  <c r="GF18" i="1"/>
  <c r="GF19" i="1" s="1"/>
  <c r="GF20" i="1" s="1"/>
  <c r="GF21" i="1" s="1"/>
  <c r="GF26" i="1" s="1"/>
  <c r="GF27" i="1" s="1"/>
  <c r="GF28" i="1" s="1"/>
  <c r="GF29" i="1" s="1"/>
  <c r="GF30" i="1" s="1"/>
  <c r="GF31" i="1" s="1"/>
  <c r="GF32" i="1" s="1"/>
  <c r="GF33" i="1" s="1"/>
  <c r="GF34" i="1" s="1"/>
  <c r="GF36" i="1" s="1"/>
  <c r="GF37" i="1" s="1"/>
  <c r="GF38" i="1" s="1"/>
  <c r="GF39" i="1" s="1"/>
  <c r="GF40" i="1" s="1"/>
  <c r="GF41" i="1" s="1"/>
  <c r="GF42" i="1" s="1"/>
  <c r="GF43" i="1" s="1"/>
  <c r="GF44" i="1" s="1"/>
  <c r="GF50" i="1" s="1"/>
  <c r="GF51" i="1" s="1"/>
  <c r="GF52" i="1" s="1"/>
  <c r="GF53" i="1" s="1"/>
  <c r="GF54" i="1" s="1"/>
  <c r="GF55" i="1" s="1"/>
  <c r="GF56" i="1" s="1"/>
  <c r="GF57" i="1" s="1"/>
  <c r="GF58" i="1" s="1"/>
  <c r="GF60" i="1" s="1"/>
  <c r="GF61" i="1" s="1"/>
  <c r="GF62" i="1" s="1"/>
  <c r="GF63" i="1" s="1"/>
  <c r="GF64" i="1" s="1"/>
  <c r="GF65" i="1" s="1"/>
  <c r="GF66" i="1" s="1"/>
  <c r="GF67" i="1" s="1"/>
  <c r="GF68" i="1" s="1"/>
  <c r="GF74" i="1" s="1"/>
  <c r="GF75" i="1" s="1"/>
  <c r="GF76" i="1" s="1"/>
  <c r="GF77" i="1" s="1"/>
  <c r="GF78" i="1" s="1"/>
  <c r="GF79" i="1" s="1"/>
  <c r="GF80" i="1" s="1"/>
  <c r="GF81" i="1" s="1"/>
  <c r="GF82" i="1" s="1"/>
  <c r="GF84" i="1" s="1"/>
  <c r="GF85" i="1" s="1"/>
  <c r="GF86" i="1" s="1"/>
  <c r="GF87" i="1" s="1"/>
  <c r="GF88" i="1" s="1"/>
  <c r="GF89" i="1" s="1"/>
  <c r="GF90" i="1" s="1"/>
  <c r="GF91" i="1" s="1"/>
  <c r="GF92" i="1" s="1"/>
  <c r="GG46" i="1"/>
  <c r="FW70" i="1"/>
  <c r="G7" i="5" s="1"/>
  <c r="G8" i="5" s="1"/>
  <c r="IU94" i="1"/>
  <c r="J19" i="7" s="1"/>
  <c r="IY94" i="1"/>
  <c r="J21" i="7" s="1"/>
  <c r="DB94" i="1"/>
  <c r="E17" i="7" s="1"/>
  <c r="DQ94" i="1"/>
  <c r="E7" i="7" s="1"/>
  <c r="E8" i="7" s="1"/>
  <c r="JA94" i="1"/>
  <c r="J22" i="7" s="1"/>
  <c r="M69" i="1"/>
  <c r="HN70" i="1"/>
  <c r="I17" i="5" s="1"/>
  <c r="CC70" i="1"/>
  <c r="D19" i="5" s="1"/>
  <c r="GK70" i="1"/>
  <c r="H17" i="5" s="1"/>
  <c r="AX70" i="1"/>
  <c r="GG70" i="1"/>
  <c r="H15" i="5" s="1"/>
  <c r="GE59" i="1"/>
  <c r="HV70" i="1"/>
  <c r="I21" i="5" s="1"/>
  <c r="DW70" i="1"/>
  <c r="F13" i="5" s="1"/>
  <c r="IW46" i="1"/>
  <c r="F22" i="3"/>
  <c r="EO47" i="1"/>
  <c r="B22" i="2"/>
  <c r="AC47" i="1"/>
  <c r="DJ23" i="1"/>
  <c r="IO46" i="1"/>
  <c r="G13" i="2"/>
  <c r="I17" i="2"/>
  <c r="HN47" i="1"/>
  <c r="CV12" i="1"/>
  <c r="CV23" i="1" s="1"/>
  <c r="CW3" i="1"/>
  <c r="CW4" i="1" s="1"/>
  <c r="CW5" i="1" s="1"/>
  <c r="CW6" i="1" s="1"/>
  <c r="CW7" i="1" s="1"/>
  <c r="CW8" i="1" s="1"/>
  <c r="CW9" i="1" s="1"/>
  <c r="CW10" i="1" s="1"/>
  <c r="FJ47" i="1"/>
  <c r="G16" i="2"/>
  <c r="FF47" i="1"/>
  <c r="IL5" i="1"/>
  <c r="IL6" i="1" s="1"/>
  <c r="IL7" i="1" s="1"/>
  <c r="IL8" i="1" s="1"/>
  <c r="IL9" i="1" s="1"/>
  <c r="IL10" i="1" s="1"/>
  <c r="IL11" i="1" s="1"/>
  <c r="IL13" i="1" s="1"/>
  <c r="IL14" i="1" s="1"/>
  <c r="IL15" i="1" s="1"/>
  <c r="IL16" i="1" s="1"/>
  <c r="IL17" i="1" s="1"/>
  <c r="IL18" i="1" s="1"/>
  <c r="IL19" i="1" s="1"/>
  <c r="IL20" i="1" s="1"/>
  <c r="IL21" i="1" s="1"/>
  <c r="IL26" i="1" s="1"/>
  <c r="IL27" i="1" s="1"/>
  <c r="IL28" i="1" s="1"/>
  <c r="IL29" i="1" s="1"/>
  <c r="IL30" i="1" s="1"/>
  <c r="IL31" i="1" s="1"/>
  <c r="IL32" i="1" s="1"/>
  <c r="IL33" i="1" s="1"/>
  <c r="IL34" i="1" s="1"/>
  <c r="IL36" i="1" s="1"/>
  <c r="IL37" i="1" s="1"/>
  <c r="IL38" i="1" s="1"/>
  <c r="IL39" i="1" s="1"/>
  <c r="IL40" i="1" s="1"/>
  <c r="IL41" i="1" s="1"/>
  <c r="IL42" i="1" s="1"/>
  <c r="IL43" i="1" s="1"/>
  <c r="IL44" i="1" s="1"/>
  <c r="IL50" i="1" s="1"/>
  <c r="IL51" i="1" s="1"/>
  <c r="IL52" i="1" s="1"/>
  <c r="IL53" i="1" s="1"/>
  <c r="IL54" i="1" s="1"/>
  <c r="IL55" i="1" s="1"/>
  <c r="IL56" i="1" s="1"/>
  <c r="IL57" i="1" s="1"/>
  <c r="IL58" i="1" s="1"/>
  <c r="IL60" i="1" s="1"/>
  <c r="IL61" i="1" s="1"/>
  <c r="IL62" i="1" s="1"/>
  <c r="IL63" i="1" s="1"/>
  <c r="IL64" i="1" s="1"/>
  <c r="IL65" i="1" s="1"/>
  <c r="IL66" i="1" s="1"/>
  <c r="IL67" i="1" s="1"/>
  <c r="IL68" i="1" s="1"/>
  <c r="IL74" i="1" s="1"/>
  <c r="IL75" i="1" s="1"/>
  <c r="IL76" i="1" s="1"/>
  <c r="IL77" i="1" s="1"/>
  <c r="IL78" i="1" s="1"/>
  <c r="IL79" i="1" s="1"/>
  <c r="IL80" i="1" s="1"/>
  <c r="IL81" i="1" s="1"/>
  <c r="IL82" i="1" s="1"/>
  <c r="IL84" i="1" s="1"/>
  <c r="IL85" i="1" s="1"/>
  <c r="IL86" i="1" s="1"/>
  <c r="IL87" i="1" s="1"/>
  <c r="IL88" i="1" s="1"/>
  <c r="IL89" i="1" s="1"/>
  <c r="IL90" i="1" s="1"/>
  <c r="IL91" i="1" s="1"/>
  <c r="IL92" i="1" s="1"/>
  <c r="EZ94" i="1"/>
  <c r="G13" i="7" s="1"/>
  <c r="II94" i="1"/>
  <c r="J13" i="7" s="1"/>
  <c r="GS94" i="1"/>
  <c r="H21" i="7" s="1"/>
  <c r="CG94" i="1"/>
  <c r="D21" i="7" s="1"/>
  <c r="AC94" i="1"/>
  <c r="IK83" i="1"/>
  <c r="IK94" i="1" s="1"/>
  <c r="J14" i="7" s="1"/>
  <c r="GZ70" i="1"/>
  <c r="H7" i="5" s="1"/>
  <c r="H8" i="5" s="1"/>
  <c r="H9" i="5" s="1"/>
  <c r="S94" i="1"/>
  <c r="HH69" i="1"/>
  <c r="GE69" i="1"/>
  <c r="DL70" i="1"/>
  <c r="E22" i="5" s="1"/>
  <c r="JT70" i="1"/>
  <c r="AH46" i="1"/>
  <c r="B7" i="3" s="1"/>
  <c r="B8" i="3" s="1"/>
  <c r="II46" i="1"/>
  <c r="F10" i="2"/>
  <c r="F23" i="2" s="1"/>
  <c r="DU47" i="1"/>
  <c r="AP59" i="1"/>
  <c r="AP70" i="1" s="1"/>
  <c r="E17" i="2"/>
  <c r="DB47" i="1"/>
  <c r="FB35" i="1"/>
  <c r="FB46" i="1" s="1"/>
  <c r="G14" i="3" s="1"/>
  <c r="I13" i="2"/>
  <c r="HF47" i="1"/>
  <c r="G15" i="2"/>
  <c r="FD47" i="1"/>
  <c r="FC9" i="1"/>
  <c r="FC10" i="1" s="1"/>
  <c r="FC11" i="1" s="1"/>
  <c r="FB12" i="1"/>
  <c r="JN35" i="1"/>
  <c r="JN46" i="1" s="1"/>
  <c r="JN22" i="1"/>
  <c r="I11" i="8"/>
  <c r="I9" i="6"/>
  <c r="I9" i="8"/>
  <c r="I11" i="6"/>
  <c r="I10" i="4"/>
  <c r="I10" i="8"/>
  <c r="I10" i="6"/>
  <c r="I11" i="4"/>
  <c r="I9" i="4"/>
  <c r="I3" i="2"/>
  <c r="I6" i="2" s="1"/>
  <c r="HB47" i="1"/>
  <c r="F17" i="2"/>
  <c r="EE47" i="1"/>
  <c r="BS12" i="1"/>
  <c r="I7" i="2"/>
  <c r="I8" i="2" s="1"/>
  <c r="IC47" i="1"/>
  <c r="E20" i="2"/>
  <c r="DF94" i="1"/>
  <c r="E19" i="7" s="1"/>
  <c r="GM94" i="1"/>
  <c r="H18" i="7" s="1"/>
  <c r="JL94" i="1"/>
  <c r="K13" i="7" s="1"/>
  <c r="IO94" i="1"/>
  <c r="J16" i="7" s="1"/>
  <c r="BW94" i="1"/>
  <c r="D16" i="7" s="1"/>
  <c r="IW94" i="1"/>
  <c r="J20" i="7" s="1"/>
  <c r="BF70" i="1"/>
  <c r="JL70" i="1"/>
  <c r="JX70" i="1"/>
  <c r="Y70" i="1"/>
  <c r="EZ70" i="1"/>
  <c r="G13" i="5" s="1"/>
  <c r="DB70" i="1"/>
  <c r="E17" i="5" s="1"/>
  <c r="GZ46" i="1"/>
  <c r="H7" i="3" s="1"/>
  <c r="H8" i="3" s="1"/>
  <c r="JF46" i="1"/>
  <c r="JF47" i="1" s="1"/>
  <c r="JN45" i="1"/>
  <c r="JT46" i="1"/>
  <c r="JT47" i="1" s="1"/>
  <c r="GQ46" i="1"/>
  <c r="H20" i="3" s="1"/>
  <c r="AP35" i="1"/>
  <c r="AP46" i="1" s="1"/>
  <c r="C14" i="3" s="1"/>
  <c r="AN46" i="1"/>
  <c r="C13" i="3" s="1"/>
  <c r="E15" i="2"/>
  <c r="CX47" i="1"/>
  <c r="CE46" i="1"/>
  <c r="D20" i="3" s="1"/>
  <c r="I15" i="2"/>
  <c r="HJ47" i="1"/>
  <c r="D19" i="2"/>
  <c r="C21" i="2"/>
  <c r="BD47" i="1"/>
  <c r="JP47" i="1"/>
  <c r="FB22" i="1"/>
  <c r="FC13" i="1"/>
  <c r="FC14" i="1" s="1"/>
  <c r="FC15" i="1" s="1"/>
  <c r="FC16" i="1" s="1"/>
  <c r="FC17" i="1" s="1"/>
  <c r="FC18" i="1" s="1"/>
  <c r="FC19" i="1" s="1"/>
  <c r="FC20" i="1" s="1"/>
  <c r="FC21" i="1" s="1"/>
  <c r="FC26" i="1" s="1"/>
  <c r="FC27" i="1" s="1"/>
  <c r="FC28" i="1" s="1"/>
  <c r="FC29" i="1" s="1"/>
  <c r="FC30" i="1" s="1"/>
  <c r="FC31" i="1" s="1"/>
  <c r="FC32" i="1" s="1"/>
  <c r="FC33" i="1" s="1"/>
  <c r="FC34" i="1" s="1"/>
  <c r="FC36" i="1" s="1"/>
  <c r="FC37" i="1" s="1"/>
  <c r="FC38" i="1" s="1"/>
  <c r="FC39" i="1" s="1"/>
  <c r="FC40" i="1" s="1"/>
  <c r="FC41" i="1" s="1"/>
  <c r="FC42" i="1" s="1"/>
  <c r="FC43" i="1" s="1"/>
  <c r="FC44" i="1" s="1"/>
  <c r="FC50" i="1" s="1"/>
  <c r="FC51" i="1" s="1"/>
  <c r="FC52" i="1" s="1"/>
  <c r="FC53" i="1" s="1"/>
  <c r="FC54" i="1" s="1"/>
  <c r="FC55" i="1" s="1"/>
  <c r="FC56" i="1" s="1"/>
  <c r="FC57" i="1" s="1"/>
  <c r="FC58" i="1" s="1"/>
  <c r="FC60" i="1" s="1"/>
  <c r="FC61" i="1" s="1"/>
  <c r="FC62" i="1" s="1"/>
  <c r="FC63" i="1" s="1"/>
  <c r="FC64" i="1" s="1"/>
  <c r="FC65" i="1" s="1"/>
  <c r="FC66" i="1" s="1"/>
  <c r="FC67" i="1" s="1"/>
  <c r="FC68" i="1" s="1"/>
  <c r="FC74" i="1" s="1"/>
  <c r="FC75" i="1" s="1"/>
  <c r="FC76" i="1" s="1"/>
  <c r="FC77" i="1" s="1"/>
  <c r="FC78" i="1" s="1"/>
  <c r="FC79" i="1" s="1"/>
  <c r="FC80" i="1" s="1"/>
  <c r="FC81" i="1" s="1"/>
  <c r="FC82" i="1" s="1"/>
  <c r="FC84" i="1" s="1"/>
  <c r="FC85" i="1" s="1"/>
  <c r="FC86" i="1" s="1"/>
  <c r="FC87" i="1" s="1"/>
  <c r="FC88" i="1" s="1"/>
  <c r="FC89" i="1" s="1"/>
  <c r="FC90" i="1" s="1"/>
  <c r="FC91" i="1" s="1"/>
  <c r="FC92" i="1" s="1"/>
  <c r="JZ94" i="1"/>
  <c r="K20" i="7" s="1"/>
  <c r="JN83" i="1"/>
  <c r="GZ94" i="1"/>
  <c r="H7" i="7" s="1"/>
  <c r="H8" i="7" s="1"/>
  <c r="AH94" i="1"/>
  <c r="M83" i="1"/>
  <c r="M94" i="1" s="1"/>
  <c r="CV69" i="1"/>
  <c r="J10" i="8"/>
  <c r="J11" i="6"/>
  <c r="J9" i="6"/>
  <c r="J10" i="6"/>
  <c r="J9" i="8"/>
  <c r="J3" i="5"/>
  <c r="J6" i="5" s="1"/>
  <c r="J11" i="8"/>
  <c r="IE71" i="1"/>
  <c r="J22" i="5"/>
  <c r="JA71" i="1"/>
  <c r="AT70" i="1"/>
  <c r="J10" i="5"/>
  <c r="J23" i="5" s="1"/>
  <c r="IG71" i="1"/>
  <c r="IQ70" i="1"/>
  <c r="ET46" i="1"/>
  <c r="IS46" i="1"/>
  <c r="IS47" i="1" s="1"/>
  <c r="JR46" i="1"/>
  <c r="EK46" i="1"/>
  <c r="F20" i="3" s="1"/>
  <c r="BS22" i="1"/>
  <c r="B17" i="2"/>
  <c r="S47" i="1"/>
  <c r="IU46" i="1"/>
  <c r="KI47" i="1"/>
  <c r="GE35" i="1"/>
  <c r="GE46" i="1" s="1"/>
  <c r="H14" i="3" s="1"/>
  <c r="EC46" i="1"/>
  <c r="F16" i="3" s="1"/>
  <c r="I16" i="2"/>
  <c r="HL47" i="1"/>
  <c r="H20" i="2"/>
  <c r="GQ47" i="1"/>
  <c r="KD46" i="1"/>
  <c r="KD47" i="1" s="1"/>
  <c r="CN94" i="1"/>
  <c r="D7" i="7" s="1"/>
  <c r="D8" i="7" s="1"/>
  <c r="D9" i="7" s="1"/>
  <c r="IM94" i="1"/>
  <c r="J15" i="7" s="1"/>
  <c r="HR94" i="1"/>
  <c r="I19" i="7" s="1"/>
  <c r="BK94" i="1"/>
  <c r="C7" i="7" s="1"/>
  <c r="C8" i="7" s="1"/>
  <c r="HH93" i="1"/>
  <c r="GI94" i="1"/>
  <c r="H16" i="7" s="1"/>
  <c r="IC94" i="1"/>
  <c r="I7" i="7" s="1"/>
  <c r="I8" i="7" s="1"/>
  <c r="KI94" i="1"/>
  <c r="K7" i="7" s="1"/>
  <c r="K8" i="7" s="1"/>
  <c r="K22" i="5"/>
  <c r="KD71" i="1"/>
  <c r="J16" i="5"/>
  <c r="IO71" i="1"/>
  <c r="DQ70" i="1"/>
  <c r="E7" i="5" s="1"/>
  <c r="E8" i="5" s="1"/>
  <c r="K21" i="5"/>
  <c r="KB71" i="1"/>
  <c r="IS70" i="1"/>
  <c r="AZ70" i="1"/>
  <c r="GM70" i="1"/>
  <c r="H18" i="5" s="1"/>
  <c r="DF46" i="1"/>
  <c r="E19" i="3" s="1"/>
  <c r="W46" i="1"/>
  <c r="B19" i="3" s="1"/>
  <c r="AP45" i="1"/>
  <c r="AZ46" i="1"/>
  <c r="C19" i="3" s="1"/>
  <c r="IM47" i="1"/>
  <c r="JZ47" i="1"/>
  <c r="GC46" i="1"/>
  <c r="H13" i="3" s="1"/>
  <c r="M22" i="1"/>
  <c r="M23" i="1" s="1"/>
  <c r="C19" i="2"/>
  <c r="F18" i="2"/>
  <c r="EG47" i="1"/>
  <c r="B10" i="2"/>
  <c r="B23" i="2" s="1"/>
  <c r="I47" i="1"/>
  <c r="GF14" i="1"/>
  <c r="GF15" i="1" s="1"/>
  <c r="GF16" i="1" s="1"/>
  <c r="GF17" i="1" s="1"/>
  <c r="AP12" i="1"/>
  <c r="AP23" i="1" s="1"/>
  <c r="AQ3" i="1"/>
  <c r="AQ4" i="1" s="1"/>
  <c r="AQ5" i="1" s="1"/>
  <c r="AQ6" i="1" s="1"/>
  <c r="AQ7" i="1" s="1"/>
  <c r="AQ8" i="1" s="1"/>
  <c r="AQ9" i="1" s="1"/>
  <c r="AQ10" i="1" s="1"/>
  <c r="AQ11" i="1" s="1"/>
  <c r="AQ13" i="1" s="1"/>
  <c r="AQ14" i="1" s="1"/>
  <c r="AQ15" i="1" s="1"/>
  <c r="AQ16" i="1" s="1"/>
  <c r="AQ17" i="1" s="1"/>
  <c r="AQ18" i="1" s="1"/>
  <c r="AQ19" i="1" s="1"/>
  <c r="AQ20" i="1" s="1"/>
  <c r="AQ21" i="1" s="1"/>
  <c r="AQ26" i="1" s="1"/>
  <c r="AQ27" i="1" s="1"/>
  <c r="AQ28" i="1" s="1"/>
  <c r="AQ29" i="1" s="1"/>
  <c r="AQ30" i="1" s="1"/>
  <c r="AQ31" i="1" s="1"/>
  <c r="AQ32" i="1" s="1"/>
  <c r="AQ33" i="1" s="1"/>
  <c r="AQ34" i="1" s="1"/>
  <c r="AQ36" i="1" s="1"/>
  <c r="AQ37" i="1" s="1"/>
  <c r="AQ38" i="1" s="1"/>
  <c r="AQ39" i="1" s="1"/>
  <c r="AQ40" i="1" s="1"/>
  <c r="AQ41" i="1" s="1"/>
  <c r="AQ42" i="1" s="1"/>
  <c r="AQ43" i="1" s="1"/>
  <c r="AQ44" i="1" s="1"/>
  <c r="AQ50" i="1" s="1"/>
  <c r="AQ51" i="1" s="1"/>
  <c r="AQ52" i="1" s="1"/>
  <c r="AQ53" i="1" s="1"/>
  <c r="AQ54" i="1" s="1"/>
  <c r="AQ55" i="1" s="1"/>
  <c r="AQ56" i="1" s="1"/>
  <c r="AQ57" i="1" s="1"/>
  <c r="AQ58" i="1" s="1"/>
  <c r="AQ60" i="1" s="1"/>
  <c r="AQ61" i="1" s="1"/>
  <c r="AQ62" i="1" s="1"/>
  <c r="AQ63" i="1" s="1"/>
  <c r="AQ64" i="1" s="1"/>
  <c r="AQ65" i="1" s="1"/>
  <c r="AQ66" i="1" s="1"/>
  <c r="AQ67" i="1" s="1"/>
  <c r="AQ68" i="1" s="1"/>
  <c r="AQ74" i="1" s="1"/>
  <c r="AQ75" i="1" s="1"/>
  <c r="AQ76" i="1" s="1"/>
  <c r="AQ77" i="1" s="1"/>
  <c r="AQ78" i="1" s="1"/>
  <c r="AQ79" i="1" s="1"/>
  <c r="AQ80" i="1" s="1"/>
  <c r="AQ81" i="1" s="1"/>
  <c r="AQ82" i="1" s="1"/>
  <c r="AQ84" i="1" s="1"/>
  <c r="AQ85" i="1" s="1"/>
  <c r="AQ86" i="1" s="1"/>
  <c r="AQ87" i="1" s="1"/>
  <c r="AQ88" i="1" s="1"/>
  <c r="AQ89" i="1" s="1"/>
  <c r="AQ90" i="1" s="1"/>
  <c r="AQ91" i="1" s="1"/>
  <c r="AQ92" i="1" s="1"/>
  <c r="DW23" i="1"/>
  <c r="B16" i="2"/>
  <c r="Q47" i="1"/>
  <c r="E16" i="2"/>
  <c r="CZ47" i="1"/>
  <c r="JN12" i="1"/>
  <c r="JO3" i="1"/>
  <c r="B11" i="8"/>
  <c r="B11" i="6" s="1"/>
  <c r="B9" i="8"/>
  <c r="B9" i="6" s="1"/>
  <c r="B10" i="8"/>
  <c r="B10" i="6" s="1"/>
  <c r="B11" i="4"/>
  <c r="B3" i="2"/>
  <c r="B6" i="2" s="1"/>
  <c r="B9" i="4"/>
  <c r="B10" i="4"/>
  <c r="G47" i="1"/>
  <c r="C13" i="2"/>
  <c r="AN47" i="1"/>
  <c r="BT5" i="1"/>
  <c r="HT46" i="1"/>
  <c r="I20" i="3" s="1"/>
  <c r="AH23" i="1"/>
  <c r="KB46" i="1"/>
  <c r="JL23" i="1"/>
  <c r="JL47" i="1" s="1"/>
  <c r="IQ23" i="1"/>
  <c r="IQ47" i="1" s="1"/>
  <c r="HH23" i="1"/>
  <c r="JX47" i="1"/>
  <c r="M46" i="1"/>
  <c r="B14" i="3" s="1"/>
  <c r="CT46" i="1"/>
  <c r="E13" i="3" s="1"/>
  <c r="D20" i="2"/>
  <c r="CE47" i="1"/>
  <c r="DY22" i="1"/>
  <c r="FW23" i="1"/>
  <c r="BQ23" i="1"/>
  <c r="BT4" i="1"/>
  <c r="G20" i="4"/>
  <c r="G31" i="4" s="1"/>
  <c r="FN71" i="1"/>
  <c r="E13" i="2"/>
  <c r="CT47" i="1"/>
  <c r="E9" i="8"/>
  <c r="E10" i="8"/>
  <c r="E10" i="6"/>
  <c r="E9" i="4"/>
  <c r="E11" i="6"/>
  <c r="E9" i="6"/>
  <c r="E11" i="8"/>
  <c r="E11" i="4"/>
  <c r="E10" i="4"/>
  <c r="E3" i="2"/>
  <c r="E6" i="2" s="1"/>
  <c r="CP47" i="1"/>
  <c r="CC46" i="1"/>
  <c r="D19" i="3" s="1"/>
  <c r="CZ94" i="1"/>
  <c r="E16" i="7" s="1"/>
  <c r="FP46" i="1"/>
  <c r="G21" i="3" s="1"/>
  <c r="Y23" i="1"/>
  <c r="DQ46" i="1"/>
  <c r="E7" i="3" s="1"/>
  <c r="E8" i="3" s="1"/>
  <c r="BT6" i="1"/>
  <c r="BT7" i="1" s="1"/>
  <c r="BT8" i="1" s="1"/>
  <c r="BT9" i="1" s="1"/>
  <c r="BT10" i="1" s="1"/>
  <c r="BT11" i="1" s="1"/>
  <c r="BT13" i="1" s="1"/>
  <c r="BT14" i="1" s="1"/>
  <c r="BT15" i="1" s="1"/>
  <c r="BT16" i="1" s="1"/>
  <c r="BT17" i="1" s="1"/>
  <c r="BT18" i="1" s="1"/>
  <c r="BT19" i="1" s="1"/>
  <c r="BT20" i="1" s="1"/>
  <c r="BT21" i="1" s="1"/>
  <c r="BT26" i="1" s="1"/>
  <c r="BT27" i="1" s="1"/>
  <c r="BT28" i="1" s="1"/>
  <c r="BT29" i="1" s="1"/>
  <c r="BT30" i="1" s="1"/>
  <c r="BT31" i="1" s="1"/>
  <c r="BT32" i="1" s="1"/>
  <c r="BT33" i="1" s="1"/>
  <c r="BT34" i="1" s="1"/>
  <c r="BT36" i="1" s="1"/>
  <c r="BT37" i="1" s="1"/>
  <c r="BT38" i="1" s="1"/>
  <c r="BT39" i="1" s="1"/>
  <c r="BT40" i="1" s="1"/>
  <c r="BT41" i="1" s="1"/>
  <c r="BT42" i="1" s="1"/>
  <c r="BT43" i="1" s="1"/>
  <c r="BT44" i="1" s="1"/>
  <c r="BT50" i="1" s="1"/>
  <c r="BT51" i="1" s="1"/>
  <c r="BT52" i="1" s="1"/>
  <c r="BT53" i="1" s="1"/>
  <c r="BT54" i="1" s="1"/>
  <c r="BT55" i="1" s="1"/>
  <c r="BT56" i="1" s="1"/>
  <c r="BT57" i="1" s="1"/>
  <c r="BT58" i="1" s="1"/>
  <c r="BT60" i="1" s="1"/>
  <c r="BT61" i="1" s="1"/>
  <c r="BT62" i="1" s="1"/>
  <c r="BT63" i="1" s="1"/>
  <c r="BT64" i="1" s="1"/>
  <c r="BT65" i="1" s="1"/>
  <c r="BT66" i="1" s="1"/>
  <c r="BT67" i="1" s="1"/>
  <c r="BT68" i="1" s="1"/>
  <c r="BT74" i="1" s="1"/>
  <c r="BT75" i="1" s="1"/>
  <c r="BT76" i="1" s="1"/>
  <c r="BT77" i="1" s="1"/>
  <c r="BT78" i="1" s="1"/>
  <c r="BT79" i="1" s="1"/>
  <c r="BT80" i="1" s="1"/>
  <c r="BT81" i="1" s="1"/>
  <c r="BT82" i="1" s="1"/>
  <c r="BT84" i="1" s="1"/>
  <c r="BT85" i="1" s="1"/>
  <c r="BT86" i="1" s="1"/>
  <c r="BT87" i="1" s="1"/>
  <c r="BT88" i="1" s="1"/>
  <c r="BT89" i="1" s="1"/>
  <c r="BT90" i="1" s="1"/>
  <c r="BT91" i="1" s="1"/>
  <c r="BT92" i="1" s="1"/>
  <c r="S70" i="1"/>
  <c r="IY47" i="1"/>
  <c r="DH46" i="1"/>
  <c r="E20" i="3" s="1"/>
  <c r="C7" i="2"/>
  <c r="C8" i="2" s="1"/>
  <c r="BK47" i="1"/>
  <c r="II23" i="1"/>
  <c r="II47" i="1" s="1"/>
  <c r="C17" i="2"/>
  <c r="AV47" i="1"/>
  <c r="H21" i="2"/>
  <c r="GS47" i="1"/>
  <c r="IO47" i="1"/>
  <c r="HT23" i="1"/>
  <c r="EI46" i="1"/>
  <c r="F19" i="3" s="1"/>
  <c r="DF23" i="1"/>
  <c r="H10" i="2"/>
  <c r="H23" i="2" s="1"/>
  <c r="GA47" i="1"/>
  <c r="JR47" i="1"/>
  <c r="C18" i="2"/>
  <c r="AX47" i="1"/>
  <c r="Y46" i="1"/>
  <c r="B20" i="3" s="1"/>
  <c r="DL23" i="1"/>
  <c r="KB47" i="1"/>
  <c r="O23" i="1"/>
  <c r="JO4" i="1"/>
  <c r="JO5" i="1" s="1"/>
  <c r="JO6" i="1" s="1"/>
  <c r="JO7" i="1" s="1"/>
  <c r="JO8" i="1" s="1"/>
  <c r="JO9" i="1" s="1"/>
  <c r="JO10" i="1" s="1"/>
  <c r="JO11" i="1" s="1"/>
  <c r="JO13" i="1" s="1"/>
  <c r="JO14" i="1" s="1"/>
  <c r="JO15" i="1" s="1"/>
  <c r="JO16" i="1" s="1"/>
  <c r="JO17" i="1" s="1"/>
  <c r="JO18" i="1" s="1"/>
  <c r="JO19" i="1" s="1"/>
  <c r="JO20" i="1" s="1"/>
  <c r="JO21" i="1" s="1"/>
  <c r="JO26" i="1" s="1"/>
  <c r="JO27" i="1" s="1"/>
  <c r="JO28" i="1" s="1"/>
  <c r="JO29" i="1" s="1"/>
  <c r="JO30" i="1" s="1"/>
  <c r="JO31" i="1" s="1"/>
  <c r="JO32" i="1" s="1"/>
  <c r="JO33" i="1" s="1"/>
  <c r="JO34" i="1" s="1"/>
  <c r="JO36" i="1" s="1"/>
  <c r="JO37" i="1" s="1"/>
  <c r="JO38" i="1" s="1"/>
  <c r="JO39" i="1" s="1"/>
  <c r="JO40" i="1" s="1"/>
  <c r="JO41" i="1" s="1"/>
  <c r="JO42" i="1" s="1"/>
  <c r="JO43" i="1" s="1"/>
  <c r="JO44" i="1" s="1"/>
  <c r="JO50" i="1" s="1"/>
  <c r="JO51" i="1" s="1"/>
  <c r="JO52" i="1" s="1"/>
  <c r="JO53" i="1" s="1"/>
  <c r="JO54" i="1" s="1"/>
  <c r="JO55" i="1" s="1"/>
  <c r="JO56" i="1" s="1"/>
  <c r="JO57" i="1" s="1"/>
  <c r="JO58" i="1" s="1"/>
  <c r="JO60" i="1" s="1"/>
  <c r="JO61" i="1" s="1"/>
  <c r="JO62" i="1" s="1"/>
  <c r="JO63" i="1" s="1"/>
  <c r="JO64" i="1" s="1"/>
  <c r="JO65" i="1" s="1"/>
  <c r="JO66" i="1" s="1"/>
  <c r="JO67" i="1" s="1"/>
  <c r="JO68" i="1" s="1"/>
  <c r="JO74" i="1" s="1"/>
  <c r="JO75" i="1" s="1"/>
  <c r="JO76" i="1" s="1"/>
  <c r="JO77" i="1" s="1"/>
  <c r="JO78" i="1" s="1"/>
  <c r="JO79" i="1" s="1"/>
  <c r="JO80" i="1" s="1"/>
  <c r="JO81" i="1" s="1"/>
  <c r="JO82" i="1" s="1"/>
  <c r="JO84" i="1" s="1"/>
  <c r="JO85" i="1" s="1"/>
  <c r="JO86" i="1" s="1"/>
  <c r="JO87" i="1" s="1"/>
  <c r="JO88" i="1" s="1"/>
  <c r="JO89" i="1" s="1"/>
  <c r="JO90" i="1" s="1"/>
  <c r="JO91" i="1" s="1"/>
  <c r="JO92" i="1" s="1"/>
  <c r="U46" i="1"/>
  <c r="B18" i="3" s="1"/>
  <c r="GM23" i="1"/>
  <c r="DD46" i="1"/>
  <c r="AT23" i="1"/>
  <c r="GK46" i="1"/>
  <c r="HP23" i="1"/>
  <c r="EG46" i="1"/>
  <c r="F18" i="3" s="1"/>
  <c r="N14" i="1"/>
  <c r="N15" i="1" s="1"/>
  <c r="N16" i="1" s="1"/>
  <c r="N17" i="1" s="1"/>
  <c r="N18" i="1" s="1"/>
  <c r="N19" i="1" s="1"/>
  <c r="N20" i="1" s="1"/>
  <c r="N21" i="1" s="1"/>
  <c r="N26" i="1" s="1"/>
  <c r="N27" i="1" s="1"/>
  <c r="N28" i="1" s="1"/>
  <c r="N29" i="1" s="1"/>
  <c r="N30" i="1" s="1"/>
  <c r="N31" i="1" s="1"/>
  <c r="N32" i="1" s="1"/>
  <c r="N33" i="1" s="1"/>
  <c r="N34" i="1" s="1"/>
  <c r="N36" i="1" s="1"/>
  <c r="N37" i="1" s="1"/>
  <c r="N38" i="1" s="1"/>
  <c r="N39" i="1" s="1"/>
  <c r="N40" i="1" s="1"/>
  <c r="N41" i="1" s="1"/>
  <c r="N42" i="1" s="1"/>
  <c r="N43" i="1" s="1"/>
  <c r="N44" i="1" s="1"/>
  <c r="N50" i="1" s="1"/>
  <c r="N51" i="1" s="1"/>
  <c r="N52" i="1" s="1"/>
  <c r="N53" i="1" s="1"/>
  <c r="N54" i="1" s="1"/>
  <c r="N55" i="1" s="1"/>
  <c r="N56" i="1" s="1"/>
  <c r="N57" i="1" s="1"/>
  <c r="N58" i="1" s="1"/>
  <c r="N60" i="1" s="1"/>
  <c r="N61" i="1" s="1"/>
  <c r="N62" i="1" s="1"/>
  <c r="N63" i="1" s="1"/>
  <c r="N64" i="1" s="1"/>
  <c r="N65" i="1" s="1"/>
  <c r="N66" i="1" s="1"/>
  <c r="N67" i="1" s="1"/>
  <c r="N68" i="1" s="1"/>
  <c r="N74" i="1" s="1"/>
  <c r="N75" i="1" s="1"/>
  <c r="N76" i="1" s="1"/>
  <c r="N77" i="1" s="1"/>
  <c r="N78" i="1" s="1"/>
  <c r="N79" i="1" s="1"/>
  <c r="N80" i="1" s="1"/>
  <c r="N81" i="1" s="1"/>
  <c r="N82" i="1" s="1"/>
  <c r="N84" i="1" s="1"/>
  <c r="N85" i="1" s="1"/>
  <c r="N86" i="1" s="1"/>
  <c r="N87" i="1" s="1"/>
  <c r="N88" i="1" s="1"/>
  <c r="N89" i="1" s="1"/>
  <c r="N90" i="1" s="1"/>
  <c r="N91" i="1" s="1"/>
  <c r="N92" i="1" s="1"/>
  <c r="H16" i="2"/>
  <c r="GI47" i="1"/>
  <c r="D10" i="8"/>
  <c r="D11" i="6"/>
  <c r="D9" i="8"/>
  <c r="D11" i="8"/>
  <c r="D9" i="6"/>
  <c r="D9" i="4"/>
  <c r="D11" i="4"/>
  <c r="D3" i="2"/>
  <c r="D6" i="2" s="1"/>
  <c r="D10" i="4"/>
  <c r="D10" i="6"/>
  <c r="BM47" i="1"/>
  <c r="GE23" i="1"/>
  <c r="H11" i="8"/>
  <c r="H11" i="6"/>
  <c r="H10" i="8"/>
  <c r="H9" i="6"/>
  <c r="H9" i="4"/>
  <c r="H9" i="8"/>
  <c r="H11" i="4"/>
  <c r="H10" i="4"/>
  <c r="H10" i="6"/>
  <c r="H3" i="2"/>
  <c r="H6" i="2" s="1"/>
  <c r="FY47" i="1"/>
  <c r="HI8" i="1"/>
  <c r="HI9" i="1" s="1"/>
  <c r="HI10" i="1" s="1"/>
  <c r="HI11" i="1" s="1"/>
  <c r="HI13" i="1" s="1"/>
  <c r="HI14" i="1" s="1"/>
  <c r="HI15" i="1" s="1"/>
  <c r="HI16" i="1" s="1"/>
  <c r="HI17" i="1" s="1"/>
  <c r="HI18" i="1" s="1"/>
  <c r="HI19" i="1" s="1"/>
  <c r="HI20" i="1" s="1"/>
  <c r="HI21" i="1" s="1"/>
  <c r="HI26" i="1" s="1"/>
  <c r="HI27" i="1" s="1"/>
  <c r="HI28" i="1" s="1"/>
  <c r="HI29" i="1" s="1"/>
  <c r="HI30" i="1" s="1"/>
  <c r="HI31" i="1" s="1"/>
  <c r="HI32" i="1" s="1"/>
  <c r="HI33" i="1" s="1"/>
  <c r="HI34" i="1" s="1"/>
  <c r="HI36" i="1" s="1"/>
  <c r="HI37" i="1" s="1"/>
  <c r="HI38" i="1" s="1"/>
  <c r="HI39" i="1" s="1"/>
  <c r="HI40" i="1" s="1"/>
  <c r="HI41" i="1" s="1"/>
  <c r="HI42" i="1" s="1"/>
  <c r="HI43" i="1" s="1"/>
  <c r="HI44" i="1" s="1"/>
  <c r="HI50" i="1" s="1"/>
  <c r="HI51" i="1" s="1"/>
  <c r="HI52" i="1" s="1"/>
  <c r="HI53" i="1" s="1"/>
  <c r="HI54" i="1" s="1"/>
  <c r="HI55" i="1" s="1"/>
  <c r="HI56" i="1" s="1"/>
  <c r="HI57" i="1" s="1"/>
  <c r="HI58" i="1" s="1"/>
  <c r="HI60" i="1" s="1"/>
  <c r="HI61" i="1" s="1"/>
  <c r="HI62" i="1" s="1"/>
  <c r="HI63" i="1" s="1"/>
  <c r="HI64" i="1" s="1"/>
  <c r="HI65" i="1" s="1"/>
  <c r="HI66" i="1" s="1"/>
  <c r="HI67" i="1" s="1"/>
  <c r="HI68" i="1" s="1"/>
  <c r="HI74" i="1" s="1"/>
  <c r="HI75" i="1" s="1"/>
  <c r="HI76" i="1" s="1"/>
  <c r="HI77" i="1" s="1"/>
  <c r="HI78" i="1" s="1"/>
  <c r="HI79" i="1" s="1"/>
  <c r="HI80" i="1" s="1"/>
  <c r="HI81" i="1" s="1"/>
  <c r="HI82" i="1" s="1"/>
  <c r="HI84" i="1" s="1"/>
  <c r="HI85" i="1" s="1"/>
  <c r="HI86" i="1" s="1"/>
  <c r="HI87" i="1" s="1"/>
  <c r="HI88" i="1" s="1"/>
  <c r="HI89" i="1" s="1"/>
  <c r="HI90" i="1" s="1"/>
  <c r="HI91" i="1" s="1"/>
  <c r="HI92" i="1" s="1"/>
  <c r="AA23" i="1"/>
  <c r="CW11" i="1"/>
  <c r="CW13" i="1" s="1"/>
  <c r="CW14" i="1" s="1"/>
  <c r="CW15" i="1" s="1"/>
  <c r="CW16" i="1" s="1"/>
  <c r="CW17" i="1" s="1"/>
  <c r="CW18" i="1" s="1"/>
  <c r="CW19" i="1" s="1"/>
  <c r="CW20" i="1" s="1"/>
  <c r="CW21" i="1" s="1"/>
  <c r="CW26" i="1" s="1"/>
  <c r="CW27" i="1" s="1"/>
  <c r="CW28" i="1" s="1"/>
  <c r="CW29" i="1" s="1"/>
  <c r="CW30" i="1" s="1"/>
  <c r="CW31" i="1" s="1"/>
  <c r="CW32" i="1" s="1"/>
  <c r="CW33" i="1" s="1"/>
  <c r="CW34" i="1" s="1"/>
  <c r="CW36" i="1" s="1"/>
  <c r="CW37" i="1" s="1"/>
  <c r="CW38" i="1" s="1"/>
  <c r="CW39" i="1" s="1"/>
  <c r="CW40" i="1" s="1"/>
  <c r="CW41" i="1" s="1"/>
  <c r="CW42" i="1" s="1"/>
  <c r="CW43" i="1" s="1"/>
  <c r="CW44" i="1" s="1"/>
  <c r="CW50" i="1" s="1"/>
  <c r="CW51" i="1" s="1"/>
  <c r="CW52" i="1" s="1"/>
  <c r="CW53" i="1" s="1"/>
  <c r="CW54" i="1" s="1"/>
  <c r="CW55" i="1" s="1"/>
  <c r="CW56" i="1" s="1"/>
  <c r="CW57" i="1" s="1"/>
  <c r="CW58" i="1" s="1"/>
  <c r="CW60" i="1" s="1"/>
  <c r="CW61" i="1" s="1"/>
  <c r="CW62" i="1" s="1"/>
  <c r="CW63" i="1" s="1"/>
  <c r="CW64" i="1" s="1"/>
  <c r="CW65" i="1" s="1"/>
  <c r="CW66" i="1" s="1"/>
  <c r="CW67" i="1" s="1"/>
  <c r="CW68" i="1" s="1"/>
  <c r="CW74" i="1" s="1"/>
  <c r="CW75" i="1" s="1"/>
  <c r="CW76" i="1" s="1"/>
  <c r="CW77" i="1" s="1"/>
  <c r="CW78" i="1" s="1"/>
  <c r="CW79" i="1" s="1"/>
  <c r="CW80" i="1" s="1"/>
  <c r="CW81" i="1" s="1"/>
  <c r="CW82" i="1" s="1"/>
  <c r="CW84" i="1" s="1"/>
  <c r="CW85" i="1" s="1"/>
  <c r="CW86" i="1" s="1"/>
  <c r="CW87" i="1" s="1"/>
  <c r="CW88" i="1" s="1"/>
  <c r="CW89" i="1" s="1"/>
  <c r="CW90" i="1" s="1"/>
  <c r="CW91" i="1" s="1"/>
  <c r="CW92" i="1" s="1"/>
  <c r="HV23" i="1"/>
  <c r="EA23" i="1"/>
  <c r="DZ3" i="1"/>
  <c r="DZ4" i="1" s="1"/>
  <c r="DZ5" i="1" s="1"/>
  <c r="DZ6" i="1" s="1"/>
  <c r="DZ7" i="1" s="1"/>
  <c r="DZ8" i="1" s="1"/>
  <c r="DZ9" i="1" s="1"/>
  <c r="DZ10" i="1" s="1"/>
  <c r="DZ11" i="1" s="1"/>
  <c r="DZ13" i="1" s="1"/>
  <c r="DZ14" i="1" s="1"/>
  <c r="DZ15" i="1" s="1"/>
  <c r="DZ16" i="1" s="1"/>
  <c r="DZ17" i="1" s="1"/>
  <c r="DZ18" i="1" s="1"/>
  <c r="DZ19" i="1" s="1"/>
  <c r="DZ20" i="1" s="1"/>
  <c r="DZ21" i="1" s="1"/>
  <c r="DZ26" i="1" s="1"/>
  <c r="DZ27" i="1" s="1"/>
  <c r="DZ28" i="1" s="1"/>
  <c r="DZ29" i="1" s="1"/>
  <c r="DZ30" i="1" s="1"/>
  <c r="DZ31" i="1" s="1"/>
  <c r="DZ32" i="1" s="1"/>
  <c r="DZ33" i="1" s="1"/>
  <c r="DZ34" i="1" s="1"/>
  <c r="DZ36" i="1" s="1"/>
  <c r="DZ37" i="1" s="1"/>
  <c r="DZ38" i="1" s="1"/>
  <c r="DZ39" i="1" s="1"/>
  <c r="DZ40" i="1" s="1"/>
  <c r="DZ41" i="1" s="1"/>
  <c r="DZ42" i="1" s="1"/>
  <c r="DZ43" i="1" s="1"/>
  <c r="DZ44" i="1" s="1"/>
  <c r="DZ50" i="1" s="1"/>
  <c r="DZ51" i="1" s="1"/>
  <c r="DZ52" i="1" s="1"/>
  <c r="DZ53" i="1" s="1"/>
  <c r="DZ54" i="1" s="1"/>
  <c r="DZ55" i="1" s="1"/>
  <c r="DZ56" i="1" s="1"/>
  <c r="DZ57" i="1" s="1"/>
  <c r="DZ58" i="1" s="1"/>
  <c r="DZ60" i="1" s="1"/>
  <c r="DZ61" i="1" s="1"/>
  <c r="DZ62" i="1" s="1"/>
  <c r="DZ63" i="1" s="1"/>
  <c r="DZ64" i="1" s="1"/>
  <c r="DZ65" i="1" s="1"/>
  <c r="DZ66" i="1" s="1"/>
  <c r="DZ67" i="1" s="1"/>
  <c r="DZ68" i="1" s="1"/>
  <c r="DZ74" i="1" s="1"/>
  <c r="DZ75" i="1" s="1"/>
  <c r="DZ76" i="1" s="1"/>
  <c r="DZ77" i="1" s="1"/>
  <c r="DZ78" i="1" s="1"/>
  <c r="DZ79" i="1" s="1"/>
  <c r="DZ80" i="1" s="1"/>
  <c r="DZ81" i="1" s="1"/>
  <c r="DZ82" i="1" s="1"/>
  <c r="DZ84" i="1" s="1"/>
  <c r="DZ85" i="1" s="1"/>
  <c r="DZ86" i="1" s="1"/>
  <c r="DZ87" i="1" s="1"/>
  <c r="DZ88" i="1" s="1"/>
  <c r="DZ89" i="1" s="1"/>
  <c r="DZ90" i="1" s="1"/>
  <c r="DZ91" i="1" s="1"/>
  <c r="DZ92" i="1" s="1"/>
  <c r="DY12" i="1"/>
  <c r="DY23" i="1" s="1"/>
  <c r="B14" i="2" l="1"/>
  <c r="M47" i="1"/>
  <c r="C18" i="4"/>
  <c r="C29" i="4" s="1"/>
  <c r="AX71" i="1"/>
  <c r="K13" i="5"/>
  <c r="JL71" i="1"/>
  <c r="E19" i="2"/>
  <c r="DF47" i="1"/>
  <c r="F14" i="2"/>
  <c r="DY47" i="1"/>
  <c r="I18" i="2"/>
  <c r="HP47" i="1"/>
  <c r="F18" i="4"/>
  <c r="F29" i="4" s="1"/>
  <c r="EG71" i="1"/>
  <c r="E9" i="5"/>
  <c r="G18" i="4"/>
  <c r="G29" i="4" s="1"/>
  <c r="FJ71" i="1"/>
  <c r="H15" i="3"/>
  <c r="GG47" i="1"/>
  <c r="D16" i="4"/>
  <c r="D27" i="4" s="1"/>
  <c r="BW71" i="1"/>
  <c r="H17" i="3"/>
  <c r="GK47" i="1"/>
  <c r="E22" i="2"/>
  <c r="DL47" i="1"/>
  <c r="H21" i="4"/>
  <c r="H32" i="4" s="1"/>
  <c r="GS71" i="1"/>
  <c r="F13" i="2"/>
  <c r="DW47" i="1"/>
  <c r="F15" i="2"/>
  <c r="EA47" i="1"/>
  <c r="C16" i="2"/>
  <c r="AT47" i="1"/>
  <c r="D13" i="2"/>
  <c r="BQ47" i="1"/>
  <c r="AZ47" i="1"/>
  <c r="C9" i="7"/>
  <c r="J22" i="6"/>
  <c r="J33" i="6" s="1"/>
  <c r="JA95" i="1"/>
  <c r="K19" i="5"/>
  <c r="JX71" i="1"/>
  <c r="BS23" i="1"/>
  <c r="E14" i="2"/>
  <c r="D17" i="3"/>
  <c r="BY47" i="1"/>
  <c r="EC47" i="1"/>
  <c r="I12" i="4"/>
  <c r="I23" i="4" s="1"/>
  <c r="HD71" i="1"/>
  <c r="W47" i="1"/>
  <c r="H19" i="4"/>
  <c r="H30" i="4" s="1"/>
  <c r="GO71" i="1"/>
  <c r="F21" i="4"/>
  <c r="F32" i="4" s="1"/>
  <c r="EM71" i="1"/>
  <c r="B7" i="2"/>
  <c r="B8" i="2" s="1"/>
  <c r="AH47" i="1"/>
  <c r="J3" i="6"/>
  <c r="J4" i="6" s="1"/>
  <c r="J5" i="6" s="1"/>
  <c r="IE95" i="1"/>
  <c r="F17" i="4"/>
  <c r="F28" i="4" s="1"/>
  <c r="EE71" i="1"/>
  <c r="H14" i="2"/>
  <c r="GE47" i="1"/>
  <c r="H16" i="4"/>
  <c r="H27" i="4" s="1"/>
  <c r="GI71" i="1"/>
  <c r="H3" i="4"/>
  <c r="H4" i="4" s="1"/>
  <c r="H5" i="4" s="1"/>
  <c r="FY71" i="1"/>
  <c r="D3" i="4"/>
  <c r="D4" i="4" s="1"/>
  <c r="D5" i="4" s="1"/>
  <c r="BM71" i="1"/>
  <c r="E3" i="4"/>
  <c r="E4" i="4" s="1"/>
  <c r="E5" i="4" s="1"/>
  <c r="CP71" i="1"/>
  <c r="B17" i="4"/>
  <c r="B28" i="4" s="1"/>
  <c r="S95" i="1"/>
  <c r="S71" i="1"/>
  <c r="I21" i="2"/>
  <c r="HV47" i="1"/>
  <c r="E18" i="3"/>
  <c r="DD47" i="1"/>
  <c r="C17" i="4"/>
  <c r="C28" i="4" s="1"/>
  <c r="AV71" i="1"/>
  <c r="B20" i="2"/>
  <c r="Y47" i="1"/>
  <c r="G7" i="2"/>
  <c r="G8" i="2" s="1"/>
  <c r="FW47" i="1"/>
  <c r="C14" i="2"/>
  <c r="AP47" i="1"/>
  <c r="K22" i="6"/>
  <c r="K33" i="6" s="1"/>
  <c r="KD95" i="1"/>
  <c r="I16" i="4"/>
  <c r="I27" i="4" s="1"/>
  <c r="HL71" i="1"/>
  <c r="CC47" i="1"/>
  <c r="G15" i="4"/>
  <c r="G26" i="4" s="1"/>
  <c r="FD71" i="1"/>
  <c r="HN71" i="1"/>
  <c r="D21" i="4"/>
  <c r="D32" i="4" s="1"/>
  <c r="CG71" i="1"/>
  <c r="AP94" i="1"/>
  <c r="C14" i="7" s="1"/>
  <c r="F9" i="7"/>
  <c r="H22" i="4"/>
  <c r="H33" i="4" s="1"/>
  <c r="GU71" i="1"/>
  <c r="J20" i="6"/>
  <c r="J31" i="6" s="1"/>
  <c r="IW95" i="1"/>
  <c r="K15" i="6"/>
  <c r="K26" i="6" s="1"/>
  <c r="JP95" i="1"/>
  <c r="J14" i="5"/>
  <c r="IK71" i="1"/>
  <c r="K9" i="7"/>
  <c r="I15" i="4"/>
  <c r="I26" i="4" s="1"/>
  <c r="HJ71" i="1"/>
  <c r="I13" i="4"/>
  <c r="I24" i="4" s="1"/>
  <c r="HF71" i="1"/>
  <c r="EZ47" i="1"/>
  <c r="C22" i="4"/>
  <c r="C33" i="4" s="1"/>
  <c r="BF71" i="1"/>
  <c r="KI95" i="1"/>
  <c r="K6" i="6"/>
  <c r="K7" i="6" s="1"/>
  <c r="HH94" i="1"/>
  <c r="I14" i="7" s="1"/>
  <c r="M70" i="1"/>
  <c r="D6" i="4"/>
  <c r="D7" i="4" s="1"/>
  <c r="CN71" i="1"/>
  <c r="G21" i="2"/>
  <c r="FP47" i="1"/>
  <c r="K9" i="5"/>
  <c r="J6" i="6"/>
  <c r="J7" i="6" s="1"/>
  <c r="JF95" i="1"/>
  <c r="D9" i="2"/>
  <c r="DY70" i="1"/>
  <c r="F14" i="5" s="1"/>
  <c r="JN70" i="1"/>
  <c r="HH70" i="1"/>
  <c r="I14" i="5" s="1"/>
  <c r="J19" i="6"/>
  <c r="J30" i="6" s="1"/>
  <c r="IU95" i="1"/>
  <c r="I19" i="4"/>
  <c r="I30" i="4" s="1"/>
  <c r="HR71" i="1"/>
  <c r="B21" i="2"/>
  <c r="AA47" i="1"/>
  <c r="H18" i="2"/>
  <c r="GM47" i="1"/>
  <c r="C6" i="4"/>
  <c r="C7" i="4" s="1"/>
  <c r="BK71" i="1"/>
  <c r="D20" i="4"/>
  <c r="D31" i="4" s="1"/>
  <c r="CE71" i="1"/>
  <c r="H9" i="7"/>
  <c r="I3" i="4"/>
  <c r="I4" i="4" s="1"/>
  <c r="I5" i="4" s="1"/>
  <c r="HB71" i="1"/>
  <c r="G19" i="4"/>
  <c r="G30" i="4" s="1"/>
  <c r="FL71" i="1"/>
  <c r="H12" i="4"/>
  <c r="H23" i="4" s="1"/>
  <c r="GA71" i="1"/>
  <c r="C9" i="2"/>
  <c r="JN23" i="1"/>
  <c r="JN47" i="1" s="1"/>
  <c r="I9" i="7"/>
  <c r="JN94" i="1"/>
  <c r="K14" i="7" s="1"/>
  <c r="C3" i="4"/>
  <c r="C4" i="4" s="1"/>
  <c r="C5" i="4" s="1"/>
  <c r="AJ71" i="1"/>
  <c r="E12" i="4"/>
  <c r="E23" i="4" s="1"/>
  <c r="CR71" i="1"/>
  <c r="F3" i="4"/>
  <c r="F4" i="4" s="1"/>
  <c r="F5" i="4" s="1"/>
  <c r="DS71" i="1"/>
  <c r="DQ47" i="1"/>
  <c r="K3" i="6"/>
  <c r="K4" i="6" s="1"/>
  <c r="K5" i="6" s="1"/>
  <c r="JH95" i="1"/>
  <c r="GZ47" i="1"/>
  <c r="J9" i="5"/>
  <c r="GC47" i="1"/>
  <c r="E13" i="4"/>
  <c r="E24" i="4" s="1"/>
  <c r="CT71" i="1"/>
  <c r="C13" i="4"/>
  <c r="C24" i="4" s="1"/>
  <c r="AN71" i="1"/>
  <c r="E16" i="4"/>
  <c r="E27" i="4" s="1"/>
  <c r="CZ71" i="1"/>
  <c r="J18" i="5"/>
  <c r="IS71" i="1"/>
  <c r="F7" i="3"/>
  <c r="F8" i="3" s="1"/>
  <c r="F9" i="3" s="1"/>
  <c r="ET47" i="1"/>
  <c r="E15" i="4"/>
  <c r="E26" i="4" s="1"/>
  <c r="CX71" i="1"/>
  <c r="DH47" i="1"/>
  <c r="K17" i="5"/>
  <c r="JT71" i="1"/>
  <c r="G9" i="7"/>
  <c r="E21" i="2"/>
  <c r="DJ47" i="1"/>
  <c r="U47" i="1"/>
  <c r="E9" i="2"/>
  <c r="I9" i="5"/>
  <c r="H9" i="2"/>
  <c r="K18" i="5"/>
  <c r="JV71" i="1"/>
  <c r="K21" i="6"/>
  <c r="K32" i="6" s="1"/>
  <c r="KB95" i="1"/>
  <c r="G17" i="4"/>
  <c r="G28" i="4" s="1"/>
  <c r="FH71" i="1"/>
  <c r="G3" i="4"/>
  <c r="G4" i="4" s="1"/>
  <c r="G5" i="4" s="1"/>
  <c r="EV71" i="1"/>
  <c r="D18" i="4"/>
  <c r="D29" i="4" s="1"/>
  <c r="CA71" i="1"/>
  <c r="B12" i="4"/>
  <c r="B23" i="4" s="1"/>
  <c r="I95" i="1"/>
  <c r="I71" i="1"/>
  <c r="J17" i="5"/>
  <c r="IQ71" i="1"/>
  <c r="D9" i="5"/>
  <c r="G16" i="4"/>
  <c r="G27" i="4" s="1"/>
  <c r="FF71" i="1"/>
  <c r="GE70" i="1"/>
  <c r="H14" i="5" s="1"/>
  <c r="F9" i="5"/>
  <c r="BU47" i="1"/>
  <c r="K47" i="1"/>
  <c r="CV46" i="1"/>
  <c r="E14" i="3" s="1"/>
  <c r="D12" i="4"/>
  <c r="D23" i="4" s="1"/>
  <c r="BO71" i="1"/>
  <c r="D22" i="4"/>
  <c r="D33" i="4" s="1"/>
  <c r="CI71" i="1"/>
  <c r="E17" i="4"/>
  <c r="E28" i="4" s="1"/>
  <c r="DB71" i="1"/>
  <c r="B22" i="4"/>
  <c r="B33" i="4" s="1"/>
  <c r="AC95" i="1"/>
  <c r="AC71" i="1"/>
  <c r="G9" i="5"/>
  <c r="J15" i="6"/>
  <c r="J26" i="6" s="1"/>
  <c r="IM95" i="1"/>
  <c r="G20" i="6"/>
  <c r="G31" i="6" s="1"/>
  <c r="FN95" i="1"/>
  <c r="G95" i="1"/>
  <c r="B3" i="4"/>
  <c r="B4" i="4" s="1"/>
  <c r="B5" i="4" s="1"/>
  <c r="G71" i="1"/>
  <c r="B16" i="4"/>
  <c r="B27" i="4" s="1"/>
  <c r="Q95" i="1"/>
  <c r="Q71" i="1"/>
  <c r="B15" i="2"/>
  <c r="O47" i="1"/>
  <c r="I20" i="2"/>
  <c r="HT47" i="1"/>
  <c r="I14" i="2"/>
  <c r="HH47" i="1"/>
  <c r="J12" i="6"/>
  <c r="J23" i="6" s="1"/>
  <c r="IG95" i="1"/>
  <c r="I6" i="4"/>
  <c r="I7" i="4" s="1"/>
  <c r="IC71" i="1"/>
  <c r="FB23" i="1"/>
  <c r="F22" i="4"/>
  <c r="F33" i="4" s="1"/>
  <c r="EO71" i="1"/>
  <c r="E9" i="7"/>
  <c r="C20" i="6"/>
  <c r="C31" i="6" s="1"/>
  <c r="BB95" i="1"/>
  <c r="FR47" i="1"/>
  <c r="CV94" i="1"/>
  <c r="E14" i="7" s="1"/>
  <c r="IK47" i="1"/>
  <c r="K12" i="6"/>
  <c r="K23" i="6" s="1"/>
  <c r="JJ95" i="1"/>
  <c r="EI47" i="1"/>
  <c r="C15" i="4"/>
  <c r="C26" i="4" s="1"/>
  <c r="AR71" i="1"/>
  <c r="J16" i="6"/>
  <c r="J27" i="6" s="1"/>
  <c r="IO95" i="1"/>
  <c r="H20" i="4"/>
  <c r="H31" i="4" s="1"/>
  <c r="GQ71" i="1"/>
  <c r="C21" i="4"/>
  <c r="C32" i="4" s="1"/>
  <c r="BD71" i="1"/>
  <c r="F12" i="4"/>
  <c r="F23" i="4" s="1"/>
  <c r="DU71" i="1"/>
  <c r="C12" i="4"/>
  <c r="C23" i="4" s="1"/>
  <c r="AL71" i="1"/>
  <c r="J21" i="6"/>
  <c r="J32" i="6" s="1"/>
  <c r="IY95" i="1"/>
  <c r="J13" i="6"/>
  <c r="J24" i="6" s="1"/>
  <c r="II95" i="1"/>
  <c r="K20" i="6"/>
  <c r="K31" i="6" s="1"/>
  <c r="JZ95" i="1"/>
  <c r="G12" i="4"/>
  <c r="G23" i="4" s="1"/>
  <c r="EX71" i="1"/>
  <c r="I22" i="4"/>
  <c r="I33" i="4" s="1"/>
  <c r="HX71" i="1"/>
  <c r="K16" i="6"/>
  <c r="K27" i="6" s="1"/>
  <c r="JR95" i="1"/>
  <c r="EK47" i="1"/>
  <c r="J9" i="7"/>
  <c r="B9" i="3" l="1"/>
  <c r="I19" i="6"/>
  <c r="I30" i="6" s="1"/>
  <c r="HR95" i="1"/>
  <c r="I15" i="6"/>
  <c r="I26" i="6" s="1"/>
  <c r="HJ95" i="1"/>
  <c r="K20" i="8"/>
  <c r="JZ97" i="1"/>
  <c r="K31" i="8" s="1"/>
  <c r="K18" i="6"/>
  <c r="K29" i="6" s="1"/>
  <c r="JV95" i="1"/>
  <c r="CX95" i="1"/>
  <c r="E15" i="6"/>
  <c r="E26" i="6" s="1"/>
  <c r="H13" i="4"/>
  <c r="H24" i="4" s="1"/>
  <c r="GC71" i="1"/>
  <c r="H9" i="3"/>
  <c r="J14" i="6"/>
  <c r="J25" i="6" s="1"/>
  <c r="IK95" i="1"/>
  <c r="I17" i="6"/>
  <c r="I28" i="6" s="1"/>
  <c r="HN95" i="1"/>
  <c r="B20" i="4"/>
  <c r="B31" i="4" s="1"/>
  <c r="Y95" i="1"/>
  <c r="Y71" i="1"/>
  <c r="E9" i="3"/>
  <c r="K3" i="8"/>
  <c r="JH96" i="1"/>
  <c r="C6" i="6"/>
  <c r="C7" i="6" s="1"/>
  <c r="BK95" i="1"/>
  <c r="K6" i="8"/>
  <c r="KI96" i="1"/>
  <c r="K7" i="8" s="1"/>
  <c r="H3" i="6"/>
  <c r="H4" i="6" s="1"/>
  <c r="H5" i="6" s="1"/>
  <c r="FY95" i="1"/>
  <c r="H15" i="4"/>
  <c r="H26" i="4" s="1"/>
  <c r="GG71" i="1"/>
  <c r="J21" i="8"/>
  <c r="IY97" i="1"/>
  <c r="J32" i="8" s="1"/>
  <c r="D18" i="6"/>
  <c r="D29" i="6" s="1"/>
  <c r="CA95" i="1"/>
  <c r="J18" i="6"/>
  <c r="J29" i="6" s="1"/>
  <c r="IS95" i="1"/>
  <c r="I16" i="6"/>
  <c r="I27" i="6" s="1"/>
  <c r="HL95" i="1"/>
  <c r="G21" i="4"/>
  <c r="G32" i="4" s="1"/>
  <c r="FP71" i="1"/>
  <c r="J12" i="8"/>
  <c r="IG96" i="1"/>
  <c r="IG97" i="1"/>
  <c r="J23" i="8" s="1"/>
  <c r="D22" i="6"/>
  <c r="D33" i="6" s="1"/>
  <c r="CI95" i="1"/>
  <c r="I14" i="4"/>
  <c r="I25" i="4" s="1"/>
  <c r="HH71" i="1"/>
  <c r="D9" i="3"/>
  <c r="I20" i="4"/>
  <c r="I31" i="4" s="1"/>
  <c r="HT71" i="1"/>
  <c r="D20" i="6"/>
  <c r="D31" i="6" s="1"/>
  <c r="CE95" i="1"/>
  <c r="G15" i="6"/>
  <c r="G26" i="6" s="1"/>
  <c r="FD95" i="1"/>
  <c r="D3" i="6"/>
  <c r="D4" i="6" s="1"/>
  <c r="D5" i="6" s="1"/>
  <c r="BM95" i="1"/>
  <c r="B6" i="4"/>
  <c r="B7" i="4" s="1"/>
  <c r="B8" i="4" s="1"/>
  <c r="AH95" i="1"/>
  <c r="AH71" i="1"/>
  <c r="CV47" i="1"/>
  <c r="C16" i="4"/>
  <c r="C27" i="4" s="1"/>
  <c r="AT71" i="1"/>
  <c r="D16" i="6"/>
  <c r="D27" i="6" s="1"/>
  <c r="BW95" i="1"/>
  <c r="F14" i="4"/>
  <c r="F25" i="4" s="1"/>
  <c r="DY71" i="1"/>
  <c r="F15" i="4"/>
  <c r="F26" i="4" s="1"/>
  <c r="EA71" i="1"/>
  <c r="F22" i="6"/>
  <c r="F33" i="6" s="1"/>
  <c r="EO95" i="1"/>
  <c r="D15" i="4"/>
  <c r="D26" i="4" s="1"/>
  <c r="BU71" i="1"/>
  <c r="I22" i="6"/>
  <c r="I33" i="6" s="1"/>
  <c r="HX95" i="1"/>
  <c r="G17" i="6"/>
  <c r="G28" i="6" s="1"/>
  <c r="FH95" i="1"/>
  <c r="G22" i="4"/>
  <c r="G33" i="4" s="1"/>
  <c r="FR71" i="1"/>
  <c r="G20" i="8"/>
  <c r="FN97" i="1"/>
  <c r="G31" i="8" s="1"/>
  <c r="BO95" i="1"/>
  <c r="D12" i="6"/>
  <c r="D23" i="6" s="1"/>
  <c r="H20" i="6"/>
  <c r="H31" i="6" s="1"/>
  <c r="GQ95" i="1"/>
  <c r="C20" i="8"/>
  <c r="BB97" i="1"/>
  <c r="C31" i="8" s="1"/>
  <c r="J15" i="8"/>
  <c r="IM97" i="1"/>
  <c r="J26" i="8" s="1"/>
  <c r="J13" i="8"/>
  <c r="II97" i="1"/>
  <c r="J24" i="8" s="1"/>
  <c r="IO97" i="1"/>
  <c r="J27" i="8" s="1"/>
  <c r="J16" i="8"/>
  <c r="C9" i="3"/>
  <c r="B12" i="8"/>
  <c r="B12" i="6" s="1"/>
  <c r="I96" i="1"/>
  <c r="I97" i="1"/>
  <c r="B23" i="8" s="1"/>
  <c r="B23" i="6" s="1"/>
  <c r="F6" i="4"/>
  <c r="F7" i="4" s="1"/>
  <c r="ET71" i="1"/>
  <c r="H6" i="4"/>
  <c r="H7" i="4" s="1"/>
  <c r="GZ71" i="1"/>
  <c r="K14" i="5"/>
  <c r="JN71" i="1"/>
  <c r="K15" i="8"/>
  <c r="JP97" i="1"/>
  <c r="K26" i="8" s="1"/>
  <c r="AV95" i="1"/>
  <c r="C17" i="6"/>
  <c r="C28" i="6" s="1"/>
  <c r="B9" i="2"/>
  <c r="F9" i="2"/>
  <c r="E19" i="4"/>
  <c r="E30" i="4" s="1"/>
  <c r="DF71" i="1"/>
  <c r="B13" i="4"/>
  <c r="B24" i="4" s="1"/>
  <c r="K95" i="1"/>
  <c r="K71" i="1"/>
  <c r="E6" i="4"/>
  <c r="E7" i="4" s="1"/>
  <c r="DQ71" i="1"/>
  <c r="H12" i="6"/>
  <c r="H23" i="6" s="1"/>
  <c r="GA95" i="1"/>
  <c r="H18" i="4"/>
  <c r="H29" i="4" s="1"/>
  <c r="GM71" i="1"/>
  <c r="GI95" i="1"/>
  <c r="H16" i="6"/>
  <c r="H27" i="6" s="1"/>
  <c r="H19" i="6"/>
  <c r="H30" i="6" s="1"/>
  <c r="GO95" i="1"/>
  <c r="F13" i="4"/>
  <c r="F24" i="4" s="1"/>
  <c r="DW71" i="1"/>
  <c r="G18" i="6"/>
  <c r="G29" i="6" s="1"/>
  <c r="FJ95" i="1"/>
  <c r="K13" i="6"/>
  <c r="K24" i="6" s="1"/>
  <c r="JL95" i="1"/>
  <c r="K16" i="8"/>
  <c r="JR97" i="1"/>
  <c r="K27" i="8" s="1"/>
  <c r="C12" i="6"/>
  <c r="C23" i="6" s="1"/>
  <c r="AL95" i="1"/>
  <c r="F19" i="4"/>
  <c r="F30" i="4" s="1"/>
  <c r="EI71" i="1"/>
  <c r="G14" i="2"/>
  <c r="FB47" i="1"/>
  <c r="B16" i="8"/>
  <c r="B16" i="6" s="1"/>
  <c r="Q97" i="1"/>
  <c r="B27" i="8" s="1"/>
  <c r="B27" i="6" s="1"/>
  <c r="G3" i="6"/>
  <c r="G4" i="6" s="1"/>
  <c r="G5" i="6" s="1"/>
  <c r="EV95" i="1"/>
  <c r="E21" i="4"/>
  <c r="E32" i="4" s="1"/>
  <c r="DJ71" i="1"/>
  <c r="E16" i="6"/>
  <c r="E27" i="6" s="1"/>
  <c r="CZ95" i="1"/>
  <c r="F3" i="6"/>
  <c r="F4" i="6" s="1"/>
  <c r="F5" i="6" s="1"/>
  <c r="DS95" i="1"/>
  <c r="G13" i="4"/>
  <c r="G24" i="4" s="1"/>
  <c r="EZ71" i="1"/>
  <c r="H22" i="6"/>
  <c r="H33" i="6" s="1"/>
  <c r="GU95" i="1"/>
  <c r="KD97" i="1"/>
  <c r="K33" i="8" s="1"/>
  <c r="K22" i="8"/>
  <c r="I21" i="4"/>
  <c r="I32" i="4" s="1"/>
  <c r="HV71" i="1"/>
  <c r="J22" i="8"/>
  <c r="JA97" i="1"/>
  <c r="J33" i="8" s="1"/>
  <c r="B22" i="8"/>
  <c r="B22" i="6" s="1"/>
  <c r="AC97" i="1"/>
  <c r="B33" i="8" s="1"/>
  <c r="B33" i="6" s="1"/>
  <c r="B18" i="4"/>
  <c r="B29" i="4" s="1"/>
  <c r="U95" i="1"/>
  <c r="U71" i="1"/>
  <c r="J6" i="8"/>
  <c r="JF96" i="1"/>
  <c r="J7" i="8" s="1"/>
  <c r="K12" i="8"/>
  <c r="JJ97" i="1"/>
  <c r="K23" i="8" s="1"/>
  <c r="JJ96" i="1"/>
  <c r="I6" i="6"/>
  <c r="I7" i="6" s="1"/>
  <c r="IC95" i="1"/>
  <c r="E17" i="6"/>
  <c r="E28" i="6" s="1"/>
  <c r="DB95" i="1"/>
  <c r="FF95" i="1"/>
  <c r="G16" i="6"/>
  <c r="G27" i="6" s="1"/>
  <c r="G19" i="6"/>
  <c r="G30" i="6" s="1"/>
  <c r="FL95" i="1"/>
  <c r="B21" i="4"/>
  <c r="B32" i="4" s="1"/>
  <c r="AA95" i="1"/>
  <c r="AA71" i="1"/>
  <c r="I13" i="6"/>
  <c r="I24" i="6" s="1"/>
  <c r="HF95" i="1"/>
  <c r="H14" i="4"/>
  <c r="H25" i="4" s="1"/>
  <c r="GE71" i="1"/>
  <c r="W95" i="1"/>
  <c r="B19" i="4"/>
  <c r="B30" i="4" s="1"/>
  <c r="W71" i="1"/>
  <c r="H21" i="6"/>
  <c r="H32" i="6" s="1"/>
  <c r="GS95" i="1"/>
  <c r="I9" i="2"/>
  <c r="C18" i="6"/>
  <c r="C29" i="6" s="1"/>
  <c r="AX95" i="1"/>
  <c r="O95" i="1"/>
  <c r="B15" i="4"/>
  <c r="B26" i="4" s="1"/>
  <c r="O71" i="1"/>
  <c r="D14" i="2"/>
  <c r="BS47" i="1"/>
  <c r="C15" i="6"/>
  <c r="C26" i="6" s="1"/>
  <c r="AR95" i="1"/>
  <c r="C22" i="6"/>
  <c r="C33" i="6" s="1"/>
  <c r="BF95" i="1"/>
  <c r="IW97" i="1"/>
  <c r="J31" i="8" s="1"/>
  <c r="J20" i="8"/>
  <c r="E18" i="4"/>
  <c r="E29" i="4" s="1"/>
  <c r="DD71" i="1"/>
  <c r="K19" i="6"/>
  <c r="K30" i="6" s="1"/>
  <c r="JX95" i="1"/>
  <c r="F20" i="4"/>
  <c r="F31" i="4" s="1"/>
  <c r="EK71" i="1"/>
  <c r="AN95" i="1"/>
  <c r="C13" i="6"/>
  <c r="C24" i="6" s="1"/>
  <c r="C14" i="4"/>
  <c r="C25" i="4" s="1"/>
  <c r="AP71" i="1"/>
  <c r="I12" i="6"/>
  <c r="I23" i="6" s="1"/>
  <c r="HD95" i="1"/>
  <c r="C19" i="4"/>
  <c r="C30" i="4" s="1"/>
  <c r="AZ71" i="1"/>
  <c r="E22" i="4"/>
  <c r="E33" i="4" s="1"/>
  <c r="DL71" i="1"/>
  <c r="F18" i="6"/>
  <c r="F29" i="6" s="1"/>
  <c r="EG95" i="1"/>
  <c r="I9" i="3"/>
  <c r="D19" i="4"/>
  <c r="D30" i="4" s="1"/>
  <c r="CC71" i="1"/>
  <c r="F21" i="6"/>
  <c r="F32" i="6" s="1"/>
  <c r="EM95" i="1"/>
  <c r="F12" i="6"/>
  <c r="F23" i="6" s="1"/>
  <c r="DU95" i="1"/>
  <c r="E12" i="6"/>
  <c r="E23" i="6" s="1"/>
  <c r="CR95" i="1"/>
  <c r="K17" i="6"/>
  <c r="K28" i="6" s="1"/>
  <c r="JT95" i="1"/>
  <c r="B17" i="8"/>
  <c r="B17" i="6" s="1"/>
  <c r="S97" i="1"/>
  <c r="B28" i="8" s="1"/>
  <c r="B28" i="6" s="1"/>
  <c r="F17" i="6"/>
  <c r="F28" i="6" s="1"/>
  <c r="EE95" i="1"/>
  <c r="G12" i="6"/>
  <c r="G23" i="6" s="1"/>
  <c r="EX95" i="1"/>
  <c r="C21" i="6"/>
  <c r="C32" i="6" s="1"/>
  <c r="BD95" i="1"/>
  <c r="B3" i="8"/>
  <c r="B3" i="6" s="1"/>
  <c r="G96" i="1"/>
  <c r="G9" i="3"/>
  <c r="K21" i="8"/>
  <c r="KB97" i="1"/>
  <c r="K32" i="8" s="1"/>
  <c r="E13" i="6"/>
  <c r="E24" i="6" s="1"/>
  <c r="CT95" i="1"/>
  <c r="C3" i="6"/>
  <c r="C4" i="6" s="1"/>
  <c r="C5" i="6" s="1"/>
  <c r="AJ95" i="1"/>
  <c r="I3" i="6"/>
  <c r="I4" i="6" s="1"/>
  <c r="I5" i="6" s="1"/>
  <c r="HB95" i="1"/>
  <c r="D6" i="6"/>
  <c r="D7" i="6" s="1"/>
  <c r="CN95" i="1"/>
  <c r="CG95" i="1"/>
  <c r="D21" i="6"/>
  <c r="D32" i="6" s="1"/>
  <c r="G6" i="4"/>
  <c r="G7" i="4" s="1"/>
  <c r="FW71" i="1"/>
  <c r="F16" i="4"/>
  <c r="F27" i="4" s="1"/>
  <c r="EC71" i="1"/>
  <c r="D13" i="4"/>
  <c r="D24" i="4" s="1"/>
  <c r="BQ71" i="1"/>
  <c r="B14" i="4"/>
  <c r="B25" i="4" s="1"/>
  <c r="M95" i="1"/>
  <c r="M71" i="1"/>
  <c r="J17" i="6"/>
  <c r="J28" i="6" s="1"/>
  <c r="IQ95" i="1"/>
  <c r="E20" i="4"/>
  <c r="E31" i="4" s="1"/>
  <c r="DH71" i="1"/>
  <c r="J19" i="8"/>
  <c r="IU97" i="1"/>
  <c r="J30" i="8" s="1"/>
  <c r="G9" i="2"/>
  <c r="E3" i="6"/>
  <c r="E4" i="6" s="1"/>
  <c r="E5" i="6" s="1"/>
  <c r="CP95" i="1"/>
  <c r="J3" i="8"/>
  <c r="IE96" i="1"/>
  <c r="D17" i="4"/>
  <c r="D28" i="4" s="1"/>
  <c r="BY71" i="1"/>
  <c r="H17" i="4"/>
  <c r="H28" i="4" s="1"/>
  <c r="GK71" i="1"/>
  <c r="I18" i="4"/>
  <c r="I29" i="4" s="1"/>
  <c r="HP71" i="1"/>
  <c r="F17" i="8" l="1"/>
  <c r="EE97" i="1"/>
  <c r="F28" i="8" s="1"/>
  <c r="C14" i="6"/>
  <c r="C25" i="6" s="1"/>
  <c r="AP95" i="1"/>
  <c r="G19" i="8"/>
  <c r="FL97" i="1"/>
  <c r="G30" i="8" s="1"/>
  <c r="H22" i="8"/>
  <c r="GU97" i="1"/>
  <c r="H33" i="8" s="1"/>
  <c r="D12" i="8"/>
  <c r="BO97" i="1"/>
  <c r="D23" i="8" s="1"/>
  <c r="BO96" i="1"/>
  <c r="D22" i="8"/>
  <c r="CI97" i="1"/>
  <c r="D33" i="8" s="1"/>
  <c r="D18" i="8"/>
  <c r="CA97" i="1"/>
  <c r="D29" i="8" s="1"/>
  <c r="JH97" i="1"/>
  <c r="K5" i="8" s="1"/>
  <c r="K4" i="8"/>
  <c r="D8" i="4"/>
  <c r="F16" i="6"/>
  <c r="F27" i="6" s="1"/>
  <c r="EC95" i="1"/>
  <c r="E13" i="8"/>
  <c r="CT97" i="1"/>
  <c r="E24" i="8" s="1"/>
  <c r="CC95" i="1"/>
  <c r="D19" i="6"/>
  <c r="D30" i="6" s="1"/>
  <c r="G18" i="8"/>
  <c r="FJ97" i="1"/>
  <c r="G29" i="8" s="1"/>
  <c r="E6" i="6"/>
  <c r="E7" i="6" s="1"/>
  <c r="DQ95" i="1"/>
  <c r="F15" i="6"/>
  <c r="F26" i="6" s="1"/>
  <c r="EA95" i="1"/>
  <c r="D3" i="8"/>
  <c r="BM96" i="1"/>
  <c r="I18" i="6"/>
  <c r="I29" i="6" s="1"/>
  <c r="HP95" i="1"/>
  <c r="C15" i="8"/>
  <c r="AR97" i="1"/>
  <c r="C26" i="8" s="1"/>
  <c r="B18" i="8"/>
  <c r="B18" i="6" s="1"/>
  <c r="U97" i="1"/>
  <c r="B29" i="8" s="1"/>
  <c r="B29" i="6" s="1"/>
  <c r="G13" i="6"/>
  <c r="G24" i="6" s="1"/>
  <c r="EZ95" i="1"/>
  <c r="E8" i="4"/>
  <c r="E15" i="8"/>
  <c r="CX97" i="1"/>
  <c r="E26" i="8" s="1"/>
  <c r="EK95" i="1"/>
  <c r="F20" i="6"/>
  <c r="F31" i="6" s="1"/>
  <c r="E17" i="8"/>
  <c r="DB97" i="1"/>
  <c r="E28" i="8" s="1"/>
  <c r="H15" i="6"/>
  <c r="H26" i="6" s="1"/>
  <c r="GG95" i="1"/>
  <c r="F19" i="6"/>
  <c r="F30" i="6" s="1"/>
  <c r="EI95" i="1"/>
  <c r="D16" i="8"/>
  <c r="BW97" i="1"/>
  <c r="D27" i="8" s="1"/>
  <c r="K19" i="8"/>
  <c r="JX97" i="1"/>
  <c r="K30" i="8" s="1"/>
  <c r="H3" i="8"/>
  <c r="FY96" i="1"/>
  <c r="I17" i="8"/>
  <c r="HN97" i="1"/>
  <c r="I28" i="8" s="1"/>
  <c r="F6" i="6"/>
  <c r="F7" i="6" s="1"/>
  <c r="ET95" i="1"/>
  <c r="I22" i="8"/>
  <c r="HX97" i="1"/>
  <c r="I33" i="8" s="1"/>
  <c r="C16" i="6"/>
  <c r="C27" i="6" s="1"/>
  <c r="AT95" i="1"/>
  <c r="I20" i="6"/>
  <c r="I31" i="6" s="1"/>
  <c r="HT95" i="1"/>
  <c r="I8" i="4"/>
  <c r="I15" i="8"/>
  <c r="HJ97" i="1"/>
  <c r="I26" i="8" s="1"/>
  <c r="FD97" i="1"/>
  <c r="G26" i="8" s="1"/>
  <c r="G15" i="8"/>
  <c r="I21" i="6"/>
  <c r="I32" i="6" s="1"/>
  <c r="HV95" i="1"/>
  <c r="H16" i="8"/>
  <c r="GI97" i="1"/>
  <c r="H27" i="8" s="1"/>
  <c r="F8" i="4"/>
  <c r="I16" i="8"/>
  <c r="HL97" i="1"/>
  <c r="I27" i="8" s="1"/>
  <c r="J14" i="8"/>
  <c r="IK97" i="1"/>
  <c r="J25" i="8" s="1"/>
  <c r="C22" i="8"/>
  <c r="BF97" i="1"/>
  <c r="C33" i="8" s="1"/>
  <c r="AN97" i="1"/>
  <c r="C24" i="8" s="1"/>
  <c r="C13" i="8"/>
  <c r="G14" i="4"/>
  <c r="G25" i="4" s="1"/>
  <c r="FB71" i="1"/>
  <c r="G22" i="6"/>
  <c r="G33" i="6" s="1"/>
  <c r="FR95" i="1"/>
  <c r="E20" i="6"/>
  <c r="E31" i="6" s="1"/>
  <c r="DH95" i="1"/>
  <c r="G17" i="8"/>
  <c r="FH97" i="1"/>
  <c r="G28" i="8" s="1"/>
  <c r="D17" i="6"/>
  <c r="D28" i="6" s="1"/>
  <c r="BY95" i="1"/>
  <c r="D21" i="8"/>
  <c r="CG97" i="1"/>
  <c r="D32" i="8" s="1"/>
  <c r="G97" i="1"/>
  <c r="B5" i="8" s="1"/>
  <c r="B5" i="6" s="1"/>
  <c r="B4" i="8"/>
  <c r="B4" i="6" s="1"/>
  <c r="E12" i="8"/>
  <c r="CR96" i="1"/>
  <c r="CR97" i="1"/>
  <c r="E23" i="8" s="1"/>
  <c r="E22" i="6"/>
  <c r="E33" i="6" s="1"/>
  <c r="DL95" i="1"/>
  <c r="H8" i="4"/>
  <c r="D6" i="8"/>
  <c r="CN96" i="1"/>
  <c r="D7" i="8" s="1"/>
  <c r="C12" i="8"/>
  <c r="AL96" i="1"/>
  <c r="AL97" i="1"/>
  <c r="C23" i="8" s="1"/>
  <c r="F12" i="8"/>
  <c r="DU96" i="1"/>
  <c r="DU97" i="1"/>
  <c r="F23" i="8" s="1"/>
  <c r="C19" i="6"/>
  <c r="C30" i="6" s="1"/>
  <c r="AZ95" i="1"/>
  <c r="E18" i="6"/>
  <c r="E29" i="6" s="1"/>
  <c r="DD95" i="1"/>
  <c r="B14" i="8"/>
  <c r="B14" i="6" s="1"/>
  <c r="M97" i="1"/>
  <c r="B25" i="8" s="1"/>
  <c r="B25" i="6" s="1"/>
  <c r="I3" i="8"/>
  <c r="HB96" i="1"/>
  <c r="C18" i="8"/>
  <c r="AX97" i="1"/>
  <c r="C29" i="8" s="1"/>
  <c r="E21" i="6"/>
  <c r="E32" i="6" s="1"/>
  <c r="DJ95" i="1"/>
  <c r="H18" i="6"/>
  <c r="H29" i="6" s="1"/>
  <c r="GM95" i="1"/>
  <c r="H20" i="8"/>
  <c r="GQ97" i="1"/>
  <c r="H31" i="8" s="1"/>
  <c r="D15" i="6"/>
  <c r="D26" i="6" s="1"/>
  <c r="BU95" i="1"/>
  <c r="E14" i="4"/>
  <c r="E25" i="4" s="1"/>
  <c r="CV71" i="1"/>
  <c r="I19" i="8"/>
  <c r="HR97" i="1"/>
  <c r="I30" i="8" s="1"/>
  <c r="H21" i="8"/>
  <c r="GS97" i="1"/>
  <c r="H32" i="8" s="1"/>
  <c r="G16" i="8"/>
  <c r="FF97" i="1"/>
  <c r="G27" i="8" s="1"/>
  <c r="F13" i="6"/>
  <c r="F24" i="6" s="1"/>
  <c r="DW95" i="1"/>
  <c r="F14" i="6"/>
  <c r="F25" i="6" s="1"/>
  <c r="DY95" i="1"/>
  <c r="K18" i="8"/>
  <c r="JV97" i="1"/>
  <c r="K29" i="8" s="1"/>
  <c r="H17" i="6"/>
  <c r="H28" i="6" s="1"/>
  <c r="GK95" i="1"/>
  <c r="D20" i="8"/>
  <c r="CE97" i="1"/>
  <c r="D31" i="8" s="1"/>
  <c r="J17" i="8"/>
  <c r="IQ97" i="1"/>
  <c r="J28" i="8" s="1"/>
  <c r="E19" i="6"/>
  <c r="E30" i="6" s="1"/>
  <c r="DF95" i="1"/>
  <c r="E16" i="8"/>
  <c r="CZ97" i="1"/>
  <c r="E27" i="8" s="1"/>
  <c r="C8" i="4"/>
  <c r="B21" i="8"/>
  <c r="B21" i="6" s="1"/>
  <c r="AA97" i="1"/>
  <c r="B32" i="8" s="1"/>
  <c r="B32" i="6" s="1"/>
  <c r="I14" i="6"/>
  <c r="I25" i="6" s="1"/>
  <c r="HH95" i="1"/>
  <c r="J18" i="8"/>
  <c r="IS97" i="1"/>
  <c r="J29" i="8" s="1"/>
  <c r="C6" i="8"/>
  <c r="BK96" i="1"/>
  <c r="C7" i="8" s="1"/>
  <c r="G6" i="6"/>
  <c r="G7" i="6" s="1"/>
  <c r="FW95" i="1"/>
  <c r="K14" i="6"/>
  <c r="K25" i="6" s="1"/>
  <c r="JN95" i="1"/>
  <c r="G8" i="4"/>
  <c r="K17" i="8"/>
  <c r="JT97" i="1"/>
  <c r="K28" i="8" s="1"/>
  <c r="F18" i="8"/>
  <c r="EG97" i="1"/>
  <c r="F29" i="8" s="1"/>
  <c r="D14" i="4"/>
  <c r="D25" i="4" s="1"/>
  <c r="BS71" i="1"/>
  <c r="B19" i="8"/>
  <c r="B19" i="6" s="1"/>
  <c r="W97" i="1"/>
  <c r="B30" i="8" s="1"/>
  <c r="B30" i="6" s="1"/>
  <c r="B13" i="8"/>
  <c r="B13" i="6" s="1"/>
  <c r="K97" i="1"/>
  <c r="B24" i="8" s="1"/>
  <c r="B24" i="6" s="1"/>
  <c r="B20" i="8"/>
  <c r="B20" i="6" s="1"/>
  <c r="Y97" i="1"/>
  <c r="B31" i="8" s="1"/>
  <c r="B31" i="6" s="1"/>
  <c r="GE95" i="1"/>
  <c r="H14" i="6"/>
  <c r="H25" i="6" s="1"/>
  <c r="F3" i="8"/>
  <c r="DS96" i="1"/>
  <c r="H19" i="8"/>
  <c r="GO97" i="1"/>
  <c r="H30" i="8" s="1"/>
  <c r="H6" i="6"/>
  <c r="H7" i="6" s="1"/>
  <c r="GZ95" i="1"/>
  <c r="G21" i="6"/>
  <c r="G32" i="6" s="1"/>
  <c r="FP95" i="1"/>
  <c r="I6" i="8"/>
  <c r="IC96" i="1"/>
  <c r="I7" i="8" s="1"/>
  <c r="HF97" i="1"/>
  <c r="I24" i="8" s="1"/>
  <c r="I13" i="8"/>
  <c r="J4" i="8"/>
  <c r="IE97" i="1"/>
  <c r="J5" i="8" s="1"/>
  <c r="C21" i="8"/>
  <c r="BD97" i="1"/>
  <c r="C32" i="8" s="1"/>
  <c r="O97" i="1"/>
  <c r="B26" i="8" s="1"/>
  <c r="B26" i="6" s="1"/>
  <c r="B15" i="8"/>
  <c r="B15" i="6" s="1"/>
  <c r="E3" i="8"/>
  <c r="CP96" i="1"/>
  <c r="G12" i="8"/>
  <c r="EX96" i="1"/>
  <c r="EX97" i="1"/>
  <c r="G23" i="8" s="1"/>
  <c r="I12" i="8"/>
  <c r="HD96" i="1"/>
  <c r="HD97" i="1"/>
  <c r="I23" i="8" s="1"/>
  <c r="D13" i="6"/>
  <c r="D24" i="6" s="1"/>
  <c r="BQ95" i="1"/>
  <c r="C3" i="8"/>
  <c r="AJ96" i="1"/>
  <c r="F21" i="8"/>
  <c r="EM97" i="1"/>
  <c r="F32" i="8" s="1"/>
  <c r="G3" i="8"/>
  <c r="EV96" i="1"/>
  <c r="K13" i="8"/>
  <c r="JL97" i="1"/>
  <c r="K24" i="8" s="1"/>
  <c r="H12" i="8"/>
  <c r="GA96" i="1"/>
  <c r="GA97" i="1"/>
  <c r="H23" i="8" s="1"/>
  <c r="C17" i="8"/>
  <c r="AV97" i="1"/>
  <c r="C28" i="8" s="1"/>
  <c r="F22" i="8"/>
  <c r="EO97" i="1"/>
  <c r="F33" i="8" s="1"/>
  <c r="B6" i="8"/>
  <c r="B6" i="6" s="1"/>
  <c r="AH96" i="1"/>
  <c r="B7" i="8" s="1"/>
  <c r="H13" i="6"/>
  <c r="H24" i="6" s="1"/>
  <c r="GC95" i="1"/>
  <c r="I18" i="8" l="1"/>
  <c r="HP97" i="1"/>
  <c r="I29" i="8" s="1"/>
  <c r="E19" i="8"/>
  <c r="DF97" i="1"/>
  <c r="E30" i="8" s="1"/>
  <c r="E18" i="8"/>
  <c r="DD97" i="1"/>
  <c r="E29" i="8" s="1"/>
  <c r="H18" i="8"/>
  <c r="GM97" i="1"/>
  <c r="H29" i="8" s="1"/>
  <c r="C19" i="8"/>
  <c r="AZ97" i="1"/>
  <c r="C30" i="8" s="1"/>
  <c r="E22" i="8"/>
  <c r="DL97" i="1"/>
  <c r="E33" i="8" s="1"/>
  <c r="H4" i="8"/>
  <c r="FY97" i="1"/>
  <c r="H5" i="8" s="1"/>
  <c r="F4" i="8"/>
  <c r="DS97" i="1"/>
  <c r="F5" i="8" s="1"/>
  <c r="E20" i="8"/>
  <c r="DH97" i="1"/>
  <c r="E31" i="8" s="1"/>
  <c r="F20" i="8"/>
  <c r="EK97" i="1"/>
  <c r="F31" i="8" s="1"/>
  <c r="D4" i="8"/>
  <c r="BM97" i="1"/>
  <c r="D5" i="8" s="1"/>
  <c r="F16" i="8"/>
  <c r="EC97" i="1"/>
  <c r="F27" i="8" s="1"/>
  <c r="C4" i="8"/>
  <c r="AJ97" i="1"/>
  <c r="C5" i="8" s="1"/>
  <c r="H6" i="8"/>
  <c r="GZ96" i="1"/>
  <c r="H7" i="8" s="1"/>
  <c r="E21" i="8"/>
  <c r="DJ97" i="1"/>
  <c r="E32" i="8" s="1"/>
  <c r="H14" i="8"/>
  <c r="GE97" i="1"/>
  <c r="H25" i="8" s="1"/>
  <c r="H17" i="8"/>
  <c r="GK97" i="1"/>
  <c r="H28" i="8" s="1"/>
  <c r="C16" i="8"/>
  <c r="AT97" i="1"/>
  <c r="C27" i="8" s="1"/>
  <c r="G22" i="8"/>
  <c r="FR97" i="1"/>
  <c r="G33" i="8" s="1"/>
  <c r="B7" i="6"/>
  <c r="G8" i="6" s="1"/>
  <c r="G14" i="6"/>
  <c r="G25" i="6" s="1"/>
  <c r="FB95" i="1"/>
  <c r="G13" i="8"/>
  <c r="EZ97" i="1"/>
  <c r="G24" i="8" s="1"/>
  <c r="E6" i="8"/>
  <c r="DQ96" i="1"/>
  <c r="E7" i="8" s="1"/>
  <c r="E8" i="8" s="1"/>
  <c r="C14" i="8"/>
  <c r="AP97" i="1"/>
  <c r="C25" i="8" s="1"/>
  <c r="H13" i="8"/>
  <c r="GC97" i="1"/>
  <c r="H24" i="8" s="1"/>
  <c r="I14" i="8"/>
  <c r="HH97" i="1"/>
  <c r="I25" i="8" s="1"/>
  <c r="I20" i="8"/>
  <c r="HT97" i="1"/>
  <c r="I31" i="8" s="1"/>
  <c r="G4" i="8"/>
  <c r="EV97" i="1"/>
  <c r="G5" i="8" s="1"/>
  <c r="K14" i="8"/>
  <c r="JN97" i="1"/>
  <c r="K25" i="8" s="1"/>
  <c r="E14" i="6"/>
  <c r="E25" i="6" s="1"/>
  <c r="CV95" i="1"/>
  <c r="I4" i="8"/>
  <c r="HB97" i="1"/>
  <c r="I5" i="8" s="1"/>
  <c r="F19" i="8"/>
  <c r="EI97" i="1"/>
  <c r="F30" i="8" s="1"/>
  <c r="E8" i="6"/>
  <c r="H8" i="6"/>
  <c r="D19" i="8"/>
  <c r="CC97" i="1"/>
  <c r="D30" i="8" s="1"/>
  <c r="F15" i="8"/>
  <c r="EA97" i="1"/>
  <c r="F26" i="8" s="1"/>
  <c r="E4" i="8"/>
  <c r="CP97" i="1"/>
  <c r="E5" i="8" s="1"/>
  <c r="G21" i="8"/>
  <c r="FP97" i="1"/>
  <c r="G32" i="8" s="1"/>
  <c r="I21" i="8"/>
  <c r="HV97" i="1"/>
  <c r="I32" i="8" s="1"/>
  <c r="D17" i="8"/>
  <c r="BY97" i="1"/>
  <c r="D28" i="8" s="1"/>
  <c r="F13" i="8"/>
  <c r="DW97" i="1"/>
  <c r="F24" i="8" s="1"/>
  <c r="D13" i="8"/>
  <c r="BQ97" i="1"/>
  <c r="D24" i="8" s="1"/>
  <c r="D14" i="6"/>
  <c r="D25" i="6" s="1"/>
  <c r="BS95" i="1"/>
  <c r="G6" i="8"/>
  <c r="FW96" i="1"/>
  <c r="G7" i="8" s="1"/>
  <c r="F14" i="8"/>
  <c r="DY97" i="1"/>
  <c r="F25" i="8" s="1"/>
  <c r="D15" i="8"/>
  <c r="BU97" i="1"/>
  <c r="D26" i="8" s="1"/>
  <c r="F6" i="8"/>
  <c r="ET96" i="1"/>
  <c r="F7" i="8" s="1"/>
  <c r="H15" i="8"/>
  <c r="GG97" i="1"/>
  <c r="H26" i="8" s="1"/>
  <c r="G8" i="8" l="1"/>
  <c r="D14" i="8"/>
  <c r="BS97" i="1"/>
  <c r="D25" i="8" s="1"/>
  <c r="E14" i="8"/>
  <c r="CV97" i="1"/>
  <c r="E25" i="8" s="1"/>
  <c r="B8" i="8"/>
  <c r="B8" i="6" s="1"/>
  <c r="J8" i="8"/>
  <c r="D8" i="8"/>
  <c r="H8" i="8"/>
  <c r="F8" i="8"/>
  <c r="G14" i="8"/>
  <c r="FB97" i="1"/>
  <c r="G25" i="8" s="1"/>
  <c r="J8" i="6"/>
  <c r="K8" i="6"/>
  <c r="C8" i="6"/>
  <c r="D8" i="6"/>
  <c r="I8" i="6"/>
  <c r="C8" i="8"/>
  <c r="F8" i="6"/>
  <c r="I8" i="8"/>
  <c r="K8" i="8"/>
</calcChain>
</file>

<file path=xl/sharedStrings.xml><?xml version="1.0" encoding="utf-8"?>
<sst xmlns="http://schemas.openxmlformats.org/spreadsheetml/2006/main" count="1539" uniqueCount="105">
  <si>
    <t>Tag 1
Zuoz</t>
  </si>
  <si>
    <t>Course</t>
  </si>
  <si>
    <t>Manu</t>
  </si>
  <si>
    <t>Parli</t>
  </si>
  <si>
    <t>Meiky</t>
  </si>
  <si>
    <t>Pulfer</t>
  </si>
  <si>
    <t>Andrea</t>
  </si>
  <si>
    <t>Jens</t>
  </si>
  <si>
    <t>Köbi</t>
  </si>
  <si>
    <t>Lenz</t>
  </si>
  <si>
    <t>Justine</t>
  </si>
  <si>
    <t>Thömme</t>
  </si>
  <si>
    <t>Abschnitt</t>
  </si>
  <si>
    <t>Loch</t>
  </si>
  <si>
    <t>Loch kum</t>
  </si>
  <si>
    <t>Par</t>
  </si>
  <si>
    <t>Par kum</t>
  </si>
  <si>
    <t>Schläge</t>
  </si>
  <si>
    <t>Schläge kum</t>
  </si>
  <si>
    <t>Putts</t>
  </si>
  <si>
    <t>Putts kum</t>
  </si>
  <si>
    <t>GIR</t>
  </si>
  <si>
    <t>GIR kum</t>
  </si>
  <si>
    <t>Up/Down</t>
  </si>
  <si>
    <t>Up/Down kum</t>
  </si>
  <si>
    <t>Birdie</t>
  </si>
  <si>
    <t>Birdie kum</t>
  </si>
  <si>
    <t>Pars</t>
  </si>
  <si>
    <t>Pars kum</t>
  </si>
  <si>
    <t>Bogeys</t>
  </si>
  <si>
    <t>Bogeys kum</t>
  </si>
  <si>
    <t>D.Bogey+</t>
  </si>
  <si>
    <t>D.Bogey+ kum</t>
  </si>
  <si>
    <t>Chip in</t>
  </si>
  <si>
    <t>Chip in kum</t>
  </si>
  <si>
    <t>1 Put</t>
  </si>
  <si>
    <t>1 Put kum</t>
  </si>
  <si>
    <t>2 Put</t>
  </si>
  <si>
    <t>2 Put kum</t>
  </si>
  <si>
    <t>3+ Put</t>
  </si>
  <si>
    <t>3+ Put kum</t>
  </si>
  <si>
    <t>Par3 Perf</t>
  </si>
  <si>
    <t>Par4 Perf</t>
  </si>
  <si>
    <t>Par5 Perf</t>
  </si>
  <si>
    <t>Netto</t>
  </si>
  <si>
    <t>Netto kum</t>
  </si>
  <si>
    <t>Front Nine</t>
  </si>
  <si>
    <t>Total</t>
  </si>
  <si>
    <t>Back Nine</t>
  </si>
  <si>
    <t>18 L</t>
  </si>
  <si>
    <t>Tag 2
Samedan</t>
  </si>
  <si>
    <t>Tag 1-2</t>
  </si>
  <si>
    <t>36 L</t>
  </si>
  <si>
    <t>Total kum</t>
  </si>
  <si>
    <t>Tag 3
Samedan</t>
  </si>
  <si>
    <t>Tag 1-3</t>
  </si>
  <si>
    <t>54 L</t>
  </si>
  <si>
    <t>Tag 4
Zuoz</t>
  </si>
  <si>
    <t>Tag 1-4</t>
  </si>
  <si>
    <t>72 L</t>
  </si>
  <si>
    <t>Über Par</t>
  </si>
  <si>
    <t>Durchschnitt</t>
  </si>
  <si>
    <t>Engadin Open Tag 1</t>
  </si>
  <si>
    <t>Gewähltes HCP</t>
  </si>
  <si>
    <t>Schläge Front 9</t>
  </si>
  <si>
    <t>Schläge Back 9</t>
  </si>
  <si>
    <t>Schläge über Par / gesp. HCP</t>
  </si>
  <si>
    <t>Schläge Netto</t>
  </si>
  <si>
    <t>Schläge Netto über Par</t>
  </si>
  <si>
    <t>Rang</t>
  </si>
  <si>
    <t>Putts Front 9</t>
  </si>
  <si>
    <t>Putts Back 9</t>
  </si>
  <si>
    <t>UP/Down</t>
  </si>
  <si>
    <t>Birdies</t>
  </si>
  <si>
    <t>Double Bogey +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</si>
  <si>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</si>
  <si>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t>Engadin Open Tag 2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</si>
  <si>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</si>
  <si>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t>Engadin Open Tag 1-2</t>
  </si>
  <si>
    <t>Schläge über Par</t>
  </si>
  <si>
    <t>Gespieltes HCP</t>
  </si>
  <si>
    <t>High Score</t>
  </si>
  <si>
    <t>Low Score</t>
  </si>
  <si>
    <t>Avg Score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</si>
  <si>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</si>
  <si>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GIR pro Runde</t>
    </r>
  </si>
  <si>
    <t>Ø UP/Down pro Runde</t>
  </si>
  <si>
    <t>Ø Birdies pro Runde</t>
  </si>
  <si>
    <t>Ø Pars pro Runde</t>
  </si>
  <si>
    <t>Ø Bogeys pro Runde</t>
  </si>
  <si>
    <t>Ø Doubley Bogeys + pro Runde</t>
  </si>
  <si>
    <t>Ø Chip in pro Runde</t>
  </si>
  <si>
    <t>Ø 1 Put pro Runde</t>
  </si>
  <si>
    <t>Ø 2 Put pro Runde</t>
  </si>
  <si>
    <t>Ø 3+ Put pro Runde</t>
  </si>
  <si>
    <t>Engadin Open Tag 3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</si>
  <si>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</si>
  <si>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t>Engadin Open Tag 1-3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</si>
  <si>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</si>
  <si>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GIR pro Runde</t>
    </r>
  </si>
  <si>
    <t>Engadin Open Tag 4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</si>
  <si>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</si>
  <si>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t>Engadin Open Tag 1-4</t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</si>
  <si>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Putts pro Loch</t>
    </r>
  </si>
  <si>
    <r>
      <rPr>
        <sz val="10"/>
        <color rgb="FF000000"/>
        <rFont val="Arial"/>
        <family val="2"/>
      </rPr>
      <t xml:space="preserve">Ø </t>
    </r>
    <r>
      <rPr>
        <sz val="10"/>
        <color rgb="FF000000"/>
        <rFont val="Arial"/>
        <family val="2"/>
      </rPr>
      <t>GIR pro Runde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</si>
</sst>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name val="Arial"/>
      <family val="2"/>
    </font>
    <font>
      <b/>
      <sz val="10"/>
      <color rgb="FF000000"/>
      <name val="Arial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2D050"/>
        <bgColor rgb="FF92D050"/>
      </patternFill>
    </fill>
  </fills>
  <borders count="47">
    <border>
      <left/>
      <right/>
      <top/>
      <bottom/>
      <diagonal/>
    </border>
    <border>
      <left style="thick">
        <color rgb="FF000000"/>
      </left>
      <right/>
      <top style="thick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ck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 style="thin">
        <color rgb="FF000000"/>
      </bottom>
      <diagonal/>
    </border>
    <border>
      <left/>
      <right style="thin">
        <color rgb="FF000000"/>
      </right>
      <top style="thick">
        <color rgb="FF000000"/>
      </top>
      <bottom style="thin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n">
        <color rgb="FF000000"/>
      </bottom>
      <diagonal/>
    </border>
    <border>
      <left style="thick">
        <color rgb="FF000000"/>
      </left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ck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ck">
        <color rgb="FF000000"/>
      </right>
      <top/>
      <bottom style="thin">
        <color rgb="FF000000"/>
      </bottom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 style="thin">
        <color rgb="FF000000"/>
      </left>
      <right/>
      <top style="thin">
        <color rgb="FF000000"/>
      </top>
      <bottom style="thick">
        <color rgb="FF000000"/>
      </bottom>
      <diagonal/>
    </border>
    <border>
      <left/>
      <right/>
      <top/>
      <bottom style="thick">
        <color rgb="FF000000"/>
      </bottom>
      <diagonal/>
    </border>
    <border>
      <left/>
      <right/>
      <top style="thin">
        <color rgb="FF000000"/>
      </top>
      <bottom style="thick">
        <color rgb="FF000000"/>
      </bottom>
      <diagonal/>
    </border>
    <border>
      <left/>
      <right style="thin">
        <color rgb="FF000000"/>
      </right>
      <top/>
      <bottom style="thick">
        <color rgb="FF000000"/>
      </bottom>
      <diagonal/>
    </border>
    <border>
      <left style="thin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 style="thin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n">
        <color rgb="FF000000"/>
      </right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/>
      <diagonal/>
    </border>
    <border>
      <left/>
      <right style="thin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115">
    <xf numFmtId="0" fontId="0" fillId="0" borderId="0" xfId="0"/>
    <xf numFmtId="0" fontId="1" fillId="0" borderId="2" xfId="0" applyFont="1" applyBorder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12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4" xfId="0" applyFont="1" applyBorder="1" applyAlignment="1">
      <alignment horizontal="center"/>
    </xf>
    <xf numFmtId="0" fontId="5" fillId="0" borderId="0" xfId="0" applyFont="1"/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19" xfId="0" applyFont="1" applyFill="1" applyBorder="1" applyAlignment="1">
      <alignment horizontal="center"/>
    </xf>
    <xf numFmtId="2" fontId="4" fillId="0" borderId="16" xfId="0" applyNumberFormat="1" applyFont="1" applyBorder="1" applyAlignment="1">
      <alignment horizontal="center"/>
    </xf>
    <xf numFmtId="2" fontId="4" fillId="0" borderId="17" xfId="0" applyNumberFormat="1" applyFont="1" applyBorder="1" applyAlignment="1">
      <alignment horizontal="center"/>
    </xf>
    <xf numFmtId="2" fontId="4" fillId="0" borderId="20" xfId="0" applyNumberFormat="1" applyFont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4" fillId="2" borderId="22" xfId="0" applyFont="1" applyFill="1" applyBorder="1" applyAlignment="1">
      <alignment horizontal="center"/>
    </xf>
    <xf numFmtId="2" fontId="4" fillId="0" borderId="0" xfId="0" applyNumberFormat="1" applyFont="1" applyAlignment="1">
      <alignment horizontal="center"/>
    </xf>
    <xf numFmtId="2" fontId="4" fillId="0" borderId="12" xfId="0" applyNumberFormat="1" applyFont="1" applyBorder="1" applyAlignment="1">
      <alignment horizontal="center"/>
    </xf>
    <xf numFmtId="2" fontId="4" fillId="0" borderId="14" xfId="0" applyNumberFormat="1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2" borderId="23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2" fontId="4" fillId="0" borderId="3" xfId="0" applyNumberFormat="1" applyFont="1" applyBorder="1" applyAlignment="1">
      <alignment horizontal="center"/>
    </xf>
    <xf numFmtId="2" fontId="4" fillId="0" borderId="4" xfId="0" applyNumberFormat="1" applyFont="1" applyBorder="1" applyAlignment="1">
      <alignment horizontal="center"/>
    </xf>
    <xf numFmtId="2" fontId="4" fillId="0" borderId="25" xfId="0" applyNumberFormat="1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25" xfId="0" applyFont="1" applyBorder="1" applyAlignment="1">
      <alignment horizontal="center"/>
    </xf>
    <xf numFmtId="2" fontId="4" fillId="0" borderId="10" xfId="0" applyNumberFormat="1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1" fillId="0" borderId="28" xfId="0" applyFont="1" applyBorder="1" applyAlignment="1">
      <alignment horizontal="center"/>
    </xf>
    <xf numFmtId="0" fontId="4" fillId="0" borderId="29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0" fontId="4" fillId="0" borderId="31" xfId="0" applyFont="1" applyBorder="1" applyAlignment="1">
      <alignment horizontal="center"/>
    </xf>
    <xf numFmtId="0" fontId="4" fillId="0" borderId="32" xfId="0" applyFont="1" applyBorder="1" applyAlignment="1">
      <alignment horizontal="center"/>
    </xf>
    <xf numFmtId="0" fontId="1" fillId="0" borderId="15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33" xfId="0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4" fillId="0" borderId="35" xfId="0" applyFont="1" applyBorder="1" applyAlignment="1">
      <alignment horizontal="center"/>
    </xf>
    <xf numFmtId="0" fontId="4" fillId="0" borderId="36" xfId="0" applyFont="1" applyBorder="1" applyAlignment="1">
      <alignment horizontal="center"/>
    </xf>
    <xf numFmtId="2" fontId="4" fillId="0" borderId="35" xfId="0" applyNumberFormat="1" applyFont="1" applyBorder="1" applyAlignment="1">
      <alignment horizontal="center"/>
    </xf>
    <xf numFmtId="0" fontId="4" fillId="0" borderId="34" xfId="0" applyFont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4" fillId="0" borderId="38" xfId="0" applyFont="1" applyBorder="1" applyAlignment="1">
      <alignment horizontal="center"/>
    </xf>
    <xf numFmtId="2" fontId="4" fillId="0" borderId="38" xfId="0" applyNumberFormat="1" applyFont="1" applyBorder="1" applyAlignment="1">
      <alignment horizontal="center"/>
    </xf>
    <xf numFmtId="0" fontId="4" fillId="0" borderId="39" xfId="0" applyFont="1" applyBorder="1" applyAlignment="1">
      <alignment horizontal="center"/>
    </xf>
    <xf numFmtId="0" fontId="4" fillId="0" borderId="40" xfId="0" applyFont="1" applyBorder="1" applyAlignment="1">
      <alignment horizontal="center"/>
    </xf>
    <xf numFmtId="0" fontId="4" fillId="0" borderId="41" xfId="0" applyFont="1" applyBorder="1" applyAlignment="1">
      <alignment horizontal="center"/>
    </xf>
    <xf numFmtId="0" fontId="1" fillId="0" borderId="38" xfId="0" applyFont="1" applyBorder="1" applyAlignment="1">
      <alignment horizontal="center"/>
    </xf>
    <xf numFmtId="0" fontId="4" fillId="0" borderId="0" xfId="0" applyFont="1"/>
    <xf numFmtId="0" fontId="4" fillId="0" borderId="0" xfId="0" applyFont="1" applyAlignment="1">
      <alignment horizontal="center" wrapText="1"/>
    </xf>
    <xf numFmtId="0" fontId="4" fillId="0" borderId="14" xfId="0" applyFont="1" applyBorder="1"/>
    <xf numFmtId="0" fontId="4" fillId="0" borderId="12" xfId="0" applyFont="1" applyBorder="1"/>
    <xf numFmtId="0" fontId="3" fillId="0" borderId="42" xfId="0" applyFont="1" applyBorder="1" applyAlignment="1">
      <alignment horizontal="left" vertical="top"/>
    </xf>
    <xf numFmtId="0" fontId="3" fillId="0" borderId="10" xfId="0" applyFont="1" applyBorder="1" applyAlignment="1">
      <alignment horizontal="left" vertical="top"/>
    </xf>
    <xf numFmtId="0" fontId="3" fillId="0" borderId="11" xfId="0" applyFont="1" applyBorder="1" applyAlignment="1">
      <alignment horizontal="left" vertical="top"/>
    </xf>
    <xf numFmtId="0" fontId="5" fillId="0" borderId="0" xfId="0" applyFont="1" applyAlignment="1">
      <alignment horizontal="left" vertical="top"/>
    </xf>
    <xf numFmtId="0" fontId="3" fillId="0" borderId="15" xfId="0" applyFont="1" applyBorder="1" applyAlignment="1">
      <alignment horizontal="left" vertical="top"/>
    </xf>
    <xf numFmtId="0" fontId="3" fillId="2" borderId="18" xfId="0" applyFont="1" applyFill="1" applyBorder="1" applyAlignment="1">
      <alignment horizontal="left" vertical="top"/>
    </xf>
    <xf numFmtId="0" fontId="3" fillId="2" borderId="19" xfId="0" applyFont="1" applyFill="1" applyBorder="1" applyAlignment="1">
      <alignment horizontal="left" vertical="top"/>
    </xf>
    <xf numFmtId="0" fontId="3" fillId="2" borderId="43" xfId="0" applyFont="1" applyFill="1" applyBorder="1" applyAlignment="1">
      <alignment horizontal="left" vertical="top"/>
    </xf>
    <xf numFmtId="0" fontId="5" fillId="0" borderId="15" xfId="0" applyFont="1" applyBorder="1" applyAlignment="1">
      <alignment horizontal="left" vertical="top"/>
    </xf>
    <xf numFmtId="0" fontId="5" fillId="0" borderId="16" xfId="0" applyFont="1" applyBorder="1" applyAlignment="1">
      <alignment horizontal="left" vertical="top"/>
    </xf>
    <xf numFmtId="0" fontId="5" fillId="0" borderId="17" xfId="0" applyFont="1" applyBorder="1" applyAlignment="1">
      <alignment horizontal="left" vertical="top"/>
    </xf>
    <xf numFmtId="0" fontId="5" fillId="0" borderId="13" xfId="0" applyFont="1" applyBorder="1" applyAlignment="1">
      <alignment horizontal="left" vertical="top"/>
    </xf>
    <xf numFmtId="0" fontId="5" fillId="0" borderId="12" xfId="0" applyFont="1" applyBorder="1" applyAlignment="1">
      <alignment horizontal="left" vertical="top"/>
    </xf>
    <xf numFmtId="1" fontId="5" fillId="0" borderId="13" xfId="0" applyNumberFormat="1" applyFont="1" applyBorder="1" applyAlignment="1">
      <alignment horizontal="left" vertical="top"/>
    </xf>
    <xf numFmtId="1" fontId="5" fillId="0" borderId="0" xfId="0" applyNumberFormat="1" applyFont="1" applyAlignment="1">
      <alignment horizontal="left" vertical="top"/>
    </xf>
    <xf numFmtId="1" fontId="5" fillId="0" borderId="12" xfId="0" applyNumberFormat="1" applyFont="1" applyBorder="1" applyAlignment="1">
      <alignment horizontal="left" vertical="top"/>
    </xf>
    <xf numFmtId="0" fontId="3" fillId="0" borderId="2" xfId="0" applyFont="1" applyBorder="1" applyAlignment="1">
      <alignment horizontal="left" vertical="top"/>
    </xf>
    <xf numFmtId="1" fontId="3" fillId="0" borderId="2" xfId="0" applyNumberFormat="1" applyFont="1" applyBorder="1" applyAlignment="1">
      <alignment horizontal="left" vertical="top"/>
    </xf>
    <xf numFmtId="1" fontId="3" fillId="0" borderId="3" xfId="0" applyNumberFormat="1" applyFont="1" applyBorder="1" applyAlignment="1">
      <alignment horizontal="left" vertical="top"/>
    </xf>
    <xf numFmtId="1" fontId="3" fillId="0" borderId="4" xfId="0" applyNumberFormat="1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5" fillId="0" borderId="4" xfId="0" applyFont="1" applyBorder="1" applyAlignment="1">
      <alignment horizontal="left" vertical="top"/>
    </xf>
    <xf numFmtId="2" fontId="5" fillId="0" borderId="42" xfId="0" applyNumberFormat="1" applyFont="1" applyBorder="1" applyAlignment="1">
      <alignment horizontal="left" vertical="top"/>
    </xf>
    <xf numFmtId="2" fontId="5" fillId="0" borderId="10" xfId="0" applyNumberFormat="1" applyFont="1" applyBorder="1" applyAlignment="1">
      <alignment horizontal="left" vertical="top"/>
    </xf>
    <xf numFmtId="2" fontId="5" fillId="0" borderId="11" xfId="0" applyNumberFormat="1" applyFont="1" applyBorder="1" applyAlignment="1">
      <alignment horizontal="left" vertical="top"/>
    </xf>
    <xf numFmtId="2" fontId="5" fillId="0" borderId="15" xfId="0" applyNumberFormat="1" applyFont="1" applyBorder="1" applyAlignment="1">
      <alignment horizontal="left" vertical="top"/>
    </xf>
    <xf numFmtId="2" fontId="5" fillId="0" borderId="16" xfId="0" applyNumberFormat="1" applyFont="1" applyBorder="1" applyAlignment="1">
      <alignment horizontal="left" vertical="top"/>
    </xf>
    <xf numFmtId="2" fontId="5" fillId="0" borderId="17" xfId="0" applyNumberFormat="1" applyFont="1" applyBorder="1" applyAlignment="1">
      <alignment horizontal="left" vertical="top"/>
    </xf>
    <xf numFmtId="2" fontId="5" fillId="0" borderId="13" xfId="0" applyNumberFormat="1" applyFont="1" applyBorder="1" applyAlignment="1">
      <alignment horizontal="left" vertical="top"/>
    </xf>
    <xf numFmtId="2" fontId="5" fillId="0" borderId="0" xfId="0" applyNumberFormat="1" applyFont="1" applyAlignment="1">
      <alignment horizontal="left" vertical="top"/>
    </xf>
    <xf numFmtId="2" fontId="5" fillId="0" borderId="12" xfId="0" applyNumberFormat="1" applyFont="1" applyBorder="1" applyAlignment="1">
      <alignment horizontal="left" vertical="top"/>
    </xf>
    <xf numFmtId="2" fontId="5" fillId="0" borderId="2" xfId="0" applyNumberFormat="1" applyFont="1" applyBorder="1" applyAlignment="1">
      <alignment horizontal="left" vertical="top"/>
    </xf>
    <xf numFmtId="2" fontId="5" fillId="0" borderId="3" xfId="0" applyNumberFormat="1" applyFont="1" applyBorder="1" applyAlignment="1">
      <alignment horizontal="left" vertical="top"/>
    </xf>
    <xf numFmtId="2" fontId="5" fillId="0" borderId="4" xfId="0" applyNumberFormat="1" applyFont="1" applyBorder="1" applyAlignment="1">
      <alignment horizontal="left" vertical="top"/>
    </xf>
    <xf numFmtId="0" fontId="5" fillId="0" borderId="44" xfId="0" applyFont="1" applyBorder="1" applyAlignment="1">
      <alignment horizontal="left" vertical="top"/>
    </xf>
    <xf numFmtId="0" fontId="5" fillId="0" borderId="45" xfId="0" applyFont="1" applyBorder="1" applyAlignment="1">
      <alignment horizontal="left" vertical="top"/>
    </xf>
    <xf numFmtId="0" fontId="3" fillId="0" borderId="46" xfId="0" applyFont="1" applyBorder="1" applyAlignment="1">
      <alignment horizontal="left" vertical="top"/>
    </xf>
    <xf numFmtId="0" fontId="1" fillId="0" borderId="5" xfId="0" applyFont="1" applyBorder="1" applyAlignment="1">
      <alignment horizontal="center"/>
    </xf>
    <xf numFmtId="0" fontId="2" fillId="0" borderId="6" xfId="0" applyFont="1" applyBorder="1"/>
    <xf numFmtId="0" fontId="2" fillId="0" borderId="8" xfId="0" applyFont="1" applyBorder="1"/>
    <xf numFmtId="0" fontId="1" fillId="0" borderId="15" xfId="0" applyFont="1" applyBorder="1" applyAlignment="1">
      <alignment horizontal="center" vertical="center"/>
    </xf>
    <xf numFmtId="0" fontId="2" fillId="0" borderId="13" xfId="0" applyFont="1" applyBorder="1"/>
    <xf numFmtId="0" fontId="2" fillId="0" borderId="2" xfId="0" applyFont="1" applyBorder="1"/>
    <xf numFmtId="0" fontId="1" fillId="0" borderId="1" xfId="0" applyFont="1" applyBorder="1" applyAlignment="1">
      <alignment horizontal="center" vertical="center"/>
    </xf>
    <xf numFmtId="0" fontId="2" fillId="0" borderId="9" xfId="0" applyFont="1" applyBorder="1"/>
    <xf numFmtId="0" fontId="2" fillId="0" borderId="26" xfId="0" applyFont="1" applyBorder="1"/>
    <xf numFmtId="0" fontId="1" fillId="0" borderId="40" xfId="0" applyFont="1" applyBorder="1" applyAlignment="1">
      <alignment horizontal="center" vertical="center"/>
    </xf>
    <xf numFmtId="0" fontId="2" fillId="0" borderId="31" xfId="0" applyFont="1" applyBorder="1"/>
    <xf numFmtId="0" fontId="1" fillId="0" borderId="1" xfId="0" applyFont="1" applyBorder="1" applyAlignment="1">
      <alignment horizontal="center" vertical="center" wrapText="1"/>
    </xf>
    <xf numFmtId="0" fontId="2" fillId="0" borderId="7" xfId="0" applyFont="1" applyBorder="1"/>
    <xf numFmtId="0" fontId="1" fillId="0" borderId="2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D297"/>
  <sheetViews>
    <sheetView tabSelected="1" workbookViewId="0">
      <selection activeCell="P16" sqref="P16"/>
    </sheetView>
  </sheetViews>
  <sheetFormatPr baseColWidth="10" defaultColWidth="12.6640625" defaultRowHeight="15" customHeight="1" x14ac:dyDescent="0.25"/>
  <cols>
    <col min="1" max="3" width="11" customWidth="1"/>
    <col min="4" max="4" width="11" hidden="1" customWidth="1"/>
    <col min="5" max="5" width="11" customWidth="1"/>
    <col min="6" max="6" width="11" hidden="1" customWidth="1"/>
    <col min="7" max="7" width="11" customWidth="1"/>
    <col min="8" max="8" width="11" hidden="1" customWidth="1"/>
    <col min="9" max="36" width="11" customWidth="1"/>
    <col min="37" max="37" width="11" hidden="1" customWidth="1"/>
    <col min="38" max="38" width="11" customWidth="1"/>
    <col min="39" max="64" width="11" hidden="1" customWidth="1"/>
    <col min="65" max="65" width="11" customWidth="1"/>
    <col min="66" max="66" width="11" hidden="1" customWidth="1"/>
    <col min="67" max="67" width="11" customWidth="1"/>
    <col min="68" max="93" width="11" hidden="1" customWidth="1"/>
    <col min="94" max="94" width="11" customWidth="1"/>
    <col min="95" max="95" width="11" hidden="1" customWidth="1"/>
    <col min="96" max="96" width="11" customWidth="1"/>
    <col min="97" max="122" width="11" hidden="1" customWidth="1"/>
    <col min="123" max="123" width="11" customWidth="1"/>
    <col min="124" max="124" width="11" hidden="1" customWidth="1"/>
    <col min="125" max="125" width="11" customWidth="1"/>
    <col min="126" max="151" width="11" hidden="1" customWidth="1"/>
    <col min="152" max="152" width="11" customWidth="1"/>
    <col min="153" max="153" width="11" hidden="1" customWidth="1"/>
    <col min="154" max="154" width="11" customWidth="1"/>
    <col min="155" max="180" width="11" hidden="1" customWidth="1"/>
    <col min="181" max="181" width="11" customWidth="1"/>
    <col min="182" max="182" width="11" hidden="1" customWidth="1"/>
    <col min="183" max="183" width="11" customWidth="1"/>
    <col min="184" max="209" width="11" hidden="1" customWidth="1"/>
    <col min="210" max="210" width="11" customWidth="1"/>
    <col min="211" max="211" width="11" hidden="1" customWidth="1"/>
    <col min="212" max="212" width="11" customWidth="1"/>
    <col min="213" max="238" width="11" hidden="1" customWidth="1"/>
    <col min="239" max="239" width="11" customWidth="1"/>
    <col min="240" max="240" width="11" hidden="1" customWidth="1"/>
    <col min="241" max="241" width="11" customWidth="1"/>
    <col min="242" max="267" width="11" hidden="1" customWidth="1"/>
    <col min="268" max="268" width="11" customWidth="1"/>
    <col min="269" max="269" width="11" hidden="1" customWidth="1"/>
    <col min="270" max="316" width="11" customWidth="1"/>
  </cols>
  <sheetData>
    <row r="1" spans="1:316" ht="15.75" customHeight="1" x14ac:dyDescent="0.25">
      <c r="A1" s="110" t="s">
        <v>0</v>
      </c>
      <c r="B1" s="112" t="s">
        <v>1</v>
      </c>
      <c r="C1" s="113"/>
      <c r="D1" s="113"/>
      <c r="E1" s="113"/>
      <c r="F1" s="114"/>
      <c r="G1" s="99" t="s">
        <v>2</v>
      </c>
      <c r="H1" s="100"/>
      <c r="I1" s="100"/>
      <c r="J1" s="100"/>
      <c r="K1" s="100"/>
      <c r="L1" s="100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  <c r="AH1" s="100"/>
      <c r="AI1" s="111"/>
      <c r="AJ1" s="99" t="s">
        <v>3</v>
      </c>
      <c r="AK1" s="100"/>
      <c r="AL1" s="100"/>
      <c r="AM1" s="100"/>
      <c r="AN1" s="100"/>
      <c r="AO1" s="100"/>
      <c r="AP1" s="100"/>
      <c r="AQ1" s="100"/>
      <c r="AR1" s="100"/>
      <c r="AS1" s="100"/>
      <c r="AT1" s="100"/>
      <c r="AU1" s="100"/>
      <c r="AV1" s="100"/>
      <c r="AW1" s="100"/>
      <c r="AX1" s="100"/>
      <c r="AY1" s="100"/>
      <c r="AZ1" s="100"/>
      <c r="BA1" s="100"/>
      <c r="BB1" s="100"/>
      <c r="BC1" s="100"/>
      <c r="BD1" s="100"/>
      <c r="BE1" s="100"/>
      <c r="BF1" s="100"/>
      <c r="BG1" s="100"/>
      <c r="BH1" s="100"/>
      <c r="BI1" s="100"/>
      <c r="BJ1" s="100"/>
      <c r="BK1" s="100"/>
      <c r="BL1" s="111"/>
      <c r="BM1" s="99" t="s">
        <v>4</v>
      </c>
      <c r="BN1" s="100"/>
      <c r="BO1" s="100"/>
      <c r="BP1" s="100"/>
      <c r="BQ1" s="100"/>
      <c r="BR1" s="100"/>
      <c r="BS1" s="100"/>
      <c r="BT1" s="100"/>
      <c r="BU1" s="100"/>
      <c r="BV1" s="100"/>
      <c r="BW1" s="100"/>
      <c r="BX1" s="100"/>
      <c r="BY1" s="100"/>
      <c r="BZ1" s="100"/>
      <c r="CA1" s="100"/>
      <c r="CB1" s="100"/>
      <c r="CC1" s="100"/>
      <c r="CD1" s="100"/>
      <c r="CE1" s="100"/>
      <c r="CF1" s="100"/>
      <c r="CG1" s="100"/>
      <c r="CH1" s="100"/>
      <c r="CI1" s="100"/>
      <c r="CJ1" s="100"/>
      <c r="CK1" s="100"/>
      <c r="CL1" s="100"/>
      <c r="CM1" s="100"/>
      <c r="CN1" s="100"/>
      <c r="CO1" s="111"/>
      <c r="CP1" s="99" t="s">
        <v>5</v>
      </c>
      <c r="CQ1" s="100"/>
      <c r="CR1" s="100"/>
      <c r="CS1" s="100"/>
      <c r="CT1" s="100"/>
      <c r="CU1" s="100"/>
      <c r="CV1" s="100"/>
      <c r="CW1" s="100"/>
      <c r="CX1" s="100"/>
      <c r="CY1" s="100"/>
      <c r="CZ1" s="100"/>
      <c r="DA1" s="100"/>
      <c r="DB1" s="100"/>
      <c r="DC1" s="100"/>
      <c r="DD1" s="100"/>
      <c r="DE1" s="100"/>
      <c r="DF1" s="100"/>
      <c r="DG1" s="100"/>
      <c r="DH1" s="100"/>
      <c r="DI1" s="100"/>
      <c r="DJ1" s="100"/>
      <c r="DK1" s="100"/>
      <c r="DL1" s="100"/>
      <c r="DM1" s="100"/>
      <c r="DN1" s="100"/>
      <c r="DO1" s="100"/>
      <c r="DP1" s="100"/>
      <c r="DQ1" s="100"/>
      <c r="DR1" s="101"/>
      <c r="DS1" s="99" t="s">
        <v>6</v>
      </c>
      <c r="DT1" s="100"/>
      <c r="DU1" s="100"/>
      <c r="DV1" s="100"/>
      <c r="DW1" s="100"/>
      <c r="DX1" s="100"/>
      <c r="DY1" s="100"/>
      <c r="DZ1" s="100"/>
      <c r="EA1" s="100"/>
      <c r="EB1" s="100"/>
      <c r="EC1" s="100"/>
      <c r="ED1" s="100"/>
      <c r="EE1" s="100"/>
      <c r="EF1" s="100"/>
      <c r="EG1" s="100"/>
      <c r="EH1" s="100"/>
      <c r="EI1" s="100"/>
      <c r="EJ1" s="100"/>
      <c r="EK1" s="100"/>
      <c r="EL1" s="100"/>
      <c r="EM1" s="100"/>
      <c r="EN1" s="100"/>
      <c r="EO1" s="100"/>
      <c r="EP1" s="100"/>
      <c r="EQ1" s="100"/>
      <c r="ER1" s="100"/>
      <c r="ES1" s="100"/>
      <c r="ET1" s="100"/>
      <c r="EU1" s="101"/>
      <c r="EV1" s="99" t="s">
        <v>7</v>
      </c>
      <c r="EW1" s="100"/>
      <c r="EX1" s="100"/>
      <c r="EY1" s="100"/>
      <c r="EZ1" s="100"/>
      <c r="FA1" s="100"/>
      <c r="FB1" s="100"/>
      <c r="FC1" s="100"/>
      <c r="FD1" s="100"/>
      <c r="FE1" s="100"/>
      <c r="FF1" s="100"/>
      <c r="FG1" s="100"/>
      <c r="FH1" s="100"/>
      <c r="FI1" s="100"/>
      <c r="FJ1" s="100"/>
      <c r="FK1" s="100"/>
      <c r="FL1" s="100"/>
      <c r="FM1" s="100"/>
      <c r="FN1" s="100"/>
      <c r="FO1" s="100"/>
      <c r="FP1" s="100"/>
      <c r="FQ1" s="100"/>
      <c r="FR1" s="100"/>
      <c r="FS1" s="100"/>
      <c r="FT1" s="100"/>
      <c r="FU1" s="100"/>
      <c r="FV1" s="100"/>
      <c r="FW1" s="100"/>
      <c r="FX1" s="101"/>
      <c r="FY1" s="99" t="s">
        <v>8</v>
      </c>
      <c r="FZ1" s="100"/>
      <c r="GA1" s="100"/>
      <c r="GB1" s="100"/>
      <c r="GC1" s="100"/>
      <c r="GD1" s="100"/>
      <c r="GE1" s="100"/>
      <c r="GF1" s="100"/>
      <c r="GG1" s="100"/>
      <c r="GH1" s="100"/>
      <c r="GI1" s="100"/>
      <c r="GJ1" s="100"/>
      <c r="GK1" s="100"/>
      <c r="GL1" s="100"/>
      <c r="GM1" s="100"/>
      <c r="GN1" s="100"/>
      <c r="GO1" s="100"/>
      <c r="GP1" s="100"/>
      <c r="GQ1" s="100"/>
      <c r="GR1" s="100"/>
      <c r="GS1" s="100"/>
      <c r="GT1" s="100"/>
      <c r="GU1" s="100"/>
      <c r="GV1" s="100"/>
      <c r="GW1" s="100"/>
      <c r="GX1" s="100"/>
      <c r="GY1" s="100"/>
      <c r="GZ1" s="100"/>
      <c r="HA1" s="101"/>
      <c r="HB1" s="99" t="s">
        <v>9</v>
      </c>
      <c r="HC1" s="100"/>
      <c r="HD1" s="100"/>
      <c r="HE1" s="100"/>
      <c r="HF1" s="100"/>
      <c r="HG1" s="100"/>
      <c r="HH1" s="100"/>
      <c r="HI1" s="100"/>
      <c r="HJ1" s="100"/>
      <c r="HK1" s="100"/>
      <c r="HL1" s="100"/>
      <c r="HM1" s="100"/>
      <c r="HN1" s="100"/>
      <c r="HO1" s="100"/>
      <c r="HP1" s="100"/>
      <c r="HQ1" s="100"/>
      <c r="HR1" s="100"/>
      <c r="HS1" s="100"/>
      <c r="HT1" s="100"/>
      <c r="HU1" s="100"/>
      <c r="HV1" s="100"/>
      <c r="HW1" s="100"/>
      <c r="HX1" s="100"/>
      <c r="HY1" s="100"/>
      <c r="HZ1" s="100"/>
      <c r="IA1" s="100"/>
      <c r="IB1" s="100"/>
      <c r="IC1" s="100"/>
      <c r="ID1" s="101"/>
      <c r="IE1" s="99" t="s">
        <v>10</v>
      </c>
      <c r="IF1" s="100"/>
      <c r="IG1" s="100"/>
      <c r="IH1" s="100"/>
      <c r="II1" s="100"/>
      <c r="IJ1" s="100"/>
      <c r="IK1" s="100"/>
      <c r="IL1" s="100"/>
      <c r="IM1" s="100"/>
      <c r="IN1" s="100"/>
      <c r="IO1" s="100"/>
      <c r="IP1" s="100"/>
      <c r="IQ1" s="100"/>
      <c r="IR1" s="100"/>
      <c r="IS1" s="100"/>
      <c r="IT1" s="100"/>
      <c r="IU1" s="100"/>
      <c r="IV1" s="100"/>
      <c r="IW1" s="100"/>
      <c r="IX1" s="100"/>
      <c r="IY1" s="100"/>
      <c r="IZ1" s="100"/>
      <c r="JA1" s="100"/>
      <c r="JB1" s="100"/>
      <c r="JC1" s="100"/>
      <c r="JD1" s="100"/>
      <c r="JE1" s="100"/>
      <c r="JF1" s="100"/>
      <c r="JG1" s="101"/>
      <c r="JH1" s="99" t="s">
        <v>11</v>
      </c>
      <c r="JI1" s="100"/>
      <c r="JJ1" s="100"/>
      <c r="JK1" s="100"/>
      <c r="JL1" s="100"/>
      <c r="JM1" s="100"/>
      <c r="JN1" s="100"/>
      <c r="JO1" s="100"/>
      <c r="JP1" s="100"/>
      <c r="JQ1" s="100"/>
      <c r="JR1" s="100"/>
      <c r="JS1" s="100"/>
      <c r="JT1" s="100"/>
      <c r="JU1" s="100"/>
      <c r="JV1" s="100"/>
      <c r="JW1" s="100"/>
      <c r="JX1" s="100"/>
      <c r="JY1" s="100"/>
      <c r="JZ1" s="100"/>
      <c r="KA1" s="100"/>
      <c r="KB1" s="100"/>
      <c r="KC1" s="100"/>
      <c r="KD1" s="100"/>
      <c r="KE1" s="100"/>
      <c r="KF1" s="100"/>
      <c r="KG1" s="100"/>
      <c r="KH1" s="100"/>
      <c r="KI1" s="100"/>
      <c r="KJ1" s="100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</row>
    <row r="2" spans="1:316" ht="15.75" customHeight="1" x14ac:dyDescent="0.25">
      <c r="A2" s="106"/>
      <c r="B2" s="1" t="s">
        <v>12</v>
      </c>
      <c r="C2" s="3" t="s">
        <v>13</v>
      </c>
      <c r="D2" s="3" t="s">
        <v>14</v>
      </c>
      <c r="E2" s="4" t="s">
        <v>15</v>
      </c>
      <c r="F2" s="5" t="s">
        <v>16</v>
      </c>
      <c r="G2" s="6" t="s">
        <v>17</v>
      </c>
      <c r="H2" s="6" t="s">
        <v>18</v>
      </c>
      <c r="I2" s="6" t="s">
        <v>19</v>
      </c>
      <c r="J2" s="6" t="s">
        <v>20</v>
      </c>
      <c r="K2" s="6" t="s">
        <v>21</v>
      </c>
      <c r="L2" s="6" t="s">
        <v>22</v>
      </c>
      <c r="M2" s="6" t="s">
        <v>23</v>
      </c>
      <c r="N2" s="6" t="s">
        <v>24</v>
      </c>
      <c r="O2" s="6" t="s">
        <v>25</v>
      </c>
      <c r="P2" s="6" t="s">
        <v>26</v>
      </c>
      <c r="Q2" s="6" t="s">
        <v>27</v>
      </c>
      <c r="R2" s="6" t="s">
        <v>28</v>
      </c>
      <c r="S2" s="6" t="s">
        <v>29</v>
      </c>
      <c r="T2" s="6" t="s">
        <v>30</v>
      </c>
      <c r="U2" s="6" t="s">
        <v>31</v>
      </c>
      <c r="V2" s="6" t="s">
        <v>32</v>
      </c>
      <c r="W2" s="6" t="s">
        <v>33</v>
      </c>
      <c r="X2" s="6" t="s">
        <v>34</v>
      </c>
      <c r="Y2" s="6" t="s">
        <v>35</v>
      </c>
      <c r="Z2" s="6" t="s">
        <v>36</v>
      </c>
      <c r="AA2" s="6" t="s">
        <v>37</v>
      </c>
      <c r="AB2" s="6" t="s">
        <v>38</v>
      </c>
      <c r="AC2" s="6" t="s">
        <v>39</v>
      </c>
      <c r="AD2" s="6" t="s">
        <v>40</v>
      </c>
      <c r="AE2" s="4" t="s">
        <v>41</v>
      </c>
      <c r="AF2" s="4" t="s">
        <v>42</v>
      </c>
      <c r="AG2" s="4" t="s">
        <v>43</v>
      </c>
      <c r="AH2" s="4" t="s">
        <v>44</v>
      </c>
      <c r="AI2" s="7" t="s">
        <v>45</v>
      </c>
      <c r="AJ2" s="8" t="s">
        <v>17</v>
      </c>
      <c r="AK2" s="6" t="s">
        <v>18</v>
      </c>
      <c r="AL2" s="6" t="s">
        <v>19</v>
      </c>
      <c r="AM2" s="6" t="s">
        <v>20</v>
      </c>
      <c r="AN2" s="6" t="s">
        <v>21</v>
      </c>
      <c r="AO2" s="6" t="s">
        <v>22</v>
      </c>
      <c r="AP2" s="6" t="s">
        <v>23</v>
      </c>
      <c r="AQ2" s="6" t="s">
        <v>24</v>
      </c>
      <c r="AR2" s="6" t="s">
        <v>25</v>
      </c>
      <c r="AS2" s="6" t="s">
        <v>26</v>
      </c>
      <c r="AT2" s="6" t="s">
        <v>27</v>
      </c>
      <c r="AU2" s="6" t="s">
        <v>28</v>
      </c>
      <c r="AV2" s="6" t="s">
        <v>29</v>
      </c>
      <c r="AW2" s="6" t="s">
        <v>30</v>
      </c>
      <c r="AX2" s="6" t="s">
        <v>31</v>
      </c>
      <c r="AY2" s="6" t="s">
        <v>32</v>
      </c>
      <c r="AZ2" s="6" t="s">
        <v>33</v>
      </c>
      <c r="BA2" s="6" t="s">
        <v>34</v>
      </c>
      <c r="BB2" s="6" t="s">
        <v>35</v>
      </c>
      <c r="BC2" s="6" t="s">
        <v>36</v>
      </c>
      <c r="BD2" s="6" t="s">
        <v>37</v>
      </c>
      <c r="BE2" s="6" t="s">
        <v>38</v>
      </c>
      <c r="BF2" s="6" t="s">
        <v>39</v>
      </c>
      <c r="BG2" s="6" t="s">
        <v>40</v>
      </c>
      <c r="BH2" s="3" t="s">
        <v>41</v>
      </c>
      <c r="BI2" s="3" t="s">
        <v>42</v>
      </c>
      <c r="BJ2" s="3" t="s">
        <v>43</v>
      </c>
      <c r="BK2" s="6" t="s">
        <v>44</v>
      </c>
      <c r="BL2" s="7" t="s">
        <v>45</v>
      </c>
      <c r="BM2" s="8" t="s">
        <v>17</v>
      </c>
      <c r="BN2" s="6" t="s">
        <v>18</v>
      </c>
      <c r="BO2" s="6" t="s">
        <v>19</v>
      </c>
      <c r="BP2" s="6" t="s">
        <v>20</v>
      </c>
      <c r="BQ2" s="6" t="s">
        <v>21</v>
      </c>
      <c r="BR2" s="6" t="s">
        <v>22</v>
      </c>
      <c r="BS2" s="6" t="s">
        <v>23</v>
      </c>
      <c r="BT2" s="6" t="s">
        <v>24</v>
      </c>
      <c r="BU2" s="6" t="s">
        <v>25</v>
      </c>
      <c r="BV2" s="6" t="s">
        <v>26</v>
      </c>
      <c r="BW2" s="6" t="s">
        <v>27</v>
      </c>
      <c r="BX2" s="6" t="s">
        <v>28</v>
      </c>
      <c r="BY2" s="6" t="s">
        <v>29</v>
      </c>
      <c r="BZ2" s="6" t="s">
        <v>30</v>
      </c>
      <c r="CA2" s="6" t="s">
        <v>31</v>
      </c>
      <c r="CB2" s="6" t="s">
        <v>32</v>
      </c>
      <c r="CC2" s="6" t="s">
        <v>33</v>
      </c>
      <c r="CD2" s="6" t="s">
        <v>34</v>
      </c>
      <c r="CE2" s="6" t="s">
        <v>35</v>
      </c>
      <c r="CF2" s="6" t="s">
        <v>36</v>
      </c>
      <c r="CG2" s="6" t="s">
        <v>37</v>
      </c>
      <c r="CH2" s="6" t="s">
        <v>38</v>
      </c>
      <c r="CI2" s="6" t="s">
        <v>39</v>
      </c>
      <c r="CJ2" s="6" t="s">
        <v>40</v>
      </c>
      <c r="CK2" s="4" t="s">
        <v>41</v>
      </c>
      <c r="CL2" s="4" t="s">
        <v>42</v>
      </c>
      <c r="CM2" s="4" t="s">
        <v>43</v>
      </c>
      <c r="CN2" s="6" t="s">
        <v>44</v>
      </c>
      <c r="CO2" s="7" t="s">
        <v>45</v>
      </c>
      <c r="CP2" s="8" t="s">
        <v>17</v>
      </c>
      <c r="CQ2" s="6" t="s">
        <v>18</v>
      </c>
      <c r="CR2" s="6" t="s">
        <v>19</v>
      </c>
      <c r="CS2" s="6" t="s">
        <v>20</v>
      </c>
      <c r="CT2" s="6" t="s">
        <v>21</v>
      </c>
      <c r="CU2" s="6" t="s">
        <v>22</v>
      </c>
      <c r="CV2" s="6" t="s">
        <v>23</v>
      </c>
      <c r="CW2" s="6" t="s">
        <v>24</v>
      </c>
      <c r="CX2" s="6" t="s">
        <v>25</v>
      </c>
      <c r="CY2" s="6" t="s">
        <v>26</v>
      </c>
      <c r="CZ2" s="6" t="s">
        <v>27</v>
      </c>
      <c r="DA2" s="6" t="s">
        <v>28</v>
      </c>
      <c r="DB2" s="6" t="s">
        <v>29</v>
      </c>
      <c r="DC2" s="6" t="s">
        <v>30</v>
      </c>
      <c r="DD2" s="6" t="s">
        <v>31</v>
      </c>
      <c r="DE2" s="6" t="s">
        <v>32</v>
      </c>
      <c r="DF2" s="6" t="s">
        <v>33</v>
      </c>
      <c r="DG2" s="6" t="s">
        <v>34</v>
      </c>
      <c r="DH2" s="6" t="s">
        <v>35</v>
      </c>
      <c r="DI2" s="6" t="s">
        <v>36</v>
      </c>
      <c r="DJ2" s="6" t="s">
        <v>37</v>
      </c>
      <c r="DK2" s="6" t="s">
        <v>38</v>
      </c>
      <c r="DL2" s="6" t="s">
        <v>39</v>
      </c>
      <c r="DM2" s="6" t="s">
        <v>40</v>
      </c>
      <c r="DN2" s="4" t="s">
        <v>41</v>
      </c>
      <c r="DO2" s="4" t="s">
        <v>42</v>
      </c>
      <c r="DP2" s="4" t="s">
        <v>43</v>
      </c>
      <c r="DQ2" s="6" t="s">
        <v>44</v>
      </c>
      <c r="DR2" s="9" t="s">
        <v>45</v>
      </c>
      <c r="DS2" s="8" t="s">
        <v>17</v>
      </c>
      <c r="DT2" s="6" t="s">
        <v>18</v>
      </c>
      <c r="DU2" s="6" t="s">
        <v>19</v>
      </c>
      <c r="DV2" s="6" t="s">
        <v>20</v>
      </c>
      <c r="DW2" s="6" t="s">
        <v>21</v>
      </c>
      <c r="DX2" s="6" t="s">
        <v>22</v>
      </c>
      <c r="DY2" s="6" t="s">
        <v>23</v>
      </c>
      <c r="DZ2" s="6" t="s">
        <v>24</v>
      </c>
      <c r="EA2" s="6" t="s">
        <v>25</v>
      </c>
      <c r="EB2" s="6" t="s">
        <v>26</v>
      </c>
      <c r="EC2" s="6" t="s">
        <v>27</v>
      </c>
      <c r="ED2" s="6" t="s">
        <v>28</v>
      </c>
      <c r="EE2" s="6" t="s">
        <v>29</v>
      </c>
      <c r="EF2" s="6" t="s">
        <v>30</v>
      </c>
      <c r="EG2" s="6" t="s">
        <v>31</v>
      </c>
      <c r="EH2" s="6" t="s">
        <v>32</v>
      </c>
      <c r="EI2" s="6" t="s">
        <v>33</v>
      </c>
      <c r="EJ2" s="6" t="s">
        <v>34</v>
      </c>
      <c r="EK2" s="6" t="s">
        <v>35</v>
      </c>
      <c r="EL2" s="6" t="s">
        <v>36</v>
      </c>
      <c r="EM2" s="6" t="s">
        <v>37</v>
      </c>
      <c r="EN2" s="6" t="s">
        <v>38</v>
      </c>
      <c r="EO2" s="6" t="s">
        <v>39</v>
      </c>
      <c r="EP2" s="6" t="s">
        <v>40</v>
      </c>
      <c r="EQ2" s="4" t="s">
        <v>41</v>
      </c>
      <c r="ER2" s="4" t="s">
        <v>42</v>
      </c>
      <c r="ES2" s="4" t="s">
        <v>43</v>
      </c>
      <c r="ET2" s="6" t="s">
        <v>44</v>
      </c>
      <c r="EU2" s="9" t="s">
        <v>45</v>
      </c>
      <c r="EV2" s="8" t="s">
        <v>17</v>
      </c>
      <c r="EW2" s="6" t="s">
        <v>18</v>
      </c>
      <c r="EX2" s="6" t="s">
        <v>19</v>
      </c>
      <c r="EY2" s="6" t="s">
        <v>20</v>
      </c>
      <c r="EZ2" s="6" t="s">
        <v>21</v>
      </c>
      <c r="FA2" s="6" t="s">
        <v>22</v>
      </c>
      <c r="FB2" s="6" t="s">
        <v>23</v>
      </c>
      <c r="FC2" s="6" t="s">
        <v>24</v>
      </c>
      <c r="FD2" s="6" t="s">
        <v>25</v>
      </c>
      <c r="FE2" s="6" t="s">
        <v>26</v>
      </c>
      <c r="FF2" s="6" t="s">
        <v>27</v>
      </c>
      <c r="FG2" s="6" t="s">
        <v>28</v>
      </c>
      <c r="FH2" s="6" t="s">
        <v>29</v>
      </c>
      <c r="FI2" s="6" t="s">
        <v>30</v>
      </c>
      <c r="FJ2" s="6" t="s">
        <v>31</v>
      </c>
      <c r="FK2" s="6" t="s">
        <v>32</v>
      </c>
      <c r="FL2" s="6" t="s">
        <v>33</v>
      </c>
      <c r="FM2" s="6" t="s">
        <v>34</v>
      </c>
      <c r="FN2" s="6" t="s">
        <v>35</v>
      </c>
      <c r="FO2" s="6" t="s">
        <v>36</v>
      </c>
      <c r="FP2" s="6" t="s">
        <v>37</v>
      </c>
      <c r="FQ2" s="6" t="s">
        <v>38</v>
      </c>
      <c r="FR2" s="6" t="s">
        <v>39</v>
      </c>
      <c r="FS2" s="6" t="s">
        <v>40</v>
      </c>
      <c r="FT2" s="4" t="s">
        <v>41</v>
      </c>
      <c r="FU2" s="4" t="s">
        <v>42</v>
      </c>
      <c r="FV2" s="4" t="s">
        <v>43</v>
      </c>
      <c r="FW2" s="6" t="s">
        <v>44</v>
      </c>
      <c r="FX2" s="9" t="s">
        <v>45</v>
      </c>
      <c r="FY2" s="8" t="s">
        <v>17</v>
      </c>
      <c r="FZ2" s="6" t="s">
        <v>18</v>
      </c>
      <c r="GA2" s="6" t="s">
        <v>19</v>
      </c>
      <c r="GB2" s="6" t="s">
        <v>20</v>
      </c>
      <c r="GC2" s="6" t="s">
        <v>21</v>
      </c>
      <c r="GD2" s="6" t="s">
        <v>22</v>
      </c>
      <c r="GE2" s="6" t="s">
        <v>23</v>
      </c>
      <c r="GF2" s="6" t="s">
        <v>24</v>
      </c>
      <c r="GG2" s="6" t="s">
        <v>25</v>
      </c>
      <c r="GH2" s="6" t="s">
        <v>26</v>
      </c>
      <c r="GI2" s="6" t="s">
        <v>27</v>
      </c>
      <c r="GJ2" s="6" t="s">
        <v>28</v>
      </c>
      <c r="GK2" s="6" t="s">
        <v>29</v>
      </c>
      <c r="GL2" s="6" t="s">
        <v>30</v>
      </c>
      <c r="GM2" s="6" t="s">
        <v>31</v>
      </c>
      <c r="GN2" s="6" t="s">
        <v>32</v>
      </c>
      <c r="GO2" s="6" t="s">
        <v>33</v>
      </c>
      <c r="GP2" s="6" t="s">
        <v>34</v>
      </c>
      <c r="GQ2" s="6" t="s">
        <v>35</v>
      </c>
      <c r="GR2" s="6" t="s">
        <v>36</v>
      </c>
      <c r="GS2" s="6" t="s">
        <v>37</v>
      </c>
      <c r="GT2" s="6" t="s">
        <v>38</v>
      </c>
      <c r="GU2" s="6" t="s">
        <v>39</v>
      </c>
      <c r="GV2" s="6" t="s">
        <v>40</v>
      </c>
      <c r="GW2" s="4" t="s">
        <v>41</v>
      </c>
      <c r="GX2" s="4" t="s">
        <v>42</v>
      </c>
      <c r="GY2" s="4" t="s">
        <v>43</v>
      </c>
      <c r="GZ2" s="6" t="s">
        <v>44</v>
      </c>
      <c r="HA2" s="9" t="s">
        <v>45</v>
      </c>
      <c r="HB2" s="8" t="s">
        <v>17</v>
      </c>
      <c r="HC2" s="6" t="s">
        <v>18</v>
      </c>
      <c r="HD2" s="6" t="s">
        <v>19</v>
      </c>
      <c r="HE2" s="6" t="s">
        <v>20</v>
      </c>
      <c r="HF2" s="6" t="s">
        <v>21</v>
      </c>
      <c r="HG2" s="6" t="s">
        <v>22</v>
      </c>
      <c r="HH2" s="6" t="s">
        <v>23</v>
      </c>
      <c r="HI2" s="6" t="s">
        <v>24</v>
      </c>
      <c r="HJ2" s="6" t="s">
        <v>25</v>
      </c>
      <c r="HK2" s="6" t="s">
        <v>26</v>
      </c>
      <c r="HL2" s="6" t="s">
        <v>27</v>
      </c>
      <c r="HM2" s="6" t="s">
        <v>28</v>
      </c>
      <c r="HN2" s="6" t="s">
        <v>29</v>
      </c>
      <c r="HO2" s="6" t="s">
        <v>30</v>
      </c>
      <c r="HP2" s="6" t="s">
        <v>31</v>
      </c>
      <c r="HQ2" s="6" t="s">
        <v>32</v>
      </c>
      <c r="HR2" s="6" t="s">
        <v>33</v>
      </c>
      <c r="HS2" s="6" t="s">
        <v>34</v>
      </c>
      <c r="HT2" s="6" t="s">
        <v>35</v>
      </c>
      <c r="HU2" s="6" t="s">
        <v>36</v>
      </c>
      <c r="HV2" s="6" t="s">
        <v>37</v>
      </c>
      <c r="HW2" s="6" t="s">
        <v>38</v>
      </c>
      <c r="HX2" s="6" t="s">
        <v>39</v>
      </c>
      <c r="HY2" s="6" t="s">
        <v>40</v>
      </c>
      <c r="HZ2" s="4" t="s">
        <v>41</v>
      </c>
      <c r="IA2" s="4" t="s">
        <v>42</v>
      </c>
      <c r="IB2" s="4" t="s">
        <v>43</v>
      </c>
      <c r="IC2" s="6" t="s">
        <v>44</v>
      </c>
      <c r="ID2" s="9" t="s">
        <v>45</v>
      </c>
      <c r="IE2" s="8" t="s">
        <v>17</v>
      </c>
      <c r="IF2" s="6" t="s">
        <v>18</v>
      </c>
      <c r="IG2" s="6" t="s">
        <v>19</v>
      </c>
      <c r="IH2" s="6" t="s">
        <v>20</v>
      </c>
      <c r="II2" s="6" t="s">
        <v>21</v>
      </c>
      <c r="IJ2" s="6" t="s">
        <v>22</v>
      </c>
      <c r="IK2" s="6" t="s">
        <v>23</v>
      </c>
      <c r="IL2" s="6" t="s">
        <v>24</v>
      </c>
      <c r="IM2" s="6" t="s">
        <v>25</v>
      </c>
      <c r="IN2" s="6" t="s">
        <v>26</v>
      </c>
      <c r="IO2" s="6" t="s">
        <v>27</v>
      </c>
      <c r="IP2" s="6" t="s">
        <v>28</v>
      </c>
      <c r="IQ2" s="6" t="s">
        <v>29</v>
      </c>
      <c r="IR2" s="6" t="s">
        <v>30</v>
      </c>
      <c r="IS2" s="6" t="s">
        <v>31</v>
      </c>
      <c r="IT2" s="6" t="s">
        <v>32</v>
      </c>
      <c r="IU2" s="6" t="s">
        <v>33</v>
      </c>
      <c r="IV2" s="6" t="s">
        <v>34</v>
      </c>
      <c r="IW2" s="6" t="s">
        <v>35</v>
      </c>
      <c r="IX2" s="6" t="s">
        <v>36</v>
      </c>
      <c r="IY2" s="6" t="s">
        <v>37</v>
      </c>
      <c r="IZ2" s="6" t="s">
        <v>38</v>
      </c>
      <c r="JA2" s="6" t="s">
        <v>39</v>
      </c>
      <c r="JB2" s="6" t="s">
        <v>40</v>
      </c>
      <c r="JC2" s="4" t="s">
        <v>41</v>
      </c>
      <c r="JD2" s="4" t="s">
        <v>42</v>
      </c>
      <c r="JE2" s="4" t="s">
        <v>43</v>
      </c>
      <c r="JF2" s="6" t="s">
        <v>44</v>
      </c>
      <c r="JG2" s="9" t="s">
        <v>45</v>
      </c>
      <c r="JH2" s="8" t="s">
        <v>17</v>
      </c>
      <c r="JI2" s="6" t="s">
        <v>18</v>
      </c>
      <c r="JJ2" s="6" t="s">
        <v>19</v>
      </c>
      <c r="JK2" s="6" t="s">
        <v>20</v>
      </c>
      <c r="JL2" s="6" t="s">
        <v>21</v>
      </c>
      <c r="JM2" s="6" t="s">
        <v>22</v>
      </c>
      <c r="JN2" s="6" t="s">
        <v>23</v>
      </c>
      <c r="JO2" s="6" t="s">
        <v>24</v>
      </c>
      <c r="JP2" s="6" t="s">
        <v>25</v>
      </c>
      <c r="JQ2" s="6" t="s">
        <v>26</v>
      </c>
      <c r="JR2" s="6" t="s">
        <v>27</v>
      </c>
      <c r="JS2" s="6" t="s">
        <v>28</v>
      </c>
      <c r="JT2" s="6" t="s">
        <v>29</v>
      </c>
      <c r="JU2" s="6" t="s">
        <v>30</v>
      </c>
      <c r="JV2" s="6" t="s">
        <v>31</v>
      </c>
      <c r="JW2" s="6" t="s">
        <v>32</v>
      </c>
      <c r="JX2" s="6" t="s">
        <v>33</v>
      </c>
      <c r="JY2" s="6" t="s">
        <v>34</v>
      </c>
      <c r="JZ2" s="6" t="s">
        <v>35</v>
      </c>
      <c r="KA2" s="6" t="s">
        <v>36</v>
      </c>
      <c r="KB2" s="6" t="s">
        <v>37</v>
      </c>
      <c r="KC2" s="6" t="s">
        <v>38</v>
      </c>
      <c r="KD2" s="6" t="s">
        <v>39</v>
      </c>
      <c r="KE2" s="6" t="s">
        <v>40</v>
      </c>
      <c r="KF2" s="4" t="s">
        <v>41</v>
      </c>
      <c r="KG2" s="4" t="s">
        <v>42</v>
      </c>
      <c r="KH2" s="4" t="s">
        <v>43</v>
      </c>
      <c r="KI2" s="6" t="s">
        <v>44</v>
      </c>
      <c r="KJ2" s="9" t="s">
        <v>45</v>
      </c>
      <c r="KK2" s="10"/>
      <c r="KL2" s="10"/>
      <c r="KM2" s="10"/>
      <c r="KN2" s="10"/>
      <c r="KO2" s="10"/>
      <c r="KP2" s="10"/>
      <c r="KQ2" s="10"/>
      <c r="KR2" s="10"/>
      <c r="KS2" s="10"/>
      <c r="KT2" s="10"/>
      <c r="KU2" s="10"/>
      <c r="KV2" s="10"/>
      <c r="KW2" s="10"/>
      <c r="KX2" s="10"/>
      <c r="KY2" s="10"/>
      <c r="KZ2" s="10"/>
      <c r="LA2" s="10"/>
      <c r="LB2" s="10"/>
      <c r="LC2" s="10"/>
      <c r="LD2" s="10"/>
    </row>
    <row r="3" spans="1:316" ht="15.75" customHeight="1" x14ac:dyDescent="0.25">
      <c r="A3" s="106"/>
      <c r="B3" s="102" t="s">
        <v>46</v>
      </c>
      <c r="C3" s="11">
        <v>1</v>
      </c>
      <c r="D3" s="11">
        <f>C3</f>
        <v>1</v>
      </c>
      <c r="E3" s="11">
        <v>4</v>
      </c>
      <c r="F3" s="12">
        <f>E3</f>
        <v>4</v>
      </c>
      <c r="G3" s="13">
        <v>4</v>
      </c>
      <c r="H3" s="11">
        <f>G3</f>
        <v>4</v>
      </c>
      <c r="I3" s="14">
        <v>2</v>
      </c>
      <c r="J3" s="11">
        <f>I3</f>
        <v>2</v>
      </c>
      <c r="K3" s="11">
        <f t="shared" ref="K3:K11" si="0">IF(G3-I3&lt;=$E3-2,1,0)</f>
        <v>1</v>
      </c>
      <c r="L3" s="11">
        <f>K3</f>
        <v>1</v>
      </c>
      <c r="M3" s="11">
        <f t="shared" ref="M3:M11" si="1">IF(K3=0,IF(G3=$E3,1,0),0)</f>
        <v>0</v>
      </c>
      <c r="N3" s="11">
        <f>M3</f>
        <v>0</v>
      </c>
      <c r="O3" s="11">
        <f t="shared" ref="O3:O11" si="2">IF($E3-G3=1,1,0)</f>
        <v>0</v>
      </c>
      <c r="P3" s="11">
        <f>O3</f>
        <v>0</v>
      </c>
      <c r="Q3" s="11">
        <f t="shared" ref="Q3:Q11" si="3">IF(G3=$E3,1,0)</f>
        <v>1</v>
      </c>
      <c r="R3" s="11">
        <f>Q3</f>
        <v>1</v>
      </c>
      <c r="S3" s="11">
        <f t="shared" ref="S3:S11" si="4">IF(G3-$E3=1,1,0)</f>
        <v>0</v>
      </c>
      <c r="T3" s="11">
        <f>S3</f>
        <v>0</v>
      </c>
      <c r="U3" s="11">
        <f t="shared" ref="U3:U11" si="5">IF(G3-$E3&gt;=2,1,0)</f>
        <v>0</v>
      </c>
      <c r="V3" s="11">
        <f>U3</f>
        <v>0</v>
      </c>
      <c r="W3" s="11">
        <f t="shared" ref="W3:W11" si="6">IF(I3=0,1,0)</f>
        <v>0</v>
      </c>
      <c r="X3" s="11">
        <f>W3</f>
        <v>0</v>
      </c>
      <c r="Y3" s="11">
        <f t="shared" ref="Y3:Y11" si="7">IF(I3=1,1,0)</f>
        <v>0</v>
      </c>
      <c r="Z3" s="11">
        <f>Y3</f>
        <v>0</v>
      </c>
      <c r="AA3" s="11">
        <f t="shared" ref="AA3:AA11" si="8">IF(I3=2,1,0)</f>
        <v>1</v>
      </c>
      <c r="AB3" s="11">
        <f>AA3</f>
        <v>1</v>
      </c>
      <c r="AC3" s="11">
        <f t="shared" ref="AC3:AC11" si="9">IF(I3&gt;=3,1,0)</f>
        <v>0</v>
      </c>
      <c r="AD3" s="11">
        <f>AC3</f>
        <v>0</v>
      </c>
      <c r="AE3" s="6"/>
      <c r="AF3" s="6">
        <f>IF($E3=4,G3-4,NA())</f>
        <v>0</v>
      </c>
      <c r="AG3" s="6"/>
      <c r="AH3" s="15">
        <f>G3-'Zusammenfassung Tag1-4'!$B$2/18</f>
        <v>2.8888888888888888</v>
      </c>
      <c r="AI3" s="16">
        <f>AH3</f>
        <v>2.8888888888888888</v>
      </c>
      <c r="AJ3" s="13">
        <v>4</v>
      </c>
      <c r="AK3" s="11">
        <f>AJ3</f>
        <v>4</v>
      </c>
      <c r="AL3" s="14">
        <v>2</v>
      </c>
      <c r="AM3" s="11">
        <f>AL3</f>
        <v>2</v>
      </c>
      <c r="AN3" s="11">
        <f t="shared" ref="AN3:AN11" si="10">IF(AJ3-AL3&lt;=$E3-2,1,0)</f>
        <v>1</v>
      </c>
      <c r="AO3" s="11">
        <f>AN3</f>
        <v>1</v>
      </c>
      <c r="AP3" s="11">
        <f t="shared" ref="AP3:AP11" si="11">IF(AN3=0,IF(AJ3=$E3,1,0),0)</f>
        <v>0</v>
      </c>
      <c r="AQ3" s="11">
        <f>AP3</f>
        <v>0</v>
      </c>
      <c r="AR3" s="11">
        <f t="shared" ref="AR3:AR11" si="12">IF($E3-AJ3=1,1,0)</f>
        <v>0</v>
      </c>
      <c r="AS3" s="11">
        <f>AR3</f>
        <v>0</v>
      </c>
      <c r="AT3" s="11">
        <f t="shared" ref="AT3:AT11" si="13">IF(AJ3=$E3,1,0)</f>
        <v>1</v>
      </c>
      <c r="AU3" s="11">
        <f>AT3</f>
        <v>1</v>
      </c>
      <c r="AV3" s="11">
        <f t="shared" ref="AV3:AV11" si="14">IF(AJ3-$E3=1,1,0)</f>
        <v>0</v>
      </c>
      <c r="AW3" s="11">
        <f>AV3</f>
        <v>0</v>
      </c>
      <c r="AX3" s="11">
        <f t="shared" ref="AX3:AX11" si="15">IF(AJ3-$E3&gt;=2,1,0)</f>
        <v>0</v>
      </c>
      <c r="AY3" s="11">
        <f>AX3</f>
        <v>0</v>
      </c>
      <c r="AZ3" s="11">
        <f t="shared" ref="AZ3:AZ11" si="16">IF(AL3=0,1,0)</f>
        <v>0</v>
      </c>
      <c r="BA3" s="11">
        <f>AZ3</f>
        <v>0</v>
      </c>
      <c r="BB3" s="11">
        <f t="shared" ref="BB3:BB11" si="17">IF(AL3=1,1,0)</f>
        <v>0</v>
      </c>
      <c r="BC3" s="11">
        <f>BB3</f>
        <v>0</v>
      </c>
      <c r="BD3" s="11">
        <f t="shared" ref="BD3:BD11" si="18">IF(AL3=2,1,0)</f>
        <v>1</v>
      </c>
      <c r="BE3" s="11">
        <f>BD3</f>
        <v>1</v>
      </c>
      <c r="BF3" s="11">
        <f t="shared" ref="BF3:BF11" si="19">IF(AL3&gt;=3,1,0)</f>
        <v>0</v>
      </c>
      <c r="BG3" s="11">
        <f>BF3</f>
        <v>0</v>
      </c>
      <c r="BH3" s="6"/>
      <c r="BI3" s="6">
        <f>IF($E3=4,AJ3-4,NA())</f>
        <v>0</v>
      </c>
      <c r="BJ3" s="6"/>
      <c r="BK3" s="15">
        <f>AJ3-'Zusammenfassung Tag1-4'!$C$2/18</f>
        <v>3.3333333333333335</v>
      </c>
      <c r="BL3" s="16">
        <f>BK3</f>
        <v>3.3333333333333335</v>
      </c>
      <c r="BM3" s="13">
        <v>4</v>
      </c>
      <c r="BN3" s="11">
        <f>BM3</f>
        <v>4</v>
      </c>
      <c r="BO3" s="14">
        <v>1</v>
      </c>
      <c r="BP3" s="11">
        <f>BO3</f>
        <v>1</v>
      </c>
      <c r="BQ3" s="11">
        <f t="shared" ref="BQ3:BQ11" si="20">IF(BM3-BO3&lt;=$E3-2,1,0)</f>
        <v>0</v>
      </c>
      <c r="BR3" s="11">
        <f>BQ3</f>
        <v>0</v>
      </c>
      <c r="BS3" s="11">
        <f t="shared" ref="BS3:BS11" si="21">IF(BQ3=0,IF(BM3=$E3,1,0),0)</f>
        <v>1</v>
      </c>
      <c r="BT3" s="11">
        <f>BS3</f>
        <v>1</v>
      </c>
      <c r="BU3" s="11">
        <f t="shared" ref="BU3:BU11" si="22">IF($E3-BM3=1,1,0)</f>
        <v>0</v>
      </c>
      <c r="BV3" s="11">
        <f>BU3</f>
        <v>0</v>
      </c>
      <c r="BW3" s="11">
        <f t="shared" ref="BW3:BW11" si="23">IF(BM3=$E3,1,0)</f>
        <v>1</v>
      </c>
      <c r="BX3" s="11">
        <f>BW3</f>
        <v>1</v>
      </c>
      <c r="BY3" s="11">
        <f t="shared" ref="BY3:BY11" si="24">IF(BM3-$E3=1,1,0)</f>
        <v>0</v>
      </c>
      <c r="BZ3" s="11">
        <f>BY3</f>
        <v>0</v>
      </c>
      <c r="CA3" s="11">
        <f t="shared" ref="CA3:CA11" si="25">IF(BM3-$E3&gt;=2,1,0)</f>
        <v>0</v>
      </c>
      <c r="CB3" s="11">
        <f>CA3</f>
        <v>0</v>
      </c>
      <c r="CC3" s="11">
        <f t="shared" ref="CC3:CC11" si="26">IF(BO3=0,1,0)</f>
        <v>0</v>
      </c>
      <c r="CD3" s="11">
        <f>CC3</f>
        <v>0</v>
      </c>
      <c r="CE3" s="11">
        <f t="shared" ref="CE3:CE11" si="27">IF(BO3=1,1,0)</f>
        <v>1</v>
      </c>
      <c r="CF3" s="11">
        <f>CE3</f>
        <v>1</v>
      </c>
      <c r="CG3" s="11">
        <f t="shared" ref="CG3:CG11" si="28">IF(BO3=2,1,0)</f>
        <v>0</v>
      </c>
      <c r="CH3" s="11">
        <f>CG3</f>
        <v>0</v>
      </c>
      <c r="CI3" s="11">
        <f t="shared" ref="CI3:CI11" si="29">IF(BO3&gt;=3,1,0)</f>
        <v>0</v>
      </c>
      <c r="CJ3" s="11">
        <f>CI3</f>
        <v>0</v>
      </c>
      <c r="CK3" s="6"/>
      <c r="CL3" s="6">
        <f>IF($E3=4,BM3-4,NA())</f>
        <v>0</v>
      </c>
      <c r="CM3" s="6"/>
      <c r="CN3" s="15">
        <f>BM3-'Zusammenfassung Tag1-4'!$D$2/18</f>
        <v>2.666666666666667</v>
      </c>
      <c r="CO3" s="16">
        <f>CN3</f>
        <v>2.666666666666667</v>
      </c>
      <c r="CP3" s="13">
        <v>4</v>
      </c>
      <c r="CQ3" s="11">
        <f>CP3</f>
        <v>4</v>
      </c>
      <c r="CR3" s="14">
        <v>2</v>
      </c>
      <c r="CS3" s="11">
        <f>CR3</f>
        <v>2</v>
      </c>
      <c r="CT3" s="11">
        <f t="shared" ref="CT3:CT11" si="30">IF(CP3-CR3&lt;=$E3-2,1,0)</f>
        <v>1</v>
      </c>
      <c r="CU3" s="11">
        <f>CT3</f>
        <v>1</v>
      </c>
      <c r="CV3" s="11">
        <f t="shared" ref="CV3:CV11" si="31">IF(CT3=0,IF(CP3=$E3,1,0),0)</f>
        <v>0</v>
      </c>
      <c r="CW3" s="11">
        <f>CV3</f>
        <v>0</v>
      </c>
      <c r="CX3" s="11">
        <f t="shared" ref="CX3:CX11" si="32">IF($E3-CP3=1,1,0)</f>
        <v>0</v>
      </c>
      <c r="CY3" s="11">
        <f>CX3</f>
        <v>0</v>
      </c>
      <c r="CZ3" s="11">
        <f t="shared" ref="CZ3:CZ11" si="33">IF(CP3=$E3,1,0)</f>
        <v>1</v>
      </c>
      <c r="DA3" s="11">
        <f>CZ3</f>
        <v>1</v>
      </c>
      <c r="DB3" s="11">
        <f t="shared" ref="DB3:DB11" si="34">IF(CP3-$E3=1,1,0)</f>
        <v>0</v>
      </c>
      <c r="DC3" s="11">
        <f>DB3</f>
        <v>0</v>
      </c>
      <c r="DD3" s="11">
        <f t="shared" ref="DD3:DD11" si="35">IF(CP3-$E3&gt;=2,1,0)</f>
        <v>0</v>
      </c>
      <c r="DE3" s="11">
        <f>DD3</f>
        <v>0</v>
      </c>
      <c r="DF3" s="11">
        <f t="shared" ref="DF3:DF11" si="36">IF(CR3=0,1,0)</f>
        <v>0</v>
      </c>
      <c r="DG3" s="11">
        <f>DF3</f>
        <v>0</v>
      </c>
      <c r="DH3" s="11">
        <f t="shared" ref="DH3:DH11" si="37">IF(CR3=1,1,0)</f>
        <v>0</v>
      </c>
      <c r="DI3" s="11">
        <f>DH3</f>
        <v>0</v>
      </c>
      <c r="DJ3" s="11">
        <f t="shared" ref="DJ3:DJ11" si="38">IF(CR3=2,1,0)</f>
        <v>1</v>
      </c>
      <c r="DK3" s="11">
        <f>DJ3</f>
        <v>1</v>
      </c>
      <c r="DL3" s="11">
        <f t="shared" ref="DL3:DL11" si="39">IF(CR3&gt;=3,1,0)</f>
        <v>0</v>
      </c>
      <c r="DM3" s="11">
        <f>DL3</f>
        <v>0</v>
      </c>
      <c r="DN3" s="6"/>
      <c r="DO3" s="6">
        <f>IF($E3=4,CP3-4,NA())</f>
        <v>0</v>
      </c>
      <c r="DP3" s="6"/>
      <c r="DQ3" s="15">
        <f>CP3-'Zusammenfassung Tag1-4'!$E$2/18</f>
        <v>2.7222222222222223</v>
      </c>
      <c r="DR3" s="17">
        <f>DQ3</f>
        <v>2.7222222222222223</v>
      </c>
      <c r="DS3" s="13">
        <v>7</v>
      </c>
      <c r="DT3" s="11">
        <f>DS3</f>
        <v>7</v>
      </c>
      <c r="DU3" s="14">
        <v>2</v>
      </c>
      <c r="DV3" s="11">
        <f>DU3</f>
        <v>2</v>
      </c>
      <c r="DW3" s="11">
        <f t="shared" ref="DW3:DW11" si="40">IF(DS3-DU3&lt;=$E3-2,1,0)</f>
        <v>0</v>
      </c>
      <c r="DX3" s="11">
        <f>DW3</f>
        <v>0</v>
      </c>
      <c r="DY3" s="11">
        <f t="shared" ref="DY3:DY11" si="41">IF(DW3=0,IF(DS3=$E3,1,0),0)</f>
        <v>0</v>
      </c>
      <c r="DZ3" s="11">
        <f>DY3</f>
        <v>0</v>
      </c>
      <c r="EA3" s="11">
        <f t="shared" ref="EA3:EA11" si="42">IF($E3-DS3=1,1,0)</f>
        <v>0</v>
      </c>
      <c r="EB3" s="11">
        <f>EA3</f>
        <v>0</v>
      </c>
      <c r="EC3" s="11">
        <f t="shared" ref="EC3:EC11" si="43">IF(DS3=$E3,1,0)</f>
        <v>0</v>
      </c>
      <c r="ED3" s="11">
        <f>EC3</f>
        <v>0</v>
      </c>
      <c r="EE3" s="11">
        <f t="shared" ref="EE3:EE11" si="44">IF(DS3-$E3=1,1,0)</f>
        <v>0</v>
      </c>
      <c r="EF3" s="11">
        <f>EE3</f>
        <v>0</v>
      </c>
      <c r="EG3" s="11">
        <f t="shared" ref="EG3:EG11" si="45">IF(DS3-$E3&gt;=2,1,0)</f>
        <v>1</v>
      </c>
      <c r="EH3" s="11">
        <f>EG3</f>
        <v>1</v>
      </c>
      <c r="EI3" s="11">
        <f t="shared" ref="EI3:EI11" si="46">IF(DU3=0,1,0)</f>
        <v>0</v>
      </c>
      <c r="EJ3" s="11">
        <f>EI3</f>
        <v>0</v>
      </c>
      <c r="EK3" s="11">
        <f t="shared" ref="EK3:EK11" si="47">IF(DU3=1,1,0)</f>
        <v>0</v>
      </c>
      <c r="EL3" s="11">
        <f>EK3</f>
        <v>0</v>
      </c>
      <c r="EM3" s="11">
        <f t="shared" ref="EM3:EM11" si="48">IF(DU3=2,1,0)</f>
        <v>1</v>
      </c>
      <c r="EN3" s="11">
        <f>EM3</f>
        <v>1</v>
      </c>
      <c r="EO3" s="11">
        <f t="shared" ref="EO3:EO11" si="49">IF(DU3&gt;=3,1,0)</f>
        <v>0</v>
      </c>
      <c r="EP3" s="11">
        <f>EO3</f>
        <v>0</v>
      </c>
      <c r="EQ3" s="6"/>
      <c r="ER3" s="6">
        <f>IF($E3=4,DS3-4,NA())</f>
        <v>3</v>
      </c>
      <c r="ES3" s="6"/>
      <c r="ET3" s="15">
        <f>DS3-'Zusammenfassung Tag1-4'!$F$2/18</f>
        <v>4</v>
      </c>
      <c r="EU3" s="17">
        <f>ET3</f>
        <v>4</v>
      </c>
      <c r="EV3" s="13">
        <v>4</v>
      </c>
      <c r="EW3" s="11">
        <f>EV3</f>
        <v>4</v>
      </c>
      <c r="EX3" s="14">
        <v>2</v>
      </c>
      <c r="EY3" s="11">
        <f>EX3</f>
        <v>2</v>
      </c>
      <c r="EZ3" s="11">
        <f t="shared" ref="EZ3:EZ11" si="50">IF(EV3-EX3&lt;=$E3-2,1,0)</f>
        <v>1</v>
      </c>
      <c r="FA3" s="11">
        <f>EZ3</f>
        <v>1</v>
      </c>
      <c r="FB3" s="11">
        <f t="shared" ref="FB3:FB11" si="51">IF(EZ3=0,IF(EV3=$E3,1,0),0)</f>
        <v>0</v>
      </c>
      <c r="FC3" s="11">
        <f>FB3</f>
        <v>0</v>
      </c>
      <c r="FD3" s="11">
        <f t="shared" ref="FD3:FD11" si="52">IF($E3-EV3=1,1,0)</f>
        <v>0</v>
      </c>
      <c r="FE3" s="11">
        <f>FD3</f>
        <v>0</v>
      </c>
      <c r="FF3" s="11">
        <f t="shared" ref="FF3:FF11" si="53">IF(EV3=$E3,1,0)</f>
        <v>1</v>
      </c>
      <c r="FG3" s="11">
        <f>FF3</f>
        <v>1</v>
      </c>
      <c r="FH3" s="11">
        <f t="shared" ref="FH3:FH11" si="54">IF(EV3-$E3=1,1,0)</f>
        <v>0</v>
      </c>
      <c r="FI3" s="11">
        <f>FH3</f>
        <v>0</v>
      </c>
      <c r="FJ3" s="11">
        <f t="shared" ref="FJ3:FJ11" si="55">IF(EV3-$E3&gt;=2,1,0)</f>
        <v>0</v>
      </c>
      <c r="FK3" s="11">
        <f>FJ3</f>
        <v>0</v>
      </c>
      <c r="FL3" s="11">
        <f t="shared" ref="FL3:FL11" si="56">IF(EX3=0,1,0)</f>
        <v>0</v>
      </c>
      <c r="FM3" s="11">
        <f>FL3</f>
        <v>0</v>
      </c>
      <c r="FN3" s="11">
        <f t="shared" ref="FN3:FN11" si="57">IF(EX3=1,1,0)</f>
        <v>0</v>
      </c>
      <c r="FO3" s="11">
        <f>FN3</f>
        <v>0</v>
      </c>
      <c r="FP3" s="11">
        <f t="shared" ref="FP3:FP11" si="58">IF(EX3=2,1,0)</f>
        <v>1</v>
      </c>
      <c r="FQ3" s="11">
        <f>FP3</f>
        <v>1</v>
      </c>
      <c r="FR3" s="11">
        <f t="shared" ref="FR3:FR11" si="59">IF(EX3&gt;=3,1,0)</f>
        <v>0</v>
      </c>
      <c r="FS3" s="11">
        <f>FR3</f>
        <v>0</v>
      </c>
      <c r="FT3" s="6"/>
      <c r="FU3" s="6">
        <f>IF($E3=4,EV3-4,NA())</f>
        <v>0</v>
      </c>
      <c r="FV3" s="6"/>
      <c r="FW3" s="15">
        <f>EV3-'Zusammenfassung Tag1-4'!$G$2/18</f>
        <v>2.5</v>
      </c>
      <c r="FX3" s="17">
        <f>FW3</f>
        <v>2.5</v>
      </c>
      <c r="FY3" s="13">
        <v>5</v>
      </c>
      <c r="FZ3" s="11">
        <f>FY3</f>
        <v>5</v>
      </c>
      <c r="GA3" s="14">
        <v>3</v>
      </c>
      <c r="GB3" s="11">
        <f>GA3</f>
        <v>3</v>
      </c>
      <c r="GC3" s="11">
        <f t="shared" ref="GC3:GC11" si="60">IF(FY3-GA3&lt;=$E3-2,1,0)</f>
        <v>1</v>
      </c>
      <c r="GD3" s="11">
        <f>GC3</f>
        <v>1</v>
      </c>
      <c r="GE3" s="11">
        <f t="shared" ref="GE3:GE11" si="61">IF(GC3=0,IF(FY3=$E3,1,0),0)</f>
        <v>0</v>
      </c>
      <c r="GF3" s="11">
        <f>GE3</f>
        <v>0</v>
      </c>
      <c r="GG3" s="11">
        <f t="shared" ref="GG3:GG11" si="62">IF($E3-FY3=1,1,0)</f>
        <v>0</v>
      </c>
      <c r="GH3" s="11">
        <f>GG3</f>
        <v>0</v>
      </c>
      <c r="GI3" s="11">
        <f t="shared" ref="GI3:GI11" si="63">IF(FY3=$E3,1,0)</f>
        <v>0</v>
      </c>
      <c r="GJ3" s="11">
        <f>GI3</f>
        <v>0</v>
      </c>
      <c r="GK3" s="11">
        <f t="shared" ref="GK3:GK11" si="64">IF(FY3-$E3=1,1,0)</f>
        <v>1</v>
      </c>
      <c r="GL3" s="11">
        <f>GK3</f>
        <v>1</v>
      </c>
      <c r="GM3" s="11">
        <f t="shared" ref="GM3:GM11" si="65">IF(FY3-$E3&gt;=2,1,0)</f>
        <v>0</v>
      </c>
      <c r="GN3" s="11">
        <f>GM3</f>
        <v>0</v>
      </c>
      <c r="GO3" s="11">
        <f t="shared" ref="GO3:GO11" si="66">IF(GA3=0,1,0)</f>
        <v>0</v>
      </c>
      <c r="GP3" s="11">
        <f>GO3</f>
        <v>0</v>
      </c>
      <c r="GQ3" s="11">
        <f t="shared" ref="GQ3:GQ11" si="67">IF(GA3=1,1,0)</f>
        <v>0</v>
      </c>
      <c r="GR3" s="11">
        <f>GQ3</f>
        <v>0</v>
      </c>
      <c r="GS3" s="11">
        <f t="shared" ref="GS3:GS11" si="68">IF(GA3=2,1,0)</f>
        <v>0</v>
      </c>
      <c r="GT3" s="11">
        <f>GS3</f>
        <v>0</v>
      </c>
      <c r="GU3" s="11">
        <f t="shared" ref="GU3:GU11" si="69">IF(GA3&gt;=3,1,0)</f>
        <v>1</v>
      </c>
      <c r="GV3" s="11">
        <f>GU3</f>
        <v>1</v>
      </c>
      <c r="GW3" s="6"/>
      <c r="GX3" s="6">
        <f>IF($E3=4,FY3-4,NA())</f>
        <v>1</v>
      </c>
      <c r="GY3" s="6"/>
      <c r="GZ3" s="15">
        <f>FY3-'Zusammenfassung Tag1-4'!$H$2/18</f>
        <v>2</v>
      </c>
      <c r="HA3" s="17">
        <f>GZ3</f>
        <v>2</v>
      </c>
      <c r="HB3" s="13">
        <v>5</v>
      </c>
      <c r="HC3" s="11">
        <f>HB3</f>
        <v>5</v>
      </c>
      <c r="HD3" s="14">
        <v>3</v>
      </c>
      <c r="HE3" s="11">
        <f>HD3</f>
        <v>3</v>
      </c>
      <c r="HF3" s="11">
        <f t="shared" ref="HF3:HF11" si="70">IF(HB3-HD3&lt;=$E3-2,1,0)</f>
        <v>1</v>
      </c>
      <c r="HG3" s="11">
        <f>HF3</f>
        <v>1</v>
      </c>
      <c r="HH3" s="11">
        <f t="shared" ref="HH3:HH11" si="71">IF(HF3=0,IF(HB3=$E3,1,0),0)</f>
        <v>0</v>
      </c>
      <c r="HI3" s="11">
        <f>HH3</f>
        <v>0</v>
      </c>
      <c r="HJ3" s="11">
        <f t="shared" ref="HJ3:HJ11" si="72">IF($E3-HB3=1,1,0)</f>
        <v>0</v>
      </c>
      <c r="HK3" s="11">
        <f>HJ3</f>
        <v>0</v>
      </c>
      <c r="HL3" s="11">
        <f t="shared" ref="HL3:HL11" si="73">IF(HB3=$E3,1,0)</f>
        <v>0</v>
      </c>
      <c r="HM3" s="11">
        <f>HL3</f>
        <v>0</v>
      </c>
      <c r="HN3" s="11">
        <f t="shared" ref="HN3:HN11" si="74">IF(HB3-$E3=1,1,0)</f>
        <v>1</v>
      </c>
      <c r="HO3" s="11">
        <f>HN3</f>
        <v>1</v>
      </c>
      <c r="HP3" s="11">
        <f t="shared" ref="HP3:HP11" si="75">IF(HB3-$E3&gt;=2,1,0)</f>
        <v>0</v>
      </c>
      <c r="HQ3" s="11">
        <f>HP3</f>
        <v>0</v>
      </c>
      <c r="HR3" s="11">
        <f t="shared" ref="HR3:HR11" si="76">IF(HD3=0,1,0)</f>
        <v>0</v>
      </c>
      <c r="HS3" s="11">
        <f>HR3</f>
        <v>0</v>
      </c>
      <c r="HT3" s="11">
        <f t="shared" ref="HT3:HT11" si="77">IF(HD3=1,1,0)</f>
        <v>0</v>
      </c>
      <c r="HU3" s="11">
        <f>HT3</f>
        <v>0</v>
      </c>
      <c r="HV3" s="11">
        <f t="shared" ref="HV3:HV11" si="78">IF(HD3=2,1,0)</f>
        <v>0</v>
      </c>
      <c r="HW3" s="11">
        <f>HV3</f>
        <v>0</v>
      </c>
      <c r="HX3" s="11">
        <f t="shared" ref="HX3:HX11" si="79">IF(HD3&gt;=3,1,0)</f>
        <v>1</v>
      </c>
      <c r="HY3" s="11">
        <f>HX3</f>
        <v>1</v>
      </c>
      <c r="HZ3" s="6"/>
      <c r="IA3" s="6">
        <f>IF($E3=4,HB3-4,NA())</f>
        <v>1</v>
      </c>
      <c r="IB3" s="6"/>
      <c r="IC3" s="15">
        <f>HB3-'Zusammenfassung Tag1-4'!$I$2/18</f>
        <v>4</v>
      </c>
      <c r="ID3" s="17">
        <f>IC3</f>
        <v>4</v>
      </c>
      <c r="IE3" s="13"/>
      <c r="IF3" s="11">
        <f>IE3</f>
        <v>0</v>
      </c>
      <c r="IG3" s="14"/>
      <c r="IH3" s="11">
        <f>IG3</f>
        <v>0</v>
      </c>
      <c r="II3" s="11">
        <f t="shared" ref="II3:II11" si="80">IF(IE3-IG3&lt;=$E3-2,1,0)</f>
        <v>1</v>
      </c>
      <c r="IJ3" s="11">
        <f>II3</f>
        <v>1</v>
      </c>
      <c r="IK3" s="11">
        <f t="shared" ref="IK3:IK11" si="81">IF(II3=0,IF(IE3=$E3,1,0),0)</f>
        <v>0</v>
      </c>
      <c r="IL3" s="11">
        <f>IK3</f>
        <v>0</v>
      </c>
      <c r="IM3" s="11">
        <f t="shared" ref="IM3:IM11" si="82">IF($E3-IE3=1,1,0)</f>
        <v>0</v>
      </c>
      <c r="IN3" s="11">
        <f>IM3</f>
        <v>0</v>
      </c>
      <c r="IO3" s="11">
        <f t="shared" ref="IO3:IO11" si="83">IF(IE3=$E3,1,0)</f>
        <v>0</v>
      </c>
      <c r="IP3" s="11">
        <f>IO3</f>
        <v>0</v>
      </c>
      <c r="IQ3" s="11">
        <f t="shared" ref="IQ3:IQ11" si="84">IF(IE3-$E3=1,1,0)</f>
        <v>0</v>
      </c>
      <c r="IR3" s="11">
        <f>IQ3</f>
        <v>0</v>
      </c>
      <c r="IS3" s="11">
        <f t="shared" ref="IS3:IS11" si="85">IF(IE3-$E3&gt;=2,1,0)</f>
        <v>0</v>
      </c>
      <c r="IT3" s="11">
        <f>IS3</f>
        <v>0</v>
      </c>
      <c r="IU3" s="11">
        <f t="shared" ref="IU3:IU11" si="86">IF(IG3=0,1,0)</f>
        <v>1</v>
      </c>
      <c r="IV3" s="11">
        <f>IU3</f>
        <v>1</v>
      </c>
      <c r="IW3" s="11">
        <f t="shared" ref="IW3:IW11" si="87">IF(IG3=1,1,0)</f>
        <v>0</v>
      </c>
      <c r="IX3" s="11">
        <f>IW3</f>
        <v>0</v>
      </c>
      <c r="IY3" s="11">
        <f t="shared" ref="IY3:IY11" si="88">IF(IG3=2,1,0)</f>
        <v>0</v>
      </c>
      <c r="IZ3" s="11">
        <f>IY3</f>
        <v>0</v>
      </c>
      <c r="JA3" s="11">
        <f t="shared" ref="JA3:JA11" si="89">IF(IG3&gt;=3,1,0)</f>
        <v>0</v>
      </c>
      <c r="JB3" s="11">
        <f>JA3</f>
        <v>0</v>
      </c>
      <c r="JC3" s="6"/>
      <c r="JD3" s="6">
        <f>IF($E3=4,IE3-4,NA())</f>
        <v>-4</v>
      </c>
      <c r="JE3" s="6"/>
      <c r="JF3" s="15">
        <f>IE3-'Zusammenfassung Tag1-4'!$J$2/18</f>
        <v>-3</v>
      </c>
      <c r="JG3" s="17">
        <f>JF3</f>
        <v>-3</v>
      </c>
      <c r="JH3" s="13"/>
      <c r="JI3" s="11">
        <f>JH3</f>
        <v>0</v>
      </c>
      <c r="JJ3" s="14"/>
      <c r="JK3" s="11">
        <f>JJ3</f>
        <v>0</v>
      </c>
      <c r="JL3" s="11">
        <f t="shared" ref="JL3:JL11" si="90">IF(JH3-JJ3&lt;=$E3-2,1,0)</f>
        <v>1</v>
      </c>
      <c r="JM3" s="11">
        <f>JL3</f>
        <v>1</v>
      </c>
      <c r="JN3" s="11">
        <f t="shared" ref="JN3:JN11" si="91">IF(JL3=0,IF(JH3=$E3,1,0),0)</f>
        <v>0</v>
      </c>
      <c r="JO3" s="11">
        <f>JN3</f>
        <v>0</v>
      </c>
      <c r="JP3" s="11">
        <f t="shared" ref="JP3:JP11" si="92">IF($E3-JH3=1,1,0)</f>
        <v>0</v>
      </c>
      <c r="JQ3" s="11">
        <f>JP3</f>
        <v>0</v>
      </c>
      <c r="JR3" s="11">
        <f t="shared" ref="JR3:JR11" si="93">IF(JH3=$E3,1,0)</f>
        <v>0</v>
      </c>
      <c r="JS3" s="11">
        <f>JR3</f>
        <v>0</v>
      </c>
      <c r="JT3" s="11">
        <f t="shared" ref="JT3:JT11" si="94">IF(JH3-$E3=1,1,0)</f>
        <v>0</v>
      </c>
      <c r="JU3" s="11">
        <f>JT3</f>
        <v>0</v>
      </c>
      <c r="JV3" s="11">
        <f t="shared" ref="JV3:JV11" si="95">IF(JH3-$E3&gt;=2,1,0)</f>
        <v>0</v>
      </c>
      <c r="JW3" s="11">
        <f>JV3</f>
        <v>0</v>
      </c>
      <c r="JX3" s="11">
        <f t="shared" ref="JX3:JX11" si="96">IF(JJ3=0,1,0)</f>
        <v>1</v>
      </c>
      <c r="JY3" s="11">
        <f>JX3</f>
        <v>1</v>
      </c>
      <c r="JZ3" s="11">
        <f t="shared" ref="JZ3:JZ11" si="97">IF(JJ3=1,1,0)</f>
        <v>0</v>
      </c>
      <c r="KA3" s="11">
        <f>JZ3</f>
        <v>0</v>
      </c>
      <c r="KB3" s="11">
        <f t="shared" ref="KB3:KB11" si="98">IF(JJ3=2,1,0)</f>
        <v>0</v>
      </c>
      <c r="KC3" s="11">
        <f>KB3</f>
        <v>0</v>
      </c>
      <c r="KD3" s="11">
        <f t="shared" ref="KD3:KD11" si="99">IF(JJ3&gt;=3,1,0)</f>
        <v>0</v>
      </c>
      <c r="KE3" s="11">
        <f>KD3</f>
        <v>0</v>
      </c>
      <c r="KF3" s="6"/>
      <c r="KG3" s="6">
        <f>IF($E3=4,JH3-4,NA())</f>
        <v>-4</v>
      </c>
      <c r="KH3" s="6"/>
      <c r="KI3" s="15">
        <f>JH3-'Zusammenfassung Tag1-4'!$K$2/18</f>
        <v>-0.77777777777777779</v>
      </c>
      <c r="KJ3" s="17">
        <f>KI3</f>
        <v>-0.77777777777777779</v>
      </c>
      <c r="KK3" s="10"/>
      <c r="KL3" s="10"/>
      <c r="KM3" s="10"/>
      <c r="KN3" s="10"/>
      <c r="KO3" s="10"/>
      <c r="KP3" s="10"/>
      <c r="KQ3" s="10"/>
      <c r="KR3" s="10"/>
      <c r="KS3" s="10"/>
      <c r="KT3" s="10"/>
      <c r="KU3" s="10"/>
      <c r="KV3" s="10"/>
      <c r="KW3" s="10"/>
      <c r="KX3" s="10"/>
      <c r="KY3" s="10"/>
      <c r="KZ3" s="10"/>
      <c r="LA3" s="10"/>
      <c r="LB3" s="10"/>
      <c r="LC3" s="10"/>
      <c r="LD3" s="10"/>
    </row>
    <row r="4" spans="1:316" ht="15.75" customHeight="1" x14ac:dyDescent="0.25">
      <c r="A4" s="106"/>
      <c r="B4" s="103"/>
      <c r="C4" s="6">
        <v>2</v>
      </c>
      <c r="D4" s="6">
        <f t="shared" ref="D4:D11" si="100">D3+1</f>
        <v>2</v>
      </c>
      <c r="E4" s="6">
        <v>5</v>
      </c>
      <c r="F4" s="7">
        <f t="shared" ref="F4:F11" si="101">E4+F3</f>
        <v>9</v>
      </c>
      <c r="G4" s="18">
        <v>5</v>
      </c>
      <c r="H4" s="6">
        <f t="shared" ref="H4:H11" si="102">G4+H3</f>
        <v>9</v>
      </c>
      <c r="I4" s="19">
        <v>2</v>
      </c>
      <c r="J4" s="6">
        <f t="shared" ref="J4:J11" si="103">I4+J3</f>
        <v>4</v>
      </c>
      <c r="K4" s="6">
        <f t="shared" si="0"/>
        <v>1</v>
      </c>
      <c r="L4" s="6">
        <f t="shared" ref="L4:L11" si="104">K4+L3</f>
        <v>2</v>
      </c>
      <c r="M4" s="6">
        <f t="shared" si="1"/>
        <v>0</v>
      </c>
      <c r="N4" s="6">
        <f t="shared" ref="N4:N11" si="105">M4+N3</f>
        <v>0</v>
      </c>
      <c r="O4" s="6">
        <f t="shared" si="2"/>
        <v>0</v>
      </c>
      <c r="P4" s="6">
        <f t="shared" ref="P4:P11" si="106">O4+P3</f>
        <v>0</v>
      </c>
      <c r="Q4" s="6">
        <f t="shared" si="3"/>
        <v>1</v>
      </c>
      <c r="R4" s="6">
        <f t="shared" ref="R4:R11" si="107">Q4+R3</f>
        <v>2</v>
      </c>
      <c r="S4" s="6">
        <f t="shared" si="4"/>
        <v>0</v>
      </c>
      <c r="T4" s="6">
        <f t="shared" ref="T4:T11" si="108">S4+T3</f>
        <v>0</v>
      </c>
      <c r="U4" s="6">
        <f t="shared" si="5"/>
        <v>0</v>
      </c>
      <c r="V4" s="6">
        <f t="shared" ref="V4:V11" si="109">U4+V3</f>
        <v>0</v>
      </c>
      <c r="W4" s="6">
        <f t="shared" si="6"/>
        <v>0</v>
      </c>
      <c r="X4" s="6">
        <f t="shared" ref="X4:X11" si="110">W4+X3</f>
        <v>0</v>
      </c>
      <c r="Y4" s="6">
        <f t="shared" si="7"/>
        <v>0</v>
      </c>
      <c r="Z4" s="6">
        <f t="shared" ref="Z4:Z11" si="111">Y4+Z3</f>
        <v>0</v>
      </c>
      <c r="AA4" s="6">
        <f t="shared" si="8"/>
        <v>1</v>
      </c>
      <c r="AB4" s="6">
        <f t="shared" ref="AB4:AB11" si="112">AA4+AB3</f>
        <v>2</v>
      </c>
      <c r="AC4" s="6">
        <f t="shared" si="9"/>
        <v>0</v>
      </c>
      <c r="AD4" s="6">
        <f t="shared" ref="AD4:AD11" si="113">AC4+AD3</f>
        <v>0</v>
      </c>
      <c r="AE4" s="6"/>
      <c r="AF4" s="6"/>
      <c r="AG4" s="6">
        <f>IF($E4=5,G4-5,NA())</f>
        <v>0</v>
      </c>
      <c r="AH4" s="20">
        <f>G4-'Zusammenfassung Tag1-4'!$B$2/18</f>
        <v>3.8888888888888888</v>
      </c>
      <c r="AI4" s="21">
        <f t="shared" ref="AI4:AI11" si="114">AH4+AI3</f>
        <v>6.7777777777777777</v>
      </c>
      <c r="AJ4" s="18">
        <v>5</v>
      </c>
      <c r="AK4" s="6">
        <f t="shared" ref="AK4:AK11" si="115">AJ4+AK3</f>
        <v>9</v>
      </c>
      <c r="AL4" s="19">
        <v>2</v>
      </c>
      <c r="AM4" s="6">
        <f t="shared" ref="AM4:AM11" si="116">AL4+AM3</f>
        <v>4</v>
      </c>
      <c r="AN4" s="6">
        <f t="shared" si="10"/>
        <v>1</v>
      </c>
      <c r="AO4" s="6">
        <f t="shared" ref="AO4:AO11" si="117">AN4+AO3</f>
        <v>2</v>
      </c>
      <c r="AP4" s="6">
        <f t="shared" si="11"/>
        <v>0</v>
      </c>
      <c r="AQ4" s="6">
        <f t="shared" ref="AQ4:AQ11" si="118">AP4+AQ3</f>
        <v>0</v>
      </c>
      <c r="AR4" s="6">
        <f t="shared" si="12"/>
        <v>0</v>
      </c>
      <c r="AS4" s="6">
        <f t="shared" ref="AS4:AS11" si="119">AR4+AS3</f>
        <v>0</v>
      </c>
      <c r="AT4" s="6">
        <f t="shared" si="13"/>
        <v>1</v>
      </c>
      <c r="AU4" s="6">
        <f t="shared" ref="AU4:AU11" si="120">AT4+AU3</f>
        <v>2</v>
      </c>
      <c r="AV4" s="6">
        <f t="shared" si="14"/>
        <v>0</v>
      </c>
      <c r="AW4" s="6">
        <f t="shared" ref="AW4:AW11" si="121">AV4+AW3</f>
        <v>0</v>
      </c>
      <c r="AX4" s="6">
        <f t="shared" si="15"/>
        <v>0</v>
      </c>
      <c r="AY4" s="6">
        <f t="shared" ref="AY4:AY11" si="122">AX4+AY3</f>
        <v>0</v>
      </c>
      <c r="AZ4" s="6">
        <f t="shared" si="16"/>
        <v>0</v>
      </c>
      <c r="BA4" s="6">
        <f t="shared" ref="BA4:BA11" si="123">AZ4+BA3</f>
        <v>0</v>
      </c>
      <c r="BB4" s="6">
        <f t="shared" si="17"/>
        <v>0</v>
      </c>
      <c r="BC4" s="6">
        <f t="shared" ref="BC4:BC11" si="124">BB4+BC3</f>
        <v>0</v>
      </c>
      <c r="BD4" s="6">
        <f t="shared" si="18"/>
        <v>1</v>
      </c>
      <c r="BE4" s="6">
        <f t="shared" ref="BE4:BE11" si="125">BD4+BE3</f>
        <v>2</v>
      </c>
      <c r="BF4" s="6">
        <f t="shared" si="19"/>
        <v>0</v>
      </c>
      <c r="BG4" s="6">
        <f t="shared" ref="BG4:BG11" si="126">BF4+BG3</f>
        <v>0</v>
      </c>
      <c r="BH4" s="6"/>
      <c r="BI4" s="6"/>
      <c r="BJ4" s="6">
        <f>IF($E4=5,AJ4-5,NA())</f>
        <v>0</v>
      </c>
      <c r="BK4" s="20">
        <f>AJ4-'Zusammenfassung Tag1-4'!$C$2/18</f>
        <v>4.333333333333333</v>
      </c>
      <c r="BL4" s="21">
        <f t="shared" ref="BL4:BL11" si="127">BK4+BL3</f>
        <v>7.6666666666666661</v>
      </c>
      <c r="BM4" s="18">
        <v>8</v>
      </c>
      <c r="BN4" s="6">
        <f t="shared" ref="BN4:BN11" si="128">BM4+BN3</f>
        <v>12</v>
      </c>
      <c r="BO4" s="19">
        <v>3</v>
      </c>
      <c r="BP4" s="6">
        <f t="shared" ref="BP4:BP11" si="129">BO4+BP3</f>
        <v>4</v>
      </c>
      <c r="BQ4" s="6">
        <f t="shared" si="20"/>
        <v>0</v>
      </c>
      <c r="BR4" s="6">
        <f t="shared" ref="BR4:BR11" si="130">BQ4+BR3</f>
        <v>0</v>
      </c>
      <c r="BS4" s="6">
        <f t="shared" si="21"/>
        <v>0</v>
      </c>
      <c r="BT4" s="6">
        <f t="shared" ref="BT4:BT11" si="131">BS4+BT3</f>
        <v>1</v>
      </c>
      <c r="BU4" s="6">
        <f t="shared" si="22"/>
        <v>0</v>
      </c>
      <c r="BV4" s="6">
        <f t="shared" ref="BV4:BV11" si="132">BU4+BV3</f>
        <v>0</v>
      </c>
      <c r="BW4" s="6">
        <f t="shared" si="23"/>
        <v>0</v>
      </c>
      <c r="BX4" s="6">
        <f t="shared" ref="BX4:BX11" si="133">BW4+BX3</f>
        <v>1</v>
      </c>
      <c r="BY4" s="6">
        <f t="shared" si="24"/>
        <v>0</v>
      </c>
      <c r="BZ4" s="6">
        <f t="shared" ref="BZ4:BZ11" si="134">BY4+BZ3</f>
        <v>0</v>
      </c>
      <c r="CA4" s="6">
        <f t="shared" si="25"/>
        <v>1</v>
      </c>
      <c r="CB4" s="6">
        <f t="shared" ref="CB4:CB11" si="135">CA4+CB3</f>
        <v>1</v>
      </c>
      <c r="CC4" s="6">
        <f t="shared" si="26"/>
        <v>0</v>
      </c>
      <c r="CD4" s="6">
        <f t="shared" ref="CD4:CD11" si="136">CC4+CD3</f>
        <v>0</v>
      </c>
      <c r="CE4" s="6">
        <f t="shared" si="27"/>
        <v>0</v>
      </c>
      <c r="CF4" s="6">
        <f t="shared" ref="CF4:CF11" si="137">CE4+CF3</f>
        <v>1</v>
      </c>
      <c r="CG4" s="6">
        <f t="shared" si="28"/>
        <v>0</v>
      </c>
      <c r="CH4" s="6">
        <f t="shared" ref="CH4:CH11" si="138">CG4+CH3</f>
        <v>0</v>
      </c>
      <c r="CI4" s="6">
        <f t="shared" si="29"/>
        <v>1</v>
      </c>
      <c r="CJ4" s="6">
        <f t="shared" ref="CJ4:CJ11" si="139">CI4+CJ3</f>
        <v>1</v>
      </c>
      <c r="CK4" s="6"/>
      <c r="CL4" s="6"/>
      <c r="CM4" s="6">
        <f>IF($E4=5,BM4-5,NA())</f>
        <v>3</v>
      </c>
      <c r="CN4" s="20">
        <f>BM4-'Zusammenfassung Tag1-4'!$D$2/18</f>
        <v>6.666666666666667</v>
      </c>
      <c r="CO4" s="21">
        <f t="shared" ref="CO4:CO11" si="140">CN4+CO3</f>
        <v>9.3333333333333339</v>
      </c>
      <c r="CP4" s="18">
        <v>7</v>
      </c>
      <c r="CQ4" s="6">
        <f t="shared" ref="CQ4:CQ11" si="141">CP4+CQ3</f>
        <v>11</v>
      </c>
      <c r="CR4" s="19">
        <v>2</v>
      </c>
      <c r="CS4" s="6">
        <f t="shared" ref="CS4:CS11" si="142">CR4+CS3</f>
        <v>4</v>
      </c>
      <c r="CT4" s="6">
        <f t="shared" si="30"/>
        <v>0</v>
      </c>
      <c r="CU4" s="6">
        <f t="shared" ref="CU4:CU11" si="143">CT4+CU3</f>
        <v>1</v>
      </c>
      <c r="CV4" s="6">
        <f t="shared" si="31"/>
        <v>0</v>
      </c>
      <c r="CW4" s="6">
        <f t="shared" ref="CW4:CW11" si="144">CV4+CW3</f>
        <v>0</v>
      </c>
      <c r="CX4" s="6">
        <f t="shared" si="32"/>
        <v>0</v>
      </c>
      <c r="CY4" s="6">
        <f t="shared" ref="CY4:CY11" si="145">CX4+CY3</f>
        <v>0</v>
      </c>
      <c r="CZ4" s="6">
        <f t="shared" si="33"/>
        <v>0</v>
      </c>
      <c r="DA4" s="6">
        <f t="shared" ref="DA4:DA11" si="146">CZ4+DA3</f>
        <v>1</v>
      </c>
      <c r="DB4" s="6">
        <f t="shared" si="34"/>
        <v>0</v>
      </c>
      <c r="DC4" s="6">
        <f t="shared" ref="DC4:DC11" si="147">DB4+DC3</f>
        <v>0</v>
      </c>
      <c r="DD4" s="6">
        <f t="shared" si="35"/>
        <v>1</v>
      </c>
      <c r="DE4" s="6">
        <f t="shared" ref="DE4:DE11" si="148">DD4+DE3</f>
        <v>1</v>
      </c>
      <c r="DF4" s="6">
        <f t="shared" si="36"/>
        <v>0</v>
      </c>
      <c r="DG4" s="6">
        <f t="shared" ref="DG4:DG11" si="149">DF4+DG3</f>
        <v>0</v>
      </c>
      <c r="DH4" s="6">
        <f t="shared" si="37"/>
        <v>0</v>
      </c>
      <c r="DI4" s="6">
        <f t="shared" ref="DI4:DI11" si="150">DH4+DI3</f>
        <v>0</v>
      </c>
      <c r="DJ4" s="6">
        <f t="shared" si="38"/>
        <v>1</v>
      </c>
      <c r="DK4" s="6">
        <f t="shared" ref="DK4:DK11" si="151">DJ4+DK3</f>
        <v>2</v>
      </c>
      <c r="DL4" s="6">
        <f t="shared" si="39"/>
        <v>0</v>
      </c>
      <c r="DM4" s="6">
        <f t="shared" ref="DM4:DM11" si="152">DL4+DM3</f>
        <v>0</v>
      </c>
      <c r="DN4" s="6"/>
      <c r="DO4" s="6"/>
      <c r="DP4" s="6">
        <f>IF($E4=5,CP4-5,NA())</f>
        <v>2</v>
      </c>
      <c r="DQ4" s="20">
        <f>CP4-'Zusammenfassung Tag1-4'!$E$2/18</f>
        <v>5.7222222222222223</v>
      </c>
      <c r="DR4" s="22">
        <f t="shared" ref="DR4:DR11" si="153">DQ4+DR3</f>
        <v>8.4444444444444446</v>
      </c>
      <c r="DS4" s="18">
        <v>10</v>
      </c>
      <c r="DT4" s="6">
        <f t="shared" ref="DT4:DT11" si="154">DS4+DT3</f>
        <v>17</v>
      </c>
      <c r="DU4" s="19">
        <v>2</v>
      </c>
      <c r="DV4" s="6">
        <f t="shared" ref="DV4:DV11" si="155">DU4+DV3</f>
        <v>4</v>
      </c>
      <c r="DW4" s="6">
        <f t="shared" si="40"/>
        <v>0</v>
      </c>
      <c r="DX4" s="6">
        <f t="shared" ref="DX4:DX11" si="156">DW4+DX3</f>
        <v>0</v>
      </c>
      <c r="DY4" s="6">
        <f t="shared" si="41"/>
        <v>0</v>
      </c>
      <c r="DZ4" s="6">
        <f t="shared" ref="DZ4:DZ11" si="157">DY4+DZ3</f>
        <v>0</v>
      </c>
      <c r="EA4" s="6">
        <f t="shared" si="42"/>
        <v>0</v>
      </c>
      <c r="EB4" s="6">
        <f t="shared" ref="EB4:EB11" si="158">EA4+EB3</f>
        <v>0</v>
      </c>
      <c r="EC4" s="6">
        <f t="shared" si="43"/>
        <v>0</v>
      </c>
      <c r="ED4" s="6">
        <f t="shared" ref="ED4:ED11" si="159">EC4+ED3</f>
        <v>0</v>
      </c>
      <c r="EE4" s="6">
        <f t="shared" si="44"/>
        <v>0</v>
      </c>
      <c r="EF4" s="6">
        <f t="shared" ref="EF4:EF11" si="160">EE4+EF3</f>
        <v>0</v>
      </c>
      <c r="EG4" s="6">
        <f t="shared" si="45"/>
        <v>1</v>
      </c>
      <c r="EH4" s="6">
        <f t="shared" ref="EH4:EH11" si="161">EG4+EH3</f>
        <v>2</v>
      </c>
      <c r="EI4" s="6">
        <f t="shared" si="46"/>
        <v>0</v>
      </c>
      <c r="EJ4" s="6">
        <f t="shared" ref="EJ4:EJ11" si="162">EI4+EJ3</f>
        <v>0</v>
      </c>
      <c r="EK4" s="6">
        <f t="shared" si="47"/>
        <v>0</v>
      </c>
      <c r="EL4" s="6">
        <f t="shared" ref="EL4:EL11" si="163">EK4+EL3</f>
        <v>0</v>
      </c>
      <c r="EM4" s="6">
        <f t="shared" si="48"/>
        <v>1</v>
      </c>
      <c r="EN4" s="6">
        <f t="shared" ref="EN4:EN11" si="164">EM4+EN3</f>
        <v>2</v>
      </c>
      <c r="EO4" s="6">
        <f t="shared" si="49"/>
        <v>0</v>
      </c>
      <c r="EP4" s="6">
        <f t="shared" ref="EP4:EP11" si="165">EO4+EP3</f>
        <v>0</v>
      </c>
      <c r="EQ4" s="6"/>
      <c r="ER4" s="6"/>
      <c r="ES4" s="6">
        <f>IF($E4=5,DS4-5,NA())</f>
        <v>5</v>
      </c>
      <c r="ET4" s="20">
        <f>DS4-'Zusammenfassung Tag1-4'!$F$2/18</f>
        <v>7</v>
      </c>
      <c r="EU4" s="22">
        <f t="shared" ref="EU4:EU11" si="166">ET4+EU3</f>
        <v>11</v>
      </c>
      <c r="EV4" s="18">
        <v>6</v>
      </c>
      <c r="EW4" s="6">
        <f t="shared" ref="EW4:EW11" si="167">EV4+EW3</f>
        <v>10</v>
      </c>
      <c r="EX4" s="19">
        <v>3</v>
      </c>
      <c r="EY4" s="6">
        <f t="shared" ref="EY4:EY11" si="168">EX4+EY3</f>
        <v>5</v>
      </c>
      <c r="EZ4" s="6">
        <f t="shared" si="50"/>
        <v>1</v>
      </c>
      <c r="FA4" s="6">
        <f t="shared" ref="FA4:FA11" si="169">EZ4+FA3</f>
        <v>2</v>
      </c>
      <c r="FB4" s="6">
        <f t="shared" si="51"/>
        <v>0</v>
      </c>
      <c r="FC4" s="6">
        <f t="shared" ref="FC4:FC11" si="170">FB4+FC3</f>
        <v>0</v>
      </c>
      <c r="FD4" s="6">
        <f t="shared" si="52"/>
        <v>0</v>
      </c>
      <c r="FE4" s="6">
        <f t="shared" ref="FE4:FE11" si="171">FD4+FE3</f>
        <v>0</v>
      </c>
      <c r="FF4" s="6">
        <f t="shared" si="53"/>
        <v>0</v>
      </c>
      <c r="FG4" s="6">
        <f t="shared" ref="FG4:FG11" si="172">FF4+FG3</f>
        <v>1</v>
      </c>
      <c r="FH4" s="6">
        <f t="shared" si="54"/>
        <v>1</v>
      </c>
      <c r="FI4" s="6">
        <f t="shared" ref="FI4:FI11" si="173">FH4+FI3</f>
        <v>1</v>
      </c>
      <c r="FJ4" s="6">
        <f t="shared" si="55"/>
        <v>0</v>
      </c>
      <c r="FK4" s="6">
        <f t="shared" ref="FK4:FK11" si="174">FJ4+FK3</f>
        <v>0</v>
      </c>
      <c r="FL4" s="6">
        <f t="shared" si="56"/>
        <v>0</v>
      </c>
      <c r="FM4" s="6">
        <f t="shared" ref="FM4:FM11" si="175">FL4+FM3</f>
        <v>0</v>
      </c>
      <c r="FN4" s="6">
        <f t="shared" si="57"/>
        <v>0</v>
      </c>
      <c r="FO4" s="6">
        <f t="shared" ref="FO4:FO11" si="176">FN4+FO3</f>
        <v>0</v>
      </c>
      <c r="FP4" s="6">
        <f t="shared" si="58"/>
        <v>0</v>
      </c>
      <c r="FQ4" s="6">
        <f t="shared" ref="FQ4:FQ11" si="177">FP4+FQ3</f>
        <v>1</v>
      </c>
      <c r="FR4" s="6">
        <f t="shared" si="59"/>
        <v>1</v>
      </c>
      <c r="FS4" s="6">
        <f t="shared" ref="FS4:FS11" si="178">FR4+FS3</f>
        <v>1</v>
      </c>
      <c r="FT4" s="6"/>
      <c r="FU4" s="6"/>
      <c r="FV4" s="6">
        <f>IF($E4=5,EV4-5,NA())</f>
        <v>1</v>
      </c>
      <c r="FW4" s="20">
        <f>EV4-'Zusammenfassung Tag1-4'!$G$2/18</f>
        <v>4.5</v>
      </c>
      <c r="FX4" s="22">
        <f t="shared" ref="FX4:FX11" si="179">FW4+FX3</f>
        <v>7</v>
      </c>
      <c r="FY4" s="18">
        <v>8</v>
      </c>
      <c r="FZ4" s="6">
        <f t="shared" ref="FZ4:FZ11" si="180">FY4+FZ3</f>
        <v>13</v>
      </c>
      <c r="GA4" s="19">
        <v>3</v>
      </c>
      <c r="GB4" s="6">
        <f t="shared" ref="GB4:GB11" si="181">GA4+GB3</f>
        <v>6</v>
      </c>
      <c r="GC4" s="6">
        <f t="shared" si="60"/>
        <v>0</v>
      </c>
      <c r="GD4" s="6">
        <f t="shared" ref="GD4:GD11" si="182">GC4+GD3</f>
        <v>1</v>
      </c>
      <c r="GE4" s="6">
        <f t="shared" si="61"/>
        <v>0</v>
      </c>
      <c r="GF4" s="6">
        <f t="shared" ref="GF4:GF11" si="183">GE4+GF3</f>
        <v>0</v>
      </c>
      <c r="GG4" s="6">
        <f t="shared" si="62"/>
        <v>0</v>
      </c>
      <c r="GH4" s="6">
        <f t="shared" ref="GH4:GH11" si="184">GG4+GH3</f>
        <v>0</v>
      </c>
      <c r="GI4" s="6">
        <f t="shared" si="63"/>
        <v>0</v>
      </c>
      <c r="GJ4" s="6">
        <f t="shared" ref="GJ4:GJ11" si="185">GI4+GJ3</f>
        <v>0</v>
      </c>
      <c r="GK4" s="6">
        <f t="shared" si="64"/>
        <v>0</v>
      </c>
      <c r="GL4" s="6">
        <f t="shared" ref="GL4:GL11" si="186">GK4+GL3</f>
        <v>1</v>
      </c>
      <c r="GM4" s="6">
        <f t="shared" si="65"/>
        <v>1</v>
      </c>
      <c r="GN4" s="6">
        <f t="shared" ref="GN4:GN11" si="187">GM4+GN3</f>
        <v>1</v>
      </c>
      <c r="GO4" s="6">
        <f t="shared" si="66"/>
        <v>0</v>
      </c>
      <c r="GP4" s="6">
        <f t="shared" ref="GP4:GP11" si="188">GO4+GP3</f>
        <v>0</v>
      </c>
      <c r="GQ4" s="6">
        <f t="shared" si="67"/>
        <v>0</v>
      </c>
      <c r="GR4" s="6">
        <f t="shared" ref="GR4:GR11" si="189">GQ4+GR3</f>
        <v>0</v>
      </c>
      <c r="GS4" s="6">
        <f t="shared" si="68"/>
        <v>0</v>
      </c>
      <c r="GT4" s="6">
        <f t="shared" ref="GT4:GT11" si="190">GS4+GT3</f>
        <v>0</v>
      </c>
      <c r="GU4" s="6">
        <f t="shared" si="69"/>
        <v>1</v>
      </c>
      <c r="GV4" s="6">
        <f t="shared" ref="GV4:GV11" si="191">GU4+GV3</f>
        <v>2</v>
      </c>
      <c r="GW4" s="6"/>
      <c r="GX4" s="6"/>
      <c r="GY4" s="6">
        <f>IF($E4=5,FY4-5,NA())</f>
        <v>3</v>
      </c>
      <c r="GZ4" s="20">
        <f>FY4-'Zusammenfassung Tag1-4'!$H$2/18</f>
        <v>5</v>
      </c>
      <c r="HA4" s="22">
        <f t="shared" ref="HA4:HA11" si="192">GZ4+HA3</f>
        <v>7</v>
      </c>
      <c r="HB4" s="18">
        <v>5</v>
      </c>
      <c r="HC4" s="6">
        <f t="shared" ref="HC4:HC11" si="193">HB4+HC3</f>
        <v>10</v>
      </c>
      <c r="HD4" s="19">
        <v>1</v>
      </c>
      <c r="HE4" s="6">
        <f t="shared" ref="HE4:HE11" si="194">HD4+HE3</f>
        <v>4</v>
      </c>
      <c r="HF4" s="6">
        <f t="shared" si="70"/>
        <v>0</v>
      </c>
      <c r="HG4" s="6">
        <f t="shared" ref="HG4:HG11" si="195">HF4+HG3</f>
        <v>1</v>
      </c>
      <c r="HH4" s="6">
        <f t="shared" si="71"/>
        <v>1</v>
      </c>
      <c r="HI4" s="6">
        <f t="shared" ref="HI4:HI11" si="196">HH4+HI3</f>
        <v>1</v>
      </c>
      <c r="HJ4" s="6">
        <f t="shared" si="72"/>
        <v>0</v>
      </c>
      <c r="HK4" s="6">
        <f t="shared" ref="HK4:HK11" si="197">HJ4+HK3</f>
        <v>0</v>
      </c>
      <c r="HL4" s="6">
        <f t="shared" si="73"/>
        <v>1</v>
      </c>
      <c r="HM4" s="6">
        <f t="shared" ref="HM4:HM11" si="198">HL4+HM3</f>
        <v>1</v>
      </c>
      <c r="HN4" s="6">
        <f t="shared" si="74"/>
        <v>0</v>
      </c>
      <c r="HO4" s="6">
        <f t="shared" ref="HO4:HO11" si="199">HN4+HO3</f>
        <v>1</v>
      </c>
      <c r="HP4" s="6">
        <f t="shared" si="75"/>
        <v>0</v>
      </c>
      <c r="HQ4" s="6">
        <f t="shared" ref="HQ4:HQ11" si="200">HP4+HQ3</f>
        <v>0</v>
      </c>
      <c r="HR4" s="6">
        <f t="shared" si="76"/>
        <v>0</v>
      </c>
      <c r="HS4" s="6">
        <f t="shared" ref="HS4:HS11" si="201">HR4+HS3</f>
        <v>0</v>
      </c>
      <c r="HT4" s="6">
        <f t="shared" si="77"/>
        <v>1</v>
      </c>
      <c r="HU4" s="6">
        <f t="shared" ref="HU4:HU11" si="202">HT4+HU3</f>
        <v>1</v>
      </c>
      <c r="HV4" s="6">
        <f t="shared" si="78"/>
        <v>0</v>
      </c>
      <c r="HW4" s="6">
        <f t="shared" ref="HW4:HW11" si="203">HV4+HW3</f>
        <v>0</v>
      </c>
      <c r="HX4" s="6">
        <f t="shared" si="79"/>
        <v>0</v>
      </c>
      <c r="HY4" s="6">
        <f t="shared" ref="HY4:HY11" si="204">HX4+HY3</f>
        <v>1</v>
      </c>
      <c r="HZ4" s="6"/>
      <c r="IA4" s="6"/>
      <c r="IB4" s="6">
        <f>IF($E4=5,HB4-5,NA())</f>
        <v>0</v>
      </c>
      <c r="IC4" s="20">
        <f>HB4-'Zusammenfassung Tag1-4'!$I$2/18</f>
        <v>4</v>
      </c>
      <c r="ID4" s="22">
        <f t="shared" ref="ID4:ID11" si="205">IC4+ID3</f>
        <v>8</v>
      </c>
      <c r="IE4" s="18"/>
      <c r="IF4" s="6">
        <f t="shared" ref="IF4:IF11" si="206">IE4+IF3</f>
        <v>0</v>
      </c>
      <c r="IG4" s="19"/>
      <c r="IH4" s="6">
        <f t="shared" ref="IH4:IH11" si="207">IG4+IH3</f>
        <v>0</v>
      </c>
      <c r="II4" s="6">
        <f t="shared" si="80"/>
        <v>1</v>
      </c>
      <c r="IJ4" s="6">
        <f t="shared" ref="IJ4:IJ11" si="208">II4+IJ3</f>
        <v>2</v>
      </c>
      <c r="IK4" s="6">
        <f t="shared" si="81"/>
        <v>0</v>
      </c>
      <c r="IL4" s="6">
        <f t="shared" ref="IL4:IL11" si="209">IK4+IL3</f>
        <v>0</v>
      </c>
      <c r="IM4" s="6">
        <f t="shared" si="82"/>
        <v>0</v>
      </c>
      <c r="IN4" s="6">
        <f t="shared" ref="IN4:IN11" si="210">IM4+IN3</f>
        <v>0</v>
      </c>
      <c r="IO4" s="6">
        <f t="shared" si="83"/>
        <v>0</v>
      </c>
      <c r="IP4" s="6">
        <f t="shared" ref="IP4:IP11" si="211">IO4+IP3</f>
        <v>0</v>
      </c>
      <c r="IQ4" s="6">
        <f t="shared" si="84"/>
        <v>0</v>
      </c>
      <c r="IR4" s="6">
        <f t="shared" ref="IR4:IR11" si="212">IQ4+IR3</f>
        <v>0</v>
      </c>
      <c r="IS4" s="6">
        <f t="shared" si="85"/>
        <v>0</v>
      </c>
      <c r="IT4" s="6">
        <f t="shared" ref="IT4:IT11" si="213">IS4+IT3</f>
        <v>0</v>
      </c>
      <c r="IU4" s="6">
        <f t="shared" si="86"/>
        <v>1</v>
      </c>
      <c r="IV4" s="6">
        <f t="shared" ref="IV4:IV11" si="214">IU4+IV3</f>
        <v>2</v>
      </c>
      <c r="IW4" s="6">
        <f t="shared" si="87"/>
        <v>0</v>
      </c>
      <c r="IX4" s="6">
        <f t="shared" ref="IX4:IX11" si="215">IW4+IX3</f>
        <v>0</v>
      </c>
      <c r="IY4" s="6">
        <f t="shared" si="88"/>
        <v>0</v>
      </c>
      <c r="IZ4" s="6">
        <f t="shared" ref="IZ4:IZ11" si="216">IY4+IZ3</f>
        <v>0</v>
      </c>
      <c r="JA4" s="6">
        <f t="shared" si="89"/>
        <v>0</v>
      </c>
      <c r="JB4" s="6">
        <f t="shared" ref="JB4:JB11" si="217">JA4+JB3</f>
        <v>0</v>
      </c>
      <c r="JC4" s="6"/>
      <c r="JD4" s="6"/>
      <c r="JE4" s="6">
        <f>IF($E4=5,IE4-5,NA())</f>
        <v>-5</v>
      </c>
      <c r="JF4" s="20">
        <f>IE4-'Zusammenfassung Tag1-4'!$J$2/18</f>
        <v>-3</v>
      </c>
      <c r="JG4" s="22">
        <f t="shared" ref="JG4:JG11" si="218">JF4+JG3</f>
        <v>-6</v>
      </c>
      <c r="JH4" s="18"/>
      <c r="JI4" s="6">
        <f t="shared" ref="JI4:JI11" si="219">JH4+JI3</f>
        <v>0</v>
      </c>
      <c r="JJ4" s="19"/>
      <c r="JK4" s="6">
        <f t="shared" ref="JK4:JK11" si="220">JJ4+JK3</f>
        <v>0</v>
      </c>
      <c r="JL4" s="6">
        <f t="shared" si="90"/>
        <v>1</v>
      </c>
      <c r="JM4" s="6">
        <f t="shared" ref="JM4:JM11" si="221">JL4+JM3</f>
        <v>2</v>
      </c>
      <c r="JN4" s="6">
        <f t="shared" si="91"/>
        <v>0</v>
      </c>
      <c r="JO4" s="6">
        <f t="shared" ref="JO4:JO11" si="222">JN4+JO3</f>
        <v>0</v>
      </c>
      <c r="JP4" s="6">
        <f t="shared" si="92"/>
        <v>0</v>
      </c>
      <c r="JQ4" s="6">
        <f t="shared" ref="JQ4:JQ11" si="223">JP4+JQ3</f>
        <v>0</v>
      </c>
      <c r="JR4" s="6">
        <f t="shared" si="93"/>
        <v>0</v>
      </c>
      <c r="JS4" s="6">
        <f t="shared" ref="JS4:JS11" si="224">JR4+JS3</f>
        <v>0</v>
      </c>
      <c r="JT4" s="6">
        <f t="shared" si="94"/>
        <v>0</v>
      </c>
      <c r="JU4" s="6">
        <f t="shared" ref="JU4:JU11" si="225">JT4+JU3</f>
        <v>0</v>
      </c>
      <c r="JV4" s="6">
        <f t="shared" si="95"/>
        <v>0</v>
      </c>
      <c r="JW4" s="6">
        <f t="shared" ref="JW4:JW11" si="226">JV4+JW3</f>
        <v>0</v>
      </c>
      <c r="JX4" s="6">
        <f t="shared" si="96"/>
        <v>1</v>
      </c>
      <c r="JY4" s="6">
        <f t="shared" ref="JY4:JY11" si="227">JX4+JY3</f>
        <v>2</v>
      </c>
      <c r="JZ4" s="6">
        <f t="shared" si="97"/>
        <v>0</v>
      </c>
      <c r="KA4" s="6">
        <f t="shared" ref="KA4:KA11" si="228">JZ4+KA3</f>
        <v>0</v>
      </c>
      <c r="KB4" s="6">
        <f t="shared" si="98"/>
        <v>0</v>
      </c>
      <c r="KC4" s="6">
        <f t="shared" ref="KC4:KC11" si="229">KB4+KC3</f>
        <v>0</v>
      </c>
      <c r="KD4" s="6">
        <f t="shared" si="99"/>
        <v>0</v>
      </c>
      <c r="KE4" s="6">
        <f t="shared" ref="KE4:KE11" si="230">KD4+KE3</f>
        <v>0</v>
      </c>
      <c r="KF4" s="6"/>
      <c r="KG4" s="6"/>
      <c r="KH4" s="6">
        <f>IF($E4=5,JH4-5,NA())</f>
        <v>-5</v>
      </c>
      <c r="KI4" s="20">
        <f>JH4-'Zusammenfassung Tag1-4'!$K$2/18</f>
        <v>-0.77777777777777779</v>
      </c>
      <c r="KJ4" s="22">
        <f t="shared" ref="KJ4:KJ11" si="231">KI4+KJ3</f>
        <v>-1.5555555555555556</v>
      </c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</row>
    <row r="5" spans="1:316" ht="15.75" customHeight="1" x14ac:dyDescent="0.25">
      <c r="A5" s="106"/>
      <c r="B5" s="103"/>
      <c r="C5" s="6">
        <v>3</v>
      </c>
      <c r="D5" s="6">
        <f t="shared" si="100"/>
        <v>3</v>
      </c>
      <c r="E5" s="6">
        <v>4</v>
      </c>
      <c r="F5" s="7">
        <f t="shared" si="101"/>
        <v>13</v>
      </c>
      <c r="G5" s="18">
        <v>6</v>
      </c>
      <c r="H5" s="6">
        <f t="shared" si="102"/>
        <v>15</v>
      </c>
      <c r="I5" s="19">
        <v>2</v>
      </c>
      <c r="J5" s="6">
        <f t="shared" si="103"/>
        <v>6</v>
      </c>
      <c r="K5" s="6">
        <f t="shared" si="0"/>
        <v>0</v>
      </c>
      <c r="L5" s="6">
        <f t="shared" si="104"/>
        <v>2</v>
      </c>
      <c r="M5" s="6">
        <f t="shared" si="1"/>
        <v>0</v>
      </c>
      <c r="N5" s="6">
        <f t="shared" si="105"/>
        <v>0</v>
      </c>
      <c r="O5" s="6">
        <f t="shared" si="2"/>
        <v>0</v>
      </c>
      <c r="P5" s="6">
        <f t="shared" si="106"/>
        <v>0</v>
      </c>
      <c r="Q5" s="6">
        <f t="shared" si="3"/>
        <v>0</v>
      </c>
      <c r="R5" s="6">
        <f t="shared" si="107"/>
        <v>2</v>
      </c>
      <c r="S5" s="6">
        <f t="shared" si="4"/>
        <v>0</v>
      </c>
      <c r="T5" s="6">
        <f t="shared" si="108"/>
        <v>0</v>
      </c>
      <c r="U5" s="6">
        <f t="shared" si="5"/>
        <v>1</v>
      </c>
      <c r="V5" s="6">
        <f t="shared" si="109"/>
        <v>1</v>
      </c>
      <c r="W5" s="6">
        <f t="shared" si="6"/>
        <v>0</v>
      </c>
      <c r="X5" s="6">
        <f t="shared" si="110"/>
        <v>0</v>
      </c>
      <c r="Y5" s="6">
        <f t="shared" si="7"/>
        <v>0</v>
      </c>
      <c r="Z5" s="6">
        <f t="shared" si="111"/>
        <v>0</v>
      </c>
      <c r="AA5" s="6">
        <f t="shared" si="8"/>
        <v>1</v>
      </c>
      <c r="AB5" s="6">
        <f t="shared" si="112"/>
        <v>3</v>
      </c>
      <c r="AC5" s="6">
        <f t="shared" si="9"/>
        <v>0</v>
      </c>
      <c r="AD5" s="6">
        <f t="shared" si="113"/>
        <v>0</v>
      </c>
      <c r="AE5" s="6"/>
      <c r="AF5" s="6">
        <f>IF($E5=4,G5-4,NA())</f>
        <v>2</v>
      </c>
      <c r="AG5" s="6"/>
      <c r="AH5" s="20">
        <f>G5-'Zusammenfassung Tag1-4'!$B$2/18</f>
        <v>4.8888888888888893</v>
      </c>
      <c r="AI5" s="21">
        <f t="shared" si="114"/>
        <v>11.666666666666668</v>
      </c>
      <c r="AJ5" s="18">
        <v>4</v>
      </c>
      <c r="AK5" s="6">
        <f t="shared" si="115"/>
        <v>13</v>
      </c>
      <c r="AL5" s="19">
        <v>2</v>
      </c>
      <c r="AM5" s="6">
        <f t="shared" si="116"/>
        <v>6</v>
      </c>
      <c r="AN5" s="6">
        <f t="shared" si="10"/>
        <v>1</v>
      </c>
      <c r="AO5" s="6">
        <f t="shared" si="117"/>
        <v>3</v>
      </c>
      <c r="AP5" s="6">
        <f t="shared" si="11"/>
        <v>0</v>
      </c>
      <c r="AQ5" s="6">
        <f t="shared" si="118"/>
        <v>0</v>
      </c>
      <c r="AR5" s="6">
        <f t="shared" si="12"/>
        <v>0</v>
      </c>
      <c r="AS5" s="6">
        <f t="shared" si="119"/>
        <v>0</v>
      </c>
      <c r="AT5" s="6">
        <f t="shared" si="13"/>
        <v>1</v>
      </c>
      <c r="AU5" s="6">
        <f t="shared" si="120"/>
        <v>3</v>
      </c>
      <c r="AV5" s="6">
        <f t="shared" si="14"/>
        <v>0</v>
      </c>
      <c r="AW5" s="6">
        <f t="shared" si="121"/>
        <v>0</v>
      </c>
      <c r="AX5" s="6">
        <f t="shared" si="15"/>
        <v>0</v>
      </c>
      <c r="AY5" s="6">
        <f t="shared" si="122"/>
        <v>0</v>
      </c>
      <c r="AZ5" s="6">
        <f t="shared" si="16"/>
        <v>0</v>
      </c>
      <c r="BA5" s="6">
        <f t="shared" si="123"/>
        <v>0</v>
      </c>
      <c r="BB5" s="6">
        <f t="shared" si="17"/>
        <v>0</v>
      </c>
      <c r="BC5" s="6">
        <f t="shared" si="124"/>
        <v>0</v>
      </c>
      <c r="BD5" s="6">
        <f t="shared" si="18"/>
        <v>1</v>
      </c>
      <c r="BE5" s="6">
        <f t="shared" si="125"/>
        <v>3</v>
      </c>
      <c r="BF5" s="6">
        <f t="shared" si="19"/>
        <v>0</v>
      </c>
      <c r="BG5" s="6">
        <f t="shared" si="126"/>
        <v>0</v>
      </c>
      <c r="BH5" s="6"/>
      <c r="BI5" s="6">
        <f>IF($E5=4,AJ5-4,NA())</f>
        <v>0</v>
      </c>
      <c r="BJ5" s="6"/>
      <c r="BK5" s="20">
        <f>AJ5-'Zusammenfassung Tag1-4'!$C$2/18</f>
        <v>3.3333333333333335</v>
      </c>
      <c r="BL5" s="21">
        <f t="shared" si="127"/>
        <v>11</v>
      </c>
      <c r="BM5" s="18">
        <v>4</v>
      </c>
      <c r="BN5" s="6">
        <f t="shared" si="128"/>
        <v>16</v>
      </c>
      <c r="BO5" s="19">
        <v>2</v>
      </c>
      <c r="BP5" s="6">
        <f t="shared" si="129"/>
        <v>6</v>
      </c>
      <c r="BQ5" s="6">
        <f t="shared" si="20"/>
        <v>1</v>
      </c>
      <c r="BR5" s="6">
        <f t="shared" si="130"/>
        <v>1</v>
      </c>
      <c r="BS5" s="6">
        <f t="shared" si="21"/>
        <v>0</v>
      </c>
      <c r="BT5" s="6">
        <f t="shared" si="131"/>
        <v>1</v>
      </c>
      <c r="BU5" s="6">
        <f t="shared" si="22"/>
        <v>0</v>
      </c>
      <c r="BV5" s="6">
        <f t="shared" si="132"/>
        <v>0</v>
      </c>
      <c r="BW5" s="6">
        <f t="shared" si="23"/>
        <v>1</v>
      </c>
      <c r="BX5" s="6">
        <f t="shared" si="133"/>
        <v>2</v>
      </c>
      <c r="BY5" s="6">
        <f t="shared" si="24"/>
        <v>0</v>
      </c>
      <c r="BZ5" s="6">
        <f t="shared" si="134"/>
        <v>0</v>
      </c>
      <c r="CA5" s="6">
        <f t="shared" si="25"/>
        <v>0</v>
      </c>
      <c r="CB5" s="6">
        <f t="shared" si="135"/>
        <v>1</v>
      </c>
      <c r="CC5" s="6">
        <f t="shared" si="26"/>
        <v>0</v>
      </c>
      <c r="CD5" s="6">
        <f t="shared" si="136"/>
        <v>0</v>
      </c>
      <c r="CE5" s="6">
        <f t="shared" si="27"/>
        <v>0</v>
      </c>
      <c r="CF5" s="6">
        <f t="shared" si="137"/>
        <v>1</v>
      </c>
      <c r="CG5" s="6">
        <f t="shared" si="28"/>
        <v>1</v>
      </c>
      <c r="CH5" s="6">
        <f t="shared" si="138"/>
        <v>1</v>
      </c>
      <c r="CI5" s="6">
        <f t="shared" si="29"/>
        <v>0</v>
      </c>
      <c r="CJ5" s="6">
        <f t="shared" si="139"/>
        <v>1</v>
      </c>
      <c r="CK5" s="6"/>
      <c r="CL5" s="6">
        <f>IF($E5=4,BM5-4,NA())</f>
        <v>0</v>
      </c>
      <c r="CM5" s="6"/>
      <c r="CN5" s="20">
        <f>BM5-'Zusammenfassung Tag1-4'!$D$2/18</f>
        <v>2.666666666666667</v>
      </c>
      <c r="CO5" s="21">
        <f t="shared" si="140"/>
        <v>12</v>
      </c>
      <c r="CP5" s="18">
        <v>4</v>
      </c>
      <c r="CQ5" s="6">
        <f t="shared" si="141"/>
        <v>15</v>
      </c>
      <c r="CR5" s="19">
        <v>2</v>
      </c>
      <c r="CS5" s="6">
        <f t="shared" si="142"/>
        <v>6</v>
      </c>
      <c r="CT5" s="6">
        <f t="shared" si="30"/>
        <v>1</v>
      </c>
      <c r="CU5" s="6">
        <f t="shared" si="143"/>
        <v>2</v>
      </c>
      <c r="CV5" s="6">
        <f t="shared" si="31"/>
        <v>0</v>
      </c>
      <c r="CW5" s="6">
        <f t="shared" si="144"/>
        <v>0</v>
      </c>
      <c r="CX5" s="6">
        <f t="shared" si="32"/>
        <v>0</v>
      </c>
      <c r="CY5" s="6">
        <f t="shared" si="145"/>
        <v>0</v>
      </c>
      <c r="CZ5" s="6">
        <f t="shared" si="33"/>
        <v>1</v>
      </c>
      <c r="DA5" s="6">
        <f t="shared" si="146"/>
        <v>2</v>
      </c>
      <c r="DB5" s="6">
        <f t="shared" si="34"/>
        <v>0</v>
      </c>
      <c r="DC5" s="6">
        <f t="shared" si="147"/>
        <v>0</v>
      </c>
      <c r="DD5" s="6">
        <f t="shared" si="35"/>
        <v>0</v>
      </c>
      <c r="DE5" s="6">
        <f t="shared" si="148"/>
        <v>1</v>
      </c>
      <c r="DF5" s="6">
        <f t="shared" si="36"/>
        <v>0</v>
      </c>
      <c r="DG5" s="6">
        <f t="shared" si="149"/>
        <v>0</v>
      </c>
      <c r="DH5" s="6">
        <f t="shared" si="37"/>
        <v>0</v>
      </c>
      <c r="DI5" s="6">
        <f t="shared" si="150"/>
        <v>0</v>
      </c>
      <c r="DJ5" s="6">
        <f t="shared" si="38"/>
        <v>1</v>
      </c>
      <c r="DK5" s="6">
        <f t="shared" si="151"/>
        <v>3</v>
      </c>
      <c r="DL5" s="6">
        <f t="shared" si="39"/>
        <v>0</v>
      </c>
      <c r="DM5" s="6">
        <f t="shared" si="152"/>
        <v>0</v>
      </c>
      <c r="DN5" s="6"/>
      <c r="DO5" s="6">
        <f>IF($E5=4,CP5-4,NA())</f>
        <v>0</v>
      </c>
      <c r="DP5" s="6"/>
      <c r="DQ5" s="20">
        <f>CP5-'Zusammenfassung Tag1-4'!$E$2/18</f>
        <v>2.7222222222222223</v>
      </c>
      <c r="DR5" s="22">
        <f t="shared" si="153"/>
        <v>11.166666666666668</v>
      </c>
      <c r="DS5" s="18">
        <v>8</v>
      </c>
      <c r="DT5" s="6">
        <f t="shared" si="154"/>
        <v>25</v>
      </c>
      <c r="DU5" s="19">
        <v>2</v>
      </c>
      <c r="DV5" s="6">
        <f t="shared" si="155"/>
        <v>6</v>
      </c>
      <c r="DW5" s="6">
        <f t="shared" si="40"/>
        <v>0</v>
      </c>
      <c r="DX5" s="6">
        <f t="shared" si="156"/>
        <v>0</v>
      </c>
      <c r="DY5" s="6">
        <f t="shared" si="41"/>
        <v>0</v>
      </c>
      <c r="DZ5" s="6">
        <f t="shared" si="157"/>
        <v>0</v>
      </c>
      <c r="EA5" s="6">
        <f t="shared" si="42"/>
        <v>0</v>
      </c>
      <c r="EB5" s="6">
        <f t="shared" si="158"/>
        <v>0</v>
      </c>
      <c r="EC5" s="6">
        <f t="shared" si="43"/>
        <v>0</v>
      </c>
      <c r="ED5" s="6">
        <f t="shared" si="159"/>
        <v>0</v>
      </c>
      <c r="EE5" s="6">
        <f t="shared" si="44"/>
        <v>0</v>
      </c>
      <c r="EF5" s="6">
        <f t="shared" si="160"/>
        <v>0</v>
      </c>
      <c r="EG5" s="6">
        <f t="shared" si="45"/>
        <v>1</v>
      </c>
      <c r="EH5" s="6">
        <f t="shared" si="161"/>
        <v>3</v>
      </c>
      <c r="EI5" s="6">
        <f t="shared" si="46"/>
        <v>0</v>
      </c>
      <c r="EJ5" s="6">
        <f t="shared" si="162"/>
        <v>0</v>
      </c>
      <c r="EK5" s="6">
        <f t="shared" si="47"/>
        <v>0</v>
      </c>
      <c r="EL5" s="6">
        <f t="shared" si="163"/>
        <v>0</v>
      </c>
      <c r="EM5" s="6">
        <f t="shared" si="48"/>
        <v>1</v>
      </c>
      <c r="EN5" s="6">
        <f t="shared" si="164"/>
        <v>3</v>
      </c>
      <c r="EO5" s="6">
        <f t="shared" si="49"/>
        <v>0</v>
      </c>
      <c r="EP5" s="6">
        <f t="shared" si="165"/>
        <v>0</v>
      </c>
      <c r="EQ5" s="6"/>
      <c r="ER5" s="6">
        <f>IF($E5=4,DS5-4,NA())</f>
        <v>4</v>
      </c>
      <c r="ES5" s="6"/>
      <c r="ET5" s="20">
        <f>DS5-'Zusammenfassung Tag1-4'!$F$2/18</f>
        <v>5</v>
      </c>
      <c r="EU5" s="22">
        <f t="shared" si="166"/>
        <v>16</v>
      </c>
      <c r="EV5" s="18">
        <v>7</v>
      </c>
      <c r="EW5" s="6">
        <f t="shared" si="167"/>
        <v>17</v>
      </c>
      <c r="EX5" s="19">
        <v>2</v>
      </c>
      <c r="EY5" s="6">
        <f t="shared" si="168"/>
        <v>7</v>
      </c>
      <c r="EZ5" s="6">
        <f t="shared" si="50"/>
        <v>0</v>
      </c>
      <c r="FA5" s="6">
        <f t="shared" si="169"/>
        <v>2</v>
      </c>
      <c r="FB5" s="6">
        <f t="shared" si="51"/>
        <v>0</v>
      </c>
      <c r="FC5" s="6">
        <f t="shared" si="170"/>
        <v>0</v>
      </c>
      <c r="FD5" s="6">
        <f t="shared" si="52"/>
        <v>0</v>
      </c>
      <c r="FE5" s="6">
        <f t="shared" si="171"/>
        <v>0</v>
      </c>
      <c r="FF5" s="6">
        <f t="shared" si="53"/>
        <v>0</v>
      </c>
      <c r="FG5" s="6">
        <f t="shared" si="172"/>
        <v>1</v>
      </c>
      <c r="FH5" s="6">
        <f t="shared" si="54"/>
        <v>0</v>
      </c>
      <c r="FI5" s="6">
        <f t="shared" si="173"/>
        <v>1</v>
      </c>
      <c r="FJ5" s="6">
        <f t="shared" si="55"/>
        <v>1</v>
      </c>
      <c r="FK5" s="6">
        <f t="shared" si="174"/>
        <v>1</v>
      </c>
      <c r="FL5" s="6">
        <f t="shared" si="56"/>
        <v>0</v>
      </c>
      <c r="FM5" s="6">
        <f t="shared" si="175"/>
        <v>0</v>
      </c>
      <c r="FN5" s="6">
        <f t="shared" si="57"/>
        <v>0</v>
      </c>
      <c r="FO5" s="6">
        <f t="shared" si="176"/>
        <v>0</v>
      </c>
      <c r="FP5" s="6">
        <f t="shared" si="58"/>
        <v>1</v>
      </c>
      <c r="FQ5" s="6">
        <f t="shared" si="177"/>
        <v>2</v>
      </c>
      <c r="FR5" s="6">
        <f t="shared" si="59"/>
        <v>0</v>
      </c>
      <c r="FS5" s="6">
        <f t="shared" si="178"/>
        <v>1</v>
      </c>
      <c r="FT5" s="6"/>
      <c r="FU5" s="6">
        <f>IF($E5=4,EV5-4,NA())</f>
        <v>3</v>
      </c>
      <c r="FV5" s="6"/>
      <c r="FW5" s="20">
        <f>EV5-'Zusammenfassung Tag1-4'!$G$2/18</f>
        <v>5.5</v>
      </c>
      <c r="FX5" s="22">
        <f t="shared" si="179"/>
        <v>12.5</v>
      </c>
      <c r="FY5" s="18">
        <v>10</v>
      </c>
      <c r="FZ5" s="6">
        <f t="shared" si="180"/>
        <v>23</v>
      </c>
      <c r="GA5" s="19">
        <v>2</v>
      </c>
      <c r="GB5" s="6">
        <f t="shared" si="181"/>
        <v>8</v>
      </c>
      <c r="GC5" s="6">
        <f t="shared" si="60"/>
        <v>0</v>
      </c>
      <c r="GD5" s="6">
        <f t="shared" si="182"/>
        <v>1</v>
      </c>
      <c r="GE5" s="6">
        <f t="shared" si="61"/>
        <v>0</v>
      </c>
      <c r="GF5" s="6">
        <f t="shared" si="183"/>
        <v>0</v>
      </c>
      <c r="GG5" s="6">
        <f t="shared" si="62"/>
        <v>0</v>
      </c>
      <c r="GH5" s="6">
        <f t="shared" si="184"/>
        <v>0</v>
      </c>
      <c r="GI5" s="6">
        <f t="shared" si="63"/>
        <v>0</v>
      </c>
      <c r="GJ5" s="6">
        <f t="shared" si="185"/>
        <v>0</v>
      </c>
      <c r="GK5" s="6">
        <f t="shared" si="64"/>
        <v>0</v>
      </c>
      <c r="GL5" s="6">
        <f t="shared" si="186"/>
        <v>1</v>
      </c>
      <c r="GM5" s="6">
        <f t="shared" si="65"/>
        <v>1</v>
      </c>
      <c r="GN5" s="6">
        <f t="shared" si="187"/>
        <v>2</v>
      </c>
      <c r="GO5" s="6">
        <f t="shared" si="66"/>
        <v>0</v>
      </c>
      <c r="GP5" s="6">
        <f t="shared" si="188"/>
        <v>0</v>
      </c>
      <c r="GQ5" s="6">
        <f t="shared" si="67"/>
        <v>0</v>
      </c>
      <c r="GR5" s="6">
        <f t="shared" si="189"/>
        <v>0</v>
      </c>
      <c r="GS5" s="6">
        <f t="shared" si="68"/>
        <v>1</v>
      </c>
      <c r="GT5" s="6">
        <f t="shared" si="190"/>
        <v>1</v>
      </c>
      <c r="GU5" s="6">
        <f t="shared" si="69"/>
        <v>0</v>
      </c>
      <c r="GV5" s="6">
        <f t="shared" si="191"/>
        <v>2</v>
      </c>
      <c r="GW5" s="6"/>
      <c r="GX5" s="6">
        <f>IF($E5=4,FY5-4,NA())</f>
        <v>6</v>
      </c>
      <c r="GY5" s="6"/>
      <c r="GZ5" s="20">
        <f>FY5-'Zusammenfassung Tag1-4'!$H$2/18</f>
        <v>7</v>
      </c>
      <c r="HA5" s="22">
        <f t="shared" si="192"/>
        <v>14</v>
      </c>
      <c r="HB5" s="18">
        <v>4</v>
      </c>
      <c r="HC5" s="6">
        <f t="shared" si="193"/>
        <v>14</v>
      </c>
      <c r="HD5" s="19">
        <v>2</v>
      </c>
      <c r="HE5" s="6">
        <f t="shared" si="194"/>
        <v>6</v>
      </c>
      <c r="HF5" s="6">
        <f t="shared" si="70"/>
        <v>1</v>
      </c>
      <c r="HG5" s="6">
        <f t="shared" si="195"/>
        <v>2</v>
      </c>
      <c r="HH5" s="6">
        <f t="shared" si="71"/>
        <v>0</v>
      </c>
      <c r="HI5" s="6">
        <f t="shared" si="196"/>
        <v>1</v>
      </c>
      <c r="HJ5" s="6">
        <f t="shared" si="72"/>
        <v>0</v>
      </c>
      <c r="HK5" s="6">
        <f t="shared" si="197"/>
        <v>0</v>
      </c>
      <c r="HL5" s="6">
        <f t="shared" si="73"/>
        <v>1</v>
      </c>
      <c r="HM5" s="6">
        <f t="shared" si="198"/>
        <v>2</v>
      </c>
      <c r="HN5" s="6">
        <f t="shared" si="74"/>
        <v>0</v>
      </c>
      <c r="HO5" s="6">
        <f t="shared" si="199"/>
        <v>1</v>
      </c>
      <c r="HP5" s="6">
        <f t="shared" si="75"/>
        <v>0</v>
      </c>
      <c r="HQ5" s="6">
        <f t="shared" si="200"/>
        <v>0</v>
      </c>
      <c r="HR5" s="6">
        <f t="shared" si="76"/>
        <v>0</v>
      </c>
      <c r="HS5" s="6">
        <f t="shared" si="201"/>
        <v>0</v>
      </c>
      <c r="HT5" s="6">
        <f t="shared" si="77"/>
        <v>0</v>
      </c>
      <c r="HU5" s="6">
        <f t="shared" si="202"/>
        <v>1</v>
      </c>
      <c r="HV5" s="6">
        <f t="shared" si="78"/>
        <v>1</v>
      </c>
      <c r="HW5" s="6">
        <f t="shared" si="203"/>
        <v>1</v>
      </c>
      <c r="HX5" s="6">
        <f t="shared" si="79"/>
        <v>0</v>
      </c>
      <c r="HY5" s="6">
        <f t="shared" si="204"/>
        <v>1</v>
      </c>
      <c r="HZ5" s="6"/>
      <c r="IA5" s="6">
        <f>IF($E5=4,HB5-4,NA())</f>
        <v>0</v>
      </c>
      <c r="IB5" s="6"/>
      <c r="IC5" s="20">
        <f>HB5-'Zusammenfassung Tag1-4'!$I$2/18</f>
        <v>3</v>
      </c>
      <c r="ID5" s="22">
        <f t="shared" si="205"/>
        <v>11</v>
      </c>
      <c r="IE5" s="18"/>
      <c r="IF5" s="6">
        <f t="shared" si="206"/>
        <v>0</v>
      </c>
      <c r="IG5" s="19"/>
      <c r="IH5" s="6">
        <f t="shared" si="207"/>
        <v>0</v>
      </c>
      <c r="II5" s="6">
        <f t="shared" si="80"/>
        <v>1</v>
      </c>
      <c r="IJ5" s="6">
        <f t="shared" si="208"/>
        <v>3</v>
      </c>
      <c r="IK5" s="6">
        <f t="shared" si="81"/>
        <v>0</v>
      </c>
      <c r="IL5" s="6">
        <f t="shared" si="209"/>
        <v>0</v>
      </c>
      <c r="IM5" s="6">
        <f t="shared" si="82"/>
        <v>0</v>
      </c>
      <c r="IN5" s="6">
        <f t="shared" si="210"/>
        <v>0</v>
      </c>
      <c r="IO5" s="6">
        <f t="shared" si="83"/>
        <v>0</v>
      </c>
      <c r="IP5" s="6">
        <f t="shared" si="211"/>
        <v>0</v>
      </c>
      <c r="IQ5" s="6">
        <f t="shared" si="84"/>
        <v>0</v>
      </c>
      <c r="IR5" s="6">
        <f t="shared" si="212"/>
        <v>0</v>
      </c>
      <c r="IS5" s="6">
        <f t="shared" si="85"/>
        <v>0</v>
      </c>
      <c r="IT5" s="6">
        <f t="shared" si="213"/>
        <v>0</v>
      </c>
      <c r="IU5" s="6">
        <f t="shared" si="86"/>
        <v>1</v>
      </c>
      <c r="IV5" s="6">
        <f t="shared" si="214"/>
        <v>3</v>
      </c>
      <c r="IW5" s="6">
        <f t="shared" si="87"/>
        <v>0</v>
      </c>
      <c r="IX5" s="6">
        <f t="shared" si="215"/>
        <v>0</v>
      </c>
      <c r="IY5" s="6">
        <f t="shared" si="88"/>
        <v>0</v>
      </c>
      <c r="IZ5" s="6">
        <f t="shared" si="216"/>
        <v>0</v>
      </c>
      <c r="JA5" s="6">
        <f t="shared" si="89"/>
        <v>0</v>
      </c>
      <c r="JB5" s="6">
        <f t="shared" si="217"/>
        <v>0</v>
      </c>
      <c r="JC5" s="6"/>
      <c r="JD5" s="6">
        <f>IF($E5=4,IE5-4,NA())</f>
        <v>-4</v>
      </c>
      <c r="JE5" s="6"/>
      <c r="JF5" s="20">
        <f>IE5-'Zusammenfassung Tag1-4'!$J$2/18</f>
        <v>-3</v>
      </c>
      <c r="JG5" s="22">
        <f t="shared" si="218"/>
        <v>-9</v>
      </c>
      <c r="JH5" s="18"/>
      <c r="JI5" s="6">
        <f t="shared" si="219"/>
        <v>0</v>
      </c>
      <c r="JJ5" s="19"/>
      <c r="JK5" s="6">
        <f t="shared" si="220"/>
        <v>0</v>
      </c>
      <c r="JL5" s="6">
        <f t="shared" si="90"/>
        <v>1</v>
      </c>
      <c r="JM5" s="6">
        <f t="shared" si="221"/>
        <v>3</v>
      </c>
      <c r="JN5" s="6">
        <f t="shared" si="91"/>
        <v>0</v>
      </c>
      <c r="JO5" s="6">
        <f t="shared" si="222"/>
        <v>0</v>
      </c>
      <c r="JP5" s="6">
        <f t="shared" si="92"/>
        <v>0</v>
      </c>
      <c r="JQ5" s="6">
        <f t="shared" si="223"/>
        <v>0</v>
      </c>
      <c r="JR5" s="6">
        <f t="shared" si="93"/>
        <v>0</v>
      </c>
      <c r="JS5" s="6">
        <f t="shared" si="224"/>
        <v>0</v>
      </c>
      <c r="JT5" s="6">
        <f t="shared" si="94"/>
        <v>0</v>
      </c>
      <c r="JU5" s="6">
        <f t="shared" si="225"/>
        <v>0</v>
      </c>
      <c r="JV5" s="6">
        <f t="shared" si="95"/>
        <v>0</v>
      </c>
      <c r="JW5" s="6">
        <f t="shared" si="226"/>
        <v>0</v>
      </c>
      <c r="JX5" s="6">
        <f t="shared" si="96"/>
        <v>1</v>
      </c>
      <c r="JY5" s="6">
        <f t="shared" si="227"/>
        <v>3</v>
      </c>
      <c r="JZ5" s="6">
        <f t="shared" si="97"/>
        <v>0</v>
      </c>
      <c r="KA5" s="6">
        <f t="shared" si="228"/>
        <v>0</v>
      </c>
      <c r="KB5" s="6">
        <f t="shared" si="98"/>
        <v>0</v>
      </c>
      <c r="KC5" s="6">
        <f t="shared" si="229"/>
        <v>0</v>
      </c>
      <c r="KD5" s="6">
        <f t="shared" si="99"/>
        <v>0</v>
      </c>
      <c r="KE5" s="6">
        <f t="shared" si="230"/>
        <v>0</v>
      </c>
      <c r="KF5" s="6"/>
      <c r="KG5" s="6">
        <f>IF($E5=4,JH5-4,NA())</f>
        <v>-4</v>
      </c>
      <c r="KH5" s="6"/>
      <c r="KI5" s="20">
        <f>JH5-'Zusammenfassung Tag1-4'!$K$2/18</f>
        <v>-0.77777777777777779</v>
      </c>
      <c r="KJ5" s="22">
        <f t="shared" si="231"/>
        <v>-2.3333333333333335</v>
      </c>
      <c r="KK5" s="10"/>
      <c r="KL5" s="10"/>
      <c r="KM5" s="10"/>
      <c r="KN5" s="10"/>
      <c r="KO5" s="10"/>
      <c r="KP5" s="10"/>
      <c r="KQ5" s="10"/>
      <c r="KR5" s="10"/>
      <c r="KS5" s="10"/>
      <c r="KT5" s="10"/>
      <c r="KU5" s="10"/>
      <c r="KV5" s="10"/>
      <c r="KW5" s="10"/>
      <c r="KX5" s="10"/>
      <c r="KY5" s="10"/>
      <c r="KZ5" s="10"/>
      <c r="LA5" s="10"/>
      <c r="LB5" s="10"/>
      <c r="LC5" s="10"/>
      <c r="LD5" s="10"/>
    </row>
    <row r="6" spans="1:316" ht="15.75" customHeight="1" x14ac:dyDescent="0.25">
      <c r="A6" s="106"/>
      <c r="B6" s="103"/>
      <c r="C6" s="6">
        <v>4</v>
      </c>
      <c r="D6" s="6">
        <f t="shared" si="100"/>
        <v>4</v>
      </c>
      <c r="E6" s="6">
        <v>3</v>
      </c>
      <c r="F6" s="7">
        <f t="shared" si="101"/>
        <v>16</v>
      </c>
      <c r="G6" s="18">
        <v>5</v>
      </c>
      <c r="H6" s="6">
        <f t="shared" si="102"/>
        <v>20</v>
      </c>
      <c r="I6" s="19">
        <v>4</v>
      </c>
      <c r="J6" s="6">
        <f t="shared" si="103"/>
        <v>10</v>
      </c>
      <c r="K6" s="6">
        <f t="shared" si="0"/>
        <v>1</v>
      </c>
      <c r="L6" s="6">
        <f t="shared" si="104"/>
        <v>3</v>
      </c>
      <c r="M6" s="6">
        <f t="shared" si="1"/>
        <v>0</v>
      </c>
      <c r="N6" s="6">
        <f t="shared" si="105"/>
        <v>0</v>
      </c>
      <c r="O6" s="6">
        <f t="shared" si="2"/>
        <v>0</v>
      </c>
      <c r="P6" s="6">
        <f t="shared" si="106"/>
        <v>0</v>
      </c>
      <c r="Q6" s="6">
        <f t="shared" si="3"/>
        <v>0</v>
      </c>
      <c r="R6" s="6">
        <f t="shared" si="107"/>
        <v>2</v>
      </c>
      <c r="S6" s="6">
        <f t="shared" si="4"/>
        <v>0</v>
      </c>
      <c r="T6" s="6">
        <f t="shared" si="108"/>
        <v>0</v>
      </c>
      <c r="U6" s="6">
        <f t="shared" si="5"/>
        <v>1</v>
      </c>
      <c r="V6" s="6">
        <f t="shared" si="109"/>
        <v>2</v>
      </c>
      <c r="W6" s="6">
        <f t="shared" si="6"/>
        <v>0</v>
      </c>
      <c r="X6" s="6">
        <f t="shared" si="110"/>
        <v>0</v>
      </c>
      <c r="Y6" s="6">
        <f t="shared" si="7"/>
        <v>0</v>
      </c>
      <c r="Z6" s="6">
        <f t="shared" si="111"/>
        <v>0</v>
      </c>
      <c r="AA6" s="6">
        <f t="shared" si="8"/>
        <v>0</v>
      </c>
      <c r="AB6" s="6">
        <f t="shared" si="112"/>
        <v>3</v>
      </c>
      <c r="AC6" s="6">
        <f t="shared" si="9"/>
        <v>1</v>
      </c>
      <c r="AD6" s="6">
        <f t="shared" si="113"/>
        <v>1</v>
      </c>
      <c r="AE6" s="6">
        <f>IF($E6=3,G6-3,NA())</f>
        <v>2</v>
      </c>
      <c r="AF6" s="6"/>
      <c r="AG6" s="6"/>
      <c r="AH6" s="20">
        <f>G6-'Zusammenfassung Tag1-4'!$B$2/18</f>
        <v>3.8888888888888888</v>
      </c>
      <c r="AI6" s="21">
        <f t="shared" si="114"/>
        <v>15.555555555555557</v>
      </c>
      <c r="AJ6" s="18">
        <v>4</v>
      </c>
      <c r="AK6" s="6">
        <f t="shared" si="115"/>
        <v>17</v>
      </c>
      <c r="AL6" s="19">
        <v>3</v>
      </c>
      <c r="AM6" s="6">
        <f t="shared" si="116"/>
        <v>9</v>
      </c>
      <c r="AN6" s="6">
        <f t="shared" si="10"/>
        <v>1</v>
      </c>
      <c r="AO6" s="6">
        <f t="shared" si="117"/>
        <v>4</v>
      </c>
      <c r="AP6" s="6">
        <f t="shared" si="11"/>
        <v>0</v>
      </c>
      <c r="AQ6" s="6">
        <f t="shared" si="118"/>
        <v>0</v>
      </c>
      <c r="AR6" s="6">
        <f t="shared" si="12"/>
        <v>0</v>
      </c>
      <c r="AS6" s="6">
        <f t="shared" si="119"/>
        <v>0</v>
      </c>
      <c r="AT6" s="6">
        <f t="shared" si="13"/>
        <v>0</v>
      </c>
      <c r="AU6" s="6">
        <f t="shared" si="120"/>
        <v>3</v>
      </c>
      <c r="AV6" s="6">
        <f t="shared" si="14"/>
        <v>1</v>
      </c>
      <c r="AW6" s="6">
        <f t="shared" si="121"/>
        <v>1</v>
      </c>
      <c r="AX6" s="6">
        <f t="shared" si="15"/>
        <v>0</v>
      </c>
      <c r="AY6" s="6">
        <f t="shared" si="122"/>
        <v>0</v>
      </c>
      <c r="AZ6" s="6">
        <f t="shared" si="16"/>
        <v>0</v>
      </c>
      <c r="BA6" s="6">
        <f t="shared" si="123"/>
        <v>0</v>
      </c>
      <c r="BB6" s="6">
        <f t="shared" si="17"/>
        <v>0</v>
      </c>
      <c r="BC6" s="6">
        <f t="shared" si="124"/>
        <v>0</v>
      </c>
      <c r="BD6" s="6">
        <f t="shared" si="18"/>
        <v>0</v>
      </c>
      <c r="BE6" s="6">
        <f t="shared" si="125"/>
        <v>3</v>
      </c>
      <c r="BF6" s="6">
        <f t="shared" si="19"/>
        <v>1</v>
      </c>
      <c r="BG6" s="6">
        <f t="shared" si="126"/>
        <v>1</v>
      </c>
      <c r="BH6" s="6">
        <f>IF($E6=3,AJ6-3,NA())</f>
        <v>1</v>
      </c>
      <c r="BI6" s="6"/>
      <c r="BJ6" s="6"/>
      <c r="BK6" s="20">
        <f>AJ6-'Zusammenfassung Tag1-4'!$C$2/18</f>
        <v>3.3333333333333335</v>
      </c>
      <c r="BL6" s="21">
        <f t="shared" si="127"/>
        <v>14.333333333333334</v>
      </c>
      <c r="BM6" s="18">
        <v>3</v>
      </c>
      <c r="BN6" s="6">
        <f t="shared" si="128"/>
        <v>19</v>
      </c>
      <c r="BO6" s="19">
        <v>2</v>
      </c>
      <c r="BP6" s="6">
        <f t="shared" si="129"/>
        <v>8</v>
      </c>
      <c r="BQ6" s="6">
        <f t="shared" si="20"/>
        <v>1</v>
      </c>
      <c r="BR6" s="6">
        <f t="shared" si="130"/>
        <v>2</v>
      </c>
      <c r="BS6" s="6">
        <f t="shared" si="21"/>
        <v>0</v>
      </c>
      <c r="BT6" s="6">
        <f t="shared" si="131"/>
        <v>1</v>
      </c>
      <c r="BU6" s="6">
        <f t="shared" si="22"/>
        <v>0</v>
      </c>
      <c r="BV6" s="6">
        <f t="shared" si="132"/>
        <v>0</v>
      </c>
      <c r="BW6" s="6">
        <f t="shared" si="23"/>
        <v>1</v>
      </c>
      <c r="BX6" s="6">
        <f t="shared" si="133"/>
        <v>3</v>
      </c>
      <c r="BY6" s="6">
        <f t="shared" si="24"/>
        <v>0</v>
      </c>
      <c r="BZ6" s="6">
        <f t="shared" si="134"/>
        <v>0</v>
      </c>
      <c r="CA6" s="6">
        <f t="shared" si="25"/>
        <v>0</v>
      </c>
      <c r="CB6" s="6">
        <f t="shared" si="135"/>
        <v>1</v>
      </c>
      <c r="CC6" s="6">
        <f t="shared" si="26"/>
        <v>0</v>
      </c>
      <c r="CD6" s="6">
        <f t="shared" si="136"/>
        <v>0</v>
      </c>
      <c r="CE6" s="6">
        <f t="shared" si="27"/>
        <v>0</v>
      </c>
      <c r="CF6" s="6">
        <f t="shared" si="137"/>
        <v>1</v>
      </c>
      <c r="CG6" s="6">
        <f t="shared" si="28"/>
        <v>1</v>
      </c>
      <c r="CH6" s="6">
        <f t="shared" si="138"/>
        <v>2</v>
      </c>
      <c r="CI6" s="6">
        <f t="shared" si="29"/>
        <v>0</v>
      </c>
      <c r="CJ6" s="6">
        <f t="shared" si="139"/>
        <v>1</v>
      </c>
      <c r="CK6" s="6">
        <f>IF($E6=3,BM6-3,NA())</f>
        <v>0</v>
      </c>
      <c r="CL6" s="6"/>
      <c r="CM6" s="6"/>
      <c r="CN6" s="20">
        <f>BM6-'Zusammenfassung Tag1-4'!$D$2/18</f>
        <v>1.6666666666666667</v>
      </c>
      <c r="CO6" s="21">
        <f t="shared" si="140"/>
        <v>13.666666666666666</v>
      </c>
      <c r="CP6" s="18">
        <v>4</v>
      </c>
      <c r="CQ6" s="6">
        <f t="shared" si="141"/>
        <v>19</v>
      </c>
      <c r="CR6" s="19">
        <v>2</v>
      </c>
      <c r="CS6" s="6">
        <f t="shared" si="142"/>
        <v>8</v>
      </c>
      <c r="CT6" s="6">
        <f t="shared" si="30"/>
        <v>0</v>
      </c>
      <c r="CU6" s="6">
        <f t="shared" si="143"/>
        <v>2</v>
      </c>
      <c r="CV6" s="6">
        <f t="shared" si="31"/>
        <v>0</v>
      </c>
      <c r="CW6" s="6">
        <f t="shared" si="144"/>
        <v>0</v>
      </c>
      <c r="CX6" s="6">
        <f t="shared" si="32"/>
        <v>0</v>
      </c>
      <c r="CY6" s="6">
        <f t="shared" si="145"/>
        <v>0</v>
      </c>
      <c r="CZ6" s="6">
        <f t="shared" si="33"/>
        <v>0</v>
      </c>
      <c r="DA6" s="6">
        <f t="shared" si="146"/>
        <v>2</v>
      </c>
      <c r="DB6" s="6">
        <f t="shared" si="34"/>
        <v>1</v>
      </c>
      <c r="DC6" s="6">
        <f t="shared" si="147"/>
        <v>1</v>
      </c>
      <c r="DD6" s="6">
        <f t="shared" si="35"/>
        <v>0</v>
      </c>
      <c r="DE6" s="6">
        <f t="shared" si="148"/>
        <v>1</v>
      </c>
      <c r="DF6" s="6">
        <f t="shared" si="36"/>
        <v>0</v>
      </c>
      <c r="DG6" s="6">
        <f t="shared" si="149"/>
        <v>0</v>
      </c>
      <c r="DH6" s="6">
        <f t="shared" si="37"/>
        <v>0</v>
      </c>
      <c r="DI6" s="6">
        <f t="shared" si="150"/>
        <v>0</v>
      </c>
      <c r="DJ6" s="6">
        <f t="shared" si="38"/>
        <v>1</v>
      </c>
      <c r="DK6" s="6">
        <f t="shared" si="151"/>
        <v>4</v>
      </c>
      <c r="DL6" s="6">
        <f t="shared" si="39"/>
        <v>0</v>
      </c>
      <c r="DM6" s="6">
        <f t="shared" si="152"/>
        <v>0</v>
      </c>
      <c r="DN6" s="6">
        <f>IF($E6=3,CP6-3,NA())</f>
        <v>1</v>
      </c>
      <c r="DO6" s="6"/>
      <c r="DP6" s="6"/>
      <c r="DQ6" s="20">
        <f>CP6-'Zusammenfassung Tag1-4'!$E$2/18</f>
        <v>2.7222222222222223</v>
      </c>
      <c r="DR6" s="22">
        <f t="shared" si="153"/>
        <v>13.888888888888889</v>
      </c>
      <c r="DS6" s="18">
        <v>3</v>
      </c>
      <c r="DT6" s="6">
        <f t="shared" si="154"/>
        <v>28</v>
      </c>
      <c r="DU6" s="19">
        <v>2</v>
      </c>
      <c r="DV6" s="6">
        <f t="shared" si="155"/>
        <v>8</v>
      </c>
      <c r="DW6" s="6">
        <f t="shared" si="40"/>
        <v>1</v>
      </c>
      <c r="DX6" s="6">
        <f t="shared" si="156"/>
        <v>1</v>
      </c>
      <c r="DY6" s="6">
        <f t="shared" si="41"/>
        <v>0</v>
      </c>
      <c r="DZ6" s="6">
        <f t="shared" si="157"/>
        <v>0</v>
      </c>
      <c r="EA6" s="6">
        <f t="shared" si="42"/>
        <v>0</v>
      </c>
      <c r="EB6" s="6">
        <f t="shared" si="158"/>
        <v>0</v>
      </c>
      <c r="EC6" s="6">
        <f t="shared" si="43"/>
        <v>1</v>
      </c>
      <c r="ED6" s="6">
        <f t="shared" si="159"/>
        <v>1</v>
      </c>
      <c r="EE6" s="6">
        <f t="shared" si="44"/>
        <v>0</v>
      </c>
      <c r="EF6" s="6">
        <f t="shared" si="160"/>
        <v>0</v>
      </c>
      <c r="EG6" s="6">
        <f t="shared" si="45"/>
        <v>0</v>
      </c>
      <c r="EH6" s="6">
        <f t="shared" si="161"/>
        <v>3</v>
      </c>
      <c r="EI6" s="6">
        <f t="shared" si="46"/>
        <v>0</v>
      </c>
      <c r="EJ6" s="6">
        <f t="shared" si="162"/>
        <v>0</v>
      </c>
      <c r="EK6" s="6">
        <f t="shared" si="47"/>
        <v>0</v>
      </c>
      <c r="EL6" s="6">
        <f t="shared" si="163"/>
        <v>0</v>
      </c>
      <c r="EM6" s="6">
        <f t="shared" si="48"/>
        <v>1</v>
      </c>
      <c r="EN6" s="6">
        <f t="shared" si="164"/>
        <v>4</v>
      </c>
      <c r="EO6" s="6">
        <f t="shared" si="49"/>
        <v>0</v>
      </c>
      <c r="EP6" s="6">
        <f t="shared" si="165"/>
        <v>0</v>
      </c>
      <c r="EQ6" s="6">
        <f>IF($E6=3,DS6-3,NA())</f>
        <v>0</v>
      </c>
      <c r="ER6" s="6"/>
      <c r="ES6" s="6"/>
      <c r="ET6" s="20">
        <f>DS6-'Zusammenfassung Tag1-4'!$F$2/18</f>
        <v>0</v>
      </c>
      <c r="EU6" s="22">
        <f t="shared" si="166"/>
        <v>16</v>
      </c>
      <c r="EV6" s="18">
        <v>5</v>
      </c>
      <c r="EW6" s="6">
        <f t="shared" si="167"/>
        <v>22</v>
      </c>
      <c r="EX6" s="19">
        <v>3</v>
      </c>
      <c r="EY6" s="6">
        <f t="shared" si="168"/>
        <v>10</v>
      </c>
      <c r="EZ6" s="6">
        <f t="shared" si="50"/>
        <v>0</v>
      </c>
      <c r="FA6" s="6">
        <f t="shared" si="169"/>
        <v>2</v>
      </c>
      <c r="FB6" s="6">
        <f t="shared" si="51"/>
        <v>0</v>
      </c>
      <c r="FC6" s="6">
        <f t="shared" si="170"/>
        <v>0</v>
      </c>
      <c r="FD6" s="6">
        <f t="shared" si="52"/>
        <v>0</v>
      </c>
      <c r="FE6" s="6">
        <f t="shared" si="171"/>
        <v>0</v>
      </c>
      <c r="FF6" s="6">
        <f t="shared" si="53"/>
        <v>0</v>
      </c>
      <c r="FG6" s="6">
        <f t="shared" si="172"/>
        <v>1</v>
      </c>
      <c r="FH6" s="6">
        <f t="shared" si="54"/>
        <v>0</v>
      </c>
      <c r="FI6" s="6">
        <f t="shared" si="173"/>
        <v>1</v>
      </c>
      <c r="FJ6" s="6">
        <f t="shared" si="55"/>
        <v>1</v>
      </c>
      <c r="FK6" s="6">
        <f t="shared" si="174"/>
        <v>2</v>
      </c>
      <c r="FL6" s="6">
        <f t="shared" si="56"/>
        <v>0</v>
      </c>
      <c r="FM6" s="6">
        <f t="shared" si="175"/>
        <v>0</v>
      </c>
      <c r="FN6" s="6">
        <f t="shared" si="57"/>
        <v>0</v>
      </c>
      <c r="FO6" s="6">
        <f t="shared" si="176"/>
        <v>0</v>
      </c>
      <c r="FP6" s="6">
        <f t="shared" si="58"/>
        <v>0</v>
      </c>
      <c r="FQ6" s="6">
        <f t="shared" si="177"/>
        <v>2</v>
      </c>
      <c r="FR6" s="6">
        <f t="shared" si="59"/>
        <v>1</v>
      </c>
      <c r="FS6" s="6">
        <f t="shared" si="178"/>
        <v>2</v>
      </c>
      <c r="FT6" s="6">
        <f>IF($E6=3,EV6-3,NA())</f>
        <v>2</v>
      </c>
      <c r="FU6" s="6"/>
      <c r="FV6" s="6"/>
      <c r="FW6" s="20">
        <f>EV6-'Zusammenfassung Tag1-4'!$G$2/18</f>
        <v>3.5</v>
      </c>
      <c r="FX6" s="22">
        <f t="shared" si="179"/>
        <v>16</v>
      </c>
      <c r="FY6" s="18">
        <v>7</v>
      </c>
      <c r="FZ6" s="6">
        <f t="shared" si="180"/>
        <v>30</v>
      </c>
      <c r="GA6" s="19">
        <v>2</v>
      </c>
      <c r="GB6" s="6">
        <f t="shared" si="181"/>
        <v>10</v>
      </c>
      <c r="GC6" s="6">
        <f t="shared" si="60"/>
        <v>0</v>
      </c>
      <c r="GD6" s="6">
        <f t="shared" si="182"/>
        <v>1</v>
      </c>
      <c r="GE6" s="6">
        <f t="shared" si="61"/>
        <v>0</v>
      </c>
      <c r="GF6" s="6">
        <f t="shared" si="183"/>
        <v>0</v>
      </c>
      <c r="GG6" s="6">
        <f t="shared" si="62"/>
        <v>0</v>
      </c>
      <c r="GH6" s="6">
        <f t="shared" si="184"/>
        <v>0</v>
      </c>
      <c r="GI6" s="6">
        <f t="shared" si="63"/>
        <v>0</v>
      </c>
      <c r="GJ6" s="6">
        <f t="shared" si="185"/>
        <v>0</v>
      </c>
      <c r="GK6" s="6">
        <f t="shared" si="64"/>
        <v>0</v>
      </c>
      <c r="GL6" s="6">
        <f t="shared" si="186"/>
        <v>1</v>
      </c>
      <c r="GM6" s="6">
        <f t="shared" si="65"/>
        <v>1</v>
      </c>
      <c r="GN6" s="6">
        <f t="shared" si="187"/>
        <v>3</v>
      </c>
      <c r="GO6" s="6">
        <f t="shared" si="66"/>
        <v>0</v>
      </c>
      <c r="GP6" s="6">
        <f t="shared" si="188"/>
        <v>0</v>
      </c>
      <c r="GQ6" s="6">
        <f t="shared" si="67"/>
        <v>0</v>
      </c>
      <c r="GR6" s="6">
        <f t="shared" si="189"/>
        <v>0</v>
      </c>
      <c r="GS6" s="6">
        <f t="shared" si="68"/>
        <v>1</v>
      </c>
      <c r="GT6" s="6">
        <f t="shared" si="190"/>
        <v>2</v>
      </c>
      <c r="GU6" s="6">
        <f t="shared" si="69"/>
        <v>0</v>
      </c>
      <c r="GV6" s="6">
        <f t="shared" si="191"/>
        <v>2</v>
      </c>
      <c r="GW6" s="6">
        <f>IF($E6=3,FY6-3,NA())</f>
        <v>4</v>
      </c>
      <c r="GX6" s="6"/>
      <c r="GY6" s="6"/>
      <c r="GZ6" s="20">
        <f>FY6-'Zusammenfassung Tag1-4'!$H$2/18</f>
        <v>4</v>
      </c>
      <c r="HA6" s="22">
        <f t="shared" si="192"/>
        <v>18</v>
      </c>
      <c r="HB6" s="18">
        <v>4</v>
      </c>
      <c r="HC6" s="6">
        <f t="shared" si="193"/>
        <v>18</v>
      </c>
      <c r="HD6" s="19">
        <v>2</v>
      </c>
      <c r="HE6" s="6">
        <f t="shared" si="194"/>
        <v>8</v>
      </c>
      <c r="HF6" s="6">
        <f t="shared" si="70"/>
        <v>0</v>
      </c>
      <c r="HG6" s="6">
        <f t="shared" si="195"/>
        <v>2</v>
      </c>
      <c r="HH6" s="6">
        <f t="shared" si="71"/>
        <v>0</v>
      </c>
      <c r="HI6" s="6">
        <f t="shared" si="196"/>
        <v>1</v>
      </c>
      <c r="HJ6" s="6">
        <f t="shared" si="72"/>
        <v>0</v>
      </c>
      <c r="HK6" s="6">
        <f t="shared" si="197"/>
        <v>0</v>
      </c>
      <c r="HL6" s="6">
        <f t="shared" si="73"/>
        <v>0</v>
      </c>
      <c r="HM6" s="6">
        <f t="shared" si="198"/>
        <v>2</v>
      </c>
      <c r="HN6" s="6">
        <f t="shared" si="74"/>
        <v>1</v>
      </c>
      <c r="HO6" s="6">
        <f t="shared" si="199"/>
        <v>2</v>
      </c>
      <c r="HP6" s="6">
        <f t="shared" si="75"/>
        <v>0</v>
      </c>
      <c r="HQ6" s="6">
        <f t="shared" si="200"/>
        <v>0</v>
      </c>
      <c r="HR6" s="6">
        <f t="shared" si="76"/>
        <v>0</v>
      </c>
      <c r="HS6" s="6">
        <f t="shared" si="201"/>
        <v>0</v>
      </c>
      <c r="HT6" s="6">
        <f t="shared" si="77"/>
        <v>0</v>
      </c>
      <c r="HU6" s="6">
        <f t="shared" si="202"/>
        <v>1</v>
      </c>
      <c r="HV6" s="6">
        <f t="shared" si="78"/>
        <v>1</v>
      </c>
      <c r="HW6" s="6">
        <f t="shared" si="203"/>
        <v>2</v>
      </c>
      <c r="HX6" s="6">
        <f t="shared" si="79"/>
        <v>0</v>
      </c>
      <c r="HY6" s="6">
        <f t="shared" si="204"/>
        <v>1</v>
      </c>
      <c r="HZ6" s="6">
        <f>IF($E6=3,HB6-3,NA())</f>
        <v>1</v>
      </c>
      <c r="IA6" s="6"/>
      <c r="IB6" s="6"/>
      <c r="IC6" s="20">
        <f>HB6-'Zusammenfassung Tag1-4'!$I$2/18</f>
        <v>3</v>
      </c>
      <c r="ID6" s="22">
        <f t="shared" si="205"/>
        <v>14</v>
      </c>
      <c r="IE6" s="18"/>
      <c r="IF6" s="6">
        <f t="shared" si="206"/>
        <v>0</v>
      </c>
      <c r="IG6" s="19"/>
      <c r="IH6" s="6">
        <f t="shared" si="207"/>
        <v>0</v>
      </c>
      <c r="II6" s="6">
        <f t="shared" si="80"/>
        <v>1</v>
      </c>
      <c r="IJ6" s="6">
        <f t="shared" si="208"/>
        <v>4</v>
      </c>
      <c r="IK6" s="6">
        <f t="shared" si="81"/>
        <v>0</v>
      </c>
      <c r="IL6" s="6">
        <f t="shared" si="209"/>
        <v>0</v>
      </c>
      <c r="IM6" s="6">
        <f t="shared" si="82"/>
        <v>0</v>
      </c>
      <c r="IN6" s="6">
        <f t="shared" si="210"/>
        <v>0</v>
      </c>
      <c r="IO6" s="6">
        <f t="shared" si="83"/>
        <v>0</v>
      </c>
      <c r="IP6" s="6">
        <f t="shared" si="211"/>
        <v>0</v>
      </c>
      <c r="IQ6" s="6">
        <f t="shared" si="84"/>
        <v>0</v>
      </c>
      <c r="IR6" s="6">
        <f t="shared" si="212"/>
        <v>0</v>
      </c>
      <c r="IS6" s="6">
        <f t="shared" si="85"/>
        <v>0</v>
      </c>
      <c r="IT6" s="6">
        <f t="shared" si="213"/>
        <v>0</v>
      </c>
      <c r="IU6" s="6">
        <f t="shared" si="86"/>
        <v>1</v>
      </c>
      <c r="IV6" s="6">
        <f t="shared" si="214"/>
        <v>4</v>
      </c>
      <c r="IW6" s="6">
        <f t="shared" si="87"/>
        <v>0</v>
      </c>
      <c r="IX6" s="6">
        <f t="shared" si="215"/>
        <v>0</v>
      </c>
      <c r="IY6" s="6">
        <f t="shared" si="88"/>
        <v>0</v>
      </c>
      <c r="IZ6" s="6">
        <f t="shared" si="216"/>
        <v>0</v>
      </c>
      <c r="JA6" s="6">
        <f t="shared" si="89"/>
        <v>0</v>
      </c>
      <c r="JB6" s="6">
        <f t="shared" si="217"/>
        <v>0</v>
      </c>
      <c r="JC6" s="6">
        <f>IF($E6=3,IE6-3,NA())</f>
        <v>-3</v>
      </c>
      <c r="JD6" s="6"/>
      <c r="JE6" s="6"/>
      <c r="JF6" s="20">
        <f>IE6-'Zusammenfassung Tag1-4'!$J$2/18</f>
        <v>-3</v>
      </c>
      <c r="JG6" s="22">
        <f t="shared" si="218"/>
        <v>-12</v>
      </c>
      <c r="JH6" s="18"/>
      <c r="JI6" s="6">
        <f t="shared" si="219"/>
        <v>0</v>
      </c>
      <c r="JJ6" s="19"/>
      <c r="JK6" s="6">
        <f t="shared" si="220"/>
        <v>0</v>
      </c>
      <c r="JL6" s="6">
        <f t="shared" si="90"/>
        <v>1</v>
      </c>
      <c r="JM6" s="6">
        <f t="shared" si="221"/>
        <v>4</v>
      </c>
      <c r="JN6" s="6">
        <f t="shared" si="91"/>
        <v>0</v>
      </c>
      <c r="JO6" s="6">
        <f t="shared" si="222"/>
        <v>0</v>
      </c>
      <c r="JP6" s="6">
        <f t="shared" si="92"/>
        <v>0</v>
      </c>
      <c r="JQ6" s="6">
        <f t="shared" si="223"/>
        <v>0</v>
      </c>
      <c r="JR6" s="6">
        <f t="shared" si="93"/>
        <v>0</v>
      </c>
      <c r="JS6" s="6">
        <f t="shared" si="224"/>
        <v>0</v>
      </c>
      <c r="JT6" s="6">
        <f t="shared" si="94"/>
        <v>0</v>
      </c>
      <c r="JU6" s="6">
        <f t="shared" si="225"/>
        <v>0</v>
      </c>
      <c r="JV6" s="6">
        <f t="shared" si="95"/>
        <v>0</v>
      </c>
      <c r="JW6" s="6">
        <f t="shared" si="226"/>
        <v>0</v>
      </c>
      <c r="JX6" s="6">
        <f t="shared" si="96"/>
        <v>1</v>
      </c>
      <c r="JY6" s="6">
        <f t="shared" si="227"/>
        <v>4</v>
      </c>
      <c r="JZ6" s="6">
        <f t="shared" si="97"/>
        <v>0</v>
      </c>
      <c r="KA6" s="6">
        <f t="shared" si="228"/>
        <v>0</v>
      </c>
      <c r="KB6" s="6">
        <f t="shared" si="98"/>
        <v>0</v>
      </c>
      <c r="KC6" s="6">
        <f t="shared" si="229"/>
        <v>0</v>
      </c>
      <c r="KD6" s="6">
        <f t="shared" si="99"/>
        <v>0</v>
      </c>
      <c r="KE6" s="6">
        <f t="shared" si="230"/>
        <v>0</v>
      </c>
      <c r="KF6" s="6">
        <f>IF($E6=3,JH6-3,NA())</f>
        <v>-3</v>
      </c>
      <c r="KG6" s="6"/>
      <c r="KH6" s="6"/>
      <c r="KI6" s="20">
        <f>JH6-'Zusammenfassung Tag1-4'!$K$2/18</f>
        <v>-0.77777777777777779</v>
      </c>
      <c r="KJ6" s="22">
        <f t="shared" si="231"/>
        <v>-3.1111111111111112</v>
      </c>
      <c r="KK6" s="10"/>
      <c r="KL6" s="10"/>
      <c r="KM6" s="10"/>
      <c r="KN6" s="10"/>
      <c r="KO6" s="10"/>
      <c r="KP6" s="10"/>
      <c r="KQ6" s="10"/>
      <c r="KR6" s="10"/>
      <c r="KS6" s="10"/>
      <c r="KT6" s="10"/>
      <c r="KU6" s="10"/>
      <c r="KV6" s="10"/>
      <c r="KW6" s="10"/>
      <c r="KX6" s="10"/>
      <c r="KY6" s="10"/>
      <c r="KZ6" s="10"/>
      <c r="LA6" s="10"/>
      <c r="LB6" s="10"/>
      <c r="LC6" s="10"/>
      <c r="LD6" s="10"/>
    </row>
    <row r="7" spans="1:316" ht="15.75" customHeight="1" x14ac:dyDescent="0.25">
      <c r="A7" s="106"/>
      <c r="B7" s="103"/>
      <c r="C7" s="6">
        <v>5</v>
      </c>
      <c r="D7" s="6">
        <f t="shared" si="100"/>
        <v>5</v>
      </c>
      <c r="E7" s="6">
        <v>4</v>
      </c>
      <c r="F7" s="7">
        <f t="shared" si="101"/>
        <v>20</v>
      </c>
      <c r="G7" s="18">
        <v>5</v>
      </c>
      <c r="H7" s="6">
        <f t="shared" si="102"/>
        <v>25</v>
      </c>
      <c r="I7" s="19">
        <v>2</v>
      </c>
      <c r="J7" s="6">
        <f t="shared" si="103"/>
        <v>12</v>
      </c>
      <c r="K7" s="6">
        <f t="shared" si="0"/>
        <v>0</v>
      </c>
      <c r="L7" s="6">
        <f t="shared" si="104"/>
        <v>3</v>
      </c>
      <c r="M7" s="6">
        <f t="shared" si="1"/>
        <v>0</v>
      </c>
      <c r="N7" s="6">
        <f t="shared" si="105"/>
        <v>0</v>
      </c>
      <c r="O7" s="6">
        <f t="shared" si="2"/>
        <v>0</v>
      </c>
      <c r="P7" s="6">
        <f t="shared" si="106"/>
        <v>0</v>
      </c>
      <c r="Q7" s="6">
        <f t="shared" si="3"/>
        <v>0</v>
      </c>
      <c r="R7" s="6">
        <f t="shared" si="107"/>
        <v>2</v>
      </c>
      <c r="S7" s="6">
        <f t="shared" si="4"/>
        <v>1</v>
      </c>
      <c r="T7" s="6">
        <f t="shared" si="108"/>
        <v>1</v>
      </c>
      <c r="U7" s="6">
        <f t="shared" si="5"/>
        <v>0</v>
      </c>
      <c r="V7" s="6">
        <f t="shared" si="109"/>
        <v>2</v>
      </c>
      <c r="W7" s="6">
        <f t="shared" si="6"/>
        <v>0</v>
      </c>
      <c r="X7" s="6">
        <f t="shared" si="110"/>
        <v>0</v>
      </c>
      <c r="Y7" s="6">
        <f t="shared" si="7"/>
        <v>0</v>
      </c>
      <c r="Z7" s="6">
        <f t="shared" si="111"/>
        <v>0</v>
      </c>
      <c r="AA7" s="6">
        <f t="shared" si="8"/>
        <v>1</v>
      </c>
      <c r="AB7" s="6">
        <f t="shared" si="112"/>
        <v>4</v>
      </c>
      <c r="AC7" s="6">
        <f t="shared" si="9"/>
        <v>0</v>
      </c>
      <c r="AD7" s="6">
        <f t="shared" si="113"/>
        <v>1</v>
      </c>
      <c r="AE7" s="6"/>
      <c r="AF7" s="6">
        <f t="shared" ref="AF7:AF8" si="232">IF($E7=4,G7-4,NA())</f>
        <v>1</v>
      </c>
      <c r="AG7" s="6"/>
      <c r="AH7" s="20">
        <f>G7-'Zusammenfassung Tag1-4'!$B$2/18</f>
        <v>3.8888888888888888</v>
      </c>
      <c r="AI7" s="21">
        <f t="shared" si="114"/>
        <v>19.444444444444446</v>
      </c>
      <c r="AJ7" s="18">
        <v>4</v>
      </c>
      <c r="AK7" s="6">
        <f t="shared" si="115"/>
        <v>21</v>
      </c>
      <c r="AL7" s="19">
        <v>1</v>
      </c>
      <c r="AM7" s="6">
        <f t="shared" si="116"/>
        <v>10</v>
      </c>
      <c r="AN7" s="6">
        <f t="shared" si="10"/>
        <v>0</v>
      </c>
      <c r="AO7" s="6">
        <f t="shared" si="117"/>
        <v>4</v>
      </c>
      <c r="AP7" s="6">
        <f t="shared" si="11"/>
        <v>1</v>
      </c>
      <c r="AQ7" s="6">
        <f t="shared" si="118"/>
        <v>1</v>
      </c>
      <c r="AR7" s="6">
        <f t="shared" si="12"/>
        <v>0</v>
      </c>
      <c r="AS7" s="6">
        <f t="shared" si="119"/>
        <v>0</v>
      </c>
      <c r="AT7" s="6">
        <f t="shared" si="13"/>
        <v>1</v>
      </c>
      <c r="AU7" s="6">
        <f t="shared" si="120"/>
        <v>4</v>
      </c>
      <c r="AV7" s="6">
        <f t="shared" si="14"/>
        <v>0</v>
      </c>
      <c r="AW7" s="6">
        <f t="shared" si="121"/>
        <v>1</v>
      </c>
      <c r="AX7" s="6">
        <f t="shared" si="15"/>
        <v>0</v>
      </c>
      <c r="AY7" s="6">
        <f t="shared" si="122"/>
        <v>0</v>
      </c>
      <c r="AZ7" s="6">
        <f t="shared" si="16"/>
        <v>0</v>
      </c>
      <c r="BA7" s="6">
        <f t="shared" si="123"/>
        <v>0</v>
      </c>
      <c r="BB7" s="6">
        <f t="shared" si="17"/>
        <v>1</v>
      </c>
      <c r="BC7" s="6">
        <f t="shared" si="124"/>
        <v>1</v>
      </c>
      <c r="BD7" s="6">
        <f t="shared" si="18"/>
        <v>0</v>
      </c>
      <c r="BE7" s="6">
        <f t="shared" si="125"/>
        <v>3</v>
      </c>
      <c r="BF7" s="6">
        <f t="shared" si="19"/>
        <v>0</v>
      </c>
      <c r="BG7" s="6">
        <f t="shared" si="126"/>
        <v>1</v>
      </c>
      <c r="BH7" s="6"/>
      <c r="BI7" s="6">
        <f t="shared" ref="BI7:BI8" si="233">IF($E7=4,AJ7-4,NA())</f>
        <v>0</v>
      </c>
      <c r="BJ7" s="6"/>
      <c r="BK7" s="20">
        <f>AJ7-'Zusammenfassung Tag1-4'!$C$2/18</f>
        <v>3.3333333333333335</v>
      </c>
      <c r="BL7" s="21">
        <f t="shared" si="127"/>
        <v>17.666666666666668</v>
      </c>
      <c r="BM7" s="18">
        <v>4</v>
      </c>
      <c r="BN7" s="6">
        <f t="shared" si="128"/>
        <v>23</v>
      </c>
      <c r="BO7" s="19">
        <v>2</v>
      </c>
      <c r="BP7" s="6">
        <f t="shared" si="129"/>
        <v>10</v>
      </c>
      <c r="BQ7" s="6">
        <f t="shared" si="20"/>
        <v>1</v>
      </c>
      <c r="BR7" s="6">
        <f t="shared" si="130"/>
        <v>3</v>
      </c>
      <c r="BS7" s="6">
        <f t="shared" si="21"/>
        <v>0</v>
      </c>
      <c r="BT7" s="6">
        <f t="shared" si="131"/>
        <v>1</v>
      </c>
      <c r="BU7" s="6">
        <f t="shared" si="22"/>
        <v>0</v>
      </c>
      <c r="BV7" s="6">
        <f t="shared" si="132"/>
        <v>0</v>
      </c>
      <c r="BW7" s="6">
        <f t="shared" si="23"/>
        <v>1</v>
      </c>
      <c r="BX7" s="6">
        <f t="shared" si="133"/>
        <v>4</v>
      </c>
      <c r="BY7" s="6">
        <f t="shared" si="24"/>
        <v>0</v>
      </c>
      <c r="BZ7" s="6">
        <f t="shared" si="134"/>
        <v>0</v>
      </c>
      <c r="CA7" s="6">
        <f t="shared" si="25"/>
        <v>0</v>
      </c>
      <c r="CB7" s="6">
        <f t="shared" si="135"/>
        <v>1</v>
      </c>
      <c r="CC7" s="6">
        <f t="shared" si="26"/>
        <v>0</v>
      </c>
      <c r="CD7" s="6">
        <f t="shared" si="136"/>
        <v>0</v>
      </c>
      <c r="CE7" s="6">
        <f t="shared" si="27"/>
        <v>0</v>
      </c>
      <c r="CF7" s="6">
        <f t="shared" si="137"/>
        <v>1</v>
      </c>
      <c r="CG7" s="6">
        <f t="shared" si="28"/>
        <v>1</v>
      </c>
      <c r="CH7" s="6">
        <f t="shared" si="138"/>
        <v>3</v>
      </c>
      <c r="CI7" s="6">
        <f t="shared" si="29"/>
        <v>0</v>
      </c>
      <c r="CJ7" s="6">
        <f t="shared" si="139"/>
        <v>1</v>
      </c>
      <c r="CK7" s="6"/>
      <c r="CL7" s="6">
        <f t="shared" ref="CL7:CL8" si="234">IF($E7=4,BM7-4,NA())</f>
        <v>0</v>
      </c>
      <c r="CM7" s="6"/>
      <c r="CN7" s="20">
        <f>BM7-'Zusammenfassung Tag1-4'!$D$2/18</f>
        <v>2.666666666666667</v>
      </c>
      <c r="CO7" s="21">
        <f t="shared" si="140"/>
        <v>16.333333333333332</v>
      </c>
      <c r="CP7" s="18">
        <v>5</v>
      </c>
      <c r="CQ7" s="6">
        <f t="shared" si="141"/>
        <v>24</v>
      </c>
      <c r="CR7" s="19">
        <v>2</v>
      </c>
      <c r="CS7" s="6">
        <f t="shared" si="142"/>
        <v>10</v>
      </c>
      <c r="CT7" s="6">
        <f t="shared" si="30"/>
        <v>0</v>
      </c>
      <c r="CU7" s="6">
        <f t="shared" si="143"/>
        <v>2</v>
      </c>
      <c r="CV7" s="6">
        <f t="shared" si="31"/>
        <v>0</v>
      </c>
      <c r="CW7" s="6">
        <f t="shared" si="144"/>
        <v>0</v>
      </c>
      <c r="CX7" s="6">
        <f t="shared" si="32"/>
        <v>0</v>
      </c>
      <c r="CY7" s="6">
        <f t="shared" si="145"/>
        <v>0</v>
      </c>
      <c r="CZ7" s="6">
        <f t="shared" si="33"/>
        <v>0</v>
      </c>
      <c r="DA7" s="6">
        <f t="shared" si="146"/>
        <v>2</v>
      </c>
      <c r="DB7" s="6">
        <f t="shared" si="34"/>
        <v>1</v>
      </c>
      <c r="DC7" s="6">
        <f t="shared" si="147"/>
        <v>2</v>
      </c>
      <c r="DD7" s="6">
        <f t="shared" si="35"/>
        <v>0</v>
      </c>
      <c r="DE7" s="6">
        <f t="shared" si="148"/>
        <v>1</v>
      </c>
      <c r="DF7" s="6">
        <f t="shared" si="36"/>
        <v>0</v>
      </c>
      <c r="DG7" s="6">
        <f t="shared" si="149"/>
        <v>0</v>
      </c>
      <c r="DH7" s="6">
        <f t="shared" si="37"/>
        <v>0</v>
      </c>
      <c r="DI7" s="6">
        <f t="shared" si="150"/>
        <v>0</v>
      </c>
      <c r="DJ7" s="6">
        <f t="shared" si="38"/>
        <v>1</v>
      </c>
      <c r="DK7" s="6">
        <f t="shared" si="151"/>
        <v>5</v>
      </c>
      <c r="DL7" s="6">
        <f t="shared" si="39"/>
        <v>0</v>
      </c>
      <c r="DM7" s="6">
        <f t="shared" si="152"/>
        <v>0</v>
      </c>
      <c r="DN7" s="6"/>
      <c r="DO7" s="6">
        <f t="shared" ref="DO7:DO8" si="235">IF($E7=4,CP7-4,NA())</f>
        <v>1</v>
      </c>
      <c r="DP7" s="6"/>
      <c r="DQ7" s="20">
        <f>CP7-'Zusammenfassung Tag1-4'!$E$2/18</f>
        <v>3.7222222222222223</v>
      </c>
      <c r="DR7" s="22">
        <f t="shared" si="153"/>
        <v>17.611111111111111</v>
      </c>
      <c r="DS7" s="18">
        <v>7</v>
      </c>
      <c r="DT7" s="6">
        <f t="shared" si="154"/>
        <v>35</v>
      </c>
      <c r="DU7" s="19">
        <v>3</v>
      </c>
      <c r="DV7" s="6">
        <f t="shared" si="155"/>
        <v>11</v>
      </c>
      <c r="DW7" s="6">
        <f t="shared" si="40"/>
        <v>0</v>
      </c>
      <c r="DX7" s="6">
        <f t="shared" si="156"/>
        <v>1</v>
      </c>
      <c r="DY7" s="6">
        <f t="shared" si="41"/>
        <v>0</v>
      </c>
      <c r="DZ7" s="6">
        <f t="shared" si="157"/>
        <v>0</v>
      </c>
      <c r="EA7" s="6">
        <f t="shared" si="42"/>
        <v>0</v>
      </c>
      <c r="EB7" s="6">
        <f t="shared" si="158"/>
        <v>0</v>
      </c>
      <c r="EC7" s="6">
        <f t="shared" si="43"/>
        <v>0</v>
      </c>
      <c r="ED7" s="6">
        <f t="shared" si="159"/>
        <v>1</v>
      </c>
      <c r="EE7" s="6">
        <f t="shared" si="44"/>
        <v>0</v>
      </c>
      <c r="EF7" s="6">
        <f t="shared" si="160"/>
        <v>0</v>
      </c>
      <c r="EG7" s="6">
        <f t="shared" si="45"/>
        <v>1</v>
      </c>
      <c r="EH7" s="6">
        <f t="shared" si="161"/>
        <v>4</v>
      </c>
      <c r="EI7" s="6">
        <f t="shared" si="46"/>
        <v>0</v>
      </c>
      <c r="EJ7" s="6">
        <f t="shared" si="162"/>
        <v>0</v>
      </c>
      <c r="EK7" s="6">
        <f t="shared" si="47"/>
        <v>0</v>
      </c>
      <c r="EL7" s="6">
        <f t="shared" si="163"/>
        <v>0</v>
      </c>
      <c r="EM7" s="6">
        <f t="shared" si="48"/>
        <v>0</v>
      </c>
      <c r="EN7" s="6">
        <f t="shared" si="164"/>
        <v>4</v>
      </c>
      <c r="EO7" s="6">
        <f t="shared" si="49"/>
        <v>1</v>
      </c>
      <c r="EP7" s="6">
        <f t="shared" si="165"/>
        <v>1</v>
      </c>
      <c r="EQ7" s="6"/>
      <c r="ER7" s="6">
        <f t="shared" ref="ER7:ER8" si="236">IF($E7=4,DS7-4,NA())</f>
        <v>3</v>
      </c>
      <c r="ES7" s="6"/>
      <c r="ET7" s="20">
        <f>DS7-'Zusammenfassung Tag1-4'!$F$2/18</f>
        <v>4</v>
      </c>
      <c r="EU7" s="22">
        <f t="shared" si="166"/>
        <v>20</v>
      </c>
      <c r="EV7" s="18">
        <v>6</v>
      </c>
      <c r="EW7" s="6">
        <f t="shared" si="167"/>
        <v>28</v>
      </c>
      <c r="EX7" s="19">
        <v>3</v>
      </c>
      <c r="EY7" s="6">
        <f t="shared" si="168"/>
        <v>13</v>
      </c>
      <c r="EZ7" s="6">
        <f t="shared" si="50"/>
        <v>0</v>
      </c>
      <c r="FA7" s="6">
        <f t="shared" si="169"/>
        <v>2</v>
      </c>
      <c r="FB7" s="6">
        <f t="shared" si="51"/>
        <v>0</v>
      </c>
      <c r="FC7" s="6">
        <f t="shared" si="170"/>
        <v>0</v>
      </c>
      <c r="FD7" s="6">
        <f t="shared" si="52"/>
        <v>0</v>
      </c>
      <c r="FE7" s="6">
        <f t="shared" si="171"/>
        <v>0</v>
      </c>
      <c r="FF7" s="6">
        <f t="shared" si="53"/>
        <v>0</v>
      </c>
      <c r="FG7" s="6">
        <f t="shared" si="172"/>
        <v>1</v>
      </c>
      <c r="FH7" s="6">
        <f t="shared" si="54"/>
        <v>0</v>
      </c>
      <c r="FI7" s="6">
        <f t="shared" si="173"/>
        <v>1</v>
      </c>
      <c r="FJ7" s="6">
        <f t="shared" si="55"/>
        <v>1</v>
      </c>
      <c r="FK7" s="6">
        <f t="shared" si="174"/>
        <v>3</v>
      </c>
      <c r="FL7" s="6">
        <f t="shared" si="56"/>
        <v>0</v>
      </c>
      <c r="FM7" s="6">
        <f t="shared" si="175"/>
        <v>0</v>
      </c>
      <c r="FN7" s="6">
        <f t="shared" si="57"/>
        <v>0</v>
      </c>
      <c r="FO7" s="6">
        <f t="shared" si="176"/>
        <v>0</v>
      </c>
      <c r="FP7" s="6">
        <f t="shared" si="58"/>
        <v>0</v>
      </c>
      <c r="FQ7" s="6">
        <f t="shared" si="177"/>
        <v>2</v>
      </c>
      <c r="FR7" s="6">
        <f t="shared" si="59"/>
        <v>1</v>
      </c>
      <c r="FS7" s="6">
        <f t="shared" si="178"/>
        <v>3</v>
      </c>
      <c r="FT7" s="6"/>
      <c r="FU7" s="6">
        <f t="shared" ref="FU7:FU8" si="237">IF($E7=4,EV7-4,NA())</f>
        <v>2</v>
      </c>
      <c r="FV7" s="6"/>
      <c r="FW7" s="20">
        <f>EV7-'Zusammenfassung Tag1-4'!$G$2/18</f>
        <v>4.5</v>
      </c>
      <c r="FX7" s="22">
        <f t="shared" si="179"/>
        <v>20.5</v>
      </c>
      <c r="FY7" s="18">
        <v>8</v>
      </c>
      <c r="FZ7" s="6">
        <f t="shared" si="180"/>
        <v>38</v>
      </c>
      <c r="GA7" s="19">
        <v>3</v>
      </c>
      <c r="GB7" s="6">
        <f t="shared" si="181"/>
        <v>13</v>
      </c>
      <c r="GC7" s="6">
        <f t="shared" si="60"/>
        <v>0</v>
      </c>
      <c r="GD7" s="6">
        <f t="shared" si="182"/>
        <v>1</v>
      </c>
      <c r="GE7" s="6">
        <f t="shared" si="61"/>
        <v>0</v>
      </c>
      <c r="GF7" s="6">
        <f t="shared" si="183"/>
        <v>0</v>
      </c>
      <c r="GG7" s="6">
        <f t="shared" si="62"/>
        <v>0</v>
      </c>
      <c r="GH7" s="6">
        <f t="shared" si="184"/>
        <v>0</v>
      </c>
      <c r="GI7" s="6">
        <f t="shared" si="63"/>
        <v>0</v>
      </c>
      <c r="GJ7" s="6">
        <f t="shared" si="185"/>
        <v>0</v>
      </c>
      <c r="GK7" s="6">
        <f t="shared" si="64"/>
        <v>0</v>
      </c>
      <c r="GL7" s="6">
        <f t="shared" si="186"/>
        <v>1</v>
      </c>
      <c r="GM7" s="6">
        <f t="shared" si="65"/>
        <v>1</v>
      </c>
      <c r="GN7" s="6">
        <f t="shared" si="187"/>
        <v>4</v>
      </c>
      <c r="GO7" s="6">
        <f t="shared" si="66"/>
        <v>0</v>
      </c>
      <c r="GP7" s="6">
        <f t="shared" si="188"/>
        <v>0</v>
      </c>
      <c r="GQ7" s="6">
        <f t="shared" si="67"/>
        <v>0</v>
      </c>
      <c r="GR7" s="6">
        <f t="shared" si="189"/>
        <v>0</v>
      </c>
      <c r="GS7" s="6">
        <f t="shared" si="68"/>
        <v>0</v>
      </c>
      <c r="GT7" s="6">
        <f t="shared" si="190"/>
        <v>2</v>
      </c>
      <c r="GU7" s="6">
        <f t="shared" si="69"/>
        <v>1</v>
      </c>
      <c r="GV7" s="6">
        <f t="shared" si="191"/>
        <v>3</v>
      </c>
      <c r="GW7" s="6"/>
      <c r="GX7" s="6">
        <f t="shared" ref="GX7:GX8" si="238">IF($E7=4,FY7-4,NA())</f>
        <v>4</v>
      </c>
      <c r="GY7" s="6"/>
      <c r="GZ7" s="20">
        <f>FY7-'Zusammenfassung Tag1-4'!$H$2/18</f>
        <v>5</v>
      </c>
      <c r="HA7" s="22">
        <f t="shared" si="192"/>
        <v>23</v>
      </c>
      <c r="HB7" s="18">
        <v>7</v>
      </c>
      <c r="HC7" s="6">
        <f t="shared" si="193"/>
        <v>25</v>
      </c>
      <c r="HD7" s="19">
        <v>2</v>
      </c>
      <c r="HE7" s="6">
        <f t="shared" si="194"/>
        <v>10</v>
      </c>
      <c r="HF7" s="6">
        <f t="shared" si="70"/>
        <v>0</v>
      </c>
      <c r="HG7" s="6">
        <f t="shared" si="195"/>
        <v>2</v>
      </c>
      <c r="HH7" s="6">
        <f t="shared" si="71"/>
        <v>0</v>
      </c>
      <c r="HI7" s="6">
        <f t="shared" si="196"/>
        <v>1</v>
      </c>
      <c r="HJ7" s="6">
        <f t="shared" si="72"/>
        <v>0</v>
      </c>
      <c r="HK7" s="6">
        <f t="shared" si="197"/>
        <v>0</v>
      </c>
      <c r="HL7" s="6">
        <f t="shared" si="73"/>
        <v>0</v>
      </c>
      <c r="HM7" s="6">
        <f t="shared" si="198"/>
        <v>2</v>
      </c>
      <c r="HN7" s="6">
        <f t="shared" si="74"/>
        <v>0</v>
      </c>
      <c r="HO7" s="6">
        <f t="shared" si="199"/>
        <v>2</v>
      </c>
      <c r="HP7" s="6">
        <f t="shared" si="75"/>
        <v>1</v>
      </c>
      <c r="HQ7" s="6">
        <f t="shared" si="200"/>
        <v>1</v>
      </c>
      <c r="HR7" s="6">
        <f t="shared" si="76"/>
        <v>0</v>
      </c>
      <c r="HS7" s="6">
        <f t="shared" si="201"/>
        <v>0</v>
      </c>
      <c r="HT7" s="6">
        <f t="shared" si="77"/>
        <v>0</v>
      </c>
      <c r="HU7" s="6">
        <f t="shared" si="202"/>
        <v>1</v>
      </c>
      <c r="HV7" s="6">
        <f t="shared" si="78"/>
        <v>1</v>
      </c>
      <c r="HW7" s="6">
        <f t="shared" si="203"/>
        <v>3</v>
      </c>
      <c r="HX7" s="6">
        <f t="shared" si="79"/>
        <v>0</v>
      </c>
      <c r="HY7" s="6">
        <f t="shared" si="204"/>
        <v>1</v>
      </c>
      <c r="HZ7" s="6"/>
      <c r="IA7" s="6">
        <f t="shared" ref="IA7:IA8" si="239">IF($E7=4,HB7-4,NA())</f>
        <v>3</v>
      </c>
      <c r="IB7" s="6"/>
      <c r="IC7" s="20">
        <f>HB7-'Zusammenfassung Tag1-4'!$I$2/18</f>
        <v>6</v>
      </c>
      <c r="ID7" s="22">
        <f t="shared" si="205"/>
        <v>20</v>
      </c>
      <c r="IE7" s="18"/>
      <c r="IF7" s="6">
        <f t="shared" si="206"/>
        <v>0</v>
      </c>
      <c r="IG7" s="19"/>
      <c r="IH7" s="6">
        <f t="shared" si="207"/>
        <v>0</v>
      </c>
      <c r="II7" s="6">
        <f t="shared" si="80"/>
        <v>1</v>
      </c>
      <c r="IJ7" s="6">
        <f t="shared" si="208"/>
        <v>5</v>
      </c>
      <c r="IK7" s="6">
        <f t="shared" si="81"/>
        <v>0</v>
      </c>
      <c r="IL7" s="6">
        <f t="shared" si="209"/>
        <v>0</v>
      </c>
      <c r="IM7" s="6">
        <f t="shared" si="82"/>
        <v>0</v>
      </c>
      <c r="IN7" s="6">
        <f t="shared" si="210"/>
        <v>0</v>
      </c>
      <c r="IO7" s="6">
        <f t="shared" si="83"/>
        <v>0</v>
      </c>
      <c r="IP7" s="6">
        <f t="shared" si="211"/>
        <v>0</v>
      </c>
      <c r="IQ7" s="6">
        <f t="shared" si="84"/>
        <v>0</v>
      </c>
      <c r="IR7" s="6">
        <f t="shared" si="212"/>
        <v>0</v>
      </c>
      <c r="IS7" s="6">
        <f t="shared" si="85"/>
        <v>0</v>
      </c>
      <c r="IT7" s="6">
        <f t="shared" si="213"/>
        <v>0</v>
      </c>
      <c r="IU7" s="6">
        <f t="shared" si="86"/>
        <v>1</v>
      </c>
      <c r="IV7" s="6">
        <f t="shared" si="214"/>
        <v>5</v>
      </c>
      <c r="IW7" s="6">
        <f t="shared" si="87"/>
        <v>0</v>
      </c>
      <c r="IX7" s="6">
        <f t="shared" si="215"/>
        <v>0</v>
      </c>
      <c r="IY7" s="6">
        <f t="shared" si="88"/>
        <v>0</v>
      </c>
      <c r="IZ7" s="6">
        <f t="shared" si="216"/>
        <v>0</v>
      </c>
      <c r="JA7" s="6">
        <f t="shared" si="89"/>
        <v>0</v>
      </c>
      <c r="JB7" s="6">
        <f t="shared" si="217"/>
        <v>0</v>
      </c>
      <c r="JC7" s="6"/>
      <c r="JD7" s="6">
        <f t="shared" ref="JD7:JD8" si="240">IF($E7=4,IE7-4,NA())</f>
        <v>-4</v>
      </c>
      <c r="JE7" s="6"/>
      <c r="JF7" s="20">
        <f>IE7-'Zusammenfassung Tag1-4'!$J$2/18</f>
        <v>-3</v>
      </c>
      <c r="JG7" s="22">
        <f t="shared" si="218"/>
        <v>-15</v>
      </c>
      <c r="JH7" s="18"/>
      <c r="JI7" s="6">
        <f t="shared" si="219"/>
        <v>0</v>
      </c>
      <c r="JJ7" s="19"/>
      <c r="JK7" s="6">
        <f t="shared" si="220"/>
        <v>0</v>
      </c>
      <c r="JL7" s="6">
        <f t="shared" si="90"/>
        <v>1</v>
      </c>
      <c r="JM7" s="6">
        <f t="shared" si="221"/>
        <v>5</v>
      </c>
      <c r="JN7" s="6">
        <f t="shared" si="91"/>
        <v>0</v>
      </c>
      <c r="JO7" s="6">
        <f t="shared" si="222"/>
        <v>0</v>
      </c>
      <c r="JP7" s="6">
        <f t="shared" si="92"/>
        <v>0</v>
      </c>
      <c r="JQ7" s="6">
        <f t="shared" si="223"/>
        <v>0</v>
      </c>
      <c r="JR7" s="6">
        <f t="shared" si="93"/>
        <v>0</v>
      </c>
      <c r="JS7" s="6">
        <f t="shared" si="224"/>
        <v>0</v>
      </c>
      <c r="JT7" s="6">
        <f t="shared" si="94"/>
        <v>0</v>
      </c>
      <c r="JU7" s="6">
        <f t="shared" si="225"/>
        <v>0</v>
      </c>
      <c r="JV7" s="6">
        <f t="shared" si="95"/>
        <v>0</v>
      </c>
      <c r="JW7" s="6">
        <f t="shared" si="226"/>
        <v>0</v>
      </c>
      <c r="JX7" s="6">
        <f t="shared" si="96"/>
        <v>1</v>
      </c>
      <c r="JY7" s="6">
        <f t="shared" si="227"/>
        <v>5</v>
      </c>
      <c r="JZ7" s="6">
        <f t="shared" si="97"/>
        <v>0</v>
      </c>
      <c r="KA7" s="6">
        <f t="shared" si="228"/>
        <v>0</v>
      </c>
      <c r="KB7" s="6">
        <f t="shared" si="98"/>
        <v>0</v>
      </c>
      <c r="KC7" s="6">
        <f t="shared" si="229"/>
        <v>0</v>
      </c>
      <c r="KD7" s="6">
        <f t="shared" si="99"/>
        <v>0</v>
      </c>
      <c r="KE7" s="6">
        <f t="shared" si="230"/>
        <v>0</v>
      </c>
      <c r="KF7" s="6"/>
      <c r="KG7" s="6">
        <f t="shared" ref="KG7:KG8" si="241">IF($E7=4,JH7-4,NA())</f>
        <v>-4</v>
      </c>
      <c r="KH7" s="6"/>
      <c r="KI7" s="20">
        <f>JH7-'Zusammenfassung Tag1-4'!$K$2/18</f>
        <v>-0.77777777777777779</v>
      </c>
      <c r="KJ7" s="22">
        <f t="shared" si="231"/>
        <v>-3.8888888888888888</v>
      </c>
      <c r="KK7" s="10"/>
      <c r="KL7" s="10"/>
      <c r="KM7" s="10"/>
      <c r="KN7" s="10"/>
      <c r="KO7" s="10"/>
      <c r="KP7" s="10"/>
      <c r="KQ7" s="10"/>
      <c r="KR7" s="10"/>
      <c r="KS7" s="10"/>
      <c r="KT7" s="10"/>
      <c r="KU7" s="10"/>
      <c r="KV7" s="10"/>
      <c r="KW7" s="10"/>
      <c r="KX7" s="10"/>
      <c r="KY7" s="10"/>
      <c r="KZ7" s="10"/>
      <c r="LA7" s="10"/>
      <c r="LB7" s="10"/>
      <c r="LC7" s="10"/>
      <c r="LD7" s="10"/>
    </row>
    <row r="8" spans="1:316" ht="15.75" customHeight="1" x14ac:dyDescent="0.25">
      <c r="A8" s="106"/>
      <c r="B8" s="103"/>
      <c r="C8" s="6">
        <v>6</v>
      </c>
      <c r="D8" s="6">
        <f t="shared" si="100"/>
        <v>6</v>
      </c>
      <c r="E8" s="6">
        <v>4</v>
      </c>
      <c r="F8" s="7">
        <f t="shared" si="101"/>
        <v>24</v>
      </c>
      <c r="G8" s="18">
        <v>5</v>
      </c>
      <c r="H8" s="6">
        <f t="shared" si="102"/>
        <v>30</v>
      </c>
      <c r="I8" s="19">
        <v>1</v>
      </c>
      <c r="J8" s="6">
        <f t="shared" si="103"/>
        <v>13</v>
      </c>
      <c r="K8" s="6">
        <f t="shared" si="0"/>
        <v>0</v>
      </c>
      <c r="L8" s="6">
        <f t="shared" si="104"/>
        <v>3</v>
      </c>
      <c r="M8" s="6">
        <f t="shared" si="1"/>
        <v>0</v>
      </c>
      <c r="N8" s="6">
        <f t="shared" si="105"/>
        <v>0</v>
      </c>
      <c r="O8" s="6">
        <f t="shared" si="2"/>
        <v>0</v>
      </c>
      <c r="P8" s="6">
        <f t="shared" si="106"/>
        <v>0</v>
      </c>
      <c r="Q8" s="6">
        <f t="shared" si="3"/>
        <v>0</v>
      </c>
      <c r="R8" s="6">
        <f t="shared" si="107"/>
        <v>2</v>
      </c>
      <c r="S8" s="6">
        <f t="shared" si="4"/>
        <v>1</v>
      </c>
      <c r="T8" s="6">
        <f t="shared" si="108"/>
        <v>2</v>
      </c>
      <c r="U8" s="6">
        <f t="shared" si="5"/>
        <v>0</v>
      </c>
      <c r="V8" s="6">
        <f t="shared" si="109"/>
        <v>2</v>
      </c>
      <c r="W8" s="6">
        <f t="shared" si="6"/>
        <v>0</v>
      </c>
      <c r="X8" s="6">
        <f t="shared" si="110"/>
        <v>0</v>
      </c>
      <c r="Y8" s="6">
        <f t="shared" si="7"/>
        <v>1</v>
      </c>
      <c r="Z8" s="6">
        <f t="shared" si="111"/>
        <v>1</v>
      </c>
      <c r="AA8" s="6">
        <f t="shared" si="8"/>
        <v>0</v>
      </c>
      <c r="AB8" s="6">
        <f t="shared" si="112"/>
        <v>4</v>
      </c>
      <c r="AC8" s="6">
        <f t="shared" si="9"/>
        <v>0</v>
      </c>
      <c r="AD8" s="6">
        <f t="shared" si="113"/>
        <v>1</v>
      </c>
      <c r="AE8" s="6"/>
      <c r="AF8" s="6">
        <f t="shared" si="232"/>
        <v>1</v>
      </c>
      <c r="AG8" s="6"/>
      <c r="AH8" s="20">
        <f>G8-'Zusammenfassung Tag1-4'!$B$2/18</f>
        <v>3.8888888888888888</v>
      </c>
      <c r="AI8" s="21">
        <f t="shared" si="114"/>
        <v>23.333333333333336</v>
      </c>
      <c r="AJ8" s="18">
        <v>5</v>
      </c>
      <c r="AK8" s="6">
        <f t="shared" si="115"/>
        <v>26</v>
      </c>
      <c r="AL8" s="19">
        <v>3</v>
      </c>
      <c r="AM8" s="6">
        <f t="shared" si="116"/>
        <v>13</v>
      </c>
      <c r="AN8" s="6">
        <f t="shared" si="10"/>
        <v>1</v>
      </c>
      <c r="AO8" s="6">
        <f t="shared" si="117"/>
        <v>5</v>
      </c>
      <c r="AP8" s="6">
        <f t="shared" si="11"/>
        <v>0</v>
      </c>
      <c r="AQ8" s="6">
        <f t="shared" si="118"/>
        <v>1</v>
      </c>
      <c r="AR8" s="6">
        <f t="shared" si="12"/>
        <v>0</v>
      </c>
      <c r="AS8" s="6">
        <f t="shared" si="119"/>
        <v>0</v>
      </c>
      <c r="AT8" s="6">
        <f t="shared" si="13"/>
        <v>0</v>
      </c>
      <c r="AU8" s="6">
        <f t="shared" si="120"/>
        <v>4</v>
      </c>
      <c r="AV8" s="6">
        <f t="shared" si="14"/>
        <v>1</v>
      </c>
      <c r="AW8" s="6">
        <f t="shared" si="121"/>
        <v>2</v>
      </c>
      <c r="AX8" s="6">
        <f t="shared" si="15"/>
        <v>0</v>
      </c>
      <c r="AY8" s="6">
        <f t="shared" si="122"/>
        <v>0</v>
      </c>
      <c r="AZ8" s="6">
        <f t="shared" si="16"/>
        <v>0</v>
      </c>
      <c r="BA8" s="6">
        <f t="shared" si="123"/>
        <v>0</v>
      </c>
      <c r="BB8" s="6">
        <f t="shared" si="17"/>
        <v>0</v>
      </c>
      <c r="BC8" s="6">
        <f t="shared" si="124"/>
        <v>1</v>
      </c>
      <c r="BD8" s="6">
        <f t="shared" si="18"/>
        <v>0</v>
      </c>
      <c r="BE8" s="6">
        <f t="shared" si="125"/>
        <v>3</v>
      </c>
      <c r="BF8" s="6">
        <f t="shared" si="19"/>
        <v>1</v>
      </c>
      <c r="BG8" s="6">
        <f t="shared" si="126"/>
        <v>2</v>
      </c>
      <c r="BH8" s="6"/>
      <c r="BI8" s="6">
        <f t="shared" si="233"/>
        <v>1</v>
      </c>
      <c r="BJ8" s="6"/>
      <c r="BK8" s="20">
        <f>AJ8-'Zusammenfassung Tag1-4'!$C$2/18</f>
        <v>4.333333333333333</v>
      </c>
      <c r="BL8" s="21">
        <f t="shared" si="127"/>
        <v>22</v>
      </c>
      <c r="BM8" s="18">
        <v>8</v>
      </c>
      <c r="BN8" s="6">
        <f t="shared" si="128"/>
        <v>31</v>
      </c>
      <c r="BO8" s="19">
        <v>2</v>
      </c>
      <c r="BP8" s="6">
        <f t="shared" si="129"/>
        <v>12</v>
      </c>
      <c r="BQ8" s="6">
        <f t="shared" si="20"/>
        <v>0</v>
      </c>
      <c r="BR8" s="6">
        <f t="shared" si="130"/>
        <v>3</v>
      </c>
      <c r="BS8" s="6">
        <f t="shared" si="21"/>
        <v>0</v>
      </c>
      <c r="BT8" s="6">
        <f t="shared" si="131"/>
        <v>1</v>
      </c>
      <c r="BU8" s="6">
        <f t="shared" si="22"/>
        <v>0</v>
      </c>
      <c r="BV8" s="6">
        <f t="shared" si="132"/>
        <v>0</v>
      </c>
      <c r="BW8" s="6">
        <f t="shared" si="23"/>
        <v>0</v>
      </c>
      <c r="BX8" s="6">
        <f t="shared" si="133"/>
        <v>4</v>
      </c>
      <c r="BY8" s="6">
        <f t="shared" si="24"/>
        <v>0</v>
      </c>
      <c r="BZ8" s="6">
        <f t="shared" si="134"/>
        <v>0</v>
      </c>
      <c r="CA8" s="6">
        <f t="shared" si="25"/>
        <v>1</v>
      </c>
      <c r="CB8" s="6">
        <f t="shared" si="135"/>
        <v>2</v>
      </c>
      <c r="CC8" s="6">
        <f t="shared" si="26"/>
        <v>0</v>
      </c>
      <c r="CD8" s="6">
        <f t="shared" si="136"/>
        <v>0</v>
      </c>
      <c r="CE8" s="6">
        <f t="shared" si="27"/>
        <v>0</v>
      </c>
      <c r="CF8" s="6">
        <f t="shared" si="137"/>
        <v>1</v>
      </c>
      <c r="CG8" s="6">
        <f t="shared" si="28"/>
        <v>1</v>
      </c>
      <c r="CH8" s="6">
        <f t="shared" si="138"/>
        <v>4</v>
      </c>
      <c r="CI8" s="6">
        <f t="shared" si="29"/>
        <v>0</v>
      </c>
      <c r="CJ8" s="6">
        <f t="shared" si="139"/>
        <v>1</v>
      </c>
      <c r="CK8" s="6"/>
      <c r="CL8" s="6">
        <f t="shared" si="234"/>
        <v>4</v>
      </c>
      <c r="CM8" s="6"/>
      <c r="CN8" s="20">
        <f>BM8-'Zusammenfassung Tag1-4'!$D$2/18</f>
        <v>6.666666666666667</v>
      </c>
      <c r="CO8" s="21">
        <f t="shared" si="140"/>
        <v>23</v>
      </c>
      <c r="CP8" s="18">
        <v>6</v>
      </c>
      <c r="CQ8" s="6">
        <f t="shared" si="141"/>
        <v>30</v>
      </c>
      <c r="CR8" s="19">
        <v>2</v>
      </c>
      <c r="CS8" s="6">
        <f t="shared" si="142"/>
        <v>12</v>
      </c>
      <c r="CT8" s="6">
        <f t="shared" si="30"/>
        <v>0</v>
      </c>
      <c r="CU8" s="6">
        <f t="shared" si="143"/>
        <v>2</v>
      </c>
      <c r="CV8" s="6">
        <f t="shared" si="31"/>
        <v>0</v>
      </c>
      <c r="CW8" s="6">
        <f t="shared" si="144"/>
        <v>0</v>
      </c>
      <c r="CX8" s="6">
        <f t="shared" si="32"/>
        <v>0</v>
      </c>
      <c r="CY8" s="6">
        <f t="shared" si="145"/>
        <v>0</v>
      </c>
      <c r="CZ8" s="6">
        <f t="shared" si="33"/>
        <v>0</v>
      </c>
      <c r="DA8" s="6">
        <f t="shared" si="146"/>
        <v>2</v>
      </c>
      <c r="DB8" s="6">
        <f t="shared" si="34"/>
        <v>0</v>
      </c>
      <c r="DC8" s="6">
        <f t="shared" si="147"/>
        <v>2</v>
      </c>
      <c r="DD8" s="6">
        <f t="shared" si="35"/>
        <v>1</v>
      </c>
      <c r="DE8" s="6">
        <f t="shared" si="148"/>
        <v>2</v>
      </c>
      <c r="DF8" s="6">
        <f t="shared" si="36"/>
        <v>0</v>
      </c>
      <c r="DG8" s="6">
        <f t="shared" si="149"/>
        <v>0</v>
      </c>
      <c r="DH8" s="6">
        <f t="shared" si="37"/>
        <v>0</v>
      </c>
      <c r="DI8" s="6">
        <f t="shared" si="150"/>
        <v>0</v>
      </c>
      <c r="DJ8" s="6">
        <f t="shared" si="38"/>
        <v>1</v>
      </c>
      <c r="DK8" s="6">
        <f t="shared" si="151"/>
        <v>6</v>
      </c>
      <c r="DL8" s="6">
        <f t="shared" si="39"/>
        <v>0</v>
      </c>
      <c r="DM8" s="6">
        <f t="shared" si="152"/>
        <v>0</v>
      </c>
      <c r="DN8" s="6"/>
      <c r="DO8" s="6">
        <f t="shared" si="235"/>
        <v>2</v>
      </c>
      <c r="DP8" s="6"/>
      <c r="DQ8" s="20">
        <f>CP8-'Zusammenfassung Tag1-4'!$E$2/18</f>
        <v>4.7222222222222223</v>
      </c>
      <c r="DR8" s="22">
        <f t="shared" si="153"/>
        <v>22.333333333333332</v>
      </c>
      <c r="DS8" s="18">
        <v>8</v>
      </c>
      <c r="DT8" s="6">
        <f t="shared" si="154"/>
        <v>43</v>
      </c>
      <c r="DU8" s="19">
        <v>4</v>
      </c>
      <c r="DV8" s="6">
        <f t="shared" si="155"/>
        <v>15</v>
      </c>
      <c r="DW8" s="6">
        <f t="shared" si="40"/>
        <v>0</v>
      </c>
      <c r="DX8" s="6">
        <f t="shared" si="156"/>
        <v>1</v>
      </c>
      <c r="DY8" s="6">
        <f t="shared" si="41"/>
        <v>0</v>
      </c>
      <c r="DZ8" s="6">
        <f t="shared" si="157"/>
        <v>0</v>
      </c>
      <c r="EA8" s="6">
        <f t="shared" si="42"/>
        <v>0</v>
      </c>
      <c r="EB8" s="6">
        <f t="shared" si="158"/>
        <v>0</v>
      </c>
      <c r="EC8" s="6">
        <f t="shared" si="43"/>
        <v>0</v>
      </c>
      <c r="ED8" s="6">
        <f t="shared" si="159"/>
        <v>1</v>
      </c>
      <c r="EE8" s="6">
        <f t="shared" si="44"/>
        <v>0</v>
      </c>
      <c r="EF8" s="6">
        <f t="shared" si="160"/>
        <v>0</v>
      </c>
      <c r="EG8" s="6">
        <f t="shared" si="45"/>
        <v>1</v>
      </c>
      <c r="EH8" s="6">
        <f t="shared" si="161"/>
        <v>5</v>
      </c>
      <c r="EI8" s="6">
        <f t="shared" si="46"/>
        <v>0</v>
      </c>
      <c r="EJ8" s="6">
        <f t="shared" si="162"/>
        <v>0</v>
      </c>
      <c r="EK8" s="6">
        <f t="shared" si="47"/>
        <v>0</v>
      </c>
      <c r="EL8" s="6">
        <f t="shared" si="163"/>
        <v>0</v>
      </c>
      <c r="EM8" s="6">
        <f t="shared" si="48"/>
        <v>0</v>
      </c>
      <c r="EN8" s="6">
        <f t="shared" si="164"/>
        <v>4</v>
      </c>
      <c r="EO8" s="6">
        <f t="shared" si="49"/>
        <v>1</v>
      </c>
      <c r="EP8" s="6">
        <f t="shared" si="165"/>
        <v>2</v>
      </c>
      <c r="EQ8" s="6"/>
      <c r="ER8" s="6">
        <f t="shared" si="236"/>
        <v>4</v>
      </c>
      <c r="ES8" s="6"/>
      <c r="ET8" s="20">
        <f>DS8-'Zusammenfassung Tag1-4'!$F$2/18</f>
        <v>5</v>
      </c>
      <c r="EU8" s="22">
        <f t="shared" si="166"/>
        <v>25</v>
      </c>
      <c r="EV8" s="18">
        <v>6</v>
      </c>
      <c r="EW8" s="6">
        <f t="shared" si="167"/>
        <v>34</v>
      </c>
      <c r="EX8" s="19">
        <v>3</v>
      </c>
      <c r="EY8" s="6">
        <f t="shared" si="168"/>
        <v>16</v>
      </c>
      <c r="EZ8" s="6">
        <f t="shared" si="50"/>
        <v>0</v>
      </c>
      <c r="FA8" s="6">
        <f t="shared" si="169"/>
        <v>2</v>
      </c>
      <c r="FB8" s="6">
        <f t="shared" si="51"/>
        <v>0</v>
      </c>
      <c r="FC8" s="6">
        <f t="shared" si="170"/>
        <v>0</v>
      </c>
      <c r="FD8" s="6">
        <f t="shared" si="52"/>
        <v>0</v>
      </c>
      <c r="FE8" s="6">
        <f t="shared" si="171"/>
        <v>0</v>
      </c>
      <c r="FF8" s="6">
        <f t="shared" si="53"/>
        <v>0</v>
      </c>
      <c r="FG8" s="6">
        <f t="shared" si="172"/>
        <v>1</v>
      </c>
      <c r="FH8" s="6">
        <f t="shared" si="54"/>
        <v>0</v>
      </c>
      <c r="FI8" s="6">
        <f t="shared" si="173"/>
        <v>1</v>
      </c>
      <c r="FJ8" s="6">
        <f t="shared" si="55"/>
        <v>1</v>
      </c>
      <c r="FK8" s="6">
        <f t="shared" si="174"/>
        <v>4</v>
      </c>
      <c r="FL8" s="6">
        <f t="shared" si="56"/>
        <v>0</v>
      </c>
      <c r="FM8" s="6">
        <f t="shared" si="175"/>
        <v>0</v>
      </c>
      <c r="FN8" s="6">
        <f t="shared" si="57"/>
        <v>0</v>
      </c>
      <c r="FO8" s="6">
        <f t="shared" si="176"/>
        <v>0</v>
      </c>
      <c r="FP8" s="6">
        <f t="shared" si="58"/>
        <v>0</v>
      </c>
      <c r="FQ8" s="6">
        <f t="shared" si="177"/>
        <v>2</v>
      </c>
      <c r="FR8" s="6">
        <f t="shared" si="59"/>
        <v>1</v>
      </c>
      <c r="FS8" s="6">
        <f t="shared" si="178"/>
        <v>4</v>
      </c>
      <c r="FT8" s="6"/>
      <c r="FU8" s="6">
        <f t="shared" si="237"/>
        <v>2</v>
      </c>
      <c r="FV8" s="6"/>
      <c r="FW8" s="20">
        <f>EV8-'Zusammenfassung Tag1-4'!$G$2/18</f>
        <v>4.5</v>
      </c>
      <c r="FX8" s="22">
        <f t="shared" si="179"/>
        <v>25</v>
      </c>
      <c r="FY8" s="18">
        <v>7</v>
      </c>
      <c r="FZ8" s="6">
        <f t="shared" si="180"/>
        <v>45</v>
      </c>
      <c r="GA8" s="19">
        <v>2</v>
      </c>
      <c r="GB8" s="6">
        <f t="shared" si="181"/>
        <v>15</v>
      </c>
      <c r="GC8" s="6">
        <f t="shared" si="60"/>
        <v>0</v>
      </c>
      <c r="GD8" s="6">
        <f t="shared" si="182"/>
        <v>1</v>
      </c>
      <c r="GE8" s="6">
        <f t="shared" si="61"/>
        <v>0</v>
      </c>
      <c r="GF8" s="6">
        <f t="shared" si="183"/>
        <v>0</v>
      </c>
      <c r="GG8" s="6">
        <f t="shared" si="62"/>
        <v>0</v>
      </c>
      <c r="GH8" s="6">
        <f t="shared" si="184"/>
        <v>0</v>
      </c>
      <c r="GI8" s="6">
        <f t="shared" si="63"/>
        <v>0</v>
      </c>
      <c r="GJ8" s="6">
        <f t="shared" si="185"/>
        <v>0</v>
      </c>
      <c r="GK8" s="6">
        <f t="shared" si="64"/>
        <v>0</v>
      </c>
      <c r="GL8" s="6">
        <f t="shared" si="186"/>
        <v>1</v>
      </c>
      <c r="GM8" s="6">
        <f t="shared" si="65"/>
        <v>1</v>
      </c>
      <c r="GN8" s="6">
        <f t="shared" si="187"/>
        <v>5</v>
      </c>
      <c r="GO8" s="6">
        <f t="shared" si="66"/>
        <v>0</v>
      </c>
      <c r="GP8" s="6">
        <f t="shared" si="188"/>
        <v>0</v>
      </c>
      <c r="GQ8" s="6">
        <f t="shared" si="67"/>
        <v>0</v>
      </c>
      <c r="GR8" s="6">
        <f t="shared" si="189"/>
        <v>0</v>
      </c>
      <c r="GS8" s="6">
        <f t="shared" si="68"/>
        <v>1</v>
      </c>
      <c r="GT8" s="6">
        <f t="shared" si="190"/>
        <v>3</v>
      </c>
      <c r="GU8" s="6">
        <f t="shared" si="69"/>
        <v>0</v>
      </c>
      <c r="GV8" s="6">
        <f t="shared" si="191"/>
        <v>3</v>
      </c>
      <c r="GW8" s="6"/>
      <c r="GX8" s="6">
        <f t="shared" si="238"/>
        <v>3</v>
      </c>
      <c r="GY8" s="6"/>
      <c r="GZ8" s="20">
        <f>FY8-'Zusammenfassung Tag1-4'!$H$2/18</f>
        <v>4</v>
      </c>
      <c r="HA8" s="22">
        <f t="shared" si="192"/>
        <v>27</v>
      </c>
      <c r="HB8" s="18">
        <v>5</v>
      </c>
      <c r="HC8" s="6">
        <f t="shared" si="193"/>
        <v>30</v>
      </c>
      <c r="HD8" s="19">
        <v>2</v>
      </c>
      <c r="HE8" s="6">
        <f t="shared" si="194"/>
        <v>12</v>
      </c>
      <c r="HF8" s="6">
        <f t="shared" si="70"/>
        <v>0</v>
      </c>
      <c r="HG8" s="6">
        <f t="shared" si="195"/>
        <v>2</v>
      </c>
      <c r="HH8" s="6">
        <f t="shared" si="71"/>
        <v>0</v>
      </c>
      <c r="HI8" s="6">
        <f t="shared" si="196"/>
        <v>1</v>
      </c>
      <c r="HJ8" s="6">
        <f t="shared" si="72"/>
        <v>0</v>
      </c>
      <c r="HK8" s="6">
        <f t="shared" si="197"/>
        <v>0</v>
      </c>
      <c r="HL8" s="6">
        <f t="shared" si="73"/>
        <v>0</v>
      </c>
      <c r="HM8" s="6">
        <f t="shared" si="198"/>
        <v>2</v>
      </c>
      <c r="HN8" s="6">
        <f t="shared" si="74"/>
        <v>1</v>
      </c>
      <c r="HO8" s="6">
        <f t="shared" si="199"/>
        <v>3</v>
      </c>
      <c r="HP8" s="6">
        <f t="shared" si="75"/>
        <v>0</v>
      </c>
      <c r="HQ8" s="6">
        <f t="shared" si="200"/>
        <v>1</v>
      </c>
      <c r="HR8" s="6">
        <f t="shared" si="76"/>
        <v>0</v>
      </c>
      <c r="HS8" s="6">
        <f t="shared" si="201"/>
        <v>0</v>
      </c>
      <c r="HT8" s="6">
        <f t="shared" si="77"/>
        <v>0</v>
      </c>
      <c r="HU8" s="6">
        <f t="shared" si="202"/>
        <v>1</v>
      </c>
      <c r="HV8" s="6">
        <f t="shared" si="78"/>
        <v>1</v>
      </c>
      <c r="HW8" s="6">
        <f t="shared" si="203"/>
        <v>4</v>
      </c>
      <c r="HX8" s="6">
        <f t="shared" si="79"/>
        <v>0</v>
      </c>
      <c r="HY8" s="6">
        <f t="shared" si="204"/>
        <v>1</v>
      </c>
      <c r="HZ8" s="6"/>
      <c r="IA8" s="6">
        <f t="shared" si="239"/>
        <v>1</v>
      </c>
      <c r="IB8" s="6"/>
      <c r="IC8" s="20">
        <f>HB8-'Zusammenfassung Tag1-4'!$I$2/18</f>
        <v>4</v>
      </c>
      <c r="ID8" s="22">
        <f t="shared" si="205"/>
        <v>24</v>
      </c>
      <c r="IE8" s="18"/>
      <c r="IF8" s="6">
        <f t="shared" si="206"/>
        <v>0</v>
      </c>
      <c r="IG8" s="19"/>
      <c r="IH8" s="6">
        <f t="shared" si="207"/>
        <v>0</v>
      </c>
      <c r="II8" s="6">
        <f t="shared" si="80"/>
        <v>1</v>
      </c>
      <c r="IJ8" s="6">
        <f t="shared" si="208"/>
        <v>6</v>
      </c>
      <c r="IK8" s="6">
        <f t="shared" si="81"/>
        <v>0</v>
      </c>
      <c r="IL8" s="6">
        <f t="shared" si="209"/>
        <v>0</v>
      </c>
      <c r="IM8" s="6">
        <f t="shared" si="82"/>
        <v>0</v>
      </c>
      <c r="IN8" s="6">
        <f t="shared" si="210"/>
        <v>0</v>
      </c>
      <c r="IO8" s="6">
        <f t="shared" si="83"/>
        <v>0</v>
      </c>
      <c r="IP8" s="6">
        <f t="shared" si="211"/>
        <v>0</v>
      </c>
      <c r="IQ8" s="6">
        <f t="shared" si="84"/>
        <v>0</v>
      </c>
      <c r="IR8" s="6">
        <f t="shared" si="212"/>
        <v>0</v>
      </c>
      <c r="IS8" s="6">
        <f t="shared" si="85"/>
        <v>0</v>
      </c>
      <c r="IT8" s="6">
        <f t="shared" si="213"/>
        <v>0</v>
      </c>
      <c r="IU8" s="6">
        <f t="shared" si="86"/>
        <v>1</v>
      </c>
      <c r="IV8" s="6">
        <f t="shared" si="214"/>
        <v>6</v>
      </c>
      <c r="IW8" s="6">
        <f t="shared" si="87"/>
        <v>0</v>
      </c>
      <c r="IX8" s="6">
        <f t="shared" si="215"/>
        <v>0</v>
      </c>
      <c r="IY8" s="6">
        <f t="shared" si="88"/>
        <v>0</v>
      </c>
      <c r="IZ8" s="6">
        <f t="shared" si="216"/>
        <v>0</v>
      </c>
      <c r="JA8" s="6">
        <f t="shared" si="89"/>
        <v>0</v>
      </c>
      <c r="JB8" s="6">
        <f t="shared" si="217"/>
        <v>0</v>
      </c>
      <c r="JC8" s="6"/>
      <c r="JD8" s="6">
        <f t="shared" si="240"/>
        <v>-4</v>
      </c>
      <c r="JE8" s="6"/>
      <c r="JF8" s="20">
        <f>IE8-'Zusammenfassung Tag1-4'!$J$2/18</f>
        <v>-3</v>
      </c>
      <c r="JG8" s="22">
        <f t="shared" si="218"/>
        <v>-18</v>
      </c>
      <c r="JH8" s="18"/>
      <c r="JI8" s="6">
        <f t="shared" si="219"/>
        <v>0</v>
      </c>
      <c r="JJ8" s="19"/>
      <c r="JK8" s="6">
        <f t="shared" si="220"/>
        <v>0</v>
      </c>
      <c r="JL8" s="6">
        <f t="shared" si="90"/>
        <v>1</v>
      </c>
      <c r="JM8" s="6">
        <f t="shared" si="221"/>
        <v>6</v>
      </c>
      <c r="JN8" s="6">
        <f t="shared" si="91"/>
        <v>0</v>
      </c>
      <c r="JO8" s="6">
        <f t="shared" si="222"/>
        <v>0</v>
      </c>
      <c r="JP8" s="6">
        <f t="shared" si="92"/>
        <v>0</v>
      </c>
      <c r="JQ8" s="6">
        <f t="shared" si="223"/>
        <v>0</v>
      </c>
      <c r="JR8" s="6">
        <f t="shared" si="93"/>
        <v>0</v>
      </c>
      <c r="JS8" s="6">
        <f t="shared" si="224"/>
        <v>0</v>
      </c>
      <c r="JT8" s="6">
        <f t="shared" si="94"/>
        <v>0</v>
      </c>
      <c r="JU8" s="6">
        <f t="shared" si="225"/>
        <v>0</v>
      </c>
      <c r="JV8" s="6">
        <f t="shared" si="95"/>
        <v>0</v>
      </c>
      <c r="JW8" s="6">
        <f t="shared" si="226"/>
        <v>0</v>
      </c>
      <c r="JX8" s="6">
        <f t="shared" si="96"/>
        <v>1</v>
      </c>
      <c r="JY8" s="6">
        <f t="shared" si="227"/>
        <v>6</v>
      </c>
      <c r="JZ8" s="6">
        <f t="shared" si="97"/>
        <v>0</v>
      </c>
      <c r="KA8" s="6">
        <f t="shared" si="228"/>
        <v>0</v>
      </c>
      <c r="KB8" s="6">
        <f t="shared" si="98"/>
        <v>0</v>
      </c>
      <c r="KC8" s="6">
        <f t="shared" si="229"/>
        <v>0</v>
      </c>
      <c r="KD8" s="6">
        <f t="shared" si="99"/>
        <v>0</v>
      </c>
      <c r="KE8" s="6">
        <f t="shared" si="230"/>
        <v>0</v>
      </c>
      <c r="KF8" s="6"/>
      <c r="KG8" s="6">
        <f t="shared" si="241"/>
        <v>-4</v>
      </c>
      <c r="KH8" s="6"/>
      <c r="KI8" s="20">
        <f>JH8-'Zusammenfassung Tag1-4'!$K$2/18</f>
        <v>-0.77777777777777779</v>
      </c>
      <c r="KJ8" s="22">
        <f t="shared" si="231"/>
        <v>-4.666666666666667</v>
      </c>
      <c r="KK8" s="10"/>
      <c r="KL8" s="10"/>
      <c r="KM8" s="10"/>
      <c r="KN8" s="10"/>
      <c r="KO8" s="10"/>
      <c r="KP8" s="10"/>
      <c r="KQ8" s="10"/>
      <c r="KR8" s="10"/>
      <c r="KS8" s="10"/>
      <c r="KT8" s="10"/>
      <c r="KU8" s="10"/>
      <c r="KV8" s="10"/>
      <c r="KW8" s="10"/>
      <c r="KX8" s="10"/>
      <c r="KY8" s="10"/>
      <c r="KZ8" s="10"/>
      <c r="LA8" s="10"/>
      <c r="LB8" s="10"/>
      <c r="LC8" s="10"/>
      <c r="LD8" s="10"/>
    </row>
    <row r="9" spans="1:316" ht="15.75" customHeight="1" x14ac:dyDescent="0.25">
      <c r="A9" s="106"/>
      <c r="B9" s="103"/>
      <c r="C9" s="6">
        <v>7</v>
      </c>
      <c r="D9" s="6">
        <f t="shared" si="100"/>
        <v>7</v>
      </c>
      <c r="E9" s="6">
        <v>5</v>
      </c>
      <c r="F9" s="7">
        <f t="shared" si="101"/>
        <v>29</v>
      </c>
      <c r="G9" s="18">
        <v>7</v>
      </c>
      <c r="H9" s="6">
        <f t="shared" si="102"/>
        <v>37</v>
      </c>
      <c r="I9" s="19">
        <v>3</v>
      </c>
      <c r="J9" s="6">
        <f t="shared" si="103"/>
        <v>16</v>
      </c>
      <c r="K9" s="6">
        <f t="shared" si="0"/>
        <v>0</v>
      </c>
      <c r="L9" s="6">
        <f t="shared" si="104"/>
        <v>3</v>
      </c>
      <c r="M9" s="6">
        <f t="shared" si="1"/>
        <v>0</v>
      </c>
      <c r="N9" s="6">
        <f t="shared" si="105"/>
        <v>0</v>
      </c>
      <c r="O9" s="6">
        <f t="shared" si="2"/>
        <v>0</v>
      </c>
      <c r="P9" s="6">
        <f t="shared" si="106"/>
        <v>0</v>
      </c>
      <c r="Q9" s="6">
        <f t="shared" si="3"/>
        <v>0</v>
      </c>
      <c r="R9" s="6">
        <f t="shared" si="107"/>
        <v>2</v>
      </c>
      <c r="S9" s="6">
        <f t="shared" si="4"/>
        <v>0</v>
      </c>
      <c r="T9" s="6">
        <f t="shared" si="108"/>
        <v>2</v>
      </c>
      <c r="U9" s="6">
        <f t="shared" si="5"/>
        <v>1</v>
      </c>
      <c r="V9" s="6">
        <f t="shared" si="109"/>
        <v>3</v>
      </c>
      <c r="W9" s="6">
        <f t="shared" si="6"/>
        <v>0</v>
      </c>
      <c r="X9" s="6">
        <f t="shared" si="110"/>
        <v>0</v>
      </c>
      <c r="Y9" s="6">
        <f t="shared" si="7"/>
        <v>0</v>
      </c>
      <c r="Z9" s="6">
        <f t="shared" si="111"/>
        <v>1</v>
      </c>
      <c r="AA9" s="6">
        <f t="shared" si="8"/>
        <v>0</v>
      </c>
      <c r="AB9" s="6">
        <f t="shared" si="112"/>
        <v>4</v>
      </c>
      <c r="AC9" s="6">
        <f t="shared" si="9"/>
        <v>1</v>
      </c>
      <c r="AD9" s="6">
        <f t="shared" si="113"/>
        <v>2</v>
      </c>
      <c r="AE9" s="6"/>
      <c r="AF9" s="6"/>
      <c r="AG9" s="6">
        <f>IF($E9=5,G9-5,NA())</f>
        <v>2</v>
      </c>
      <c r="AH9" s="20">
        <f>G9-'Zusammenfassung Tag1-4'!$B$2/18</f>
        <v>5.8888888888888893</v>
      </c>
      <c r="AI9" s="21">
        <f t="shared" si="114"/>
        <v>29.222222222222225</v>
      </c>
      <c r="AJ9" s="18">
        <v>5</v>
      </c>
      <c r="AK9" s="6">
        <f t="shared" si="115"/>
        <v>31</v>
      </c>
      <c r="AL9" s="19">
        <v>2</v>
      </c>
      <c r="AM9" s="6">
        <f t="shared" si="116"/>
        <v>15</v>
      </c>
      <c r="AN9" s="6">
        <f t="shared" si="10"/>
        <v>1</v>
      </c>
      <c r="AO9" s="6">
        <f t="shared" si="117"/>
        <v>6</v>
      </c>
      <c r="AP9" s="6">
        <f t="shared" si="11"/>
        <v>0</v>
      </c>
      <c r="AQ9" s="6">
        <f t="shared" si="118"/>
        <v>1</v>
      </c>
      <c r="AR9" s="6">
        <f t="shared" si="12"/>
        <v>0</v>
      </c>
      <c r="AS9" s="6">
        <f t="shared" si="119"/>
        <v>0</v>
      </c>
      <c r="AT9" s="6">
        <f t="shared" si="13"/>
        <v>1</v>
      </c>
      <c r="AU9" s="6">
        <f t="shared" si="120"/>
        <v>5</v>
      </c>
      <c r="AV9" s="6">
        <f t="shared" si="14"/>
        <v>0</v>
      </c>
      <c r="AW9" s="6">
        <f t="shared" si="121"/>
        <v>2</v>
      </c>
      <c r="AX9" s="6">
        <f t="shared" si="15"/>
        <v>0</v>
      </c>
      <c r="AY9" s="6">
        <f t="shared" si="122"/>
        <v>0</v>
      </c>
      <c r="AZ9" s="6">
        <f t="shared" si="16"/>
        <v>0</v>
      </c>
      <c r="BA9" s="6">
        <f t="shared" si="123"/>
        <v>0</v>
      </c>
      <c r="BB9" s="6">
        <f t="shared" si="17"/>
        <v>0</v>
      </c>
      <c r="BC9" s="6">
        <f t="shared" si="124"/>
        <v>1</v>
      </c>
      <c r="BD9" s="6">
        <f t="shared" si="18"/>
        <v>1</v>
      </c>
      <c r="BE9" s="6">
        <f t="shared" si="125"/>
        <v>4</v>
      </c>
      <c r="BF9" s="6">
        <f t="shared" si="19"/>
        <v>0</v>
      </c>
      <c r="BG9" s="6">
        <f t="shared" si="126"/>
        <v>2</v>
      </c>
      <c r="BH9" s="6"/>
      <c r="BI9" s="6"/>
      <c r="BJ9" s="6">
        <f>IF($E9=5,AJ9-5,NA())</f>
        <v>0</v>
      </c>
      <c r="BK9" s="20">
        <f>AJ9-'Zusammenfassung Tag1-4'!$C$2/18</f>
        <v>4.333333333333333</v>
      </c>
      <c r="BL9" s="21">
        <f t="shared" si="127"/>
        <v>26.333333333333332</v>
      </c>
      <c r="BM9" s="18">
        <v>6</v>
      </c>
      <c r="BN9" s="6">
        <f t="shared" si="128"/>
        <v>37</v>
      </c>
      <c r="BO9" s="19">
        <v>1</v>
      </c>
      <c r="BP9" s="6">
        <f t="shared" si="129"/>
        <v>13</v>
      </c>
      <c r="BQ9" s="6">
        <f t="shared" si="20"/>
        <v>0</v>
      </c>
      <c r="BR9" s="6">
        <f t="shared" si="130"/>
        <v>3</v>
      </c>
      <c r="BS9" s="6">
        <f t="shared" si="21"/>
        <v>0</v>
      </c>
      <c r="BT9" s="6">
        <f t="shared" si="131"/>
        <v>1</v>
      </c>
      <c r="BU9" s="6">
        <f t="shared" si="22"/>
        <v>0</v>
      </c>
      <c r="BV9" s="6">
        <f t="shared" si="132"/>
        <v>0</v>
      </c>
      <c r="BW9" s="6">
        <f t="shared" si="23"/>
        <v>0</v>
      </c>
      <c r="BX9" s="6">
        <f t="shared" si="133"/>
        <v>4</v>
      </c>
      <c r="BY9" s="6">
        <f t="shared" si="24"/>
        <v>1</v>
      </c>
      <c r="BZ9" s="6">
        <f t="shared" si="134"/>
        <v>1</v>
      </c>
      <c r="CA9" s="6">
        <f t="shared" si="25"/>
        <v>0</v>
      </c>
      <c r="CB9" s="6">
        <f t="shared" si="135"/>
        <v>2</v>
      </c>
      <c r="CC9" s="6">
        <f t="shared" si="26"/>
        <v>0</v>
      </c>
      <c r="CD9" s="6">
        <f t="shared" si="136"/>
        <v>0</v>
      </c>
      <c r="CE9" s="6">
        <f t="shared" si="27"/>
        <v>1</v>
      </c>
      <c r="CF9" s="6">
        <f t="shared" si="137"/>
        <v>2</v>
      </c>
      <c r="CG9" s="6">
        <f t="shared" si="28"/>
        <v>0</v>
      </c>
      <c r="CH9" s="6">
        <f t="shared" si="138"/>
        <v>4</v>
      </c>
      <c r="CI9" s="6">
        <f t="shared" si="29"/>
        <v>0</v>
      </c>
      <c r="CJ9" s="6">
        <f t="shared" si="139"/>
        <v>1</v>
      </c>
      <c r="CK9" s="6"/>
      <c r="CL9" s="6"/>
      <c r="CM9" s="6">
        <f>IF($E9=5,BM9-5,NA())</f>
        <v>1</v>
      </c>
      <c r="CN9" s="20">
        <f>BM9-'Zusammenfassung Tag1-4'!$D$2/18</f>
        <v>4.666666666666667</v>
      </c>
      <c r="CO9" s="21">
        <f t="shared" si="140"/>
        <v>27.666666666666668</v>
      </c>
      <c r="CP9" s="18">
        <v>7</v>
      </c>
      <c r="CQ9" s="6">
        <f t="shared" si="141"/>
        <v>37</v>
      </c>
      <c r="CR9" s="19">
        <v>1</v>
      </c>
      <c r="CS9" s="6">
        <f t="shared" si="142"/>
        <v>13</v>
      </c>
      <c r="CT9" s="6">
        <f t="shared" si="30"/>
        <v>0</v>
      </c>
      <c r="CU9" s="6">
        <f t="shared" si="143"/>
        <v>2</v>
      </c>
      <c r="CV9" s="6">
        <f t="shared" si="31"/>
        <v>0</v>
      </c>
      <c r="CW9" s="6">
        <f t="shared" si="144"/>
        <v>0</v>
      </c>
      <c r="CX9" s="6">
        <f t="shared" si="32"/>
        <v>0</v>
      </c>
      <c r="CY9" s="6">
        <f t="shared" si="145"/>
        <v>0</v>
      </c>
      <c r="CZ9" s="6">
        <f t="shared" si="33"/>
        <v>0</v>
      </c>
      <c r="DA9" s="6">
        <f t="shared" si="146"/>
        <v>2</v>
      </c>
      <c r="DB9" s="6">
        <f t="shared" si="34"/>
        <v>0</v>
      </c>
      <c r="DC9" s="6">
        <f t="shared" si="147"/>
        <v>2</v>
      </c>
      <c r="DD9" s="6">
        <f t="shared" si="35"/>
        <v>1</v>
      </c>
      <c r="DE9" s="6">
        <f t="shared" si="148"/>
        <v>3</v>
      </c>
      <c r="DF9" s="6">
        <f t="shared" si="36"/>
        <v>0</v>
      </c>
      <c r="DG9" s="6">
        <f t="shared" si="149"/>
        <v>0</v>
      </c>
      <c r="DH9" s="6">
        <f t="shared" si="37"/>
        <v>1</v>
      </c>
      <c r="DI9" s="6">
        <f t="shared" si="150"/>
        <v>1</v>
      </c>
      <c r="DJ9" s="6">
        <f t="shared" si="38"/>
        <v>0</v>
      </c>
      <c r="DK9" s="6">
        <f t="shared" si="151"/>
        <v>6</v>
      </c>
      <c r="DL9" s="6">
        <f t="shared" si="39"/>
        <v>0</v>
      </c>
      <c r="DM9" s="6">
        <f t="shared" si="152"/>
        <v>0</v>
      </c>
      <c r="DN9" s="6"/>
      <c r="DO9" s="6"/>
      <c r="DP9" s="6">
        <f>IF($E9=5,CP9-5,NA())</f>
        <v>2</v>
      </c>
      <c r="DQ9" s="20">
        <f>CP9-'Zusammenfassung Tag1-4'!$E$2/18</f>
        <v>5.7222222222222223</v>
      </c>
      <c r="DR9" s="22">
        <f t="shared" si="153"/>
        <v>28.055555555555554</v>
      </c>
      <c r="DS9" s="18">
        <v>10</v>
      </c>
      <c r="DT9" s="6">
        <f t="shared" si="154"/>
        <v>53</v>
      </c>
      <c r="DU9" s="19">
        <v>2</v>
      </c>
      <c r="DV9" s="6">
        <f t="shared" si="155"/>
        <v>17</v>
      </c>
      <c r="DW9" s="6">
        <f t="shared" si="40"/>
        <v>0</v>
      </c>
      <c r="DX9" s="6">
        <f t="shared" si="156"/>
        <v>1</v>
      </c>
      <c r="DY9" s="6">
        <f t="shared" si="41"/>
        <v>0</v>
      </c>
      <c r="DZ9" s="6">
        <f t="shared" si="157"/>
        <v>0</v>
      </c>
      <c r="EA9" s="6">
        <f t="shared" si="42"/>
        <v>0</v>
      </c>
      <c r="EB9" s="6">
        <f t="shared" si="158"/>
        <v>0</v>
      </c>
      <c r="EC9" s="6">
        <f t="shared" si="43"/>
        <v>0</v>
      </c>
      <c r="ED9" s="6">
        <f t="shared" si="159"/>
        <v>1</v>
      </c>
      <c r="EE9" s="6">
        <f t="shared" si="44"/>
        <v>0</v>
      </c>
      <c r="EF9" s="6">
        <f t="shared" si="160"/>
        <v>0</v>
      </c>
      <c r="EG9" s="6">
        <f t="shared" si="45"/>
        <v>1</v>
      </c>
      <c r="EH9" s="6">
        <f t="shared" si="161"/>
        <v>6</v>
      </c>
      <c r="EI9" s="6">
        <f t="shared" si="46"/>
        <v>0</v>
      </c>
      <c r="EJ9" s="6">
        <f t="shared" si="162"/>
        <v>0</v>
      </c>
      <c r="EK9" s="6">
        <f t="shared" si="47"/>
        <v>0</v>
      </c>
      <c r="EL9" s="6">
        <f t="shared" si="163"/>
        <v>0</v>
      </c>
      <c r="EM9" s="6">
        <f t="shared" si="48"/>
        <v>1</v>
      </c>
      <c r="EN9" s="6">
        <f t="shared" si="164"/>
        <v>5</v>
      </c>
      <c r="EO9" s="6">
        <f t="shared" si="49"/>
        <v>0</v>
      </c>
      <c r="EP9" s="6">
        <f t="shared" si="165"/>
        <v>2</v>
      </c>
      <c r="EQ9" s="6"/>
      <c r="ER9" s="6"/>
      <c r="ES9" s="6">
        <f>IF($E9=5,DS9-5,NA())</f>
        <v>5</v>
      </c>
      <c r="ET9" s="20">
        <f>DS9-'Zusammenfassung Tag1-4'!$F$2/18</f>
        <v>7</v>
      </c>
      <c r="EU9" s="22">
        <f t="shared" si="166"/>
        <v>32</v>
      </c>
      <c r="EV9" s="18">
        <v>7</v>
      </c>
      <c r="EW9" s="6">
        <f t="shared" si="167"/>
        <v>41</v>
      </c>
      <c r="EX9" s="19">
        <v>1</v>
      </c>
      <c r="EY9" s="6">
        <f t="shared" si="168"/>
        <v>17</v>
      </c>
      <c r="EZ9" s="6">
        <f t="shared" si="50"/>
        <v>0</v>
      </c>
      <c r="FA9" s="6">
        <f t="shared" si="169"/>
        <v>2</v>
      </c>
      <c r="FB9" s="6">
        <f t="shared" si="51"/>
        <v>0</v>
      </c>
      <c r="FC9" s="6">
        <f t="shared" si="170"/>
        <v>0</v>
      </c>
      <c r="FD9" s="6">
        <f t="shared" si="52"/>
        <v>0</v>
      </c>
      <c r="FE9" s="6">
        <f t="shared" si="171"/>
        <v>0</v>
      </c>
      <c r="FF9" s="6">
        <f t="shared" si="53"/>
        <v>0</v>
      </c>
      <c r="FG9" s="6">
        <f t="shared" si="172"/>
        <v>1</v>
      </c>
      <c r="FH9" s="6">
        <f t="shared" si="54"/>
        <v>0</v>
      </c>
      <c r="FI9" s="6">
        <f t="shared" si="173"/>
        <v>1</v>
      </c>
      <c r="FJ9" s="6">
        <f t="shared" si="55"/>
        <v>1</v>
      </c>
      <c r="FK9" s="6">
        <f t="shared" si="174"/>
        <v>5</v>
      </c>
      <c r="FL9" s="6">
        <f t="shared" si="56"/>
        <v>0</v>
      </c>
      <c r="FM9" s="6">
        <f t="shared" si="175"/>
        <v>0</v>
      </c>
      <c r="FN9" s="6">
        <f t="shared" si="57"/>
        <v>1</v>
      </c>
      <c r="FO9" s="6">
        <f t="shared" si="176"/>
        <v>1</v>
      </c>
      <c r="FP9" s="6">
        <f t="shared" si="58"/>
        <v>0</v>
      </c>
      <c r="FQ9" s="6">
        <f t="shared" si="177"/>
        <v>2</v>
      </c>
      <c r="FR9" s="6">
        <f t="shared" si="59"/>
        <v>0</v>
      </c>
      <c r="FS9" s="6">
        <f t="shared" si="178"/>
        <v>4</v>
      </c>
      <c r="FT9" s="6"/>
      <c r="FU9" s="6"/>
      <c r="FV9" s="6">
        <f>IF($E9=5,EV9-5,NA())</f>
        <v>2</v>
      </c>
      <c r="FW9" s="20">
        <f>EV9-'Zusammenfassung Tag1-4'!$G$2/18</f>
        <v>5.5</v>
      </c>
      <c r="FX9" s="22">
        <f t="shared" si="179"/>
        <v>30.5</v>
      </c>
      <c r="FY9" s="18">
        <v>10</v>
      </c>
      <c r="FZ9" s="6">
        <f t="shared" si="180"/>
        <v>55</v>
      </c>
      <c r="GA9" s="19">
        <v>2</v>
      </c>
      <c r="GB9" s="6">
        <f t="shared" si="181"/>
        <v>17</v>
      </c>
      <c r="GC9" s="6">
        <f t="shared" si="60"/>
        <v>0</v>
      </c>
      <c r="GD9" s="6">
        <f t="shared" si="182"/>
        <v>1</v>
      </c>
      <c r="GE9" s="6">
        <f t="shared" si="61"/>
        <v>0</v>
      </c>
      <c r="GF9" s="6">
        <f t="shared" si="183"/>
        <v>0</v>
      </c>
      <c r="GG9" s="6">
        <f t="shared" si="62"/>
        <v>0</v>
      </c>
      <c r="GH9" s="6">
        <f t="shared" si="184"/>
        <v>0</v>
      </c>
      <c r="GI9" s="6">
        <f t="shared" si="63"/>
        <v>0</v>
      </c>
      <c r="GJ9" s="6">
        <f t="shared" si="185"/>
        <v>0</v>
      </c>
      <c r="GK9" s="6">
        <f t="shared" si="64"/>
        <v>0</v>
      </c>
      <c r="GL9" s="6">
        <f t="shared" si="186"/>
        <v>1</v>
      </c>
      <c r="GM9" s="6">
        <f t="shared" si="65"/>
        <v>1</v>
      </c>
      <c r="GN9" s="6">
        <f t="shared" si="187"/>
        <v>6</v>
      </c>
      <c r="GO9" s="6">
        <f t="shared" si="66"/>
        <v>0</v>
      </c>
      <c r="GP9" s="6">
        <f t="shared" si="188"/>
        <v>0</v>
      </c>
      <c r="GQ9" s="6">
        <f t="shared" si="67"/>
        <v>0</v>
      </c>
      <c r="GR9" s="6">
        <f t="shared" si="189"/>
        <v>0</v>
      </c>
      <c r="GS9" s="6">
        <f t="shared" si="68"/>
        <v>1</v>
      </c>
      <c r="GT9" s="6">
        <f t="shared" si="190"/>
        <v>4</v>
      </c>
      <c r="GU9" s="6">
        <f t="shared" si="69"/>
        <v>0</v>
      </c>
      <c r="GV9" s="6">
        <f t="shared" si="191"/>
        <v>3</v>
      </c>
      <c r="GW9" s="6"/>
      <c r="GX9" s="6"/>
      <c r="GY9" s="6">
        <f>IF($E9=5,FY9-5,NA())</f>
        <v>5</v>
      </c>
      <c r="GZ9" s="20">
        <f>FY9-'Zusammenfassung Tag1-4'!$H$2/18</f>
        <v>7</v>
      </c>
      <c r="HA9" s="22">
        <f t="shared" si="192"/>
        <v>34</v>
      </c>
      <c r="HB9" s="18">
        <v>6</v>
      </c>
      <c r="HC9" s="6">
        <f t="shared" si="193"/>
        <v>36</v>
      </c>
      <c r="HD9" s="19">
        <v>2</v>
      </c>
      <c r="HE9" s="6">
        <f t="shared" si="194"/>
        <v>14</v>
      </c>
      <c r="HF9" s="6">
        <f t="shared" si="70"/>
        <v>0</v>
      </c>
      <c r="HG9" s="6">
        <f t="shared" si="195"/>
        <v>2</v>
      </c>
      <c r="HH9" s="6">
        <f t="shared" si="71"/>
        <v>0</v>
      </c>
      <c r="HI9" s="6">
        <f t="shared" si="196"/>
        <v>1</v>
      </c>
      <c r="HJ9" s="6">
        <f t="shared" si="72"/>
        <v>0</v>
      </c>
      <c r="HK9" s="6">
        <f t="shared" si="197"/>
        <v>0</v>
      </c>
      <c r="HL9" s="6">
        <f t="shared" si="73"/>
        <v>0</v>
      </c>
      <c r="HM9" s="6">
        <f t="shared" si="198"/>
        <v>2</v>
      </c>
      <c r="HN9" s="6">
        <f t="shared" si="74"/>
        <v>1</v>
      </c>
      <c r="HO9" s="6">
        <f t="shared" si="199"/>
        <v>4</v>
      </c>
      <c r="HP9" s="6">
        <f t="shared" si="75"/>
        <v>0</v>
      </c>
      <c r="HQ9" s="6">
        <f t="shared" si="200"/>
        <v>1</v>
      </c>
      <c r="HR9" s="6">
        <f t="shared" si="76"/>
        <v>0</v>
      </c>
      <c r="HS9" s="6">
        <f t="shared" si="201"/>
        <v>0</v>
      </c>
      <c r="HT9" s="6">
        <f t="shared" si="77"/>
        <v>0</v>
      </c>
      <c r="HU9" s="6">
        <f t="shared" si="202"/>
        <v>1</v>
      </c>
      <c r="HV9" s="6">
        <f t="shared" si="78"/>
        <v>1</v>
      </c>
      <c r="HW9" s="6">
        <f t="shared" si="203"/>
        <v>5</v>
      </c>
      <c r="HX9" s="6">
        <f t="shared" si="79"/>
        <v>0</v>
      </c>
      <c r="HY9" s="6">
        <f t="shared" si="204"/>
        <v>1</v>
      </c>
      <c r="HZ9" s="6"/>
      <c r="IA9" s="6"/>
      <c r="IB9" s="6">
        <f>IF($E9=5,HB9-5,NA())</f>
        <v>1</v>
      </c>
      <c r="IC9" s="20">
        <f>HB9-'Zusammenfassung Tag1-4'!$I$2/18</f>
        <v>5</v>
      </c>
      <c r="ID9" s="22">
        <f t="shared" si="205"/>
        <v>29</v>
      </c>
      <c r="IE9" s="18"/>
      <c r="IF9" s="6">
        <f t="shared" si="206"/>
        <v>0</v>
      </c>
      <c r="IG9" s="19"/>
      <c r="IH9" s="6">
        <f t="shared" si="207"/>
        <v>0</v>
      </c>
      <c r="II9" s="6">
        <f t="shared" si="80"/>
        <v>1</v>
      </c>
      <c r="IJ9" s="6">
        <f t="shared" si="208"/>
        <v>7</v>
      </c>
      <c r="IK9" s="6">
        <f t="shared" si="81"/>
        <v>0</v>
      </c>
      <c r="IL9" s="6">
        <f t="shared" si="209"/>
        <v>0</v>
      </c>
      <c r="IM9" s="6">
        <f t="shared" si="82"/>
        <v>0</v>
      </c>
      <c r="IN9" s="6">
        <f t="shared" si="210"/>
        <v>0</v>
      </c>
      <c r="IO9" s="6">
        <f t="shared" si="83"/>
        <v>0</v>
      </c>
      <c r="IP9" s="6">
        <f t="shared" si="211"/>
        <v>0</v>
      </c>
      <c r="IQ9" s="6">
        <f t="shared" si="84"/>
        <v>0</v>
      </c>
      <c r="IR9" s="6">
        <f t="shared" si="212"/>
        <v>0</v>
      </c>
      <c r="IS9" s="6">
        <f t="shared" si="85"/>
        <v>0</v>
      </c>
      <c r="IT9" s="6">
        <f t="shared" si="213"/>
        <v>0</v>
      </c>
      <c r="IU9" s="6">
        <f t="shared" si="86"/>
        <v>1</v>
      </c>
      <c r="IV9" s="6">
        <f t="shared" si="214"/>
        <v>7</v>
      </c>
      <c r="IW9" s="6">
        <f t="shared" si="87"/>
        <v>0</v>
      </c>
      <c r="IX9" s="6">
        <f t="shared" si="215"/>
        <v>0</v>
      </c>
      <c r="IY9" s="6">
        <f t="shared" si="88"/>
        <v>0</v>
      </c>
      <c r="IZ9" s="6">
        <f t="shared" si="216"/>
        <v>0</v>
      </c>
      <c r="JA9" s="6">
        <f t="shared" si="89"/>
        <v>0</v>
      </c>
      <c r="JB9" s="6">
        <f t="shared" si="217"/>
        <v>0</v>
      </c>
      <c r="JC9" s="6"/>
      <c r="JD9" s="6"/>
      <c r="JE9" s="6">
        <f>IF($E9=5,IE9-5,NA())</f>
        <v>-5</v>
      </c>
      <c r="JF9" s="20">
        <f>IE9-'Zusammenfassung Tag1-4'!$J$2/18</f>
        <v>-3</v>
      </c>
      <c r="JG9" s="22">
        <f t="shared" si="218"/>
        <v>-21</v>
      </c>
      <c r="JH9" s="18"/>
      <c r="JI9" s="6">
        <f t="shared" si="219"/>
        <v>0</v>
      </c>
      <c r="JJ9" s="19"/>
      <c r="JK9" s="6">
        <f t="shared" si="220"/>
        <v>0</v>
      </c>
      <c r="JL9" s="6">
        <f t="shared" si="90"/>
        <v>1</v>
      </c>
      <c r="JM9" s="6">
        <f t="shared" si="221"/>
        <v>7</v>
      </c>
      <c r="JN9" s="6">
        <f t="shared" si="91"/>
        <v>0</v>
      </c>
      <c r="JO9" s="6">
        <f t="shared" si="222"/>
        <v>0</v>
      </c>
      <c r="JP9" s="6">
        <f t="shared" si="92"/>
        <v>0</v>
      </c>
      <c r="JQ9" s="6">
        <f t="shared" si="223"/>
        <v>0</v>
      </c>
      <c r="JR9" s="6">
        <f t="shared" si="93"/>
        <v>0</v>
      </c>
      <c r="JS9" s="6">
        <f t="shared" si="224"/>
        <v>0</v>
      </c>
      <c r="JT9" s="6">
        <f t="shared" si="94"/>
        <v>0</v>
      </c>
      <c r="JU9" s="6">
        <f t="shared" si="225"/>
        <v>0</v>
      </c>
      <c r="JV9" s="6">
        <f t="shared" si="95"/>
        <v>0</v>
      </c>
      <c r="JW9" s="6">
        <f t="shared" si="226"/>
        <v>0</v>
      </c>
      <c r="JX9" s="6">
        <f t="shared" si="96"/>
        <v>1</v>
      </c>
      <c r="JY9" s="6">
        <f t="shared" si="227"/>
        <v>7</v>
      </c>
      <c r="JZ9" s="6">
        <f t="shared" si="97"/>
        <v>0</v>
      </c>
      <c r="KA9" s="6">
        <f t="shared" si="228"/>
        <v>0</v>
      </c>
      <c r="KB9" s="6">
        <f t="shared" si="98"/>
        <v>0</v>
      </c>
      <c r="KC9" s="6">
        <f t="shared" si="229"/>
        <v>0</v>
      </c>
      <c r="KD9" s="6">
        <f t="shared" si="99"/>
        <v>0</v>
      </c>
      <c r="KE9" s="6">
        <f t="shared" si="230"/>
        <v>0</v>
      </c>
      <c r="KF9" s="6"/>
      <c r="KG9" s="6"/>
      <c r="KH9" s="6">
        <f>IF($E9=5,JH9-5,NA())</f>
        <v>-5</v>
      </c>
      <c r="KI9" s="20">
        <f>JH9-'Zusammenfassung Tag1-4'!$K$2/18</f>
        <v>-0.77777777777777779</v>
      </c>
      <c r="KJ9" s="22">
        <f t="shared" si="231"/>
        <v>-5.4444444444444446</v>
      </c>
      <c r="KK9" s="10"/>
      <c r="KL9" s="10"/>
      <c r="KM9" s="10"/>
      <c r="KN9" s="10"/>
      <c r="KO9" s="10"/>
      <c r="KP9" s="10"/>
      <c r="KQ9" s="10"/>
      <c r="KR9" s="10"/>
      <c r="KS9" s="10"/>
      <c r="KT9" s="10"/>
      <c r="KU9" s="10"/>
      <c r="KV9" s="10"/>
      <c r="KW9" s="10"/>
      <c r="KX9" s="10"/>
      <c r="KY9" s="10"/>
      <c r="KZ9" s="10"/>
      <c r="LA9" s="10"/>
      <c r="LB9" s="10"/>
      <c r="LC9" s="10"/>
      <c r="LD9" s="10"/>
    </row>
    <row r="10" spans="1:316" ht="15.75" customHeight="1" x14ac:dyDescent="0.25">
      <c r="A10" s="106"/>
      <c r="B10" s="103"/>
      <c r="C10" s="6">
        <v>8</v>
      </c>
      <c r="D10" s="6">
        <f t="shared" si="100"/>
        <v>8</v>
      </c>
      <c r="E10" s="6">
        <v>3</v>
      </c>
      <c r="F10" s="7">
        <f t="shared" si="101"/>
        <v>32</v>
      </c>
      <c r="G10" s="18">
        <v>4</v>
      </c>
      <c r="H10" s="6">
        <f t="shared" si="102"/>
        <v>41</v>
      </c>
      <c r="I10" s="19">
        <v>1</v>
      </c>
      <c r="J10" s="6">
        <f t="shared" si="103"/>
        <v>17</v>
      </c>
      <c r="K10" s="6">
        <f t="shared" si="0"/>
        <v>0</v>
      </c>
      <c r="L10" s="6">
        <f t="shared" si="104"/>
        <v>3</v>
      </c>
      <c r="M10" s="6">
        <f t="shared" si="1"/>
        <v>0</v>
      </c>
      <c r="N10" s="6">
        <f t="shared" si="105"/>
        <v>0</v>
      </c>
      <c r="O10" s="6">
        <f t="shared" si="2"/>
        <v>0</v>
      </c>
      <c r="P10" s="6">
        <f t="shared" si="106"/>
        <v>0</v>
      </c>
      <c r="Q10" s="6">
        <f t="shared" si="3"/>
        <v>0</v>
      </c>
      <c r="R10" s="6">
        <f t="shared" si="107"/>
        <v>2</v>
      </c>
      <c r="S10" s="6">
        <f t="shared" si="4"/>
        <v>1</v>
      </c>
      <c r="T10" s="6">
        <f t="shared" si="108"/>
        <v>3</v>
      </c>
      <c r="U10" s="6">
        <f t="shared" si="5"/>
        <v>0</v>
      </c>
      <c r="V10" s="6">
        <f t="shared" si="109"/>
        <v>3</v>
      </c>
      <c r="W10" s="6">
        <f t="shared" si="6"/>
        <v>0</v>
      </c>
      <c r="X10" s="6">
        <f t="shared" si="110"/>
        <v>0</v>
      </c>
      <c r="Y10" s="6">
        <f t="shared" si="7"/>
        <v>1</v>
      </c>
      <c r="Z10" s="6">
        <f t="shared" si="111"/>
        <v>2</v>
      </c>
      <c r="AA10" s="6">
        <f t="shared" si="8"/>
        <v>0</v>
      </c>
      <c r="AB10" s="6">
        <f t="shared" si="112"/>
        <v>4</v>
      </c>
      <c r="AC10" s="6">
        <f t="shared" si="9"/>
        <v>0</v>
      </c>
      <c r="AD10" s="6">
        <f t="shared" si="113"/>
        <v>2</v>
      </c>
      <c r="AE10" s="6">
        <f>IF($E10=3,G10-3,NA())</f>
        <v>1</v>
      </c>
      <c r="AF10" s="6"/>
      <c r="AG10" s="6"/>
      <c r="AH10" s="20">
        <f>G10-'Zusammenfassung Tag1-4'!$B$2/18</f>
        <v>2.8888888888888888</v>
      </c>
      <c r="AI10" s="21">
        <f t="shared" si="114"/>
        <v>32.111111111111114</v>
      </c>
      <c r="AJ10" s="18">
        <v>4</v>
      </c>
      <c r="AK10" s="6">
        <f t="shared" si="115"/>
        <v>35</v>
      </c>
      <c r="AL10" s="19">
        <v>3</v>
      </c>
      <c r="AM10" s="6">
        <f t="shared" si="116"/>
        <v>18</v>
      </c>
      <c r="AN10" s="6">
        <f t="shared" si="10"/>
        <v>1</v>
      </c>
      <c r="AO10" s="6">
        <f t="shared" si="117"/>
        <v>7</v>
      </c>
      <c r="AP10" s="6">
        <f t="shared" si="11"/>
        <v>0</v>
      </c>
      <c r="AQ10" s="6">
        <f t="shared" si="118"/>
        <v>1</v>
      </c>
      <c r="AR10" s="6">
        <f t="shared" si="12"/>
        <v>0</v>
      </c>
      <c r="AS10" s="6">
        <f t="shared" si="119"/>
        <v>0</v>
      </c>
      <c r="AT10" s="6">
        <f t="shared" si="13"/>
        <v>0</v>
      </c>
      <c r="AU10" s="6">
        <f t="shared" si="120"/>
        <v>5</v>
      </c>
      <c r="AV10" s="6">
        <f t="shared" si="14"/>
        <v>1</v>
      </c>
      <c r="AW10" s="6">
        <f t="shared" si="121"/>
        <v>3</v>
      </c>
      <c r="AX10" s="6">
        <f t="shared" si="15"/>
        <v>0</v>
      </c>
      <c r="AY10" s="6">
        <f t="shared" si="122"/>
        <v>0</v>
      </c>
      <c r="AZ10" s="6">
        <f t="shared" si="16"/>
        <v>0</v>
      </c>
      <c r="BA10" s="6">
        <f t="shared" si="123"/>
        <v>0</v>
      </c>
      <c r="BB10" s="6">
        <f t="shared" si="17"/>
        <v>0</v>
      </c>
      <c r="BC10" s="6">
        <f t="shared" si="124"/>
        <v>1</v>
      </c>
      <c r="BD10" s="6">
        <f t="shared" si="18"/>
        <v>0</v>
      </c>
      <c r="BE10" s="6">
        <f t="shared" si="125"/>
        <v>4</v>
      </c>
      <c r="BF10" s="6">
        <f t="shared" si="19"/>
        <v>1</v>
      </c>
      <c r="BG10" s="6">
        <f t="shared" si="126"/>
        <v>3</v>
      </c>
      <c r="BH10" s="6">
        <f>IF($E10=3,AJ10-3,NA())</f>
        <v>1</v>
      </c>
      <c r="BI10" s="6"/>
      <c r="BJ10" s="6"/>
      <c r="BK10" s="20">
        <f>AJ10-'Zusammenfassung Tag1-4'!$C$2/18</f>
        <v>3.3333333333333335</v>
      </c>
      <c r="BL10" s="21">
        <f t="shared" si="127"/>
        <v>29.666666666666664</v>
      </c>
      <c r="BM10" s="18">
        <v>4</v>
      </c>
      <c r="BN10" s="6">
        <f t="shared" si="128"/>
        <v>41</v>
      </c>
      <c r="BO10" s="19">
        <v>2</v>
      </c>
      <c r="BP10" s="6">
        <f t="shared" si="129"/>
        <v>15</v>
      </c>
      <c r="BQ10" s="6">
        <f t="shared" si="20"/>
        <v>0</v>
      </c>
      <c r="BR10" s="6">
        <f t="shared" si="130"/>
        <v>3</v>
      </c>
      <c r="BS10" s="6">
        <f t="shared" si="21"/>
        <v>0</v>
      </c>
      <c r="BT10" s="6">
        <f t="shared" si="131"/>
        <v>1</v>
      </c>
      <c r="BU10" s="6">
        <f t="shared" si="22"/>
        <v>0</v>
      </c>
      <c r="BV10" s="6">
        <f t="shared" si="132"/>
        <v>0</v>
      </c>
      <c r="BW10" s="6">
        <f t="shared" si="23"/>
        <v>0</v>
      </c>
      <c r="BX10" s="6">
        <f t="shared" si="133"/>
        <v>4</v>
      </c>
      <c r="BY10" s="6">
        <f t="shared" si="24"/>
        <v>1</v>
      </c>
      <c r="BZ10" s="6">
        <f t="shared" si="134"/>
        <v>2</v>
      </c>
      <c r="CA10" s="6">
        <f t="shared" si="25"/>
        <v>0</v>
      </c>
      <c r="CB10" s="6">
        <f t="shared" si="135"/>
        <v>2</v>
      </c>
      <c r="CC10" s="6">
        <f t="shared" si="26"/>
        <v>0</v>
      </c>
      <c r="CD10" s="6">
        <f t="shared" si="136"/>
        <v>0</v>
      </c>
      <c r="CE10" s="6">
        <f t="shared" si="27"/>
        <v>0</v>
      </c>
      <c r="CF10" s="6">
        <f t="shared" si="137"/>
        <v>2</v>
      </c>
      <c r="CG10" s="6">
        <f t="shared" si="28"/>
        <v>1</v>
      </c>
      <c r="CH10" s="6">
        <f t="shared" si="138"/>
        <v>5</v>
      </c>
      <c r="CI10" s="6">
        <f t="shared" si="29"/>
        <v>0</v>
      </c>
      <c r="CJ10" s="6">
        <f t="shared" si="139"/>
        <v>1</v>
      </c>
      <c r="CK10" s="6">
        <f>IF($E10=3,BM10-3,NA())</f>
        <v>1</v>
      </c>
      <c r="CL10" s="6"/>
      <c r="CM10" s="6"/>
      <c r="CN10" s="20">
        <f>BM10-'Zusammenfassung Tag1-4'!$D$2/18</f>
        <v>2.666666666666667</v>
      </c>
      <c r="CO10" s="21">
        <f t="shared" si="140"/>
        <v>30.333333333333336</v>
      </c>
      <c r="CP10" s="18">
        <v>4</v>
      </c>
      <c r="CQ10" s="6">
        <f t="shared" si="141"/>
        <v>41</v>
      </c>
      <c r="CR10" s="19">
        <v>3</v>
      </c>
      <c r="CS10" s="6">
        <f t="shared" si="142"/>
        <v>16</v>
      </c>
      <c r="CT10" s="6">
        <f t="shared" si="30"/>
        <v>1</v>
      </c>
      <c r="CU10" s="6">
        <f t="shared" si="143"/>
        <v>3</v>
      </c>
      <c r="CV10" s="6">
        <f t="shared" si="31"/>
        <v>0</v>
      </c>
      <c r="CW10" s="6">
        <f t="shared" si="144"/>
        <v>0</v>
      </c>
      <c r="CX10" s="6">
        <f t="shared" si="32"/>
        <v>0</v>
      </c>
      <c r="CY10" s="6">
        <f t="shared" si="145"/>
        <v>0</v>
      </c>
      <c r="CZ10" s="6">
        <f t="shared" si="33"/>
        <v>0</v>
      </c>
      <c r="DA10" s="6">
        <f t="shared" si="146"/>
        <v>2</v>
      </c>
      <c r="DB10" s="6">
        <f t="shared" si="34"/>
        <v>1</v>
      </c>
      <c r="DC10" s="6">
        <f t="shared" si="147"/>
        <v>3</v>
      </c>
      <c r="DD10" s="6">
        <f t="shared" si="35"/>
        <v>0</v>
      </c>
      <c r="DE10" s="6">
        <f t="shared" si="148"/>
        <v>3</v>
      </c>
      <c r="DF10" s="6">
        <f t="shared" si="36"/>
        <v>0</v>
      </c>
      <c r="DG10" s="6">
        <f t="shared" si="149"/>
        <v>0</v>
      </c>
      <c r="DH10" s="6">
        <f t="shared" si="37"/>
        <v>0</v>
      </c>
      <c r="DI10" s="6">
        <f t="shared" si="150"/>
        <v>1</v>
      </c>
      <c r="DJ10" s="6">
        <f t="shared" si="38"/>
        <v>0</v>
      </c>
      <c r="DK10" s="6">
        <f t="shared" si="151"/>
        <v>6</v>
      </c>
      <c r="DL10" s="6">
        <f t="shared" si="39"/>
        <v>1</v>
      </c>
      <c r="DM10" s="6">
        <f t="shared" si="152"/>
        <v>1</v>
      </c>
      <c r="DN10" s="6">
        <f>IF($E10=3,CP10-3,NA())</f>
        <v>1</v>
      </c>
      <c r="DO10" s="6"/>
      <c r="DP10" s="6"/>
      <c r="DQ10" s="20">
        <f>CP10-'Zusammenfassung Tag1-4'!$E$2/18</f>
        <v>2.7222222222222223</v>
      </c>
      <c r="DR10" s="22">
        <f t="shared" si="153"/>
        <v>30.777777777777775</v>
      </c>
      <c r="DS10" s="18">
        <v>5</v>
      </c>
      <c r="DT10" s="6">
        <f t="shared" si="154"/>
        <v>58</v>
      </c>
      <c r="DU10" s="19">
        <v>3</v>
      </c>
      <c r="DV10" s="6">
        <f t="shared" si="155"/>
        <v>20</v>
      </c>
      <c r="DW10" s="6">
        <f t="shared" si="40"/>
        <v>0</v>
      </c>
      <c r="DX10" s="6">
        <f t="shared" si="156"/>
        <v>1</v>
      </c>
      <c r="DY10" s="6">
        <f t="shared" si="41"/>
        <v>0</v>
      </c>
      <c r="DZ10" s="6">
        <f t="shared" si="157"/>
        <v>0</v>
      </c>
      <c r="EA10" s="6">
        <f t="shared" si="42"/>
        <v>0</v>
      </c>
      <c r="EB10" s="6">
        <f t="shared" si="158"/>
        <v>0</v>
      </c>
      <c r="EC10" s="6">
        <f t="shared" si="43"/>
        <v>0</v>
      </c>
      <c r="ED10" s="6">
        <f t="shared" si="159"/>
        <v>1</v>
      </c>
      <c r="EE10" s="6">
        <f t="shared" si="44"/>
        <v>0</v>
      </c>
      <c r="EF10" s="6">
        <f t="shared" si="160"/>
        <v>0</v>
      </c>
      <c r="EG10" s="6">
        <f t="shared" si="45"/>
        <v>1</v>
      </c>
      <c r="EH10" s="6">
        <f t="shared" si="161"/>
        <v>7</v>
      </c>
      <c r="EI10" s="6">
        <f t="shared" si="46"/>
        <v>0</v>
      </c>
      <c r="EJ10" s="6">
        <f t="shared" si="162"/>
        <v>0</v>
      </c>
      <c r="EK10" s="6">
        <f t="shared" si="47"/>
        <v>0</v>
      </c>
      <c r="EL10" s="6">
        <f t="shared" si="163"/>
        <v>0</v>
      </c>
      <c r="EM10" s="6">
        <f t="shared" si="48"/>
        <v>0</v>
      </c>
      <c r="EN10" s="6">
        <f t="shared" si="164"/>
        <v>5</v>
      </c>
      <c r="EO10" s="6">
        <f t="shared" si="49"/>
        <v>1</v>
      </c>
      <c r="EP10" s="6">
        <f t="shared" si="165"/>
        <v>3</v>
      </c>
      <c r="EQ10" s="6">
        <f>IF($E10=3,DS10-3,NA())</f>
        <v>2</v>
      </c>
      <c r="ER10" s="6"/>
      <c r="ES10" s="6"/>
      <c r="ET10" s="20">
        <f>DS10-'Zusammenfassung Tag1-4'!$F$2/18</f>
        <v>2</v>
      </c>
      <c r="EU10" s="22">
        <f t="shared" si="166"/>
        <v>34</v>
      </c>
      <c r="EV10" s="18">
        <v>4</v>
      </c>
      <c r="EW10" s="6">
        <f t="shared" si="167"/>
        <v>45</v>
      </c>
      <c r="EX10" s="19">
        <v>2</v>
      </c>
      <c r="EY10" s="6">
        <f t="shared" si="168"/>
        <v>19</v>
      </c>
      <c r="EZ10" s="6">
        <f t="shared" si="50"/>
        <v>0</v>
      </c>
      <c r="FA10" s="6">
        <f t="shared" si="169"/>
        <v>2</v>
      </c>
      <c r="FB10" s="6">
        <f t="shared" si="51"/>
        <v>0</v>
      </c>
      <c r="FC10" s="6">
        <f t="shared" si="170"/>
        <v>0</v>
      </c>
      <c r="FD10" s="6">
        <f t="shared" si="52"/>
        <v>0</v>
      </c>
      <c r="FE10" s="6">
        <f t="shared" si="171"/>
        <v>0</v>
      </c>
      <c r="FF10" s="6">
        <f t="shared" si="53"/>
        <v>0</v>
      </c>
      <c r="FG10" s="6">
        <f t="shared" si="172"/>
        <v>1</v>
      </c>
      <c r="FH10" s="6">
        <f t="shared" si="54"/>
        <v>1</v>
      </c>
      <c r="FI10" s="6">
        <f t="shared" si="173"/>
        <v>2</v>
      </c>
      <c r="FJ10" s="6">
        <f t="shared" si="55"/>
        <v>0</v>
      </c>
      <c r="FK10" s="6">
        <f t="shared" si="174"/>
        <v>5</v>
      </c>
      <c r="FL10" s="6">
        <f t="shared" si="56"/>
        <v>0</v>
      </c>
      <c r="FM10" s="6">
        <f t="shared" si="175"/>
        <v>0</v>
      </c>
      <c r="FN10" s="6">
        <f t="shared" si="57"/>
        <v>0</v>
      </c>
      <c r="FO10" s="6">
        <f t="shared" si="176"/>
        <v>1</v>
      </c>
      <c r="FP10" s="6">
        <f t="shared" si="58"/>
        <v>1</v>
      </c>
      <c r="FQ10" s="6">
        <f t="shared" si="177"/>
        <v>3</v>
      </c>
      <c r="FR10" s="6">
        <f t="shared" si="59"/>
        <v>0</v>
      </c>
      <c r="FS10" s="6">
        <f t="shared" si="178"/>
        <v>4</v>
      </c>
      <c r="FT10" s="6">
        <f>IF($E10=3,EV10-3,NA())</f>
        <v>1</v>
      </c>
      <c r="FU10" s="6"/>
      <c r="FV10" s="6"/>
      <c r="FW10" s="20">
        <f>EV10-'Zusammenfassung Tag1-4'!$G$2/18</f>
        <v>2.5</v>
      </c>
      <c r="FX10" s="22">
        <f t="shared" si="179"/>
        <v>33</v>
      </c>
      <c r="FY10" s="18">
        <v>5</v>
      </c>
      <c r="FZ10" s="6">
        <f t="shared" si="180"/>
        <v>60</v>
      </c>
      <c r="GA10" s="19">
        <v>3</v>
      </c>
      <c r="GB10" s="6">
        <f t="shared" si="181"/>
        <v>20</v>
      </c>
      <c r="GC10" s="6">
        <f t="shared" si="60"/>
        <v>0</v>
      </c>
      <c r="GD10" s="6">
        <f t="shared" si="182"/>
        <v>1</v>
      </c>
      <c r="GE10" s="6">
        <f t="shared" si="61"/>
        <v>0</v>
      </c>
      <c r="GF10" s="6">
        <f t="shared" si="183"/>
        <v>0</v>
      </c>
      <c r="GG10" s="6">
        <f t="shared" si="62"/>
        <v>0</v>
      </c>
      <c r="GH10" s="6">
        <f t="shared" si="184"/>
        <v>0</v>
      </c>
      <c r="GI10" s="6">
        <f t="shared" si="63"/>
        <v>0</v>
      </c>
      <c r="GJ10" s="6">
        <f t="shared" si="185"/>
        <v>0</v>
      </c>
      <c r="GK10" s="6">
        <f t="shared" si="64"/>
        <v>0</v>
      </c>
      <c r="GL10" s="6">
        <f t="shared" si="186"/>
        <v>1</v>
      </c>
      <c r="GM10" s="6">
        <f t="shared" si="65"/>
        <v>1</v>
      </c>
      <c r="GN10" s="6">
        <f t="shared" si="187"/>
        <v>7</v>
      </c>
      <c r="GO10" s="6">
        <f t="shared" si="66"/>
        <v>0</v>
      </c>
      <c r="GP10" s="6">
        <f t="shared" si="188"/>
        <v>0</v>
      </c>
      <c r="GQ10" s="6">
        <f t="shared" si="67"/>
        <v>0</v>
      </c>
      <c r="GR10" s="6">
        <f t="shared" si="189"/>
        <v>0</v>
      </c>
      <c r="GS10" s="6">
        <f t="shared" si="68"/>
        <v>0</v>
      </c>
      <c r="GT10" s="6">
        <f t="shared" si="190"/>
        <v>4</v>
      </c>
      <c r="GU10" s="6">
        <f t="shared" si="69"/>
        <v>1</v>
      </c>
      <c r="GV10" s="6">
        <f t="shared" si="191"/>
        <v>4</v>
      </c>
      <c r="GW10" s="6">
        <f>IF($E10=3,FY10-3,NA())</f>
        <v>2</v>
      </c>
      <c r="GX10" s="6"/>
      <c r="GY10" s="6"/>
      <c r="GZ10" s="20">
        <f>FY10-'Zusammenfassung Tag1-4'!$H$2/18</f>
        <v>2</v>
      </c>
      <c r="HA10" s="22">
        <f t="shared" si="192"/>
        <v>36</v>
      </c>
      <c r="HB10" s="18">
        <v>4</v>
      </c>
      <c r="HC10" s="6">
        <f t="shared" si="193"/>
        <v>40</v>
      </c>
      <c r="HD10" s="19">
        <v>3</v>
      </c>
      <c r="HE10" s="6">
        <f t="shared" si="194"/>
        <v>17</v>
      </c>
      <c r="HF10" s="6">
        <f t="shared" si="70"/>
        <v>1</v>
      </c>
      <c r="HG10" s="6">
        <f t="shared" si="195"/>
        <v>3</v>
      </c>
      <c r="HH10" s="6">
        <f t="shared" si="71"/>
        <v>0</v>
      </c>
      <c r="HI10" s="6">
        <f t="shared" si="196"/>
        <v>1</v>
      </c>
      <c r="HJ10" s="6">
        <f t="shared" si="72"/>
        <v>0</v>
      </c>
      <c r="HK10" s="6">
        <f t="shared" si="197"/>
        <v>0</v>
      </c>
      <c r="HL10" s="6">
        <f t="shared" si="73"/>
        <v>0</v>
      </c>
      <c r="HM10" s="6">
        <f t="shared" si="198"/>
        <v>2</v>
      </c>
      <c r="HN10" s="6">
        <f t="shared" si="74"/>
        <v>1</v>
      </c>
      <c r="HO10" s="6">
        <f t="shared" si="199"/>
        <v>5</v>
      </c>
      <c r="HP10" s="6">
        <f t="shared" si="75"/>
        <v>0</v>
      </c>
      <c r="HQ10" s="6">
        <f t="shared" si="200"/>
        <v>1</v>
      </c>
      <c r="HR10" s="6">
        <f t="shared" si="76"/>
        <v>0</v>
      </c>
      <c r="HS10" s="6">
        <f t="shared" si="201"/>
        <v>0</v>
      </c>
      <c r="HT10" s="6">
        <f t="shared" si="77"/>
        <v>0</v>
      </c>
      <c r="HU10" s="6">
        <f t="shared" si="202"/>
        <v>1</v>
      </c>
      <c r="HV10" s="6">
        <f t="shared" si="78"/>
        <v>0</v>
      </c>
      <c r="HW10" s="6">
        <f t="shared" si="203"/>
        <v>5</v>
      </c>
      <c r="HX10" s="6">
        <f t="shared" si="79"/>
        <v>1</v>
      </c>
      <c r="HY10" s="6">
        <f t="shared" si="204"/>
        <v>2</v>
      </c>
      <c r="HZ10" s="6">
        <f>IF($E10=3,HB10-3,NA())</f>
        <v>1</v>
      </c>
      <c r="IA10" s="6"/>
      <c r="IB10" s="6"/>
      <c r="IC10" s="20">
        <f>HB10-'Zusammenfassung Tag1-4'!$I$2/18</f>
        <v>3</v>
      </c>
      <c r="ID10" s="22">
        <f t="shared" si="205"/>
        <v>32</v>
      </c>
      <c r="IE10" s="18"/>
      <c r="IF10" s="6">
        <f t="shared" si="206"/>
        <v>0</v>
      </c>
      <c r="IG10" s="19"/>
      <c r="IH10" s="6">
        <f t="shared" si="207"/>
        <v>0</v>
      </c>
      <c r="II10" s="6">
        <f t="shared" si="80"/>
        <v>1</v>
      </c>
      <c r="IJ10" s="6">
        <f t="shared" si="208"/>
        <v>8</v>
      </c>
      <c r="IK10" s="6">
        <f t="shared" si="81"/>
        <v>0</v>
      </c>
      <c r="IL10" s="6">
        <f t="shared" si="209"/>
        <v>0</v>
      </c>
      <c r="IM10" s="6">
        <f t="shared" si="82"/>
        <v>0</v>
      </c>
      <c r="IN10" s="6">
        <f t="shared" si="210"/>
        <v>0</v>
      </c>
      <c r="IO10" s="6">
        <f t="shared" si="83"/>
        <v>0</v>
      </c>
      <c r="IP10" s="6">
        <f t="shared" si="211"/>
        <v>0</v>
      </c>
      <c r="IQ10" s="6">
        <f t="shared" si="84"/>
        <v>0</v>
      </c>
      <c r="IR10" s="6">
        <f t="shared" si="212"/>
        <v>0</v>
      </c>
      <c r="IS10" s="6">
        <f t="shared" si="85"/>
        <v>0</v>
      </c>
      <c r="IT10" s="6">
        <f t="shared" si="213"/>
        <v>0</v>
      </c>
      <c r="IU10" s="6">
        <f t="shared" si="86"/>
        <v>1</v>
      </c>
      <c r="IV10" s="6">
        <f t="shared" si="214"/>
        <v>8</v>
      </c>
      <c r="IW10" s="6">
        <f t="shared" si="87"/>
        <v>0</v>
      </c>
      <c r="IX10" s="6">
        <f t="shared" si="215"/>
        <v>0</v>
      </c>
      <c r="IY10" s="6">
        <f t="shared" si="88"/>
        <v>0</v>
      </c>
      <c r="IZ10" s="6">
        <f t="shared" si="216"/>
        <v>0</v>
      </c>
      <c r="JA10" s="6">
        <f t="shared" si="89"/>
        <v>0</v>
      </c>
      <c r="JB10" s="6">
        <f t="shared" si="217"/>
        <v>0</v>
      </c>
      <c r="JC10" s="6">
        <f>IF($E10=3,IE10-3,NA())</f>
        <v>-3</v>
      </c>
      <c r="JD10" s="6"/>
      <c r="JE10" s="6"/>
      <c r="JF10" s="20">
        <f>IE10-'Zusammenfassung Tag1-4'!$J$2/18</f>
        <v>-3</v>
      </c>
      <c r="JG10" s="22">
        <f t="shared" si="218"/>
        <v>-24</v>
      </c>
      <c r="JH10" s="18"/>
      <c r="JI10" s="6">
        <f t="shared" si="219"/>
        <v>0</v>
      </c>
      <c r="JJ10" s="19"/>
      <c r="JK10" s="6">
        <f t="shared" si="220"/>
        <v>0</v>
      </c>
      <c r="JL10" s="6">
        <f t="shared" si="90"/>
        <v>1</v>
      </c>
      <c r="JM10" s="6">
        <f t="shared" si="221"/>
        <v>8</v>
      </c>
      <c r="JN10" s="6">
        <f t="shared" si="91"/>
        <v>0</v>
      </c>
      <c r="JO10" s="6">
        <f t="shared" si="222"/>
        <v>0</v>
      </c>
      <c r="JP10" s="6">
        <f t="shared" si="92"/>
        <v>0</v>
      </c>
      <c r="JQ10" s="6">
        <f t="shared" si="223"/>
        <v>0</v>
      </c>
      <c r="JR10" s="6">
        <f t="shared" si="93"/>
        <v>0</v>
      </c>
      <c r="JS10" s="6">
        <f t="shared" si="224"/>
        <v>0</v>
      </c>
      <c r="JT10" s="6">
        <f t="shared" si="94"/>
        <v>0</v>
      </c>
      <c r="JU10" s="6">
        <f t="shared" si="225"/>
        <v>0</v>
      </c>
      <c r="JV10" s="6">
        <f t="shared" si="95"/>
        <v>0</v>
      </c>
      <c r="JW10" s="6">
        <f t="shared" si="226"/>
        <v>0</v>
      </c>
      <c r="JX10" s="6">
        <f t="shared" si="96"/>
        <v>1</v>
      </c>
      <c r="JY10" s="6">
        <f t="shared" si="227"/>
        <v>8</v>
      </c>
      <c r="JZ10" s="6">
        <f t="shared" si="97"/>
        <v>0</v>
      </c>
      <c r="KA10" s="6">
        <f t="shared" si="228"/>
        <v>0</v>
      </c>
      <c r="KB10" s="6">
        <f t="shared" si="98"/>
        <v>0</v>
      </c>
      <c r="KC10" s="6">
        <f t="shared" si="229"/>
        <v>0</v>
      </c>
      <c r="KD10" s="6">
        <f t="shared" si="99"/>
        <v>0</v>
      </c>
      <c r="KE10" s="6">
        <f t="shared" si="230"/>
        <v>0</v>
      </c>
      <c r="KF10" s="6">
        <f>IF($E10=3,JH10-3,NA())</f>
        <v>-3</v>
      </c>
      <c r="KG10" s="6"/>
      <c r="KH10" s="6"/>
      <c r="KI10" s="20">
        <f>JH10-'Zusammenfassung Tag1-4'!$K$2/18</f>
        <v>-0.77777777777777779</v>
      </c>
      <c r="KJ10" s="22">
        <f t="shared" si="231"/>
        <v>-6.2222222222222223</v>
      </c>
      <c r="KK10" s="10"/>
      <c r="KL10" s="10"/>
      <c r="KM10" s="10"/>
      <c r="KN10" s="10"/>
      <c r="KO10" s="10"/>
      <c r="KP10" s="10"/>
      <c r="KQ10" s="10"/>
      <c r="KR10" s="10"/>
      <c r="KS10" s="10"/>
      <c r="KT10" s="10"/>
      <c r="KU10" s="10"/>
      <c r="KV10" s="10"/>
      <c r="KW10" s="10"/>
      <c r="KX10" s="10"/>
      <c r="KY10" s="10"/>
      <c r="KZ10" s="10"/>
      <c r="LA10" s="10"/>
      <c r="LB10" s="10"/>
      <c r="LC10" s="10"/>
      <c r="LD10" s="10"/>
    </row>
    <row r="11" spans="1:316" ht="15.75" customHeight="1" x14ac:dyDescent="0.25">
      <c r="A11" s="106"/>
      <c r="B11" s="103"/>
      <c r="C11" s="3">
        <v>9</v>
      </c>
      <c r="D11" s="3">
        <f t="shared" si="100"/>
        <v>9</v>
      </c>
      <c r="E11" s="3">
        <v>4</v>
      </c>
      <c r="F11" s="23">
        <f t="shared" si="101"/>
        <v>36</v>
      </c>
      <c r="G11" s="24">
        <v>3</v>
      </c>
      <c r="H11" s="3">
        <f t="shared" si="102"/>
        <v>44</v>
      </c>
      <c r="I11" s="25">
        <v>1</v>
      </c>
      <c r="J11" s="3">
        <f t="shared" si="103"/>
        <v>18</v>
      </c>
      <c r="K11" s="3">
        <f t="shared" si="0"/>
        <v>1</v>
      </c>
      <c r="L11" s="3">
        <f t="shared" si="104"/>
        <v>4</v>
      </c>
      <c r="M11" s="3">
        <f t="shared" si="1"/>
        <v>0</v>
      </c>
      <c r="N11" s="3">
        <f t="shared" si="105"/>
        <v>0</v>
      </c>
      <c r="O11" s="3">
        <f t="shared" si="2"/>
        <v>1</v>
      </c>
      <c r="P11" s="3">
        <f t="shared" si="106"/>
        <v>1</v>
      </c>
      <c r="Q11" s="3">
        <f t="shared" si="3"/>
        <v>0</v>
      </c>
      <c r="R11" s="3">
        <f t="shared" si="107"/>
        <v>2</v>
      </c>
      <c r="S11" s="3">
        <f t="shared" si="4"/>
        <v>0</v>
      </c>
      <c r="T11" s="3">
        <f t="shared" si="108"/>
        <v>3</v>
      </c>
      <c r="U11" s="3">
        <f t="shared" si="5"/>
        <v>0</v>
      </c>
      <c r="V11" s="3">
        <f t="shared" si="109"/>
        <v>3</v>
      </c>
      <c r="W11" s="3">
        <f t="shared" si="6"/>
        <v>0</v>
      </c>
      <c r="X11" s="3">
        <f t="shared" si="110"/>
        <v>0</v>
      </c>
      <c r="Y11" s="3">
        <f t="shared" si="7"/>
        <v>1</v>
      </c>
      <c r="Z11" s="3">
        <f t="shared" si="111"/>
        <v>3</v>
      </c>
      <c r="AA11" s="3">
        <f t="shared" si="8"/>
        <v>0</v>
      </c>
      <c r="AB11" s="3">
        <f t="shared" si="112"/>
        <v>4</v>
      </c>
      <c r="AC11" s="3">
        <f t="shared" si="9"/>
        <v>0</v>
      </c>
      <c r="AD11" s="3">
        <f t="shared" si="113"/>
        <v>2</v>
      </c>
      <c r="AE11" s="6"/>
      <c r="AF11" s="6">
        <f>IF($E11=4,G11-4,NA())</f>
        <v>-1</v>
      </c>
      <c r="AG11" s="6"/>
      <c r="AH11" s="26">
        <f>G11-'Zusammenfassung Tag1-4'!$B$2/18</f>
        <v>1.8888888888888888</v>
      </c>
      <c r="AI11" s="27">
        <f t="shared" si="114"/>
        <v>34</v>
      </c>
      <c r="AJ11" s="24">
        <v>6</v>
      </c>
      <c r="AK11" s="3">
        <f t="shared" si="115"/>
        <v>41</v>
      </c>
      <c r="AL11" s="25">
        <v>2</v>
      </c>
      <c r="AM11" s="3">
        <f t="shared" si="116"/>
        <v>20</v>
      </c>
      <c r="AN11" s="3">
        <f t="shared" si="10"/>
        <v>0</v>
      </c>
      <c r="AO11" s="3">
        <f t="shared" si="117"/>
        <v>7</v>
      </c>
      <c r="AP11" s="3">
        <f t="shared" si="11"/>
        <v>0</v>
      </c>
      <c r="AQ11" s="3">
        <f t="shared" si="118"/>
        <v>1</v>
      </c>
      <c r="AR11" s="3">
        <f t="shared" si="12"/>
        <v>0</v>
      </c>
      <c r="AS11" s="3">
        <f t="shared" si="119"/>
        <v>0</v>
      </c>
      <c r="AT11" s="3">
        <f t="shared" si="13"/>
        <v>0</v>
      </c>
      <c r="AU11" s="3">
        <f t="shared" si="120"/>
        <v>5</v>
      </c>
      <c r="AV11" s="3">
        <f t="shared" si="14"/>
        <v>0</v>
      </c>
      <c r="AW11" s="3">
        <f t="shared" si="121"/>
        <v>3</v>
      </c>
      <c r="AX11" s="3">
        <f t="shared" si="15"/>
        <v>1</v>
      </c>
      <c r="AY11" s="3">
        <f t="shared" si="122"/>
        <v>1</v>
      </c>
      <c r="AZ11" s="3">
        <f t="shared" si="16"/>
        <v>0</v>
      </c>
      <c r="BA11" s="3">
        <f t="shared" si="123"/>
        <v>0</v>
      </c>
      <c r="BB11" s="3">
        <f t="shared" si="17"/>
        <v>0</v>
      </c>
      <c r="BC11" s="3">
        <f t="shared" si="124"/>
        <v>1</v>
      </c>
      <c r="BD11" s="3">
        <f t="shared" si="18"/>
        <v>1</v>
      </c>
      <c r="BE11" s="3">
        <f t="shared" si="125"/>
        <v>5</v>
      </c>
      <c r="BF11" s="3">
        <f t="shared" si="19"/>
        <v>0</v>
      </c>
      <c r="BG11" s="3">
        <f t="shared" si="126"/>
        <v>3</v>
      </c>
      <c r="BH11" s="6"/>
      <c r="BI11" s="6">
        <f>IF($E11=4,AJ11-4,NA())</f>
        <v>2</v>
      </c>
      <c r="BJ11" s="6"/>
      <c r="BK11" s="26">
        <f>AJ11-'Zusammenfassung Tag1-4'!$C$2/18</f>
        <v>5.333333333333333</v>
      </c>
      <c r="BL11" s="27">
        <f t="shared" si="127"/>
        <v>35</v>
      </c>
      <c r="BM11" s="24">
        <v>7</v>
      </c>
      <c r="BN11" s="3">
        <f t="shared" si="128"/>
        <v>48</v>
      </c>
      <c r="BO11" s="25">
        <v>3</v>
      </c>
      <c r="BP11" s="3">
        <f t="shared" si="129"/>
        <v>18</v>
      </c>
      <c r="BQ11" s="3">
        <f t="shared" si="20"/>
        <v>0</v>
      </c>
      <c r="BR11" s="3">
        <f t="shared" si="130"/>
        <v>3</v>
      </c>
      <c r="BS11" s="3">
        <f t="shared" si="21"/>
        <v>0</v>
      </c>
      <c r="BT11" s="3">
        <f t="shared" si="131"/>
        <v>1</v>
      </c>
      <c r="BU11" s="3">
        <f t="shared" si="22"/>
        <v>0</v>
      </c>
      <c r="BV11" s="3">
        <f t="shared" si="132"/>
        <v>0</v>
      </c>
      <c r="BW11" s="3">
        <f t="shared" si="23"/>
        <v>0</v>
      </c>
      <c r="BX11" s="3">
        <f t="shared" si="133"/>
        <v>4</v>
      </c>
      <c r="BY11" s="3">
        <f t="shared" si="24"/>
        <v>0</v>
      </c>
      <c r="BZ11" s="3">
        <f t="shared" si="134"/>
        <v>2</v>
      </c>
      <c r="CA11" s="3">
        <f t="shared" si="25"/>
        <v>1</v>
      </c>
      <c r="CB11" s="3">
        <f t="shared" si="135"/>
        <v>3</v>
      </c>
      <c r="CC11" s="3">
        <f t="shared" si="26"/>
        <v>0</v>
      </c>
      <c r="CD11" s="3">
        <f t="shared" si="136"/>
        <v>0</v>
      </c>
      <c r="CE11" s="3">
        <f t="shared" si="27"/>
        <v>0</v>
      </c>
      <c r="CF11" s="3">
        <f t="shared" si="137"/>
        <v>2</v>
      </c>
      <c r="CG11" s="3">
        <f t="shared" si="28"/>
        <v>0</v>
      </c>
      <c r="CH11" s="3">
        <f t="shared" si="138"/>
        <v>5</v>
      </c>
      <c r="CI11" s="3">
        <f t="shared" si="29"/>
        <v>1</v>
      </c>
      <c r="CJ11" s="3">
        <f t="shared" si="139"/>
        <v>2</v>
      </c>
      <c r="CK11" s="6"/>
      <c r="CL11" s="6">
        <f>IF($E11=4,BM11-4,NA())</f>
        <v>3</v>
      </c>
      <c r="CM11" s="6"/>
      <c r="CN11" s="26">
        <f>BM11-'Zusammenfassung Tag1-4'!$D$2/18</f>
        <v>5.666666666666667</v>
      </c>
      <c r="CO11" s="27">
        <f t="shared" si="140"/>
        <v>36</v>
      </c>
      <c r="CP11" s="24">
        <v>4</v>
      </c>
      <c r="CQ11" s="3">
        <f t="shared" si="141"/>
        <v>45</v>
      </c>
      <c r="CR11" s="25">
        <v>1</v>
      </c>
      <c r="CS11" s="3">
        <f t="shared" si="142"/>
        <v>17</v>
      </c>
      <c r="CT11" s="3">
        <f t="shared" si="30"/>
        <v>0</v>
      </c>
      <c r="CU11" s="3">
        <f t="shared" si="143"/>
        <v>3</v>
      </c>
      <c r="CV11" s="3">
        <f t="shared" si="31"/>
        <v>1</v>
      </c>
      <c r="CW11" s="3">
        <f t="shared" si="144"/>
        <v>1</v>
      </c>
      <c r="CX11" s="3">
        <f t="shared" si="32"/>
        <v>0</v>
      </c>
      <c r="CY11" s="3">
        <f t="shared" si="145"/>
        <v>0</v>
      </c>
      <c r="CZ11" s="3">
        <f t="shared" si="33"/>
        <v>1</v>
      </c>
      <c r="DA11" s="3">
        <f t="shared" si="146"/>
        <v>3</v>
      </c>
      <c r="DB11" s="3">
        <f t="shared" si="34"/>
        <v>0</v>
      </c>
      <c r="DC11" s="3">
        <f t="shared" si="147"/>
        <v>3</v>
      </c>
      <c r="DD11" s="3">
        <f t="shared" si="35"/>
        <v>0</v>
      </c>
      <c r="DE11" s="3">
        <f t="shared" si="148"/>
        <v>3</v>
      </c>
      <c r="DF11" s="3">
        <f t="shared" si="36"/>
        <v>0</v>
      </c>
      <c r="DG11" s="3">
        <f t="shared" si="149"/>
        <v>0</v>
      </c>
      <c r="DH11" s="3">
        <f t="shared" si="37"/>
        <v>1</v>
      </c>
      <c r="DI11" s="3">
        <f t="shared" si="150"/>
        <v>2</v>
      </c>
      <c r="DJ11" s="3">
        <f t="shared" si="38"/>
        <v>0</v>
      </c>
      <c r="DK11" s="3">
        <f t="shared" si="151"/>
        <v>6</v>
      </c>
      <c r="DL11" s="3">
        <f t="shared" si="39"/>
        <v>0</v>
      </c>
      <c r="DM11" s="3">
        <f t="shared" si="152"/>
        <v>1</v>
      </c>
      <c r="DN11" s="6"/>
      <c r="DO11" s="6">
        <f>IF($E11=4,CP11-4,NA())</f>
        <v>0</v>
      </c>
      <c r="DP11" s="6"/>
      <c r="DQ11" s="26">
        <f>CP11-'Zusammenfassung Tag1-4'!$E$2/18</f>
        <v>2.7222222222222223</v>
      </c>
      <c r="DR11" s="28">
        <f t="shared" si="153"/>
        <v>33.5</v>
      </c>
      <c r="DS11" s="24">
        <v>9</v>
      </c>
      <c r="DT11" s="3">
        <f t="shared" si="154"/>
        <v>67</v>
      </c>
      <c r="DU11" s="25">
        <v>3</v>
      </c>
      <c r="DV11" s="3">
        <f t="shared" si="155"/>
        <v>23</v>
      </c>
      <c r="DW11" s="3">
        <f t="shared" si="40"/>
        <v>0</v>
      </c>
      <c r="DX11" s="3">
        <f t="shared" si="156"/>
        <v>1</v>
      </c>
      <c r="DY11" s="3">
        <f t="shared" si="41"/>
        <v>0</v>
      </c>
      <c r="DZ11" s="3">
        <f t="shared" si="157"/>
        <v>0</v>
      </c>
      <c r="EA11" s="3">
        <f t="shared" si="42"/>
        <v>0</v>
      </c>
      <c r="EB11" s="3">
        <f t="shared" si="158"/>
        <v>0</v>
      </c>
      <c r="EC11" s="3">
        <f t="shared" si="43"/>
        <v>0</v>
      </c>
      <c r="ED11" s="3">
        <f t="shared" si="159"/>
        <v>1</v>
      </c>
      <c r="EE11" s="3">
        <f t="shared" si="44"/>
        <v>0</v>
      </c>
      <c r="EF11" s="3">
        <f t="shared" si="160"/>
        <v>0</v>
      </c>
      <c r="EG11" s="3">
        <f t="shared" si="45"/>
        <v>1</v>
      </c>
      <c r="EH11" s="3">
        <f t="shared" si="161"/>
        <v>8</v>
      </c>
      <c r="EI11" s="3">
        <f t="shared" si="46"/>
        <v>0</v>
      </c>
      <c r="EJ11" s="3">
        <f t="shared" si="162"/>
        <v>0</v>
      </c>
      <c r="EK11" s="3">
        <f t="shared" si="47"/>
        <v>0</v>
      </c>
      <c r="EL11" s="3">
        <f t="shared" si="163"/>
        <v>0</v>
      </c>
      <c r="EM11" s="3">
        <f t="shared" si="48"/>
        <v>0</v>
      </c>
      <c r="EN11" s="3">
        <f t="shared" si="164"/>
        <v>5</v>
      </c>
      <c r="EO11" s="3">
        <f t="shared" si="49"/>
        <v>1</v>
      </c>
      <c r="EP11" s="3">
        <f t="shared" si="165"/>
        <v>4</v>
      </c>
      <c r="EQ11" s="6"/>
      <c r="ER11" s="6">
        <f>IF($E11=4,DS11-4,NA())</f>
        <v>5</v>
      </c>
      <c r="ES11" s="6"/>
      <c r="ET11" s="26">
        <f>DS11-'Zusammenfassung Tag1-4'!$F$2/18</f>
        <v>6</v>
      </c>
      <c r="EU11" s="28">
        <f t="shared" si="166"/>
        <v>40</v>
      </c>
      <c r="EV11" s="24">
        <v>6</v>
      </c>
      <c r="EW11" s="3">
        <f t="shared" si="167"/>
        <v>51</v>
      </c>
      <c r="EX11" s="25">
        <v>2</v>
      </c>
      <c r="EY11" s="3">
        <f t="shared" si="168"/>
        <v>21</v>
      </c>
      <c r="EZ11" s="3">
        <f t="shared" si="50"/>
        <v>0</v>
      </c>
      <c r="FA11" s="3">
        <f t="shared" si="169"/>
        <v>2</v>
      </c>
      <c r="FB11" s="3">
        <f t="shared" si="51"/>
        <v>0</v>
      </c>
      <c r="FC11" s="3">
        <f t="shared" si="170"/>
        <v>0</v>
      </c>
      <c r="FD11" s="3">
        <f t="shared" si="52"/>
        <v>0</v>
      </c>
      <c r="FE11" s="3">
        <f t="shared" si="171"/>
        <v>0</v>
      </c>
      <c r="FF11" s="3">
        <f t="shared" si="53"/>
        <v>0</v>
      </c>
      <c r="FG11" s="3">
        <f t="shared" si="172"/>
        <v>1</v>
      </c>
      <c r="FH11" s="3">
        <f t="shared" si="54"/>
        <v>0</v>
      </c>
      <c r="FI11" s="3">
        <f t="shared" si="173"/>
        <v>2</v>
      </c>
      <c r="FJ11" s="3">
        <f t="shared" si="55"/>
        <v>1</v>
      </c>
      <c r="FK11" s="3">
        <f t="shared" si="174"/>
        <v>6</v>
      </c>
      <c r="FL11" s="3">
        <f t="shared" si="56"/>
        <v>0</v>
      </c>
      <c r="FM11" s="3">
        <f t="shared" si="175"/>
        <v>0</v>
      </c>
      <c r="FN11" s="3">
        <f t="shared" si="57"/>
        <v>0</v>
      </c>
      <c r="FO11" s="3">
        <f t="shared" si="176"/>
        <v>1</v>
      </c>
      <c r="FP11" s="3">
        <f t="shared" si="58"/>
        <v>1</v>
      </c>
      <c r="FQ11" s="3">
        <f t="shared" si="177"/>
        <v>4</v>
      </c>
      <c r="FR11" s="3">
        <f t="shared" si="59"/>
        <v>0</v>
      </c>
      <c r="FS11" s="3">
        <f t="shared" si="178"/>
        <v>4</v>
      </c>
      <c r="FT11" s="6"/>
      <c r="FU11" s="6">
        <f>IF($E11=4,EV11-4,NA())</f>
        <v>2</v>
      </c>
      <c r="FV11" s="6"/>
      <c r="FW11" s="26">
        <f>EV11-'Zusammenfassung Tag1-4'!$G$2/18</f>
        <v>4.5</v>
      </c>
      <c r="FX11" s="28">
        <f t="shared" si="179"/>
        <v>37.5</v>
      </c>
      <c r="FY11" s="24">
        <v>6</v>
      </c>
      <c r="FZ11" s="3">
        <f t="shared" si="180"/>
        <v>66</v>
      </c>
      <c r="GA11" s="25">
        <v>2</v>
      </c>
      <c r="GB11" s="3">
        <f t="shared" si="181"/>
        <v>22</v>
      </c>
      <c r="GC11" s="3">
        <f t="shared" si="60"/>
        <v>0</v>
      </c>
      <c r="GD11" s="3">
        <f t="shared" si="182"/>
        <v>1</v>
      </c>
      <c r="GE11" s="3">
        <f t="shared" si="61"/>
        <v>0</v>
      </c>
      <c r="GF11" s="3">
        <f t="shared" si="183"/>
        <v>0</v>
      </c>
      <c r="GG11" s="3">
        <f t="shared" si="62"/>
        <v>0</v>
      </c>
      <c r="GH11" s="3">
        <f t="shared" si="184"/>
        <v>0</v>
      </c>
      <c r="GI11" s="3">
        <f t="shared" si="63"/>
        <v>0</v>
      </c>
      <c r="GJ11" s="3">
        <f t="shared" si="185"/>
        <v>0</v>
      </c>
      <c r="GK11" s="3">
        <f t="shared" si="64"/>
        <v>0</v>
      </c>
      <c r="GL11" s="3">
        <f t="shared" si="186"/>
        <v>1</v>
      </c>
      <c r="GM11" s="3">
        <f t="shared" si="65"/>
        <v>1</v>
      </c>
      <c r="GN11" s="3">
        <f t="shared" si="187"/>
        <v>8</v>
      </c>
      <c r="GO11" s="3">
        <f t="shared" si="66"/>
        <v>0</v>
      </c>
      <c r="GP11" s="3">
        <f t="shared" si="188"/>
        <v>0</v>
      </c>
      <c r="GQ11" s="3">
        <f t="shared" si="67"/>
        <v>0</v>
      </c>
      <c r="GR11" s="3">
        <f t="shared" si="189"/>
        <v>0</v>
      </c>
      <c r="GS11" s="3">
        <f t="shared" si="68"/>
        <v>1</v>
      </c>
      <c r="GT11" s="3">
        <f t="shared" si="190"/>
        <v>5</v>
      </c>
      <c r="GU11" s="3">
        <f t="shared" si="69"/>
        <v>0</v>
      </c>
      <c r="GV11" s="3">
        <f t="shared" si="191"/>
        <v>4</v>
      </c>
      <c r="GW11" s="6"/>
      <c r="GX11" s="6">
        <f>IF($E11=4,FY11-4,NA())</f>
        <v>2</v>
      </c>
      <c r="GY11" s="6"/>
      <c r="GZ11" s="26">
        <f>FY11-'Zusammenfassung Tag1-4'!$H$2/18</f>
        <v>3</v>
      </c>
      <c r="HA11" s="28">
        <f t="shared" si="192"/>
        <v>39</v>
      </c>
      <c r="HB11" s="24">
        <v>7</v>
      </c>
      <c r="HC11" s="3">
        <f t="shared" si="193"/>
        <v>47</v>
      </c>
      <c r="HD11" s="25">
        <v>3</v>
      </c>
      <c r="HE11" s="3">
        <f t="shared" si="194"/>
        <v>20</v>
      </c>
      <c r="HF11" s="3">
        <f t="shared" si="70"/>
        <v>0</v>
      </c>
      <c r="HG11" s="3">
        <f t="shared" si="195"/>
        <v>3</v>
      </c>
      <c r="HH11" s="3">
        <f t="shared" si="71"/>
        <v>0</v>
      </c>
      <c r="HI11" s="3">
        <f t="shared" si="196"/>
        <v>1</v>
      </c>
      <c r="HJ11" s="3">
        <f t="shared" si="72"/>
        <v>0</v>
      </c>
      <c r="HK11" s="3">
        <f t="shared" si="197"/>
        <v>0</v>
      </c>
      <c r="HL11" s="3">
        <f t="shared" si="73"/>
        <v>0</v>
      </c>
      <c r="HM11" s="3">
        <f t="shared" si="198"/>
        <v>2</v>
      </c>
      <c r="HN11" s="3">
        <f t="shared" si="74"/>
        <v>0</v>
      </c>
      <c r="HO11" s="3">
        <f t="shared" si="199"/>
        <v>5</v>
      </c>
      <c r="HP11" s="3">
        <f t="shared" si="75"/>
        <v>1</v>
      </c>
      <c r="HQ11" s="3">
        <f t="shared" si="200"/>
        <v>2</v>
      </c>
      <c r="HR11" s="3">
        <f t="shared" si="76"/>
        <v>0</v>
      </c>
      <c r="HS11" s="3">
        <f t="shared" si="201"/>
        <v>0</v>
      </c>
      <c r="HT11" s="3">
        <f t="shared" si="77"/>
        <v>0</v>
      </c>
      <c r="HU11" s="3">
        <f t="shared" si="202"/>
        <v>1</v>
      </c>
      <c r="HV11" s="3">
        <f t="shared" si="78"/>
        <v>0</v>
      </c>
      <c r="HW11" s="3">
        <f t="shared" si="203"/>
        <v>5</v>
      </c>
      <c r="HX11" s="3">
        <f t="shared" si="79"/>
        <v>1</v>
      </c>
      <c r="HY11" s="3">
        <f t="shared" si="204"/>
        <v>3</v>
      </c>
      <c r="HZ11" s="6"/>
      <c r="IA11" s="6">
        <f>IF($E11=4,HB11-4,NA())</f>
        <v>3</v>
      </c>
      <c r="IB11" s="6"/>
      <c r="IC11" s="26">
        <f>HB11-'Zusammenfassung Tag1-4'!$I$2/18</f>
        <v>6</v>
      </c>
      <c r="ID11" s="28">
        <f t="shared" si="205"/>
        <v>38</v>
      </c>
      <c r="IE11" s="24"/>
      <c r="IF11" s="3">
        <f t="shared" si="206"/>
        <v>0</v>
      </c>
      <c r="IG11" s="25"/>
      <c r="IH11" s="3">
        <f t="shared" si="207"/>
        <v>0</v>
      </c>
      <c r="II11" s="3">
        <f t="shared" si="80"/>
        <v>1</v>
      </c>
      <c r="IJ11" s="3">
        <f t="shared" si="208"/>
        <v>9</v>
      </c>
      <c r="IK11" s="3">
        <f t="shared" si="81"/>
        <v>0</v>
      </c>
      <c r="IL11" s="3">
        <f t="shared" si="209"/>
        <v>0</v>
      </c>
      <c r="IM11" s="3">
        <f t="shared" si="82"/>
        <v>0</v>
      </c>
      <c r="IN11" s="3">
        <f t="shared" si="210"/>
        <v>0</v>
      </c>
      <c r="IO11" s="3">
        <f t="shared" si="83"/>
        <v>0</v>
      </c>
      <c r="IP11" s="3">
        <f t="shared" si="211"/>
        <v>0</v>
      </c>
      <c r="IQ11" s="3">
        <f t="shared" si="84"/>
        <v>0</v>
      </c>
      <c r="IR11" s="3">
        <f t="shared" si="212"/>
        <v>0</v>
      </c>
      <c r="IS11" s="3">
        <f t="shared" si="85"/>
        <v>0</v>
      </c>
      <c r="IT11" s="3">
        <f t="shared" si="213"/>
        <v>0</v>
      </c>
      <c r="IU11" s="3">
        <f t="shared" si="86"/>
        <v>1</v>
      </c>
      <c r="IV11" s="3">
        <f t="shared" si="214"/>
        <v>9</v>
      </c>
      <c r="IW11" s="3">
        <f t="shared" si="87"/>
        <v>0</v>
      </c>
      <c r="IX11" s="3">
        <f t="shared" si="215"/>
        <v>0</v>
      </c>
      <c r="IY11" s="3">
        <f t="shared" si="88"/>
        <v>0</v>
      </c>
      <c r="IZ11" s="3">
        <f t="shared" si="216"/>
        <v>0</v>
      </c>
      <c r="JA11" s="3">
        <f t="shared" si="89"/>
        <v>0</v>
      </c>
      <c r="JB11" s="3">
        <f t="shared" si="217"/>
        <v>0</v>
      </c>
      <c r="JC11" s="6"/>
      <c r="JD11" s="6">
        <f>IF($E11=4,IE11-4,NA())</f>
        <v>-4</v>
      </c>
      <c r="JE11" s="6"/>
      <c r="JF11" s="26">
        <f>IE11-'Zusammenfassung Tag1-4'!$J$2/18</f>
        <v>-3</v>
      </c>
      <c r="JG11" s="28">
        <f t="shared" si="218"/>
        <v>-27</v>
      </c>
      <c r="JH11" s="24"/>
      <c r="JI11" s="3">
        <f t="shared" si="219"/>
        <v>0</v>
      </c>
      <c r="JJ11" s="25"/>
      <c r="JK11" s="3">
        <f t="shared" si="220"/>
        <v>0</v>
      </c>
      <c r="JL11" s="3">
        <f t="shared" si="90"/>
        <v>1</v>
      </c>
      <c r="JM11" s="3">
        <f t="shared" si="221"/>
        <v>9</v>
      </c>
      <c r="JN11" s="3">
        <f t="shared" si="91"/>
        <v>0</v>
      </c>
      <c r="JO11" s="3">
        <f t="shared" si="222"/>
        <v>0</v>
      </c>
      <c r="JP11" s="3">
        <f t="shared" si="92"/>
        <v>0</v>
      </c>
      <c r="JQ11" s="3">
        <f t="shared" si="223"/>
        <v>0</v>
      </c>
      <c r="JR11" s="3">
        <f t="shared" si="93"/>
        <v>0</v>
      </c>
      <c r="JS11" s="3">
        <f t="shared" si="224"/>
        <v>0</v>
      </c>
      <c r="JT11" s="3">
        <f t="shared" si="94"/>
        <v>0</v>
      </c>
      <c r="JU11" s="3">
        <f t="shared" si="225"/>
        <v>0</v>
      </c>
      <c r="JV11" s="3">
        <f t="shared" si="95"/>
        <v>0</v>
      </c>
      <c r="JW11" s="3">
        <f t="shared" si="226"/>
        <v>0</v>
      </c>
      <c r="JX11" s="3">
        <f t="shared" si="96"/>
        <v>1</v>
      </c>
      <c r="JY11" s="3">
        <f t="shared" si="227"/>
        <v>9</v>
      </c>
      <c r="JZ11" s="3">
        <f t="shared" si="97"/>
        <v>0</v>
      </c>
      <c r="KA11" s="3">
        <f t="shared" si="228"/>
        <v>0</v>
      </c>
      <c r="KB11" s="3">
        <f t="shared" si="98"/>
        <v>0</v>
      </c>
      <c r="KC11" s="3">
        <f t="shared" si="229"/>
        <v>0</v>
      </c>
      <c r="KD11" s="3">
        <f t="shared" si="99"/>
        <v>0</v>
      </c>
      <c r="KE11" s="3">
        <f t="shared" si="230"/>
        <v>0</v>
      </c>
      <c r="KF11" s="6"/>
      <c r="KG11" s="6">
        <f>IF($E11=4,JH11-4,NA())</f>
        <v>-4</v>
      </c>
      <c r="KH11" s="6"/>
      <c r="KI11" s="26">
        <f>JH11-'Zusammenfassung Tag1-4'!$K$2/18</f>
        <v>-0.77777777777777779</v>
      </c>
      <c r="KJ11" s="28">
        <f t="shared" si="231"/>
        <v>-7</v>
      </c>
      <c r="KK11" s="10"/>
      <c r="KL11" s="10"/>
      <c r="KM11" s="10"/>
      <c r="KN11" s="10"/>
      <c r="KO11" s="10"/>
      <c r="KP11" s="10"/>
      <c r="KQ11" s="10"/>
      <c r="KR11" s="10"/>
      <c r="KS11" s="10"/>
      <c r="KT11" s="10"/>
      <c r="KU11" s="10"/>
      <c r="KV11" s="10"/>
      <c r="KW11" s="10"/>
      <c r="KX11" s="10"/>
      <c r="KY11" s="10"/>
      <c r="KZ11" s="10"/>
      <c r="LA11" s="10"/>
      <c r="LB11" s="10"/>
      <c r="LC11" s="10"/>
      <c r="LD11" s="10"/>
    </row>
    <row r="12" spans="1:316" ht="15.75" customHeight="1" x14ac:dyDescent="0.25">
      <c r="A12" s="106"/>
      <c r="B12" s="104"/>
      <c r="C12" s="3" t="s">
        <v>47</v>
      </c>
      <c r="D12" s="3"/>
      <c r="E12" s="3">
        <f>SUM(E3:E11)</f>
        <v>36</v>
      </c>
      <c r="F12" s="23"/>
      <c r="G12" s="29">
        <f>SUM(G3:G11)</f>
        <v>44</v>
      </c>
      <c r="H12" s="3"/>
      <c r="I12" s="3">
        <f>SUM(I3:I11)</f>
        <v>18</v>
      </c>
      <c r="J12" s="3"/>
      <c r="K12" s="3">
        <f>SUM(K3:K11)</f>
        <v>4</v>
      </c>
      <c r="L12" s="3"/>
      <c r="M12" s="3">
        <f>SUM(M3:M11)</f>
        <v>0</v>
      </c>
      <c r="N12" s="3"/>
      <c r="O12" s="3">
        <f>SUM(O3:O11)</f>
        <v>1</v>
      </c>
      <c r="P12" s="3"/>
      <c r="Q12" s="3">
        <f>SUM(Q3:Q11)</f>
        <v>2</v>
      </c>
      <c r="R12" s="3"/>
      <c r="S12" s="3">
        <f>SUM(S3:S11)</f>
        <v>3</v>
      </c>
      <c r="T12" s="3"/>
      <c r="U12" s="3">
        <f>SUM(U3:U11)</f>
        <v>3</v>
      </c>
      <c r="V12" s="3"/>
      <c r="W12" s="3">
        <f>SUM(W3:W11)</f>
        <v>0</v>
      </c>
      <c r="X12" s="3"/>
      <c r="Y12" s="3">
        <f>SUM(Y3:Y11)</f>
        <v>3</v>
      </c>
      <c r="Z12" s="3"/>
      <c r="AA12" s="3">
        <f>SUM(AA3:AA11)</f>
        <v>4</v>
      </c>
      <c r="AB12" s="3"/>
      <c r="AC12" s="3">
        <f>SUM(AC3:AC11)</f>
        <v>2</v>
      </c>
      <c r="AD12" s="3"/>
      <c r="AE12" s="4">
        <f t="shared" ref="AE12:AG12" si="242">AVERAGE(AE3:AE11)</f>
        <v>1.5</v>
      </c>
      <c r="AF12" s="4">
        <f t="shared" si="242"/>
        <v>0.6</v>
      </c>
      <c r="AG12" s="4">
        <f t="shared" si="242"/>
        <v>1</v>
      </c>
      <c r="AH12" s="26">
        <f>SUM(AH3:AH11)</f>
        <v>34</v>
      </c>
      <c r="AI12" s="23"/>
      <c r="AJ12" s="29">
        <f>SUM(AJ3:AJ11)</f>
        <v>41</v>
      </c>
      <c r="AK12" s="3"/>
      <c r="AL12" s="3">
        <f>SUM(AL3:AL11)</f>
        <v>20</v>
      </c>
      <c r="AM12" s="3"/>
      <c r="AN12" s="3">
        <f>SUM(AN3:AN11)</f>
        <v>7</v>
      </c>
      <c r="AO12" s="3"/>
      <c r="AP12" s="3">
        <f>SUM(AP3:AP11)</f>
        <v>1</v>
      </c>
      <c r="AQ12" s="3"/>
      <c r="AR12" s="3">
        <f>SUM(AR3:AR11)</f>
        <v>0</v>
      </c>
      <c r="AS12" s="3"/>
      <c r="AT12" s="3">
        <f>SUM(AT3:AT11)</f>
        <v>5</v>
      </c>
      <c r="AU12" s="3"/>
      <c r="AV12" s="3">
        <f>SUM(AV3:AV11)</f>
        <v>3</v>
      </c>
      <c r="AW12" s="3"/>
      <c r="AX12" s="3">
        <f>SUM(AX3:AX11)</f>
        <v>1</v>
      </c>
      <c r="AY12" s="3"/>
      <c r="AZ12" s="3">
        <f>SUM(AZ3:AZ11)</f>
        <v>0</v>
      </c>
      <c r="BA12" s="3"/>
      <c r="BB12" s="3">
        <f>SUM(BB3:BB11)</f>
        <v>1</v>
      </c>
      <c r="BC12" s="3"/>
      <c r="BD12" s="3">
        <f>SUM(BD3:BD11)</f>
        <v>5</v>
      </c>
      <c r="BE12" s="3"/>
      <c r="BF12" s="3">
        <f>SUM(BF3:BF11)</f>
        <v>3</v>
      </c>
      <c r="BG12" s="3"/>
      <c r="BH12" s="4">
        <f t="shared" ref="BH12:BJ12" si="243">AVERAGE(BH3:BH11)</f>
        <v>1</v>
      </c>
      <c r="BI12" s="4">
        <f t="shared" si="243"/>
        <v>0.6</v>
      </c>
      <c r="BJ12" s="4">
        <f t="shared" si="243"/>
        <v>0</v>
      </c>
      <c r="BK12" s="26">
        <f>SUM(BK3:BK11)</f>
        <v>35</v>
      </c>
      <c r="BL12" s="23"/>
      <c r="BM12" s="29">
        <f>SUM(BM3:BM11)</f>
        <v>48</v>
      </c>
      <c r="BN12" s="3"/>
      <c r="BO12" s="3">
        <f>SUM(BO3:BO11)</f>
        <v>18</v>
      </c>
      <c r="BP12" s="3"/>
      <c r="BQ12" s="3">
        <f>SUM(BQ3:BQ11)</f>
        <v>3</v>
      </c>
      <c r="BR12" s="3"/>
      <c r="BS12" s="3">
        <f>SUM(BS3:BS11)</f>
        <v>1</v>
      </c>
      <c r="BT12" s="3"/>
      <c r="BU12" s="3">
        <f>SUM(BU3:BU11)</f>
        <v>0</v>
      </c>
      <c r="BV12" s="3"/>
      <c r="BW12" s="3">
        <f>SUM(BW3:BW11)</f>
        <v>4</v>
      </c>
      <c r="BX12" s="3"/>
      <c r="BY12" s="3">
        <f>SUM(BY3:BY11)</f>
        <v>2</v>
      </c>
      <c r="BZ12" s="3"/>
      <c r="CA12" s="3">
        <f>SUM(CA3:CA11)</f>
        <v>3</v>
      </c>
      <c r="CB12" s="3"/>
      <c r="CC12" s="3">
        <f>SUM(CC3:CC11)</f>
        <v>0</v>
      </c>
      <c r="CD12" s="3"/>
      <c r="CE12" s="3">
        <f>SUM(CE3:CE11)</f>
        <v>2</v>
      </c>
      <c r="CF12" s="3"/>
      <c r="CG12" s="3">
        <f>SUM(CG3:CG11)</f>
        <v>5</v>
      </c>
      <c r="CH12" s="3"/>
      <c r="CI12" s="3">
        <f>SUM(CI3:CI11)</f>
        <v>2</v>
      </c>
      <c r="CJ12" s="3"/>
      <c r="CK12" s="4">
        <f t="shared" ref="CK12:CM12" si="244">AVERAGE(CK3:CK11)</f>
        <v>0.5</v>
      </c>
      <c r="CL12" s="4">
        <f t="shared" si="244"/>
        <v>1.4</v>
      </c>
      <c r="CM12" s="4">
        <f t="shared" si="244"/>
        <v>2</v>
      </c>
      <c r="CN12" s="26">
        <f>SUM(CN3:CN11)</f>
        <v>36</v>
      </c>
      <c r="CO12" s="23"/>
      <c r="CP12" s="29">
        <f>SUM(CP3:CP11)</f>
        <v>45</v>
      </c>
      <c r="CQ12" s="3"/>
      <c r="CR12" s="3">
        <f>SUM(CR3:CR11)</f>
        <v>17</v>
      </c>
      <c r="CS12" s="3"/>
      <c r="CT12" s="3">
        <f>SUM(CT3:CT11)</f>
        <v>3</v>
      </c>
      <c r="CU12" s="3"/>
      <c r="CV12" s="3">
        <f>SUM(CV3:CV11)</f>
        <v>1</v>
      </c>
      <c r="CW12" s="3"/>
      <c r="CX12" s="3">
        <f>SUM(CX3:CX11)</f>
        <v>0</v>
      </c>
      <c r="CY12" s="3"/>
      <c r="CZ12" s="3">
        <f>SUM(CZ3:CZ11)</f>
        <v>3</v>
      </c>
      <c r="DA12" s="3"/>
      <c r="DB12" s="3">
        <f>SUM(DB3:DB11)</f>
        <v>3</v>
      </c>
      <c r="DC12" s="3"/>
      <c r="DD12" s="3">
        <f>SUM(DD3:DD11)</f>
        <v>3</v>
      </c>
      <c r="DE12" s="3"/>
      <c r="DF12" s="3">
        <f>SUM(DF3:DF11)</f>
        <v>0</v>
      </c>
      <c r="DG12" s="3"/>
      <c r="DH12" s="3">
        <f>SUM(DH3:DH11)</f>
        <v>2</v>
      </c>
      <c r="DI12" s="3"/>
      <c r="DJ12" s="3">
        <f>SUM(DJ3:DJ11)</f>
        <v>6</v>
      </c>
      <c r="DK12" s="3"/>
      <c r="DL12" s="3">
        <f>SUM(DL3:DL11)</f>
        <v>1</v>
      </c>
      <c r="DM12" s="3"/>
      <c r="DN12" s="4">
        <f t="shared" ref="DN12:DP12" si="245">AVERAGE(DN3:DN11)</f>
        <v>1</v>
      </c>
      <c r="DO12" s="4">
        <f t="shared" si="245"/>
        <v>0.6</v>
      </c>
      <c r="DP12" s="4">
        <f t="shared" si="245"/>
        <v>2</v>
      </c>
      <c r="DQ12" s="26">
        <f>SUM(DQ3:DQ11)</f>
        <v>33.5</v>
      </c>
      <c r="DR12" s="30"/>
      <c r="DS12" s="29">
        <f>SUM(DS3:DS11)</f>
        <v>67</v>
      </c>
      <c r="DT12" s="3"/>
      <c r="DU12" s="3">
        <f>SUM(DU3:DU11)</f>
        <v>23</v>
      </c>
      <c r="DV12" s="3"/>
      <c r="DW12" s="3">
        <f>SUM(DW3:DW11)</f>
        <v>1</v>
      </c>
      <c r="DX12" s="3"/>
      <c r="DY12" s="3">
        <f>SUM(DY3:DY11)</f>
        <v>0</v>
      </c>
      <c r="DZ12" s="3"/>
      <c r="EA12" s="3">
        <f>SUM(EA3:EA11)</f>
        <v>0</v>
      </c>
      <c r="EB12" s="3"/>
      <c r="EC12" s="3">
        <f>SUM(EC3:EC11)</f>
        <v>1</v>
      </c>
      <c r="ED12" s="3"/>
      <c r="EE12" s="3">
        <f>SUM(EE3:EE11)</f>
        <v>0</v>
      </c>
      <c r="EF12" s="3"/>
      <c r="EG12" s="3">
        <f>SUM(EG3:EG11)</f>
        <v>8</v>
      </c>
      <c r="EH12" s="3"/>
      <c r="EI12" s="3">
        <f>SUM(EI3:EI11)</f>
        <v>0</v>
      </c>
      <c r="EJ12" s="3"/>
      <c r="EK12" s="3">
        <f>SUM(EK3:EK11)</f>
        <v>0</v>
      </c>
      <c r="EL12" s="3"/>
      <c r="EM12" s="3">
        <f>SUM(EM3:EM11)</f>
        <v>5</v>
      </c>
      <c r="EN12" s="3"/>
      <c r="EO12" s="3">
        <f>SUM(EO3:EO11)</f>
        <v>4</v>
      </c>
      <c r="EP12" s="3"/>
      <c r="EQ12" s="4">
        <f t="shared" ref="EQ12:ES12" si="246">AVERAGE(EQ3:EQ11)</f>
        <v>1</v>
      </c>
      <c r="ER12" s="4">
        <f t="shared" si="246"/>
        <v>3.8</v>
      </c>
      <c r="ES12" s="4">
        <f t="shared" si="246"/>
        <v>5</v>
      </c>
      <c r="ET12" s="26">
        <f>SUM(ET3:ET11)</f>
        <v>40</v>
      </c>
      <c r="EU12" s="30"/>
      <c r="EV12" s="29">
        <f>SUM(EV3:EV11)</f>
        <v>51</v>
      </c>
      <c r="EW12" s="3"/>
      <c r="EX12" s="3">
        <f>SUM(EX3:EX11)</f>
        <v>21</v>
      </c>
      <c r="EY12" s="3"/>
      <c r="EZ12" s="3">
        <f>SUM(EZ3:EZ11)</f>
        <v>2</v>
      </c>
      <c r="FA12" s="3"/>
      <c r="FB12" s="3">
        <f>SUM(FB3:FB11)</f>
        <v>0</v>
      </c>
      <c r="FC12" s="3"/>
      <c r="FD12" s="3">
        <f>SUM(FD3:FD11)</f>
        <v>0</v>
      </c>
      <c r="FE12" s="3"/>
      <c r="FF12" s="3">
        <f>SUM(FF3:FF11)</f>
        <v>1</v>
      </c>
      <c r="FG12" s="3"/>
      <c r="FH12" s="3">
        <f>SUM(FH3:FH11)</f>
        <v>2</v>
      </c>
      <c r="FI12" s="3"/>
      <c r="FJ12" s="3">
        <f>SUM(FJ3:FJ11)</f>
        <v>6</v>
      </c>
      <c r="FK12" s="3"/>
      <c r="FL12" s="3">
        <f>SUM(FL3:FL11)</f>
        <v>0</v>
      </c>
      <c r="FM12" s="3"/>
      <c r="FN12" s="3">
        <f>SUM(FN3:FN11)</f>
        <v>1</v>
      </c>
      <c r="FO12" s="3"/>
      <c r="FP12" s="3">
        <f>SUM(FP3:FP11)</f>
        <v>4</v>
      </c>
      <c r="FQ12" s="3"/>
      <c r="FR12" s="3">
        <f>SUM(FR3:FR11)</f>
        <v>4</v>
      </c>
      <c r="FS12" s="3"/>
      <c r="FT12" s="4">
        <f t="shared" ref="FT12:FV12" si="247">AVERAGE(FT3:FT11)</f>
        <v>1.5</v>
      </c>
      <c r="FU12" s="4">
        <f t="shared" si="247"/>
        <v>1.8</v>
      </c>
      <c r="FV12" s="4">
        <f t="shared" si="247"/>
        <v>1.5</v>
      </c>
      <c r="FW12" s="26">
        <f>SUM(FW3:FW11)</f>
        <v>37.5</v>
      </c>
      <c r="FX12" s="30"/>
      <c r="FY12" s="29">
        <f>SUM(FY3:FY11)</f>
        <v>66</v>
      </c>
      <c r="FZ12" s="3"/>
      <c r="GA12" s="3">
        <f>SUM(GA3:GA11)</f>
        <v>22</v>
      </c>
      <c r="GB12" s="3"/>
      <c r="GC12" s="3">
        <f>SUM(GC3:GC11)</f>
        <v>1</v>
      </c>
      <c r="GD12" s="3"/>
      <c r="GE12" s="3">
        <f>SUM(GE3:GE11)</f>
        <v>0</v>
      </c>
      <c r="GF12" s="3"/>
      <c r="GG12" s="3">
        <f>SUM(GG3:GG11)</f>
        <v>0</v>
      </c>
      <c r="GH12" s="3"/>
      <c r="GI12" s="3">
        <f>SUM(GI3:GI11)</f>
        <v>0</v>
      </c>
      <c r="GJ12" s="3"/>
      <c r="GK12" s="3">
        <f>SUM(GK3:GK11)</f>
        <v>1</v>
      </c>
      <c r="GL12" s="3"/>
      <c r="GM12" s="3">
        <f>SUM(GM3:GM11)</f>
        <v>8</v>
      </c>
      <c r="GN12" s="3"/>
      <c r="GO12" s="3">
        <f>SUM(GO3:GO11)</f>
        <v>0</v>
      </c>
      <c r="GP12" s="3"/>
      <c r="GQ12" s="3">
        <f>SUM(GQ3:GQ11)</f>
        <v>0</v>
      </c>
      <c r="GR12" s="3"/>
      <c r="GS12" s="3">
        <f>SUM(GS3:GS11)</f>
        <v>5</v>
      </c>
      <c r="GT12" s="3"/>
      <c r="GU12" s="3">
        <f>SUM(GU3:GU11)</f>
        <v>4</v>
      </c>
      <c r="GV12" s="3"/>
      <c r="GW12" s="4">
        <f t="shared" ref="GW12:GY12" si="248">AVERAGE(GW3:GW11)</f>
        <v>3</v>
      </c>
      <c r="GX12" s="4">
        <f t="shared" si="248"/>
        <v>3.2</v>
      </c>
      <c r="GY12" s="4">
        <f t="shared" si="248"/>
        <v>4</v>
      </c>
      <c r="GZ12" s="26">
        <f>SUM(GZ3:GZ11)</f>
        <v>39</v>
      </c>
      <c r="HA12" s="30"/>
      <c r="HB12" s="29">
        <f>SUM(HB3:HB11)</f>
        <v>47</v>
      </c>
      <c r="HC12" s="3"/>
      <c r="HD12" s="3">
        <f>SUM(HD3:HD11)</f>
        <v>20</v>
      </c>
      <c r="HE12" s="3"/>
      <c r="HF12" s="3">
        <f>SUM(HF3:HF11)</f>
        <v>3</v>
      </c>
      <c r="HG12" s="3"/>
      <c r="HH12" s="3">
        <f>SUM(HH3:HH11)</f>
        <v>1</v>
      </c>
      <c r="HI12" s="3"/>
      <c r="HJ12" s="3">
        <f>SUM(HJ3:HJ11)</f>
        <v>0</v>
      </c>
      <c r="HK12" s="3"/>
      <c r="HL12" s="3">
        <f>SUM(HL3:HL11)</f>
        <v>2</v>
      </c>
      <c r="HM12" s="3"/>
      <c r="HN12" s="3">
        <f>SUM(HN3:HN11)</f>
        <v>5</v>
      </c>
      <c r="HO12" s="3"/>
      <c r="HP12" s="3">
        <f>SUM(HP3:HP11)</f>
        <v>2</v>
      </c>
      <c r="HQ12" s="3"/>
      <c r="HR12" s="3">
        <f>SUM(HR3:HR11)</f>
        <v>0</v>
      </c>
      <c r="HS12" s="3"/>
      <c r="HT12" s="3">
        <f>SUM(HT3:HT11)</f>
        <v>1</v>
      </c>
      <c r="HU12" s="3"/>
      <c r="HV12" s="3">
        <f>SUM(HV3:HV11)</f>
        <v>5</v>
      </c>
      <c r="HW12" s="3"/>
      <c r="HX12" s="3">
        <f>SUM(HX3:HX11)</f>
        <v>3</v>
      </c>
      <c r="HY12" s="3"/>
      <c r="HZ12" s="4">
        <f t="shared" ref="HZ12:IB12" si="249">AVERAGE(HZ3:HZ11)</f>
        <v>1</v>
      </c>
      <c r="IA12" s="4">
        <f t="shared" si="249"/>
        <v>1.6</v>
      </c>
      <c r="IB12" s="4">
        <f t="shared" si="249"/>
        <v>0.5</v>
      </c>
      <c r="IC12" s="26">
        <f>SUM(IC3:IC11)</f>
        <v>38</v>
      </c>
      <c r="ID12" s="30"/>
      <c r="IE12" s="29">
        <f>SUM(IE3:IE11)</f>
        <v>0</v>
      </c>
      <c r="IF12" s="3"/>
      <c r="IG12" s="3">
        <f>SUM(IG3:IG11)</f>
        <v>0</v>
      </c>
      <c r="IH12" s="3"/>
      <c r="II12" s="3">
        <f>SUM(II3:II11)</f>
        <v>9</v>
      </c>
      <c r="IJ12" s="3"/>
      <c r="IK12" s="3">
        <f>SUM(IK3:IK11)</f>
        <v>0</v>
      </c>
      <c r="IL12" s="3"/>
      <c r="IM12" s="3">
        <f>SUM(IM3:IM11)</f>
        <v>0</v>
      </c>
      <c r="IN12" s="3"/>
      <c r="IO12" s="3">
        <f>SUM(IO3:IO11)</f>
        <v>0</v>
      </c>
      <c r="IP12" s="3"/>
      <c r="IQ12" s="3">
        <f>SUM(IQ3:IQ11)</f>
        <v>0</v>
      </c>
      <c r="IR12" s="3"/>
      <c r="IS12" s="3">
        <f>SUM(IS3:IS11)</f>
        <v>0</v>
      </c>
      <c r="IT12" s="3"/>
      <c r="IU12" s="3">
        <f>SUM(IU3:IU11)</f>
        <v>9</v>
      </c>
      <c r="IV12" s="3"/>
      <c r="IW12" s="3">
        <f>SUM(IW3:IW11)</f>
        <v>0</v>
      </c>
      <c r="IX12" s="3"/>
      <c r="IY12" s="3">
        <f>SUM(IY3:IY11)</f>
        <v>0</v>
      </c>
      <c r="IZ12" s="3"/>
      <c r="JA12" s="3">
        <f>SUM(JA3:JA11)</f>
        <v>0</v>
      </c>
      <c r="JB12" s="3"/>
      <c r="JC12" s="4">
        <f t="shared" ref="JC12:JE12" si="250">AVERAGE(JC3:JC11)</f>
        <v>-3</v>
      </c>
      <c r="JD12" s="4">
        <f t="shared" si="250"/>
        <v>-4</v>
      </c>
      <c r="JE12" s="4">
        <f t="shared" si="250"/>
        <v>-5</v>
      </c>
      <c r="JF12" s="26">
        <f>SUM(JF3:JF11)</f>
        <v>-27</v>
      </c>
      <c r="JG12" s="30"/>
      <c r="JH12" s="29">
        <f>SUM(JH3:JH11)</f>
        <v>0</v>
      </c>
      <c r="JI12" s="3"/>
      <c r="JJ12" s="3">
        <f>SUM(JJ3:JJ11)</f>
        <v>0</v>
      </c>
      <c r="JK12" s="3"/>
      <c r="JL12" s="3">
        <f>SUM(JL3:JL11)</f>
        <v>9</v>
      </c>
      <c r="JM12" s="3"/>
      <c r="JN12" s="3">
        <f>SUM(JN3:JN11)</f>
        <v>0</v>
      </c>
      <c r="JO12" s="3"/>
      <c r="JP12" s="3">
        <f>SUM(JP3:JP11)</f>
        <v>0</v>
      </c>
      <c r="JQ12" s="3"/>
      <c r="JR12" s="3">
        <f>SUM(JR3:JR11)</f>
        <v>0</v>
      </c>
      <c r="JS12" s="3"/>
      <c r="JT12" s="3">
        <f>SUM(JT3:JT11)</f>
        <v>0</v>
      </c>
      <c r="JU12" s="3"/>
      <c r="JV12" s="3">
        <f>SUM(JV3:JV11)</f>
        <v>0</v>
      </c>
      <c r="JW12" s="3"/>
      <c r="JX12" s="3">
        <f>SUM(JX3:JX11)</f>
        <v>9</v>
      </c>
      <c r="JY12" s="3"/>
      <c r="JZ12" s="3">
        <f>SUM(JZ3:JZ11)</f>
        <v>0</v>
      </c>
      <c r="KA12" s="3"/>
      <c r="KB12" s="3">
        <f>SUM(KB3:KB11)</f>
        <v>0</v>
      </c>
      <c r="KC12" s="3"/>
      <c r="KD12" s="3">
        <f>SUM(KD3:KD11)</f>
        <v>0</v>
      </c>
      <c r="KE12" s="3"/>
      <c r="KF12" s="4">
        <f t="shared" ref="KF12:KH12" si="251">AVERAGE(KF3:KF11)</f>
        <v>-3</v>
      </c>
      <c r="KG12" s="4">
        <f t="shared" si="251"/>
        <v>-4</v>
      </c>
      <c r="KH12" s="4">
        <f t="shared" si="251"/>
        <v>-5</v>
      </c>
      <c r="KI12" s="26">
        <f>SUM(KI3:KI11)</f>
        <v>-7</v>
      </c>
      <c r="KJ12" s="30"/>
      <c r="KK12" s="10"/>
      <c r="KL12" s="10"/>
      <c r="KM12" s="10"/>
      <c r="KN12" s="10"/>
      <c r="KO12" s="10"/>
      <c r="KP12" s="10"/>
      <c r="KQ12" s="10"/>
      <c r="KR12" s="10"/>
      <c r="KS12" s="10"/>
      <c r="KT12" s="10"/>
      <c r="KU12" s="10"/>
      <c r="KV12" s="10"/>
      <c r="KW12" s="10"/>
      <c r="KX12" s="10"/>
      <c r="KY12" s="10"/>
      <c r="KZ12" s="10"/>
      <c r="LA12" s="10"/>
      <c r="LB12" s="10"/>
      <c r="LC12" s="10"/>
      <c r="LD12" s="10"/>
    </row>
    <row r="13" spans="1:316" ht="15.75" customHeight="1" x14ac:dyDescent="0.25">
      <c r="A13" s="106"/>
      <c r="B13" s="102" t="s">
        <v>48</v>
      </c>
      <c r="C13" s="11">
        <v>10</v>
      </c>
      <c r="D13" s="6">
        <f>D11+1</f>
        <v>10</v>
      </c>
      <c r="E13" s="11">
        <v>4</v>
      </c>
      <c r="F13" s="7">
        <f>E13+F11</f>
        <v>40</v>
      </c>
      <c r="G13" s="13">
        <v>4</v>
      </c>
      <c r="H13" s="11">
        <f>G13+H11</f>
        <v>48</v>
      </c>
      <c r="I13" s="14">
        <v>2</v>
      </c>
      <c r="J13" s="11">
        <f>I13+J11</f>
        <v>20</v>
      </c>
      <c r="K13" s="11">
        <f t="shared" ref="K13:K21" si="252">IF(G13-I13&lt;=$E13-2,1,0)</f>
        <v>1</v>
      </c>
      <c r="L13" s="11">
        <f>K13+L11</f>
        <v>5</v>
      </c>
      <c r="M13" s="11">
        <f t="shared" ref="M13:M21" si="253">IF(K13=0,IF(G13=$E13,1,0),0)</f>
        <v>0</v>
      </c>
      <c r="N13" s="11">
        <f>M13+N11</f>
        <v>0</v>
      </c>
      <c r="O13" s="11">
        <f t="shared" ref="O13:O21" si="254">IF($E13-G13=1,1,0)</f>
        <v>0</v>
      </c>
      <c r="P13" s="11">
        <f>O13+P11</f>
        <v>1</v>
      </c>
      <c r="Q13" s="11">
        <f t="shared" ref="Q13:Q21" si="255">IF(G13=$E13,1,0)</f>
        <v>1</v>
      </c>
      <c r="R13" s="11">
        <f>Q13+R11</f>
        <v>3</v>
      </c>
      <c r="S13" s="11">
        <f t="shared" ref="S13:S21" si="256">IF(G13-$E13=1,1,0)</f>
        <v>0</v>
      </c>
      <c r="T13" s="11">
        <f>S13+T11</f>
        <v>3</v>
      </c>
      <c r="U13" s="11">
        <f t="shared" ref="U13:U21" si="257">IF(G13-$E13&gt;=2,1,0)</f>
        <v>0</v>
      </c>
      <c r="V13" s="11">
        <f>U13+V11</f>
        <v>3</v>
      </c>
      <c r="W13" s="11">
        <f t="shared" ref="W13:W21" si="258">IF(I13=0,1,0)</f>
        <v>0</v>
      </c>
      <c r="X13" s="11">
        <f>W13+X11</f>
        <v>0</v>
      </c>
      <c r="Y13" s="11">
        <f t="shared" ref="Y13:Y21" si="259">IF(I13=1,1,0)</f>
        <v>0</v>
      </c>
      <c r="Z13" s="11">
        <f>Y13+Z11</f>
        <v>3</v>
      </c>
      <c r="AA13" s="11">
        <f t="shared" ref="AA13:AA21" si="260">IF(I13=2,1,0)</f>
        <v>1</v>
      </c>
      <c r="AB13" s="11">
        <f>AA13+AB11</f>
        <v>5</v>
      </c>
      <c r="AC13" s="11">
        <f t="shared" ref="AC13:AC21" si="261">IF(I13&gt;=3,1,0)</f>
        <v>0</v>
      </c>
      <c r="AD13" s="11">
        <f>AC13+AD11</f>
        <v>2</v>
      </c>
      <c r="AE13" s="6"/>
      <c r="AF13" s="6">
        <f t="shared" ref="AF13:AF15" si="262">IF($E13=4,G13-4,NA())</f>
        <v>0</v>
      </c>
      <c r="AG13" s="11"/>
      <c r="AH13" s="15">
        <f>G13-'Zusammenfassung Tag1-4'!$B$2/18</f>
        <v>2.8888888888888888</v>
      </c>
      <c r="AI13" s="16">
        <f>AH13+AI11</f>
        <v>36.888888888888886</v>
      </c>
      <c r="AJ13" s="13">
        <v>4</v>
      </c>
      <c r="AK13" s="11">
        <f>AJ13+AK11</f>
        <v>45</v>
      </c>
      <c r="AL13" s="14">
        <v>2</v>
      </c>
      <c r="AM13" s="11">
        <f>AL13+AM11</f>
        <v>22</v>
      </c>
      <c r="AN13" s="11">
        <f t="shared" ref="AN13:AN21" si="263">IF(AJ13-AL13&lt;=$E13-2,1,0)</f>
        <v>1</v>
      </c>
      <c r="AO13" s="11">
        <f>AN13+AO11</f>
        <v>8</v>
      </c>
      <c r="AP13" s="11">
        <f t="shared" ref="AP13:AP21" si="264">IF(AN13=0,IF(AJ13=$E13,1,0),0)</f>
        <v>0</v>
      </c>
      <c r="AQ13" s="11">
        <f>AP13+AQ11</f>
        <v>1</v>
      </c>
      <c r="AR13" s="11">
        <f t="shared" ref="AR13:AR21" si="265">IF($E13-AJ13=1,1,0)</f>
        <v>0</v>
      </c>
      <c r="AS13" s="11">
        <f>AR13+AS11</f>
        <v>0</v>
      </c>
      <c r="AT13" s="11">
        <f t="shared" ref="AT13:AT21" si="266">IF(AJ13=$E13,1,0)</f>
        <v>1</v>
      </c>
      <c r="AU13" s="11">
        <f>AT13+AU11</f>
        <v>6</v>
      </c>
      <c r="AV13" s="11">
        <f t="shared" ref="AV13:AV21" si="267">IF(AJ13-$E13=1,1,0)</f>
        <v>0</v>
      </c>
      <c r="AW13" s="11">
        <f>AV13+AW11</f>
        <v>3</v>
      </c>
      <c r="AX13" s="11">
        <f t="shared" ref="AX13:AX21" si="268">IF(AJ13-$E13&gt;=2,1,0)</f>
        <v>0</v>
      </c>
      <c r="AY13" s="11">
        <f>AX13+AY11</f>
        <v>1</v>
      </c>
      <c r="AZ13" s="11">
        <f t="shared" ref="AZ13:AZ21" si="269">IF(AL13=0,1,0)</f>
        <v>0</v>
      </c>
      <c r="BA13" s="11">
        <f>AZ13+BA11</f>
        <v>0</v>
      </c>
      <c r="BB13" s="11">
        <f t="shared" ref="BB13:BB21" si="270">IF(AL13=1,1,0)</f>
        <v>0</v>
      </c>
      <c r="BC13" s="11">
        <f>BB13+BC11</f>
        <v>1</v>
      </c>
      <c r="BD13" s="11">
        <f t="shared" ref="BD13:BD21" si="271">IF(AL13=2,1,0)</f>
        <v>1</v>
      </c>
      <c r="BE13" s="11">
        <f>BD13+BE11</f>
        <v>6</v>
      </c>
      <c r="BF13" s="11">
        <f t="shared" ref="BF13:BF21" si="272">IF(AL13&gt;=3,1,0)</f>
        <v>0</v>
      </c>
      <c r="BG13" s="11">
        <f>BF13+BG11</f>
        <v>3</v>
      </c>
      <c r="BH13" s="6"/>
      <c r="BI13" s="6">
        <f t="shared" ref="BI13:BI15" si="273">IF($E13=4,AJ13-4,NA())</f>
        <v>0</v>
      </c>
      <c r="BJ13" s="11"/>
      <c r="BK13" s="15">
        <f>AJ13-'Zusammenfassung Tag1-4'!$C$2/18</f>
        <v>3.3333333333333335</v>
      </c>
      <c r="BL13" s="16">
        <f>BK13+BL11</f>
        <v>38.333333333333336</v>
      </c>
      <c r="BM13" s="13">
        <v>5</v>
      </c>
      <c r="BN13" s="11">
        <f>BM13+BN11</f>
        <v>53</v>
      </c>
      <c r="BO13" s="14">
        <v>2</v>
      </c>
      <c r="BP13" s="11">
        <f>BO13+BP11</f>
        <v>20</v>
      </c>
      <c r="BQ13" s="11">
        <f t="shared" ref="BQ13:BQ21" si="274">IF(BM13-BO13&lt;=$E13-2,1,0)</f>
        <v>0</v>
      </c>
      <c r="BR13" s="11">
        <f>BQ13+BR11</f>
        <v>3</v>
      </c>
      <c r="BS13" s="11">
        <f t="shared" ref="BS13:BS21" si="275">IF(BQ13=0,IF(BM13=$E13,1,0),0)</f>
        <v>0</v>
      </c>
      <c r="BT13" s="11">
        <f>BS13+BT11</f>
        <v>1</v>
      </c>
      <c r="BU13" s="11">
        <f t="shared" ref="BU13:BU21" si="276">IF($E13-BM13=1,1,0)</f>
        <v>0</v>
      </c>
      <c r="BV13" s="11">
        <f>BU13+BV11</f>
        <v>0</v>
      </c>
      <c r="BW13" s="11">
        <f t="shared" ref="BW13:BW21" si="277">IF(BM13=$E13,1,0)</f>
        <v>0</v>
      </c>
      <c r="BX13" s="11">
        <f>BW13+BX11</f>
        <v>4</v>
      </c>
      <c r="BY13" s="11">
        <f t="shared" ref="BY13:BY21" si="278">IF(BM13-$E13=1,1,0)</f>
        <v>1</v>
      </c>
      <c r="BZ13" s="11">
        <f>BY13+BZ11</f>
        <v>3</v>
      </c>
      <c r="CA13" s="11">
        <f t="shared" ref="CA13:CA21" si="279">IF(BM13-$E13&gt;=2,1,0)</f>
        <v>0</v>
      </c>
      <c r="CB13" s="11">
        <f>CA13+CB11</f>
        <v>3</v>
      </c>
      <c r="CC13" s="11">
        <f t="shared" ref="CC13:CC21" si="280">IF(BO13=0,1,0)</f>
        <v>0</v>
      </c>
      <c r="CD13" s="11">
        <f>CC13+CD11</f>
        <v>0</v>
      </c>
      <c r="CE13" s="11">
        <f t="shared" ref="CE13:CE21" si="281">IF(BO13=1,1,0)</f>
        <v>0</v>
      </c>
      <c r="CF13" s="11">
        <f>CE13+CF11</f>
        <v>2</v>
      </c>
      <c r="CG13" s="11">
        <f t="shared" ref="CG13:CG21" si="282">IF(BO13=2,1,0)</f>
        <v>1</v>
      </c>
      <c r="CH13" s="11">
        <f>CG13+CH11</f>
        <v>6</v>
      </c>
      <c r="CI13" s="11">
        <f t="shared" ref="CI13:CI21" si="283">IF(BO13&gt;=3,1,0)</f>
        <v>0</v>
      </c>
      <c r="CJ13" s="11">
        <f>CI13+CJ11</f>
        <v>2</v>
      </c>
      <c r="CK13" s="6"/>
      <c r="CL13" s="6">
        <f t="shared" ref="CL13:CL15" si="284">IF($E13=4,BM13-4,NA())</f>
        <v>1</v>
      </c>
      <c r="CM13" s="11"/>
      <c r="CN13" s="15">
        <f>BM13-'Zusammenfassung Tag1-4'!$D$2/18</f>
        <v>3.666666666666667</v>
      </c>
      <c r="CO13" s="16">
        <f>CN13+CO11</f>
        <v>39.666666666666664</v>
      </c>
      <c r="CP13" s="13">
        <v>5</v>
      </c>
      <c r="CQ13" s="11">
        <f>CP13+CQ11</f>
        <v>50</v>
      </c>
      <c r="CR13" s="14">
        <v>3</v>
      </c>
      <c r="CS13" s="11">
        <f>CR13+CS11</f>
        <v>20</v>
      </c>
      <c r="CT13" s="11">
        <f t="shared" ref="CT13:CT21" si="285">IF(CP13-CR13&lt;=$E13-2,1,0)</f>
        <v>1</v>
      </c>
      <c r="CU13" s="11">
        <f>CT13+CU11</f>
        <v>4</v>
      </c>
      <c r="CV13" s="11">
        <f t="shared" ref="CV13:CV21" si="286">IF(CT13=0,IF(CP13=$E13,1,0),0)</f>
        <v>0</v>
      </c>
      <c r="CW13" s="11">
        <f>CV13+CW11</f>
        <v>1</v>
      </c>
      <c r="CX13" s="11">
        <f t="shared" ref="CX13:CX21" si="287">IF($E13-CP13=1,1,0)</f>
        <v>0</v>
      </c>
      <c r="CY13" s="11">
        <f>CX13+CY11</f>
        <v>0</v>
      </c>
      <c r="CZ13" s="11">
        <f t="shared" ref="CZ13:CZ21" si="288">IF(CP13=$E13,1,0)</f>
        <v>0</v>
      </c>
      <c r="DA13" s="11">
        <f>CZ13+DA11</f>
        <v>3</v>
      </c>
      <c r="DB13" s="11">
        <f t="shared" ref="DB13:DB21" si="289">IF(CP13-$E13=1,1,0)</f>
        <v>1</v>
      </c>
      <c r="DC13" s="11">
        <f>DB13+DC11</f>
        <v>4</v>
      </c>
      <c r="DD13" s="11">
        <f t="shared" ref="DD13:DD21" si="290">IF(CP13-$E13&gt;=2,1,0)</f>
        <v>0</v>
      </c>
      <c r="DE13" s="11">
        <f>DD13+DE11</f>
        <v>3</v>
      </c>
      <c r="DF13" s="11">
        <f t="shared" ref="DF13:DF21" si="291">IF(CR13=0,1,0)</f>
        <v>0</v>
      </c>
      <c r="DG13" s="11">
        <f>DF13+DG11</f>
        <v>0</v>
      </c>
      <c r="DH13" s="11">
        <f t="shared" ref="DH13:DH21" si="292">IF(CR13=1,1,0)</f>
        <v>0</v>
      </c>
      <c r="DI13" s="11">
        <f>DH13+DI11</f>
        <v>2</v>
      </c>
      <c r="DJ13" s="11">
        <f t="shared" ref="DJ13:DJ21" si="293">IF(CR13=2,1,0)</f>
        <v>0</v>
      </c>
      <c r="DK13" s="11">
        <f>DJ13+DK11</f>
        <v>6</v>
      </c>
      <c r="DL13" s="11">
        <f t="shared" ref="DL13:DL21" si="294">IF(CR13&gt;=3,1,0)</f>
        <v>1</v>
      </c>
      <c r="DM13" s="11">
        <f>DL13+DM11</f>
        <v>2</v>
      </c>
      <c r="DN13" s="6"/>
      <c r="DO13" s="6">
        <f t="shared" ref="DO13:DO15" si="295">IF($E13=4,CP13-4,NA())</f>
        <v>1</v>
      </c>
      <c r="DP13" s="11"/>
      <c r="DQ13" s="15">
        <f>CP13-'Zusammenfassung Tag1-4'!$E$2/18</f>
        <v>3.7222222222222223</v>
      </c>
      <c r="DR13" s="17">
        <f>DQ13+DR11</f>
        <v>37.222222222222221</v>
      </c>
      <c r="DS13" s="13">
        <v>8</v>
      </c>
      <c r="DT13" s="11">
        <f>DS13+DT11</f>
        <v>75</v>
      </c>
      <c r="DU13" s="14">
        <v>2</v>
      </c>
      <c r="DV13" s="11">
        <f>DU13+DV11</f>
        <v>25</v>
      </c>
      <c r="DW13" s="11">
        <f t="shared" ref="DW13:DW21" si="296">IF(DS13-DU13&lt;=$E13-2,1,0)</f>
        <v>0</v>
      </c>
      <c r="DX13" s="11">
        <f>DW13+DX11</f>
        <v>1</v>
      </c>
      <c r="DY13" s="11">
        <f t="shared" ref="DY13:DY21" si="297">IF(DW13=0,IF(DS13=$E13,1,0),0)</f>
        <v>0</v>
      </c>
      <c r="DZ13" s="11">
        <f>DY13+DZ11</f>
        <v>0</v>
      </c>
      <c r="EA13" s="11">
        <f t="shared" ref="EA13:EA21" si="298">IF($E13-DS13=1,1,0)</f>
        <v>0</v>
      </c>
      <c r="EB13" s="11">
        <f>EA13+EB11</f>
        <v>0</v>
      </c>
      <c r="EC13" s="11">
        <f t="shared" ref="EC13:EC21" si="299">IF(DS13=$E13,1,0)</f>
        <v>0</v>
      </c>
      <c r="ED13" s="11">
        <f>EC13+ED11</f>
        <v>1</v>
      </c>
      <c r="EE13" s="11">
        <f t="shared" ref="EE13:EE21" si="300">IF(DS13-$E13=1,1,0)</f>
        <v>0</v>
      </c>
      <c r="EF13" s="11">
        <f>EE13+EF11</f>
        <v>0</v>
      </c>
      <c r="EG13" s="11">
        <f t="shared" ref="EG13:EG21" si="301">IF(DS13-$E13&gt;=2,1,0)</f>
        <v>1</v>
      </c>
      <c r="EH13" s="11">
        <f>EG13+EH11</f>
        <v>9</v>
      </c>
      <c r="EI13" s="11">
        <f t="shared" ref="EI13:EI21" si="302">IF(DU13=0,1,0)</f>
        <v>0</v>
      </c>
      <c r="EJ13" s="11">
        <f>EI13+EJ11</f>
        <v>0</v>
      </c>
      <c r="EK13" s="11">
        <f t="shared" ref="EK13:EK21" si="303">IF(DU13=1,1,0)</f>
        <v>0</v>
      </c>
      <c r="EL13" s="11">
        <f>EK13+EL11</f>
        <v>0</v>
      </c>
      <c r="EM13" s="11">
        <f t="shared" ref="EM13:EM21" si="304">IF(DU13=2,1,0)</f>
        <v>1</v>
      </c>
      <c r="EN13" s="11">
        <f>EM13+EN11</f>
        <v>6</v>
      </c>
      <c r="EO13" s="11">
        <f t="shared" ref="EO13:EO21" si="305">IF(DU13&gt;=3,1,0)</f>
        <v>0</v>
      </c>
      <c r="EP13" s="11">
        <f>EO13+EP11</f>
        <v>4</v>
      </c>
      <c r="EQ13" s="6"/>
      <c r="ER13" s="6">
        <f t="shared" ref="ER13:ER15" si="306">IF($E13=4,DS13-4,NA())</f>
        <v>4</v>
      </c>
      <c r="ES13" s="11"/>
      <c r="ET13" s="15">
        <f>DS13-'Zusammenfassung Tag1-4'!$F$2/18</f>
        <v>5</v>
      </c>
      <c r="EU13" s="17">
        <f>ET13+EU11</f>
        <v>45</v>
      </c>
      <c r="EV13" s="13">
        <v>5</v>
      </c>
      <c r="EW13" s="11">
        <f>EV13+EW11</f>
        <v>56</v>
      </c>
      <c r="EX13" s="14">
        <v>2</v>
      </c>
      <c r="EY13" s="11">
        <f>EX13+EY11</f>
        <v>23</v>
      </c>
      <c r="EZ13" s="11">
        <f t="shared" ref="EZ13:EZ21" si="307">IF(EV13-EX13&lt;=$E13-2,1,0)</f>
        <v>0</v>
      </c>
      <c r="FA13" s="11">
        <f>EZ13+FA11</f>
        <v>2</v>
      </c>
      <c r="FB13" s="11">
        <f t="shared" ref="FB13:FB21" si="308">IF(EZ13=0,IF(EV13=$E13,1,0),0)</f>
        <v>0</v>
      </c>
      <c r="FC13" s="11">
        <f>FB13+FC11</f>
        <v>0</v>
      </c>
      <c r="FD13" s="11">
        <f t="shared" ref="FD13:FD21" si="309">IF($E13-EV13=1,1,0)</f>
        <v>0</v>
      </c>
      <c r="FE13" s="11">
        <f>FD13+FE11</f>
        <v>0</v>
      </c>
      <c r="FF13" s="11">
        <f t="shared" ref="FF13:FF21" si="310">IF(EV13=$E13,1,0)</f>
        <v>0</v>
      </c>
      <c r="FG13" s="11">
        <f>FF13+FG11</f>
        <v>1</v>
      </c>
      <c r="FH13" s="11">
        <f t="shared" ref="FH13:FH21" si="311">IF(EV13-$E13=1,1,0)</f>
        <v>1</v>
      </c>
      <c r="FI13" s="11">
        <f>FH13+FI11</f>
        <v>3</v>
      </c>
      <c r="FJ13" s="11">
        <f t="shared" ref="FJ13:FJ21" si="312">IF(EV13-$E13&gt;=2,1,0)</f>
        <v>0</v>
      </c>
      <c r="FK13" s="11">
        <f>FJ13+FK11</f>
        <v>6</v>
      </c>
      <c r="FL13" s="11">
        <f t="shared" ref="FL13:FL21" si="313">IF(EX13=0,1,0)</f>
        <v>0</v>
      </c>
      <c r="FM13" s="11">
        <f>FL13+FM11</f>
        <v>0</v>
      </c>
      <c r="FN13" s="11">
        <f t="shared" ref="FN13:FN21" si="314">IF(EX13=1,1,0)</f>
        <v>0</v>
      </c>
      <c r="FO13" s="11">
        <f>FN13+FO11</f>
        <v>1</v>
      </c>
      <c r="FP13" s="11">
        <f t="shared" ref="FP13:FP21" si="315">IF(EX13=2,1,0)</f>
        <v>1</v>
      </c>
      <c r="FQ13" s="11">
        <f>FP13+FQ11</f>
        <v>5</v>
      </c>
      <c r="FR13" s="11">
        <f t="shared" ref="FR13:FR21" si="316">IF(EX13&gt;=3,1,0)</f>
        <v>0</v>
      </c>
      <c r="FS13" s="11">
        <f>FR13+FS11</f>
        <v>4</v>
      </c>
      <c r="FT13" s="6"/>
      <c r="FU13" s="6">
        <f t="shared" ref="FU13:FU15" si="317">IF($E13=4,EV13-4,NA())</f>
        <v>1</v>
      </c>
      <c r="FV13" s="11"/>
      <c r="FW13" s="15">
        <f>EV13-'Zusammenfassung Tag1-4'!$G$2/18</f>
        <v>3.5</v>
      </c>
      <c r="FX13" s="17">
        <f>FW13+FX11</f>
        <v>41</v>
      </c>
      <c r="FY13" s="13">
        <v>7</v>
      </c>
      <c r="FZ13" s="11">
        <f>FY13+FZ11</f>
        <v>73</v>
      </c>
      <c r="GA13" s="14">
        <v>3</v>
      </c>
      <c r="GB13" s="11">
        <f>GA13+GB11</f>
        <v>25</v>
      </c>
      <c r="GC13" s="11">
        <f t="shared" ref="GC13:GC21" si="318">IF(FY13-GA13&lt;=$E13-2,1,0)</f>
        <v>0</v>
      </c>
      <c r="GD13" s="11">
        <f>GC13+GD11</f>
        <v>1</v>
      </c>
      <c r="GE13" s="11">
        <f t="shared" ref="GE13:GE21" si="319">IF(GC13=0,IF(FY13=$E13,1,0),0)</f>
        <v>0</v>
      </c>
      <c r="GF13" s="11">
        <f>GE13+GF11</f>
        <v>0</v>
      </c>
      <c r="GG13" s="11">
        <f t="shared" ref="GG13:GG21" si="320">IF($E13-FY13=1,1,0)</f>
        <v>0</v>
      </c>
      <c r="GH13" s="11">
        <f>GG13+GH11</f>
        <v>0</v>
      </c>
      <c r="GI13" s="11">
        <f t="shared" ref="GI13:GI21" si="321">IF(FY13=$E13,1,0)</f>
        <v>0</v>
      </c>
      <c r="GJ13" s="11">
        <f>GI13+GJ11</f>
        <v>0</v>
      </c>
      <c r="GK13" s="11">
        <f t="shared" ref="GK13:GK21" si="322">IF(FY13-$E13=1,1,0)</f>
        <v>0</v>
      </c>
      <c r="GL13" s="11">
        <f>GK13+GL11</f>
        <v>1</v>
      </c>
      <c r="GM13" s="11">
        <f t="shared" ref="GM13:GM21" si="323">IF(FY13-$E13&gt;=2,1,0)</f>
        <v>1</v>
      </c>
      <c r="GN13" s="11">
        <f>GM13+GN11</f>
        <v>9</v>
      </c>
      <c r="GO13" s="11">
        <f t="shared" ref="GO13:GO21" si="324">IF(GA13=0,1,0)</f>
        <v>0</v>
      </c>
      <c r="GP13" s="11">
        <f>GO13+GP11</f>
        <v>0</v>
      </c>
      <c r="GQ13" s="11">
        <f t="shared" ref="GQ13:GQ21" si="325">IF(GA13=1,1,0)</f>
        <v>0</v>
      </c>
      <c r="GR13" s="11">
        <f>GQ13+GR11</f>
        <v>0</v>
      </c>
      <c r="GS13" s="11">
        <f t="shared" ref="GS13:GS21" si="326">IF(GA13=2,1,0)</f>
        <v>0</v>
      </c>
      <c r="GT13" s="11">
        <f>GS13+GT11</f>
        <v>5</v>
      </c>
      <c r="GU13" s="11">
        <f t="shared" ref="GU13:GU21" si="327">IF(GA13&gt;=3,1,0)</f>
        <v>1</v>
      </c>
      <c r="GV13" s="11">
        <f>GU13+GV11</f>
        <v>5</v>
      </c>
      <c r="GW13" s="6"/>
      <c r="GX13" s="6">
        <f t="shared" ref="GX13:GX15" si="328">IF($E13=4,FY13-4,NA())</f>
        <v>3</v>
      </c>
      <c r="GY13" s="11"/>
      <c r="GZ13" s="15">
        <f>FY13-'Zusammenfassung Tag1-4'!$H$2/18</f>
        <v>4</v>
      </c>
      <c r="HA13" s="17">
        <f>GZ13+HA11</f>
        <v>43</v>
      </c>
      <c r="HB13" s="13">
        <v>4</v>
      </c>
      <c r="HC13" s="11">
        <f>HB13+HC11</f>
        <v>51</v>
      </c>
      <c r="HD13" s="14">
        <v>1</v>
      </c>
      <c r="HE13" s="11">
        <f>HD13+HE11</f>
        <v>21</v>
      </c>
      <c r="HF13" s="11">
        <f t="shared" ref="HF13:HF21" si="329">IF(HB13-HD13&lt;=$E13-2,1,0)</f>
        <v>0</v>
      </c>
      <c r="HG13" s="11">
        <f>HF13+HG11</f>
        <v>3</v>
      </c>
      <c r="HH13" s="11">
        <f t="shared" ref="HH13:HH21" si="330">IF(HF13=0,IF(HB13=$E13,1,0),0)</f>
        <v>1</v>
      </c>
      <c r="HI13" s="11">
        <f>HH13+HI11</f>
        <v>2</v>
      </c>
      <c r="HJ13" s="11">
        <f t="shared" ref="HJ13:HJ21" si="331">IF($E13-HB13=1,1,0)</f>
        <v>0</v>
      </c>
      <c r="HK13" s="11">
        <f>HJ13+HK11</f>
        <v>0</v>
      </c>
      <c r="HL13" s="11">
        <f t="shared" ref="HL13:HL21" si="332">IF(HB13=$E13,1,0)</f>
        <v>1</v>
      </c>
      <c r="HM13" s="11">
        <f>HL13+HM11</f>
        <v>3</v>
      </c>
      <c r="HN13" s="11">
        <f t="shared" ref="HN13:HN21" si="333">IF(HB13-$E13=1,1,0)</f>
        <v>0</v>
      </c>
      <c r="HO13" s="11">
        <f>HN13+HO11</f>
        <v>5</v>
      </c>
      <c r="HP13" s="11">
        <f t="shared" ref="HP13:HP21" si="334">IF(HB13-$E13&gt;=2,1,0)</f>
        <v>0</v>
      </c>
      <c r="HQ13" s="11">
        <f>HP13+HQ11</f>
        <v>2</v>
      </c>
      <c r="HR13" s="11">
        <f t="shared" ref="HR13:HR21" si="335">IF(HD13=0,1,0)</f>
        <v>0</v>
      </c>
      <c r="HS13" s="11">
        <f>HR13+HS11</f>
        <v>0</v>
      </c>
      <c r="HT13" s="11">
        <f t="shared" ref="HT13:HT21" si="336">IF(HD13=1,1,0)</f>
        <v>1</v>
      </c>
      <c r="HU13" s="11">
        <f>HT13+HU11</f>
        <v>2</v>
      </c>
      <c r="HV13" s="11">
        <f t="shared" ref="HV13:HV21" si="337">IF(HD13=2,1,0)</f>
        <v>0</v>
      </c>
      <c r="HW13" s="11">
        <f>HV13+HW11</f>
        <v>5</v>
      </c>
      <c r="HX13" s="11">
        <f t="shared" ref="HX13:HX21" si="338">IF(HD13&gt;=3,1,0)</f>
        <v>0</v>
      </c>
      <c r="HY13" s="11">
        <f>HX13+HY11</f>
        <v>3</v>
      </c>
      <c r="HZ13" s="6"/>
      <c r="IA13" s="6">
        <f t="shared" ref="IA13:IA15" si="339">IF($E13=4,HB13-4,NA())</f>
        <v>0</v>
      </c>
      <c r="IB13" s="11"/>
      <c r="IC13" s="15">
        <f>HB13-'Zusammenfassung Tag1-4'!$I$2/18</f>
        <v>3</v>
      </c>
      <c r="ID13" s="17">
        <f>IC13+ID11</f>
        <v>41</v>
      </c>
      <c r="IE13" s="13"/>
      <c r="IF13" s="11">
        <f>IE13+IF11</f>
        <v>0</v>
      </c>
      <c r="IG13" s="14"/>
      <c r="IH13" s="11">
        <f>IG13+IH11</f>
        <v>0</v>
      </c>
      <c r="II13" s="11">
        <f t="shared" ref="II13:II21" si="340">IF(IE13-IG13&lt;=$E13-2,1,0)</f>
        <v>1</v>
      </c>
      <c r="IJ13" s="11">
        <f>II13+IJ11</f>
        <v>10</v>
      </c>
      <c r="IK13" s="11">
        <f t="shared" ref="IK13:IK21" si="341">IF(II13=0,IF(IE13=$E13,1,0),0)</f>
        <v>0</v>
      </c>
      <c r="IL13" s="11">
        <f>IK13+IL11</f>
        <v>0</v>
      </c>
      <c r="IM13" s="11">
        <f t="shared" ref="IM13:IM21" si="342">IF($E13-IE13=1,1,0)</f>
        <v>0</v>
      </c>
      <c r="IN13" s="11">
        <f>IM13+IN11</f>
        <v>0</v>
      </c>
      <c r="IO13" s="11">
        <f t="shared" ref="IO13:IO21" si="343">IF(IE13=$E13,1,0)</f>
        <v>0</v>
      </c>
      <c r="IP13" s="11">
        <f>IO13+IP11</f>
        <v>0</v>
      </c>
      <c r="IQ13" s="11">
        <f t="shared" ref="IQ13:IQ21" si="344">IF(IE13-$E13=1,1,0)</f>
        <v>0</v>
      </c>
      <c r="IR13" s="11">
        <f>IQ13+IR11</f>
        <v>0</v>
      </c>
      <c r="IS13" s="11">
        <f t="shared" ref="IS13:IS21" si="345">IF(IE13-$E13&gt;=2,1,0)</f>
        <v>0</v>
      </c>
      <c r="IT13" s="11">
        <f>IS13+IT11</f>
        <v>0</v>
      </c>
      <c r="IU13" s="11">
        <f t="shared" ref="IU13:IU21" si="346">IF(IG13=0,1,0)</f>
        <v>1</v>
      </c>
      <c r="IV13" s="11">
        <f>IU13+IV11</f>
        <v>10</v>
      </c>
      <c r="IW13" s="11">
        <f t="shared" ref="IW13:IW21" si="347">IF(IG13=1,1,0)</f>
        <v>0</v>
      </c>
      <c r="IX13" s="11">
        <f>IW13+IX11</f>
        <v>0</v>
      </c>
      <c r="IY13" s="11">
        <f t="shared" ref="IY13:IY21" si="348">IF(IG13=2,1,0)</f>
        <v>0</v>
      </c>
      <c r="IZ13" s="11">
        <f>IY13+IZ11</f>
        <v>0</v>
      </c>
      <c r="JA13" s="11">
        <f t="shared" ref="JA13:JA21" si="349">IF(IG13&gt;=3,1,0)</f>
        <v>0</v>
      </c>
      <c r="JB13" s="11">
        <f>JA13+JB11</f>
        <v>0</v>
      </c>
      <c r="JC13" s="6"/>
      <c r="JD13" s="6">
        <f t="shared" ref="JD13:JD15" si="350">IF($E13=4,IE13-4,NA())</f>
        <v>-4</v>
      </c>
      <c r="JE13" s="11"/>
      <c r="JF13" s="15">
        <f>IE13-'Zusammenfassung Tag1-4'!$J$2/18</f>
        <v>-3</v>
      </c>
      <c r="JG13" s="17">
        <f>JF13+JG11</f>
        <v>-30</v>
      </c>
      <c r="JH13" s="13"/>
      <c r="JI13" s="11">
        <f>JH13+JI11</f>
        <v>0</v>
      </c>
      <c r="JJ13" s="14"/>
      <c r="JK13" s="11">
        <f>JJ13+JK11</f>
        <v>0</v>
      </c>
      <c r="JL13" s="11">
        <f t="shared" ref="JL13:JL21" si="351">IF(JH13-JJ13&lt;=$E13-2,1,0)</f>
        <v>1</v>
      </c>
      <c r="JM13" s="11">
        <f>JL13+JM11</f>
        <v>10</v>
      </c>
      <c r="JN13" s="11">
        <f t="shared" ref="JN13:JN21" si="352">IF(JL13=0,IF(JH13=$E13,1,0),0)</f>
        <v>0</v>
      </c>
      <c r="JO13" s="11">
        <f>JN13+JO11</f>
        <v>0</v>
      </c>
      <c r="JP13" s="11">
        <f t="shared" ref="JP13:JP21" si="353">IF($E13-JH13=1,1,0)</f>
        <v>0</v>
      </c>
      <c r="JQ13" s="11">
        <f>JP13+JQ11</f>
        <v>0</v>
      </c>
      <c r="JR13" s="11">
        <f t="shared" ref="JR13:JR21" si="354">IF(JH13=$E13,1,0)</f>
        <v>0</v>
      </c>
      <c r="JS13" s="11">
        <f>JR13+JS11</f>
        <v>0</v>
      </c>
      <c r="JT13" s="11">
        <f t="shared" ref="JT13:JT21" si="355">IF(JH13-$E13=1,1,0)</f>
        <v>0</v>
      </c>
      <c r="JU13" s="11">
        <f>JT13+JU11</f>
        <v>0</v>
      </c>
      <c r="JV13" s="11">
        <f t="shared" ref="JV13:JV21" si="356">IF(JH13-$E13&gt;=2,1,0)</f>
        <v>0</v>
      </c>
      <c r="JW13" s="11">
        <f>JV13+JW11</f>
        <v>0</v>
      </c>
      <c r="JX13" s="11">
        <f t="shared" ref="JX13:JX21" si="357">IF(JJ13=0,1,0)</f>
        <v>1</v>
      </c>
      <c r="JY13" s="11">
        <f>JX13+JY11</f>
        <v>10</v>
      </c>
      <c r="JZ13" s="11">
        <f t="shared" ref="JZ13:JZ21" si="358">IF(JJ13=1,1,0)</f>
        <v>0</v>
      </c>
      <c r="KA13" s="11">
        <f>JZ13+KA11</f>
        <v>0</v>
      </c>
      <c r="KB13" s="11">
        <f t="shared" ref="KB13:KB21" si="359">IF(JJ13=2,1,0)</f>
        <v>0</v>
      </c>
      <c r="KC13" s="11">
        <f>KB13+KC11</f>
        <v>0</v>
      </c>
      <c r="KD13" s="11">
        <f t="shared" ref="KD13:KD21" si="360">IF(JJ13&gt;=3,1,0)</f>
        <v>0</v>
      </c>
      <c r="KE13" s="11">
        <f>KD13+KE11</f>
        <v>0</v>
      </c>
      <c r="KF13" s="6"/>
      <c r="KG13" s="6">
        <f t="shared" ref="KG13:KG15" si="361">IF($E13=4,JH13-4,NA())</f>
        <v>-4</v>
      </c>
      <c r="KH13" s="11"/>
      <c r="KI13" s="15">
        <f>JH13-'Zusammenfassung Tag1-4'!$K$2/18</f>
        <v>-0.77777777777777779</v>
      </c>
      <c r="KJ13" s="17">
        <f>KI13+KJ11</f>
        <v>-7.7777777777777777</v>
      </c>
      <c r="KK13" s="10"/>
      <c r="KL13" s="10"/>
      <c r="KM13" s="10"/>
      <c r="KN13" s="10"/>
      <c r="KO13" s="10"/>
      <c r="KP13" s="10"/>
      <c r="KQ13" s="10"/>
      <c r="KR13" s="10"/>
      <c r="KS13" s="10"/>
      <c r="KT13" s="10"/>
      <c r="KU13" s="10"/>
      <c r="KV13" s="10"/>
      <c r="KW13" s="10"/>
      <c r="KX13" s="10"/>
      <c r="KY13" s="10"/>
      <c r="KZ13" s="10"/>
      <c r="LA13" s="10"/>
      <c r="LB13" s="10"/>
      <c r="LC13" s="10"/>
      <c r="LD13" s="10"/>
    </row>
    <row r="14" spans="1:316" ht="15.75" customHeight="1" x14ac:dyDescent="0.25">
      <c r="A14" s="106"/>
      <c r="B14" s="103"/>
      <c r="C14" s="6">
        <v>11</v>
      </c>
      <c r="D14" s="6">
        <f t="shared" ref="D14:D21" si="362">D13+1</f>
        <v>11</v>
      </c>
      <c r="E14" s="6">
        <v>4</v>
      </c>
      <c r="F14" s="7">
        <f t="shared" ref="F14:F21" si="363">E14+F13</f>
        <v>44</v>
      </c>
      <c r="G14" s="18">
        <v>4</v>
      </c>
      <c r="H14" s="6">
        <f t="shared" ref="H14:H21" si="364">G14+H13</f>
        <v>52</v>
      </c>
      <c r="I14" s="19">
        <v>2</v>
      </c>
      <c r="J14" s="6">
        <f t="shared" ref="J14:J21" si="365">I14+J13</f>
        <v>22</v>
      </c>
      <c r="K14" s="6">
        <f t="shared" si="252"/>
        <v>1</v>
      </c>
      <c r="L14" s="6">
        <f t="shared" ref="L14:L21" si="366">K14+L13</f>
        <v>6</v>
      </c>
      <c r="M14" s="6">
        <f t="shared" si="253"/>
        <v>0</v>
      </c>
      <c r="N14" s="6">
        <f t="shared" ref="N14:N21" si="367">M14+N13</f>
        <v>0</v>
      </c>
      <c r="O14" s="6">
        <f t="shared" si="254"/>
        <v>0</v>
      </c>
      <c r="P14" s="6">
        <f t="shared" ref="P14:P21" si="368">O14+P13</f>
        <v>1</v>
      </c>
      <c r="Q14" s="6">
        <f t="shared" si="255"/>
        <v>1</v>
      </c>
      <c r="R14" s="6">
        <f t="shared" ref="R14:R21" si="369">Q14+R13</f>
        <v>4</v>
      </c>
      <c r="S14" s="6">
        <f t="shared" si="256"/>
        <v>0</v>
      </c>
      <c r="T14" s="6">
        <f t="shared" ref="T14:T21" si="370">S14+T13</f>
        <v>3</v>
      </c>
      <c r="U14" s="6">
        <f t="shared" si="257"/>
        <v>0</v>
      </c>
      <c r="V14" s="6">
        <f t="shared" ref="V14:V21" si="371">U14+V13</f>
        <v>3</v>
      </c>
      <c r="W14" s="6">
        <f t="shared" si="258"/>
        <v>0</v>
      </c>
      <c r="X14" s="6">
        <f t="shared" ref="X14:X21" si="372">W14+X13</f>
        <v>0</v>
      </c>
      <c r="Y14" s="6">
        <f t="shared" si="259"/>
        <v>0</v>
      </c>
      <c r="Z14" s="6">
        <f t="shared" ref="Z14:Z21" si="373">Y14+Z13</f>
        <v>3</v>
      </c>
      <c r="AA14" s="6">
        <f t="shared" si="260"/>
        <v>1</v>
      </c>
      <c r="AB14" s="6">
        <f t="shared" ref="AB14:AB21" si="374">AA14+AB13</f>
        <v>6</v>
      </c>
      <c r="AC14" s="6">
        <f t="shared" si="261"/>
        <v>0</v>
      </c>
      <c r="AD14" s="6">
        <f t="shared" ref="AD14:AD21" si="375">AC14+AD13</f>
        <v>2</v>
      </c>
      <c r="AE14" s="6"/>
      <c r="AF14" s="6">
        <f t="shared" si="262"/>
        <v>0</v>
      </c>
      <c r="AG14" s="6"/>
      <c r="AH14" s="20">
        <f>G14-'Zusammenfassung Tag1-4'!$B$2/18</f>
        <v>2.8888888888888888</v>
      </c>
      <c r="AI14" s="21">
        <f t="shared" ref="AI14:AI21" si="376">AH14+AI13</f>
        <v>39.777777777777771</v>
      </c>
      <c r="AJ14" s="18">
        <v>4</v>
      </c>
      <c r="AK14" s="6">
        <f t="shared" ref="AK14:AK21" si="377">AJ14+AK13</f>
        <v>49</v>
      </c>
      <c r="AL14" s="19">
        <v>2</v>
      </c>
      <c r="AM14" s="6">
        <f t="shared" ref="AM14:AM21" si="378">AL14+AM13</f>
        <v>24</v>
      </c>
      <c r="AN14" s="6">
        <f t="shared" si="263"/>
        <v>1</v>
      </c>
      <c r="AO14" s="6">
        <f t="shared" ref="AO14:AO21" si="379">AN14+AO13</f>
        <v>9</v>
      </c>
      <c r="AP14" s="6">
        <f t="shared" si="264"/>
        <v>0</v>
      </c>
      <c r="AQ14" s="6">
        <f t="shared" ref="AQ14:AQ21" si="380">AP14+AQ13</f>
        <v>1</v>
      </c>
      <c r="AR14" s="6">
        <f t="shared" si="265"/>
        <v>0</v>
      </c>
      <c r="AS14" s="6">
        <f t="shared" ref="AS14:AS21" si="381">AR14+AS13</f>
        <v>0</v>
      </c>
      <c r="AT14" s="6">
        <f t="shared" si="266"/>
        <v>1</v>
      </c>
      <c r="AU14" s="6">
        <f t="shared" ref="AU14:AU21" si="382">AT14+AU13</f>
        <v>7</v>
      </c>
      <c r="AV14" s="6">
        <f t="shared" si="267"/>
        <v>0</v>
      </c>
      <c r="AW14" s="6">
        <f t="shared" ref="AW14:AW21" si="383">AV14+AW13</f>
        <v>3</v>
      </c>
      <c r="AX14" s="6">
        <f t="shared" si="268"/>
        <v>0</v>
      </c>
      <c r="AY14" s="6">
        <f t="shared" ref="AY14:AY21" si="384">AX14+AY13</f>
        <v>1</v>
      </c>
      <c r="AZ14" s="6">
        <f t="shared" si="269"/>
        <v>0</v>
      </c>
      <c r="BA14" s="6">
        <f t="shared" ref="BA14:BA21" si="385">AZ14+BA13</f>
        <v>0</v>
      </c>
      <c r="BB14" s="6">
        <f t="shared" si="270"/>
        <v>0</v>
      </c>
      <c r="BC14" s="6">
        <f t="shared" ref="BC14:BC21" si="386">BB14+BC13</f>
        <v>1</v>
      </c>
      <c r="BD14" s="6">
        <f t="shared" si="271"/>
        <v>1</v>
      </c>
      <c r="BE14" s="6">
        <f t="shared" ref="BE14:BE21" si="387">BD14+BE13</f>
        <v>7</v>
      </c>
      <c r="BF14" s="6">
        <f t="shared" si="272"/>
        <v>0</v>
      </c>
      <c r="BG14" s="6">
        <f t="shared" ref="BG14:BG21" si="388">BF14+BG13</f>
        <v>3</v>
      </c>
      <c r="BH14" s="6"/>
      <c r="BI14" s="6">
        <f t="shared" si="273"/>
        <v>0</v>
      </c>
      <c r="BJ14" s="6"/>
      <c r="BK14" s="20">
        <f>AJ14-'Zusammenfassung Tag1-4'!$C$2/18</f>
        <v>3.3333333333333335</v>
      </c>
      <c r="BL14" s="21">
        <f t="shared" ref="BL14:BL21" si="389">BK14+BL13</f>
        <v>41.666666666666671</v>
      </c>
      <c r="BM14" s="18">
        <v>6</v>
      </c>
      <c r="BN14" s="6">
        <f t="shared" ref="BN14:BN21" si="390">BM14+BN13</f>
        <v>59</v>
      </c>
      <c r="BO14" s="19">
        <v>2</v>
      </c>
      <c r="BP14" s="6">
        <f t="shared" ref="BP14:BP21" si="391">BO14+BP13</f>
        <v>22</v>
      </c>
      <c r="BQ14" s="6">
        <f t="shared" si="274"/>
        <v>0</v>
      </c>
      <c r="BR14" s="6">
        <f t="shared" ref="BR14:BR21" si="392">BQ14+BR13</f>
        <v>3</v>
      </c>
      <c r="BS14" s="6">
        <f t="shared" si="275"/>
        <v>0</v>
      </c>
      <c r="BT14" s="6">
        <f t="shared" ref="BT14:BT21" si="393">BS14+BT13</f>
        <v>1</v>
      </c>
      <c r="BU14" s="6">
        <f t="shared" si="276"/>
        <v>0</v>
      </c>
      <c r="BV14" s="6">
        <f t="shared" ref="BV14:BV21" si="394">BU14+BV13</f>
        <v>0</v>
      </c>
      <c r="BW14" s="6">
        <f t="shared" si="277"/>
        <v>0</v>
      </c>
      <c r="BX14" s="6">
        <f t="shared" ref="BX14:BX21" si="395">BW14+BX13</f>
        <v>4</v>
      </c>
      <c r="BY14" s="6">
        <f t="shared" si="278"/>
        <v>0</v>
      </c>
      <c r="BZ14" s="6">
        <f t="shared" ref="BZ14:BZ21" si="396">BY14+BZ13</f>
        <v>3</v>
      </c>
      <c r="CA14" s="6">
        <f t="shared" si="279"/>
        <v>1</v>
      </c>
      <c r="CB14" s="6">
        <f t="shared" ref="CB14:CB21" si="397">CA14+CB13</f>
        <v>4</v>
      </c>
      <c r="CC14" s="6">
        <f t="shared" si="280"/>
        <v>0</v>
      </c>
      <c r="CD14" s="6">
        <f t="shared" ref="CD14:CD21" si="398">CC14+CD13</f>
        <v>0</v>
      </c>
      <c r="CE14" s="6">
        <f t="shared" si="281"/>
        <v>0</v>
      </c>
      <c r="CF14" s="6">
        <f t="shared" ref="CF14:CF21" si="399">CE14+CF13</f>
        <v>2</v>
      </c>
      <c r="CG14" s="6">
        <f t="shared" si="282"/>
        <v>1</v>
      </c>
      <c r="CH14" s="6">
        <f t="shared" ref="CH14:CH21" si="400">CG14+CH13</f>
        <v>7</v>
      </c>
      <c r="CI14" s="6">
        <f t="shared" si="283"/>
        <v>0</v>
      </c>
      <c r="CJ14" s="6">
        <f t="shared" ref="CJ14:CJ21" si="401">CI14+CJ13</f>
        <v>2</v>
      </c>
      <c r="CK14" s="6"/>
      <c r="CL14" s="6">
        <f t="shared" si="284"/>
        <v>2</v>
      </c>
      <c r="CM14" s="6"/>
      <c r="CN14" s="20">
        <f>BM14-'Zusammenfassung Tag1-4'!$D$2/18</f>
        <v>4.666666666666667</v>
      </c>
      <c r="CO14" s="21">
        <f t="shared" ref="CO14:CO21" si="402">CN14+CO13</f>
        <v>44.333333333333329</v>
      </c>
      <c r="CP14" s="18">
        <v>7</v>
      </c>
      <c r="CQ14" s="6">
        <f t="shared" ref="CQ14:CQ21" si="403">CP14+CQ13</f>
        <v>57</v>
      </c>
      <c r="CR14" s="19">
        <v>3</v>
      </c>
      <c r="CS14" s="6">
        <f t="shared" ref="CS14:CS21" si="404">CR14+CS13</f>
        <v>23</v>
      </c>
      <c r="CT14" s="6">
        <f t="shared" si="285"/>
        <v>0</v>
      </c>
      <c r="CU14" s="6">
        <f t="shared" ref="CU14:CU21" si="405">CT14+CU13</f>
        <v>4</v>
      </c>
      <c r="CV14" s="6">
        <f t="shared" si="286"/>
        <v>0</v>
      </c>
      <c r="CW14" s="6">
        <f t="shared" ref="CW14:CW21" si="406">CV14+CW13</f>
        <v>1</v>
      </c>
      <c r="CX14" s="6">
        <f t="shared" si="287"/>
        <v>0</v>
      </c>
      <c r="CY14" s="6">
        <f t="shared" ref="CY14:CY21" si="407">CX14+CY13</f>
        <v>0</v>
      </c>
      <c r="CZ14" s="6">
        <f t="shared" si="288"/>
        <v>0</v>
      </c>
      <c r="DA14" s="6">
        <f t="shared" ref="DA14:DA21" si="408">CZ14+DA13</f>
        <v>3</v>
      </c>
      <c r="DB14" s="6">
        <f t="shared" si="289"/>
        <v>0</v>
      </c>
      <c r="DC14" s="6">
        <f t="shared" ref="DC14:DC21" si="409">DB14+DC13</f>
        <v>4</v>
      </c>
      <c r="DD14" s="6">
        <f t="shared" si="290"/>
        <v>1</v>
      </c>
      <c r="DE14" s="6">
        <f t="shared" ref="DE14:DE21" si="410">DD14+DE13</f>
        <v>4</v>
      </c>
      <c r="DF14" s="6">
        <f t="shared" si="291"/>
        <v>0</v>
      </c>
      <c r="DG14" s="6">
        <f t="shared" ref="DG14:DG21" si="411">DF14+DG13</f>
        <v>0</v>
      </c>
      <c r="DH14" s="6">
        <f t="shared" si="292"/>
        <v>0</v>
      </c>
      <c r="DI14" s="6">
        <f t="shared" ref="DI14:DI21" si="412">DH14+DI13</f>
        <v>2</v>
      </c>
      <c r="DJ14" s="6">
        <f t="shared" si="293"/>
        <v>0</v>
      </c>
      <c r="DK14" s="6">
        <f t="shared" ref="DK14:DK21" si="413">DJ14+DK13</f>
        <v>6</v>
      </c>
      <c r="DL14" s="6">
        <f t="shared" si="294"/>
        <v>1</v>
      </c>
      <c r="DM14" s="6">
        <f t="shared" ref="DM14:DM21" si="414">DL14+DM13</f>
        <v>3</v>
      </c>
      <c r="DN14" s="6"/>
      <c r="DO14" s="6">
        <f t="shared" si="295"/>
        <v>3</v>
      </c>
      <c r="DP14" s="6"/>
      <c r="DQ14" s="20">
        <f>CP14-'Zusammenfassung Tag1-4'!$E$2/18</f>
        <v>5.7222222222222223</v>
      </c>
      <c r="DR14" s="22">
        <f t="shared" ref="DR14:DR21" si="415">DQ14+DR13</f>
        <v>42.944444444444443</v>
      </c>
      <c r="DS14" s="18">
        <v>10</v>
      </c>
      <c r="DT14" s="6">
        <f t="shared" ref="DT14:DT21" si="416">DS14+DT13</f>
        <v>85</v>
      </c>
      <c r="DU14" s="19">
        <v>2</v>
      </c>
      <c r="DV14" s="6">
        <f t="shared" ref="DV14:DV21" si="417">DU14+DV13</f>
        <v>27</v>
      </c>
      <c r="DW14" s="6">
        <f t="shared" si="296"/>
        <v>0</v>
      </c>
      <c r="DX14" s="6">
        <f t="shared" ref="DX14:DX21" si="418">DW14+DX13</f>
        <v>1</v>
      </c>
      <c r="DY14" s="6">
        <f t="shared" si="297"/>
        <v>0</v>
      </c>
      <c r="DZ14" s="6">
        <f t="shared" ref="DZ14:DZ21" si="419">DY14+DZ13</f>
        <v>0</v>
      </c>
      <c r="EA14" s="6">
        <f t="shared" si="298"/>
        <v>0</v>
      </c>
      <c r="EB14" s="6">
        <f t="shared" ref="EB14:EB21" si="420">EA14+EB13</f>
        <v>0</v>
      </c>
      <c r="EC14" s="6">
        <f t="shared" si="299"/>
        <v>0</v>
      </c>
      <c r="ED14" s="6">
        <f t="shared" ref="ED14:ED21" si="421">EC14+ED13</f>
        <v>1</v>
      </c>
      <c r="EE14" s="6">
        <f t="shared" si="300"/>
        <v>0</v>
      </c>
      <c r="EF14" s="6">
        <f t="shared" ref="EF14:EF21" si="422">EE14+EF13</f>
        <v>0</v>
      </c>
      <c r="EG14" s="6">
        <f t="shared" si="301"/>
        <v>1</v>
      </c>
      <c r="EH14" s="6">
        <f t="shared" ref="EH14:EH21" si="423">EG14+EH13</f>
        <v>10</v>
      </c>
      <c r="EI14" s="6">
        <f t="shared" si="302"/>
        <v>0</v>
      </c>
      <c r="EJ14" s="6">
        <f t="shared" ref="EJ14:EJ21" si="424">EI14+EJ13</f>
        <v>0</v>
      </c>
      <c r="EK14" s="6">
        <f t="shared" si="303"/>
        <v>0</v>
      </c>
      <c r="EL14" s="6">
        <f t="shared" ref="EL14:EL21" si="425">EK14+EL13</f>
        <v>0</v>
      </c>
      <c r="EM14" s="6">
        <f t="shared" si="304"/>
        <v>1</v>
      </c>
      <c r="EN14" s="6">
        <f t="shared" ref="EN14:EN21" si="426">EM14+EN13</f>
        <v>7</v>
      </c>
      <c r="EO14" s="6">
        <f t="shared" si="305"/>
        <v>0</v>
      </c>
      <c r="EP14" s="6">
        <f t="shared" ref="EP14:EP21" si="427">EO14+EP13</f>
        <v>4</v>
      </c>
      <c r="EQ14" s="6"/>
      <c r="ER14" s="6">
        <f t="shared" si="306"/>
        <v>6</v>
      </c>
      <c r="ES14" s="6"/>
      <c r="ET14" s="20">
        <f>DS14-'Zusammenfassung Tag1-4'!$F$2/18</f>
        <v>7</v>
      </c>
      <c r="EU14" s="22">
        <f t="shared" ref="EU14:EU21" si="428">ET14+EU13</f>
        <v>52</v>
      </c>
      <c r="EV14" s="18">
        <v>6</v>
      </c>
      <c r="EW14" s="6">
        <f t="shared" ref="EW14:EW21" si="429">EV14+EW13</f>
        <v>62</v>
      </c>
      <c r="EX14" s="19">
        <v>2</v>
      </c>
      <c r="EY14" s="6">
        <f t="shared" ref="EY14:EY21" si="430">EX14+EY13</f>
        <v>25</v>
      </c>
      <c r="EZ14" s="6">
        <f t="shared" si="307"/>
        <v>0</v>
      </c>
      <c r="FA14" s="6">
        <f t="shared" ref="FA14:FA21" si="431">EZ14+FA13</f>
        <v>2</v>
      </c>
      <c r="FB14" s="6">
        <f t="shared" si="308"/>
        <v>0</v>
      </c>
      <c r="FC14" s="6">
        <f t="shared" ref="FC14:FC21" si="432">FB14+FC13</f>
        <v>0</v>
      </c>
      <c r="FD14" s="6">
        <f t="shared" si="309"/>
        <v>0</v>
      </c>
      <c r="FE14" s="6">
        <f t="shared" ref="FE14:FE21" si="433">FD14+FE13</f>
        <v>0</v>
      </c>
      <c r="FF14" s="6">
        <f t="shared" si="310"/>
        <v>0</v>
      </c>
      <c r="FG14" s="6">
        <f t="shared" ref="FG14:FG21" si="434">FF14+FG13</f>
        <v>1</v>
      </c>
      <c r="FH14" s="6">
        <f t="shared" si="311"/>
        <v>0</v>
      </c>
      <c r="FI14" s="6">
        <f t="shared" ref="FI14:FI21" si="435">FH14+FI13</f>
        <v>3</v>
      </c>
      <c r="FJ14" s="6">
        <f t="shared" si="312"/>
        <v>1</v>
      </c>
      <c r="FK14" s="6">
        <f t="shared" ref="FK14:FK21" si="436">FJ14+FK13</f>
        <v>7</v>
      </c>
      <c r="FL14" s="6">
        <f t="shared" si="313"/>
        <v>0</v>
      </c>
      <c r="FM14" s="6">
        <f t="shared" ref="FM14:FM21" si="437">FL14+FM13</f>
        <v>0</v>
      </c>
      <c r="FN14" s="6">
        <f t="shared" si="314"/>
        <v>0</v>
      </c>
      <c r="FO14" s="6">
        <f t="shared" ref="FO14:FO21" si="438">FN14+FO13</f>
        <v>1</v>
      </c>
      <c r="FP14" s="6">
        <f t="shared" si="315"/>
        <v>1</v>
      </c>
      <c r="FQ14" s="6">
        <f t="shared" ref="FQ14:FQ21" si="439">FP14+FQ13</f>
        <v>6</v>
      </c>
      <c r="FR14" s="6">
        <f t="shared" si="316"/>
        <v>0</v>
      </c>
      <c r="FS14" s="6">
        <f t="shared" ref="FS14:FS21" si="440">FR14+FS13</f>
        <v>4</v>
      </c>
      <c r="FT14" s="6"/>
      <c r="FU14" s="6">
        <f t="shared" si="317"/>
        <v>2</v>
      </c>
      <c r="FV14" s="6"/>
      <c r="FW14" s="20">
        <f>EV14-'Zusammenfassung Tag1-4'!$G$2/18</f>
        <v>4.5</v>
      </c>
      <c r="FX14" s="22">
        <f t="shared" ref="FX14:FX21" si="441">FW14+FX13</f>
        <v>45.5</v>
      </c>
      <c r="FY14" s="18">
        <v>10</v>
      </c>
      <c r="FZ14" s="6">
        <f t="shared" ref="FZ14:FZ21" si="442">FY14+FZ13</f>
        <v>83</v>
      </c>
      <c r="GA14" s="19">
        <v>3</v>
      </c>
      <c r="GB14" s="6">
        <f t="shared" ref="GB14:GB21" si="443">GA14+GB13</f>
        <v>28</v>
      </c>
      <c r="GC14" s="6">
        <f t="shared" si="318"/>
        <v>0</v>
      </c>
      <c r="GD14" s="6">
        <f t="shared" ref="GD14:GD21" si="444">GC14+GD13</f>
        <v>1</v>
      </c>
      <c r="GE14" s="6">
        <f t="shared" si="319"/>
        <v>0</v>
      </c>
      <c r="GF14" s="6">
        <f t="shared" ref="GF14:GF21" si="445">GE14+GF13</f>
        <v>0</v>
      </c>
      <c r="GG14" s="6">
        <f t="shared" si="320"/>
        <v>0</v>
      </c>
      <c r="GH14" s="6">
        <f t="shared" ref="GH14:GH21" si="446">GG14+GH13</f>
        <v>0</v>
      </c>
      <c r="GI14" s="6">
        <f t="shared" si="321"/>
        <v>0</v>
      </c>
      <c r="GJ14" s="6">
        <f t="shared" ref="GJ14:GJ21" si="447">GI14+GJ13</f>
        <v>0</v>
      </c>
      <c r="GK14" s="6">
        <f t="shared" si="322"/>
        <v>0</v>
      </c>
      <c r="GL14" s="6">
        <f t="shared" ref="GL14:GL21" si="448">GK14+GL13</f>
        <v>1</v>
      </c>
      <c r="GM14" s="6">
        <f t="shared" si="323"/>
        <v>1</v>
      </c>
      <c r="GN14" s="6">
        <f t="shared" ref="GN14:GN21" si="449">GM14+GN13</f>
        <v>10</v>
      </c>
      <c r="GO14" s="6">
        <f t="shared" si="324"/>
        <v>0</v>
      </c>
      <c r="GP14" s="6">
        <f t="shared" ref="GP14:GP21" si="450">GO14+GP13</f>
        <v>0</v>
      </c>
      <c r="GQ14" s="6">
        <f t="shared" si="325"/>
        <v>0</v>
      </c>
      <c r="GR14" s="6">
        <f t="shared" ref="GR14:GR21" si="451">GQ14+GR13</f>
        <v>0</v>
      </c>
      <c r="GS14" s="6">
        <f t="shared" si="326"/>
        <v>0</v>
      </c>
      <c r="GT14" s="6">
        <f t="shared" ref="GT14:GT21" si="452">GS14+GT13</f>
        <v>5</v>
      </c>
      <c r="GU14" s="6">
        <f t="shared" si="327"/>
        <v>1</v>
      </c>
      <c r="GV14" s="6">
        <f t="shared" ref="GV14:GV21" si="453">GU14+GV13</f>
        <v>6</v>
      </c>
      <c r="GW14" s="6"/>
      <c r="GX14" s="6">
        <f t="shared" si="328"/>
        <v>6</v>
      </c>
      <c r="GY14" s="6"/>
      <c r="GZ14" s="20">
        <f>FY14-'Zusammenfassung Tag1-4'!$H$2/18</f>
        <v>7</v>
      </c>
      <c r="HA14" s="22">
        <f t="shared" ref="HA14:HA21" si="454">GZ14+HA13</f>
        <v>50</v>
      </c>
      <c r="HB14" s="18">
        <v>6</v>
      </c>
      <c r="HC14" s="6">
        <f t="shared" ref="HC14:HC21" si="455">HB14+HC13</f>
        <v>57</v>
      </c>
      <c r="HD14" s="19">
        <v>2</v>
      </c>
      <c r="HE14" s="6">
        <f t="shared" ref="HE14:HE21" si="456">HD14+HE13</f>
        <v>23</v>
      </c>
      <c r="HF14" s="6">
        <f t="shared" si="329"/>
        <v>0</v>
      </c>
      <c r="HG14" s="6">
        <f t="shared" ref="HG14:HG21" si="457">HF14+HG13</f>
        <v>3</v>
      </c>
      <c r="HH14" s="6">
        <f t="shared" si="330"/>
        <v>0</v>
      </c>
      <c r="HI14" s="6">
        <f t="shared" ref="HI14:HI21" si="458">HH14+HI13</f>
        <v>2</v>
      </c>
      <c r="HJ14" s="6">
        <f t="shared" si="331"/>
        <v>0</v>
      </c>
      <c r="HK14" s="6">
        <f t="shared" ref="HK14:HK21" si="459">HJ14+HK13</f>
        <v>0</v>
      </c>
      <c r="HL14" s="6">
        <f t="shared" si="332"/>
        <v>0</v>
      </c>
      <c r="HM14" s="6">
        <f t="shared" ref="HM14:HM21" si="460">HL14+HM13</f>
        <v>3</v>
      </c>
      <c r="HN14" s="6">
        <f t="shared" si="333"/>
        <v>0</v>
      </c>
      <c r="HO14" s="6">
        <f t="shared" ref="HO14:HO21" si="461">HN14+HO13</f>
        <v>5</v>
      </c>
      <c r="HP14" s="6">
        <f t="shared" si="334"/>
        <v>1</v>
      </c>
      <c r="HQ14" s="6">
        <f t="shared" ref="HQ14:HQ21" si="462">HP14+HQ13</f>
        <v>3</v>
      </c>
      <c r="HR14" s="6">
        <f t="shared" si="335"/>
        <v>0</v>
      </c>
      <c r="HS14" s="6">
        <f t="shared" ref="HS14:HS21" si="463">HR14+HS13</f>
        <v>0</v>
      </c>
      <c r="HT14" s="6">
        <f t="shared" si="336"/>
        <v>0</v>
      </c>
      <c r="HU14" s="6">
        <f t="shared" ref="HU14:HU21" si="464">HT14+HU13</f>
        <v>2</v>
      </c>
      <c r="HV14" s="6">
        <f t="shared" si="337"/>
        <v>1</v>
      </c>
      <c r="HW14" s="6">
        <f t="shared" ref="HW14:HW21" si="465">HV14+HW13</f>
        <v>6</v>
      </c>
      <c r="HX14" s="6">
        <f t="shared" si="338"/>
        <v>0</v>
      </c>
      <c r="HY14" s="6">
        <f t="shared" ref="HY14:HY21" si="466">HX14+HY13</f>
        <v>3</v>
      </c>
      <c r="HZ14" s="6"/>
      <c r="IA14" s="6">
        <f t="shared" si="339"/>
        <v>2</v>
      </c>
      <c r="IB14" s="6"/>
      <c r="IC14" s="20">
        <f>HB14-'Zusammenfassung Tag1-4'!$I$2/18</f>
        <v>5</v>
      </c>
      <c r="ID14" s="22">
        <f t="shared" ref="ID14:ID21" si="467">IC14+ID13</f>
        <v>46</v>
      </c>
      <c r="IE14" s="18"/>
      <c r="IF14" s="6">
        <f t="shared" ref="IF14:IF21" si="468">IE14+IF13</f>
        <v>0</v>
      </c>
      <c r="IG14" s="19"/>
      <c r="IH14" s="6">
        <f t="shared" ref="IH14:IH21" si="469">IG14+IH13</f>
        <v>0</v>
      </c>
      <c r="II14" s="6">
        <f t="shared" si="340"/>
        <v>1</v>
      </c>
      <c r="IJ14" s="6">
        <f t="shared" ref="IJ14:IJ21" si="470">II14+IJ13</f>
        <v>11</v>
      </c>
      <c r="IK14" s="6">
        <f t="shared" si="341"/>
        <v>0</v>
      </c>
      <c r="IL14" s="6">
        <f t="shared" ref="IL14:IL21" si="471">IK14+IL13</f>
        <v>0</v>
      </c>
      <c r="IM14" s="6">
        <f t="shared" si="342"/>
        <v>0</v>
      </c>
      <c r="IN14" s="6">
        <f t="shared" ref="IN14:IN21" si="472">IM14+IN13</f>
        <v>0</v>
      </c>
      <c r="IO14" s="6">
        <f t="shared" si="343"/>
        <v>0</v>
      </c>
      <c r="IP14" s="6">
        <f t="shared" ref="IP14:IP21" si="473">IO14+IP13</f>
        <v>0</v>
      </c>
      <c r="IQ14" s="6">
        <f t="shared" si="344"/>
        <v>0</v>
      </c>
      <c r="IR14" s="6">
        <f t="shared" ref="IR14:IR21" si="474">IQ14+IR13</f>
        <v>0</v>
      </c>
      <c r="IS14" s="6">
        <f t="shared" si="345"/>
        <v>0</v>
      </c>
      <c r="IT14" s="6">
        <f t="shared" ref="IT14:IT21" si="475">IS14+IT13</f>
        <v>0</v>
      </c>
      <c r="IU14" s="6">
        <f t="shared" si="346"/>
        <v>1</v>
      </c>
      <c r="IV14" s="6">
        <f t="shared" ref="IV14:IV21" si="476">IU14+IV13</f>
        <v>11</v>
      </c>
      <c r="IW14" s="6">
        <f t="shared" si="347"/>
        <v>0</v>
      </c>
      <c r="IX14" s="6">
        <f t="shared" ref="IX14:IX21" si="477">IW14+IX13</f>
        <v>0</v>
      </c>
      <c r="IY14" s="6">
        <f t="shared" si="348"/>
        <v>0</v>
      </c>
      <c r="IZ14" s="6">
        <f t="shared" ref="IZ14:IZ21" si="478">IY14+IZ13</f>
        <v>0</v>
      </c>
      <c r="JA14" s="6">
        <f t="shared" si="349"/>
        <v>0</v>
      </c>
      <c r="JB14" s="6">
        <f t="shared" ref="JB14:JB21" si="479">JA14+JB13</f>
        <v>0</v>
      </c>
      <c r="JC14" s="6"/>
      <c r="JD14" s="6">
        <f t="shared" si="350"/>
        <v>-4</v>
      </c>
      <c r="JE14" s="6"/>
      <c r="JF14" s="20">
        <f>IE14-'Zusammenfassung Tag1-4'!$J$2/18</f>
        <v>-3</v>
      </c>
      <c r="JG14" s="22">
        <f t="shared" ref="JG14:JG21" si="480">JF14+JG13</f>
        <v>-33</v>
      </c>
      <c r="JH14" s="18"/>
      <c r="JI14" s="6">
        <f t="shared" ref="JI14:JI21" si="481">JH14+JI13</f>
        <v>0</v>
      </c>
      <c r="JJ14" s="19"/>
      <c r="JK14" s="6">
        <f t="shared" ref="JK14:JK21" si="482">JJ14+JK13</f>
        <v>0</v>
      </c>
      <c r="JL14" s="6">
        <f t="shared" si="351"/>
        <v>1</v>
      </c>
      <c r="JM14" s="6">
        <f t="shared" ref="JM14:JM21" si="483">JL14+JM13</f>
        <v>11</v>
      </c>
      <c r="JN14" s="6">
        <f t="shared" si="352"/>
        <v>0</v>
      </c>
      <c r="JO14" s="6">
        <f t="shared" ref="JO14:JO21" si="484">JN14+JO13</f>
        <v>0</v>
      </c>
      <c r="JP14" s="6">
        <f t="shared" si="353"/>
        <v>0</v>
      </c>
      <c r="JQ14" s="6">
        <f t="shared" ref="JQ14:JQ21" si="485">JP14+JQ13</f>
        <v>0</v>
      </c>
      <c r="JR14" s="6">
        <f t="shared" si="354"/>
        <v>0</v>
      </c>
      <c r="JS14" s="6">
        <f t="shared" ref="JS14:JS21" si="486">JR14+JS13</f>
        <v>0</v>
      </c>
      <c r="JT14" s="6">
        <f t="shared" si="355"/>
        <v>0</v>
      </c>
      <c r="JU14" s="6">
        <f t="shared" ref="JU14:JU21" si="487">JT14+JU13</f>
        <v>0</v>
      </c>
      <c r="JV14" s="6">
        <f t="shared" si="356"/>
        <v>0</v>
      </c>
      <c r="JW14" s="6">
        <f t="shared" ref="JW14:JW21" si="488">JV14+JW13</f>
        <v>0</v>
      </c>
      <c r="JX14" s="6">
        <f t="shared" si="357"/>
        <v>1</v>
      </c>
      <c r="JY14" s="6">
        <f t="shared" ref="JY14:JY21" si="489">JX14+JY13</f>
        <v>11</v>
      </c>
      <c r="JZ14" s="6">
        <f t="shared" si="358"/>
        <v>0</v>
      </c>
      <c r="KA14" s="6">
        <f t="shared" ref="KA14:KA21" si="490">JZ14+KA13</f>
        <v>0</v>
      </c>
      <c r="KB14" s="6">
        <f t="shared" si="359"/>
        <v>0</v>
      </c>
      <c r="KC14" s="6">
        <f t="shared" ref="KC14:KC21" si="491">KB14+KC13</f>
        <v>0</v>
      </c>
      <c r="KD14" s="6">
        <f t="shared" si="360"/>
        <v>0</v>
      </c>
      <c r="KE14" s="6">
        <f t="shared" ref="KE14:KE21" si="492">KD14+KE13</f>
        <v>0</v>
      </c>
      <c r="KF14" s="6"/>
      <c r="KG14" s="6">
        <f t="shared" si="361"/>
        <v>-4</v>
      </c>
      <c r="KH14" s="6"/>
      <c r="KI14" s="20">
        <f>JH14-'Zusammenfassung Tag1-4'!$K$2/18</f>
        <v>-0.77777777777777779</v>
      </c>
      <c r="KJ14" s="22">
        <f t="shared" ref="KJ14:KJ21" si="493">KI14+KJ13</f>
        <v>-8.5555555555555554</v>
      </c>
      <c r="KK14" s="10"/>
      <c r="KL14" s="10"/>
      <c r="KM14" s="10"/>
      <c r="KN14" s="10"/>
      <c r="KO14" s="10"/>
      <c r="KP14" s="10"/>
      <c r="KQ14" s="10"/>
      <c r="KR14" s="10"/>
      <c r="KS14" s="10"/>
      <c r="KT14" s="10"/>
      <c r="KU14" s="10"/>
      <c r="KV14" s="10"/>
      <c r="KW14" s="10"/>
      <c r="KX14" s="10"/>
      <c r="KY14" s="10"/>
      <c r="KZ14" s="10"/>
      <c r="LA14" s="10"/>
      <c r="LB14" s="10"/>
      <c r="LC14" s="10"/>
      <c r="LD14" s="10"/>
    </row>
    <row r="15" spans="1:316" ht="15.75" customHeight="1" x14ac:dyDescent="0.25">
      <c r="A15" s="106"/>
      <c r="B15" s="103"/>
      <c r="C15" s="6">
        <v>12</v>
      </c>
      <c r="D15" s="6">
        <f t="shared" si="362"/>
        <v>12</v>
      </c>
      <c r="E15" s="6">
        <v>4</v>
      </c>
      <c r="F15" s="7">
        <f t="shared" si="363"/>
        <v>48</v>
      </c>
      <c r="G15" s="18">
        <v>4</v>
      </c>
      <c r="H15" s="6">
        <f t="shared" si="364"/>
        <v>56</v>
      </c>
      <c r="I15" s="19">
        <v>1</v>
      </c>
      <c r="J15" s="6">
        <f t="shared" si="365"/>
        <v>23</v>
      </c>
      <c r="K15" s="6">
        <f t="shared" si="252"/>
        <v>0</v>
      </c>
      <c r="L15" s="6">
        <f t="shared" si="366"/>
        <v>6</v>
      </c>
      <c r="M15" s="6">
        <f t="shared" si="253"/>
        <v>1</v>
      </c>
      <c r="N15" s="6">
        <f t="shared" si="367"/>
        <v>1</v>
      </c>
      <c r="O15" s="6">
        <f t="shared" si="254"/>
        <v>0</v>
      </c>
      <c r="P15" s="6">
        <f t="shared" si="368"/>
        <v>1</v>
      </c>
      <c r="Q15" s="6">
        <f t="shared" si="255"/>
        <v>1</v>
      </c>
      <c r="R15" s="6">
        <f t="shared" si="369"/>
        <v>5</v>
      </c>
      <c r="S15" s="6">
        <f t="shared" si="256"/>
        <v>0</v>
      </c>
      <c r="T15" s="6">
        <f t="shared" si="370"/>
        <v>3</v>
      </c>
      <c r="U15" s="6">
        <f t="shared" si="257"/>
        <v>0</v>
      </c>
      <c r="V15" s="6">
        <f t="shared" si="371"/>
        <v>3</v>
      </c>
      <c r="W15" s="6">
        <f t="shared" si="258"/>
        <v>0</v>
      </c>
      <c r="X15" s="6">
        <f t="shared" si="372"/>
        <v>0</v>
      </c>
      <c r="Y15" s="6">
        <f t="shared" si="259"/>
        <v>1</v>
      </c>
      <c r="Z15" s="6">
        <f t="shared" si="373"/>
        <v>4</v>
      </c>
      <c r="AA15" s="6">
        <f t="shared" si="260"/>
        <v>0</v>
      </c>
      <c r="AB15" s="6">
        <f t="shared" si="374"/>
        <v>6</v>
      </c>
      <c r="AC15" s="6">
        <f t="shared" si="261"/>
        <v>0</v>
      </c>
      <c r="AD15" s="6">
        <f t="shared" si="375"/>
        <v>2</v>
      </c>
      <c r="AE15" s="6"/>
      <c r="AF15" s="6">
        <f t="shared" si="262"/>
        <v>0</v>
      </c>
      <c r="AG15" s="6"/>
      <c r="AH15" s="20">
        <f>G15-'Zusammenfassung Tag1-4'!$B$2/18</f>
        <v>2.8888888888888888</v>
      </c>
      <c r="AI15" s="21">
        <f t="shared" si="376"/>
        <v>42.666666666666657</v>
      </c>
      <c r="AJ15" s="18">
        <v>4</v>
      </c>
      <c r="AK15" s="6">
        <f t="shared" si="377"/>
        <v>53</v>
      </c>
      <c r="AL15" s="19">
        <v>2</v>
      </c>
      <c r="AM15" s="6">
        <f t="shared" si="378"/>
        <v>26</v>
      </c>
      <c r="AN15" s="6">
        <f t="shared" si="263"/>
        <v>1</v>
      </c>
      <c r="AO15" s="6">
        <f t="shared" si="379"/>
        <v>10</v>
      </c>
      <c r="AP15" s="6">
        <f t="shared" si="264"/>
        <v>0</v>
      </c>
      <c r="AQ15" s="6">
        <f t="shared" si="380"/>
        <v>1</v>
      </c>
      <c r="AR15" s="6">
        <f t="shared" si="265"/>
        <v>0</v>
      </c>
      <c r="AS15" s="6">
        <f t="shared" si="381"/>
        <v>0</v>
      </c>
      <c r="AT15" s="6">
        <f t="shared" si="266"/>
        <v>1</v>
      </c>
      <c r="AU15" s="6">
        <f t="shared" si="382"/>
        <v>8</v>
      </c>
      <c r="AV15" s="6">
        <f t="shared" si="267"/>
        <v>0</v>
      </c>
      <c r="AW15" s="6">
        <f t="shared" si="383"/>
        <v>3</v>
      </c>
      <c r="AX15" s="6">
        <f t="shared" si="268"/>
        <v>0</v>
      </c>
      <c r="AY15" s="6">
        <f t="shared" si="384"/>
        <v>1</v>
      </c>
      <c r="AZ15" s="6">
        <f t="shared" si="269"/>
        <v>0</v>
      </c>
      <c r="BA15" s="6">
        <f t="shared" si="385"/>
        <v>0</v>
      </c>
      <c r="BB15" s="6">
        <f t="shared" si="270"/>
        <v>0</v>
      </c>
      <c r="BC15" s="6">
        <f t="shared" si="386"/>
        <v>1</v>
      </c>
      <c r="BD15" s="6">
        <f t="shared" si="271"/>
        <v>1</v>
      </c>
      <c r="BE15" s="6">
        <f t="shared" si="387"/>
        <v>8</v>
      </c>
      <c r="BF15" s="6">
        <f t="shared" si="272"/>
        <v>0</v>
      </c>
      <c r="BG15" s="6">
        <f t="shared" si="388"/>
        <v>3</v>
      </c>
      <c r="BH15" s="6"/>
      <c r="BI15" s="6">
        <f t="shared" si="273"/>
        <v>0</v>
      </c>
      <c r="BJ15" s="6"/>
      <c r="BK15" s="20">
        <f>AJ15-'Zusammenfassung Tag1-4'!$C$2/18</f>
        <v>3.3333333333333335</v>
      </c>
      <c r="BL15" s="21">
        <f t="shared" si="389"/>
        <v>45.000000000000007</v>
      </c>
      <c r="BM15" s="18">
        <v>5</v>
      </c>
      <c r="BN15" s="6">
        <f t="shared" si="390"/>
        <v>64</v>
      </c>
      <c r="BO15" s="19">
        <v>2</v>
      </c>
      <c r="BP15" s="6">
        <f t="shared" si="391"/>
        <v>24</v>
      </c>
      <c r="BQ15" s="6">
        <f t="shared" si="274"/>
        <v>0</v>
      </c>
      <c r="BR15" s="6">
        <f t="shared" si="392"/>
        <v>3</v>
      </c>
      <c r="BS15" s="6">
        <f t="shared" si="275"/>
        <v>0</v>
      </c>
      <c r="BT15" s="6">
        <f t="shared" si="393"/>
        <v>1</v>
      </c>
      <c r="BU15" s="6">
        <f t="shared" si="276"/>
        <v>0</v>
      </c>
      <c r="BV15" s="6">
        <f t="shared" si="394"/>
        <v>0</v>
      </c>
      <c r="BW15" s="6">
        <f t="shared" si="277"/>
        <v>0</v>
      </c>
      <c r="BX15" s="6">
        <f t="shared" si="395"/>
        <v>4</v>
      </c>
      <c r="BY15" s="6">
        <f t="shared" si="278"/>
        <v>1</v>
      </c>
      <c r="BZ15" s="6">
        <f t="shared" si="396"/>
        <v>4</v>
      </c>
      <c r="CA15" s="6">
        <f t="shared" si="279"/>
        <v>0</v>
      </c>
      <c r="CB15" s="6">
        <f t="shared" si="397"/>
        <v>4</v>
      </c>
      <c r="CC15" s="6">
        <f t="shared" si="280"/>
        <v>0</v>
      </c>
      <c r="CD15" s="6">
        <f t="shared" si="398"/>
        <v>0</v>
      </c>
      <c r="CE15" s="6">
        <f t="shared" si="281"/>
        <v>0</v>
      </c>
      <c r="CF15" s="6">
        <f t="shared" si="399"/>
        <v>2</v>
      </c>
      <c r="CG15" s="6">
        <f t="shared" si="282"/>
        <v>1</v>
      </c>
      <c r="CH15" s="6">
        <f t="shared" si="400"/>
        <v>8</v>
      </c>
      <c r="CI15" s="6">
        <f t="shared" si="283"/>
        <v>0</v>
      </c>
      <c r="CJ15" s="6">
        <f t="shared" si="401"/>
        <v>2</v>
      </c>
      <c r="CK15" s="6"/>
      <c r="CL15" s="6">
        <f t="shared" si="284"/>
        <v>1</v>
      </c>
      <c r="CM15" s="6"/>
      <c r="CN15" s="20">
        <f>BM15-'Zusammenfassung Tag1-4'!$D$2/18</f>
        <v>3.666666666666667</v>
      </c>
      <c r="CO15" s="21">
        <f t="shared" si="402"/>
        <v>47.999999999999993</v>
      </c>
      <c r="CP15" s="18">
        <v>5</v>
      </c>
      <c r="CQ15" s="6">
        <f t="shared" si="403"/>
        <v>62</v>
      </c>
      <c r="CR15" s="19">
        <v>2</v>
      </c>
      <c r="CS15" s="6">
        <f t="shared" si="404"/>
        <v>25</v>
      </c>
      <c r="CT15" s="6">
        <f t="shared" si="285"/>
        <v>0</v>
      </c>
      <c r="CU15" s="6">
        <f t="shared" si="405"/>
        <v>4</v>
      </c>
      <c r="CV15" s="6">
        <f t="shared" si="286"/>
        <v>0</v>
      </c>
      <c r="CW15" s="6">
        <f t="shared" si="406"/>
        <v>1</v>
      </c>
      <c r="CX15" s="6">
        <f t="shared" si="287"/>
        <v>0</v>
      </c>
      <c r="CY15" s="6">
        <f t="shared" si="407"/>
        <v>0</v>
      </c>
      <c r="CZ15" s="6">
        <f t="shared" si="288"/>
        <v>0</v>
      </c>
      <c r="DA15" s="6">
        <f t="shared" si="408"/>
        <v>3</v>
      </c>
      <c r="DB15" s="6">
        <f t="shared" si="289"/>
        <v>1</v>
      </c>
      <c r="DC15" s="6">
        <f t="shared" si="409"/>
        <v>5</v>
      </c>
      <c r="DD15" s="6">
        <f t="shared" si="290"/>
        <v>0</v>
      </c>
      <c r="DE15" s="6">
        <f t="shared" si="410"/>
        <v>4</v>
      </c>
      <c r="DF15" s="6">
        <f t="shared" si="291"/>
        <v>0</v>
      </c>
      <c r="DG15" s="6">
        <f t="shared" si="411"/>
        <v>0</v>
      </c>
      <c r="DH15" s="6">
        <f t="shared" si="292"/>
        <v>0</v>
      </c>
      <c r="DI15" s="6">
        <f t="shared" si="412"/>
        <v>2</v>
      </c>
      <c r="DJ15" s="6">
        <f t="shared" si="293"/>
        <v>1</v>
      </c>
      <c r="DK15" s="6">
        <f t="shared" si="413"/>
        <v>7</v>
      </c>
      <c r="DL15" s="6">
        <f t="shared" si="294"/>
        <v>0</v>
      </c>
      <c r="DM15" s="6">
        <f t="shared" si="414"/>
        <v>3</v>
      </c>
      <c r="DN15" s="6"/>
      <c r="DO15" s="6">
        <f t="shared" si="295"/>
        <v>1</v>
      </c>
      <c r="DP15" s="6"/>
      <c r="DQ15" s="20">
        <f>CP15-'Zusammenfassung Tag1-4'!$E$2/18</f>
        <v>3.7222222222222223</v>
      </c>
      <c r="DR15" s="22">
        <f t="shared" si="415"/>
        <v>46.666666666666664</v>
      </c>
      <c r="DS15" s="18">
        <v>7</v>
      </c>
      <c r="DT15" s="6">
        <f t="shared" si="416"/>
        <v>92</v>
      </c>
      <c r="DU15" s="19">
        <v>2</v>
      </c>
      <c r="DV15" s="6">
        <f t="shared" si="417"/>
        <v>29</v>
      </c>
      <c r="DW15" s="6">
        <f t="shared" si="296"/>
        <v>0</v>
      </c>
      <c r="DX15" s="6">
        <f t="shared" si="418"/>
        <v>1</v>
      </c>
      <c r="DY15" s="6">
        <f t="shared" si="297"/>
        <v>0</v>
      </c>
      <c r="DZ15" s="6">
        <f t="shared" si="419"/>
        <v>0</v>
      </c>
      <c r="EA15" s="6">
        <f t="shared" si="298"/>
        <v>0</v>
      </c>
      <c r="EB15" s="6">
        <f t="shared" si="420"/>
        <v>0</v>
      </c>
      <c r="EC15" s="6">
        <f t="shared" si="299"/>
        <v>0</v>
      </c>
      <c r="ED15" s="6">
        <f t="shared" si="421"/>
        <v>1</v>
      </c>
      <c r="EE15" s="6">
        <f t="shared" si="300"/>
        <v>0</v>
      </c>
      <c r="EF15" s="6">
        <f t="shared" si="422"/>
        <v>0</v>
      </c>
      <c r="EG15" s="6">
        <f t="shared" si="301"/>
        <v>1</v>
      </c>
      <c r="EH15" s="6">
        <f t="shared" si="423"/>
        <v>11</v>
      </c>
      <c r="EI15" s="6">
        <f t="shared" si="302"/>
        <v>0</v>
      </c>
      <c r="EJ15" s="6">
        <f t="shared" si="424"/>
        <v>0</v>
      </c>
      <c r="EK15" s="6">
        <f t="shared" si="303"/>
        <v>0</v>
      </c>
      <c r="EL15" s="6">
        <f t="shared" si="425"/>
        <v>0</v>
      </c>
      <c r="EM15" s="6">
        <f t="shared" si="304"/>
        <v>1</v>
      </c>
      <c r="EN15" s="6">
        <f t="shared" si="426"/>
        <v>8</v>
      </c>
      <c r="EO15" s="6">
        <f t="shared" si="305"/>
        <v>0</v>
      </c>
      <c r="EP15" s="6">
        <f t="shared" si="427"/>
        <v>4</v>
      </c>
      <c r="EQ15" s="6"/>
      <c r="ER15" s="6">
        <f t="shared" si="306"/>
        <v>3</v>
      </c>
      <c r="ES15" s="6"/>
      <c r="ET15" s="20">
        <f>DS15-'Zusammenfassung Tag1-4'!$F$2/18</f>
        <v>4</v>
      </c>
      <c r="EU15" s="22">
        <f t="shared" si="428"/>
        <v>56</v>
      </c>
      <c r="EV15" s="18">
        <v>7</v>
      </c>
      <c r="EW15" s="6">
        <f t="shared" si="429"/>
        <v>69</v>
      </c>
      <c r="EX15" s="19">
        <v>3</v>
      </c>
      <c r="EY15" s="6">
        <f t="shared" si="430"/>
        <v>28</v>
      </c>
      <c r="EZ15" s="6">
        <f t="shared" si="307"/>
        <v>0</v>
      </c>
      <c r="FA15" s="6">
        <f t="shared" si="431"/>
        <v>2</v>
      </c>
      <c r="FB15" s="6">
        <f t="shared" si="308"/>
        <v>0</v>
      </c>
      <c r="FC15" s="6">
        <f t="shared" si="432"/>
        <v>0</v>
      </c>
      <c r="FD15" s="6">
        <f t="shared" si="309"/>
        <v>0</v>
      </c>
      <c r="FE15" s="6">
        <f t="shared" si="433"/>
        <v>0</v>
      </c>
      <c r="FF15" s="6">
        <f t="shared" si="310"/>
        <v>0</v>
      </c>
      <c r="FG15" s="6">
        <f t="shared" si="434"/>
        <v>1</v>
      </c>
      <c r="FH15" s="6">
        <f t="shared" si="311"/>
        <v>0</v>
      </c>
      <c r="FI15" s="6">
        <f t="shared" si="435"/>
        <v>3</v>
      </c>
      <c r="FJ15" s="6">
        <f t="shared" si="312"/>
        <v>1</v>
      </c>
      <c r="FK15" s="6">
        <f t="shared" si="436"/>
        <v>8</v>
      </c>
      <c r="FL15" s="6">
        <f t="shared" si="313"/>
        <v>0</v>
      </c>
      <c r="FM15" s="6">
        <f t="shared" si="437"/>
        <v>0</v>
      </c>
      <c r="FN15" s="6">
        <f t="shared" si="314"/>
        <v>0</v>
      </c>
      <c r="FO15" s="6">
        <f t="shared" si="438"/>
        <v>1</v>
      </c>
      <c r="FP15" s="6">
        <f t="shared" si="315"/>
        <v>0</v>
      </c>
      <c r="FQ15" s="6">
        <f t="shared" si="439"/>
        <v>6</v>
      </c>
      <c r="FR15" s="6">
        <f t="shared" si="316"/>
        <v>1</v>
      </c>
      <c r="FS15" s="6">
        <f t="shared" si="440"/>
        <v>5</v>
      </c>
      <c r="FT15" s="6"/>
      <c r="FU15" s="6">
        <f t="shared" si="317"/>
        <v>3</v>
      </c>
      <c r="FV15" s="6"/>
      <c r="FW15" s="20">
        <f>EV15-'Zusammenfassung Tag1-4'!$G$2/18</f>
        <v>5.5</v>
      </c>
      <c r="FX15" s="22">
        <f t="shared" si="441"/>
        <v>51</v>
      </c>
      <c r="FY15" s="18">
        <v>8</v>
      </c>
      <c r="FZ15" s="6">
        <f t="shared" si="442"/>
        <v>91</v>
      </c>
      <c r="GA15" s="19">
        <v>2</v>
      </c>
      <c r="GB15" s="6">
        <f t="shared" si="443"/>
        <v>30</v>
      </c>
      <c r="GC15" s="6">
        <f t="shared" si="318"/>
        <v>0</v>
      </c>
      <c r="GD15" s="6">
        <f t="shared" si="444"/>
        <v>1</v>
      </c>
      <c r="GE15" s="6">
        <f t="shared" si="319"/>
        <v>0</v>
      </c>
      <c r="GF15" s="6">
        <f t="shared" si="445"/>
        <v>0</v>
      </c>
      <c r="GG15" s="6">
        <f t="shared" si="320"/>
        <v>0</v>
      </c>
      <c r="GH15" s="6">
        <f t="shared" si="446"/>
        <v>0</v>
      </c>
      <c r="GI15" s="6">
        <f t="shared" si="321"/>
        <v>0</v>
      </c>
      <c r="GJ15" s="6">
        <f t="shared" si="447"/>
        <v>0</v>
      </c>
      <c r="GK15" s="6">
        <f t="shared" si="322"/>
        <v>0</v>
      </c>
      <c r="GL15" s="6">
        <f t="shared" si="448"/>
        <v>1</v>
      </c>
      <c r="GM15" s="6">
        <f t="shared" si="323"/>
        <v>1</v>
      </c>
      <c r="GN15" s="6">
        <f t="shared" si="449"/>
        <v>11</v>
      </c>
      <c r="GO15" s="6">
        <f t="shared" si="324"/>
        <v>0</v>
      </c>
      <c r="GP15" s="6">
        <f t="shared" si="450"/>
        <v>0</v>
      </c>
      <c r="GQ15" s="6">
        <f t="shared" si="325"/>
        <v>0</v>
      </c>
      <c r="GR15" s="6">
        <f t="shared" si="451"/>
        <v>0</v>
      </c>
      <c r="GS15" s="6">
        <f t="shared" si="326"/>
        <v>1</v>
      </c>
      <c r="GT15" s="6">
        <f t="shared" si="452"/>
        <v>6</v>
      </c>
      <c r="GU15" s="6">
        <f t="shared" si="327"/>
        <v>0</v>
      </c>
      <c r="GV15" s="6">
        <f t="shared" si="453"/>
        <v>6</v>
      </c>
      <c r="GW15" s="6"/>
      <c r="GX15" s="6">
        <f t="shared" si="328"/>
        <v>4</v>
      </c>
      <c r="GY15" s="6"/>
      <c r="GZ15" s="20">
        <f>FY15-'Zusammenfassung Tag1-4'!$H$2/18</f>
        <v>5</v>
      </c>
      <c r="HA15" s="22">
        <f t="shared" si="454"/>
        <v>55</v>
      </c>
      <c r="HB15" s="18">
        <v>5</v>
      </c>
      <c r="HC15" s="6">
        <f t="shared" si="455"/>
        <v>62</v>
      </c>
      <c r="HD15" s="19">
        <v>2</v>
      </c>
      <c r="HE15" s="6">
        <f t="shared" si="456"/>
        <v>25</v>
      </c>
      <c r="HF15" s="6">
        <f t="shared" si="329"/>
        <v>0</v>
      </c>
      <c r="HG15" s="6">
        <f t="shared" si="457"/>
        <v>3</v>
      </c>
      <c r="HH15" s="6">
        <f t="shared" si="330"/>
        <v>0</v>
      </c>
      <c r="HI15" s="6">
        <f t="shared" si="458"/>
        <v>2</v>
      </c>
      <c r="HJ15" s="6">
        <f t="shared" si="331"/>
        <v>0</v>
      </c>
      <c r="HK15" s="6">
        <f t="shared" si="459"/>
        <v>0</v>
      </c>
      <c r="HL15" s="6">
        <f t="shared" si="332"/>
        <v>0</v>
      </c>
      <c r="HM15" s="6">
        <f t="shared" si="460"/>
        <v>3</v>
      </c>
      <c r="HN15" s="6">
        <f t="shared" si="333"/>
        <v>1</v>
      </c>
      <c r="HO15" s="6">
        <f t="shared" si="461"/>
        <v>6</v>
      </c>
      <c r="HP15" s="6">
        <f t="shared" si="334"/>
        <v>0</v>
      </c>
      <c r="HQ15" s="6">
        <f t="shared" si="462"/>
        <v>3</v>
      </c>
      <c r="HR15" s="6">
        <f t="shared" si="335"/>
        <v>0</v>
      </c>
      <c r="HS15" s="6">
        <f t="shared" si="463"/>
        <v>0</v>
      </c>
      <c r="HT15" s="6">
        <f t="shared" si="336"/>
        <v>0</v>
      </c>
      <c r="HU15" s="6">
        <f t="shared" si="464"/>
        <v>2</v>
      </c>
      <c r="HV15" s="6">
        <f t="shared" si="337"/>
        <v>1</v>
      </c>
      <c r="HW15" s="6">
        <f t="shared" si="465"/>
        <v>7</v>
      </c>
      <c r="HX15" s="6">
        <f t="shared" si="338"/>
        <v>0</v>
      </c>
      <c r="HY15" s="6">
        <f t="shared" si="466"/>
        <v>3</v>
      </c>
      <c r="HZ15" s="6"/>
      <c r="IA15" s="6">
        <f t="shared" si="339"/>
        <v>1</v>
      </c>
      <c r="IB15" s="6"/>
      <c r="IC15" s="20">
        <f>HB15-'Zusammenfassung Tag1-4'!$I$2/18</f>
        <v>4</v>
      </c>
      <c r="ID15" s="22">
        <f t="shared" si="467"/>
        <v>50</v>
      </c>
      <c r="IE15" s="18"/>
      <c r="IF15" s="6">
        <f t="shared" si="468"/>
        <v>0</v>
      </c>
      <c r="IG15" s="19"/>
      <c r="IH15" s="6">
        <f t="shared" si="469"/>
        <v>0</v>
      </c>
      <c r="II15" s="6">
        <f t="shared" si="340"/>
        <v>1</v>
      </c>
      <c r="IJ15" s="6">
        <f t="shared" si="470"/>
        <v>12</v>
      </c>
      <c r="IK15" s="6">
        <f t="shared" si="341"/>
        <v>0</v>
      </c>
      <c r="IL15" s="6">
        <f t="shared" si="471"/>
        <v>0</v>
      </c>
      <c r="IM15" s="6">
        <f t="shared" si="342"/>
        <v>0</v>
      </c>
      <c r="IN15" s="6">
        <f t="shared" si="472"/>
        <v>0</v>
      </c>
      <c r="IO15" s="6">
        <f t="shared" si="343"/>
        <v>0</v>
      </c>
      <c r="IP15" s="6">
        <f t="shared" si="473"/>
        <v>0</v>
      </c>
      <c r="IQ15" s="6">
        <f t="shared" si="344"/>
        <v>0</v>
      </c>
      <c r="IR15" s="6">
        <f t="shared" si="474"/>
        <v>0</v>
      </c>
      <c r="IS15" s="6">
        <f t="shared" si="345"/>
        <v>0</v>
      </c>
      <c r="IT15" s="6">
        <f t="shared" si="475"/>
        <v>0</v>
      </c>
      <c r="IU15" s="6">
        <f t="shared" si="346"/>
        <v>1</v>
      </c>
      <c r="IV15" s="6">
        <f t="shared" si="476"/>
        <v>12</v>
      </c>
      <c r="IW15" s="6">
        <f t="shared" si="347"/>
        <v>0</v>
      </c>
      <c r="IX15" s="6">
        <f t="shared" si="477"/>
        <v>0</v>
      </c>
      <c r="IY15" s="6">
        <f t="shared" si="348"/>
        <v>0</v>
      </c>
      <c r="IZ15" s="6">
        <f t="shared" si="478"/>
        <v>0</v>
      </c>
      <c r="JA15" s="6">
        <f t="shared" si="349"/>
        <v>0</v>
      </c>
      <c r="JB15" s="6">
        <f t="shared" si="479"/>
        <v>0</v>
      </c>
      <c r="JC15" s="6"/>
      <c r="JD15" s="6">
        <f t="shared" si="350"/>
        <v>-4</v>
      </c>
      <c r="JE15" s="6"/>
      <c r="JF15" s="20">
        <f>IE15-'Zusammenfassung Tag1-4'!$J$2/18</f>
        <v>-3</v>
      </c>
      <c r="JG15" s="22">
        <f t="shared" si="480"/>
        <v>-36</v>
      </c>
      <c r="JH15" s="18"/>
      <c r="JI15" s="6">
        <f t="shared" si="481"/>
        <v>0</v>
      </c>
      <c r="JJ15" s="19"/>
      <c r="JK15" s="6">
        <f t="shared" si="482"/>
        <v>0</v>
      </c>
      <c r="JL15" s="6">
        <f t="shared" si="351"/>
        <v>1</v>
      </c>
      <c r="JM15" s="6">
        <f t="shared" si="483"/>
        <v>12</v>
      </c>
      <c r="JN15" s="6">
        <f t="shared" si="352"/>
        <v>0</v>
      </c>
      <c r="JO15" s="6">
        <f t="shared" si="484"/>
        <v>0</v>
      </c>
      <c r="JP15" s="6">
        <f t="shared" si="353"/>
        <v>0</v>
      </c>
      <c r="JQ15" s="6">
        <f t="shared" si="485"/>
        <v>0</v>
      </c>
      <c r="JR15" s="6">
        <f t="shared" si="354"/>
        <v>0</v>
      </c>
      <c r="JS15" s="6">
        <f t="shared" si="486"/>
        <v>0</v>
      </c>
      <c r="JT15" s="6">
        <f t="shared" si="355"/>
        <v>0</v>
      </c>
      <c r="JU15" s="6">
        <f t="shared" si="487"/>
        <v>0</v>
      </c>
      <c r="JV15" s="6">
        <f t="shared" si="356"/>
        <v>0</v>
      </c>
      <c r="JW15" s="6">
        <f t="shared" si="488"/>
        <v>0</v>
      </c>
      <c r="JX15" s="6">
        <f t="shared" si="357"/>
        <v>1</v>
      </c>
      <c r="JY15" s="6">
        <f t="shared" si="489"/>
        <v>12</v>
      </c>
      <c r="JZ15" s="6">
        <f t="shared" si="358"/>
        <v>0</v>
      </c>
      <c r="KA15" s="6">
        <f t="shared" si="490"/>
        <v>0</v>
      </c>
      <c r="KB15" s="6">
        <f t="shared" si="359"/>
        <v>0</v>
      </c>
      <c r="KC15" s="6">
        <f t="shared" si="491"/>
        <v>0</v>
      </c>
      <c r="KD15" s="6">
        <f t="shared" si="360"/>
        <v>0</v>
      </c>
      <c r="KE15" s="6">
        <f t="shared" si="492"/>
        <v>0</v>
      </c>
      <c r="KF15" s="6"/>
      <c r="KG15" s="6">
        <f t="shared" si="361"/>
        <v>-4</v>
      </c>
      <c r="KH15" s="6"/>
      <c r="KI15" s="20">
        <f>JH15-'Zusammenfassung Tag1-4'!$K$2/18</f>
        <v>-0.77777777777777779</v>
      </c>
      <c r="KJ15" s="22">
        <f t="shared" si="493"/>
        <v>-9.3333333333333339</v>
      </c>
      <c r="KK15" s="10"/>
      <c r="KL15" s="10"/>
      <c r="KM15" s="10"/>
      <c r="KN15" s="10"/>
      <c r="KO15" s="10"/>
      <c r="KP15" s="10"/>
      <c r="KQ15" s="10"/>
      <c r="KR15" s="10"/>
      <c r="KS15" s="10"/>
      <c r="KT15" s="10"/>
      <c r="KU15" s="10"/>
      <c r="KV15" s="10"/>
      <c r="KW15" s="10"/>
      <c r="KX15" s="10"/>
      <c r="KY15" s="10"/>
      <c r="KZ15" s="10"/>
      <c r="LA15" s="10"/>
      <c r="LB15" s="10"/>
      <c r="LC15" s="10"/>
      <c r="LD15" s="10"/>
    </row>
    <row r="16" spans="1:316" ht="15.75" customHeight="1" x14ac:dyDescent="0.25">
      <c r="A16" s="106"/>
      <c r="B16" s="103"/>
      <c r="C16" s="6">
        <v>13</v>
      </c>
      <c r="D16" s="6">
        <f t="shared" si="362"/>
        <v>13</v>
      </c>
      <c r="E16" s="6">
        <v>5</v>
      </c>
      <c r="F16" s="7">
        <f t="shared" si="363"/>
        <v>53</v>
      </c>
      <c r="G16" s="18">
        <v>6</v>
      </c>
      <c r="H16" s="6">
        <f t="shared" si="364"/>
        <v>62</v>
      </c>
      <c r="I16" s="19">
        <v>2</v>
      </c>
      <c r="J16" s="6">
        <f t="shared" si="365"/>
        <v>25</v>
      </c>
      <c r="K16" s="6">
        <f t="shared" si="252"/>
        <v>0</v>
      </c>
      <c r="L16" s="6">
        <f t="shared" si="366"/>
        <v>6</v>
      </c>
      <c r="M16" s="6">
        <f t="shared" si="253"/>
        <v>0</v>
      </c>
      <c r="N16" s="6">
        <f t="shared" si="367"/>
        <v>1</v>
      </c>
      <c r="O16" s="6">
        <f t="shared" si="254"/>
        <v>0</v>
      </c>
      <c r="P16" s="6">
        <f t="shared" si="368"/>
        <v>1</v>
      </c>
      <c r="Q16" s="6">
        <f t="shared" si="255"/>
        <v>0</v>
      </c>
      <c r="R16" s="6">
        <f t="shared" si="369"/>
        <v>5</v>
      </c>
      <c r="S16" s="6">
        <f t="shared" si="256"/>
        <v>1</v>
      </c>
      <c r="T16" s="6">
        <f t="shared" si="370"/>
        <v>4</v>
      </c>
      <c r="U16" s="6">
        <f t="shared" si="257"/>
        <v>0</v>
      </c>
      <c r="V16" s="6">
        <f t="shared" si="371"/>
        <v>3</v>
      </c>
      <c r="W16" s="6">
        <f t="shared" si="258"/>
        <v>0</v>
      </c>
      <c r="X16" s="6">
        <f t="shared" si="372"/>
        <v>0</v>
      </c>
      <c r="Y16" s="6">
        <f t="shared" si="259"/>
        <v>0</v>
      </c>
      <c r="Z16" s="6">
        <f t="shared" si="373"/>
        <v>4</v>
      </c>
      <c r="AA16" s="6">
        <f t="shared" si="260"/>
        <v>1</v>
      </c>
      <c r="AB16" s="6">
        <f t="shared" si="374"/>
        <v>7</v>
      </c>
      <c r="AC16" s="6">
        <f t="shared" si="261"/>
        <v>0</v>
      </c>
      <c r="AD16" s="6">
        <f t="shared" si="375"/>
        <v>2</v>
      </c>
      <c r="AE16" s="6"/>
      <c r="AF16" s="6"/>
      <c r="AG16" s="6">
        <f>IF($E16=5,G16-5,NA())</f>
        <v>1</v>
      </c>
      <c r="AH16" s="20">
        <f>G16-'Zusammenfassung Tag1-4'!$B$2/18</f>
        <v>4.8888888888888893</v>
      </c>
      <c r="AI16" s="21">
        <f t="shared" si="376"/>
        <v>47.555555555555543</v>
      </c>
      <c r="AJ16" s="18">
        <v>5</v>
      </c>
      <c r="AK16" s="6">
        <f t="shared" si="377"/>
        <v>58</v>
      </c>
      <c r="AL16" s="19">
        <v>1</v>
      </c>
      <c r="AM16" s="6">
        <f t="shared" si="378"/>
        <v>27</v>
      </c>
      <c r="AN16" s="6">
        <f t="shared" si="263"/>
        <v>0</v>
      </c>
      <c r="AO16" s="6">
        <f t="shared" si="379"/>
        <v>10</v>
      </c>
      <c r="AP16" s="6">
        <f t="shared" si="264"/>
        <v>1</v>
      </c>
      <c r="AQ16" s="6">
        <f t="shared" si="380"/>
        <v>2</v>
      </c>
      <c r="AR16" s="6">
        <f t="shared" si="265"/>
        <v>0</v>
      </c>
      <c r="AS16" s="6">
        <f t="shared" si="381"/>
        <v>0</v>
      </c>
      <c r="AT16" s="6">
        <f t="shared" si="266"/>
        <v>1</v>
      </c>
      <c r="AU16" s="6">
        <f t="shared" si="382"/>
        <v>9</v>
      </c>
      <c r="AV16" s="6">
        <f t="shared" si="267"/>
        <v>0</v>
      </c>
      <c r="AW16" s="6">
        <f t="shared" si="383"/>
        <v>3</v>
      </c>
      <c r="AX16" s="6">
        <f t="shared" si="268"/>
        <v>0</v>
      </c>
      <c r="AY16" s="6">
        <f t="shared" si="384"/>
        <v>1</v>
      </c>
      <c r="AZ16" s="6">
        <f t="shared" si="269"/>
        <v>0</v>
      </c>
      <c r="BA16" s="6">
        <f t="shared" si="385"/>
        <v>0</v>
      </c>
      <c r="BB16" s="6">
        <f t="shared" si="270"/>
        <v>1</v>
      </c>
      <c r="BC16" s="6">
        <f t="shared" si="386"/>
        <v>2</v>
      </c>
      <c r="BD16" s="6">
        <f t="shared" si="271"/>
        <v>0</v>
      </c>
      <c r="BE16" s="6">
        <f t="shared" si="387"/>
        <v>8</v>
      </c>
      <c r="BF16" s="6">
        <f t="shared" si="272"/>
        <v>0</v>
      </c>
      <c r="BG16" s="6">
        <f t="shared" si="388"/>
        <v>3</v>
      </c>
      <c r="BH16" s="6"/>
      <c r="BI16" s="6"/>
      <c r="BJ16" s="6">
        <f>IF($E16=5,AJ16-5,NA())</f>
        <v>0</v>
      </c>
      <c r="BK16" s="20">
        <f>AJ16-'Zusammenfassung Tag1-4'!$C$2/18</f>
        <v>4.333333333333333</v>
      </c>
      <c r="BL16" s="21">
        <f t="shared" si="389"/>
        <v>49.333333333333343</v>
      </c>
      <c r="BM16" s="18">
        <v>5</v>
      </c>
      <c r="BN16" s="6">
        <f t="shared" si="390"/>
        <v>69</v>
      </c>
      <c r="BO16" s="19">
        <v>2</v>
      </c>
      <c r="BP16" s="6">
        <f t="shared" si="391"/>
        <v>26</v>
      </c>
      <c r="BQ16" s="6">
        <f t="shared" si="274"/>
        <v>1</v>
      </c>
      <c r="BR16" s="6">
        <f t="shared" si="392"/>
        <v>4</v>
      </c>
      <c r="BS16" s="6">
        <f t="shared" si="275"/>
        <v>0</v>
      </c>
      <c r="BT16" s="6">
        <f t="shared" si="393"/>
        <v>1</v>
      </c>
      <c r="BU16" s="6">
        <f t="shared" si="276"/>
        <v>0</v>
      </c>
      <c r="BV16" s="6">
        <f t="shared" si="394"/>
        <v>0</v>
      </c>
      <c r="BW16" s="6">
        <f t="shared" si="277"/>
        <v>1</v>
      </c>
      <c r="BX16" s="6">
        <f t="shared" si="395"/>
        <v>5</v>
      </c>
      <c r="BY16" s="6">
        <f t="shared" si="278"/>
        <v>0</v>
      </c>
      <c r="BZ16" s="6">
        <f t="shared" si="396"/>
        <v>4</v>
      </c>
      <c r="CA16" s="6">
        <f t="shared" si="279"/>
        <v>0</v>
      </c>
      <c r="CB16" s="6">
        <f t="shared" si="397"/>
        <v>4</v>
      </c>
      <c r="CC16" s="6">
        <f t="shared" si="280"/>
        <v>0</v>
      </c>
      <c r="CD16" s="6">
        <f t="shared" si="398"/>
        <v>0</v>
      </c>
      <c r="CE16" s="6">
        <f t="shared" si="281"/>
        <v>0</v>
      </c>
      <c r="CF16" s="6">
        <f t="shared" si="399"/>
        <v>2</v>
      </c>
      <c r="CG16" s="6">
        <f t="shared" si="282"/>
        <v>1</v>
      </c>
      <c r="CH16" s="6">
        <f t="shared" si="400"/>
        <v>9</v>
      </c>
      <c r="CI16" s="6">
        <f t="shared" si="283"/>
        <v>0</v>
      </c>
      <c r="CJ16" s="6">
        <f t="shared" si="401"/>
        <v>2</v>
      </c>
      <c r="CK16" s="6"/>
      <c r="CL16" s="6"/>
      <c r="CM16" s="6">
        <f>IF($E16=5,BM16-5,NA())</f>
        <v>0</v>
      </c>
      <c r="CN16" s="20">
        <f>BM16-'Zusammenfassung Tag1-4'!$D$2/18</f>
        <v>3.666666666666667</v>
      </c>
      <c r="CO16" s="21">
        <f t="shared" si="402"/>
        <v>51.666666666666657</v>
      </c>
      <c r="CP16" s="18">
        <v>7</v>
      </c>
      <c r="CQ16" s="6">
        <f t="shared" si="403"/>
        <v>69</v>
      </c>
      <c r="CR16" s="19">
        <v>2</v>
      </c>
      <c r="CS16" s="6">
        <f t="shared" si="404"/>
        <v>27</v>
      </c>
      <c r="CT16" s="6">
        <f t="shared" si="285"/>
        <v>0</v>
      </c>
      <c r="CU16" s="6">
        <f t="shared" si="405"/>
        <v>4</v>
      </c>
      <c r="CV16" s="6">
        <f t="shared" si="286"/>
        <v>0</v>
      </c>
      <c r="CW16" s="6">
        <f t="shared" si="406"/>
        <v>1</v>
      </c>
      <c r="CX16" s="6">
        <f t="shared" si="287"/>
        <v>0</v>
      </c>
      <c r="CY16" s="6">
        <f t="shared" si="407"/>
        <v>0</v>
      </c>
      <c r="CZ16" s="6">
        <f t="shared" si="288"/>
        <v>0</v>
      </c>
      <c r="DA16" s="6">
        <f t="shared" si="408"/>
        <v>3</v>
      </c>
      <c r="DB16" s="6">
        <f t="shared" si="289"/>
        <v>0</v>
      </c>
      <c r="DC16" s="6">
        <f t="shared" si="409"/>
        <v>5</v>
      </c>
      <c r="DD16" s="6">
        <f t="shared" si="290"/>
        <v>1</v>
      </c>
      <c r="DE16" s="6">
        <f t="shared" si="410"/>
        <v>5</v>
      </c>
      <c r="DF16" s="6">
        <f t="shared" si="291"/>
        <v>0</v>
      </c>
      <c r="DG16" s="6">
        <f t="shared" si="411"/>
        <v>0</v>
      </c>
      <c r="DH16" s="6">
        <f t="shared" si="292"/>
        <v>0</v>
      </c>
      <c r="DI16" s="6">
        <f t="shared" si="412"/>
        <v>2</v>
      </c>
      <c r="DJ16" s="6">
        <f t="shared" si="293"/>
        <v>1</v>
      </c>
      <c r="DK16" s="6">
        <f t="shared" si="413"/>
        <v>8</v>
      </c>
      <c r="DL16" s="6">
        <f t="shared" si="294"/>
        <v>0</v>
      </c>
      <c r="DM16" s="6">
        <f t="shared" si="414"/>
        <v>3</v>
      </c>
      <c r="DN16" s="6"/>
      <c r="DO16" s="6"/>
      <c r="DP16" s="6">
        <f>IF($E16=5,CP16-5,NA())</f>
        <v>2</v>
      </c>
      <c r="DQ16" s="20">
        <f>CP16-'Zusammenfassung Tag1-4'!$E$2/18</f>
        <v>5.7222222222222223</v>
      </c>
      <c r="DR16" s="22">
        <f t="shared" si="415"/>
        <v>52.388888888888886</v>
      </c>
      <c r="DS16" s="18">
        <v>10</v>
      </c>
      <c r="DT16" s="6">
        <f t="shared" si="416"/>
        <v>102</v>
      </c>
      <c r="DU16" s="19">
        <v>2</v>
      </c>
      <c r="DV16" s="6">
        <f t="shared" si="417"/>
        <v>31</v>
      </c>
      <c r="DW16" s="6">
        <f t="shared" si="296"/>
        <v>0</v>
      </c>
      <c r="DX16" s="6">
        <f t="shared" si="418"/>
        <v>1</v>
      </c>
      <c r="DY16" s="6">
        <f t="shared" si="297"/>
        <v>0</v>
      </c>
      <c r="DZ16" s="6">
        <f t="shared" si="419"/>
        <v>0</v>
      </c>
      <c r="EA16" s="6">
        <f t="shared" si="298"/>
        <v>0</v>
      </c>
      <c r="EB16" s="6">
        <f t="shared" si="420"/>
        <v>0</v>
      </c>
      <c r="EC16" s="6">
        <f t="shared" si="299"/>
        <v>0</v>
      </c>
      <c r="ED16" s="6">
        <f t="shared" si="421"/>
        <v>1</v>
      </c>
      <c r="EE16" s="6">
        <f t="shared" si="300"/>
        <v>0</v>
      </c>
      <c r="EF16" s="6">
        <f t="shared" si="422"/>
        <v>0</v>
      </c>
      <c r="EG16" s="6">
        <f t="shared" si="301"/>
        <v>1</v>
      </c>
      <c r="EH16" s="6">
        <f t="shared" si="423"/>
        <v>12</v>
      </c>
      <c r="EI16" s="6">
        <f t="shared" si="302"/>
        <v>0</v>
      </c>
      <c r="EJ16" s="6">
        <f t="shared" si="424"/>
        <v>0</v>
      </c>
      <c r="EK16" s="6">
        <f t="shared" si="303"/>
        <v>0</v>
      </c>
      <c r="EL16" s="6">
        <f t="shared" si="425"/>
        <v>0</v>
      </c>
      <c r="EM16" s="6">
        <f t="shared" si="304"/>
        <v>1</v>
      </c>
      <c r="EN16" s="6">
        <f t="shared" si="426"/>
        <v>9</v>
      </c>
      <c r="EO16" s="6">
        <f t="shared" si="305"/>
        <v>0</v>
      </c>
      <c r="EP16" s="6">
        <f t="shared" si="427"/>
        <v>4</v>
      </c>
      <c r="EQ16" s="6"/>
      <c r="ER16" s="6"/>
      <c r="ES16" s="6">
        <f>IF($E16=5,DS16-5,NA())</f>
        <v>5</v>
      </c>
      <c r="ET16" s="20">
        <f>DS16-'Zusammenfassung Tag1-4'!$F$2/18</f>
        <v>7</v>
      </c>
      <c r="EU16" s="22">
        <f t="shared" si="428"/>
        <v>63</v>
      </c>
      <c r="EV16" s="18">
        <v>7</v>
      </c>
      <c r="EW16" s="6">
        <f t="shared" si="429"/>
        <v>76</v>
      </c>
      <c r="EX16" s="19">
        <v>2</v>
      </c>
      <c r="EY16" s="6">
        <f t="shared" si="430"/>
        <v>30</v>
      </c>
      <c r="EZ16" s="6">
        <f t="shared" si="307"/>
        <v>0</v>
      </c>
      <c r="FA16" s="6">
        <f t="shared" si="431"/>
        <v>2</v>
      </c>
      <c r="FB16" s="6">
        <f t="shared" si="308"/>
        <v>0</v>
      </c>
      <c r="FC16" s="6">
        <f t="shared" si="432"/>
        <v>0</v>
      </c>
      <c r="FD16" s="6">
        <f t="shared" si="309"/>
        <v>0</v>
      </c>
      <c r="FE16" s="6">
        <f t="shared" si="433"/>
        <v>0</v>
      </c>
      <c r="FF16" s="6">
        <f t="shared" si="310"/>
        <v>0</v>
      </c>
      <c r="FG16" s="6">
        <f t="shared" si="434"/>
        <v>1</v>
      </c>
      <c r="FH16" s="6">
        <f t="shared" si="311"/>
        <v>0</v>
      </c>
      <c r="FI16" s="6">
        <f t="shared" si="435"/>
        <v>3</v>
      </c>
      <c r="FJ16" s="6">
        <f t="shared" si="312"/>
        <v>1</v>
      </c>
      <c r="FK16" s="6">
        <f t="shared" si="436"/>
        <v>9</v>
      </c>
      <c r="FL16" s="6">
        <f t="shared" si="313"/>
        <v>0</v>
      </c>
      <c r="FM16" s="6">
        <f t="shared" si="437"/>
        <v>0</v>
      </c>
      <c r="FN16" s="6">
        <f t="shared" si="314"/>
        <v>0</v>
      </c>
      <c r="FO16" s="6">
        <f t="shared" si="438"/>
        <v>1</v>
      </c>
      <c r="FP16" s="6">
        <f t="shared" si="315"/>
        <v>1</v>
      </c>
      <c r="FQ16" s="6">
        <f t="shared" si="439"/>
        <v>7</v>
      </c>
      <c r="FR16" s="6">
        <f t="shared" si="316"/>
        <v>0</v>
      </c>
      <c r="FS16" s="6">
        <f t="shared" si="440"/>
        <v>5</v>
      </c>
      <c r="FT16" s="6"/>
      <c r="FU16" s="6"/>
      <c r="FV16" s="6">
        <f>IF($E16=5,EV16-5,NA())</f>
        <v>2</v>
      </c>
      <c r="FW16" s="20">
        <f>EV16-'Zusammenfassung Tag1-4'!$G$2/18</f>
        <v>5.5</v>
      </c>
      <c r="FX16" s="22">
        <f t="shared" si="441"/>
        <v>56.5</v>
      </c>
      <c r="FY16" s="18">
        <v>7</v>
      </c>
      <c r="FZ16" s="6">
        <f t="shared" si="442"/>
        <v>98</v>
      </c>
      <c r="GA16" s="19">
        <v>1</v>
      </c>
      <c r="GB16" s="6">
        <f t="shared" si="443"/>
        <v>31</v>
      </c>
      <c r="GC16" s="6">
        <f t="shared" si="318"/>
        <v>0</v>
      </c>
      <c r="GD16" s="6">
        <f t="shared" si="444"/>
        <v>1</v>
      </c>
      <c r="GE16" s="6">
        <f t="shared" si="319"/>
        <v>0</v>
      </c>
      <c r="GF16" s="6">
        <f t="shared" si="445"/>
        <v>0</v>
      </c>
      <c r="GG16" s="6">
        <f t="shared" si="320"/>
        <v>0</v>
      </c>
      <c r="GH16" s="6">
        <f t="shared" si="446"/>
        <v>0</v>
      </c>
      <c r="GI16" s="6">
        <f t="shared" si="321"/>
        <v>0</v>
      </c>
      <c r="GJ16" s="6">
        <f t="shared" si="447"/>
        <v>0</v>
      </c>
      <c r="GK16" s="6">
        <f t="shared" si="322"/>
        <v>0</v>
      </c>
      <c r="GL16" s="6">
        <f t="shared" si="448"/>
        <v>1</v>
      </c>
      <c r="GM16" s="6">
        <f t="shared" si="323"/>
        <v>1</v>
      </c>
      <c r="GN16" s="6">
        <f t="shared" si="449"/>
        <v>12</v>
      </c>
      <c r="GO16" s="6">
        <f t="shared" si="324"/>
        <v>0</v>
      </c>
      <c r="GP16" s="6">
        <f t="shared" si="450"/>
        <v>0</v>
      </c>
      <c r="GQ16" s="6">
        <f t="shared" si="325"/>
        <v>1</v>
      </c>
      <c r="GR16" s="6">
        <f t="shared" si="451"/>
        <v>1</v>
      </c>
      <c r="GS16" s="6">
        <f t="shared" si="326"/>
        <v>0</v>
      </c>
      <c r="GT16" s="6">
        <f t="shared" si="452"/>
        <v>6</v>
      </c>
      <c r="GU16" s="6">
        <f t="shared" si="327"/>
        <v>0</v>
      </c>
      <c r="GV16" s="6">
        <f t="shared" si="453"/>
        <v>6</v>
      </c>
      <c r="GW16" s="6"/>
      <c r="GX16" s="6"/>
      <c r="GY16" s="6">
        <f>IF($E16=5,FY16-5,NA())</f>
        <v>2</v>
      </c>
      <c r="GZ16" s="20">
        <f>FY16-'Zusammenfassung Tag1-4'!$H$2/18</f>
        <v>4</v>
      </c>
      <c r="HA16" s="22">
        <f t="shared" si="454"/>
        <v>59</v>
      </c>
      <c r="HB16" s="18">
        <v>6</v>
      </c>
      <c r="HC16" s="6">
        <f t="shared" si="455"/>
        <v>68</v>
      </c>
      <c r="HD16" s="19">
        <v>3</v>
      </c>
      <c r="HE16" s="6">
        <f t="shared" si="456"/>
        <v>28</v>
      </c>
      <c r="HF16" s="6">
        <f t="shared" si="329"/>
        <v>1</v>
      </c>
      <c r="HG16" s="6">
        <f t="shared" si="457"/>
        <v>4</v>
      </c>
      <c r="HH16" s="6">
        <f t="shared" si="330"/>
        <v>0</v>
      </c>
      <c r="HI16" s="6">
        <f t="shared" si="458"/>
        <v>2</v>
      </c>
      <c r="HJ16" s="6">
        <f t="shared" si="331"/>
        <v>0</v>
      </c>
      <c r="HK16" s="6">
        <f t="shared" si="459"/>
        <v>0</v>
      </c>
      <c r="HL16" s="6">
        <f t="shared" si="332"/>
        <v>0</v>
      </c>
      <c r="HM16" s="6">
        <f t="shared" si="460"/>
        <v>3</v>
      </c>
      <c r="HN16" s="6">
        <f t="shared" si="333"/>
        <v>1</v>
      </c>
      <c r="HO16" s="6">
        <f t="shared" si="461"/>
        <v>7</v>
      </c>
      <c r="HP16" s="6">
        <f t="shared" si="334"/>
        <v>0</v>
      </c>
      <c r="HQ16" s="6">
        <f t="shared" si="462"/>
        <v>3</v>
      </c>
      <c r="HR16" s="6">
        <f t="shared" si="335"/>
        <v>0</v>
      </c>
      <c r="HS16" s="6">
        <f t="shared" si="463"/>
        <v>0</v>
      </c>
      <c r="HT16" s="6">
        <f t="shared" si="336"/>
        <v>0</v>
      </c>
      <c r="HU16" s="6">
        <f t="shared" si="464"/>
        <v>2</v>
      </c>
      <c r="HV16" s="6">
        <f t="shared" si="337"/>
        <v>0</v>
      </c>
      <c r="HW16" s="6">
        <f t="shared" si="465"/>
        <v>7</v>
      </c>
      <c r="HX16" s="6">
        <f t="shared" si="338"/>
        <v>1</v>
      </c>
      <c r="HY16" s="6">
        <f t="shared" si="466"/>
        <v>4</v>
      </c>
      <c r="HZ16" s="6"/>
      <c r="IA16" s="6"/>
      <c r="IB16" s="6">
        <f>IF($E16=5,HB16-5,NA())</f>
        <v>1</v>
      </c>
      <c r="IC16" s="20">
        <f>HB16-'Zusammenfassung Tag1-4'!$I$2/18</f>
        <v>5</v>
      </c>
      <c r="ID16" s="22">
        <f t="shared" si="467"/>
        <v>55</v>
      </c>
      <c r="IE16" s="18"/>
      <c r="IF16" s="6">
        <f t="shared" si="468"/>
        <v>0</v>
      </c>
      <c r="IG16" s="19"/>
      <c r="IH16" s="6">
        <f t="shared" si="469"/>
        <v>0</v>
      </c>
      <c r="II16" s="6">
        <f t="shared" si="340"/>
        <v>1</v>
      </c>
      <c r="IJ16" s="6">
        <f t="shared" si="470"/>
        <v>13</v>
      </c>
      <c r="IK16" s="6">
        <f t="shared" si="341"/>
        <v>0</v>
      </c>
      <c r="IL16" s="6">
        <f t="shared" si="471"/>
        <v>0</v>
      </c>
      <c r="IM16" s="6">
        <f t="shared" si="342"/>
        <v>0</v>
      </c>
      <c r="IN16" s="6">
        <f t="shared" si="472"/>
        <v>0</v>
      </c>
      <c r="IO16" s="6">
        <f t="shared" si="343"/>
        <v>0</v>
      </c>
      <c r="IP16" s="6">
        <f t="shared" si="473"/>
        <v>0</v>
      </c>
      <c r="IQ16" s="6">
        <f t="shared" si="344"/>
        <v>0</v>
      </c>
      <c r="IR16" s="6">
        <f t="shared" si="474"/>
        <v>0</v>
      </c>
      <c r="IS16" s="6">
        <f t="shared" si="345"/>
        <v>0</v>
      </c>
      <c r="IT16" s="6">
        <f t="shared" si="475"/>
        <v>0</v>
      </c>
      <c r="IU16" s="6">
        <f t="shared" si="346"/>
        <v>1</v>
      </c>
      <c r="IV16" s="6">
        <f t="shared" si="476"/>
        <v>13</v>
      </c>
      <c r="IW16" s="6">
        <f t="shared" si="347"/>
        <v>0</v>
      </c>
      <c r="IX16" s="6">
        <f t="shared" si="477"/>
        <v>0</v>
      </c>
      <c r="IY16" s="6">
        <f t="shared" si="348"/>
        <v>0</v>
      </c>
      <c r="IZ16" s="6">
        <f t="shared" si="478"/>
        <v>0</v>
      </c>
      <c r="JA16" s="6">
        <f t="shared" si="349"/>
        <v>0</v>
      </c>
      <c r="JB16" s="6">
        <f t="shared" si="479"/>
        <v>0</v>
      </c>
      <c r="JC16" s="6"/>
      <c r="JD16" s="6"/>
      <c r="JE16" s="6">
        <f>IF($E16=5,IE16-5,NA())</f>
        <v>-5</v>
      </c>
      <c r="JF16" s="20">
        <f>IE16-'Zusammenfassung Tag1-4'!$J$2/18</f>
        <v>-3</v>
      </c>
      <c r="JG16" s="22">
        <f t="shared" si="480"/>
        <v>-39</v>
      </c>
      <c r="JH16" s="18"/>
      <c r="JI16" s="6">
        <f t="shared" si="481"/>
        <v>0</v>
      </c>
      <c r="JJ16" s="19"/>
      <c r="JK16" s="6">
        <f t="shared" si="482"/>
        <v>0</v>
      </c>
      <c r="JL16" s="6">
        <f t="shared" si="351"/>
        <v>1</v>
      </c>
      <c r="JM16" s="6">
        <f t="shared" si="483"/>
        <v>13</v>
      </c>
      <c r="JN16" s="6">
        <f t="shared" si="352"/>
        <v>0</v>
      </c>
      <c r="JO16" s="6">
        <f t="shared" si="484"/>
        <v>0</v>
      </c>
      <c r="JP16" s="6">
        <f t="shared" si="353"/>
        <v>0</v>
      </c>
      <c r="JQ16" s="6">
        <f t="shared" si="485"/>
        <v>0</v>
      </c>
      <c r="JR16" s="6">
        <f t="shared" si="354"/>
        <v>0</v>
      </c>
      <c r="JS16" s="6">
        <f t="shared" si="486"/>
        <v>0</v>
      </c>
      <c r="JT16" s="6">
        <f t="shared" si="355"/>
        <v>0</v>
      </c>
      <c r="JU16" s="6">
        <f t="shared" si="487"/>
        <v>0</v>
      </c>
      <c r="JV16" s="6">
        <f t="shared" si="356"/>
        <v>0</v>
      </c>
      <c r="JW16" s="6">
        <f t="shared" si="488"/>
        <v>0</v>
      </c>
      <c r="JX16" s="6">
        <f t="shared" si="357"/>
        <v>1</v>
      </c>
      <c r="JY16" s="6">
        <f t="shared" si="489"/>
        <v>13</v>
      </c>
      <c r="JZ16" s="6">
        <f t="shared" si="358"/>
        <v>0</v>
      </c>
      <c r="KA16" s="6">
        <f t="shared" si="490"/>
        <v>0</v>
      </c>
      <c r="KB16" s="6">
        <f t="shared" si="359"/>
        <v>0</v>
      </c>
      <c r="KC16" s="6">
        <f t="shared" si="491"/>
        <v>0</v>
      </c>
      <c r="KD16" s="6">
        <f t="shared" si="360"/>
        <v>0</v>
      </c>
      <c r="KE16" s="6">
        <f t="shared" si="492"/>
        <v>0</v>
      </c>
      <c r="KF16" s="6"/>
      <c r="KG16" s="6"/>
      <c r="KH16" s="6">
        <f>IF($E16=5,JH16-5,NA())</f>
        <v>-5</v>
      </c>
      <c r="KI16" s="20">
        <f>JH16-'Zusammenfassung Tag1-4'!$K$2/18</f>
        <v>-0.77777777777777779</v>
      </c>
      <c r="KJ16" s="22">
        <f t="shared" si="493"/>
        <v>-10.111111111111112</v>
      </c>
      <c r="KK16" s="10"/>
      <c r="KL16" s="10"/>
      <c r="KM16" s="10"/>
      <c r="KN16" s="10"/>
      <c r="KO16" s="10"/>
      <c r="KP16" s="10"/>
      <c r="KQ16" s="10"/>
      <c r="KR16" s="10"/>
      <c r="KS16" s="10"/>
      <c r="KT16" s="10"/>
      <c r="KU16" s="10"/>
      <c r="KV16" s="10"/>
      <c r="KW16" s="10"/>
      <c r="KX16" s="10"/>
      <c r="KY16" s="10"/>
      <c r="KZ16" s="10"/>
      <c r="LA16" s="10"/>
      <c r="LB16" s="10"/>
      <c r="LC16" s="10"/>
      <c r="LD16" s="10"/>
    </row>
    <row r="17" spans="1:316" ht="15.75" customHeight="1" x14ac:dyDescent="0.25">
      <c r="A17" s="106"/>
      <c r="B17" s="103"/>
      <c r="C17" s="6">
        <v>14</v>
      </c>
      <c r="D17" s="6">
        <f t="shared" si="362"/>
        <v>14</v>
      </c>
      <c r="E17" s="6">
        <v>3</v>
      </c>
      <c r="F17" s="7">
        <f t="shared" si="363"/>
        <v>56</v>
      </c>
      <c r="G17" s="18">
        <v>4</v>
      </c>
      <c r="H17" s="6">
        <f t="shared" si="364"/>
        <v>66</v>
      </c>
      <c r="I17" s="19">
        <v>3</v>
      </c>
      <c r="J17" s="6">
        <f t="shared" si="365"/>
        <v>28</v>
      </c>
      <c r="K17" s="6">
        <f t="shared" si="252"/>
        <v>1</v>
      </c>
      <c r="L17" s="6">
        <f t="shared" si="366"/>
        <v>7</v>
      </c>
      <c r="M17" s="6">
        <f t="shared" si="253"/>
        <v>0</v>
      </c>
      <c r="N17" s="6">
        <f t="shared" si="367"/>
        <v>1</v>
      </c>
      <c r="O17" s="6">
        <f t="shared" si="254"/>
        <v>0</v>
      </c>
      <c r="P17" s="6">
        <f t="shared" si="368"/>
        <v>1</v>
      </c>
      <c r="Q17" s="6">
        <f t="shared" si="255"/>
        <v>0</v>
      </c>
      <c r="R17" s="6">
        <f t="shared" si="369"/>
        <v>5</v>
      </c>
      <c r="S17" s="6">
        <f t="shared" si="256"/>
        <v>1</v>
      </c>
      <c r="T17" s="6">
        <f t="shared" si="370"/>
        <v>5</v>
      </c>
      <c r="U17" s="6">
        <f t="shared" si="257"/>
        <v>0</v>
      </c>
      <c r="V17" s="6">
        <f t="shared" si="371"/>
        <v>3</v>
      </c>
      <c r="W17" s="6">
        <f t="shared" si="258"/>
        <v>0</v>
      </c>
      <c r="X17" s="6">
        <f t="shared" si="372"/>
        <v>0</v>
      </c>
      <c r="Y17" s="6">
        <f t="shared" si="259"/>
        <v>0</v>
      </c>
      <c r="Z17" s="6">
        <f t="shared" si="373"/>
        <v>4</v>
      </c>
      <c r="AA17" s="6">
        <f t="shared" si="260"/>
        <v>0</v>
      </c>
      <c r="AB17" s="6">
        <f t="shared" si="374"/>
        <v>7</v>
      </c>
      <c r="AC17" s="6">
        <f t="shared" si="261"/>
        <v>1</v>
      </c>
      <c r="AD17" s="6">
        <f t="shared" si="375"/>
        <v>3</v>
      </c>
      <c r="AE17" s="6">
        <f>IF($E17=3,G17-3,NA())</f>
        <v>1</v>
      </c>
      <c r="AF17" s="6"/>
      <c r="AG17" s="6"/>
      <c r="AH17" s="20">
        <f>G17-'Zusammenfassung Tag1-4'!$B$2/18</f>
        <v>2.8888888888888888</v>
      </c>
      <c r="AI17" s="21">
        <f t="shared" si="376"/>
        <v>50.444444444444429</v>
      </c>
      <c r="AJ17" s="18">
        <v>4</v>
      </c>
      <c r="AK17" s="6">
        <f t="shared" si="377"/>
        <v>62</v>
      </c>
      <c r="AL17" s="19">
        <v>2</v>
      </c>
      <c r="AM17" s="6">
        <f t="shared" si="378"/>
        <v>29</v>
      </c>
      <c r="AN17" s="6">
        <f t="shared" si="263"/>
        <v>0</v>
      </c>
      <c r="AO17" s="6">
        <f t="shared" si="379"/>
        <v>10</v>
      </c>
      <c r="AP17" s="6">
        <f t="shared" si="264"/>
        <v>0</v>
      </c>
      <c r="AQ17" s="6">
        <f t="shared" si="380"/>
        <v>2</v>
      </c>
      <c r="AR17" s="6">
        <f t="shared" si="265"/>
        <v>0</v>
      </c>
      <c r="AS17" s="6">
        <f t="shared" si="381"/>
        <v>0</v>
      </c>
      <c r="AT17" s="6">
        <f t="shared" si="266"/>
        <v>0</v>
      </c>
      <c r="AU17" s="6">
        <f t="shared" si="382"/>
        <v>9</v>
      </c>
      <c r="AV17" s="6">
        <f t="shared" si="267"/>
        <v>1</v>
      </c>
      <c r="AW17" s="6">
        <f t="shared" si="383"/>
        <v>4</v>
      </c>
      <c r="AX17" s="6">
        <f t="shared" si="268"/>
        <v>0</v>
      </c>
      <c r="AY17" s="6">
        <f t="shared" si="384"/>
        <v>1</v>
      </c>
      <c r="AZ17" s="6">
        <f t="shared" si="269"/>
        <v>0</v>
      </c>
      <c r="BA17" s="6">
        <f t="shared" si="385"/>
        <v>0</v>
      </c>
      <c r="BB17" s="6">
        <f t="shared" si="270"/>
        <v>0</v>
      </c>
      <c r="BC17" s="6">
        <f t="shared" si="386"/>
        <v>2</v>
      </c>
      <c r="BD17" s="6">
        <f t="shared" si="271"/>
        <v>1</v>
      </c>
      <c r="BE17" s="6">
        <f t="shared" si="387"/>
        <v>9</v>
      </c>
      <c r="BF17" s="6">
        <f t="shared" si="272"/>
        <v>0</v>
      </c>
      <c r="BG17" s="6">
        <f t="shared" si="388"/>
        <v>3</v>
      </c>
      <c r="BH17" s="6">
        <f>IF($E17=3,AJ17-3,NA())</f>
        <v>1</v>
      </c>
      <c r="BI17" s="6"/>
      <c r="BJ17" s="6"/>
      <c r="BK17" s="20">
        <f>AJ17-'Zusammenfassung Tag1-4'!$C$2/18</f>
        <v>3.3333333333333335</v>
      </c>
      <c r="BL17" s="21">
        <f t="shared" si="389"/>
        <v>52.666666666666679</v>
      </c>
      <c r="BM17" s="18">
        <v>5</v>
      </c>
      <c r="BN17" s="6">
        <f t="shared" si="390"/>
        <v>74</v>
      </c>
      <c r="BO17" s="19">
        <v>2</v>
      </c>
      <c r="BP17" s="6">
        <f t="shared" si="391"/>
        <v>28</v>
      </c>
      <c r="BQ17" s="6">
        <f t="shared" si="274"/>
        <v>0</v>
      </c>
      <c r="BR17" s="6">
        <f t="shared" si="392"/>
        <v>4</v>
      </c>
      <c r="BS17" s="6">
        <f t="shared" si="275"/>
        <v>0</v>
      </c>
      <c r="BT17" s="6">
        <f t="shared" si="393"/>
        <v>1</v>
      </c>
      <c r="BU17" s="6">
        <f t="shared" si="276"/>
        <v>0</v>
      </c>
      <c r="BV17" s="6">
        <f t="shared" si="394"/>
        <v>0</v>
      </c>
      <c r="BW17" s="6">
        <f t="shared" si="277"/>
        <v>0</v>
      </c>
      <c r="BX17" s="6">
        <f t="shared" si="395"/>
        <v>5</v>
      </c>
      <c r="BY17" s="6">
        <f t="shared" si="278"/>
        <v>0</v>
      </c>
      <c r="BZ17" s="6">
        <f t="shared" si="396"/>
        <v>4</v>
      </c>
      <c r="CA17" s="6">
        <f t="shared" si="279"/>
        <v>1</v>
      </c>
      <c r="CB17" s="6">
        <f t="shared" si="397"/>
        <v>5</v>
      </c>
      <c r="CC17" s="6">
        <f t="shared" si="280"/>
        <v>0</v>
      </c>
      <c r="CD17" s="6">
        <f t="shared" si="398"/>
        <v>0</v>
      </c>
      <c r="CE17" s="6">
        <f t="shared" si="281"/>
        <v>0</v>
      </c>
      <c r="CF17" s="6">
        <f t="shared" si="399"/>
        <v>2</v>
      </c>
      <c r="CG17" s="6">
        <f t="shared" si="282"/>
        <v>1</v>
      </c>
      <c r="CH17" s="6">
        <f t="shared" si="400"/>
        <v>10</v>
      </c>
      <c r="CI17" s="6">
        <f t="shared" si="283"/>
        <v>0</v>
      </c>
      <c r="CJ17" s="6">
        <f t="shared" si="401"/>
        <v>2</v>
      </c>
      <c r="CK17" s="6">
        <f>IF($E17=3,BM17-3,NA())</f>
        <v>2</v>
      </c>
      <c r="CL17" s="6"/>
      <c r="CM17" s="6"/>
      <c r="CN17" s="20">
        <f>BM17-'Zusammenfassung Tag1-4'!$D$2/18</f>
        <v>3.666666666666667</v>
      </c>
      <c r="CO17" s="21">
        <f t="shared" si="402"/>
        <v>55.333333333333321</v>
      </c>
      <c r="CP17" s="18">
        <v>5</v>
      </c>
      <c r="CQ17" s="6">
        <f t="shared" si="403"/>
        <v>74</v>
      </c>
      <c r="CR17" s="19">
        <v>3</v>
      </c>
      <c r="CS17" s="6">
        <f t="shared" si="404"/>
        <v>30</v>
      </c>
      <c r="CT17" s="6">
        <f t="shared" si="285"/>
        <v>0</v>
      </c>
      <c r="CU17" s="6">
        <f t="shared" si="405"/>
        <v>4</v>
      </c>
      <c r="CV17" s="6">
        <f t="shared" si="286"/>
        <v>0</v>
      </c>
      <c r="CW17" s="6">
        <f t="shared" si="406"/>
        <v>1</v>
      </c>
      <c r="CX17" s="6">
        <f t="shared" si="287"/>
        <v>0</v>
      </c>
      <c r="CY17" s="6">
        <f t="shared" si="407"/>
        <v>0</v>
      </c>
      <c r="CZ17" s="6">
        <f t="shared" si="288"/>
        <v>0</v>
      </c>
      <c r="DA17" s="6">
        <f t="shared" si="408"/>
        <v>3</v>
      </c>
      <c r="DB17" s="6">
        <f t="shared" si="289"/>
        <v>0</v>
      </c>
      <c r="DC17" s="6">
        <f t="shared" si="409"/>
        <v>5</v>
      </c>
      <c r="DD17" s="6">
        <f t="shared" si="290"/>
        <v>1</v>
      </c>
      <c r="DE17" s="6">
        <f t="shared" si="410"/>
        <v>6</v>
      </c>
      <c r="DF17" s="6">
        <f t="shared" si="291"/>
        <v>0</v>
      </c>
      <c r="DG17" s="6">
        <f t="shared" si="411"/>
        <v>0</v>
      </c>
      <c r="DH17" s="6">
        <f t="shared" si="292"/>
        <v>0</v>
      </c>
      <c r="DI17" s="6">
        <f t="shared" si="412"/>
        <v>2</v>
      </c>
      <c r="DJ17" s="6">
        <f t="shared" si="293"/>
        <v>0</v>
      </c>
      <c r="DK17" s="6">
        <f t="shared" si="413"/>
        <v>8</v>
      </c>
      <c r="DL17" s="6">
        <f t="shared" si="294"/>
        <v>1</v>
      </c>
      <c r="DM17" s="6">
        <f t="shared" si="414"/>
        <v>4</v>
      </c>
      <c r="DN17" s="6">
        <f>IF($E17=3,CP17-3,NA())</f>
        <v>2</v>
      </c>
      <c r="DO17" s="6"/>
      <c r="DP17" s="6"/>
      <c r="DQ17" s="20">
        <f>CP17-'Zusammenfassung Tag1-4'!$E$2/18</f>
        <v>3.7222222222222223</v>
      </c>
      <c r="DR17" s="22">
        <f t="shared" si="415"/>
        <v>56.111111111111107</v>
      </c>
      <c r="DS17" s="18">
        <v>4</v>
      </c>
      <c r="DT17" s="6">
        <f t="shared" si="416"/>
        <v>106</v>
      </c>
      <c r="DU17" s="19">
        <v>2</v>
      </c>
      <c r="DV17" s="6">
        <f t="shared" si="417"/>
        <v>33</v>
      </c>
      <c r="DW17" s="6">
        <f t="shared" si="296"/>
        <v>0</v>
      </c>
      <c r="DX17" s="6">
        <f t="shared" si="418"/>
        <v>1</v>
      </c>
      <c r="DY17" s="6">
        <f t="shared" si="297"/>
        <v>0</v>
      </c>
      <c r="DZ17" s="6">
        <f t="shared" si="419"/>
        <v>0</v>
      </c>
      <c r="EA17" s="6">
        <f t="shared" si="298"/>
        <v>0</v>
      </c>
      <c r="EB17" s="6">
        <f t="shared" si="420"/>
        <v>0</v>
      </c>
      <c r="EC17" s="6">
        <f t="shared" si="299"/>
        <v>0</v>
      </c>
      <c r="ED17" s="6">
        <f t="shared" si="421"/>
        <v>1</v>
      </c>
      <c r="EE17" s="6">
        <f t="shared" si="300"/>
        <v>1</v>
      </c>
      <c r="EF17" s="6">
        <f t="shared" si="422"/>
        <v>1</v>
      </c>
      <c r="EG17" s="6">
        <f t="shared" si="301"/>
        <v>0</v>
      </c>
      <c r="EH17" s="6">
        <f t="shared" si="423"/>
        <v>12</v>
      </c>
      <c r="EI17" s="6">
        <f t="shared" si="302"/>
        <v>0</v>
      </c>
      <c r="EJ17" s="6">
        <f t="shared" si="424"/>
        <v>0</v>
      </c>
      <c r="EK17" s="6">
        <f t="shared" si="303"/>
        <v>0</v>
      </c>
      <c r="EL17" s="6">
        <f t="shared" si="425"/>
        <v>0</v>
      </c>
      <c r="EM17" s="6">
        <f t="shared" si="304"/>
        <v>1</v>
      </c>
      <c r="EN17" s="6">
        <f t="shared" si="426"/>
        <v>10</v>
      </c>
      <c r="EO17" s="6">
        <f t="shared" si="305"/>
        <v>0</v>
      </c>
      <c r="EP17" s="6">
        <f t="shared" si="427"/>
        <v>4</v>
      </c>
      <c r="EQ17" s="6">
        <f>IF($E17=3,DS17-3,NA())</f>
        <v>1</v>
      </c>
      <c r="ER17" s="6"/>
      <c r="ES17" s="6"/>
      <c r="ET17" s="20">
        <f>DS17-'Zusammenfassung Tag1-4'!$F$2/18</f>
        <v>1</v>
      </c>
      <c r="EU17" s="22">
        <f t="shared" si="428"/>
        <v>64</v>
      </c>
      <c r="EV17" s="18">
        <v>4</v>
      </c>
      <c r="EW17" s="6">
        <f t="shared" si="429"/>
        <v>80</v>
      </c>
      <c r="EX17" s="19">
        <v>2</v>
      </c>
      <c r="EY17" s="6">
        <f t="shared" si="430"/>
        <v>32</v>
      </c>
      <c r="EZ17" s="6">
        <f t="shared" si="307"/>
        <v>0</v>
      </c>
      <c r="FA17" s="6">
        <f t="shared" si="431"/>
        <v>2</v>
      </c>
      <c r="FB17" s="6">
        <f t="shared" si="308"/>
        <v>0</v>
      </c>
      <c r="FC17" s="6">
        <f t="shared" si="432"/>
        <v>0</v>
      </c>
      <c r="FD17" s="6">
        <f t="shared" si="309"/>
        <v>0</v>
      </c>
      <c r="FE17" s="6">
        <f t="shared" si="433"/>
        <v>0</v>
      </c>
      <c r="FF17" s="6">
        <f t="shared" si="310"/>
        <v>0</v>
      </c>
      <c r="FG17" s="6">
        <f t="shared" si="434"/>
        <v>1</v>
      </c>
      <c r="FH17" s="6">
        <f t="shared" si="311"/>
        <v>1</v>
      </c>
      <c r="FI17" s="6">
        <f t="shared" si="435"/>
        <v>4</v>
      </c>
      <c r="FJ17" s="6">
        <f t="shared" si="312"/>
        <v>0</v>
      </c>
      <c r="FK17" s="6">
        <f t="shared" si="436"/>
        <v>9</v>
      </c>
      <c r="FL17" s="6">
        <f t="shared" si="313"/>
        <v>0</v>
      </c>
      <c r="FM17" s="6">
        <f t="shared" si="437"/>
        <v>0</v>
      </c>
      <c r="FN17" s="6">
        <f t="shared" si="314"/>
        <v>0</v>
      </c>
      <c r="FO17" s="6">
        <f t="shared" si="438"/>
        <v>1</v>
      </c>
      <c r="FP17" s="6">
        <f t="shared" si="315"/>
        <v>1</v>
      </c>
      <c r="FQ17" s="6">
        <f t="shared" si="439"/>
        <v>8</v>
      </c>
      <c r="FR17" s="6">
        <f t="shared" si="316"/>
        <v>0</v>
      </c>
      <c r="FS17" s="6">
        <f t="shared" si="440"/>
        <v>5</v>
      </c>
      <c r="FT17" s="6">
        <f>IF($E17=3,EV17-3,NA())</f>
        <v>1</v>
      </c>
      <c r="FU17" s="6"/>
      <c r="FV17" s="6"/>
      <c r="FW17" s="20">
        <f>EV17-'Zusammenfassung Tag1-4'!$G$2/18</f>
        <v>2.5</v>
      </c>
      <c r="FX17" s="22">
        <f t="shared" si="441"/>
        <v>59</v>
      </c>
      <c r="FY17" s="18">
        <v>4</v>
      </c>
      <c r="FZ17" s="6">
        <f t="shared" si="442"/>
        <v>102</v>
      </c>
      <c r="GA17" s="19">
        <v>1</v>
      </c>
      <c r="GB17" s="6">
        <f t="shared" si="443"/>
        <v>32</v>
      </c>
      <c r="GC17" s="6">
        <f t="shared" si="318"/>
        <v>0</v>
      </c>
      <c r="GD17" s="6">
        <f t="shared" si="444"/>
        <v>1</v>
      </c>
      <c r="GE17" s="6">
        <f t="shared" si="319"/>
        <v>0</v>
      </c>
      <c r="GF17" s="6">
        <f t="shared" si="445"/>
        <v>0</v>
      </c>
      <c r="GG17" s="6">
        <f t="shared" si="320"/>
        <v>0</v>
      </c>
      <c r="GH17" s="6">
        <f t="shared" si="446"/>
        <v>0</v>
      </c>
      <c r="GI17" s="6">
        <f t="shared" si="321"/>
        <v>0</v>
      </c>
      <c r="GJ17" s="6">
        <f t="shared" si="447"/>
        <v>0</v>
      </c>
      <c r="GK17" s="6">
        <f t="shared" si="322"/>
        <v>1</v>
      </c>
      <c r="GL17" s="6">
        <f t="shared" si="448"/>
        <v>2</v>
      </c>
      <c r="GM17" s="6">
        <f t="shared" si="323"/>
        <v>0</v>
      </c>
      <c r="GN17" s="6">
        <f t="shared" si="449"/>
        <v>12</v>
      </c>
      <c r="GO17" s="6">
        <f t="shared" si="324"/>
        <v>0</v>
      </c>
      <c r="GP17" s="6">
        <f t="shared" si="450"/>
        <v>0</v>
      </c>
      <c r="GQ17" s="6">
        <f t="shared" si="325"/>
        <v>1</v>
      </c>
      <c r="GR17" s="6">
        <f t="shared" si="451"/>
        <v>2</v>
      </c>
      <c r="GS17" s="6">
        <f t="shared" si="326"/>
        <v>0</v>
      </c>
      <c r="GT17" s="6">
        <f t="shared" si="452"/>
        <v>6</v>
      </c>
      <c r="GU17" s="6">
        <f t="shared" si="327"/>
        <v>0</v>
      </c>
      <c r="GV17" s="6">
        <f t="shared" si="453"/>
        <v>6</v>
      </c>
      <c r="GW17" s="6">
        <f>IF($E17=3,FY17-3,NA())</f>
        <v>1</v>
      </c>
      <c r="GX17" s="6"/>
      <c r="GY17" s="6"/>
      <c r="GZ17" s="20">
        <f>FY17-'Zusammenfassung Tag1-4'!$H$2/18</f>
        <v>1</v>
      </c>
      <c r="HA17" s="22">
        <f t="shared" si="454"/>
        <v>60</v>
      </c>
      <c r="HB17" s="18">
        <v>4</v>
      </c>
      <c r="HC17" s="6">
        <f t="shared" si="455"/>
        <v>72</v>
      </c>
      <c r="HD17" s="19">
        <v>3</v>
      </c>
      <c r="HE17" s="6">
        <f t="shared" si="456"/>
        <v>31</v>
      </c>
      <c r="HF17" s="6">
        <f t="shared" si="329"/>
        <v>1</v>
      </c>
      <c r="HG17" s="6">
        <f t="shared" si="457"/>
        <v>5</v>
      </c>
      <c r="HH17" s="6">
        <f t="shared" si="330"/>
        <v>0</v>
      </c>
      <c r="HI17" s="6">
        <f t="shared" si="458"/>
        <v>2</v>
      </c>
      <c r="HJ17" s="6">
        <f t="shared" si="331"/>
        <v>0</v>
      </c>
      <c r="HK17" s="6">
        <f t="shared" si="459"/>
        <v>0</v>
      </c>
      <c r="HL17" s="6">
        <f t="shared" si="332"/>
        <v>0</v>
      </c>
      <c r="HM17" s="6">
        <f t="shared" si="460"/>
        <v>3</v>
      </c>
      <c r="HN17" s="6">
        <f t="shared" si="333"/>
        <v>1</v>
      </c>
      <c r="HO17" s="6">
        <f t="shared" si="461"/>
        <v>8</v>
      </c>
      <c r="HP17" s="6">
        <f t="shared" si="334"/>
        <v>0</v>
      </c>
      <c r="HQ17" s="6">
        <f t="shared" si="462"/>
        <v>3</v>
      </c>
      <c r="HR17" s="6">
        <f t="shared" si="335"/>
        <v>0</v>
      </c>
      <c r="HS17" s="6">
        <f t="shared" si="463"/>
        <v>0</v>
      </c>
      <c r="HT17" s="6">
        <f t="shared" si="336"/>
        <v>0</v>
      </c>
      <c r="HU17" s="6">
        <f t="shared" si="464"/>
        <v>2</v>
      </c>
      <c r="HV17" s="6">
        <f t="shared" si="337"/>
        <v>0</v>
      </c>
      <c r="HW17" s="6">
        <f t="shared" si="465"/>
        <v>7</v>
      </c>
      <c r="HX17" s="6">
        <f t="shared" si="338"/>
        <v>1</v>
      </c>
      <c r="HY17" s="6">
        <f t="shared" si="466"/>
        <v>5</v>
      </c>
      <c r="HZ17" s="6">
        <f>IF($E17=3,HB17-3,NA())</f>
        <v>1</v>
      </c>
      <c r="IA17" s="6"/>
      <c r="IB17" s="6"/>
      <c r="IC17" s="20">
        <f>HB17-'Zusammenfassung Tag1-4'!$I$2/18</f>
        <v>3</v>
      </c>
      <c r="ID17" s="22">
        <f t="shared" si="467"/>
        <v>58</v>
      </c>
      <c r="IE17" s="18"/>
      <c r="IF17" s="6">
        <f t="shared" si="468"/>
        <v>0</v>
      </c>
      <c r="IG17" s="19"/>
      <c r="IH17" s="6">
        <f t="shared" si="469"/>
        <v>0</v>
      </c>
      <c r="II17" s="6">
        <f t="shared" si="340"/>
        <v>1</v>
      </c>
      <c r="IJ17" s="6">
        <f t="shared" si="470"/>
        <v>14</v>
      </c>
      <c r="IK17" s="6">
        <f t="shared" si="341"/>
        <v>0</v>
      </c>
      <c r="IL17" s="6">
        <f t="shared" si="471"/>
        <v>0</v>
      </c>
      <c r="IM17" s="6">
        <f t="shared" si="342"/>
        <v>0</v>
      </c>
      <c r="IN17" s="6">
        <f t="shared" si="472"/>
        <v>0</v>
      </c>
      <c r="IO17" s="6">
        <f t="shared" si="343"/>
        <v>0</v>
      </c>
      <c r="IP17" s="6">
        <f t="shared" si="473"/>
        <v>0</v>
      </c>
      <c r="IQ17" s="6">
        <f t="shared" si="344"/>
        <v>0</v>
      </c>
      <c r="IR17" s="6">
        <f t="shared" si="474"/>
        <v>0</v>
      </c>
      <c r="IS17" s="6">
        <f t="shared" si="345"/>
        <v>0</v>
      </c>
      <c r="IT17" s="6">
        <f t="shared" si="475"/>
        <v>0</v>
      </c>
      <c r="IU17" s="6">
        <f t="shared" si="346"/>
        <v>1</v>
      </c>
      <c r="IV17" s="6">
        <f t="shared" si="476"/>
        <v>14</v>
      </c>
      <c r="IW17" s="6">
        <f t="shared" si="347"/>
        <v>0</v>
      </c>
      <c r="IX17" s="6">
        <f t="shared" si="477"/>
        <v>0</v>
      </c>
      <c r="IY17" s="6">
        <f t="shared" si="348"/>
        <v>0</v>
      </c>
      <c r="IZ17" s="6">
        <f t="shared" si="478"/>
        <v>0</v>
      </c>
      <c r="JA17" s="6">
        <f t="shared" si="349"/>
        <v>0</v>
      </c>
      <c r="JB17" s="6">
        <f t="shared" si="479"/>
        <v>0</v>
      </c>
      <c r="JC17" s="6">
        <f>IF($E17=3,IE17-3,NA())</f>
        <v>-3</v>
      </c>
      <c r="JD17" s="6"/>
      <c r="JE17" s="6"/>
      <c r="JF17" s="20">
        <f>IE17-'Zusammenfassung Tag1-4'!$J$2/18</f>
        <v>-3</v>
      </c>
      <c r="JG17" s="22">
        <f t="shared" si="480"/>
        <v>-42</v>
      </c>
      <c r="JH17" s="18"/>
      <c r="JI17" s="6">
        <f t="shared" si="481"/>
        <v>0</v>
      </c>
      <c r="JJ17" s="19"/>
      <c r="JK17" s="6">
        <f t="shared" si="482"/>
        <v>0</v>
      </c>
      <c r="JL17" s="6">
        <f t="shared" si="351"/>
        <v>1</v>
      </c>
      <c r="JM17" s="6">
        <f t="shared" si="483"/>
        <v>14</v>
      </c>
      <c r="JN17" s="6">
        <f t="shared" si="352"/>
        <v>0</v>
      </c>
      <c r="JO17" s="6">
        <f t="shared" si="484"/>
        <v>0</v>
      </c>
      <c r="JP17" s="6">
        <f t="shared" si="353"/>
        <v>0</v>
      </c>
      <c r="JQ17" s="6">
        <f t="shared" si="485"/>
        <v>0</v>
      </c>
      <c r="JR17" s="6">
        <f t="shared" si="354"/>
        <v>0</v>
      </c>
      <c r="JS17" s="6">
        <f t="shared" si="486"/>
        <v>0</v>
      </c>
      <c r="JT17" s="6">
        <f t="shared" si="355"/>
        <v>0</v>
      </c>
      <c r="JU17" s="6">
        <f t="shared" si="487"/>
        <v>0</v>
      </c>
      <c r="JV17" s="6">
        <f t="shared" si="356"/>
        <v>0</v>
      </c>
      <c r="JW17" s="6">
        <f t="shared" si="488"/>
        <v>0</v>
      </c>
      <c r="JX17" s="6">
        <f t="shared" si="357"/>
        <v>1</v>
      </c>
      <c r="JY17" s="6">
        <f t="shared" si="489"/>
        <v>14</v>
      </c>
      <c r="JZ17" s="6">
        <f t="shared" si="358"/>
        <v>0</v>
      </c>
      <c r="KA17" s="6">
        <f t="shared" si="490"/>
        <v>0</v>
      </c>
      <c r="KB17" s="6">
        <f t="shared" si="359"/>
        <v>0</v>
      </c>
      <c r="KC17" s="6">
        <f t="shared" si="491"/>
        <v>0</v>
      </c>
      <c r="KD17" s="6">
        <f t="shared" si="360"/>
        <v>0</v>
      </c>
      <c r="KE17" s="6">
        <f t="shared" si="492"/>
        <v>0</v>
      </c>
      <c r="KF17" s="6">
        <f>IF($E17=3,JH17-3,NA())</f>
        <v>-3</v>
      </c>
      <c r="KG17" s="6"/>
      <c r="KH17" s="6"/>
      <c r="KI17" s="20">
        <f>JH17-'Zusammenfassung Tag1-4'!$K$2/18</f>
        <v>-0.77777777777777779</v>
      </c>
      <c r="KJ17" s="22">
        <f t="shared" si="493"/>
        <v>-10.888888888888891</v>
      </c>
      <c r="KK17" s="10"/>
      <c r="KL17" s="10"/>
      <c r="KM17" s="10"/>
      <c r="KN17" s="10"/>
      <c r="KO17" s="10"/>
      <c r="KP17" s="10"/>
      <c r="KQ17" s="10"/>
      <c r="KR17" s="10"/>
      <c r="KS17" s="10"/>
      <c r="KT17" s="10"/>
      <c r="KU17" s="10"/>
      <c r="KV17" s="10"/>
      <c r="KW17" s="10"/>
      <c r="KX17" s="10"/>
      <c r="KY17" s="10"/>
      <c r="KZ17" s="10"/>
      <c r="LA17" s="10"/>
      <c r="LB17" s="10"/>
      <c r="LC17" s="10"/>
      <c r="LD17" s="10"/>
    </row>
    <row r="18" spans="1:316" ht="15.75" customHeight="1" x14ac:dyDescent="0.25">
      <c r="A18" s="106"/>
      <c r="B18" s="103"/>
      <c r="C18" s="6">
        <v>15</v>
      </c>
      <c r="D18" s="6">
        <f t="shared" si="362"/>
        <v>15</v>
      </c>
      <c r="E18" s="6">
        <v>4</v>
      </c>
      <c r="F18" s="7">
        <f t="shared" si="363"/>
        <v>60</v>
      </c>
      <c r="G18" s="18">
        <v>5</v>
      </c>
      <c r="H18" s="6">
        <f t="shared" si="364"/>
        <v>71</v>
      </c>
      <c r="I18" s="19">
        <v>2</v>
      </c>
      <c r="J18" s="6">
        <f t="shared" si="365"/>
        <v>30</v>
      </c>
      <c r="K18" s="6">
        <f t="shared" si="252"/>
        <v>0</v>
      </c>
      <c r="L18" s="6">
        <f t="shared" si="366"/>
        <v>7</v>
      </c>
      <c r="M18" s="6">
        <f t="shared" si="253"/>
        <v>0</v>
      </c>
      <c r="N18" s="6">
        <f t="shared" si="367"/>
        <v>1</v>
      </c>
      <c r="O18" s="6">
        <f t="shared" si="254"/>
        <v>0</v>
      </c>
      <c r="P18" s="6">
        <f t="shared" si="368"/>
        <v>1</v>
      </c>
      <c r="Q18" s="6">
        <f t="shared" si="255"/>
        <v>0</v>
      </c>
      <c r="R18" s="6">
        <f t="shared" si="369"/>
        <v>5</v>
      </c>
      <c r="S18" s="6">
        <f t="shared" si="256"/>
        <v>1</v>
      </c>
      <c r="T18" s="6">
        <f t="shared" si="370"/>
        <v>6</v>
      </c>
      <c r="U18" s="6">
        <f t="shared" si="257"/>
        <v>0</v>
      </c>
      <c r="V18" s="6">
        <f t="shared" si="371"/>
        <v>3</v>
      </c>
      <c r="W18" s="6">
        <f t="shared" si="258"/>
        <v>0</v>
      </c>
      <c r="X18" s="6">
        <f t="shared" si="372"/>
        <v>0</v>
      </c>
      <c r="Y18" s="6">
        <f t="shared" si="259"/>
        <v>0</v>
      </c>
      <c r="Z18" s="6">
        <f t="shared" si="373"/>
        <v>4</v>
      </c>
      <c r="AA18" s="6">
        <f t="shared" si="260"/>
        <v>1</v>
      </c>
      <c r="AB18" s="6">
        <f t="shared" si="374"/>
        <v>8</v>
      </c>
      <c r="AC18" s="6">
        <f t="shared" si="261"/>
        <v>0</v>
      </c>
      <c r="AD18" s="6">
        <f t="shared" si="375"/>
        <v>3</v>
      </c>
      <c r="AE18" s="6"/>
      <c r="AF18" s="6">
        <f>IF($E18=4,G18-4,NA())</f>
        <v>1</v>
      </c>
      <c r="AG18" s="6"/>
      <c r="AH18" s="20">
        <f>G18-'Zusammenfassung Tag1-4'!$B$2/18</f>
        <v>3.8888888888888888</v>
      </c>
      <c r="AI18" s="21">
        <f t="shared" si="376"/>
        <v>54.333333333333314</v>
      </c>
      <c r="AJ18" s="18">
        <v>6</v>
      </c>
      <c r="AK18" s="6">
        <f t="shared" si="377"/>
        <v>68</v>
      </c>
      <c r="AL18" s="19">
        <v>1</v>
      </c>
      <c r="AM18" s="6">
        <f t="shared" si="378"/>
        <v>30</v>
      </c>
      <c r="AN18" s="6">
        <f t="shared" si="263"/>
        <v>0</v>
      </c>
      <c r="AO18" s="6">
        <f t="shared" si="379"/>
        <v>10</v>
      </c>
      <c r="AP18" s="6">
        <f t="shared" si="264"/>
        <v>0</v>
      </c>
      <c r="AQ18" s="6">
        <f t="shared" si="380"/>
        <v>2</v>
      </c>
      <c r="AR18" s="6">
        <f t="shared" si="265"/>
        <v>0</v>
      </c>
      <c r="AS18" s="6">
        <f t="shared" si="381"/>
        <v>0</v>
      </c>
      <c r="AT18" s="6">
        <f t="shared" si="266"/>
        <v>0</v>
      </c>
      <c r="AU18" s="6">
        <f t="shared" si="382"/>
        <v>9</v>
      </c>
      <c r="AV18" s="6">
        <f t="shared" si="267"/>
        <v>0</v>
      </c>
      <c r="AW18" s="6">
        <f t="shared" si="383"/>
        <v>4</v>
      </c>
      <c r="AX18" s="6">
        <f t="shared" si="268"/>
        <v>1</v>
      </c>
      <c r="AY18" s="6">
        <f t="shared" si="384"/>
        <v>2</v>
      </c>
      <c r="AZ18" s="6">
        <f t="shared" si="269"/>
        <v>0</v>
      </c>
      <c r="BA18" s="6">
        <f t="shared" si="385"/>
        <v>0</v>
      </c>
      <c r="BB18" s="6">
        <f t="shared" si="270"/>
        <v>1</v>
      </c>
      <c r="BC18" s="6">
        <f t="shared" si="386"/>
        <v>3</v>
      </c>
      <c r="BD18" s="6">
        <f t="shared" si="271"/>
        <v>0</v>
      </c>
      <c r="BE18" s="6">
        <f t="shared" si="387"/>
        <v>9</v>
      </c>
      <c r="BF18" s="6">
        <f t="shared" si="272"/>
        <v>0</v>
      </c>
      <c r="BG18" s="6">
        <f t="shared" si="388"/>
        <v>3</v>
      </c>
      <c r="BH18" s="6"/>
      <c r="BI18" s="6">
        <f>IF($E18=4,AJ18-4,NA())</f>
        <v>2</v>
      </c>
      <c r="BJ18" s="6"/>
      <c r="BK18" s="20">
        <f>AJ18-'Zusammenfassung Tag1-4'!$C$2/18</f>
        <v>5.333333333333333</v>
      </c>
      <c r="BL18" s="21">
        <f t="shared" si="389"/>
        <v>58.000000000000014</v>
      </c>
      <c r="BM18" s="18">
        <v>5</v>
      </c>
      <c r="BN18" s="6">
        <f t="shared" si="390"/>
        <v>79</v>
      </c>
      <c r="BO18" s="19">
        <v>2</v>
      </c>
      <c r="BP18" s="6">
        <f t="shared" si="391"/>
        <v>30</v>
      </c>
      <c r="BQ18" s="6">
        <f t="shared" si="274"/>
        <v>0</v>
      </c>
      <c r="BR18" s="6">
        <f t="shared" si="392"/>
        <v>4</v>
      </c>
      <c r="BS18" s="6">
        <f t="shared" si="275"/>
        <v>0</v>
      </c>
      <c r="BT18" s="6">
        <f t="shared" si="393"/>
        <v>1</v>
      </c>
      <c r="BU18" s="6">
        <f t="shared" si="276"/>
        <v>0</v>
      </c>
      <c r="BV18" s="6">
        <f t="shared" si="394"/>
        <v>0</v>
      </c>
      <c r="BW18" s="6">
        <f t="shared" si="277"/>
        <v>0</v>
      </c>
      <c r="BX18" s="6">
        <f t="shared" si="395"/>
        <v>5</v>
      </c>
      <c r="BY18" s="6">
        <f t="shared" si="278"/>
        <v>1</v>
      </c>
      <c r="BZ18" s="6">
        <f t="shared" si="396"/>
        <v>5</v>
      </c>
      <c r="CA18" s="6">
        <f t="shared" si="279"/>
        <v>0</v>
      </c>
      <c r="CB18" s="6">
        <f t="shared" si="397"/>
        <v>5</v>
      </c>
      <c r="CC18" s="6">
        <f t="shared" si="280"/>
        <v>0</v>
      </c>
      <c r="CD18" s="6">
        <f t="shared" si="398"/>
        <v>0</v>
      </c>
      <c r="CE18" s="6">
        <f t="shared" si="281"/>
        <v>0</v>
      </c>
      <c r="CF18" s="6">
        <f t="shared" si="399"/>
        <v>2</v>
      </c>
      <c r="CG18" s="6">
        <f t="shared" si="282"/>
        <v>1</v>
      </c>
      <c r="CH18" s="6">
        <f t="shared" si="400"/>
        <v>11</v>
      </c>
      <c r="CI18" s="6">
        <f t="shared" si="283"/>
        <v>0</v>
      </c>
      <c r="CJ18" s="6">
        <f t="shared" si="401"/>
        <v>2</v>
      </c>
      <c r="CK18" s="6"/>
      <c r="CL18" s="6">
        <f>IF($E18=4,BM18-4,NA())</f>
        <v>1</v>
      </c>
      <c r="CM18" s="6"/>
      <c r="CN18" s="20">
        <f>BM18-'Zusammenfassung Tag1-4'!$D$2/18</f>
        <v>3.666666666666667</v>
      </c>
      <c r="CO18" s="21">
        <f t="shared" si="402"/>
        <v>58.999999999999986</v>
      </c>
      <c r="CP18" s="18">
        <v>4</v>
      </c>
      <c r="CQ18" s="6">
        <f t="shared" si="403"/>
        <v>78</v>
      </c>
      <c r="CR18" s="19">
        <v>1</v>
      </c>
      <c r="CS18" s="6">
        <f t="shared" si="404"/>
        <v>31</v>
      </c>
      <c r="CT18" s="6">
        <f t="shared" si="285"/>
        <v>0</v>
      </c>
      <c r="CU18" s="6">
        <f t="shared" si="405"/>
        <v>4</v>
      </c>
      <c r="CV18" s="6">
        <f t="shared" si="286"/>
        <v>1</v>
      </c>
      <c r="CW18" s="6">
        <f t="shared" si="406"/>
        <v>2</v>
      </c>
      <c r="CX18" s="6">
        <f t="shared" si="287"/>
        <v>0</v>
      </c>
      <c r="CY18" s="6">
        <f t="shared" si="407"/>
        <v>0</v>
      </c>
      <c r="CZ18" s="6">
        <f t="shared" si="288"/>
        <v>1</v>
      </c>
      <c r="DA18" s="6">
        <f t="shared" si="408"/>
        <v>4</v>
      </c>
      <c r="DB18" s="6">
        <f t="shared" si="289"/>
        <v>0</v>
      </c>
      <c r="DC18" s="6">
        <f t="shared" si="409"/>
        <v>5</v>
      </c>
      <c r="DD18" s="6">
        <f t="shared" si="290"/>
        <v>0</v>
      </c>
      <c r="DE18" s="6">
        <f t="shared" si="410"/>
        <v>6</v>
      </c>
      <c r="DF18" s="6">
        <f t="shared" si="291"/>
        <v>0</v>
      </c>
      <c r="DG18" s="6">
        <f t="shared" si="411"/>
        <v>0</v>
      </c>
      <c r="DH18" s="6">
        <f t="shared" si="292"/>
        <v>1</v>
      </c>
      <c r="DI18" s="6">
        <f t="shared" si="412"/>
        <v>3</v>
      </c>
      <c r="DJ18" s="6">
        <f t="shared" si="293"/>
        <v>0</v>
      </c>
      <c r="DK18" s="6">
        <f t="shared" si="413"/>
        <v>8</v>
      </c>
      <c r="DL18" s="6">
        <f t="shared" si="294"/>
        <v>0</v>
      </c>
      <c r="DM18" s="6">
        <f t="shared" si="414"/>
        <v>4</v>
      </c>
      <c r="DN18" s="6"/>
      <c r="DO18" s="6">
        <f>IF($E18=4,CP18-4,NA())</f>
        <v>0</v>
      </c>
      <c r="DP18" s="6"/>
      <c r="DQ18" s="20">
        <f>CP18-'Zusammenfassung Tag1-4'!$E$2/18</f>
        <v>2.7222222222222223</v>
      </c>
      <c r="DR18" s="22">
        <f t="shared" si="415"/>
        <v>58.833333333333329</v>
      </c>
      <c r="DS18" s="18">
        <v>7</v>
      </c>
      <c r="DT18" s="6">
        <f t="shared" si="416"/>
        <v>113</v>
      </c>
      <c r="DU18" s="19">
        <v>2</v>
      </c>
      <c r="DV18" s="6">
        <f t="shared" si="417"/>
        <v>35</v>
      </c>
      <c r="DW18" s="6">
        <f t="shared" si="296"/>
        <v>0</v>
      </c>
      <c r="DX18" s="6">
        <f t="shared" si="418"/>
        <v>1</v>
      </c>
      <c r="DY18" s="6">
        <f t="shared" si="297"/>
        <v>0</v>
      </c>
      <c r="DZ18" s="6">
        <f t="shared" si="419"/>
        <v>0</v>
      </c>
      <c r="EA18" s="6">
        <f t="shared" si="298"/>
        <v>0</v>
      </c>
      <c r="EB18" s="6">
        <f t="shared" si="420"/>
        <v>0</v>
      </c>
      <c r="EC18" s="6">
        <f t="shared" si="299"/>
        <v>0</v>
      </c>
      <c r="ED18" s="6">
        <f t="shared" si="421"/>
        <v>1</v>
      </c>
      <c r="EE18" s="6">
        <f t="shared" si="300"/>
        <v>0</v>
      </c>
      <c r="EF18" s="6">
        <f t="shared" si="422"/>
        <v>1</v>
      </c>
      <c r="EG18" s="6">
        <f t="shared" si="301"/>
        <v>1</v>
      </c>
      <c r="EH18" s="6">
        <f t="shared" si="423"/>
        <v>13</v>
      </c>
      <c r="EI18" s="6">
        <f t="shared" si="302"/>
        <v>0</v>
      </c>
      <c r="EJ18" s="6">
        <f t="shared" si="424"/>
        <v>0</v>
      </c>
      <c r="EK18" s="6">
        <f t="shared" si="303"/>
        <v>0</v>
      </c>
      <c r="EL18" s="6">
        <f t="shared" si="425"/>
        <v>0</v>
      </c>
      <c r="EM18" s="6">
        <f t="shared" si="304"/>
        <v>1</v>
      </c>
      <c r="EN18" s="6">
        <f t="shared" si="426"/>
        <v>11</v>
      </c>
      <c r="EO18" s="6">
        <f t="shared" si="305"/>
        <v>0</v>
      </c>
      <c r="EP18" s="6">
        <f t="shared" si="427"/>
        <v>4</v>
      </c>
      <c r="EQ18" s="6"/>
      <c r="ER18" s="6">
        <f>IF($E18=4,DS18-4,NA())</f>
        <v>3</v>
      </c>
      <c r="ES18" s="6"/>
      <c r="ET18" s="20">
        <f>DS18-'Zusammenfassung Tag1-4'!$F$2/18</f>
        <v>4</v>
      </c>
      <c r="EU18" s="22">
        <f t="shared" si="428"/>
        <v>68</v>
      </c>
      <c r="EV18" s="18">
        <v>5</v>
      </c>
      <c r="EW18" s="6">
        <f t="shared" si="429"/>
        <v>85</v>
      </c>
      <c r="EX18" s="19">
        <v>3</v>
      </c>
      <c r="EY18" s="6">
        <f t="shared" si="430"/>
        <v>35</v>
      </c>
      <c r="EZ18" s="6">
        <f t="shared" si="307"/>
        <v>1</v>
      </c>
      <c r="FA18" s="6">
        <f t="shared" si="431"/>
        <v>3</v>
      </c>
      <c r="FB18" s="6">
        <f t="shared" si="308"/>
        <v>0</v>
      </c>
      <c r="FC18" s="6">
        <f t="shared" si="432"/>
        <v>0</v>
      </c>
      <c r="FD18" s="6">
        <f t="shared" si="309"/>
        <v>0</v>
      </c>
      <c r="FE18" s="6">
        <f t="shared" si="433"/>
        <v>0</v>
      </c>
      <c r="FF18" s="6">
        <f t="shared" si="310"/>
        <v>0</v>
      </c>
      <c r="FG18" s="6">
        <f t="shared" si="434"/>
        <v>1</v>
      </c>
      <c r="FH18" s="6">
        <f t="shared" si="311"/>
        <v>1</v>
      </c>
      <c r="FI18" s="6">
        <f t="shared" si="435"/>
        <v>5</v>
      </c>
      <c r="FJ18" s="6">
        <f t="shared" si="312"/>
        <v>0</v>
      </c>
      <c r="FK18" s="6">
        <f t="shared" si="436"/>
        <v>9</v>
      </c>
      <c r="FL18" s="6">
        <f t="shared" si="313"/>
        <v>0</v>
      </c>
      <c r="FM18" s="6">
        <f t="shared" si="437"/>
        <v>0</v>
      </c>
      <c r="FN18" s="6">
        <f t="shared" si="314"/>
        <v>0</v>
      </c>
      <c r="FO18" s="6">
        <f t="shared" si="438"/>
        <v>1</v>
      </c>
      <c r="FP18" s="6">
        <f t="shared" si="315"/>
        <v>0</v>
      </c>
      <c r="FQ18" s="6">
        <f t="shared" si="439"/>
        <v>8</v>
      </c>
      <c r="FR18" s="6">
        <f t="shared" si="316"/>
        <v>1</v>
      </c>
      <c r="FS18" s="6">
        <f t="shared" si="440"/>
        <v>6</v>
      </c>
      <c r="FT18" s="6"/>
      <c r="FU18" s="6">
        <f>IF($E18=4,EV18-4,NA())</f>
        <v>1</v>
      </c>
      <c r="FV18" s="6"/>
      <c r="FW18" s="20">
        <f>EV18-'Zusammenfassung Tag1-4'!$G$2/18</f>
        <v>3.5</v>
      </c>
      <c r="FX18" s="22">
        <f t="shared" si="441"/>
        <v>62.5</v>
      </c>
      <c r="FY18" s="18">
        <v>6</v>
      </c>
      <c r="FZ18" s="6">
        <f t="shared" si="442"/>
        <v>108</v>
      </c>
      <c r="GA18" s="19">
        <v>2</v>
      </c>
      <c r="GB18" s="6">
        <f t="shared" si="443"/>
        <v>34</v>
      </c>
      <c r="GC18" s="6">
        <f t="shared" si="318"/>
        <v>0</v>
      </c>
      <c r="GD18" s="6">
        <f t="shared" si="444"/>
        <v>1</v>
      </c>
      <c r="GE18" s="6">
        <f t="shared" si="319"/>
        <v>0</v>
      </c>
      <c r="GF18" s="6">
        <f t="shared" si="445"/>
        <v>0</v>
      </c>
      <c r="GG18" s="6">
        <f t="shared" si="320"/>
        <v>0</v>
      </c>
      <c r="GH18" s="6">
        <f t="shared" si="446"/>
        <v>0</v>
      </c>
      <c r="GI18" s="6">
        <f t="shared" si="321"/>
        <v>0</v>
      </c>
      <c r="GJ18" s="6">
        <f t="shared" si="447"/>
        <v>0</v>
      </c>
      <c r="GK18" s="6">
        <f t="shared" si="322"/>
        <v>0</v>
      </c>
      <c r="GL18" s="6">
        <f t="shared" si="448"/>
        <v>2</v>
      </c>
      <c r="GM18" s="6">
        <f t="shared" si="323"/>
        <v>1</v>
      </c>
      <c r="GN18" s="6">
        <f t="shared" si="449"/>
        <v>13</v>
      </c>
      <c r="GO18" s="6">
        <f t="shared" si="324"/>
        <v>0</v>
      </c>
      <c r="GP18" s="6">
        <f t="shared" si="450"/>
        <v>0</v>
      </c>
      <c r="GQ18" s="6">
        <f t="shared" si="325"/>
        <v>0</v>
      </c>
      <c r="GR18" s="6">
        <f t="shared" si="451"/>
        <v>2</v>
      </c>
      <c r="GS18" s="6">
        <f t="shared" si="326"/>
        <v>1</v>
      </c>
      <c r="GT18" s="6">
        <f t="shared" si="452"/>
        <v>7</v>
      </c>
      <c r="GU18" s="6">
        <f t="shared" si="327"/>
        <v>0</v>
      </c>
      <c r="GV18" s="6">
        <f t="shared" si="453"/>
        <v>6</v>
      </c>
      <c r="GW18" s="6"/>
      <c r="GX18" s="6">
        <f>IF($E18=4,FY18-4,NA())</f>
        <v>2</v>
      </c>
      <c r="GY18" s="6"/>
      <c r="GZ18" s="20">
        <f>FY18-'Zusammenfassung Tag1-4'!$H$2/18</f>
        <v>3</v>
      </c>
      <c r="HA18" s="22">
        <f t="shared" si="454"/>
        <v>63</v>
      </c>
      <c r="HB18" s="18">
        <v>6</v>
      </c>
      <c r="HC18" s="6">
        <f t="shared" si="455"/>
        <v>78</v>
      </c>
      <c r="HD18" s="19">
        <v>2</v>
      </c>
      <c r="HE18" s="6">
        <f t="shared" si="456"/>
        <v>33</v>
      </c>
      <c r="HF18" s="6">
        <f t="shared" si="329"/>
        <v>0</v>
      </c>
      <c r="HG18" s="6">
        <f t="shared" si="457"/>
        <v>5</v>
      </c>
      <c r="HH18" s="6">
        <f t="shared" si="330"/>
        <v>0</v>
      </c>
      <c r="HI18" s="6">
        <f t="shared" si="458"/>
        <v>2</v>
      </c>
      <c r="HJ18" s="6">
        <f t="shared" si="331"/>
        <v>0</v>
      </c>
      <c r="HK18" s="6">
        <f t="shared" si="459"/>
        <v>0</v>
      </c>
      <c r="HL18" s="6">
        <f t="shared" si="332"/>
        <v>0</v>
      </c>
      <c r="HM18" s="6">
        <f t="shared" si="460"/>
        <v>3</v>
      </c>
      <c r="HN18" s="6">
        <f t="shared" si="333"/>
        <v>0</v>
      </c>
      <c r="HO18" s="6">
        <f t="shared" si="461"/>
        <v>8</v>
      </c>
      <c r="HP18" s="6">
        <f t="shared" si="334"/>
        <v>1</v>
      </c>
      <c r="HQ18" s="6">
        <f t="shared" si="462"/>
        <v>4</v>
      </c>
      <c r="HR18" s="6">
        <f t="shared" si="335"/>
        <v>0</v>
      </c>
      <c r="HS18" s="6">
        <f t="shared" si="463"/>
        <v>0</v>
      </c>
      <c r="HT18" s="6">
        <f t="shared" si="336"/>
        <v>0</v>
      </c>
      <c r="HU18" s="6">
        <f t="shared" si="464"/>
        <v>2</v>
      </c>
      <c r="HV18" s="6">
        <f t="shared" si="337"/>
        <v>1</v>
      </c>
      <c r="HW18" s="6">
        <f t="shared" si="465"/>
        <v>8</v>
      </c>
      <c r="HX18" s="6">
        <f t="shared" si="338"/>
        <v>0</v>
      </c>
      <c r="HY18" s="6">
        <f t="shared" si="466"/>
        <v>5</v>
      </c>
      <c r="HZ18" s="6"/>
      <c r="IA18" s="6">
        <f>IF($E18=4,HB18-4,NA())</f>
        <v>2</v>
      </c>
      <c r="IB18" s="6"/>
      <c r="IC18" s="20">
        <f>HB18-'Zusammenfassung Tag1-4'!$I$2/18</f>
        <v>5</v>
      </c>
      <c r="ID18" s="22">
        <f t="shared" si="467"/>
        <v>63</v>
      </c>
      <c r="IE18" s="18"/>
      <c r="IF18" s="6">
        <f t="shared" si="468"/>
        <v>0</v>
      </c>
      <c r="IG18" s="19"/>
      <c r="IH18" s="6">
        <f t="shared" si="469"/>
        <v>0</v>
      </c>
      <c r="II18" s="6">
        <f t="shared" si="340"/>
        <v>1</v>
      </c>
      <c r="IJ18" s="6">
        <f t="shared" si="470"/>
        <v>15</v>
      </c>
      <c r="IK18" s="6">
        <f t="shared" si="341"/>
        <v>0</v>
      </c>
      <c r="IL18" s="6">
        <f t="shared" si="471"/>
        <v>0</v>
      </c>
      <c r="IM18" s="6">
        <f t="shared" si="342"/>
        <v>0</v>
      </c>
      <c r="IN18" s="6">
        <f t="shared" si="472"/>
        <v>0</v>
      </c>
      <c r="IO18" s="6">
        <f t="shared" si="343"/>
        <v>0</v>
      </c>
      <c r="IP18" s="6">
        <f t="shared" si="473"/>
        <v>0</v>
      </c>
      <c r="IQ18" s="6">
        <f t="shared" si="344"/>
        <v>0</v>
      </c>
      <c r="IR18" s="6">
        <f t="shared" si="474"/>
        <v>0</v>
      </c>
      <c r="IS18" s="6">
        <f t="shared" si="345"/>
        <v>0</v>
      </c>
      <c r="IT18" s="6">
        <f t="shared" si="475"/>
        <v>0</v>
      </c>
      <c r="IU18" s="6">
        <f t="shared" si="346"/>
        <v>1</v>
      </c>
      <c r="IV18" s="6">
        <f t="shared" si="476"/>
        <v>15</v>
      </c>
      <c r="IW18" s="6">
        <f t="shared" si="347"/>
        <v>0</v>
      </c>
      <c r="IX18" s="6">
        <f t="shared" si="477"/>
        <v>0</v>
      </c>
      <c r="IY18" s="6">
        <f t="shared" si="348"/>
        <v>0</v>
      </c>
      <c r="IZ18" s="6">
        <f t="shared" si="478"/>
        <v>0</v>
      </c>
      <c r="JA18" s="6">
        <f t="shared" si="349"/>
        <v>0</v>
      </c>
      <c r="JB18" s="6">
        <f t="shared" si="479"/>
        <v>0</v>
      </c>
      <c r="JC18" s="6"/>
      <c r="JD18" s="6">
        <f>IF($E18=4,IE18-4,NA())</f>
        <v>-4</v>
      </c>
      <c r="JE18" s="6"/>
      <c r="JF18" s="20">
        <f>IE18-'Zusammenfassung Tag1-4'!$J$2/18</f>
        <v>-3</v>
      </c>
      <c r="JG18" s="22">
        <f t="shared" si="480"/>
        <v>-45</v>
      </c>
      <c r="JH18" s="18"/>
      <c r="JI18" s="6">
        <f t="shared" si="481"/>
        <v>0</v>
      </c>
      <c r="JJ18" s="19"/>
      <c r="JK18" s="6">
        <f t="shared" si="482"/>
        <v>0</v>
      </c>
      <c r="JL18" s="6">
        <f t="shared" si="351"/>
        <v>1</v>
      </c>
      <c r="JM18" s="6">
        <f t="shared" si="483"/>
        <v>15</v>
      </c>
      <c r="JN18" s="6">
        <f t="shared" si="352"/>
        <v>0</v>
      </c>
      <c r="JO18" s="6">
        <f t="shared" si="484"/>
        <v>0</v>
      </c>
      <c r="JP18" s="6">
        <f t="shared" si="353"/>
        <v>0</v>
      </c>
      <c r="JQ18" s="6">
        <f t="shared" si="485"/>
        <v>0</v>
      </c>
      <c r="JR18" s="6">
        <f t="shared" si="354"/>
        <v>0</v>
      </c>
      <c r="JS18" s="6">
        <f t="shared" si="486"/>
        <v>0</v>
      </c>
      <c r="JT18" s="6">
        <f t="shared" si="355"/>
        <v>0</v>
      </c>
      <c r="JU18" s="6">
        <f t="shared" si="487"/>
        <v>0</v>
      </c>
      <c r="JV18" s="6">
        <f t="shared" si="356"/>
        <v>0</v>
      </c>
      <c r="JW18" s="6">
        <f t="shared" si="488"/>
        <v>0</v>
      </c>
      <c r="JX18" s="6">
        <f t="shared" si="357"/>
        <v>1</v>
      </c>
      <c r="JY18" s="6">
        <f t="shared" si="489"/>
        <v>15</v>
      </c>
      <c r="JZ18" s="6">
        <f t="shared" si="358"/>
        <v>0</v>
      </c>
      <c r="KA18" s="6">
        <f t="shared" si="490"/>
        <v>0</v>
      </c>
      <c r="KB18" s="6">
        <f t="shared" si="359"/>
        <v>0</v>
      </c>
      <c r="KC18" s="6">
        <f t="shared" si="491"/>
        <v>0</v>
      </c>
      <c r="KD18" s="6">
        <f t="shared" si="360"/>
        <v>0</v>
      </c>
      <c r="KE18" s="6">
        <f t="shared" si="492"/>
        <v>0</v>
      </c>
      <c r="KF18" s="6"/>
      <c r="KG18" s="6">
        <f>IF($E18=4,JH18-4,NA())</f>
        <v>-4</v>
      </c>
      <c r="KH18" s="6"/>
      <c r="KI18" s="20">
        <f>JH18-'Zusammenfassung Tag1-4'!$K$2/18</f>
        <v>-0.77777777777777779</v>
      </c>
      <c r="KJ18" s="22">
        <f t="shared" si="493"/>
        <v>-11.66666666666667</v>
      </c>
      <c r="KK18" s="10"/>
      <c r="KL18" s="10"/>
      <c r="KM18" s="10"/>
      <c r="KN18" s="10"/>
      <c r="KO18" s="10"/>
      <c r="KP18" s="10"/>
      <c r="KQ18" s="10"/>
      <c r="KR18" s="10"/>
      <c r="KS18" s="10"/>
      <c r="KT18" s="10"/>
      <c r="KU18" s="10"/>
      <c r="KV18" s="10"/>
      <c r="KW18" s="10"/>
      <c r="KX18" s="10"/>
      <c r="KY18" s="10"/>
      <c r="KZ18" s="10"/>
      <c r="LA18" s="10"/>
      <c r="LB18" s="10"/>
      <c r="LC18" s="10"/>
      <c r="LD18" s="10"/>
    </row>
    <row r="19" spans="1:316" ht="15.75" customHeight="1" x14ac:dyDescent="0.25">
      <c r="A19" s="106"/>
      <c r="B19" s="103"/>
      <c r="C19" s="6">
        <v>16</v>
      </c>
      <c r="D19" s="6">
        <f t="shared" si="362"/>
        <v>16</v>
      </c>
      <c r="E19" s="6">
        <v>3</v>
      </c>
      <c r="F19" s="7">
        <f t="shared" si="363"/>
        <v>63</v>
      </c>
      <c r="G19" s="18">
        <v>3</v>
      </c>
      <c r="H19" s="6">
        <f t="shared" si="364"/>
        <v>74</v>
      </c>
      <c r="I19" s="19">
        <v>2</v>
      </c>
      <c r="J19" s="6">
        <f t="shared" si="365"/>
        <v>32</v>
      </c>
      <c r="K19" s="6">
        <f t="shared" si="252"/>
        <v>1</v>
      </c>
      <c r="L19" s="6">
        <f t="shared" si="366"/>
        <v>8</v>
      </c>
      <c r="M19" s="6">
        <f t="shared" si="253"/>
        <v>0</v>
      </c>
      <c r="N19" s="6">
        <f t="shared" si="367"/>
        <v>1</v>
      </c>
      <c r="O19" s="6">
        <f t="shared" si="254"/>
        <v>0</v>
      </c>
      <c r="P19" s="6">
        <f t="shared" si="368"/>
        <v>1</v>
      </c>
      <c r="Q19" s="6">
        <f t="shared" si="255"/>
        <v>1</v>
      </c>
      <c r="R19" s="6">
        <f t="shared" si="369"/>
        <v>6</v>
      </c>
      <c r="S19" s="6">
        <f t="shared" si="256"/>
        <v>0</v>
      </c>
      <c r="T19" s="6">
        <f t="shared" si="370"/>
        <v>6</v>
      </c>
      <c r="U19" s="6">
        <f t="shared" si="257"/>
        <v>0</v>
      </c>
      <c r="V19" s="6">
        <f t="shared" si="371"/>
        <v>3</v>
      </c>
      <c r="W19" s="6">
        <f t="shared" si="258"/>
        <v>0</v>
      </c>
      <c r="X19" s="6">
        <f t="shared" si="372"/>
        <v>0</v>
      </c>
      <c r="Y19" s="6">
        <f t="shared" si="259"/>
        <v>0</v>
      </c>
      <c r="Z19" s="6">
        <f t="shared" si="373"/>
        <v>4</v>
      </c>
      <c r="AA19" s="6">
        <f t="shared" si="260"/>
        <v>1</v>
      </c>
      <c r="AB19" s="6">
        <f t="shared" si="374"/>
        <v>9</v>
      </c>
      <c r="AC19" s="6">
        <f t="shared" si="261"/>
        <v>0</v>
      </c>
      <c r="AD19" s="6">
        <f t="shared" si="375"/>
        <v>3</v>
      </c>
      <c r="AE19" s="6">
        <f>IF($E19=3,G19-3,NA())</f>
        <v>0</v>
      </c>
      <c r="AF19" s="6"/>
      <c r="AG19" s="6"/>
      <c r="AH19" s="20">
        <f>G19-'Zusammenfassung Tag1-4'!$B$2/18</f>
        <v>1.8888888888888888</v>
      </c>
      <c r="AI19" s="21">
        <f t="shared" si="376"/>
        <v>56.2222222222222</v>
      </c>
      <c r="AJ19" s="18">
        <v>4</v>
      </c>
      <c r="AK19" s="6">
        <f t="shared" si="377"/>
        <v>72</v>
      </c>
      <c r="AL19" s="19">
        <v>2</v>
      </c>
      <c r="AM19" s="6">
        <f t="shared" si="378"/>
        <v>32</v>
      </c>
      <c r="AN19" s="6">
        <f t="shared" si="263"/>
        <v>0</v>
      </c>
      <c r="AO19" s="6">
        <f t="shared" si="379"/>
        <v>10</v>
      </c>
      <c r="AP19" s="6">
        <f t="shared" si="264"/>
        <v>0</v>
      </c>
      <c r="AQ19" s="6">
        <f t="shared" si="380"/>
        <v>2</v>
      </c>
      <c r="AR19" s="6">
        <f t="shared" si="265"/>
        <v>0</v>
      </c>
      <c r="AS19" s="6">
        <f t="shared" si="381"/>
        <v>0</v>
      </c>
      <c r="AT19" s="6">
        <f t="shared" si="266"/>
        <v>0</v>
      </c>
      <c r="AU19" s="6">
        <f t="shared" si="382"/>
        <v>9</v>
      </c>
      <c r="AV19" s="6">
        <f t="shared" si="267"/>
        <v>1</v>
      </c>
      <c r="AW19" s="6">
        <f t="shared" si="383"/>
        <v>5</v>
      </c>
      <c r="AX19" s="6">
        <f t="shared" si="268"/>
        <v>0</v>
      </c>
      <c r="AY19" s="6">
        <f t="shared" si="384"/>
        <v>2</v>
      </c>
      <c r="AZ19" s="6">
        <f t="shared" si="269"/>
        <v>0</v>
      </c>
      <c r="BA19" s="6">
        <f t="shared" si="385"/>
        <v>0</v>
      </c>
      <c r="BB19" s="6">
        <f t="shared" si="270"/>
        <v>0</v>
      </c>
      <c r="BC19" s="6">
        <f t="shared" si="386"/>
        <v>3</v>
      </c>
      <c r="BD19" s="6">
        <f t="shared" si="271"/>
        <v>1</v>
      </c>
      <c r="BE19" s="6">
        <f t="shared" si="387"/>
        <v>10</v>
      </c>
      <c r="BF19" s="6">
        <f t="shared" si="272"/>
        <v>0</v>
      </c>
      <c r="BG19" s="6">
        <f t="shared" si="388"/>
        <v>3</v>
      </c>
      <c r="BH19" s="6">
        <f>IF($E19=3,AJ19-3,NA())</f>
        <v>1</v>
      </c>
      <c r="BI19" s="6"/>
      <c r="BJ19" s="6"/>
      <c r="BK19" s="20">
        <f>AJ19-'Zusammenfassung Tag1-4'!$C$2/18</f>
        <v>3.3333333333333335</v>
      </c>
      <c r="BL19" s="21">
        <f t="shared" si="389"/>
        <v>61.33333333333335</v>
      </c>
      <c r="BM19" s="18">
        <v>5</v>
      </c>
      <c r="BN19" s="6">
        <f t="shared" si="390"/>
        <v>84</v>
      </c>
      <c r="BO19" s="19">
        <v>3</v>
      </c>
      <c r="BP19" s="6">
        <f t="shared" si="391"/>
        <v>33</v>
      </c>
      <c r="BQ19" s="6">
        <f t="shared" si="274"/>
        <v>0</v>
      </c>
      <c r="BR19" s="6">
        <f t="shared" si="392"/>
        <v>4</v>
      </c>
      <c r="BS19" s="6">
        <f t="shared" si="275"/>
        <v>0</v>
      </c>
      <c r="BT19" s="6">
        <f t="shared" si="393"/>
        <v>1</v>
      </c>
      <c r="BU19" s="6">
        <f t="shared" si="276"/>
        <v>0</v>
      </c>
      <c r="BV19" s="6">
        <f t="shared" si="394"/>
        <v>0</v>
      </c>
      <c r="BW19" s="6">
        <f t="shared" si="277"/>
        <v>0</v>
      </c>
      <c r="BX19" s="6">
        <f t="shared" si="395"/>
        <v>5</v>
      </c>
      <c r="BY19" s="6">
        <f t="shared" si="278"/>
        <v>0</v>
      </c>
      <c r="BZ19" s="6">
        <f t="shared" si="396"/>
        <v>5</v>
      </c>
      <c r="CA19" s="6">
        <f t="shared" si="279"/>
        <v>1</v>
      </c>
      <c r="CB19" s="6">
        <f t="shared" si="397"/>
        <v>6</v>
      </c>
      <c r="CC19" s="6">
        <f t="shared" si="280"/>
        <v>0</v>
      </c>
      <c r="CD19" s="6">
        <f t="shared" si="398"/>
        <v>0</v>
      </c>
      <c r="CE19" s="6">
        <f t="shared" si="281"/>
        <v>0</v>
      </c>
      <c r="CF19" s="6">
        <f t="shared" si="399"/>
        <v>2</v>
      </c>
      <c r="CG19" s="6">
        <f t="shared" si="282"/>
        <v>0</v>
      </c>
      <c r="CH19" s="6">
        <f t="shared" si="400"/>
        <v>11</v>
      </c>
      <c r="CI19" s="6">
        <f t="shared" si="283"/>
        <v>1</v>
      </c>
      <c r="CJ19" s="6">
        <f t="shared" si="401"/>
        <v>3</v>
      </c>
      <c r="CK19" s="6">
        <f>IF($E19=3,BM19-3,NA())</f>
        <v>2</v>
      </c>
      <c r="CL19" s="6"/>
      <c r="CM19" s="6"/>
      <c r="CN19" s="20">
        <f>BM19-'Zusammenfassung Tag1-4'!$D$2/18</f>
        <v>3.666666666666667</v>
      </c>
      <c r="CO19" s="21">
        <f t="shared" si="402"/>
        <v>62.66666666666665</v>
      </c>
      <c r="CP19" s="18">
        <v>5</v>
      </c>
      <c r="CQ19" s="6">
        <f t="shared" si="403"/>
        <v>83</v>
      </c>
      <c r="CR19" s="19">
        <v>2</v>
      </c>
      <c r="CS19" s="6">
        <f t="shared" si="404"/>
        <v>33</v>
      </c>
      <c r="CT19" s="6">
        <f t="shared" si="285"/>
        <v>0</v>
      </c>
      <c r="CU19" s="6">
        <f t="shared" si="405"/>
        <v>4</v>
      </c>
      <c r="CV19" s="6">
        <f t="shared" si="286"/>
        <v>0</v>
      </c>
      <c r="CW19" s="6">
        <f t="shared" si="406"/>
        <v>2</v>
      </c>
      <c r="CX19" s="6">
        <f t="shared" si="287"/>
        <v>0</v>
      </c>
      <c r="CY19" s="6">
        <f t="shared" si="407"/>
        <v>0</v>
      </c>
      <c r="CZ19" s="6">
        <f t="shared" si="288"/>
        <v>0</v>
      </c>
      <c r="DA19" s="6">
        <f t="shared" si="408"/>
        <v>4</v>
      </c>
      <c r="DB19" s="6">
        <f t="shared" si="289"/>
        <v>0</v>
      </c>
      <c r="DC19" s="6">
        <f t="shared" si="409"/>
        <v>5</v>
      </c>
      <c r="DD19" s="6">
        <f t="shared" si="290"/>
        <v>1</v>
      </c>
      <c r="DE19" s="6">
        <f t="shared" si="410"/>
        <v>7</v>
      </c>
      <c r="DF19" s="6">
        <f t="shared" si="291"/>
        <v>0</v>
      </c>
      <c r="DG19" s="6">
        <f t="shared" si="411"/>
        <v>0</v>
      </c>
      <c r="DH19" s="6">
        <f t="shared" si="292"/>
        <v>0</v>
      </c>
      <c r="DI19" s="6">
        <f t="shared" si="412"/>
        <v>3</v>
      </c>
      <c r="DJ19" s="6">
        <f t="shared" si="293"/>
        <v>1</v>
      </c>
      <c r="DK19" s="6">
        <f t="shared" si="413"/>
        <v>9</v>
      </c>
      <c r="DL19" s="6">
        <f t="shared" si="294"/>
        <v>0</v>
      </c>
      <c r="DM19" s="6">
        <f t="shared" si="414"/>
        <v>4</v>
      </c>
      <c r="DN19" s="6">
        <f>IF($E19=3,CP19-3,NA())</f>
        <v>2</v>
      </c>
      <c r="DO19" s="6"/>
      <c r="DP19" s="6"/>
      <c r="DQ19" s="20">
        <f>CP19-'Zusammenfassung Tag1-4'!$E$2/18</f>
        <v>3.7222222222222223</v>
      </c>
      <c r="DR19" s="22">
        <f t="shared" si="415"/>
        <v>62.55555555555555</v>
      </c>
      <c r="DS19" s="18">
        <v>10</v>
      </c>
      <c r="DT19" s="6">
        <f t="shared" si="416"/>
        <v>123</v>
      </c>
      <c r="DU19" s="19">
        <v>2</v>
      </c>
      <c r="DV19" s="6">
        <f t="shared" si="417"/>
        <v>37</v>
      </c>
      <c r="DW19" s="6">
        <f t="shared" si="296"/>
        <v>0</v>
      </c>
      <c r="DX19" s="6">
        <f t="shared" si="418"/>
        <v>1</v>
      </c>
      <c r="DY19" s="6">
        <f t="shared" si="297"/>
        <v>0</v>
      </c>
      <c r="DZ19" s="6">
        <f t="shared" si="419"/>
        <v>0</v>
      </c>
      <c r="EA19" s="6">
        <f t="shared" si="298"/>
        <v>0</v>
      </c>
      <c r="EB19" s="6">
        <f t="shared" si="420"/>
        <v>0</v>
      </c>
      <c r="EC19" s="6">
        <f t="shared" si="299"/>
        <v>0</v>
      </c>
      <c r="ED19" s="6">
        <f t="shared" si="421"/>
        <v>1</v>
      </c>
      <c r="EE19" s="6">
        <f t="shared" si="300"/>
        <v>0</v>
      </c>
      <c r="EF19" s="6">
        <f t="shared" si="422"/>
        <v>1</v>
      </c>
      <c r="EG19" s="6">
        <f t="shared" si="301"/>
        <v>1</v>
      </c>
      <c r="EH19" s="6">
        <f t="shared" si="423"/>
        <v>14</v>
      </c>
      <c r="EI19" s="6">
        <f t="shared" si="302"/>
        <v>0</v>
      </c>
      <c r="EJ19" s="6">
        <f t="shared" si="424"/>
        <v>0</v>
      </c>
      <c r="EK19" s="6">
        <f t="shared" si="303"/>
        <v>0</v>
      </c>
      <c r="EL19" s="6">
        <f t="shared" si="425"/>
        <v>0</v>
      </c>
      <c r="EM19" s="6">
        <f t="shared" si="304"/>
        <v>1</v>
      </c>
      <c r="EN19" s="6">
        <f t="shared" si="426"/>
        <v>12</v>
      </c>
      <c r="EO19" s="6">
        <f t="shared" si="305"/>
        <v>0</v>
      </c>
      <c r="EP19" s="6">
        <f t="shared" si="427"/>
        <v>4</v>
      </c>
      <c r="EQ19" s="6">
        <f>IF($E19=3,DS19-3,NA())</f>
        <v>7</v>
      </c>
      <c r="ER19" s="6"/>
      <c r="ES19" s="6"/>
      <c r="ET19" s="20">
        <f>DS19-'Zusammenfassung Tag1-4'!$F$2/18</f>
        <v>7</v>
      </c>
      <c r="EU19" s="22">
        <f t="shared" si="428"/>
        <v>75</v>
      </c>
      <c r="EV19" s="18">
        <v>5</v>
      </c>
      <c r="EW19" s="6">
        <f t="shared" si="429"/>
        <v>90</v>
      </c>
      <c r="EX19" s="19">
        <v>2</v>
      </c>
      <c r="EY19" s="6">
        <f t="shared" si="430"/>
        <v>37</v>
      </c>
      <c r="EZ19" s="6">
        <f t="shared" si="307"/>
        <v>0</v>
      </c>
      <c r="FA19" s="6">
        <f t="shared" si="431"/>
        <v>3</v>
      </c>
      <c r="FB19" s="6">
        <f t="shared" si="308"/>
        <v>0</v>
      </c>
      <c r="FC19" s="6">
        <f t="shared" si="432"/>
        <v>0</v>
      </c>
      <c r="FD19" s="6">
        <f t="shared" si="309"/>
        <v>0</v>
      </c>
      <c r="FE19" s="6">
        <f t="shared" si="433"/>
        <v>0</v>
      </c>
      <c r="FF19" s="6">
        <f t="shared" si="310"/>
        <v>0</v>
      </c>
      <c r="FG19" s="6">
        <f t="shared" si="434"/>
        <v>1</v>
      </c>
      <c r="FH19" s="6">
        <f t="shared" si="311"/>
        <v>0</v>
      </c>
      <c r="FI19" s="6">
        <f t="shared" si="435"/>
        <v>5</v>
      </c>
      <c r="FJ19" s="6">
        <f t="shared" si="312"/>
        <v>1</v>
      </c>
      <c r="FK19" s="6">
        <f t="shared" si="436"/>
        <v>10</v>
      </c>
      <c r="FL19" s="6">
        <f t="shared" si="313"/>
        <v>0</v>
      </c>
      <c r="FM19" s="6">
        <f t="shared" si="437"/>
        <v>0</v>
      </c>
      <c r="FN19" s="6">
        <f t="shared" si="314"/>
        <v>0</v>
      </c>
      <c r="FO19" s="6">
        <f t="shared" si="438"/>
        <v>1</v>
      </c>
      <c r="FP19" s="6">
        <f t="shared" si="315"/>
        <v>1</v>
      </c>
      <c r="FQ19" s="6">
        <f t="shared" si="439"/>
        <v>9</v>
      </c>
      <c r="FR19" s="6">
        <f t="shared" si="316"/>
        <v>0</v>
      </c>
      <c r="FS19" s="6">
        <f t="shared" si="440"/>
        <v>6</v>
      </c>
      <c r="FT19" s="6">
        <f>IF($E19=3,EV19-3,NA())</f>
        <v>2</v>
      </c>
      <c r="FU19" s="6"/>
      <c r="FV19" s="6"/>
      <c r="FW19" s="20">
        <f>EV19-'Zusammenfassung Tag1-4'!$G$2/18</f>
        <v>3.5</v>
      </c>
      <c r="FX19" s="22">
        <f t="shared" si="441"/>
        <v>66</v>
      </c>
      <c r="FY19" s="18">
        <v>5</v>
      </c>
      <c r="FZ19" s="6">
        <f t="shared" si="442"/>
        <v>113</v>
      </c>
      <c r="GA19" s="19">
        <v>3</v>
      </c>
      <c r="GB19" s="6">
        <f t="shared" si="443"/>
        <v>37</v>
      </c>
      <c r="GC19" s="6">
        <f t="shared" si="318"/>
        <v>0</v>
      </c>
      <c r="GD19" s="6">
        <f t="shared" si="444"/>
        <v>1</v>
      </c>
      <c r="GE19" s="6">
        <f t="shared" si="319"/>
        <v>0</v>
      </c>
      <c r="GF19" s="6">
        <f t="shared" si="445"/>
        <v>0</v>
      </c>
      <c r="GG19" s="6">
        <f t="shared" si="320"/>
        <v>0</v>
      </c>
      <c r="GH19" s="6">
        <f t="shared" si="446"/>
        <v>0</v>
      </c>
      <c r="GI19" s="6">
        <f t="shared" si="321"/>
        <v>0</v>
      </c>
      <c r="GJ19" s="6">
        <f t="shared" si="447"/>
        <v>0</v>
      </c>
      <c r="GK19" s="6">
        <f t="shared" si="322"/>
        <v>0</v>
      </c>
      <c r="GL19" s="6">
        <f t="shared" si="448"/>
        <v>2</v>
      </c>
      <c r="GM19" s="6">
        <f t="shared" si="323"/>
        <v>1</v>
      </c>
      <c r="GN19" s="6">
        <f t="shared" si="449"/>
        <v>14</v>
      </c>
      <c r="GO19" s="6">
        <f t="shared" si="324"/>
        <v>0</v>
      </c>
      <c r="GP19" s="6">
        <f t="shared" si="450"/>
        <v>0</v>
      </c>
      <c r="GQ19" s="6">
        <f t="shared" si="325"/>
        <v>0</v>
      </c>
      <c r="GR19" s="6">
        <f t="shared" si="451"/>
        <v>2</v>
      </c>
      <c r="GS19" s="6">
        <f t="shared" si="326"/>
        <v>0</v>
      </c>
      <c r="GT19" s="6">
        <f t="shared" si="452"/>
        <v>7</v>
      </c>
      <c r="GU19" s="6">
        <f t="shared" si="327"/>
        <v>1</v>
      </c>
      <c r="GV19" s="6">
        <f t="shared" si="453"/>
        <v>7</v>
      </c>
      <c r="GW19" s="6">
        <f>IF($E19=3,FY19-3,NA())</f>
        <v>2</v>
      </c>
      <c r="GX19" s="6"/>
      <c r="GY19" s="6"/>
      <c r="GZ19" s="20">
        <f>FY19-'Zusammenfassung Tag1-4'!$H$2/18</f>
        <v>2</v>
      </c>
      <c r="HA19" s="22">
        <f t="shared" si="454"/>
        <v>65</v>
      </c>
      <c r="HB19" s="18">
        <v>3</v>
      </c>
      <c r="HC19" s="6">
        <f t="shared" si="455"/>
        <v>81</v>
      </c>
      <c r="HD19" s="19">
        <v>2</v>
      </c>
      <c r="HE19" s="6">
        <f t="shared" si="456"/>
        <v>35</v>
      </c>
      <c r="HF19" s="6">
        <f t="shared" si="329"/>
        <v>1</v>
      </c>
      <c r="HG19" s="6">
        <f t="shared" si="457"/>
        <v>6</v>
      </c>
      <c r="HH19" s="6">
        <f t="shared" si="330"/>
        <v>0</v>
      </c>
      <c r="HI19" s="6">
        <f t="shared" si="458"/>
        <v>2</v>
      </c>
      <c r="HJ19" s="6">
        <f t="shared" si="331"/>
        <v>0</v>
      </c>
      <c r="HK19" s="6">
        <f t="shared" si="459"/>
        <v>0</v>
      </c>
      <c r="HL19" s="6">
        <f t="shared" si="332"/>
        <v>1</v>
      </c>
      <c r="HM19" s="6">
        <f t="shared" si="460"/>
        <v>4</v>
      </c>
      <c r="HN19" s="6">
        <f t="shared" si="333"/>
        <v>0</v>
      </c>
      <c r="HO19" s="6">
        <f t="shared" si="461"/>
        <v>8</v>
      </c>
      <c r="HP19" s="6">
        <f t="shared" si="334"/>
        <v>0</v>
      </c>
      <c r="HQ19" s="6">
        <f t="shared" si="462"/>
        <v>4</v>
      </c>
      <c r="HR19" s="6">
        <f t="shared" si="335"/>
        <v>0</v>
      </c>
      <c r="HS19" s="6">
        <f t="shared" si="463"/>
        <v>0</v>
      </c>
      <c r="HT19" s="6">
        <f t="shared" si="336"/>
        <v>0</v>
      </c>
      <c r="HU19" s="6">
        <f t="shared" si="464"/>
        <v>2</v>
      </c>
      <c r="HV19" s="6">
        <f t="shared" si="337"/>
        <v>1</v>
      </c>
      <c r="HW19" s="6">
        <f t="shared" si="465"/>
        <v>9</v>
      </c>
      <c r="HX19" s="6">
        <f t="shared" si="338"/>
        <v>0</v>
      </c>
      <c r="HY19" s="6">
        <f t="shared" si="466"/>
        <v>5</v>
      </c>
      <c r="HZ19" s="6">
        <f>IF($E19=3,HB19-3,NA())</f>
        <v>0</v>
      </c>
      <c r="IA19" s="6"/>
      <c r="IB19" s="6"/>
      <c r="IC19" s="20">
        <f>HB19-'Zusammenfassung Tag1-4'!$I$2/18</f>
        <v>2</v>
      </c>
      <c r="ID19" s="22">
        <f t="shared" si="467"/>
        <v>65</v>
      </c>
      <c r="IE19" s="18"/>
      <c r="IF19" s="6">
        <f t="shared" si="468"/>
        <v>0</v>
      </c>
      <c r="IG19" s="19"/>
      <c r="IH19" s="6">
        <f t="shared" si="469"/>
        <v>0</v>
      </c>
      <c r="II19" s="6">
        <f t="shared" si="340"/>
        <v>1</v>
      </c>
      <c r="IJ19" s="6">
        <f t="shared" si="470"/>
        <v>16</v>
      </c>
      <c r="IK19" s="6">
        <f t="shared" si="341"/>
        <v>0</v>
      </c>
      <c r="IL19" s="6">
        <f t="shared" si="471"/>
        <v>0</v>
      </c>
      <c r="IM19" s="6">
        <f t="shared" si="342"/>
        <v>0</v>
      </c>
      <c r="IN19" s="6">
        <f t="shared" si="472"/>
        <v>0</v>
      </c>
      <c r="IO19" s="6">
        <f t="shared" si="343"/>
        <v>0</v>
      </c>
      <c r="IP19" s="6">
        <f t="shared" si="473"/>
        <v>0</v>
      </c>
      <c r="IQ19" s="6">
        <f t="shared" si="344"/>
        <v>0</v>
      </c>
      <c r="IR19" s="6">
        <f t="shared" si="474"/>
        <v>0</v>
      </c>
      <c r="IS19" s="6">
        <f t="shared" si="345"/>
        <v>0</v>
      </c>
      <c r="IT19" s="6">
        <f t="shared" si="475"/>
        <v>0</v>
      </c>
      <c r="IU19" s="6">
        <f t="shared" si="346"/>
        <v>1</v>
      </c>
      <c r="IV19" s="6">
        <f t="shared" si="476"/>
        <v>16</v>
      </c>
      <c r="IW19" s="6">
        <f t="shared" si="347"/>
        <v>0</v>
      </c>
      <c r="IX19" s="6">
        <f t="shared" si="477"/>
        <v>0</v>
      </c>
      <c r="IY19" s="6">
        <f t="shared" si="348"/>
        <v>0</v>
      </c>
      <c r="IZ19" s="6">
        <f t="shared" si="478"/>
        <v>0</v>
      </c>
      <c r="JA19" s="6">
        <f t="shared" si="349"/>
        <v>0</v>
      </c>
      <c r="JB19" s="6">
        <f t="shared" si="479"/>
        <v>0</v>
      </c>
      <c r="JC19" s="6">
        <f>IF($E19=3,IE19-3,NA())</f>
        <v>-3</v>
      </c>
      <c r="JD19" s="6"/>
      <c r="JE19" s="6"/>
      <c r="JF19" s="20">
        <f>IE19-'Zusammenfassung Tag1-4'!$J$2/18</f>
        <v>-3</v>
      </c>
      <c r="JG19" s="22">
        <f t="shared" si="480"/>
        <v>-48</v>
      </c>
      <c r="JH19" s="18"/>
      <c r="JI19" s="6">
        <f t="shared" si="481"/>
        <v>0</v>
      </c>
      <c r="JJ19" s="19"/>
      <c r="JK19" s="6">
        <f t="shared" si="482"/>
        <v>0</v>
      </c>
      <c r="JL19" s="6">
        <f t="shared" si="351"/>
        <v>1</v>
      </c>
      <c r="JM19" s="6">
        <f t="shared" si="483"/>
        <v>16</v>
      </c>
      <c r="JN19" s="6">
        <f t="shared" si="352"/>
        <v>0</v>
      </c>
      <c r="JO19" s="6">
        <f t="shared" si="484"/>
        <v>0</v>
      </c>
      <c r="JP19" s="6">
        <f t="shared" si="353"/>
        <v>0</v>
      </c>
      <c r="JQ19" s="6">
        <f t="shared" si="485"/>
        <v>0</v>
      </c>
      <c r="JR19" s="6">
        <f t="shared" si="354"/>
        <v>0</v>
      </c>
      <c r="JS19" s="6">
        <f t="shared" si="486"/>
        <v>0</v>
      </c>
      <c r="JT19" s="6">
        <f t="shared" si="355"/>
        <v>0</v>
      </c>
      <c r="JU19" s="6">
        <f t="shared" si="487"/>
        <v>0</v>
      </c>
      <c r="JV19" s="6">
        <f t="shared" si="356"/>
        <v>0</v>
      </c>
      <c r="JW19" s="6">
        <f t="shared" si="488"/>
        <v>0</v>
      </c>
      <c r="JX19" s="6">
        <f t="shared" si="357"/>
        <v>1</v>
      </c>
      <c r="JY19" s="6">
        <f t="shared" si="489"/>
        <v>16</v>
      </c>
      <c r="JZ19" s="6">
        <f t="shared" si="358"/>
        <v>0</v>
      </c>
      <c r="KA19" s="6">
        <f t="shared" si="490"/>
        <v>0</v>
      </c>
      <c r="KB19" s="6">
        <f t="shared" si="359"/>
        <v>0</v>
      </c>
      <c r="KC19" s="6">
        <f t="shared" si="491"/>
        <v>0</v>
      </c>
      <c r="KD19" s="6">
        <f t="shared" si="360"/>
        <v>0</v>
      </c>
      <c r="KE19" s="6">
        <f t="shared" si="492"/>
        <v>0</v>
      </c>
      <c r="KF19" s="6">
        <f>IF($E19=3,JH19-3,NA())</f>
        <v>-3</v>
      </c>
      <c r="KG19" s="6"/>
      <c r="KH19" s="6"/>
      <c r="KI19" s="20">
        <f>JH19-'Zusammenfassung Tag1-4'!$K$2/18</f>
        <v>-0.77777777777777779</v>
      </c>
      <c r="KJ19" s="22">
        <f t="shared" si="493"/>
        <v>-12.444444444444448</v>
      </c>
      <c r="KK19" s="10"/>
      <c r="KL19" s="10"/>
      <c r="KM19" s="10"/>
      <c r="KN19" s="10"/>
      <c r="KO19" s="10"/>
      <c r="KP19" s="10"/>
      <c r="KQ19" s="10"/>
      <c r="KR19" s="10"/>
      <c r="KS19" s="10"/>
      <c r="KT19" s="10"/>
      <c r="KU19" s="10"/>
      <c r="KV19" s="10"/>
      <c r="KW19" s="10"/>
      <c r="KX19" s="10"/>
      <c r="KY19" s="10"/>
      <c r="KZ19" s="10"/>
      <c r="LA19" s="10"/>
      <c r="LB19" s="10"/>
      <c r="LC19" s="10"/>
      <c r="LD19" s="10"/>
    </row>
    <row r="20" spans="1:316" ht="15.75" customHeight="1" x14ac:dyDescent="0.25">
      <c r="A20" s="106"/>
      <c r="B20" s="103"/>
      <c r="C20" s="6">
        <v>17</v>
      </c>
      <c r="D20" s="6">
        <f t="shared" si="362"/>
        <v>17</v>
      </c>
      <c r="E20" s="6">
        <v>5</v>
      </c>
      <c r="F20" s="7">
        <f t="shared" si="363"/>
        <v>68</v>
      </c>
      <c r="G20" s="18">
        <v>6</v>
      </c>
      <c r="H20" s="6">
        <f t="shared" si="364"/>
        <v>80</v>
      </c>
      <c r="I20" s="19">
        <v>2</v>
      </c>
      <c r="J20" s="6">
        <f t="shared" si="365"/>
        <v>34</v>
      </c>
      <c r="K20" s="6">
        <f t="shared" si="252"/>
        <v>0</v>
      </c>
      <c r="L20" s="6">
        <f t="shared" si="366"/>
        <v>8</v>
      </c>
      <c r="M20" s="6">
        <f t="shared" si="253"/>
        <v>0</v>
      </c>
      <c r="N20" s="6">
        <f t="shared" si="367"/>
        <v>1</v>
      </c>
      <c r="O20" s="6">
        <f t="shared" si="254"/>
        <v>0</v>
      </c>
      <c r="P20" s="6">
        <f t="shared" si="368"/>
        <v>1</v>
      </c>
      <c r="Q20" s="6">
        <f t="shared" si="255"/>
        <v>0</v>
      </c>
      <c r="R20" s="6">
        <f t="shared" si="369"/>
        <v>6</v>
      </c>
      <c r="S20" s="6">
        <f t="shared" si="256"/>
        <v>1</v>
      </c>
      <c r="T20" s="6">
        <f t="shared" si="370"/>
        <v>7</v>
      </c>
      <c r="U20" s="6">
        <f t="shared" si="257"/>
        <v>0</v>
      </c>
      <c r="V20" s="6">
        <f t="shared" si="371"/>
        <v>3</v>
      </c>
      <c r="W20" s="6">
        <f t="shared" si="258"/>
        <v>0</v>
      </c>
      <c r="X20" s="6">
        <f t="shared" si="372"/>
        <v>0</v>
      </c>
      <c r="Y20" s="6">
        <f t="shared" si="259"/>
        <v>0</v>
      </c>
      <c r="Z20" s="6">
        <f t="shared" si="373"/>
        <v>4</v>
      </c>
      <c r="AA20" s="6">
        <f t="shared" si="260"/>
        <v>1</v>
      </c>
      <c r="AB20" s="6">
        <f t="shared" si="374"/>
        <v>10</v>
      </c>
      <c r="AC20" s="6">
        <f t="shared" si="261"/>
        <v>0</v>
      </c>
      <c r="AD20" s="6">
        <f t="shared" si="375"/>
        <v>3</v>
      </c>
      <c r="AE20" s="6"/>
      <c r="AF20" s="6"/>
      <c r="AG20" s="6">
        <f>IF($E20=5,G20-5,NA())</f>
        <v>1</v>
      </c>
      <c r="AH20" s="20">
        <f>G20-'Zusammenfassung Tag1-4'!$B$2/18</f>
        <v>4.8888888888888893</v>
      </c>
      <c r="AI20" s="21">
        <f t="shared" si="376"/>
        <v>61.111111111111086</v>
      </c>
      <c r="AJ20" s="18">
        <v>5</v>
      </c>
      <c r="AK20" s="6">
        <f t="shared" si="377"/>
        <v>77</v>
      </c>
      <c r="AL20" s="19">
        <v>1</v>
      </c>
      <c r="AM20" s="6">
        <f t="shared" si="378"/>
        <v>33</v>
      </c>
      <c r="AN20" s="6">
        <f t="shared" si="263"/>
        <v>0</v>
      </c>
      <c r="AO20" s="6">
        <f t="shared" si="379"/>
        <v>10</v>
      </c>
      <c r="AP20" s="6">
        <f t="shared" si="264"/>
        <v>1</v>
      </c>
      <c r="AQ20" s="6">
        <f t="shared" si="380"/>
        <v>3</v>
      </c>
      <c r="AR20" s="6">
        <f t="shared" si="265"/>
        <v>0</v>
      </c>
      <c r="AS20" s="6">
        <f t="shared" si="381"/>
        <v>0</v>
      </c>
      <c r="AT20" s="6">
        <f t="shared" si="266"/>
        <v>1</v>
      </c>
      <c r="AU20" s="6">
        <f t="shared" si="382"/>
        <v>10</v>
      </c>
      <c r="AV20" s="6">
        <f t="shared" si="267"/>
        <v>0</v>
      </c>
      <c r="AW20" s="6">
        <f t="shared" si="383"/>
        <v>5</v>
      </c>
      <c r="AX20" s="6">
        <f t="shared" si="268"/>
        <v>0</v>
      </c>
      <c r="AY20" s="6">
        <f t="shared" si="384"/>
        <v>2</v>
      </c>
      <c r="AZ20" s="6">
        <f t="shared" si="269"/>
        <v>0</v>
      </c>
      <c r="BA20" s="6">
        <f t="shared" si="385"/>
        <v>0</v>
      </c>
      <c r="BB20" s="6">
        <f t="shared" si="270"/>
        <v>1</v>
      </c>
      <c r="BC20" s="6">
        <f t="shared" si="386"/>
        <v>4</v>
      </c>
      <c r="BD20" s="6">
        <f t="shared" si="271"/>
        <v>0</v>
      </c>
      <c r="BE20" s="6">
        <f t="shared" si="387"/>
        <v>10</v>
      </c>
      <c r="BF20" s="6">
        <f t="shared" si="272"/>
        <v>0</v>
      </c>
      <c r="BG20" s="6">
        <f t="shared" si="388"/>
        <v>3</v>
      </c>
      <c r="BH20" s="6"/>
      <c r="BI20" s="6"/>
      <c r="BJ20" s="6">
        <f>IF($E20=5,AJ20-5,NA())</f>
        <v>0</v>
      </c>
      <c r="BK20" s="20">
        <f>AJ20-'Zusammenfassung Tag1-4'!$C$2/18</f>
        <v>4.333333333333333</v>
      </c>
      <c r="BL20" s="21">
        <f t="shared" si="389"/>
        <v>65.666666666666686</v>
      </c>
      <c r="BM20" s="18">
        <v>7</v>
      </c>
      <c r="BN20" s="6">
        <f t="shared" si="390"/>
        <v>91</v>
      </c>
      <c r="BO20" s="19">
        <v>2</v>
      </c>
      <c r="BP20" s="6">
        <f t="shared" si="391"/>
        <v>35</v>
      </c>
      <c r="BQ20" s="6">
        <f t="shared" si="274"/>
        <v>0</v>
      </c>
      <c r="BR20" s="6">
        <f t="shared" si="392"/>
        <v>4</v>
      </c>
      <c r="BS20" s="6">
        <f t="shared" si="275"/>
        <v>0</v>
      </c>
      <c r="BT20" s="6">
        <f t="shared" si="393"/>
        <v>1</v>
      </c>
      <c r="BU20" s="6">
        <f t="shared" si="276"/>
        <v>0</v>
      </c>
      <c r="BV20" s="6">
        <f t="shared" si="394"/>
        <v>0</v>
      </c>
      <c r="BW20" s="6">
        <f t="shared" si="277"/>
        <v>0</v>
      </c>
      <c r="BX20" s="6">
        <f t="shared" si="395"/>
        <v>5</v>
      </c>
      <c r="BY20" s="6">
        <f t="shared" si="278"/>
        <v>0</v>
      </c>
      <c r="BZ20" s="6">
        <f t="shared" si="396"/>
        <v>5</v>
      </c>
      <c r="CA20" s="6">
        <f t="shared" si="279"/>
        <v>1</v>
      </c>
      <c r="CB20" s="6">
        <f t="shared" si="397"/>
        <v>7</v>
      </c>
      <c r="CC20" s="6">
        <f t="shared" si="280"/>
        <v>0</v>
      </c>
      <c r="CD20" s="6">
        <f t="shared" si="398"/>
        <v>0</v>
      </c>
      <c r="CE20" s="6">
        <f t="shared" si="281"/>
        <v>0</v>
      </c>
      <c r="CF20" s="6">
        <f t="shared" si="399"/>
        <v>2</v>
      </c>
      <c r="CG20" s="6">
        <f t="shared" si="282"/>
        <v>1</v>
      </c>
      <c r="CH20" s="6">
        <f t="shared" si="400"/>
        <v>12</v>
      </c>
      <c r="CI20" s="6">
        <f t="shared" si="283"/>
        <v>0</v>
      </c>
      <c r="CJ20" s="6">
        <f t="shared" si="401"/>
        <v>3</v>
      </c>
      <c r="CK20" s="6"/>
      <c r="CL20" s="6"/>
      <c r="CM20" s="6">
        <f>IF($E20=5,BM20-5,NA())</f>
        <v>2</v>
      </c>
      <c r="CN20" s="20">
        <f>BM20-'Zusammenfassung Tag1-4'!$D$2/18</f>
        <v>5.666666666666667</v>
      </c>
      <c r="CO20" s="21">
        <f t="shared" si="402"/>
        <v>68.333333333333314</v>
      </c>
      <c r="CP20" s="18">
        <v>8</v>
      </c>
      <c r="CQ20" s="6">
        <f t="shared" si="403"/>
        <v>91</v>
      </c>
      <c r="CR20" s="19">
        <v>2</v>
      </c>
      <c r="CS20" s="6">
        <f t="shared" si="404"/>
        <v>35</v>
      </c>
      <c r="CT20" s="6">
        <f t="shared" si="285"/>
        <v>0</v>
      </c>
      <c r="CU20" s="6">
        <f t="shared" si="405"/>
        <v>4</v>
      </c>
      <c r="CV20" s="6">
        <f t="shared" si="286"/>
        <v>0</v>
      </c>
      <c r="CW20" s="6">
        <f t="shared" si="406"/>
        <v>2</v>
      </c>
      <c r="CX20" s="6">
        <f t="shared" si="287"/>
        <v>0</v>
      </c>
      <c r="CY20" s="6">
        <f t="shared" si="407"/>
        <v>0</v>
      </c>
      <c r="CZ20" s="6">
        <f t="shared" si="288"/>
        <v>0</v>
      </c>
      <c r="DA20" s="6">
        <f t="shared" si="408"/>
        <v>4</v>
      </c>
      <c r="DB20" s="6">
        <f t="shared" si="289"/>
        <v>0</v>
      </c>
      <c r="DC20" s="6">
        <f t="shared" si="409"/>
        <v>5</v>
      </c>
      <c r="DD20" s="6">
        <f t="shared" si="290"/>
        <v>1</v>
      </c>
      <c r="DE20" s="6">
        <f t="shared" si="410"/>
        <v>8</v>
      </c>
      <c r="DF20" s="6">
        <f t="shared" si="291"/>
        <v>0</v>
      </c>
      <c r="DG20" s="6">
        <f t="shared" si="411"/>
        <v>0</v>
      </c>
      <c r="DH20" s="6">
        <f t="shared" si="292"/>
        <v>0</v>
      </c>
      <c r="DI20" s="6">
        <f t="shared" si="412"/>
        <v>3</v>
      </c>
      <c r="DJ20" s="6">
        <f t="shared" si="293"/>
        <v>1</v>
      </c>
      <c r="DK20" s="6">
        <f t="shared" si="413"/>
        <v>10</v>
      </c>
      <c r="DL20" s="6">
        <f t="shared" si="294"/>
        <v>0</v>
      </c>
      <c r="DM20" s="6">
        <f t="shared" si="414"/>
        <v>4</v>
      </c>
      <c r="DN20" s="6"/>
      <c r="DO20" s="6"/>
      <c r="DP20" s="6">
        <f>IF($E20=5,CP20-5,NA())</f>
        <v>3</v>
      </c>
      <c r="DQ20" s="20">
        <f>CP20-'Zusammenfassung Tag1-4'!$E$2/18</f>
        <v>6.7222222222222223</v>
      </c>
      <c r="DR20" s="22">
        <f t="shared" si="415"/>
        <v>69.277777777777771</v>
      </c>
      <c r="DS20" s="18">
        <v>7</v>
      </c>
      <c r="DT20" s="6">
        <f t="shared" si="416"/>
        <v>130</v>
      </c>
      <c r="DU20" s="19">
        <v>2</v>
      </c>
      <c r="DV20" s="6">
        <f t="shared" si="417"/>
        <v>39</v>
      </c>
      <c r="DW20" s="6">
        <f t="shared" si="296"/>
        <v>0</v>
      </c>
      <c r="DX20" s="6">
        <f t="shared" si="418"/>
        <v>1</v>
      </c>
      <c r="DY20" s="6">
        <f t="shared" si="297"/>
        <v>0</v>
      </c>
      <c r="DZ20" s="6">
        <f t="shared" si="419"/>
        <v>0</v>
      </c>
      <c r="EA20" s="6">
        <f t="shared" si="298"/>
        <v>0</v>
      </c>
      <c r="EB20" s="6">
        <f t="shared" si="420"/>
        <v>0</v>
      </c>
      <c r="EC20" s="6">
        <f t="shared" si="299"/>
        <v>0</v>
      </c>
      <c r="ED20" s="6">
        <f t="shared" si="421"/>
        <v>1</v>
      </c>
      <c r="EE20" s="6">
        <f t="shared" si="300"/>
        <v>0</v>
      </c>
      <c r="EF20" s="6">
        <f t="shared" si="422"/>
        <v>1</v>
      </c>
      <c r="EG20" s="6">
        <f t="shared" si="301"/>
        <v>1</v>
      </c>
      <c r="EH20" s="6">
        <f t="shared" si="423"/>
        <v>15</v>
      </c>
      <c r="EI20" s="6">
        <f t="shared" si="302"/>
        <v>0</v>
      </c>
      <c r="EJ20" s="6">
        <f t="shared" si="424"/>
        <v>0</v>
      </c>
      <c r="EK20" s="6">
        <f t="shared" si="303"/>
        <v>0</v>
      </c>
      <c r="EL20" s="6">
        <f t="shared" si="425"/>
        <v>0</v>
      </c>
      <c r="EM20" s="6">
        <f t="shared" si="304"/>
        <v>1</v>
      </c>
      <c r="EN20" s="6">
        <f t="shared" si="426"/>
        <v>13</v>
      </c>
      <c r="EO20" s="6">
        <f t="shared" si="305"/>
        <v>0</v>
      </c>
      <c r="EP20" s="6">
        <f t="shared" si="427"/>
        <v>4</v>
      </c>
      <c r="EQ20" s="6"/>
      <c r="ER20" s="6"/>
      <c r="ES20" s="6">
        <f>IF($E20=5,DS20-5,NA())</f>
        <v>2</v>
      </c>
      <c r="ET20" s="20">
        <f>DS20-'Zusammenfassung Tag1-4'!$F$2/18</f>
        <v>4</v>
      </c>
      <c r="EU20" s="22">
        <f t="shared" si="428"/>
        <v>79</v>
      </c>
      <c r="EV20" s="18">
        <v>5</v>
      </c>
      <c r="EW20" s="6">
        <f t="shared" si="429"/>
        <v>95</v>
      </c>
      <c r="EX20" s="19">
        <v>2</v>
      </c>
      <c r="EY20" s="6">
        <f t="shared" si="430"/>
        <v>39</v>
      </c>
      <c r="EZ20" s="6">
        <f t="shared" si="307"/>
        <v>1</v>
      </c>
      <c r="FA20" s="6">
        <f t="shared" si="431"/>
        <v>4</v>
      </c>
      <c r="FB20" s="6">
        <f t="shared" si="308"/>
        <v>0</v>
      </c>
      <c r="FC20" s="6">
        <f t="shared" si="432"/>
        <v>0</v>
      </c>
      <c r="FD20" s="6">
        <f t="shared" si="309"/>
        <v>0</v>
      </c>
      <c r="FE20" s="6">
        <f t="shared" si="433"/>
        <v>0</v>
      </c>
      <c r="FF20" s="6">
        <f t="shared" si="310"/>
        <v>1</v>
      </c>
      <c r="FG20" s="6">
        <f t="shared" si="434"/>
        <v>2</v>
      </c>
      <c r="FH20" s="6">
        <f t="shared" si="311"/>
        <v>0</v>
      </c>
      <c r="FI20" s="6">
        <f t="shared" si="435"/>
        <v>5</v>
      </c>
      <c r="FJ20" s="6">
        <f t="shared" si="312"/>
        <v>0</v>
      </c>
      <c r="FK20" s="6">
        <f t="shared" si="436"/>
        <v>10</v>
      </c>
      <c r="FL20" s="6">
        <f t="shared" si="313"/>
        <v>0</v>
      </c>
      <c r="FM20" s="6">
        <f t="shared" si="437"/>
        <v>0</v>
      </c>
      <c r="FN20" s="6">
        <f t="shared" si="314"/>
        <v>0</v>
      </c>
      <c r="FO20" s="6">
        <f t="shared" si="438"/>
        <v>1</v>
      </c>
      <c r="FP20" s="6">
        <f t="shared" si="315"/>
        <v>1</v>
      </c>
      <c r="FQ20" s="6">
        <f t="shared" si="439"/>
        <v>10</v>
      </c>
      <c r="FR20" s="6">
        <f t="shared" si="316"/>
        <v>0</v>
      </c>
      <c r="FS20" s="6">
        <f t="shared" si="440"/>
        <v>6</v>
      </c>
      <c r="FT20" s="6"/>
      <c r="FU20" s="6"/>
      <c r="FV20" s="6">
        <f>IF($E20=5,EV20-5,NA())</f>
        <v>0</v>
      </c>
      <c r="FW20" s="20">
        <f>EV20-'Zusammenfassung Tag1-4'!$G$2/18</f>
        <v>3.5</v>
      </c>
      <c r="FX20" s="22">
        <f t="shared" si="441"/>
        <v>69.5</v>
      </c>
      <c r="FY20" s="18">
        <v>8</v>
      </c>
      <c r="FZ20" s="6">
        <f t="shared" si="442"/>
        <v>121</v>
      </c>
      <c r="GA20" s="19">
        <v>3</v>
      </c>
      <c r="GB20" s="6">
        <f t="shared" si="443"/>
        <v>40</v>
      </c>
      <c r="GC20" s="6">
        <f t="shared" si="318"/>
        <v>0</v>
      </c>
      <c r="GD20" s="6">
        <f t="shared" si="444"/>
        <v>1</v>
      </c>
      <c r="GE20" s="6">
        <f t="shared" si="319"/>
        <v>0</v>
      </c>
      <c r="GF20" s="6">
        <f t="shared" si="445"/>
        <v>0</v>
      </c>
      <c r="GG20" s="6">
        <f t="shared" si="320"/>
        <v>0</v>
      </c>
      <c r="GH20" s="6">
        <f t="shared" si="446"/>
        <v>0</v>
      </c>
      <c r="GI20" s="6">
        <f t="shared" si="321"/>
        <v>0</v>
      </c>
      <c r="GJ20" s="6">
        <f t="shared" si="447"/>
        <v>0</v>
      </c>
      <c r="GK20" s="6">
        <f t="shared" si="322"/>
        <v>0</v>
      </c>
      <c r="GL20" s="6">
        <f t="shared" si="448"/>
        <v>2</v>
      </c>
      <c r="GM20" s="6">
        <f t="shared" si="323"/>
        <v>1</v>
      </c>
      <c r="GN20" s="6">
        <f t="shared" si="449"/>
        <v>15</v>
      </c>
      <c r="GO20" s="6">
        <f t="shared" si="324"/>
        <v>0</v>
      </c>
      <c r="GP20" s="6">
        <f t="shared" si="450"/>
        <v>0</v>
      </c>
      <c r="GQ20" s="6">
        <f t="shared" si="325"/>
        <v>0</v>
      </c>
      <c r="GR20" s="6">
        <f t="shared" si="451"/>
        <v>2</v>
      </c>
      <c r="GS20" s="6">
        <f t="shared" si="326"/>
        <v>0</v>
      </c>
      <c r="GT20" s="6">
        <f t="shared" si="452"/>
        <v>7</v>
      </c>
      <c r="GU20" s="6">
        <f t="shared" si="327"/>
        <v>1</v>
      </c>
      <c r="GV20" s="6">
        <f t="shared" si="453"/>
        <v>8</v>
      </c>
      <c r="GW20" s="6"/>
      <c r="GX20" s="6"/>
      <c r="GY20" s="6">
        <f>IF($E20=5,FY20-5,NA())</f>
        <v>3</v>
      </c>
      <c r="GZ20" s="20">
        <f>FY20-'Zusammenfassung Tag1-4'!$H$2/18</f>
        <v>5</v>
      </c>
      <c r="HA20" s="22">
        <f t="shared" si="454"/>
        <v>70</v>
      </c>
      <c r="HB20" s="18">
        <v>10</v>
      </c>
      <c r="HC20" s="6">
        <f t="shared" si="455"/>
        <v>91</v>
      </c>
      <c r="HD20" s="19">
        <v>2</v>
      </c>
      <c r="HE20" s="6">
        <f t="shared" si="456"/>
        <v>37</v>
      </c>
      <c r="HF20" s="6">
        <f t="shared" si="329"/>
        <v>0</v>
      </c>
      <c r="HG20" s="6">
        <f t="shared" si="457"/>
        <v>6</v>
      </c>
      <c r="HH20" s="6">
        <f t="shared" si="330"/>
        <v>0</v>
      </c>
      <c r="HI20" s="6">
        <f t="shared" si="458"/>
        <v>2</v>
      </c>
      <c r="HJ20" s="6">
        <f t="shared" si="331"/>
        <v>0</v>
      </c>
      <c r="HK20" s="6">
        <f t="shared" si="459"/>
        <v>0</v>
      </c>
      <c r="HL20" s="6">
        <f t="shared" si="332"/>
        <v>0</v>
      </c>
      <c r="HM20" s="6">
        <f t="shared" si="460"/>
        <v>4</v>
      </c>
      <c r="HN20" s="6">
        <f t="shared" si="333"/>
        <v>0</v>
      </c>
      <c r="HO20" s="6">
        <f t="shared" si="461"/>
        <v>8</v>
      </c>
      <c r="HP20" s="6">
        <f t="shared" si="334"/>
        <v>1</v>
      </c>
      <c r="HQ20" s="6">
        <f t="shared" si="462"/>
        <v>5</v>
      </c>
      <c r="HR20" s="6">
        <f t="shared" si="335"/>
        <v>0</v>
      </c>
      <c r="HS20" s="6">
        <f t="shared" si="463"/>
        <v>0</v>
      </c>
      <c r="HT20" s="6">
        <f t="shared" si="336"/>
        <v>0</v>
      </c>
      <c r="HU20" s="6">
        <f t="shared" si="464"/>
        <v>2</v>
      </c>
      <c r="HV20" s="6">
        <f t="shared" si="337"/>
        <v>1</v>
      </c>
      <c r="HW20" s="6">
        <f t="shared" si="465"/>
        <v>10</v>
      </c>
      <c r="HX20" s="6">
        <f t="shared" si="338"/>
        <v>0</v>
      </c>
      <c r="HY20" s="6">
        <f t="shared" si="466"/>
        <v>5</v>
      </c>
      <c r="HZ20" s="6"/>
      <c r="IA20" s="6"/>
      <c r="IB20" s="6">
        <f>IF($E20=5,HB20-5,NA())</f>
        <v>5</v>
      </c>
      <c r="IC20" s="20">
        <f>HB20-'Zusammenfassung Tag1-4'!$I$2/18</f>
        <v>9</v>
      </c>
      <c r="ID20" s="22">
        <f t="shared" si="467"/>
        <v>74</v>
      </c>
      <c r="IE20" s="18"/>
      <c r="IF20" s="6">
        <f t="shared" si="468"/>
        <v>0</v>
      </c>
      <c r="IG20" s="19"/>
      <c r="IH20" s="6">
        <f t="shared" si="469"/>
        <v>0</v>
      </c>
      <c r="II20" s="6">
        <f t="shared" si="340"/>
        <v>1</v>
      </c>
      <c r="IJ20" s="6">
        <f t="shared" si="470"/>
        <v>17</v>
      </c>
      <c r="IK20" s="6">
        <f t="shared" si="341"/>
        <v>0</v>
      </c>
      <c r="IL20" s="6">
        <f t="shared" si="471"/>
        <v>0</v>
      </c>
      <c r="IM20" s="6">
        <f t="shared" si="342"/>
        <v>0</v>
      </c>
      <c r="IN20" s="6">
        <f t="shared" si="472"/>
        <v>0</v>
      </c>
      <c r="IO20" s="6">
        <f t="shared" si="343"/>
        <v>0</v>
      </c>
      <c r="IP20" s="6">
        <f t="shared" si="473"/>
        <v>0</v>
      </c>
      <c r="IQ20" s="6">
        <f t="shared" si="344"/>
        <v>0</v>
      </c>
      <c r="IR20" s="6">
        <f t="shared" si="474"/>
        <v>0</v>
      </c>
      <c r="IS20" s="6">
        <f t="shared" si="345"/>
        <v>0</v>
      </c>
      <c r="IT20" s="6">
        <f t="shared" si="475"/>
        <v>0</v>
      </c>
      <c r="IU20" s="6">
        <f t="shared" si="346"/>
        <v>1</v>
      </c>
      <c r="IV20" s="6">
        <f t="shared" si="476"/>
        <v>17</v>
      </c>
      <c r="IW20" s="6">
        <f t="shared" si="347"/>
        <v>0</v>
      </c>
      <c r="IX20" s="6">
        <f t="shared" si="477"/>
        <v>0</v>
      </c>
      <c r="IY20" s="6">
        <f t="shared" si="348"/>
        <v>0</v>
      </c>
      <c r="IZ20" s="6">
        <f t="shared" si="478"/>
        <v>0</v>
      </c>
      <c r="JA20" s="6">
        <f t="shared" si="349"/>
        <v>0</v>
      </c>
      <c r="JB20" s="6">
        <f t="shared" si="479"/>
        <v>0</v>
      </c>
      <c r="JC20" s="6"/>
      <c r="JD20" s="6"/>
      <c r="JE20" s="6">
        <f>IF($E20=5,IE20-5,NA())</f>
        <v>-5</v>
      </c>
      <c r="JF20" s="20">
        <f>IE20-'Zusammenfassung Tag1-4'!$J$2/18</f>
        <v>-3</v>
      </c>
      <c r="JG20" s="22">
        <f t="shared" si="480"/>
        <v>-51</v>
      </c>
      <c r="JH20" s="18"/>
      <c r="JI20" s="6">
        <f t="shared" si="481"/>
        <v>0</v>
      </c>
      <c r="JJ20" s="19"/>
      <c r="JK20" s="6">
        <f t="shared" si="482"/>
        <v>0</v>
      </c>
      <c r="JL20" s="6">
        <f t="shared" si="351"/>
        <v>1</v>
      </c>
      <c r="JM20" s="6">
        <f t="shared" si="483"/>
        <v>17</v>
      </c>
      <c r="JN20" s="6">
        <f t="shared" si="352"/>
        <v>0</v>
      </c>
      <c r="JO20" s="6">
        <f t="shared" si="484"/>
        <v>0</v>
      </c>
      <c r="JP20" s="6">
        <f t="shared" si="353"/>
        <v>0</v>
      </c>
      <c r="JQ20" s="6">
        <f t="shared" si="485"/>
        <v>0</v>
      </c>
      <c r="JR20" s="6">
        <f t="shared" si="354"/>
        <v>0</v>
      </c>
      <c r="JS20" s="6">
        <f t="shared" si="486"/>
        <v>0</v>
      </c>
      <c r="JT20" s="6">
        <f t="shared" si="355"/>
        <v>0</v>
      </c>
      <c r="JU20" s="6">
        <f t="shared" si="487"/>
        <v>0</v>
      </c>
      <c r="JV20" s="6">
        <f t="shared" si="356"/>
        <v>0</v>
      </c>
      <c r="JW20" s="6">
        <f t="shared" si="488"/>
        <v>0</v>
      </c>
      <c r="JX20" s="6">
        <f t="shared" si="357"/>
        <v>1</v>
      </c>
      <c r="JY20" s="6">
        <f t="shared" si="489"/>
        <v>17</v>
      </c>
      <c r="JZ20" s="6">
        <f t="shared" si="358"/>
        <v>0</v>
      </c>
      <c r="KA20" s="6">
        <f t="shared" si="490"/>
        <v>0</v>
      </c>
      <c r="KB20" s="6">
        <f t="shared" si="359"/>
        <v>0</v>
      </c>
      <c r="KC20" s="6">
        <f t="shared" si="491"/>
        <v>0</v>
      </c>
      <c r="KD20" s="6">
        <f t="shared" si="360"/>
        <v>0</v>
      </c>
      <c r="KE20" s="6">
        <f t="shared" si="492"/>
        <v>0</v>
      </c>
      <c r="KF20" s="6"/>
      <c r="KG20" s="6"/>
      <c r="KH20" s="6">
        <f>IF($E20=5,JH20-5,NA())</f>
        <v>-5</v>
      </c>
      <c r="KI20" s="20">
        <f>JH20-'Zusammenfassung Tag1-4'!$K$2/18</f>
        <v>-0.77777777777777779</v>
      </c>
      <c r="KJ20" s="22">
        <f t="shared" si="493"/>
        <v>-13.222222222222227</v>
      </c>
      <c r="KK20" s="10"/>
      <c r="KL20" s="10"/>
      <c r="KM20" s="10"/>
      <c r="KN20" s="10"/>
      <c r="KO20" s="10"/>
      <c r="KP20" s="10"/>
      <c r="KQ20" s="10"/>
      <c r="KR20" s="10"/>
      <c r="KS20" s="10"/>
      <c r="KT20" s="10"/>
      <c r="KU20" s="10"/>
      <c r="KV20" s="10"/>
      <c r="KW20" s="10"/>
      <c r="KX20" s="10"/>
      <c r="KY20" s="10"/>
      <c r="KZ20" s="10"/>
      <c r="LA20" s="10"/>
      <c r="LB20" s="10"/>
      <c r="LC20" s="10"/>
      <c r="LD20" s="10"/>
    </row>
    <row r="21" spans="1:316" ht="15.75" customHeight="1" x14ac:dyDescent="0.25">
      <c r="A21" s="106"/>
      <c r="B21" s="103"/>
      <c r="C21" s="3">
        <v>18</v>
      </c>
      <c r="D21" s="3">
        <f t="shared" si="362"/>
        <v>18</v>
      </c>
      <c r="E21" s="3">
        <v>4</v>
      </c>
      <c r="F21" s="23">
        <f t="shared" si="363"/>
        <v>72</v>
      </c>
      <c r="G21" s="24">
        <v>7</v>
      </c>
      <c r="H21" s="3">
        <f t="shared" si="364"/>
        <v>87</v>
      </c>
      <c r="I21" s="25">
        <v>2</v>
      </c>
      <c r="J21" s="3">
        <f t="shared" si="365"/>
        <v>36</v>
      </c>
      <c r="K21" s="3">
        <f t="shared" si="252"/>
        <v>0</v>
      </c>
      <c r="L21" s="3">
        <f t="shared" si="366"/>
        <v>8</v>
      </c>
      <c r="M21" s="3">
        <f t="shared" si="253"/>
        <v>0</v>
      </c>
      <c r="N21" s="3">
        <f t="shared" si="367"/>
        <v>1</v>
      </c>
      <c r="O21" s="3">
        <f t="shared" si="254"/>
        <v>0</v>
      </c>
      <c r="P21" s="3">
        <f t="shared" si="368"/>
        <v>1</v>
      </c>
      <c r="Q21" s="3">
        <f t="shared" si="255"/>
        <v>0</v>
      </c>
      <c r="R21" s="3">
        <f t="shared" si="369"/>
        <v>6</v>
      </c>
      <c r="S21" s="3">
        <f t="shared" si="256"/>
        <v>0</v>
      </c>
      <c r="T21" s="3">
        <f t="shared" si="370"/>
        <v>7</v>
      </c>
      <c r="U21" s="3">
        <f t="shared" si="257"/>
        <v>1</v>
      </c>
      <c r="V21" s="3">
        <f t="shared" si="371"/>
        <v>4</v>
      </c>
      <c r="W21" s="3">
        <f t="shared" si="258"/>
        <v>0</v>
      </c>
      <c r="X21" s="3">
        <f t="shared" si="372"/>
        <v>0</v>
      </c>
      <c r="Y21" s="3">
        <f t="shared" si="259"/>
        <v>0</v>
      </c>
      <c r="Z21" s="3">
        <f t="shared" si="373"/>
        <v>4</v>
      </c>
      <c r="AA21" s="3">
        <f t="shared" si="260"/>
        <v>1</v>
      </c>
      <c r="AB21" s="3">
        <f t="shared" si="374"/>
        <v>11</v>
      </c>
      <c r="AC21" s="3">
        <f t="shared" si="261"/>
        <v>0</v>
      </c>
      <c r="AD21" s="3">
        <f t="shared" si="375"/>
        <v>3</v>
      </c>
      <c r="AE21" s="6"/>
      <c r="AF21" s="6">
        <f>IF($E21=4,G21-4,NA())</f>
        <v>3</v>
      </c>
      <c r="AG21" s="3"/>
      <c r="AH21" s="26">
        <f>G21-'Zusammenfassung Tag1-4'!$B$2/18</f>
        <v>5.8888888888888893</v>
      </c>
      <c r="AI21" s="27">
        <f t="shared" si="376"/>
        <v>66.999999999999972</v>
      </c>
      <c r="AJ21" s="24">
        <v>5</v>
      </c>
      <c r="AK21" s="3">
        <f t="shared" si="377"/>
        <v>82</v>
      </c>
      <c r="AL21" s="25">
        <v>2</v>
      </c>
      <c r="AM21" s="3">
        <f t="shared" si="378"/>
        <v>35</v>
      </c>
      <c r="AN21" s="3">
        <f t="shared" si="263"/>
        <v>0</v>
      </c>
      <c r="AO21" s="3">
        <f t="shared" si="379"/>
        <v>10</v>
      </c>
      <c r="AP21" s="3">
        <f t="shared" si="264"/>
        <v>0</v>
      </c>
      <c r="AQ21" s="3">
        <f t="shared" si="380"/>
        <v>3</v>
      </c>
      <c r="AR21" s="3">
        <f t="shared" si="265"/>
        <v>0</v>
      </c>
      <c r="AS21" s="3">
        <f t="shared" si="381"/>
        <v>0</v>
      </c>
      <c r="AT21" s="3">
        <f t="shared" si="266"/>
        <v>0</v>
      </c>
      <c r="AU21" s="3">
        <f t="shared" si="382"/>
        <v>10</v>
      </c>
      <c r="AV21" s="3">
        <f t="shared" si="267"/>
        <v>1</v>
      </c>
      <c r="AW21" s="3">
        <f t="shared" si="383"/>
        <v>6</v>
      </c>
      <c r="AX21" s="3">
        <f t="shared" si="268"/>
        <v>0</v>
      </c>
      <c r="AY21" s="3">
        <f t="shared" si="384"/>
        <v>2</v>
      </c>
      <c r="AZ21" s="3">
        <f t="shared" si="269"/>
        <v>0</v>
      </c>
      <c r="BA21" s="3">
        <f t="shared" si="385"/>
        <v>0</v>
      </c>
      <c r="BB21" s="3">
        <f t="shared" si="270"/>
        <v>0</v>
      </c>
      <c r="BC21" s="3">
        <f t="shared" si="386"/>
        <v>4</v>
      </c>
      <c r="BD21" s="3">
        <f t="shared" si="271"/>
        <v>1</v>
      </c>
      <c r="BE21" s="3">
        <f t="shared" si="387"/>
        <v>11</v>
      </c>
      <c r="BF21" s="3">
        <f t="shared" si="272"/>
        <v>0</v>
      </c>
      <c r="BG21" s="3">
        <f t="shared" si="388"/>
        <v>3</v>
      </c>
      <c r="BH21" s="3"/>
      <c r="BI21" s="3">
        <f>IF($E21=4,AJ21-4,NA())</f>
        <v>1</v>
      </c>
      <c r="BJ21" s="3"/>
      <c r="BK21" s="26">
        <f>AJ21-'Zusammenfassung Tag1-4'!$C$2/18</f>
        <v>4.333333333333333</v>
      </c>
      <c r="BL21" s="27">
        <f t="shared" si="389"/>
        <v>70.000000000000014</v>
      </c>
      <c r="BM21" s="24">
        <v>9</v>
      </c>
      <c r="BN21" s="3">
        <f t="shared" si="390"/>
        <v>100</v>
      </c>
      <c r="BO21" s="25">
        <v>1</v>
      </c>
      <c r="BP21" s="3">
        <f t="shared" si="391"/>
        <v>36</v>
      </c>
      <c r="BQ21" s="3">
        <f t="shared" si="274"/>
        <v>0</v>
      </c>
      <c r="BR21" s="3">
        <f t="shared" si="392"/>
        <v>4</v>
      </c>
      <c r="BS21" s="3">
        <f t="shared" si="275"/>
        <v>0</v>
      </c>
      <c r="BT21" s="3">
        <f t="shared" si="393"/>
        <v>1</v>
      </c>
      <c r="BU21" s="3">
        <f t="shared" si="276"/>
        <v>0</v>
      </c>
      <c r="BV21" s="3">
        <f t="shared" si="394"/>
        <v>0</v>
      </c>
      <c r="BW21" s="3">
        <f t="shared" si="277"/>
        <v>0</v>
      </c>
      <c r="BX21" s="3">
        <f t="shared" si="395"/>
        <v>5</v>
      </c>
      <c r="BY21" s="3">
        <f t="shared" si="278"/>
        <v>0</v>
      </c>
      <c r="BZ21" s="3">
        <f t="shared" si="396"/>
        <v>5</v>
      </c>
      <c r="CA21" s="3">
        <f t="shared" si="279"/>
        <v>1</v>
      </c>
      <c r="CB21" s="3">
        <f t="shared" si="397"/>
        <v>8</v>
      </c>
      <c r="CC21" s="3">
        <f t="shared" si="280"/>
        <v>0</v>
      </c>
      <c r="CD21" s="3">
        <f t="shared" si="398"/>
        <v>0</v>
      </c>
      <c r="CE21" s="3">
        <f t="shared" si="281"/>
        <v>1</v>
      </c>
      <c r="CF21" s="3">
        <f t="shared" si="399"/>
        <v>3</v>
      </c>
      <c r="CG21" s="3">
        <f t="shared" si="282"/>
        <v>0</v>
      </c>
      <c r="CH21" s="3">
        <f t="shared" si="400"/>
        <v>12</v>
      </c>
      <c r="CI21" s="3">
        <f t="shared" si="283"/>
        <v>0</v>
      </c>
      <c r="CJ21" s="3">
        <f t="shared" si="401"/>
        <v>3</v>
      </c>
      <c r="CK21" s="6"/>
      <c r="CL21" s="6">
        <f>IF($E21=4,BM21-4,NA())</f>
        <v>5</v>
      </c>
      <c r="CM21" s="3"/>
      <c r="CN21" s="26">
        <f>BM21-'Zusammenfassung Tag1-4'!$D$2/18</f>
        <v>7.666666666666667</v>
      </c>
      <c r="CO21" s="27">
        <f t="shared" si="402"/>
        <v>75.999999999999986</v>
      </c>
      <c r="CP21" s="24">
        <v>8</v>
      </c>
      <c r="CQ21" s="3">
        <f t="shared" si="403"/>
        <v>99</v>
      </c>
      <c r="CR21" s="25">
        <v>3</v>
      </c>
      <c r="CS21" s="3">
        <f t="shared" si="404"/>
        <v>38</v>
      </c>
      <c r="CT21" s="3">
        <f t="shared" si="285"/>
        <v>0</v>
      </c>
      <c r="CU21" s="3">
        <f t="shared" si="405"/>
        <v>4</v>
      </c>
      <c r="CV21" s="3">
        <f t="shared" si="286"/>
        <v>0</v>
      </c>
      <c r="CW21" s="3">
        <f t="shared" si="406"/>
        <v>2</v>
      </c>
      <c r="CX21" s="3">
        <f t="shared" si="287"/>
        <v>0</v>
      </c>
      <c r="CY21" s="3">
        <f t="shared" si="407"/>
        <v>0</v>
      </c>
      <c r="CZ21" s="3">
        <f t="shared" si="288"/>
        <v>0</v>
      </c>
      <c r="DA21" s="3">
        <f t="shared" si="408"/>
        <v>4</v>
      </c>
      <c r="DB21" s="3">
        <f t="shared" si="289"/>
        <v>0</v>
      </c>
      <c r="DC21" s="3">
        <f t="shared" si="409"/>
        <v>5</v>
      </c>
      <c r="DD21" s="3">
        <f t="shared" si="290"/>
        <v>1</v>
      </c>
      <c r="DE21" s="3">
        <f t="shared" si="410"/>
        <v>9</v>
      </c>
      <c r="DF21" s="3">
        <f t="shared" si="291"/>
        <v>0</v>
      </c>
      <c r="DG21" s="3">
        <f t="shared" si="411"/>
        <v>0</v>
      </c>
      <c r="DH21" s="3">
        <f t="shared" si="292"/>
        <v>0</v>
      </c>
      <c r="DI21" s="3">
        <f t="shared" si="412"/>
        <v>3</v>
      </c>
      <c r="DJ21" s="3">
        <f t="shared" si="293"/>
        <v>0</v>
      </c>
      <c r="DK21" s="3">
        <f t="shared" si="413"/>
        <v>10</v>
      </c>
      <c r="DL21" s="3">
        <f t="shared" si="294"/>
        <v>1</v>
      </c>
      <c r="DM21" s="3">
        <f t="shared" si="414"/>
        <v>5</v>
      </c>
      <c r="DN21" s="3"/>
      <c r="DO21" s="3">
        <f>IF($E21=4,CP21-4,NA())</f>
        <v>4</v>
      </c>
      <c r="DP21" s="3"/>
      <c r="DQ21" s="26">
        <f>CP21-'Zusammenfassung Tag1-4'!$E$2/18</f>
        <v>6.7222222222222223</v>
      </c>
      <c r="DR21" s="28">
        <f t="shared" si="415"/>
        <v>76</v>
      </c>
      <c r="DS21" s="24">
        <v>7</v>
      </c>
      <c r="DT21" s="3">
        <f t="shared" si="416"/>
        <v>137</v>
      </c>
      <c r="DU21" s="25">
        <v>3</v>
      </c>
      <c r="DV21" s="3">
        <f t="shared" si="417"/>
        <v>42</v>
      </c>
      <c r="DW21" s="3">
        <f t="shared" si="296"/>
        <v>0</v>
      </c>
      <c r="DX21" s="3">
        <f t="shared" si="418"/>
        <v>1</v>
      </c>
      <c r="DY21" s="3">
        <f t="shared" si="297"/>
        <v>0</v>
      </c>
      <c r="DZ21" s="3">
        <f t="shared" si="419"/>
        <v>0</v>
      </c>
      <c r="EA21" s="3">
        <f t="shared" si="298"/>
        <v>0</v>
      </c>
      <c r="EB21" s="3">
        <f t="shared" si="420"/>
        <v>0</v>
      </c>
      <c r="EC21" s="3">
        <f t="shared" si="299"/>
        <v>0</v>
      </c>
      <c r="ED21" s="3">
        <f t="shared" si="421"/>
        <v>1</v>
      </c>
      <c r="EE21" s="3">
        <f t="shared" si="300"/>
        <v>0</v>
      </c>
      <c r="EF21" s="3">
        <f t="shared" si="422"/>
        <v>1</v>
      </c>
      <c r="EG21" s="3">
        <f t="shared" si="301"/>
        <v>1</v>
      </c>
      <c r="EH21" s="3">
        <f t="shared" si="423"/>
        <v>16</v>
      </c>
      <c r="EI21" s="3">
        <f t="shared" si="302"/>
        <v>0</v>
      </c>
      <c r="EJ21" s="3">
        <f t="shared" si="424"/>
        <v>0</v>
      </c>
      <c r="EK21" s="3">
        <f t="shared" si="303"/>
        <v>0</v>
      </c>
      <c r="EL21" s="3">
        <f t="shared" si="425"/>
        <v>0</v>
      </c>
      <c r="EM21" s="3">
        <f t="shared" si="304"/>
        <v>0</v>
      </c>
      <c r="EN21" s="3">
        <f t="shared" si="426"/>
        <v>13</v>
      </c>
      <c r="EO21" s="3">
        <f t="shared" si="305"/>
        <v>1</v>
      </c>
      <c r="EP21" s="3">
        <f t="shared" si="427"/>
        <v>5</v>
      </c>
      <c r="EQ21" s="3"/>
      <c r="ER21" s="3">
        <f>IF($E21=4,DS21-4,NA())</f>
        <v>3</v>
      </c>
      <c r="ES21" s="3"/>
      <c r="ET21" s="26">
        <f>DS21-'Zusammenfassung Tag1-4'!$F$2/18</f>
        <v>4</v>
      </c>
      <c r="EU21" s="28">
        <f t="shared" si="428"/>
        <v>83</v>
      </c>
      <c r="EV21" s="24">
        <v>7</v>
      </c>
      <c r="EW21" s="3">
        <f t="shared" si="429"/>
        <v>102</v>
      </c>
      <c r="EX21" s="25">
        <v>3</v>
      </c>
      <c r="EY21" s="3">
        <f t="shared" si="430"/>
        <v>42</v>
      </c>
      <c r="EZ21" s="3">
        <f t="shared" si="307"/>
        <v>0</v>
      </c>
      <c r="FA21" s="3">
        <f t="shared" si="431"/>
        <v>4</v>
      </c>
      <c r="FB21" s="3">
        <f t="shared" si="308"/>
        <v>0</v>
      </c>
      <c r="FC21" s="3">
        <f t="shared" si="432"/>
        <v>0</v>
      </c>
      <c r="FD21" s="3">
        <f t="shared" si="309"/>
        <v>0</v>
      </c>
      <c r="FE21" s="3">
        <f t="shared" si="433"/>
        <v>0</v>
      </c>
      <c r="FF21" s="3">
        <f t="shared" si="310"/>
        <v>0</v>
      </c>
      <c r="FG21" s="3">
        <f t="shared" si="434"/>
        <v>2</v>
      </c>
      <c r="FH21" s="3">
        <f t="shared" si="311"/>
        <v>0</v>
      </c>
      <c r="FI21" s="3">
        <f t="shared" si="435"/>
        <v>5</v>
      </c>
      <c r="FJ21" s="3">
        <f t="shared" si="312"/>
        <v>1</v>
      </c>
      <c r="FK21" s="3">
        <f t="shared" si="436"/>
        <v>11</v>
      </c>
      <c r="FL21" s="3">
        <f t="shared" si="313"/>
        <v>0</v>
      </c>
      <c r="FM21" s="3">
        <f t="shared" si="437"/>
        <v>0</v>
      </c>
      <c r="FN21" s="3">
        <f t="shared" si="314"/>
        <v>0</v>
      </c>
      <c r="FO21" s="3">
        <f t="shared" si="438"/>
        <v>1</v>
      </c>
      <c r="FP21" s="3">
        <f t="shared" si="315"/>
        <v>0</v>
      </c>
      <c r="FQ21" s="3">
        <f t="shared" si="439"/>
        <v>10</v>
      </c>
      <c r="FR21" s="3">
        <f t="shared" si="316"/>
        <v>1</v>
      </c>
      <c r="FS21" s="3">
        <f t="shared" si="440"/>
        <v>7</v>
      </c>
      <c r="FT21" s="3"/>
      <c r="FU21" s="3">
        <f>IF($E21=4,EV21-4,NA())</f>
        <v>3</v>
      </c>
      <c r="FV21" s="3"/>
      <c r="FW21" s="26">
        <f>EV21-'Zusammenfassung Tag1-4'!$G$2/18</f>
        <v>5.5</v>
      </c>
      <c r="FX21" s="28">
        <f t="shared" si="441"/>
        <v>75</v>
      </c>
      <c r="FY21" s="24">
        <v>10</v>
      </c>
      <c r="FZ21" s="3">
        <f t="shared" si="442"/>
        <v>131</v>
      </c>
      <c r="GA21" s="25">
        <v>2</v>
      </c>
      <c r="GB21" s="3">
        <f t="shared" si="443"/>
        <v>42</v>
      </c>
      <c r="GC21" s="3">
        <f t="shared" si="318"/>
        <v>0</v>
      </c>
      <c r="GD21" s="3">
        <f t="shared" si="444"/>
        <v>1</v>
      </c>
      <c r="GE21" s="3">
        <f t="shared" si="319"/>
        <v>0</v>
      </c>
      <c r="GF21" s="3">
        <f t="shared" si="445"/>
        <v>0</v>
      </c>
      <c r="GG21" s="3">
        <f t="shared" si="320"/>
        <v>0</v>
      </c>
      <c r="GH21" s="3">
        <f t="shared" si="446"/>
        <v>0</v>
      </c>
      <c r="GI21" s="3">
        <f t="shared" si="321"/>
        <v>0</v>
      </c>
      <c r="GJ21" s="3">
        <f t="shared" si="447"/>
        <v>0</v>
      </c>
      <c r="GK21" s="3">
        <f t="shared" si="322"/>
        <v>0</v>
      </c>
      <c r="GL21" s="3">
        <f t="shared" si="448"/>
        <v>2</v>
      </c>
      <c r="GM21" s="3">
        <f t="shared" si="323"/>
        <v>1</v>
      </c>
      <c r="GN21" s="3">
        <f t="shared" si="449"/>
        <v>16</v>
      </c>
      <c r="GO21" s="3">
        <f t="shared" si="324"/>
        <v>0</v>
      </c>
      <c r="GP21" s="3">
        <f t="shared" si="450"/>
        <v>0</v>
      </c>
      <c r="GQ21" s="3">
        <f t="shared" si="325"/>
        <v>0</v>
      </c>
      <c r="GR21" s="3">
        <f t="shared" si="451"/>
        <v>2</v>
      </c>
      <c r="GS21" s="3">
        <f t="shared" si="326"/>
        <v>1</v>
      </c>
      <c r="GT21" s="3">
        <f t="shared" si="452"/>
        <v>8</v>
      </c>
      <c r="GU21" s="3">
        <f t="shared" si="327"/>
        <v>0</v>
      </c>
      <c r="GV21" s="3">
        <f t="shared" si="453"/>
        <v>8</v>
      </c>
      <c r="GW21" s="3"/>
      <c r="GX21" s="3">
        <f>IF($E21=4,FY21-4,NA())</f>
        <v>6</v>
      </c>
      <c r="GY21" s="3"/>
      <c r="GZ21" s="26">
        <f>FY21-'Zusammenfassung Tag1-4'!$H$2/18</f>
        <v>7</v>
      </c>
      <c r="HA21" s="28">
        <f t="shared" si="454"/>
        <v>77</v>
      </c>
      <c r="HB21" s="24">
        <v>4</v>
      </c>
      <c r="HC21" s="3">
        <f t="shared" si="455"/>
        <v>95</v>
      </c>
      <c r="HD21" s="25">
        <v>2</v>
      </c>
      <c r="HE21" s="3">
        <f t="shared" si="456"/>
        <v>39</v>
      </c>
      <c r="HF21" s="3">
        <f t="shared" si="329"/>
        <v>1</v>
      </c>
      <c r="HG21" s="3">
        <f t="shared" si="457"/>
        <v>7</v>
      </c>
      <c r="HH21" s="3">
        <f t="shared" si="330"/>
        <v>0</v>
      </c>
      <c r="HI21" s="3">
        <f t="shared" si="458"/>
        <v>2</v>
      </c>
      <c r="HJ21" s="3">
        <f t="shared" si="331"/>
        <v>0</v>
      </c>
      <c r="HK21" s="3">
        <f t="shared" si="459"/>
        <v>0</v>
      </c>
      <c r="HL21" s="3">
        <f t="shared" si="332"/>
        <v>1</v>
      </c>
      <c r="HM21" s="3">
        <f t="shared" si="460"/>
        <v>5</v>
      </c>
      <c r="HN21" s="3">
        <f t="shared" si="333"/>
        <v>0</v>
      </c>
      <c r="HO21" s="3">
        <f t="shared" si="461"/>
        <v>8</v>
      </c>
      <c r="HP21" s="3">
        <f t="shared" si="334"/>
        <v>0</v>
      </c>
      <c r="HQ21" s="3">
        <f t="shared" si="462"/>
        <v>5</v>
      </c>
      <c r="HR21" s="3">
        <f t="shared" si="335"/>
        <v>0</v>
      </c>
      <c r="HS21" s="3">
        <f t="shared" si="463"/>
        <v>0</v>
      </c>
      <c r="HT21" s="3">
        <f t="shared" si="336"/>
        <v>0</v>
      </c>
      <c r="HU21" s="3">
        <f t="shared" si="464"/>
        <v>2</v>
      </c>
      <c r="HV21" s="3">
        <f t="shared" si="337"/>
        <v>1</v>
      </c>
      <c r="HW21" s="3">
        <f t="shared" si="465"/>
        <v>11</v>
      </c>
      <c r="HX21" s="3">
        <f t="shared" si="338"/>
        <v>0</v>
      </c>
      <c r="HY21" s="3">
        <f t="shared" si="466"/>
        <v>5</v>
      </c>
      <c r="HZ21" s="3"/>
      <c r="IA21" s="3">
        <f>IF($E21=4,HB21-4,NA())</f>
        <v>0</v>
      </c>
      <c r="IB21" s="3"/>
      <c r="IC21" s="26">
        <f>HB21-'Zusammenfassung Tag1-4'!$I$2/18</f>
        <v>3</v>
      </c>
      <c r="ID21" s="28">
        <f t="shared" si="467"/>
        <v>77</v>
      </c>
      <c r="IE21" s="24"/>
      <c r="IF21" s="3">
        <f t="shared" si="468"/>
        <v>0</v>
      </c>
      <c r="IG21" s="25"/>
      <c r="IH21" s="3">
        <f t="shared" si="469"/>
        <v>0</v>
      </c>
      <c r="II21" s="3">
        <f t="shared" si="340"/>
        <v>1</v>
      </c>
      <c r="IJ21" s="3">
        <f t="shared" si="470"/>
        <v>18</v>
      </c>
      <c r="IK21" s="3">
        <f t="shared" si="341"/>
        <v>0</v>
      </c>
      <c r="IL21" s="3">
        <f t="shared" si="471"/>
        <v>0</v>
      </c>
      <c r="IM21" s="3">
        <f t="shared" si="342"/>
        <v>0</v>
      </c>
      <c r="IN21" s="3">
        <f t="shared" si="472"/>
        <v>0</v>
      </c>
      <c r="IO21" s="3">
        <f t="shared" si="343"/>
        <v>0</v>
      </c>
      <c r="IP21" s="3">
        <f t="shared" si="473"/>
        <v>0</v>
      </c>
      <c r="IQ21" s="3">
        <f t="shared" si="344"/>
        <v>0</v>
      </c>
      <c r="IR21" s="3">
        <f t="shared" si="474"/>
        <v>0</v>
      </c>
      <c r="IS21" s="3">
        <f t="shared" si="345"/>
        <v>0</v>
      </c>
      <c r="IT21" s="3">
        <f t="shared" si="475"/>
        <v>0</v>
      </c>
      <c r="IU21" s="3">
        <f t="shared" si="346"/>
        <v>1</v>
      </c>
      <c r="IV21" s="3">
        <f t="shared" si="476"/>
        <v>18</v>
      </c>
      <c r="IW21" s="3">
        <f t="shared" si="347"/>
        <v>0</v>
      </c>
      <c r="IX21" s="3">
        <f t="shared" si="477"/>
        <v>0</v>
      </c>
      <c r="IY21" s="3">
        <f t="shared" si="348"/>
        <v>0</v>
      </c>
      <c r="IZ21" s="3">
        <f t="shared" si="478"/>
        <v>0</v>
      </c>
      <c r="JA21" s="3">
        <f t="shared" si="349"/>
        <v>0</v>
      </c>
      <c r="JB21" s="3">
        <f t="shared" si="479"/>
        <v>0</v>
      </c>
      <c r="JC21" s="3"/>
      <c r="JD21" s="3">
        <f>IF($E21=4,IE21-4,NA())</f>
        <v>-4</v>
      </c>
      <c r="JE21" s="3"/>
      <c r="JF21" s="26">
        <f>IE21-'Zusammenfassung Tag1-4'!$J$2/18</f>
        <v>-3</v>
      </c>
      <c r="JG21" s="28">
        <f t="shared" si="480"/>
        <v>-54</v>
      </c>
      <c r="JH21" s="24"/>
      <c r="JI21" s="3">
        <f t="shared" si="481"/>
        <v>0</v>
      </c>
      <c r="JJ21" s="25"/>
      <c r="JK21" s="3">
        <f t="shared" si="482"/>
        <v>0</v>
      </c>
      <c r="JL21" s="3">
        <f t="shared" si="351"/>
        <v>1</v>
      </c>
      <c r="JM21" s="3">
        <f t="shared" si="483"/>
        <v>18</v>
      </c>
      <c r="JN21" s="3">
        <f t="shared" si="352"/>
        <v>0</v>
      </c>
      <c r="JO21" s="3">
        <f t="shared" si="484"/>
        <v>0</v>
      </c>
      <c r="JP21" s="3">
        <f t="shared" si="353"/>
        <v>0</v>
      </c>
      <c r="JQ21" s="3">
        <f t="shared" si="485"/>
        <v>0</v>
      </c>
      <c r="JR21" s="3">
        <f t="shared" si="354"/>
        <v>0</v>
      </c>
      <c r="JS21" s="3">
        <f t="shared" si="486"/>
        <v>0</v>
      </c>
      <c r="JT21" s="3">
        <f t="shared" si="355"/>
        <v>0</v>
      </c>
      <c r="JU21" s="3">
        <f t="shared" si="487"/>
        <v>0</v>
      </c>
      <c r="JV21" s="3">
        <f t="shared" si="356"/>
        <v>0</v>
      </c>
      <c r="JW21" s="3">
        <f t="shared" si="488"/>
        <v>0</v>
      </c>
      <c r="JX21" s="3">
        <f t="shared" si="357"/>
        <v>1</v>
      </c>
      <c r="JY21" s="3">
        <f t="shared" si="489"/>
        <v>18</v>
      </c>
      <c r="JZ21" s="3">
        <f t="shared" si="358"/>
        <v>0</v>
      </c>
      <c r="KA21" s="3">
        <f t="shared" si="490"/>
        <v>0</v>
      </c>
      <c r="KB21" s="3">
        <f t="shared" si="359"/>
        <v>0</v>
      </c>
      <c r="KC21" s="3">
        <f t="shared" si="491"/>
        <v>0</v>
      </c>
      <c r="KD21" s="3">
        <f t="shared" si="360"/>
        <v>0</v>
      </c>
      <c r="KE21" s="3">
        <f t="shared" si="492"/>
        <v>0</v>
      </c>
      <c r="KF21" s="3"/>
      <c r="KG21" s="3">
        <f>IF($E21=4,JH21-4,NA())</f>
        <v>-4</v>
      </c>
      <c r="KH21" s="3"/>
      <c r="KI21" s="26">
        <f>JH21-'Zusammenfassung Tag1-4'!$K$2/18</f>
        <v>-0.77777777777777779</v>
      </c>
      <c r="KJ21" s="28">
        <f t="shared" si="493"/>
        <v>-14.000000000000005</v>
      </c>
      <c r="KK21" s="10"/>
      <c r="KL21" s="10"/>
      <c r="KM21" s="10"/>
      <c r="KN21" s="10"/>
      <c r="KO21" s="10"/>
      <c r="KP21" s="10"/>
      <c r="KQ21" s="10"/>
      <c r="KR21" s="10"/>
      <c r="KS21" s="10"/>
      <c r="KT21" s="10"/>
      <c r="KU21" s="10"/>
      <c r="KV21" s="10"/>
      <c r="KW21" s="10"/>
      <c r="KX21" s="10"/>
      <c r="KY21" s="10"/>
      <c r="KZ21" s="10"/>
      <c r="LA21" s="10"/>
      <c r="LB21" s="10"/>
      <c r="LC21" s="10"/>
      <c r="LD21" s="10"/>
    </row>
    <row r="22" spans="1:316" ht="15.75" customHeight="1" x14ac:dyDescent="0.25">
      <c r="A22" s="106"/>
      <c r="B22" s="104"/>
      <c r="C22" s="3" t="s">
        <v>47</v>
      </c>
      <c r="D22" s="3"/>
      <c r="E22" s="4">
        <f>SUM(E13:E21)</f>
        <v>36</v>
      </c>
      <c r="F22" s="5"/>
      <c r="G22" s="3">
        <f>SUM(G13:G21)</f>
        <v>43</v>
      </c>
      <c r="H22" s="3"/>
      <c r="I22" s="3">
        <f>SUM(I13:I21)</f>
        <v>18</v>
      </c>
      <c r="J22" s="3"/>
      <c r="K22" s="3">
        <f>SUM(K13:K21)</f>
        <v>4</v>
      </c>
      <c r="L22" s="3"/>
      <c r="M22" s="3">
        <f>SUM(M13:M21)</f>
        <v>1</v>
      </c>
      <c r="N22" s="3"/>
      <c r="O22" s="3">
        <f>SUM(O13:O21)</f>
        <v>0</v>
      </c>
      <c r="P22" s="3"/>
      <c r="Q22" s="3">
        <f>SUM(Q13:Q21)</f>
        <v>4</v>
      </c>
      <c r="R22" s="3"/>
      <c r="S22" s="3">
        <f>SUM(S13:S21)</f>
        <v>4</v>
      </c>
      <c r="T22" s="3"/>
      <c r="U22" s="3">
        <f>SUM(U13:U21)</f>
        <v>1</v>
      </c>
      <c r="V22" s="3"/>
      <c r="W22" s="3">
        <f>SUM(W13:W21)</f>
        <v>0</v>
      </c>
      <c r="X22" s="3"/>
      <c r="Y22" s="3">
        <f>SUM(Y13:Y21)</f>
        <v>1</v>
      </c>
      <c r="Z22" s="3"/>
      <c r="AA22" s="3">
        <f>SUM(AA13:AA21)</f>
        <v>7</v>
      </c>
      <c r="AB22" s="3"/>
      <c r="AC22" s="3">
        <f>SUM(AC13:AC21)</f>
        <v>1</v>
      </c>
      <c r="AD22" s="3"/>
      <c r="AE22" s="31">
        <f t="shared" ref="AE22:AG22" si="494">AVERAGE(AE13:AE21)</f>
        <v>0.5</v>
      </c>
      <c r="AF22" s="31">
        <f t="shared" si="494"/>
        <v>0.8</v>
      </c>
      <c r="AG22" s="31">
        <f t="shared" si="494"/>
        <v>1</v>
      </c>
      <c r="AH22" s="26">
        <f>SUM(AH13:AH21)</f>
        <v>33</v>
      </c>
      <c r="AI22" s="23"/>
      <c r="AJ22" s="29">
        <f>SUM(AJ13:AJ21)</f>
        <v>41</v>
      </c>
      <c r="AK22" s="3"/>
      <c r="AL22" s="3">
        <f>SUM(AL13:AL21)</f>
        <v>15</v>
      </c>
      <c r="AM22" s="3"/>
      <c r="AN22" s="3">
        <f>SUM(AN13:AN21)</f>
        <v>3</v>
      </c>
      <c r="AO22" s="3"/>
      <c r="AP22" s="3">
        <f>SUM(AP13:AP21)</f>
        <v>2</v>
      </c>
      <c r="AQ22" s="3"/>
      <c r="AR22" s="3">
        <f>SUM(AR13:AR21)</f>
        <v>0</v>
      </c>
      <c r="AS22" s="3"/>
      <c r="AT22" s="3">
        <f>SUM(AT13:AT21)</f>
        <v>5</v>
      </c>
      <c r="AU22" s="3"/>
      <c r="AV22" s="3">
        <f>SUM(AV13:AV21)</f>
        <v>3</v>
      </c>
      <c r="AW22" s="3"/>
      <c r="AX22" s="3">
        <f>SUM(AX13:AX21)</f>
        <v>1</v>
      </c>
      <c r="AY22" s="3"/>
      <c r="AZ22" s="3">
        <f>SUM(AZ13:AZ21)</f>
        <v>0</v>
      </c>
      <c r="BA22" s="3"/>
      <c r="BB22" s="3">
        <f>SUM(BB13:BB21)</f>
        <v>3</v>
      </c>
      <c r="BC22" s="3"/>
      <c r="BD22" s="3">
        <f>SUM(BD13:BD21)</f>
        <v>6</v>
      </c>
      <c r="BE22" s="3"/>
      <c r="BF22" s="3">
        <f>SUM(BF13:BF21)</f>
        <v>0</v>
      </c>
      <c r="BG22" s="3"/>
      <c r="BH22" s="31">
        <f t="shared" ref="BH22:BJ22" si="495">AVERAGE(BH13:BH21)</f>
        <v>1</v>
      </c>
      <c r="BI22" s="31">
        <f t="shared" si="495"/>
        <v>0.6</v>
      </c>
      <c r="BJ22" s="31">
        <f t="shared" si="495"/>
        <v>0</v>
      </c>
      <c r="BK22" s="26">
        <f>SUM(BK13:BK21)</f>
        <v>34.999999999999993</v>
      </c>
      <c r="BL22" s="23"/>
      <c r="BM22" s="29">
        <f>SUM(BM13:BM21)</f>
        <v>52</v>
      </c>
      <c r="BN22" s="3"/>
      <c r="BO22" s="3">
        <f>SUM(BO13:BO21)</f>
        <v>18</v>
      </c>
      <c r="BP22" s="3"/>
      <c r="BQ22" s="3">
        <f>SUM(BQ13:BQ21)</f>
        <v>1</v>
      </c>
      <c r="BR22" s="3"/>
      <c r="BS22" s="3">
        <f>SUM(BS13:BS21)</f>
        <v>0</v>
      </c>
      <c r="BT22" s="3"/>
      <c r="BU22" s="3">
        <f>SUM(BU13:BU21)</f>
        <v>0</v>
      </c>
      <c r="BV22" s="3"/>
      <c r="BW22" s="3">
        <f>SUM(BW13:BW21)</f>
        <v>1</v>
      </c>
      <c r="BX22" s="3"/>
      <c r="BY22" s="3">
        <f>SUM(BY13:BY21)</f>
        <v>3</v>
      </c>
      <c r="BZ22" s="3"/>
      <c r="CA22" s="3">
        <f>SUM(CA13:CA21)</f>
        <v>5</v>
      </c>
      <c r="CB22" s="3"/>
      <c r="CC22" s="3">
        <f>SUM(CC13:CC21)</f>
        <v>0</v>
      </c>
      <c r="CD22" s="3"/>
      <c r="CE22" s="3">
        <f>SUM(CE13:CE21)</f>
        <v>1</v>
      </c>
      <c r="CF22" s="3"/>
      <c r="CG22" s="3">
        <f>SUM(CG13:CG21)</f>
        <v>7</v>
      </c>
      <c r="CH22" s="3"/>
      <c r="CI22" s="3">
        <f>SUM(CI13:CI21)</f>
        <v>1</v>
      </c>
      <c r="CJ22" s="3"/>
      <c r="CK22" s="31">
        <f t="shared" ref="CK22:CM22" si="496">AVERAGE(CK13:CK21)</f>
        <v>2</v>
      </c>
      <c r="CL22" s="31">
        <f t="shared" si="496"/>
        <v>2</v>
      </c>
      <c r="CM22" s="31">
        <f t="shared" si="496"/>
        <v>1</v>
      </c>
      <c r="CN22" s="26">
        <f>SUM(CN13:CN21)</f>
        <v>40</v>
      </c>
      <c r="CO22" s="23"/>
      <c r="CP22" s="29">
        <f>SUM(CP13:CP21)</f>
        <v>54</v>
      </c>
      <c r="CQ22" s="3"/>
      <c r="CR22" s="3">
        <f>SUM(CR13:CR21)</f>
        <v>21</v>
      </c>
      <c r="CS22" s="3"/>
      <c r="CT22" s="3">
        <f>SUM(CT13:CT21)</f>
        <v>1</v>
      </c>
      <c r="CU22" s="3"/>
      <c r="CV22" s="3">
        <f>SUM(CV13:CV21)</f>
        <v>1</v>
      </c>
      <c r="CW22" s="3"/>
      <c r="CX22" s="3">
        <f>SUM(CX13:CX21)</f>
        <v>0</v>
      </c>
      <c r="CY22" s="3"/>
      <c r="CZ22" s="3">
        <f>SUM(CZ13:CZ21)</f>
        <v>1</v>
      </c>
      <c r="DA22" s="3"/>
      <c r="DB22" s="3">
        <f>SUM(DB13:DB21)</f>
        <v>2</v>
      </c>
      <c r="DC22" s="3"/>
      <c r="DD22" s="3">
        <f>SUM(DD13:DD21)</f>
        <v>6</v>
      </c>
      <c r="DE22" s="3"/>
      <c r="DF22" s="3">
        <f>SUM(DF13:DF21)</f>
        <v>0</v>
      </c>
      <c r="DG22" s="3"/>
      <c r="DH22" s="3">
        <f>SUM(DH13:DH21)</f>
        <v>1</v>
      </c>
      <c r="DI22" s="3"/>
      <c r="DJ22" s="3">
        <f>SUM(DJ13:DJ21)</f>
        <v>4</v>
      </c>
      <c r="DK22" s="3"/>
      <c r="DL22" s="3">
        <f>SUM(DL13:DL21)</f>
        <v>4</v>
      </c>
      <c r="DM22" s="3"/>
      <c r="DN22" s="31">
        <f t="shared" ref="DN22:DP22" si="497">AVERAGE(DN13:DN21)</f>
        <v>2</v>
      </c>
      <c r="DO22" s="31">
        <f t="shared" si="497"/>
        <v>1.8</v>
      </c>
      <c r="DP22" s="31">
        <f t="shared" si="497"/>
        <v>2.5</v>
      </c>
      <c r="DQ22" s="26">
        <f>SUM(DQ13:DQ21)</f>
        <v>42.5</v>
      </c>
      <c r="DR22" s="30"/>
      <c r="DS22" s="29">
        <f>SUM(DS13:DS21)</f>
        <v>70</v>
      </c>
      <c r="DT22" s="3"/>
      <c r="DU22" s="3">
        <f>SUM(DU13:DU21)</f>
        <v>19</v>
      </c>
      <c r="DV22" s="3"/>
      <c r="DW22" s="3">
        <f>SUM(DW13:DW21)</f>
        <v>0</v>
      </c>
      <c r="DX22" s="3"/>
      <c r="DY22" s="3">
        <f>SUM(DY13:DY21)</f>
        <v>0</v>
      </c>
      <c r="DZ22" s="3"/>
      <c r="EA22" s="3">
        <f>SUM(EA13:EA21)</f>
        <v>0</v>
      </c>
      <c r="EB22" s="3"/>
      <c r="EC22" s="3">
        <f>SUM(EC13:EC21)</f>
        <v>0</v>
      </c>
      <c r="ED22" s="3"/>
      <c r="EE22" s="3">
        <f>SUM(EE13:EE21)</f>
        <v>1</v>
      </c>
      <c r="EF22" s="3"/>
      <c r="EG22" s="3">
        <f>SUM(EG13:EG21)</f>
        <v>8</v>
      </c>
      <c r="EH22" s="3"/>
      <c r="EI22" s="3">
        <f>SUM(EI13:EI21)</f>
        <v>0</v>
      </c>
      <c r="EJ22" s="3"/>
      <c r="EK22" s="3">
        <f>SUM(EK13:EK21)</f>
        <v>0</v>
      </c>
      <c r="EL22" s="3"/>
      <c r="EM22" s="3">
        <f>SUM(EM13:EM21)</f>
        <v>8</v>
      </c>
      <c r="EN22" s="3"/>
      <c r="EO22" s="3">
        <f>SUM(EO13:EO21)</f>
        <v>1</v>
      </c>
      <c r="EP22" s="3"/>
      <c r="EQ22" s="31">
        <f t="shared" ref="EQ22:ES22" si="498">AVERAGE(EQ13:EQ21)</f>
        <v>4</v>
      </c>
      <c r="ER22" s="31">
        <f t="shared" si="498"/>
        <v>3.8</v>
      </c>
      <c r="ES22" s="31">
        <f t="shared" si="498"/>
        <v>3.5</v>
      </c>
      <c r="ET22" s="26">
        <f>SUM(ET13:ET21)</f>
        <v>43</v>
      </c>
      <c r="EU22" s="30"/>
      <c r="EV22" s="29">
        <f>SUM(EV13:EV21)</f>
        <v>51</v>
      </c>
      <c r="EW22" s="3"/>
      <c r="EX22" s="3">
        <f>SUM(EX13:EX21)</f>
        <v>21</v>
      </c>
      <c r="EY22" s="3"/>
      <c r="EZ22" s="3">
        <f>SUM(EZ13:EZ21)</f>
        <v>2</v>
      </c>
      <c r="FA22" s="3"/>
      <c r="FB22" s="3">
        <f>SUM(FB13:FB21)</f>
        <v>0</v>
      </c>
      <c r="FC22" s="3"/>
      <c r="FD22" s="3">
        <f>SUM(FD13:FD21)</f>
        <v>0</v>
      </c>
      <c r="FE22" s="3"/>
      <c r="FF22" s="3">
        <f>SUM(FF13:FF21)</f>
        <v>1</v>
      </c>
      <c r="FG22" s="3"/>
      <c r="FH22" s="3">
        <f>SUM(FH13:FH21)</f>
        <v>3</v>
      </c>
      <c r="FI22" s="3"/>
      <c r="FJ22" s="3">
        <f>SUM(FJ13:FJ21)</f>
        <v>5</v>
      </c>
      <c r="FK22" s="3"/>
      <c r="FL22" s="3">
        <f>SUM(FL13:FL21)</f>
        <v>0</v>
      </c>
      <c r="FM22" s="3"/>
      <c r="FN22" s="3">
        <f>SUM(FN13:FN21)</f>
        <v>0</v>
      </c>
      <c r="FO22" s="3"/>
      <c r="FP22" s="3">
        <f>SUM(FP13:FP21)</f>
        <v>6</v>
      </c>
      <c r="FQ22" s="3"/>
      <c r="FR22" s="3">
        <f>SUM(FR13:FR21)</f>
        <v>3</v>
      </c>
      <c r="FS22" s="3"/>
      <c r="FT22" s="31">
        <f t="shared" ref="FT22:FV22" si="499">AVERAGE(FT13:FT21)</f>
        <v>1.5</v>
      </c>
      <c r="FU22" s="31">
        <f t="shared" si="499"/>
        <v>2</v>
      </c>
      <c r="FV22" s="31">
        <f t="shared" si="499"/>
        <v>1</v>
      </c>
      <c r="FW22" s="26">
        <f>SUM(FW13:FW21)</f>
        <v>37.5</v>
      </c>
      <c r="FX22" s="30"/>
      <c r="FY22" s="29">
        <f>SUM(FY13:FY21)</f>
        <v>65</v>
      </c>
      <c r="FZ22" s="3"/>
      <c r="GA22" s="3">
        <f>SUM(GA13:GA21)</f>
        <v>20</v>
      </c>
      <c r="GB22" s="3"/>
      <c r="GC22" s="3">
        <f>SUM(GC13:GC21)</f>
        <v>0</v>
      </c>
      <c r="GD22" s="3"/>
      <c r="GE22" s="3">
        <f>SUM(GE13:GE21)</f>
        <v>0</v>
      </c>
      <c r="GF22" s="3"/>
      <c r="GG22" s="3">
        <f>SUM(GG13:GG21)</f>
        <v>0</v>
      </c>
      <c r="GH22" s="3"/>
      <c r="GI22" s="3">
        <f>SUM(GI13:GI21)</f>
        <v>0</v>
      </c>
      <c r="GJ22" s="3"/>
      <c r="GK22" s="3">
        <f>SUM(GK13:GK21)</f>
        <v>1</v>
      </c>
      <c r="GL22" s="3"/>
      <c r="GM22" s="3">
        <f>SUM(GM13:GM21)</f>
        <v>8</v>
      </c>
      <c r="GN22" s="3"/>
      <c r="GO22" s="3">
        <f>SUM(GO13:GO21)</f>
        <v>0</v>
      </c>
      <c r="GP22" s="3"/>
      <c r="GQ22" s="3">
        <f>SUM(GQ13:GQ21)</f>
        <v>2</v>
      </c>
      <c r="GR22" s="3"/>
      <c r="GS22" s="3">
        <f>SUM(GS13:GS21)</f>
        <v>3</v>
      </c>
      <c r="GT22" s="3"/>
      <c r="GU22" s="3">
        <f>SUM(GU13:GU21)</f>
        <v>4</v>
      </c>
      <c r="GV22" s="3"/>
      <c r="GW22" s="31">
        <f t="shared" ref="GW22:GY22" si="500">AVERAGE(GW13:GW21)</f>
        <v>1.5</v>
      </c>
      <c r="GX22" s="31">
        <f t="shared" si="500"/>
        <v>4.2</v>
      </c>
      <c r="GY22" s="31">
        <f t="shared" si="500"/>
        <v>2.5</v>
      </c>
      <c r="GZ22" s="26">
        <f>SUM(GZ13:GZ21)</f>
        <v>38</v>
      </c>
      <c r="HA22" s="30"/>
      <c r="HB22" s="29">
        <f>SUM(HB13:HB21)</f>
        <v>48</v>
      </c>
      <c r="HC22" s="3"/>
      <c r="HD22" s="3">
        <f>SUM(HD13:HD21)</f>
        <v>19</v>
      </c>
      <c r="HE22" s="3"/>
      <c r="HF22" s="3">
        <f>SUM(HF13:HF21)</f>
        <v>4</v>
      </c>
      <c r="HG22" s="3"/>
      <c r="HH22" s="3">
        <f>SUM(HH13:HH21)</f>
        <v>1</v>
      </c>
      <c r="HI22" s="3"/>
      <c r="HJ22" s="3">
        <f>SUM(HJ13:HJ21)</f>
        <v>0</v>
      </c>
      <c r="HK22" s="3"/>
      <c r="HL22" s="3">
        <f>SUM(HL13:HL21)</f>
        <v>3</v>
      </c>
      <c r="HM22" s="3"/>
      <c r="HN22" s="3">
        <f>SUM(HN13:HN21)</f>
        <v>3</v>
      </c>
      <c r="HO22" s="3"/>
      <c r="HP22" s="3">
        <f>SUM(HP13:HP21)</f>
        <v>3</v>
      </c>
      <c r="HQ22" s="3"/>
      <c r="HR22" s="3">
        <f>SUM(HR13:HR21)</f>
        <v>0</v>
      </c>
      <c r="HS22" s="3"/>
      <c r="HT22" s="3">
        <f>SUM(HT13:HT21)</f>
        <v>1</v>
      </c>
      <c r="HU22" s="3"/>
      <c r="HV22" s="3">
        <f>SUM(HV13:HV21)</f>
        <v>6</v>
      </c>
      <c r="HW22" s="3"/>
      <c r="HX22" s="3">
        <f>SUM(HX13:HX21)</f>
        <v>2</v>
      </c>
      <c r="HY22" s="3"/>
      <c r="HZ22" s="31">
        <f t="shared" ref="HZ22:IB22" si="501">AVERAGE(HZ13:HZ21)</f>
        <v>0.5</v>
      </c>
      <c r="IA22" s="31">
        <f t="shared" si="501"/>
        <v>1</v>
      </c>
      <c r="IB22" s="31">
        <f t="shared" si="501"/>
        <v>3</v>
      </c>
      <c r="IC22" s="26">
        <f>SUM(IC13:IC21)</f>
        <v>39</v>
      </c>
      <c r="ID22" s="30"/>
      <c r="IE22" s="29">
        <f>SUM(IE13:IE21)</f>
        <v>0</v>
      </c>
      <c r="IF22" s="3"/>
      <c r="IG22" s="3">
        <f>SUM(IG13:IG21)</f>
        <v>0</v>
      </c>
      <c r="IH22" s="3"/>
      <c r="II22" s="3">
        <f>SUM(II13:II21)</f>
        <v>9</v>
      </c>
      <c r="IJ22" s="3"/>
      <c r="IK22" s="3">
        <f>SUM(IK13:IK21)</f>
        <v>0</v>
      </c>
      <c r="IL22" s="3"/>
      <c r="IM22" s="3">
        <f>SUM(IM13:IM21)</f>
        <v>0</v>
      </c>
      <c r="IN22" s="3"/>
      <c r="IO22" s="3">
        <f>SUM(IO13:IO21)</f>
        <v>0</v>
      </c>
      <c r="IP22" s="3"/>
      <c r="IQ22" s="3">
        <f>SUM(IQ13:IQ21)</f>
        <v>0</v>
      </c>
      <c r="IR22" s="3"/>
      <c r="IS22" s="3">
        <f>SUM(IS13:IS21)</f>
        <v>0</v>
      </c>
      <c r="IT22" s="3"/>
      <c r="IU22" s="3">
        <f>SUM(IU13:IU21)</f>
        <v>9</v>
      </c>
      <c r="IV22" s="3"/>
      <c r="IW22" s="3">
        <f>SUM(IW13:IW21)</f>
        <v>0</v>
      </c>
      <c r="IX22" s="3"/>
      <c r="IY22" s="3">
        <f>SUM(IY13:IY21)</f>
        <v>0</v>
      </c>
      <c r="IZ22" s="3"/>
      <c r="JA22" s="3">
        <f>SUM(JA13:JA21)</f>
        <v>0</v>
      </c>
      <c r="JB22" s="3"/>
      <c r="JC22" s="31">
        <f t="shared" ref="JC22:JE22" si="502">AVERAGE(JC13:JC21)</f>
        <v>-3</v>
      </c>
      <c r="JD22" s="31">
        <f t="shared" si="502"/>
        <v>-4</v>
      </c>
      <c r="JE22" s="31">
        <f t="shared" si="502"/>
        <v>-5</v>
      </c>
      <c r="JF22" s="26">
        <f>SUM(JF13:JF21)</f>
        <v>-27</v>
      </c>
      <c r="JG22" s="30"/>
      <c r="JH22" s="29">
        <f>SUM(JH13:JH21)</f>
        <v>0</v>
      </c>
      <c r="JI22" s="3"/>
      <c r="JJ22" s="3">
        <f>SUM(JJ13:JJ21)</f>
        <v>0</v>
      </c>
      <c r="JK22" s="3"/>
      <c r="JL22" s="3">
        <f>SUM(JL13:JL21)</f>
        <v>9</v>
      </c>
      <c r="JM22" s="3"/>
      <c r="JN22" s="3">
        <f>SUM(JN13:JN21)</f>
        <v>0</v>
      </c>
      <c r="JO22" s="3"/>
      <c r="JP22" s="3">
        <f>SUM(JP13:JP21)</f>
        <v>0</v>
      </c>
      <c r="JQ22" s="3"/>
      <c r="JR22" s="3">
        <f>SUM(JR13:JR21)</f>
        <v>0</v>
      </c>
      <c r="JS22" s="3"/>
      <c r="JT22" s="3">
        <f>SUM(JT13:JT21)</f>
        <v>0</v>
      </c>
      <c r="JU22" s="3"/>
      <c r="JV22" s="3">
        <f>SUM(JV13:JV21)</f>
        <v>0</v>
      </c>
      <c r="JW22" s="3"/>
      <c r="JX22" s="3">
        <f>SUM(JX13:JX21)</f>
        <v>9</v>
      </c>
      <c r="JY22" s="3"/>
      <c r="JZ22" s="3">
        <f>SUM(JZ13:JZ21)</f>
        <v>0</v>
      </c>
      <c r="KA22" s="3"/>
      <c r="KB22" s="3">
        <f>SUM(KB13:KB21)</f>
        <v>0</v>
      </c>
      <c r="KC22" s="3"/>
      <c r="KD22" s="3">
        <f>SUM(KD13:KD21)</f>
        <v>0</v>
      </c>
      <c r="KE22" s="3"/>
      <c r="KF22" s="31">
        <f t="shared" ref="KF22:KH22" si="503">AVERAGE(KF13:KF21)</f>
        <v>-3</v>
      </c>
      <c r="KG22" s="31">
        <f t="shared" si="503"/>
        <v>-4</v>
      </c>
      <c r="KH22" s="31">
        <f t="shared" si="503"/>
        <v>-5</v>
      </c>
      <c r="KI22" s="26">
        <f>SUM(KI13:KI21)</f>
        <v>-7</v>
      </c>
      <c r="KJ22" s="30"/>
      <c r="KK22" s="10"/>
      <c r="KL22" s="10"/>
      <c r="KM22" s="10"/>
      <c r="KN22" s="10"/>
      <c r="KO22" s="10"/>
      <c r="KP22" s="10"/>
      <c r="KQ22" s="10"/>
      <c r="KR22" s="10"/>
      <c r="KS22" s="10"/>
      <c r="KT22" s="10"/>
      <c r="KU22" s="10"/>
      <c r="KV22" s="10"/>
      <c r="KW22" s="10"/>
      <c r="KX22" s="10"/>
      <c r="KY22" s="10"/>
      <c r="KZ22" s="10"/>
      <c r="LA22" s="10"/>
      <c r="LB22" s="10"/>
      <c r="LC22" s="10"/>
      <c r="LD22" s="10"/>
    </row>
    <row r="23" spans="1:316" ht="15.75" customHeight="1" x14ac:dyDescent="0.25">
      <c r="A23" s="107"/>
      <c r="B23" s="32" t="s">
        <v>49</v>
      </c>
      <c r="C23" s="33" t="s">
        <v>47</v>
      </c>
      <c r="D23" s="33"/>
      <c r="E23" s="34">
        <f>E12+E22</f>
        <v>72</v>
      </c>
      <c r="F23" s="35"/>
      <c r="G23" s="36">
        <f>G12+G22</f>
        <v>87</v>
      </c>
      <c r="H23" s="36"/>
      <c r="I23" s="36">
        <f>I12+I22</f>
        <v>36</v>
      </c>
      <c r="J23" s="36"/>
      <c r="K23" s="36">
        <f>K12+K22</f>
        <v>8</v>
      </c>
      <c r="L23" s="36"/>
      <c r="M23" s="36">
        <f>M12+M22</f>
        <v>1</v>
      </c>
      <c r="N23" s="36"/>
      <c r="O23" s="36">
        <f>O12+O22</f>
        <v>1</v>
      </c>
      <c r="P23" s="36"/>
      <c r="Q23" s="36">
        <f>Q12+Q22</f>
        <v>6</v>
      </c>
      <c r="R23" s="36"/>
      <c r="S23" s="36">
        <f>S12+S22</f>
        <v>7</v>
      </c>
      <c r="T23" s="36"/>
      <c r="U23" s="36">
        <f>U12+U22</f>
        <v>4</v>
      </c>
      <c r="V23" s="36"/>
      <c r="W23" s="36">
        <f>W12+W22</f>
        <v>0</v>
      </c>
      <c r="X23" s="36"/>
      <c r="Y23" s="36">
        <f>Y12+Y22</f>
        <v>4</v>
      </c>
      <c r="Z23" s="36"/>
      <c r="AA23" s="36">
        <f>AA12+AA22</f>
        <v>11</v>
      </c>
      <c r="AB23" s="36"/>
      <c r="AC23" s="36">
        <f>AC12+AC22</f>
        <v>3</v>
      </c>
      <c r="AD23" s="36"/>
      <c r="AE23" s="37">
        <f t="shared" ref="AE23:AG23" si="504">AVERAGE(AE3:AE11,AE13:AE21)</f>
        <v>1</v>
      </c>
      <c r="AF23" s="37">
        <f t="shared" si="504"/>
        <v>0.7</v>
      </c>
      <c r="AG23" s="37">
        <f t="shared" si="504"/>
        <v>1</v>
      </c>
      <c r="AH23" s="37">
        <f>AH12+AH22</f>
        <v>67</v>
      </c>
      <c r="AI23" s="35"/>
      <c r="AJ23" s="38">
        <f>AJ12+AJ22</f>
        <v>82</v>
      </c>
      <c r="AK23" s="36"/>
      <c r="AL23" s="36">
        <f>AL12+AL22</f>
        <v>35</v>
      </c>
      <c r="AM23" s="36"/>
      <c r="AN23" s="36">
        <f>AN12+AN22</f>
        <v>10</v>
      </c>
      <c r="AO23" s="36"/>
      <c r="AP23" s="36">
        <f>AP12+AP22</f>
        <v>3</v>
      </c>
      <c r="AQ23" s="36"/>
      <c r="AR23" s="36">
        <f>AR12+AR22</f>
        <v>0</v>
      </c>
      <c r="AS23" s="36"/>
      <c r="AT23" s="36">
        <f>AT12+AT22</f>
        <v>10</v>
      </c>
      <c r="AU23" s="36"/>
      <c r="AV23" s="36">
        <f>AV12+AV22</f>
        <v>6</v>
      </c>
      <c r="AW23" s="36"/>
      <c r="AX23" s="36">
        <f>AX12+AX22</f>
        <v>2</v>
      </c>
      <c r="AY23" s="36"/>
      <c r="AZ23" s="36">
        <f>AZ12+AZ22</f>
        <v>0</v>
      </c>
      <c r="BA23" s="36"/>
      <c r="BB23" s="36">
        <f>BB12+BB22</f>
        <v>4</v>
      </c>
      <c r="BC23" s="36"/>
      <c r="BD23" s="36">
        <f>BD12+BD22</f>
        <v>11</v>
      </c>
      <c r="BE23" s="36"/>
      <c r="BF23" s="36">
        <f>BF12+BF22</f>
        <v>3</v>
      </c>
      <c r="BG23" s="36"/>
      <c r="BH23" s="37">
        <f t="shared" ref="BH23:BJ23" si="505">AVERAGE(BH3:BH11,BH13:BH21)</f>
        <v>1</v>
      </c>
      <c r="BI23" s="37">
        <f t="shared" si="505"/>
        <v>0.6</v>
      </c>
      <c r="BJ23" s="37">
        <f t="shared" si="505"/>
        <v>0</v>
      </c>
      <c r="BK23" s="37">
        <f>BK12+BK22</f>
        <v>70</v>
      </c>
      <c r="BL23" s="35"/>
      <c r="BM23" s="38">
        <f>BM12+BM22</f>
        <v>100</v>
      </c>
      <c r="BN23" s="36"/>
      <c r="BO23" s="36">
        <f>BO12+BO22</f>
        <v>36</v>
      </c>
      <c r="BP23" s="36"/>
      <c r="BQ23" s="36">
        <f>BQ12+BQ22</f>
        <v>4</v>
      </c>
      <c r="BR23" s="36"/>
      <c r="BS23" s="36">
        <f>BS12+BS22</f>
        <v>1</v>
      </c>
      <c r="BT23" s="36"/>
      <c r="BU23" s="36">
        <f>BU12+BU22</f>
        <v>0</v>
      </c>
      <c r="BV23" s="36"/>
      <c r="BW23" s="36">
        <f>BW12+BW22</f>
        <v>5</v>
      </c>
      <c r="BX23" s="36"/>
      <c r="BY23" s="36">
        <f>BY12+BY22</f>
        <v>5</v>
      </c>
      <c r="BZ23" s="36"/>
      <c r="CA23" s="36">
        <f>CA12+CA22</f>
        <v>8</v>
      </c>
      <c r="CB23" s="36"/>
      <c r="CC23" s="36">
        <f>CC12+CC22</f>
        <v>0</v>
      </c>
      <c r="CD23" s="36"/>
      <c r="CE23" s="36">
        <f>CE12+CE22</f>
        <v>3</v>
      </c>
      <c r="CF23" s="36"/>
      <c r="CG23" s="36">
        <f>CG12+CG22</f>
        <v>12</v>
      </c>
      <c r="CH23" s="36"/>
      <c r="CI23" s="36">
        <f>CI12+CI22</f>
        <v>3</v>
      </c>
      <c r="CJ23" s="36"/>
      <c r="CK23" s="37">
        <f t="shared" ref="CK23:CM23" si="506">AVERAGE(CK3:CK11,CK13:CK21)</f>
        <v>1.25</v>
      </c>
      <c r="CL23" s="37">
        <f t="shared" si="506"/>
        <v>1.7</v>
      </c>
      <c r="CM23" s="37">
        <f t="shared" si="506"/>
        <v>1.5</v>
      </c>
      <c r="CN23" s="37">
        <f>CN12+CN22</f>
        <v>76</v>
      </c>
      <c r="CO23" s="35"/>
      <c r="CP23" s="38">
        <f>CP12+CP22</f>
        <v>99</v>
      </c>
      <c r="CQ23" s="36"/>
      <c r="CR23" s="36">
        <f>CR12+CR22</f>
        <v>38</v>
      </c>
      <c r="CS23" s="36"/>
      <c r="CT23" s="36">
        <f>CT12+CT22</f>
        <v>4</v>
      </c>
      <c r="CU23" s="36"/>
      <c r="CV23" s="36">
        <f>CV12+CV22</f>
        <v>2</v>
      </c>
      <c r="CW23" s="36"/>
      <c r="CX23" s="36">
        <f>CX12+CX22</f>
        <v>0</v>
      </c>
      <c r="CY23" s="36"/>
      <c r="CZ23" s="36">
        <f>CZ12+CZ22</f>
        <v>4</v>
      </c>
      <c r="DA23" s="36"/>
      <c r="DB23" s="36">
        <f>DB12+DB22</f>
        <v>5</v>
      </c>
      <c r="DC23" s="36"/>
      <c r="DD23" s="36">
        <f>DD12+DD22</f>
        <v>9</v>
      </c>
      <c r="DE23" s="36"/>
      <c r="DF23" s="36">
        <f>DF12+DF22</f>
        <v>0</v>
      </c>
      <c r="DG23" s="36"/>
      <c r="DH23" s="36">
        <f>DH12+DH22</f>
        <v>3</v>
      </c>
      <c r="DI23" s="36"/>
      <c r="DJ23" s="36">
        <f>DJ12+DJ22</f>
        <v>10</v>
      </c>
      <c r="DK23" s="36"/>
      <c r="DL23" s="36">
        <f>DL12+DL22</f>
        <v>5</v>
      </c>
      <c r="DM23" s="36"/>
      <c r="DN23" s="37">
        <f t="shared" ref="DN23:DP23" si="507">AVERAGE(DN3:DN11,DN13:DN21)</f>
        <v>1.5</v>
      </c>
      <c r="DO23" s="37">
        <f t="shared" si="507"/>
        <v>1.2</v>
      </c>
      <c r="DP23" s="37">
        <f t="shared" si="507"/>
        <v>2.25</v>
      </c>
      <c r="DQ23" s="37">
        <f>DQ12+DQ22</f>
        <v>76</v>
      </c>
      <c r="DR23" s="39"/>
      <c r="DS23" s="38">
        <f>DS12+DS22</f>
        <v>137</v>
      </c>
      <c r="DT23" s="36"/>
      <c r="DU23" s="36">
        <f>DU12+DU22</f>
        <v>42</v>
      </c>
      <c r="DV23" s="36"/>
      <c r="DW23" s="36">
        <f>DW12+DW22</f>
        <v>1</v>
      </c>
      <c r="DX23" s="36"/>
      <c r="DY23" s="36">
        <f>DY12+DY22</f>
        <v>0</v>
      </c>
      <c r="DZ23" s="36"/>
      <c r="EA23" s="36">
        <f>EA12+EA22</f>
        <v>0</v>
      </c>
      <c r="EB23" s="36"/>
      <c r="EC23" s="36">
        <f>EC12+EC22</f>
        <v>1</v>
      </c>
      <c r="ED23" s="36"/>
      <c r="EE23" s="36">
        <f>EE12+EE22</f>
        <v>1</v>
      </c>
      <c r="EF23" s="36"/>
      <c r="EG23" s="36">
        <f>EG12+EG22</f>
        <v>16</v>
      </c>
      <c r="EH23" s="36"/>
      <c r="EI23" s="36">
        <f>EI12+EI22</f>
        <v>0</v>
      </c>
      <c r="EJ23" s="36"/>
      <c r="EK23" s="36">
        <f>EK12+EK22</f>
        <v>0</v>
      </c>
      <c r="EL23" s="36"/>
      <c r="EM23" s="36">
        <f>EM12+EM22</f>
        <v>13</v>
      </c>
      <c r="EN23" s="36"/>
      <c r="EO23" s="36">
        <f>EO12+EO22</f>
        <v>5</v>
      </c>
      <c r="EP23" s="36"/>
      <c r="EQ23" s="37">
        <f t="shared" ref="EQ23:ES23" si="508">AVERAGE(EQ3:EQ11,EQ13:EQ21)</f>
        <v>2.5</v>
      </c>
      <c r="ER23" s="37">
        <f t="shared" si="508"/>
        <v>3.8</v>
      </c>
      <c r="ES23" s="37">
        <f t="shared" si="508"/>
        <v>4.25</v>
      </c>
      <c r="ET23" s="37">
        <f>ET12+ET22</f>
        <v>83</v>
      </c>
      <c r="EU23" s="39"/>
      <c r="EV23" s="38">
        <f>EV12+EV22</f>
        <v>102</v>
      </c>
      <c r="EW23" s="36"/>
      <c r="EX23" s="36">
        <f>EX12+EX22</f>
        <v>42</v>
      </c>
      <c r="EY23" s="36"/>
      <c r="EZ23" s="36">
        <f>EZ12+EZ22</f>
        <v>4</v>
      </c>
      <c r="FA23" s="36"/>
      <c r="FB23" s="36">
        <f>FB12+FB22</f>
        <v>0</v>
      </c>
      <c r="FC23" s="36"/>
      <c r="FD23" s="36">
        <f>FD12+FD22</f>
        <v>0</v>
      </c>
      <c r="FE23" s="36"/>
      <c r="FF23" s="36">
        <f>FF12+FF22</f>
        <v>2</v>
      </c>
      <c r="FG23" s="36"/>
      <c r="FH23" s="36">
        <f>FH12+FH22</f>
        <v>5</v>
      </c>
      <c r="FI23" s="36"/>
      <c r="FJ23" s="36">
        <f>FJ12+FJ22</f>
        <v>11</v>
      </c>
      <c r="FK23" s="36"/>
      <c r="FL23" s="36">
        <f>FL12+FL22</f>
        <v>0</v>
      </c>
      <c r="FM23" s="36"/>
      <c r="FN23" s="36">
        <f>FN12+FN22</f>
        <v>1</v>
      </c>
      <c r="FO23" s="36"/>
      <c r="FP23" s="36">
        <f>FP12+FP22</f>
        <v>10</v>
      </c>
      <c r="FQ23" s="36"/>
      <c r="FR23" s="36">
        <f>FR12+FR22</f>
        <v>7</v>
      </c>
      <c r="FS23" s="36"/>
      <c r="FT23" s="37">
        <f t="shared" ref="FT23:FV23" si="509">AVERAGE(FT3:FT11,FT13:FT21)</f>
        <v>1.5</v>
      </c>
      <c r="FU23" s="37">
        <f t="shared" si="509"/>
        <v>1.9</v>
      </c>
      <c r="FV23" s="37">
        <f t="shared" si="509"/>
        <v>1.25</v>
      </c>
      <c r="FW23" s="37">
        <f>FW12+FW22</f>
        <v>75</v>
      </c>
      <c r="FX23" s="39"/>
      <c r="FY23" s="38">
        <f>FY12+FY22</f>
        <v>131</v>
      </c>
      <c r="FZ23" s="36"/>
      <c r="GA23" s="36">
        <f>GA12+GA22</f>
        <v>42</v>
      </c>
      <c r="GB23" s="36"/>
      <c r="GC23" s="36">
        <f>GC12+GC22</f>
        <v>1</v>
      </c>
      <c r="GD23" s="36"/>
      <c r="GE23" s="36">
        <f>GE12+GE22</f>
        <v>0</v>
      </c>
      <c r="GF23" s="36"/>
      <c r="GG23" s="36">
        <f>GG12+GG22</f>
        <v>0</v>
      </c>
      <c r="GH23" s="36"/>
      <c r="GI23" s="36">
        <f>GI12+GI22</f>
        <v>0</v>
      </c>
      <c r="GJ23" s="36"/>
      <c r="GK23" s="36">
        <f>GK12+GK22</f>
        <v>2</v>
      </c>
      <c r="GL23" s="36"/>
      <c r="GM23" s="36">
        <f>GM12+GM22</f>
        <v>16</v>
      </c>
      <c r="GN23" s="36"/>
      <c r="GO23" s="36">
        <f>GO12+GO22</f>
        <v>0</v>
      </c>
      <c r="GP23" s="36"/>
      <c r="GQ23" s="36">
        <f>GQ12+GQ22</f>
        <v>2</v>
      </c>
      <c r="GR23" s="36"/>
      <c r="GS23" s="36">
        <f>GS12+GS22</f>
        <v>8</v>
      </c>
      <c r="GT23" s="36"/>
      <c r="GU23" s="36">
        <f>GU12+GU22</f>
        <v>8</v>
      </c>
      <c r="GV23" s="36"/>
      <c r="GW23" s="37">
        <f t="shared" ref="GW23:GY23" si="510">AVERAGE(GW3:GW11,GW13:GW21)</f>
        <v>2.25</v>
      </c>
      <c r="GX23" s="37">
        <f t="shared" si="510"/>
        <v>3.7</v>
      </c>
      <c r="GY23" s="37">
        <f t="shared" si="510"/>
        <v>3.25</v>
      </c>
      <c r="GZ23" s="37">
        <f>GZ12+GZ22</f>
        <v>77</v>
      </c>
      <c r="HA23" s="39"/>
      <c r="HB23" s="38">
        <f>HB12+HB22</f>
        <v>95</v>
      </c>
      <c r="HC23" s="36"/>
      <c r="HD23" s="36">
        <f>HD12+HD22</f>
        <v>39</v>
      </c>
      <c r="HE23" s="36"/>
      <c r="HF23" s="36">
        <f>HF12+HF22</f>
        <v>7</v>
      </c>
      <c r="HG23" s="36"/>
      <c r="HH23" s="36">
        <f>HH12+HH22</f>
        <v>2</v>
      </c>
      <c r="HI23" s="36"/>
      <c r="HJ23" s="36">
        <f>HJ12+HJ22</f>
        <v>0</v>
      </c>
      <c r="HK23" s="36"/>
      <c r="HL23" s="36">
        <f>HL12+HL22</f>
        <v>5</v>
      </c>
      <c r="HM23" s="36"/>
      <c r="HN23" s="36">
        <f>HN12+HN22</f>
        <v>8</v>
      </c>
      <c r="HO23" s="36"/>
      <c r="HP23" s="36">
        <f>HP12+HP22</f>
        <v>5</v>
      </c>
      <c r="HQ23" s="36"/>
      <c r="HR23" s="36">
        <f>HR12+HR22</f>
        <v>0</v>
      </c>
      <c r="HS23" s="36"/>
      <c r="HT23" s="36">
        <f>HT12+HT22</f>
        <v>2</v>
      </c>
      <c r="HU23" s="36"/>
      <c r="HV23" s="36">
        <f>HV12+HV22</f>
        <v>11</v>
      </c>
      <c r="HW23" s="36"/>
      <c r="HX23" s="36">
        <f>HX12+HX22</f>
        <v>5</v>
      </c>
      <c r="HY23" s="36"/>
      <c r="HZ23" s="37">
        <f t="shared" ref="HZ23:IB23" si="511">AVERAGE(HZ3:HZ11,HZ13:HZ21)</f>
        <v>0.75</v>
      </c>
      <c r="IA23" s="37">
        <f t="shared" si="511"/>
        <v>1.3</v>
      </c>
      <c r="IB23" s="37">
        <f t="shared" si="511"/>
        <v>1.75</v>
      </c>
      <c r="IC23" s="37">
        <f>IC12+IC22</f>
        <v>77</v>
      </c>
      <c r="ID23" s="39"/>
      <c r="IE23" s="38">
        <f>IE12+IE22</f>
        <v>0</v>
      </c>
      <c r="IF23" s="36"/>
      <c r="IG23" s="36">
        <f>IG12+IG22</f>
        <v>0</v>
      </c>
      <c r="IH23" s="36"/>
      <c r="II23" s="36">
        <f>II12+II22</f>
        <v>18</v>
      </c>
      <c r="IJ23" s="36"/>
      <c r="IK23" s="36">
        <f>IK12+IK22</f>
        <v>0</v>
      </c>
      <c r="IL23" s="36"/>
      <c r="IM23" s="36">
        <f>IM12+IM22</f>
        <v>0</v>
      </c>
      <c r="IN23" s="36"/>
      <c r="IO23" s="36">
        <f>IO12+IO22</f>
        <v>0</v>
      </c>
      <c r="IP23" s="36"/>
      <c r="IQ23" s="36">
        <f>IQ12+IQ22</f>
        <v>0</v>
      </c>
      <c r="IR23" s="36"/>
      <c r="IS23" s="36">
        <f>IS12+IS22</f>
        <v>0</v>
      </c>
      <c r="IT23" s="36"/>
      <c r="IU23" s="36">
        <f>IU12+IU22</f>
        <v>18</v>
      </c>
      <c r="IV23" s="36"/>
      <c r="IW23" s="36">
        <f>IW12+IW22</f>
        <v>0</v>
      </c>
      <c r="IX23" s="36"/>
      <c r="IY23" s="36">
        <f>IY12+IY22</f>
        <v>0</v>
      </c>
      <c r="IZ23" s="36"/>
      <c r="JA23" s="36">
        <f>JA12+JA22</f>
        <v>0</v>
      </c>
      <c r="JB23" s="36"/>
      <c r="JC23" s="37">
        <f t="shared" ref="JC23:JE23" si="512">AVERAGE(JC3:JC11,JC13:JC21)</f>
        <v>-3</v>
      </c>
      <c r="JD23" s="37">
        <f t="shared" si="512"/>
        <v>-4</v>
      </c>
      <c r="JE23" s="37">
        <f t="shared" si="512"/>
        <v>-5</v>
      </c>
      <c r="JF23" s="37">
        <f>JF12+JF22</f>
        <v>-54</v>
      </c>
      <c r="JG23" s="39"/>
      <c r="JH23" s="38">
        <f>JH12+JH22</f>
        <v>0</v>
      </c>
      <c r="JI23" s="36"/>
      <c r="JJ23" s="36">
        <f>JJ12+JJ22</f>
        <v>0</v>
      </c>
      <c r="JK23" s="36"/>
      <c r="JL23" s="36">
        <f>JL12+JL22</f>
        <v>18</v>
      </c>
      <c r="JM23" s="36"/>
      <c r="JN23" s="36">
        <f>JN12+JN22</f>
        <v>0</v>
      </c>
      <c r="JO23" s="36"/>
      <c r="JP23" s="36">
        <f>JP12+JP22</f>
        <v>0</v>
      </c>
      <c r="JQ23" s="36"/>
      <c r="JR23" s="36">
        <f>JR12+JR22</f>
        <v>0</v>
      </c>
      <c r="JS23" s="36"/>
      <c r="JT23" s="36">
        <f>JT12+JT22</f>
        <v>0</v>
      </c>
      <c r="JU23" s="36"/>
      <c r="JV23" s="36">
        <f>JV12+JV22</f>
        <v>0</v>
      </c>
      <c r="JW23" s="36"/>
      <c r="JX23" s="36">
        <f>JX12+JX22</f>
        <v>18</v>
      </c>
      <c r="JY23" s="36"/>
      <c r="JZ23" s="36">
        <f>JZ12+JZ22</f>
        <v>0</v>
      </c>
      <c r="KA23" s="36"/>
      <c r="KB23" s="36">
        <f>KB12+KB22</f>
        <v>0</v>
      </c>
      <c r="KC23" s="36"/>
      <c r="KD23" s="36">
        <f>KD12+KD22</f>
        <v>0</v>
      </c>
      <c r="KE23" s="36"/>
      <c r="KF23" s="37">
        <f t="shared" ref="KF23:KH23" si="513">AVERAGE(KF3:KF11,KF13:KF21)</f>
        <v>-3</v>
      </c>
      <c r="KG23" s="37">
        <f t="shared" si="513"/>
        <v>-4</v>
      </c>
      <c r="KH23" s="37">
        <f t="shared" si="513"/>
        <v>-5</v>
      </c>
      <c r="KI23" s="37">
        <f>KI12+KI22</f>
        <v>-14</v>
      </c>
      <c r="KJ23" s="39"/>
      <c r="KK23" s="10"/>
      <c r="KL23" s="10"/>
      <c r="KM23" s="10"/>
      <c r="KN23" s="10"/>
      <c r="KO23" s="10"/>
      <c r="KP23" s="10"/>
      <c r="KQ23" s="10"/>
      <c r="KR23" s="10"/>
      <c r="KS23" s="10"/>
      <c r="KT23" s="10"/>
      <c r="KU23" s="10"/>
      <c r="KV23" s="10"/>
      <c r="KW23" s="10"/>
      <c r="KX23" s="10"/>
      <c r="KY23" s="10"/>
      <c r="KZ23" s="10"/>
      <c r="LA23" s="10"/>
      <c r="LB23" s="10"/>
      <c r="LC23" s="10"/>
      <c r="LD23" s="10"/>
    </row>
    <row r="24" spans="1:316" ht="15.75" customHeight="1" x14ac:dyDescent="0.25">
      <c r="A24" s="110" t="s">
        <v>50</v>
      </c>
      <c r="B24" s="99" t="s">
        <v>1</v>
      </c>
      <c r="C24" s="100"/>
      <c r="D24" s="100"/>
      <c r="E24" s="100"/>
      <c r="F24" s="111"/>
      <c r="G24" s="99" t="s">
        <v>2</v>
      </c>
      <c r="H24" s="100"/>
      <c r="I24" s="100"/>
      <c r="J24" s="100"/>
      <c r="K24" s="100"/>
      <c r="L24" s="100"/>
      <c r="M24" s="100"/>
      <c r="N24" s="100"/>
      <c r="O24" s="100"/>
      <c r="P24" s="100"/>
      <c r="Q24" s="100"/>
      <c r="R24" s="100"/>
      <c r="S24" s="100"/>
      <c r="T24" s="100"/>
      <c r="U24" s="100"/>
      <c r="V24" s="100"/>
      <c r="W24" s="100"/>
      <c r="X24" s="100"/>
      <c r="Y24" s="100"/>
      <c r="Z24" s="100"/>
      <c r="AA24" s="100"/>
      <c r="AB24" s="100"/>
      <c r="AC24" s="100"/>
      <c r="AD24" s="100"/>
      <c r="AE24" s="100"/>
      <c r="AF24" s="100"/>
      <c r="AG24" s="100"/>
      <c r="AH24" s="100"/>
      <c r="AI24" s="111"/>
      <c r="AJ24" s="99" t="s">
        <v>3</v>
      </c>
      <c r="AK24" s="100"/>
      <c r="AL24" s="100"/>
      <c r="AM24" s="100"/>
      <c r="AN24" s="100"/>
      <c r="AO24" s="100"/>
      <c r="AP24" s="100"/>
      <c r="AQ24" s="100"/>
      <c r="AR24" s="100"/>
      <c r="AS24" s="100"/>
      <c r="AT24" s="100"/>
      <c r="AU24" s="100"/>
      <c r="AV24" s="100"/>
      <c r="AW24" s="100"/>
      <c r="AX24" s="100"/>
      <c r="AY24" s="100"/>
      <c r="AZ24" s="100"/>
      <c r="BA24" s="100"/>
      <c r="BB24" s="100"/>
      <c r="BC24" s="100"/>
      <c r="BD24" s="100"/>
      <c r="BE24" s="100"/>
      <c r="BF24" s="100"/>
      <c r="BG24" s="100"/>
      <c r="BH24" s="100"/>
      <c r="BI24" s="100"/>
      <c r="BJ24" s="100"/>
      <c r="BK24" s="100"/>
      <c r="BL24" s="111"/>
      <c r="BM24" s="99" t="s">
        <v>4</v>
      </c>
      <c r="BN24" s="100"/>
      <c r="BO24" s="100"/>
      <c r="BP24" s="100"/>
      <c r="BQ24" s="100"/>
      <c r="BR24" s="100"/>
      <c r="BS24" s="100"/>
      <c r="BT24" s="100"/>
      <c r="BU24" s="100"/>
      <c r="BV24" s="100"/>
      <c r="BW24" s="100"/>
      <c r="BX24" s="100"/>
      <c r="BY24" s="100"/>
      <c r="BZ24" s="100"/>
      <c r="CA24" s="100"/>
      <c r="CB24" s="100"/>
      <c r="CC24" s="100"/>
      <c r="CD24" s="100"/>
      <c r="CE24" s="100"/>
      <c r="CF24" s="100"/>
      <c r="CG24" s="100"/>
      <c r="CH24" s="100"/>
      <c r="CI24" s="100"/>
      <c r="CJ24" s="100"/>
      <c r="CK24" s="100"/>
      <c r="CL24" s="100"/>
      <c r="CM24" s="100"/>
      <c r="CN24" s="100"/>
      <c r="CO24" s="111"/>
      <c r="CP24" s="99" t="s">
        <v>5</v>
      </c>
      <c r="CQ24" s="100"/>
      <c r="CR24" s="100"/>
      <c r="CS24" s="100"/>
      <c r="CT24" s="100"/>
      <c r="CU24" s="100"/>
      <c r="CV24" s="100"/>
      <c r="CW24" s="100"/>
      <c r="CX24" s="100"/>
      <c r="CY24" s="100"/>
      <c r="CZ24" s="100"/>
      <c r="DA24" s="100"/>
      <c r="DB24" s="100"/>
      <c r="DC24" s="100"/>
      <c r="DD24" s="100"/>
      <c r="DE24" s="100"/>
      <c r="DF24" s="100"/>
      <c r="DG24" s="100"/>
      <c r="DH24" s="100"/>
      <c r="DI24" s="100"/>
      <c r="DJ24" s="100"/>
      <c r="DK24" s="100"/>
      <c r="DL24" s="100"/>
      <c r="DM24" s="100"/>
      <c r="DN24" s="100"/>
      <c r="DO24" s="100"/>
      <c r="DP24" s="100"/>
      <c r="DQ24" s="100"/>
      <c r="DR24" s="101"/>
      <c r="DS24" s="99" t="s">
        <v>6</v>
      </c>
      <c r="DT24" s="100"/>
      <c r="DU24" s="100"/>
      <c r="DV24" s="100"/>
      <c r="DW24" s="100"/>
      <c r="DX24" s="100"/>
      <c r="DY24" s="100"/>
      <c r="DZ24" s="100"/>
      <c r="EA24" s="100"/>
      <c r="EB24" s="100"/>
      <c r="EC24" s="100"/>
      <c r="ED24" s="100"/>
      <c r="EE24" s="100"/>
      <c r="EF24" s="100"/>
      <c r="EG24" s="100"/>
      <c r="EH24" s="100"/>
      <c r="EI24" s="100"/>
      <c r="EJ24" s="100"/>
      <c r="EK24" s="100"/>
      <c r="EL24" s="100"/>
      <c r="EM24" s="100"/>
      <c r="EN24" s="100"/>
      <c r="EO24" s="100"/>
      <c r="EP24" s="100"/>
      <c r="EQ24" s="100"/>
      <c r="ER24" s="100"/>
      <c r="ES24" s="100"/>
      <c r="ET24" s="100"/>
      <c r="EU24" s="101"/>
      <c r="EV24" s="99" t="s">
        <v>7</v>
      </c>
      <c r="EW24" s="100"/>
      <c r="EX24" s="100"/>
      <c r="EY24" s="100"/>
      <c r="EZ24" s="100"/>
      <c r="FA24" s="100"/>
      <c r="FB24" s="100"/>
      <c r="FC24" s="100"/>
      <c r="FD24" s="100"/>
      <c r="FE24" s="100"/>
      <c r="FF24" s="100"/>
      <c r="FG24" s="100"/>
      <c r="FH24" s="100"/>
      <c r="FI24" s="100"/>
      <c r="FJ24" s="100"/>
      <c r="FK24" s="100"/>
      <c r="FL24" s="100"/>
      <c r="FM24" s="100"/>
      <c r="FN24" s="100"/>
      <c r="FO24" s="100"/>
      <c r="FP24" s="100"/>
      <c r="FQ24" s="100"/>
      <c r="FR24" s="100"/>
      <c r="FS24" s="100"/>
      <c r="FT24" s="100"/>
      <c r="FU24" s="100"/>
      <c r="FV24" s="100"/>
      <c r="FW24" s="100"/>
      <c r="FX24" s="101"/>
      <c r="FY24" s="99" t="s">
        <v>8</v>
      </c>
      <c r="FZ24" s="100"/>
      <c r="GA24" s="100"/>
      <c r="GB24" s="100"/>
      <c r="GC24" s="100"/>
      <c r="GD24" s="100"/>
      <c r="GE24" s="100"/>
      <c r="GF24" s="100"/>
      <c r="GG24" s="100"/>
      <c r="GH24" s="100"/>
      <c r="GI24" s="100"/>
      <c r="GJ24" s="100"/>
      <c r="GK24" s="100"/>
      <c r="GL24" s="100"/>
      <c r="GM24" s="100"/>
      <c r="GN24" s="100"/>
      <c r="GO24" s="100"/>
      <c r="GP24" s="100"/>
      <c r="GQ24" s="100"/>
      <c r="GR24" s="100"/>
      <c r="GS24" s="100"/>
      <c r="GT24" s="100"/>
      <c r="GU24" s="100"/>
      <c r="GV24" s="100"/>
      <c r="GW24" s="100"/>
      <c r="GX24" s="100"/>
      <c r="GY24" s="100"/>
      <c r="GZ24" s="100"/>
      <c r="HA24" s="101"/>
      <c r="HB24" s="99" t="s">
        <v>9</v>
      </c>
      <c r="HC24" s="100"/>
      <c r="HD24" s="100"/>
      <c r="HE24" s="100"/>
      <c r="HF24" s="100"/>
      <c r="HG24" s="100"/>
      <c r="HH24" s="100"/>
      <c r="HI24" s="100"/>
      <c r="HJ24" s="100"/>
      <c r="HK24" s="100"/>
      <c r="HL24" s="100"/>
      <c r="HM24" s="100"/>
      <c r="HN24" s="100"/>
      <c r="HO24" s="100"/>
      <c r="HP24" s="100"/>
      <c r="HQ24" s="100"/>
      <c r="HR24" s="100"/>
      <c r="HS24" s="100"/>
      <c r="HT24" s="100"/>
      <c r="HU24" s="100"/>
      <c r="HV24" s="100"/>
      <c r="HW24" s="100"/>
      <c r="HX24" s="100"/>
      <c r="HY24" s="100"/>
      <c r="HZ24" s="100"/>
      <c r="IA24" s="100"/>
      <c r="IB24" s="100"/>
      <c r="IC24" s="100"/>
      <c r="ID24" s="101"/>
      <c r="IE24" s="99" t="s">
        <v>10</v>
      </c>
      <c r="IF24" s="100"/>
      <c r="IG24" s="100"/>
      <c r="IH24" s="100"/>
      <c r="II24" s="100"/>
      <c r="IJ24" s="100"/>
      <c r="IK24" s="100"/>
      <c r="IL24" s="100"/>
      <c r="IM24" s="100"/>
      <c r="IN24" s="100"/>
      <c r="IO24" s="100"/>
      <c r="IP24" s="100"/>
      <c r="IQ24" s="100"/>
      <c r="IR24" s="100"/>
      <c r="IS24" s="100"/>
      <c r="IT24" s="100"/>
      <c r="IU24" s="100"/>
      <c r="IV24" s="100"/>
      <c r="IW24" s="100"/>
      <c r="IX24" s="100"/>
      <c r="IY24" s="100"/>
      <c r="IZ24" s="100"/>
      <c r="JA24" s="100"/>
      <c r="JB24" s="100"/>
      <c r="JC24" s="100"/>
      <c r="JD24" s="100"/>
      <c r="JE24" s="100"/>
      <c r="JF24" s="100"/>
      <c r="JG24" s="101"/>
      <c r="JH24" s="99" t="s">
        <v>11</v>
      </c>
      <c r="JI24" s="100"/>
      <c r="JJ24" s="100"/>
      <c r="JK24" s="100"/>
      <c r="JL24" s="100"/>
      <c r="JM24" s="100"/>
      <c r="JN24" s="100"/>
      <c r="JO24" s="100"/>
      <c r="JP24" s="100"/>
      <c r="JQ24" s="100"/>
      <c r="JR24" s="100"/>
      <c r="JS24" s="100"/>
      <c r="JT24" s="100"/>
      <c r="JU24" s="100"/>
      <c r="JV24" s="100"/>
      <c r="JW24" s="100"/>
      <c r="JX24" s="100"/>
      <c r="JY24" s="100"/>
      <c r="JZ24" s="100"/>
      <c r="KA24" s="100"/>
      <c r="KB24" s="100"/>
      <c r="KC24" s="100"/>
      <c r="KD24" s="100"/>
      <c r="KE24" s="100"/>
      <c r="KF24" s="100"/>
      <c r="KG24" s="100"/>
      <c r="KH24" s="100"/>
      <c r="KI24" s="100"/>
      <c r="KJ24" s="101"/>
      <c r="KK24" s="2"/>
      <c r="KL24" s="2"/>
      <c r="KM24" s="2"/>
      <c r="KN24" s="2"/>
      <c r="KO24" s="2"/>
      <c r="KP24" s="2"/>
      <c r="KQ24" s="2"/>
      <c r="KR24" s="2"/>
      <c r="KS24" s="2"/>
      <c r="KT24" s="2"/>
      <c r="KU24" s="2"/>
      <c r="KV24" s="2"/>
      <c r="KW24" s="2"/>
      <c r="KX24" s="2"/>
      <c r="KY24" s="2"/>
      <c r="KZ24" s="2"/>
      <c r="LA24" s="2"/>
      <c r="LB24" s="2"/>
      <c r="LC24" s="2"/>
      <c r="LD24" s="2"/>
    </row>
    <row r="25" spans="1:316" ht="15.75" customHeight="1" x14ac:dyDescent="0.25">
      <c r="A25" s="106"/>
      <c r="B25" s="1" t="s">
        <v>12</v>
      </c>
      <c r="C25" s="3" t="s">
        <v>13</v>
      </c>
      <c r="D25" s="3"/>
      <c r="E25" s="3" t="s">
        <v>15</v>
      </c>
      <c r="F25" s="23"/>
      <c r="G25" s="29" t="s">
        <v>17</v>
      </c>
      <c r="H25" s="3" t="s">
        <v>18</v>
      </c>
      <c r="I25" s="3" t="s">
        <v>19</v>
      </c>
      <c r="J25" s="3" t="s">
        <v>20</v>
      </c>
      <c r="K25" s="3" t="s">
        <v>21</v>
      </c>
      <c r="L25" s="3" t="s">
        <v>22</v>
      </c>
      <c r="M25" s="3" t="s">
        <v>23</v>
      </c>
      <c r="N25" s="3" t="s">
        <v>24</v>
      </c>
      <c r="O25" s="3" t="s">
        <v>25</v>
      </c>
      <c r="P25" s="3" t="s">
        <v>26</v>
      </c>
      <c r="Q25" s="6" t="s">
        <v>27</v>
      </c>
      <c r="R25" s="6" t="s">
        <v>28</v>
      </c>
      <c r="S25" s="6" t="s">
        <v>29</v>
      </c>
      <c r="T25" s="6" t="s">
        <v>30</v>
      </c>
      <c r="U25" s="6" t="s">
        <v>31</v>
      </c>
      <c r="V25" s="6" t="s">
        <v>32</v>
      </c>
      <c r="W25" s="6" t="s">
        <v>33</v>
      </c>
      <c r="X25" s="6" t="s">
        <v>34</v>
      </c>
      <c r="Y25" s="3" t="s">
        <v>35</v>
      </c>
      <c r="Z25" s="3" t="s">
        <v>36</v>
      </c>
      <c r="AA25" s="6" t="s">
        <v>37</v>
      </c>
      <c r="AB25" s="6" t="s">
        <v>38</v>
      </c>
      <c r="AC25" s="3" t="s">
        <v>39</v>
      </c>
      <c r="AD25" s="3" t="s">
        <v>40</v>
      </c>
      <c r="AE25" s="3" t="s">
        <v>41</v>
      </c>
      <c r="AF25" s="3" t="s">
        <v>42</v>
      </c>
      <c r="AG25" s="3" t="s">
        <v>43</v>
      </c>
      <c r="AH25" s="3" t="s">
        <v>44</v>
      </c>
      <c r="AI25" s="23" t="s">
        <v>45</v>
      </c>
      <c r="AJ25" s="29" t="s">
        <v>17</v>
      </c>
      <c r="AK25" s="3" t="s">
        <v>18</v>
      </c>
      <c r="AL25" s="3" t="s">
        <v>19</v>
      </c>
      <c r="AM25" s="3" t="s">
        <v>20</v>
      </c>
      <c r="AN25" s="3" t="s">
        <v>21</v>
      </c>
      <c r="AO25" s="3" t="s">
        <v>22</v>
      </c>
      <c r="AP25" s="3" t="s">
        <v>23</v>
      </c>
      <c r="AQ25" s="3" t="s">
        <v>24</v>
      </c>
      <c r="AR25" s="3" t="s">
        <v>25</v>
      </c>
      <c r="AS25" s="3" t="s">
        <v>26</v>
      </c>
      <c r="AT25" s="6" t="s">
        <v>27</v>
      </c>
      <c r="AU25" s="6" t="s">
        <v>28</v>
      </c>
      <c r="AV25" s="6" t="s">
        <v>29</v>
      </c>
      <c r="AW25" s="6" t="s">
        <v>30</v>
      </c>
      <c r="AX25" s="6" t="s">
        <v>31</v>
      </c>
      <c r="AY25" s="6" t="s">
        <v>32</v>
      </c>
      <c r="AZ25" s="6" t="s">
        <v>33</v>
      </c>
      <c r="BA25" s="6" t="s">
        <v>34</v>
      </c>
      <c r="BB25" s="3" t="s">
        <v>35</v>
      </c>
      <c r="BC25" s="3" t="s">
        <v>36</v>
      </c>
      <c r="BD25" s="6" t="s">
        <v>37</v>
      </c>
      <c r="BE25" s="6" t="s">
        <v>38</v>
      </c>
      <c r="BF25" s="3" t="s">
        <v>39</v>
      </c>
      <c r="BG25" s="3" t="s">
        <v>40</v>
      </c>
      <c r="BH25" s="3" t="s">
        <v>41</v>
      </c>
      <c r="BI25" s="3" t="s">
        <v>42</v>
      </c>
      <c r="BJ25" s="3" t="s">
        <v>43</v>
      </c>
      <c r="BK25" s="3" t="s">
        <v>44</v>
      </c>
      <c r="BL25" s="23" t="s">
        <v>45</v>
      </c>
      <c r="BM25" s="29" t="s">
        <v>17</v>
      </c>
      <c r="BN25" s="3" t="s">
        <v>18</v>
      </c>
      <c r="BO25" s="3" t="s">
        <v>19</v>
      </c>
      <c r="BP25" s="3" t="s">
        <v>20</v>
      </c>
      <c r="BQ25" s="3" t="s">
        <v>21</v>
      </c>
      <c r="BR25" s="3" t="s">
        <v>22</v>
      </c>
      <c r="BS25" s="3" t="s">
        <v>23</v>
      </c>
      <c r="BT25" s="3" t="s">
        <v>24</v>
      </c>
      <c r="BU25" s="3" t="s">
        <v>25</v>
      </c>
      <c r="BV25" s="3" t="s">
        <v>26</v>
      </c>
      <c r="BW25" s="6" t="s">
        <v>27</v>
      </c>
      <c r="BX25" s="6" t="s">
        <v>28</v>
      </c>
      <c r="BY25" s="6" t="s">
        <v>29</v>
      </c>
      <c r="BZ25" s="6" t="s">
        <v>30</v>
      </c>
      <c r="CA25" s="6" t="s">
        <v>31</v>
      </c>
      <c r="CB25" s="6" t="s">
        <v>32</v>
      </c>
      <c r="CC25" s="6" t="s">
        <v>33</v>
      </c>
      <c r="CD25" s="6" t="s">
        <v>34</v>
      </c>
      <c r="CE25" s="3" t="s">
        <v>35</v>
      </c>
      <c r="CF25" s="3" t="s">
        <v>36</v>
      </c>
      <c r="CG25" s="6" t="s">
        <v>37</v>
      </c>
      <c r="CH25" s="6" t="s">
        <v>38</v>
      </c>
      <c r="CI25" s="3" t="s">
        <v>39</v>
      </c>
      <c r="CJ25" s="3" t="s">
        <v>40</v>
      </c>
      <c r="CK25" s="3" t="s">
        <v>41</v>
      </c>
      <c r="CL25" s="3" t="s">
        <v>42</v>
      </c>
      <c r="CM25" s="3" t="s">
        <v>43</v>
      </c>
      <c r="CN25" s="3" t="s">
        <v>44</v>
      </c>
      <c r="CO25" s="23" t="s">
        <v>45</v>
      </c>
      <c r="CP25" s="29" t="s">
        <v>17</v>
      </c>
      <c r="CQ25" s="3" t="s">
        <v>18</v>
      </c>
      <c r="CR25" s="3" t="s">
        <v>19</v>
      </c>
      <c r="CS25" s="3" t="s">
        <v>20</v>
      </c>
      <c r="CT25" s="3" t="s">
        <v>21</v>
      </c>
      <c r="CU25" s="3" t="s">
        <v>22</v>
      </c>
      <c r="CV25" s="3" t="s">
        <v>23</v>
      </c>
      <c r="CW25" s="3" t="s">
        <v>24</v>
      </c>
      <c r="CX25" s="3" t="s">
        <v>25</v>
      </c>
      <c r="CY25" s="3" t="s">
        <v>26</v>
      </c>
      <c r="CZ25" s="6" t="s">
        <v>27</v>
      </c>
      <c r="DA25" s="6" t="s">
        <v>28</v>
      </c>
      <c r="DB25" s="6" t="s">
        <v>29</v>
      </c>
      <c r="DC25" s="6" t="s">
        <v>30</v>
      </c>
      <c r="DD25" s="6" t="s">
        <v>31</v>
      </c>
      <c r="DE25" s="6" t="s">
        <v>32</v>
      </c>
      <c r="DF25" s="6" t="s">
        <v>33</v>
      </c>
      <c r="DG25" s="6" t="s">
        <v>34</v>
      </c>
      <c r="DH25" s="3" t="s">
        <v>35</v>
      </c>
      <c r="DI25" s="3" t="s">
        <v>36</v>
      </c>
      <c r="DJ25" s="6" t="s">
        <v>37</v>
      </c>
      <c r="DK25" s="6" t="s">
        <v>38</v>
      </c>
      <c r="DL25" s="3" t="s">
        <v>39</v>
      </c>
      <c r="DM25" s="3" t="s">
        <v>40</v>
      </c>
      <c r="DN25" s="3" t="s">
        <v>41</v>
      </c>
      <c r="DO25" s="3" t="s">
        <v>42</v>
      </c>
      <c r="DP25" s="3" t="s">
        <v>43</v>
      </c>
      <c r="DQ25" s="3" t="s">
        <v>44</v>
      </c>
      <c r="DR25" s="30" t="s">
        <v>45</v>
      </c>
      <c r="DS25" s="29" t="s">
        <v>17</v>
      </c>
      <c r="DT25" s="3" t="s">
        <v>18</v>
      </c>
      <c r="DU25" s="3" t="s">
        <v>19</v>
      </c>
      <c r="DV25" s="3" t="s">
        <v>20</v>
      </c>
      <c r="DW25" s="3" t="s">
        <v>21</v>
      </c>
      <c r="DX25" s="3" t="s">
        <v>22</v>
      </c>
      <c r="DY25" s="3" t="s">
        <v>23</v>
      </c>
      <c r="DZ25" s="3" t="s">
        <v>24</v>
      </c>
      <c r="EA25" s="3" t="s">
        <v>25</v>
      </c>
      <c r="EB25" s="3" t="s">
        <v>26</v>
      </c>
      <c r="EC25" s="6" t="s">
        <v>27</v>
      </c>
      <c r="ED25" s="6" t="s">
        <v>28</v>
      </c>
      <c r="EE25" s="6" t="s">
        <v>29</v>
      </c>
      <c r="EF25" s="6" t="s">
        <v>30</v>
      </c>
      <c r="EG25" s="6" t="s">
        <v>31</v>
      </c>
      <c r="EH25" s="6" t="s">
        <v>32</v>
      </c>
      <c r="EI25" s="6" t="s">
        <v>33</v>
      </c>
      <c r="EJ25" s="6" t="s">
        <v>34</v>
      </c>
      <c r="EK25" s="3" t="s">
        <v>35</v>
      </c>
      <c r="EL25" s="3" t="s">
        <v>36</v>
      </c>
      <c r="EM25" s="6" t="s">
        <v>37</v>
      </c>
      <c r="EN25" s="6" t="s">
        <v>38</v>
      </c>
      <c r="EO25" s="3" t="s">
        <v>39</v>
      </c>
      <c r="EP25" s="3" t="s">
        <v>40</v>
      </c>
      <c r="EQ25" s="3" t="s">
        <v>41</v>
      </c>
      <c r="ER25" s="3" t="s">
        <v>42</v>
      </c>
      <c r="ES25" s="3" t="s">
        <v>43</v>
      </c>
      <c r="ET25" s="3" t="s">
        <v>44</v>
      </c>
      <c r="EU25" s="30" t="s">
        <v>45</v>
      </c>
      <c r="EV25" s="29" t="s">
        <v>17</v>
      </c>
      <c r="EW25" s="3" t="s">
        <v>18</v>
      </c>
      <c r="EX25" s="3" t="s">
        <v>19</v>
      </c>
      <c r="EY25" s="3" t="s">
        <v>20</v>
      </c>
      <c r="EZ25" s="3" t="s">
        <v>21</v>
      </c>
      <c r="FA25" s="3" t="s">
        <v>22</v>
      </c>
      <c r="FB25" s="3" t="s">
        <v>23</v>
      </c>
      <c r="FC25" s="3" t="s">
        <v>24</v>
      </c>
      <c r="FD25" s="3" t="s">
        <v>25</v>
      </c>
      <c r="FE25" s="3" t="s">
        <v>26</v>
      </c>
      <c r="FF25" s="6" t="s">
        <v>27</v>
      </c>
      <c r="FG25" s="6" t="s">
        <v>28</v>
      </c>
      <c r="FH25" s="6" t="s">
        <v>29</v>
      </c>
      <c r="FI25" s="6" t="s">
        <v>30</v>
      </c>
      <c r="FJ25" s="6" t="s">
        <v>31</v>
      </c>
      <c r="FK25" s="6" t="s">
        <v>32</v>
      </c>
      <c r="FL25" s="6" t="s">
        <v>33</v>
      </c>
      <c r="FM25" s="6" t="s">
        <v>34</v>
      </c>
      <c r="FN25" s="3" t="s">
        <v>35</v>
      </c>
      <c r="FO25" s="3" t="s">
        <v>36</v>
      </c>
      <c r="FP25" s="6" t="s">
        <v>37</v>
      </c>
      <c r="FQ25" s="6" t="s">
        <v>38</v>
      </c>
      <c r="FR25" s="3" t="s">
        <v>39</v>
      </c>
      <c r="FS25" s="3" t="s">
        <v>40</v>
      </c>
      <c r="FT25" s="3" t="s">
        <v>41</v>
      </c>
      <c r="FU25" s="3" t="s">
        <v>42</v>
      </c>
      <c r="FV25" s="3" t="s">
        <v>43</v>
      </c>
      <c r="FW25" s="3" t="s">
        <v>44</v>
      </c>
      <c r="FX25" s="30" t="s">
        <v>45</v>
      </c>
      <c r="FY25" s="29" t="s">
        <v>17</v>
      </c>
      <c r="FZ25" s="3" t="s">
        <v>18</v>
      </c>
      <c r="GA25" s="3" t="s">
        <v>19</v>
      </c>
      <c r="GB25" s="3" t="s">
        <v>20</v>
      </c>
      <c r="GC25" s="3" t="s">
        <v>21</v>
      </c>
      <c r="GD25" s="3" t="s">
        <v>22</v>
      </c>
      <c r="GE25" s="3" t="s">
        <v>23</v>
      </c>
      <c r="GF25" s="3" t="s">
        <v>24</v>
      </c>
      <c r="GG25" s="3" t="s">
        <v>25</v>
      </c>
      <c r="GH25" s="3" t="s">
        <v>26</v>
      </c>
      <c r="GI25" s="6" t="s">
        <v>27</v>
      </c>
      <c r="GJ25" s="6" t="s">
        <v>28</v>
      </c>
      <c r="GK25" s="6" t="s">
        <v>29</v>
      </c>
      <c r="GL25" s="6" t="s">
        <v>30</v>
      </c>
      <c r="GM25" s="6" t="s">
        <v>31</v>
      </c>
      <c r="GN25" s="6" t="s">
        <v>32</v>
      </c>
      <c r="GO25" s="6" t="s">
        <v>33</v>
      </c>
      <c r="GP25" s="6" t="s">
        <v>34</v>
      </c>
      <c r="GQ25" s="3" t="s">
        <v>35</v>
      </c>
      <c r="GR25" s="3" t="s">
        <v>36</v>
      </c>
      <c r="GS25" s="6" t="s">
        <v>37</v>
      </c>
      <c r="GT25" s="6" t="s">
        <v>38</v>
      </c>
      <c r="GU25" s="3" t="s">
        <v>39</v>
      </c>
      <c r="GV25" s="3" t="s">
        <v>40</v>
      </c>
      <c r="GW25" s="3" t="s">
        <v>41</v>
      </c>
      <c r="GX25" s="3" t="s">
        <v>42</v>
      </c>
      <c r="GY25" s="3" t="s">
        <v>43</v>
      </c>
      <c r="GZ25" s="3" t="s">
        <v>44</v>
      </c>
      <c r="HA25" s="30" t="s">
        <v>45</v>
      </c>
      <c r="HB25" s="29" t="s">
        <v>17</v>
      </c>
      <c r="HC25" s="3" t="s">
        <v>18</v>
      </c>
      <c r="HD25" s="3" t="s">
        <v>19</v>
      </c>
      <c r="HE25" s="3" t="s">
        <v>20</v>
      </c>
      <c r="HF25" s="3" t="s">
        <v>21</v>
      </c>
      <c r="HG25" s="3" t="s">
        <v>22</v>
      </c>
      <c r="HH25" s="3" t="s">
        <v>23</v>
      </c>
      <c r="HI25" s="3" t="s">
        <v>24</v>
      </c>
      <c r="HJ25" s="3" t="s">
        <v>25</v>
      </c>
      <c r="HK25" s="3" t="s">
        <v>26</v>
      </c>
      <c r="HL25" s="6" t="s">
        <v>27</v>
      </c>
      <c r="HM25" s="6" t="s">
        <v>28</v>
      </c>
      <c r="HN25" s="6" t="s">
        <v>29</v>
      </c>
      <c r="HO25" s="6" t="s">
        <v>30</v>
      </c>
      <c r="HP25" s="6" t="s">
        <v>31</v>
      </c>
      <c r="HQ25" s="6" t="s">
        <v>32</v>
      </c>
      <c r="HR25" s="6" t="s">
        <v>33</v>
      </c>
      <c r="HS25" s="6" t="s">
        <v>34</v>
      </c>
      <c r="HT25" s="3" t="s">
        <v>35</v>
      </c>
      <c r="HU25" s="3" t="s">
        <v>36</v>
      </c>
      <c r="HV25" s="6" t="s">
        <v>37</v>
      </c>
      <c r="HW25" s="6" t="s">
        <v>38</v>
      </c>
      <c r="HX25" s="3" t="s">
        <v>39</v>
      </c>
      <c r="HY25" s="3" t="s">
        <v>40</v>
      </c>
      <c r="HZ25" s="3" t="s">
        <v>41</v>
      </c>
      <c r="IA25" s="3" t="s">
        <v>42</v>
      </c>
      <c r="IB25" s="3" t="s">
        <v>43</v>
      </c>
      <c r="IC25" s="3" t="s">
        <v>44</v>
      </c>
      <c r="ID25" s="30" t="s">
        <v>45</v>
      </c>
      <c r="IE25" s="29" t="s">
        <v>17</v>
      </c>
      <c r="IF25" s="3" t="s">
        <v>18</v>
      </c>
      <c r="IG25" s="3" t="s">
        <v>19</v>
      </c>
      <c r="IH25" s="3" t="s">
        <v>20</v>
      </c>
      <c r="II25" s="3" t="s">
        <v>21</v>
      </c>
      <c r="IJ25" s="3" t="s">
        <v>22</v>
      </c>
      <c r="IK25" s="3" t="s">
        <v>23</v>
      </c>
      <c r="IL25" s="3" t="s">
        <v>24</v>
      </c>
      <c r="IM25" s="3" t="s">
        <v>25</v>
      </c>
      <c r="IN25" s="3" t="s">
        <v>26</v>
      </c>
      <c r="IO25" s="6" t="s">
        <v>27</v>
      </c>
      <c r="IP25" s="6" t="s">
        <v>28</v>
      </c>
      <c r="IQ25" s="6" t="s">
        <v>29</v>
      </c>
      <c r="IR25" s="6" t="s">
        <v>30</v>
      </c>
      <c r="IS25" s="6" t="s">
        <v>31</v>
      </c>
      <c r="IT25" s="6" t="s">
        <v>32</v>
      </c>
      <c r="IU25" s="6" t="s">
        <v>33</v>
      </c>
      <c r="IV25" s="6" t="s">
        <v>34</v>
      </c>
      <c r="IW25" s="3" t="s">
        <v>35</v>
      </c>
      <c r="IX25" s="3" t="s">
        <v>36</v>
      </c>
      <c r="IY25" s="6" t="s">
        <v>37</v>
      </c>
      <c r="IZ25" s="6" t="s">
        <v>38</v>
      </c>
      <c r="JA25" s="3" t="s">
        <v>39</v>
      </c>
      <c r="JB25" s="3" t="s">
        <v>40</v>
      </c>
      <c r="JC25" s="3" t="s">
        <v>41</v>
      </c>
      <c r="JD25" s="3" t="s">
        <v>42</v>
      </c>
      <c r="JE25" s="3" t="s">
        <v>43</v>
      </c>
      <c r="JF25" s="3" t="s">
        <v>44</v>
      </c>
      <c r="JG25" s="30" t="s">
        <v>45</v>
      </c>
      <c r="JH25" s="29" t="s">
        <v>17</v>
      </c>
      <c r="JI25" s="3" t="s">
        <v>18</v>
      </c>
      <c r="JJ25" s="3" t="s">
        <v>19</v>
      </c>
      <c r="JK25" s="3" t="s">
        <v>20</v>
      </c>
      <c r="JL25" s="3" t="s">
        <v>21</v>
      </c>
      <c r="JM25" s="3" t="s">
        <v>22</v>
      </c>
      <c r="JN25" s="3" t="s">
        <v>23</v>
      </c>
      <c r="JO25" s="3" t="s">
        <v>24</v>
      </c>
      <c r="JP25" s="3" t="s">
        <v>25</v>
      </c>
      <c r="JQ25" s="3" t="s">
        <v>26</v>
      </c>
      <c r="JR25" s="6" t="s">
        <v>27</v>
      </c>
      <c r="JS25" s="6" t="s">
        <v>28</v>
      </c>
      <c r="JT25" s="6" t="s">
        <v>29</v>
      </c>
      <c r="JU25" s="6" t="s">
        <v>30</v>
      </c>
      <c r="JV25" s="6" t="s">
        <v>31</v>
      </c>
      <c r="JW25" s="6" t="s">
        <v>32</v>
      </c>
      <c r="JX25" s="6" t="s">
        <v>33</v>
      </c>
      <c r="JY25" s="6" t="s">
        <v>34</v>
      </c>
      <c r="JZ25" s="3" t="s">
        <v>35</v>
      </c>
      <c r="KA25" s="3" t="s">
        <v>36</v>
      </c>
      <c r="KB25" s="6" t="s">
        <v>37</v>
      </c>
      <c r="KC25" s="6" t="s">
        <v>38</v>
      </c>
      <c r="KD25" s="3" t="s">
        <v>39</v>
      </c>
      <c r="KE25" s="3" t="s">
        <v>40</v>
      </c>
      <c r="KF25" s="3" t="s">
        <v>41</v>
      </c>
      <c r="KG25" s="3" t="s">
        <v>42</v>
      </c>
      <c r="KH25" s="3" t="s">
        <v>43</v>
      </c>
      <c r="KI25" s="3" t="s">
        <v>44</v>
      </c>
      <c r="KJ25" s="30" t="s">
        <v>45</v>
      </c>
      <c r="KK25" s="10"/>
      <c r="KL25" s="10"/>
      <c r="KM25" s="10"/>
      <c r="KN25" s="10"/>
      <c r="KO25" s="10"/>
      <c r="KP25" s="10"/>
      <c r="KQ25" s="10"/>
      <c r="KR25" s="10"/>
      <c r="KS25" s="10"/>
      <c r="KT25" s="10"/>
      <c r="KU25" s="10"/>
      <c r="KV25" s="10"/>
      <c r="KW25" s="10"/>
      <c r="KX25" s="10"/>
      <c r="KY25" s="10"/>
      <c r="KZ25" s="10"/>
      <c r="LA25" s="10"/>
      <c r="LB25" s="10"/>
      <c r="LC25" s="10"/>
      <c r="LD25" s="10"/>
    </row>
    <row r="26" spans="1:316" ht="15.75" customHeight="1" x14ac:dyDescent="0.25">
      <c r="A26" s="106"/>
      <c r="B26" s="102" t="s">
        <v>46</v>
      </c>
      <c r="C26" s="11">
        <v>1</v>
      </c>
      <c r="D26" s="11">
        <f>D21+1</f>
        <v>19</v>
      </c>
      <c r="E26" s="11">
        <v>4</v>
      </c>
      <c r="F26" s="12">
        <f>E26+F21</f>
        <v>76</v>
      </c>
      <c r="G26" s="13">
        <v>6</v>
      </c>
      <c r="H26" s="11">
        <f>H21+G26</f>
        <v>93</v>
      </c>
      <c r="I26" s="14">
        <v>2</v>
      </c>
      <c r="J26" s="11">
        <f>I26+J21</f>
        <v>38</v>
      </c>
      <c r="K26" s="11">
        <f t="shared" ref="K26:K34" si="514">IF(G26-I26&lt;=$E26-2,1,0)</f>
        <v>0</v>
      </c>
      <c r="L26" s="11">
        <f>K26+L21</f>
        <v>8</v>
      </c>
      <c r="M26" s="11">
        <f t="shared" ref="M26:M34" si="515">IF(K26=0,IF(G26=$E26,1,0),0)</f>
        <v>0</v>
      </c>
      <c r="N26" s="11">
        <f>M26+N21</f>
        <v>1</v>
      </c>
      <c r="O26" s="11">
        <f t="shared" ref="O26:O34" si="516">IF($E26-G26=1,1,0)</f>
        <v>0</v>
      </c>
      <c r="P26" s="11">
        <f>O26+P21</f>
        <v>1</v>
      </c>
      <c r="Q26" s="11">
        <f t="shared" ref="Q26:Q34" si="517">IF(G26=$E26,1,0)</f>
        <v>0</v>
      </c>
      <c r="R26" s="11">
        <f>Q26</f>
        <v>0</v>
      </c>
      <c r="S26" s="11">
        <f t="shared" ref="S26:S34" si="518">IF(G26-$E26=1,1,0)</f>
        <v>0</v>
      </c>
      <c r="T26" s="11">
        <f>S26</f>
        <v>0</v>
      </c>
      <c r="U26" s="11">
        <f t="shared" ref="U26:U34" si="519">IF(G26-$E26&gt;=2,1,0)</f>
        <v>1</v>
      </c>
      <c r="V26" s="11">
        <f>U26</f>
        <v>1</v>
      </c>
      <c r="W26" s="11">
        <f t="shared" ref="W26:W34" si="520">IF(I26=0,1,0)</f>
        <v>0</v>
      </c>
      <c r="X26" s="11">
        <f>W26</f>
        <v>0</v>
      </c>
      <c r="Y26" s="11">
        <f t="shared" ref="Y26:Y34" si="521">IF(I26=1,1,0)</f>
        <v>0</v>
      </c>
      <c r="Z26" s="11">
        <f>Y26+Z21</f>
        <v>4</v>
      </c>
      <c r="AA26" s="11">
        <f t="shared" ref="AA26:AA34" si="522">IF(I26=2,1,0)</f>
        <v>1</v>
      </c>
      <c r="AB26" s="11">
        <f>AA26</f>
        <v>1</v>
      </c>
      <c r="AC26" s="11">
        <f t="shared" ref="AC26:AC34" si="523">IF(I26&gt;=3,1,0)</f>
        <v>0</v>
      </c>
      <c r="AD26" s="11">
        <f>AC26+AD21</f>
        <v>3</v>
      </c>
      <c r="AE26" s="11"/>
      <c r="AF26" s="11">
        <f>IF($E26=4,G26-4,NA())</f>
        <v>2</v>
      </c>
      <c r="AG26" s="11"/>
      <c r="AH26" s="15">
        <f>G26-'Zusammenfassung Tag1-4'!$B$2/18</f>
        <v>4.8888888888888893</v>
      </c>
      <c r="AI26" s="16">
        <f>AH26+AI21</f>
        <v>71.888888888888857</v>
      </c>
      <c r="AJ26" s="13">
        <v>4</v>
      </c>
      <c r="AK26" s="11">
        <f>AK21+AJ26</f>
        <v>86</v>
      </c>
      <c r="AL26" s="14">
        <v>2</v>
      </c>
      <c r="AM26" s="11">
        <f>AL26+AM21</f>
        <v>37</v>
      </c>
      <c r="AN26" s="11">
        <f t="shared" ref="AN26:AN34" si="524">IF(AJ26-AL26&lt;=$E26-2,1,0)</f>
        <v>1</v>
      </c>
      <c r="AO26" s="11">
        <f>AN26+AO21</f>
        <v>11</v>
      </c>
      <c r="AP26" s="11">
        <f t="shared" ref="AP26:AP34" si="525">IF(AN26=0,IF(AJ26=$E26,1,0),0)</f>
        <v>0</v>
      </c>
      <c r="AQ26" s="11">
        <f>AP26+AQ21</f>
        <v>3</v>
      </c>
      <c r="AR26" s="11">
        <f t="shared" ref="AR26:AR34" si="526">IF($E26-AJ26=1,1,0)</f>
        <v>0</v>
      </c>
      <c r="AS26" s="11">
        <f>AR26+AS21</f>
        <v>0</v>
      </c>
      <c r="AT26" s="11">
        <f t="shared" ref="AT26:AT34" si="527">IF(AJ26=$E26,1,0)</f>
        <v>1</v>
      </c>
      <c r="AU26" s="11">
        <f>AT26</f>
        <v>1</v>
      </c>
      <c r="AV26" s="11">
        <f t="shared" ref="AV26:AV34" si="528">IF(AJ26-$E26=1,1,0)</f>
        <v>0</v>
      </c>
      <c r="AW26" s="11">
        <f>AV26</f>
        <v>0</v>
      </c>
      <c r="AX26" s="11">
        <f t="shared" ref="AX26:AX34" si="529">IF(AJ26-$E26&gt;=2,1,0)</f>
        <v>0</v>
      </c>
      <c r="AY26" s="11">
        <f>AX26</f>
        <v>0</v>
      </c>
      <c r="AZ26" s="11">
        <f t="shared" ref="AZ26:AZ34" si="530">IF(AL26=0,1,0)</f>
        <v>0</v>
      </c>
      <c r="BA26" s="11">
        <f>AZ26</f>
        <v>0</v>
      </c>
      <c r="BB26" s="11">
        <f t="shared" ref="BB26:BB34" si="531">IF(AL26=1,1,0)</f>
        <v>0</v>
      </c>
      <c r="BC26" s="11">
        <f>BB26+BC21</f>
        <v>4</v>
      </c>
      <c r="BD26" s="11">
        <f t="shared" ref="BD26:BD34" si="532">IF(AL26=2,1,0)</f>
        <v>1</v>
      </c>
      <c r="BE26" s="11">
        <f>BD26</f>
        <v>1</v>
      </c>
      <c r="BF26" s="11">
        <f t="shared" ref="BF26:BF34" si="533">IF(AL26&gt;=3,1,0)</f>
        <v>0</v>
      </c>
      <c r="BG26" s="11">
        <f>BF26+BG21</f>
        <v>3</v>
      </c>
      <c r="BH26" s="11"/>
      <c r="BI26" s="11">
        <f>IF($E26=4,AJ26-4,NA())</f>
        <v>0</v>
      </c>
      <c r="BJ26" s="11"/>
      <c r="BK26" s="15">
        <f>AJ26-'Zusammenfassung Tag1-4'!$C$2/18</f>
        <v>3.3333333333333335</v>
      </c>
      <c r="BL26" s="16">
        <f>BK26+BL21</f>
        <v>73.333333333333343</v>
      </c>
      <c r="BM26" s="13">
        <v>6</v>
      </c>
      <c r="BN26" s="11">
        <f>BN21+BM26</f>
        <v>106</v>
      </c>
      <c r="BO26" s="14">
        <v>2</v>
      </c>
      <c r="BP26" s="11">
        <f>BO26+BP21</f>
        <v>38</v>
      </c>
      <c r="BQ26" s="11">
        <f t="shared" ref="BQ26:BQ34" si="534">IF(BM26-BO26&lt;=$E26-2,1,0)</f>
        <v>0</v>
      </c>
      <c r="BR26" s="11">
        <f>BQ26+BR21</f>
        <v>4</v>
      </c>
      <c r="BS26" s="11">
        <f t="shared" ref="BS26:BS34" si="535">IF(BQ26=0,IF(BM26=$E26,1,0),0)</f>
        <v>0</v>
      </c>
      <c r="BT26" s="11">
        <f>BS26+BT21</f>
        <v>1</v>
      </c>
      <c r="BU26" s="11">
        <f t="shared" ref="BU26:BU34" si="536">IF($E26-BM26=1,1,0)</f>
        <v>0</v>
      </c>
      <c r="BV26" s="11">
        <f>BU26</f>
        <v>0</v>
      </c>
      <c r="BW26" s="11">
        <f t="shared" ref="BW26:BW34" si="537">IF(BM26=$E26,1,0)</f>
        <v>0</v>
      </c>
      <c r="BX26" s="11">
        <f>BW26</f>
        <v>0</v>
      </c>
      <c r="BY26" s="11">
        <f t="shared" ref="BY26:BY34" si="538">IF(BM26-$E26=1,1,0)</f>
        <v>0</v>
      </c>
      <c r="BZ26" s="11">
        <f>BY26</f>
        <v>0</v>
      </c>
      <c r="CA26" s="11">
        <f t="shared" ref="CA26:CA34" si="539">IF(BM26-$E26&gt;=2,1,0)</f>
        <v>1</v>
      </c>
      <c r="CB26" s="11">
        <f>CA26</f>
        <v>1</v>
      </c>
      <c r="CC26" s="11">
        <f t="shared" ref="CC26:CC34" si="540">IF(BO26=0,1,0)</f>
        <v>0</v>
      </c>
      <c r="CD26" s="11">
        <f>CC26</f>
        <v>0</v>
      </c>
      <c r="CE26" s="11">
        <f t="shared" ref="CE26:CE34" si="541">IF(BO26=1,1,0)</f>
        <v>0</v>
      </c>
      <c r="CF26" s="11">
        <f>CE26+CF21</f>
        <v>3</v>
      </c>
      <c r="CG26" s="11">
        <f t="shared" ref="CG26:CG34" si="542">IF(BO26=2,1,0)</f>
        <v>1</v>
      </c>
      <c r="CH26" s="11">
        <f>CG26</f>
        <v>1</v>
      </c>
      <c r="CI26" s="11">
        <f t="shared" ref="CI26:CI34" si="543">IF(BO26&gt;=3,1,0)</f>
        <v>0</v>
      </c>
      <c r="CJ26" s="11">
        <f>CI26+CJ21</f>
        <v>3</v>
      </c>
      <c r="CK26" s="11"/>
      <c r="CL26" s="11">
        <f>IF($E26=4,BM26-4,NA())</f>
        <v>2</v>
      </c>
      <c r="CM26" s="11"/>
      <c r="CN26" s="15">
        <f>BM26-'Zusammenfassung Tag1-4'!$D$2/18</f>
        <v>4.666666666666667</v>
      </c>
      <c r="CO26" s="16">
        <f>CN26+CO21</f>
        <v>80.666666666666657</v>
      </c>
      <c r="CP26" s="13">
        <v>5</v>
      </c>
      <c r="CQ26" s="11">
        <f>CQ21+CP26</f>
        <v>104</v>
      </c>
      <c r="CR26" s="14">
        <v>2</v>
      </c>
      <c r="CS26" s="11">
        <f>CR26+CS21</f>
        <v>40</v>
      </c>
      <c r="CT26" s="11">
        <f t="shared" ref="CT26:CT34" si="544">IF(CP26-CR26&lt;=$E26-2,1,0)</f>
        <v>0</v>
      </c>
      <c r="CU26" s="11">
        <f>CT26+CU21</f>
        <v>4</v>
      </c>
      <c r="CV26" s="11">
        <f t="shared" ref="CV26:CV34" si="545">IF(CT26=0,IF(CP26=$E26,1,0),0)</f>
        <v>0</v>
      </c>
      <c r="CW26" s="11">
        <f>CV26+CW21</f>
        <v>2</v>
      </c>
      <c r="CX26" s="11">
        <f t="shared" ref="CX26:CX34" si="546">IF($E26-CP26=1,1,0)</f>
        <v>0</v>
      </c>
      <c r="CY26" s="11">
        <f>CX26</f>
        <v>0</v>
      </c>
      <c r="CZ26" s="11">
        <f t="shared" ref="CZ26:CZ34" si="547">IF(CP26=$E26,1,0)</f>
        <v>0</v>
      </c>
      <c r="DA26" s="11">
        <f>CZ26</f>
        <v>0</v>
      </c>
      <c r="DB26" s="11">
        <f t="shared" ref="DB26:DB34" si="548">IF(CP26-$E26=1,1,0)</f>
        <v>1</v>
      </c>
      <c r="DC26" s="11">
        <f>DB26</f>
        <v>1</v>
      </c>
      <c r="DD26" s="11">
        <f t="shared" ref="DD26:DD34" si="549">IF(CP26-$E26&gt;=2,1,0)</f>
        <v>0</v>
      </c>
      <c r="DE26" s="11">
        <f>DD26</f>
        <v>0</v>
      </c>
      <c r="DF26" s="11">
        <f t="shared" ref="DF26:DF34" si="550">IF(CR26=0,1,0)</f>
        <v>0</v>
      </c>
      <c r="DG26" s="11">
        <f>DF26</f>
        <v>0</v>
      </c>
      <c r="DH26" s="11">
        <f t="shared" ref="DH26:DH34" si="551">IF(CR26=1,1,0)</f>
        <v>0</v>
      </c>
      <c r="DI26" s="11">
        <f>DH26+DI21</f>
        <v>3</v>
      </c>
      <c r="DJ26" s="11">
        <f t="shared" ref="DJ26:DJ34" si="552">IF(CR26=2,1,0)</f>
        <v>1</v>
      </c>
      <c r="DK26" s="11">
        <f>DJ26</f>
        <v>1</v>
      </c>
      <c r="DL26" s="11">
        <f t="shared" ref="DL26:DL34" si="553">IF(CR26&gt;=3,1,0)</f>
        <v>0</v>
      </c>
      <c r="DM26" s="11">
        <f>DL26+DM21</f>
        <v>5</v>
      </c>
      <c r="DN26" s="11"/>
      <c r="DO26" s="11">
        <f>IF($E26=4,CP26-4,NA())</f>
        <v>1</v>
      </c>
      <c r="DP26" s="11"/>
      <c r="DQ26" s="15">
        <f>CP26-'Zusammenfassung Tag1-4'!$E$2/18</f>
        <v>3.7222222222222223</v>
      </c>
      <c r="DR26" s="17">
        <f>DQ26+DR21</f>
        <v>79.722222222222229</v>
      </c>
      <c r="DS26" s="13">
        <v>7</v>
      </c>
      <c r="DT26" s="11">
        <f>DT21+DS26</f>
        <v>144</v>
      </c>
      <c r="DU26" s="14">
        <v>2</v>
      </c>
      <c r="DV26" s="11">
        <f>DU26+DV21</f>
        <v>44</v>
      </c>
      <c r="DW26" s="11">
        <f t="shared" ref="DW26:DW34" si="554">IF(DS26-DU26&lt;=$E26-2,1,0)</f>
        <v>0</v>
      </c>
      <c r="DX26" s="11">
        <f>DW26+DX21</f>
        <v>1</v>
      </c>
      <c r="DY26" s="11">
        <f t="shared" ref="DY26:DY34" si="555">IF(DW26=0,IF(DS26=$E26,1,0),0)</f>
        <v>0</v>
      </c>
      <c r="DZ26" s="11">
        <f>DY26+DZ21</f>
        <v>0</v>
      </c>
      <c r="EA26" s="11">
        <f t="shared" ref="EA26:EA34" si="556">IF($E26-DS26=1,1,0)</f>
        <v>0</v>
      </c>
      <c r="EB26" s="11">
        <f>EA26</f>
        <v>0</v>
      </c>
      <c r="EC26" s="11">
        <f t="shared" ref="EC26:EC34" si="557">IF(DS26=$E26,1,0)</f>
        <v>0</v>
      </c>
      <c r="ED26" s="11">
        <f>EC26</f>
        <v>0</v>
      </c>
      <c r="EE26" s="11">
        <f t="shared" ref="EE26:EE34" si="558">IF(DS26-$E26=1,1,0)</f>
        <v>0</v>
      </c>
      <c r="EF26" s="11">
        <f>EE26</f>
        <v>0</v>
      </c>
      <c r="EG26" s="11">
        <f t="shared" ref="EG26:EG34" si="559">IF(DS26-$E26&gt;=2,1,0)</f>
        <v>1</v>
      </c>
      <c r="EH26" s="11">
        <f>EG26</f>
        <v>1</v>
      </c>
      <c r="EI26" s="11">
        <f t="shared" ref="EI26:EI34" si="560">IF(DU26=0,1,0)</f>
        <v>0</v>
      </c>
      <c r="EJ26" s="11">
        <f>EI26</f>
        <v>0</v>
      </c>
      <c r="EK26" s="11">
        <f t="shared" ref="EK26:EK34" si="561">IF(DU26=1,1,0)</f>
        <v>0</v>
      </c>
      <c r="EL26" s="11">
        <f>EK26+EL21</f>
        <v>0</v>
      </c>
      <c r="EM26" s="11">
        <f t="shared" ref="EM26:EM34" si="562">IF(DU26=2,1,0)</f>
        <v>1</v>
      </c>
      <c r="EN26" s="11">
        <f>EM26</f>
        <v>1</v>
      </c>
      <c r="EO26" s="11">
        <f t="shared" ref="EO26:EO34" si="563">IF(DU26&gt;=3,1,0)</f>
        <v>0</v>
      </c>
      <c r="EP26" s="11">
        <f>EO26+EP21</f>
        <v>5</v>
      </c>
      <c r="EQ26" s="11"/>
      <c r="ER26" s="11">
        <f>IF($E26=4,DS26-4,NA())</f>
        <v>3</v>
      </c>
      <c r="ES26" s="11"/>
      <c r="ET26" s="15">
        <f>DS26-'Zusammenfassung Tag1-4'!$F$2/18</f>
        <v>4</v>
      </c>
      <c r="EU26" s="17">
        <f>ET26+EU21</f>
        <v>87</v>
      </c>
      <c r="EV26" s="13">
        <v>3</v>
      </c>
      <c r="EW26" s="11">
        <f>EW21+EV26</f>
        <v>105</v>
      </c>
      <c r="EX26" s="14">
        <v>1</v>
      </c>
      <c r="EY26" s="11">
        <f>EX26+EY21</f>
        <v>43</v>
      </c>
      <c r="EZ26" s="11">
        <f t="shared" ref="EZ26:EZ34" si="564">IF(EV26-EX26&lt;=$E26-2,1,0)</f>
        <v>1</v>
      </c>
      <c r="FA26" s="11">
        <f>EZ26+FA21</f>
        <v>5</v>
      </c>
      <c r="FB26" s="11">
        <f t="shared" ref="FB26:FB34" si="565">IF(EZ26=0,IF(EV26=$E26,1,0),0)</f>
        <v>0</v>
      </c>
      <c r="FC26" s="11">
        <f>FB26+FC21</f>
        <v>0</v>
      </c>
      <c r="FD26" s="11">
        <f t="shared" ref="FD26:FD34" si="566">IF($E26-EV26=1,1,0)</f>
        <v>1</v>
      </c>
      <c r="FE26" s="11">
        <f>FD26</f>
        <v>1</v>
      </c>
      <c r="FF26" s="11">
        <f t="shared" ref="FF26:FF34" si="567">IF(EV26=$E26,1,0)</f>
        <v>0</v>
      </c>
      <c r="FG26" s="11">
        <f>FF26</f>
        <v>0</v>
      </c>
      <c r="FH26" s="11">
        <f t="shared" ref="FH26:FH34" si="568">IF(EV26-$E26=1,1,0)</f>
        <v>0</v>
      </c>
      <c r="FI26" s="11">
        <f>FH26</f>
        <v>0</v>
      </c>
      <c r="FJ26" s="11">
        <f t="shared" ref="FJ26:FJ34" si="569">IF(EV26-$E26&gt;=2,1,0)</f>
        <v>0</v>
      </c>
      <c r="FK26" s="11">
        <f>FJ26</f>
        <v>0</v>
      </c>
      <c r="FL26" s="11">
        <f t="shared" ref="FL26:FL34" si="570">IF(EX26=0,1,0)</f>
        <v>0</v>
      </c>
      <c r="FM26" s="11">
        <f>FL26</f>
        <v>0</v>
      </c>
      <c r="FN26" s="11">
        <f t="shared" ref="FN26:FN34" si="571">IF(EX26=1,1,0)</f>
        <v>1</v>
      </c>
      <c r="FO26" s="11">
        <f>FN26+FO21</f>
        <v>2</v>
      </c>
      <c r="FP26" s="11">
        <f t="shared" ref="FP26:FP34" si="572">IF(EX26=2,1,0)</f>
        <v>0</v>
      </c>
      <c r="FQ26" s="11">
        <f>FP26</f>
        <v>0</v>
      </c>
      <c r="FR26" s="11">
        <f t="shared" ref="FR26:FR34" si="573">IF(EX26&gt;=3,1,0)</f>
        <v>0</v>
      </c>
      <c r="FS26" s="11">
        <f>FR26+FS21</f>
        <v>7</v>
      </c>
      <c r="FT26" s="11"/>
      <c r="FU26" s="11">
        <f>IF($E26=4,EV26-4,NA())</f>
        <v>-1</v>
      </c>
      <c r="FV26" s="11"/>
      <c r="FW26" s="15">
        <f>EV26-'Zusammenfassung Tag1-4'!$G$2/18</f>
        <v>1.5</v>
      </c>
      <c r="FX26" s="17">
        <f>FW26+FX21</f>
        <v>76.5</v>
      </c>
      <c r="FY26" s="13">
        <v>9</v>
      </c>
      <c r="FZ26" s="11">
        <f>FZ21+FY26</f>
        <v>140</v>
      </c>
      <c r="GA26" s="14">
        <v>3</v>
      </c>
      <c r="GB26" s="11">
        <f>GA26+GB21</f>
        <v>45</v>
      </c>
      <c r="GC26" s="11">
        <f t="shared" ref="GC26:GC34" si="574">IF(FY26-GA26&lt;=$E26-2,1,0)</f>
        <v>0</v>
      </c>
      <c r="GD26" s="11">
        <f>GC26+GD21</f>
        <v>1</v>
      </c>
      <c r="GE26" s="11">
        <f t="shared" ref="GE26:GE34" si="575">IF(GC26=0,IF(FY26=$E26,1,0),0)</f>
        <v>0</v>
      </c>
      <c r="GF26" s="11">
        <f>GE26+GF21</f>
        <v>0</v>
      </c>
      <c r="GG26" s="11">
        <f t="shared" ref="GG26:GG34" si="576">IF($E26-FY26=1,1,0)</f>
        <v>0</v>
      </c>
      <c r="GH26" s="11">
        <f>GG26</f>
        <v>0</v>
      </c>
      <c r="GI26" s="11">
        <f t="shared" ref="GI26:GI34" si="577">IF(FY26=$E26,1,0)</f>
        <v>0</v>
      </c>
      <c r="GJ26" s="11">
        <f>GI26</f>
        <v>0</v>
      </c>
      <c r="GK26" s="11">
        <f t="shared" ref="GK26:GK34" si="578">IF(FY26-$E26=1,1,0)</f>
        <v>0</v>
      </c>
      <c r="GL26" s="11">
        <f>GK26</f>
        <v>0</v>
      </c>
      <c r="GM26" s="11">
        <f t="shared" ref="GM26:GM34" si="579">IF(FY26-$E26&gt;=2,1,0)</f>
        <v>1</v>
      </c>
      <c r="GN26" s="11">
        <f>GM26</f>
        <v>1</v>
      </c>
      <c r="GO26" s="11">
        <f t="shared" ref="GO26:GO34" si="580">IF(GA26=0,1,0)</f>
        <v>0</v>
      </c>
      <c r="GP26" s="11">
        <f>GO26</f>
        <v>0</v>
      </c>
      <c r="GQ26" s="11">
        <f t="shared" ref="GQ26:GQ34" si="581">IF(GA26=1,1,0)</f>
        <v>0</v>
      </c>
      <c r="GR26" s="11">
        <f>GQ26+GR21</f>
        <v>2</v>
      </c>
      <c r="GS26" s="11">
        <f t="shared" ref="GS26:GS34" si="582">IF(GA26=2,1,0)</f>
        <v>0</v>
      </c>
      <c r="GT26" s="11">
        <f>GS26</f>
        <v>0</v>
      </c>
      <c r="GU26" s="11">
        <f t="shared" ref="GU26:GU34" si="583">IF(GA26&gt;=3,1,0)</f>
        <v>1</v>
      </c>
      <c r="GV26" s="11">
        <f>GU26+GV21</f>
        <v>9</v>
      </c>
      <c r="GW26" s="11"/>
      <c r="GX26" s="11">
        <f>IF($E26=4,FY26-4,NA())</f>
        <v>5</v>
      </c>
      <c r="GY26" s="11"/>
      <c r="GZ26" s="15">
        <f>FY26-'Zusammenfassung Tag1-4'!$H$2/18</f>
        <v>6</v>
      </c>
      <c r="HA26" s="17">
        <f>GZ26+HA21</f>
        <v>83</v>
      </c>
      <c r="HB26" s="13">
        <v>5</v>
      </c>
      <c r="HC26" s="11">
        <f>HC21+HB26</f>
        <v>100</v>
      </c>
      <c r="HD26" s="14">
        <v>2</v>
      </c>
      <c r="HE26" s="11">
        <f>HD26+HE21</f>
        <v>41</v>
      </c>
      <c r="HF26" s="11">
        <f t="shared" ref="HF26:HF34" si="584">IF(HB26-HD26&lt;=$E26-2,1,0)</f>
        <v>0</v>
      </c>
      <c r="HG26" s="11">
        <f>HF26+HG21</f>
        <v>7</v>
      </c>
      <c r="HH26" s="11">
        <f t="shared" ref="HH26:HH34" si="585">IF(HF26=0,IF(HB26=$E26,1,0),0)</f>
        <v>0</v>
      </c>
      <c r="HI26" s="11">
        <f>HH26+HI21</f>
        <v>2</v>
      </c>
      <c r="HJ26" s="11">
        <f t="shared" ref="HJ26:HJ34" si="586">IF($E26-HB26=1,1,0)</f>
        <v>0</v>
      </c>
      <c r="HK26" s="11">
        <f>HJ26</f>
        <v>0</v>
      </c>
      <c r="HL26" s="11">
        <f t="shared" ref="HL26:HL34" si="587">IF(HB26=$E26,1,0)</f>
        <v>0</v>
      </c>
      <c r="HM26" s="11">
        <f>HL26</f>
        <v>0</v>
      </c>
      <c r="HN26" s="11">
        <f t="shared" ref="HN26:HN34" si="588">IF(HB26-$E26=1,1,0)</f>
        <v>1</v>
      </c>
      <c r="HO26" s="11">
        <f>HN26</f>
        <v>1</v>
      </c>
      <c r="HP26" s="11">
        <f t="shared" ref="HP26:HP34" si="589">IF(HB26-$E26&gt;=2,1,0)</f>
        <v>0</v>
      </c>
      <c r="HQ26" s="11">
        <f>HP26</f>
        <v>0</v>
      </c>
      <c r="HR26" s="11">
        <f t="shared" ref="HR26:HR34" si="590">IF(HD26=0,1,0)</f>
        <v>0</v>
      </c>
      <c r="HS26" s="11">
        <f>HR26</f>
        <v>0</v>
      </c>
      <c r="HT26" s="11">
        <f t="shared" ref="HT26:HT34" si="591">IF(HD26=1,1,0)</f>
        <v>0</v>
      </c>
      <c r="HU26" s="11">
        <f>HT26+HU21</f>
        <v>2</v>
      </c>
      <c r="HV26" s="11">
        <f t="shared" ref="HV26:HV34" si="592">IF(HD26=2,1,0)</f>
        <v>1</v>
      </c>
      <c r="HW26" s="11">
        <f>HV26</f>
        <v>1</v>
      </c>
      <c r="HX26" s="11">
        <f t="shared" ref="HX26:HX34" si="593">IF(HD26&gt;=3,1,0)</f>
        <v>0</v>
      </c>
      <c r="HY26" s="11">
        <f>HX26+HY21</f>
        <v>5</v>
      </c>
      <c r="HZ26" s="11"/>
      <c r="IA26" s="11">
        <f>IF($E26=4,HB26-4,NA())</f>
        <v>1</v>
      </c>
      <c r="IB26" s="11"/>
      <c r="IC26" s="15">
        <f>HB26-'Zusammenfassung Tag1-4'!$I$2/18</f>
        <v>4</v>
      </c>
      <c r="ID26" s="17">
        <f>IC26+ID21</f>
        <v>81</v>
      </c>
      <c r="IE26" s="13"/>
      <c r="IF26" s="11">
        <f>IF21+IE26</f>
        <v>0</v>
      </c>
      <c r="IG26" s="14"/>
      <c r="IH26" s="11">
        <f>IG26+IH21</f>
        <v>0</v>
      </c>
      <c r="II26" s="11">
        <f t="shared" ref="II26:II34" si="594">IF(IE26-IG26&lt;=$E26-2,1,0)</f>
        <v>1</v>
      </c>
      <c r="IJ26" s="11">
        <f>II26+IJ21</f>
        <v>19</v>
      </c>
      <c r="IK26" s="11">
        <f t="shared" ref="IK26:IK34" si="595">IF(II26=0,IF(IE26=$E26,1,0),0)</f>
        <v>0</v>
      </c>
      <c r="IL26" s="11">
        <f>IK26+IL21</f>
        <v>0</v>
      </c>
      <c r="IM26" s="11">
        <f t="shared" ref="IM26:IM34" si="596">IF($E26-IE26=1,1,0)</f>
        <v>0</v>
      </c>
      <c r="IN26" s="11">
        <f>IM26</f>
        <v>0</v>
      </c>
      <c r="IO26" s="11">
        <f t="shared" ref="IO26:IO34" si="597">IF(IE26=$E26,1,0)</f>
        <v>0</v>
      </c>
      <c r="IP26" s="11">
        <f>IO26</f>
        <v>0</v>
      </c>
      <c r="IQ26" s="11">
        <f t="shared" ref="IQ26:IQ34" si="598">IF(IE26-$E26=1,1,0)</f>
        <v>0</v>
      </c>
      <c r="IR26" s="11">
        <f>IQ26</f>
        <v>0</v>
      </c>
      <c r="IS26" s="11">
        <f t="shared" ref="IS26:IS34" si="599">IF(IE26-$E26&gt;=2,1,0)</f>
        <v>0</v>
      </c>
      <c r="IT26" s="11">
        <f>IS26</f>
        <v>0</v>
      </c>
      <c r="IU26" s="11">
        <f t="shared" ref="IU26:IU34" si="600">IF(IG26=0,1,0)</f>
        <v>1</v>
      </c>
      <c r="IV26" s="11">
        <f>IU26</f>
        <v>1</v>
      </c>
      <c r="IW26" s="11">
        <f t="shared" ref="IW26:IW34" si="601">IF(IG26=1,1,0)</f>
        <v>0</v>
      </c>
      <c r="IX26" s="11">
        <f>IW26+IX21</f>
        <v>0</v>
      </c>
      <c r="IY26" s="11">
        <f t="shared" ref="IY26:IY34" si="602">IF(IG26=2,1,0)</f>
        <v>0</v>
      </c>
      <c r="IZ26" s="11">
        <f>IY26</f>
        <v>0</v>
      </c>
      <c r="JA26" s="11">
        <f t="shared" ref="JA26:JA34" si="603">IF(IG26&gt;=3,1,0)</f>
        <v>0</v>
      </c>
      <c r="JB26" s="11">
        <f>JA26+JB21</f>
        <v>0</v>
      </c>
      <c r="JC26" s="11"/>
      <c r="JD26" s="11">
        <f>IF($E26=4,IE26-4,NA())</f>
        <v>-4</v>
      </c>
      <c r="JE26" s="11"/>
      <c r="JF26" s="15">
        <f>IE26-'Zusammenfassung Tag1-4'!$J$2/18</f>
        <v>-3</v>
      </c>
      <c r="JG26" s="17">
        <f>JF26+JG21</f>
        <v>-57</v>
      </c>
      <c r="JH26" s="13"/>
      <c r="JI26" s="11">
        <f>JI21+JH26</f>
        <v>0</v>
      </c>
      <c r="JJ26" s="14"/>
      <c r="JK26" s="11">
        <f>JJ26+JK21</f>
        <v>0</v>
      </c>
      <c r="JL26" s="11">
        <f t="shared" ref="JL26:JL34" si="604">IF(JH26-JJ26&lt;=$E26-2,1,0)</f>
        <v>1</v>
      </c>
      <c r="JM26" s="11">
        <f>JL26+JM21</f>
        <v>19</v>
      </c>
      <c r="JN26" s="11">
        <f t="shared" ref="JN26:JN34" si="605">IF(JL26=0,IF(JH26=$E26,1,0),0)</f>
        <v>0</v>
      </c>
      <c r="JO26" s="11">
        <f>JN26+JO21</f>
        <v>0</v>
      </c>
      <c r="JP26" s="11">
        <f t="shared" ref="JP26:JP34" si="606">IF($E26-JH26=1,1,0)</f>
        <v>0</v>
      </c>
      <c r="JQ26" s="11">
        <f>JP26</f>
        <v>0</v>
      </c>
      <c r="JR26" s="11">
        <f t="shared" ref="JR26:JR34" si="607">IF(JH26=$E26,1,0)</f>
        <v>0</v>
      </c>
      <c r="JS26" s="11">
        <f>JR26</f>
        <v>0</v>
      </c>
      <c r="JT26" s="11">
        <f t="shared" ref="JT26:JT34" si="608">IF(JH26-$E26=1,1,0)</f>
        <v>0</v>
      </c>
      <c r="JU26" s="11">
        <f>JT26</f>
        <v>0</v>
      </c>
      <c r="JV26" s="11">
        <f t="shared" ref="JV26:JV34" si="609">IF(JH26-$E26&gt;=2,1,0)</f>
        <v>0</v>
      </c>
      <c r="JW26" s="11">
        <f>JV26</f>
        <v>0</v>
      </c>
      <c r="JX26" s="11">
        <f t="shared" ref="JX26:JX34" si="610">IF(JJ26=0,1,0)</f>
        <v>1</v>
      </c>
      <c r="JY26" s="11">
        <f>JX26</f>
        <v>1</v>
      </c>
      <c r="JZ26" s="11">
        <f t="shared" ref="JZ26:JZ34" si="611">IF(JJ26=1,1,0)</f>
        <v>0</v>
      </c>
      <c r="KA26" s="11">
        <f>JZ26+KA21</f>
        <v>0</v>
      </c>
      <c r="KB26" s="11">
        <f t="shared" ref="KB26:KB34" si="612">IF(JJ26=2,1,0)</f>
        <v>0</v>
      </c>
      <c r="KC26" s="11">
        <f>KB26</f>
        <v>0</v>
      </c>
      <c r="KD26" s="11">
        <f t="shared" ref="KD26:KD34" si="613">IF(JJ26&gt;=3,1,0)</f>
        <v>0</v>
      </c>
      <c r="KE26" s="11">
        <f>KD26+KE21</f>
        <v>0</v>
      </c>
      <c r="KF26" s="11"/>
      <c r="KG26" s="11">
        <f>IF($E26=4,JH26-4,NA())</f>
        <v>-4</v>
      </c>
      <c r="KH26" s="11"/>
      <c r="KI26" s="15">
        <f>JH26-'Zusammenfassung Tag1-4'!$K$2/18</f>
        <v>-0.77777777777777779</v>
      </c>
      <c r="KJ26" s="17">
        <f>KI26+KJ21</f>
        <v>-14.777777777777784</v>
      </c>
      <c r="KK26" s="10"/>
      <c r="KL26" s="10"/>
      <c r="KM26" s="10"/>
      <c r="KN26" s="10"/>
      <c r="KO26" s="10"/>
      <c r="KP26" s="10"/>
      <c r="KQ26" s="10"/>
      <c r="KR26" s="10"/>
      <c r="KS26" s="10"/>
      <c r="KT26" s="10"/>
      <c r="KU26" s="10"/>
      <c r="KV26" s="10"/>
      <c r="KW26" s="10"/>
      <c r="KX26" s="10"/>
      <c r="KY26" s="10"/>
      <c r="KZ26" s="10"/>
      <c r="LA26" s="10"/>
      <c r="LB26" s="10"/>
      <c r="LC26" s="10"/>
      <c r="LD26" s="10"/>
    </row>
    <row r="27" spans="1:316" ht="15.75" customHeight="1" x14ac:dyDescent="0.25">
      <c r="A27" s="106"/>
      <c r="B27" s="103"/>
      <c r="C27" s="6">
        <v>2</v>
      </c>
      <c r="D27" s="6">
        <f t="shared" ref="D27:D34" si="614">D26+1</f>
        <v>20</v>
      </c>
      <c r="E27" s="6">
        <v>5</v>
      </c>
      <c r="F27" s="7">
        <f t="shared" ref="F27:F34" si="615">E27+F26</f>
        <v>81</v>
      </c>
      <c r="G27" s="18">
        <v>5</v>
      </c>
      <c r="H27" s="6">
        <f t="shared" ref="H27:H34" si="616">G27+H26</f>
        <v>98</v>
      </c>
      <c r="I27" s="19">
        <v>2</v>
      </c>
      <c r="J27" s="6">
        <f t="shared" ref="J27:J34" si="617">I27+J26</f>
        <v>40</v>
      </c>
      <c r="K27" s="6">
        <f t="shared" si="514"/>
        <v>1</v>
      </c>
      <c r="L27" s="6">
        <f t="shared" ref="L27:L34" si="618">K27+L26</f>
        <v>9</v>
      </c>
      <c r="M27" s="6">
        <f t="shared" si="515"/>
        <v>0</v>
      </c>
      <c r="N27" s="6">
        <f t="shared" ref="N27:N34" si="619">M27+N26</f>
        <v>1</v>
      </c>
      <c r="O27" s="6">
        <f t="shared" si="516"/>
        <v>0</v>
      </c>
      <c r="P27" s="6">
        <f t="shared" ref="P27:P34" si="620">O27+P26</f>
        <v>1</v>
      </c>
      <c r="Q27" s="6">
        <f t="shared" si="517"/>
        <v>1</v>
      </c>
      <c r="R27" s="6">
        <f t="shared" ref="R27:R34" si="621">Q27+R26</f>
        <v>1</v>
      </c>
      <c r="S27" s="6">
        <f t="shared" si="518"/>
        <v>0</v>
      </c>
      <c r="T27" s="6">
        <f t="shared" ref="T27:T34" si="622">S27+T26</f>
        <v>0</v>
      </c>
      <c r="U27" s="6">
        <f t="shared" si="519"/>
        <v>0</v>
      </c>
      <c r="V27" s="6">
        <f t="shared" ref="V27:V34" si="623">U27+V26</f>
        <v>1</v>
      </c>
      <c r="W27" s="6">
        <f t="shared" si="520"/>
        <v>0</v>
      </c>
      <c r="X27" s="6">
        <f t="shared" ref="X27:X34" si="624">W27+X26</f>
        <v>0</v>
      </c>
      <c r="Y27" s="6">
        <f t="shared" si="521"/>
        <v>0</v>
      </c>
      <c r="Z27" s="6">
        <f t="shared" ref="Z27:Z34" si="625">Y27+Z26</f>
        <v>4</v>
      </c>
      <c r="AA27" s="6">
        <f t="shared" si="522"/>
        <v>1</v>
      </c>
      <c r="AB27" s="6">
        <f t="shared" ref="AB27:AB34" si="626">AA27+AB26</f>
        <v>2</v>
      </c>
      <c r="AC27" s="6">
        <f t="shared" si="523"/>
        <v>0</v>
      </c>
      <c r="AD27" s="6">
        <f t="shared" ref="AD27:AD34" si="627">AC27+AD26</f>
        <v>3</v>
      </c>
      <c r="AE27" s="6"/>
      <c r="AF27" s="6"/>
      <c r="AG27" s="6">
        <f t="shared" ref="AG27:AG28" si="628">IF($E27=5,G27-5,NA())</f>
        <v>0</v>
      </c>
      <c r="AH27" s="20">
        <f>G27-'Zusammenfassung Tag1-4'!$B$2/18</f>
        <v>3.8888888888888888</v>
      </c>
      <c r="AI27" s="21">
        <f t="shared" ref="AI27:AI34" si="629">AH27+AI26</f>
        <v>75.777777777777743</v>
      </c>
      <c r="AJ27" s="18">
        <v>5</v>
      </c>
      <c r="AK27" s="6">
        <f t="shared" ref="AK27:AK34" si="630">AJ27+AK26</f>
        <v>91</v>
      </c>
      <c r="AL27" s="19">
        <v>2</v>
      </c>
      <c r="AM27" s="6">
        <f t="shared" ref="AM27:AM34" si="631">AL27+AM26</f>
        <v>39</v>
      </c>
      <c r="AN27" s="6">
        <f t="shared" si="524"/>
        <v>1</v>
      </c>
      <c r="AO27" s="6">
        <f t="shared" ref="AO27:AO34" si="632">AN27+AO26</f>
        <v>12</v>
      </c>
      <c r="AP27" s="6">
        <f t="shared" si="525"/>
        <v>0</v>
      </c>
      <c r="AQ27" s="6">
        <f t="shared" ref="AQ27:AQ34" si="633">AP27+AQ26</f>
        <v>3</v>
      </c>
      <c r="AR27" s="6">
        <f t="shared" si="526"/>
        <v>0</v>
      </c>
      <c r="AS27" s="6">
        <f t="shared" ref="AS27:AS34" si="634">AR27+AS26</f>
        <v>0</v>
      </c>
      <c r="AT27" s="6">
        <f t="shared" si="527"/>
        <v>1</v>
      </c>
      <c r="AU27" s="6">
        <f t="shared" ref="AU27:AU34" si="635">AT27+AU26</f>
        <v>2</v>
      </c>
      <c r="AV27" s="6">
        <f t="shared" si="528"/>
        <v>0</v>
      </c>
      <c r="AW27" s="6">
        <f t="shared" ref="AW27:AW34" si="636">AV27+AW26</f>
        <v>0</v>
      </c>
      <c r="AX27" s="6">
        <f t="shared" si="529"/>
        <v>0</v>
      </c>
      <c r="AY27" s="6">
        <f t="shared" ref="AY27:AY34" si="637">AX27+AY26</f>
        <v>0</v>
      </c>
      <c r="AZ27" s="6">
        <f t="shared" si="530"/>
        <v>0</v>
      </c>
      <c r="BA27" s="6">
        <f t="shared" ref="BA27:BA34" si="638">AZ27+BA26</f>
        <v>0</v>
      </c>
      <c r="BB27" s="6">
        <f t="shared" si="531"/>
        <v>0</v>
      </c>
      <c r="BC27" s="6">
        <f t="shared" ref="BC27:BC34" si="639">BB27+BC26</f>
        <v>4</v>
      </c>
      <c r="BD27" s="6">
        <f t="shared" si="532"/>
        <v>1</v>
      </c>
      <c r="BE27" s="6">
        <f t="shared" ref="BE27:BE34" si="640">BD27+BE26</f>
        <v>2</v>
      </c>
      <c r="BF27" s="6">
        <f t="shared" si="533"/>
        <v>0</v>
      </c>
      <c r="BG27" s="6">
        <f t="shared" ref="BG27:BG34" si="641">BF27+BG26</f>
        <v>3</v>
      </c>
      <c r="BH27" s="6"/>
      <c r="BI27" s="6"/>
      <c r="BJ27" s="6">
        <f t="shared" ref="BJ27:BJ28" si="642">IF($E27=5,AJ27-5,NA())</f>
        <v>0</v>
      </c>
      <c r="BK27" s="20">
        <f>AJ27-'Zusammenfassung Tag1-4'!$C$2/18</f>
        <v>4.333333333333333</v>
      </c>
      <c r="BL27" s="21">
        <f t="shared" ref="BL27:BL34" si="643">BK27+BL26</f>
        <v>77.666666666666671</v>
      </c>
      <c r="BM27" s="18">
        <v>7</v>
      </c>
      <c r="BN27" s="6">
        <f t="shared" ref="BN27:BN34" si="644">BM27+BN26</f>
        <v>113</v>
      </c>
      <c r="BO27" s="19">
        <v>3</v>
      </c>
      <c r="BP27" s="6">
        <f t="shared" ref="BP27:BP34" si="645">BO27+BP26</f>
        <v>41</v>
      </c>
      <c r="BQ27" s="6">
        <f t="shared" si="534"/>
        <v>0</v>
      </c>
      <c r="BR27" s="6">
        <f t="shared" ref="BR27:BR34" si="646">BQ27+BR26</f>
        <v>4</v>
      </c>
      <c r="BS27" s="6">
        <f t="shared" si="535"/>
        <v>0</v>
      </c>
      <c r="BT27" s="6">
        <f t="shared" ref="BT27:BT34" si="647">BS27+BT26</f>
        <v>1</v>
      </c>
      <c r="BU27" s="6">
        <f t="shared" si="536"/>
        <v>0</v>
      </c>
      <c r="BV27" s="6">
        <f t="shared" ref="BV27:BV34" si="648">BU27+BV26</f>
        <v>0</v>
      </c>
      <c r="BW27" s="6">
        <f t="shared" si="537"/>
        <v>0</v>
      </c>
      <c r="BX27" s="6">
        <f t="shared" ref="BX27:BX34" si="649">BW27+BX26</f>
        <v>0</v>
      </c>
      <c r="BY27" s="6">
        <f t="shared" si="538"/>
        <v>0</v>
      </c>
      <c r="BZ27" s="6">
        <f t="shared" ref="BZ27:BZ34" si="650">BY27+BZ26</f>
        <v>0</v>
      </c>
      <c r="CA27" s="6">
        <f t="shared" si="539"/>
        <v>1</v>
      </c>
      <c r="CB27" s="6">
        <f t="shared" ref="CB27:CB34" si="651">CA27+CB26</f>
        <v>2</v>
      </c>
      <c r="CC27" s="6">
        <f t="shared" si="540"/>
        <v>0</v>
      </c>
      <c r="CD27" s="6">
        <f t="shared" ref="CD27:CD34" si="652">CC27+CD26</f>
        <v>0</v>
      </c>
      <c r="CE27" s="6">
        <f t="shared" si="541"/>
        <v>0</v>
      </c>
      <c r="CF27" s="6">
        <f t="shared" ref="CF27:CF34" si="653">CE27+CF26</f>
        <v>3</v>
      </c>
      <c r="CG27" s="6">
        <f t="shared" si="542"/>
        <v>0</v>
      </c>
      <c r="CH27" s="6">
        <f t="shared" ref="CH27:CH34" si="654">CG27+CH26</f>
        <v>1</v>
      </c>
      <c r="CI27" s="6">
        <f t="shared" si="543"/>
        <v>1</v>
      </c>
      <c r="CJ27" s="6">
        <f t="shared" ref="CJ27:CJ34" si="655">CI27+CJ26</f>
        <v>4</v>
      </c>
      <c r="CK27" s="6"/>
      <c r="CL27" s="6"/>
      <c r="CM27" s="6">
        <f t="shared" ref="CM27:CM28" si="656">IF($E27=5,BM27-5,NA())</f>
        <v>2</v>
      </c>
      <c r="CN27" s="20">
        <f>BM27-'Zusammenfassung Tag1-4'!$D$2/18</f>
        <v>5.666666666666667</v>
      </c>
      <c r="CO27" s="21">
        <f t="shared" ref="CO27:CO34" si="657">CN27+CO26</f>
        <v>86.333333333333329</v>
      </c>
      <c r="CP27" s="18">
        <v>6</v>
      </c>
      <c r="CQ27" s="6">
        <f t="shared" ref="CQ27:CQ34" si="658">CP27+CQ26</f>
        <v>110</v>
      </c>
      <c r="CR27" s="19">
        <v>2</v>
      </c>
      <c r="CS27" s="6">
        <f t="shared" ref="CS27:CS34" si="659">CR27+CS26</f>
        <v>42</v>
      </c>
      <c r="CT27" s="6">
        <f t="shared" si="544"/>
        <v>0</v>
      </c>
      <c r="CU27" s="6">
        <f t="shared" ref="CU27:CU34" si="660">CT27+CU26</f>
        <v>4</v>
      </c>
      <c r="CV27" s="6">
        <f t="shared" si="545"/>
        <v>0</v>
      </c>
      <c r="CW27" s="6">
        <f t="shared" ref="CW27:CW34" si="661">CV27+CW26</f>
        <v>2</v>
      </c>
      <c r="CX27" s="6">
        <f t="shared" si="546"/>
        <v>0</v>
      </c>
      <c r="CY27" s="6">
        <f t="shared" ref="CY27:CY34" si="662">CX27+CY26</f>
        <v>0</v>
      </c>
      <c r="CZ27" s="6">
        <f t="shared" si="547"/>
        <v>0</v>
      </c>
      <c r="DA27" s="6">
        <f t="shared" ref="DA27:DA34" si="663">CZ27+DA26</f>
        <v>0</v>
      </c>
      <c r="DB27" s="6">
        <f t="shared" si="548"/>
        <v>1</v>
      </c>
      <c r="DC27" s="6">
        <f t="shared" ref="DC27:DC34" si="664">DB27+DC26</f>
        <v>2</v>
      </c>
      <c r="DD27" s="6">
        <f t="shared" si="549"/>
        <v>0</v>
      </c>
      <c r="DE27" s="6">
        <f t="shared" ref="DE27:DE34" si="665">DD27+DE26</f>
        <v>0</v>
      </c>
      <c r="DF27" s="6">
        <f t="shared" si="550"/>
        <v>0</v>
      </c>
      <c r="DG27" s="6">
        <f t="shared" ref="DG27:DG34" si="666">DF27+DG26</f>
        <v>0</v>
      </c>
      <c r="DH27" s="6">
        <f t="shared" si="551"/>
        <v>0</v>
      </c>
      <c r="DI27" s="6">
        <f t="shared" ref="DI27:DI34" si="667">DH27+DI26</f>
        <v>3</v>
      </c>
      <c r="DJ27" s="6">
        <f t="shared" si="552"/>
        <v>1</v>
      </c>
      <c r="DK27" s="6">
        <f t="shared" ref="DK27:DK34" si="668">DJ27+DK26</f>
        <v>2</v>
      </c>
      <c r="DL27" s="6">
        <f t="shared" si="553"/>
        <v>0</v>
      </c>
      <c r="DM27" s="6">
        <f t="shared" ref="DM27:DM34" si="669">DL27+DM26</f>
        <v>5</v>
      </c>
      <c r="DN27" s="6"/>
      <c r="DO27" s="6"/>
      <c r="DP27" s="6">
        <f t="shared" ref="DP27:DP28" si="670">IF($E27=5,CP27-5,NA())</f>
        <v>1</v>
      </c>
      <c r="DQ27" s="20">
        <f>CP27-'Zusammenfassung Tag1-4'!$E$2/18</f>
        <v>4.7222222222222223</v>
      </c>
      <c r="DR27" s="22">
        <f t="shared" ref="DR27:DR34" si="671">DQ27+DR26</f>
        <v>84.444444444444457</v>
      </c>
      <c r="DS27" s="18">
        <v>10</v>
      </c>
      <c r="DT27" s="6">
        <f t="shared" ref="DT27:DT34" si="672">DS27+DT26</f>
        <v>154</v>
      </c>
      <c r="DU27" s="19">
        <v>2</v>
      </c>
      <c r="DV27" s="6">
        <f t="shared" ref="DV27:DV34" si="673">DU27+DV26</f>
        <v>46</v>
      </c>
      <c r="DW27" s="6">
        <f t="shared" si="554"/>
        <v>0</v>
      </c>
      <c r="DX27" s="6">
        <f t="shared" ref="DX27:DX34" si="674">DW27+DX26</f>
        <v>1</v>
      </c>
      <c r="DY27" s="6">
        <f t="shared" si="555"/>
        <v>0</v>
      </c>
      <c r="DZ27" s="6">
        <f t="shared" ref="DZ27:DZ34" si="675">DY27+DZ26</f>
        <v>0</v>
      </c>
      <c r="EA27" s="6">
        <f t="shared" si="556"/>
        <v>0</v>
      </c>
      <c r="EB27" s="6">
        <f t="shared" ref="EB27:EB34" si="676">EA27+EB26</f>
        <v>0</v>
      </c>
      <c r="EC27" s="6">
        <f t="shared" si="557"/>
        <v>0</v>
      </c>
      <c r="ED27" s="6">
        <f t="shared" ref="ED27:ED34" si="677">EC27+ED26</f>
        <v>0</v>
      </c>
      <c r="EE27" s="6">
        <f t="shared" si="558"/>
        <v>0</v>
      </c>
      <c r="EF27" s="6">
        <f t="shared" ref="EF27:EF34" si="678">EE27+EF26</f>
        <v>0</v>
      </c>
      <c r="EG27" s="6">
        <f t="shared" si="559"/>
        <v>1</v>
      </c>
      <c r="EH27" s="6">
        <f t="shared" ref="EH27:EH34" si="679">EG27+EH26</f>
        <v>2</v>
      </c>
      <c r="EI27" s="6">
        <f t="shared" si="560"/>
        <v>0</v>
      </c>
      <c r="EJ27" s="6">
        <f t="shared" ref="EJ27:EJ34" si="680">EI27+EJ26</f>
        <v>0</v>
      </c>
      <c r="EK27" s="6">
        <f t="shared" si="561"/>
        <v>0</v>
      </c>
      <c r="EL27" s="6">
        <f t="shared" ref="EL27:EL34" si="681">EK27+EL26</f>
        <v>0</v>
      </c>
      <c r="EM27" s="6">
        <f t="shared" si="562"/>
        <v>1</v>
      </c>
      <c r="EN27" s="6">
        <f t="shared" ref="EN27:EN34" si="682">EM27+EN26</f>
        <v>2</v>
      </c>
      <c r="EO27" s="6">
        <f t="shared" si="563"/>
        <v>0</v>
      </c>
      <c r="EP27" s="6">
        <f t="shared" ref="EP27:EP34" si="683">EO27+EP26</f>
        <v>5</v>
      </c>
      <c r="EQ27" s="6"/>
      <c r="ER27" s="6"/>
      <c r="ES27" s="6">
        <f t="shared" ref="ES27:ES28" si="684">IF($E27=5,DS27-5,NA())</f>
        <v>5</v>
      </c>
      <c r="ET27" s="20">
        <f>DS27-'Zusammenfassung Tag1-4'!$F$2/18</f>
        <v>7</v>
      </c>
      <c r="EU27" s="22">
        <f t="shared" ref="EU27:EU34" si="685">ET27+EU26</f>
        <v>94</v>
      </c>
      <c r="EV27" s="18">
        <v>6</v>
      </c>
      <c r="EW27" s="6">
        <f t="shared" ref="EW27:EW34" si="686">EV27+EW26</f>
        <v>111</v>
      </c>
      <c r="EX27" s="19">
        <v>2</v>
      </c>
      <c r="EY27" s="6">
        <f t="shared" ref="EY27:EY34" si="687">EX27+EY26</f>
        <v>45</v>
      </c>
      <c r="EZ27" s="6">
        <f t="shared" si="564"/>
        <v>0</v>
      </c>
      <c r="FA27" s="6">
        <f t="shared" ref="FA27:FA34" si="688">EZ27+FA26</f>
        <v>5</v>
      </c>
      <c r="FB27" s="6">
        <f t="shared" si="565"/>
        <v>0</v>
      </c>
      <c r="FC27" s="6">
        <f t="shared" ref="FC27:FC34" si="689">FB27+FC26</f>
        <v>0</v>
      </c>
      <c r="FD27" s="6">
        <f t="shared" si="566"/>
        <v>0</v>
      </c>
      <c r="FE27" s="6">
        <f t="shared" ref="FE27:FE34" si="690">FD27+FE26</f>
        <v>1</v>
      </c>
      <c r="FF27" s="6">
        <f t="shared" si="567"/>
        <v>0</v>
      </c>
      <c r="FG27" s="6">
        <f t="shared" ref="FG27:FG34" si="691">FF27+FG26</f>
        <v>0</v>
      </c>
      <c r="FH27" s="6">
        <f t="shared" si="568"/>
        <v>1</v>
      </c>
      <c r="FI27" s="6">
        <f t="shared" ref="FI27:FI34" si="692">FH27+FI26</f>
        <v>1</v>
      </c>
      <c r="FJ27" s="6">
        <f t="shared" si="569"/>
        <v>0</v>
      </c>
      <c r="FK27" s="6">
        <f t="shared" ref="FK27:FK34" si="693">FJ27+FK26</f>
        <v>0</v>
      </c>
      <c r="FL27" s="6">
        <f t="shared" si="570"/>
        <v>0</v>
      </c>
      <c r="FM27" s="6">
        <f t="shared" ref="FM27:FM34" si="694">FL27+FM26</f>
        <v>0</v>
      </c>
      <c r="FN27" s="6">
        <f t="shared" si="571"/>
        <v>0</v>
      </c>
      <c r="FO27" s="6">
        <f t="shared" ref="FO27:FO34" si="695">FN27+FO26</f>
        <v>2</v>
      </c>
      <c r="FP27" s="6">
        <f t="shared" si="572"/>
        <v>1</v>
      </c>
      <c r="FQ27" s="6">
        <f t="shared" ref="FQ27:FQ34" si="696">FP27+FQ26</f>
        <v>1</v>
      </c>
      <c r="FR27" s="6">
        <f t="shared" si="573"/>
        <v>0</v>
      </c>
      <c r="FS27" s="6">
        <f t="shared" ref="FS27:FS34" si="697">FR27+FS26</f>
        <v>7</v>
      </c>
      <c r="FT27" s="6"/>
      <c r="FU27" s="6"/>
      <c r="FV27" s="6">
        <f t="shared" ref="FV27:FV28" si="698">IF($E27=5,EV27-5,NA())</f>
        <v>1</v>
      </c>
      <c r="FW27" s="20">
        <f>EV27-'Zusammenfassung Tag1-4'!$G$2/18</f>
        <v>4.5</v>
      </c>
      <c r="FX27" s="22">
        <f t="shared" ref="FX27:FX34" si="699">FW27+FX26</f>
        <v>81</v>
      </c>
      <c r="FY27" s="18">
        <v>7</v>
      </c>
      <c r="FZ27" s="6">
        <f t="shared" ref="FZ27:FZ34" si="700">FY27+FZ26</f>
        <v>147</v>
      </c>
      <c r="GA27" s="19">
        <v>2</v>
      </c>
      <c r="GB27" s="6">
        <f t="shared" ref="GB27:GB34" si="701">GA27+GB26</f>
        <v>47</v>
      </c>
      <c r="GC27" s="6">
        <f t="shared" si="574"/>
        <v>0</v>
      </c>
      <c r="GD27" s="6">
        <f t="shared" ref="GD27:GD34" si="702">GC27+GD26</f>
        <v>1</v>
      </c>
      <c r="GE27" s="6">
        <f t="shared" si="575"/>
        <v>0</v>
      </c>
      <c r="GF27" s="6">
        <f t="shared" ref="GF27:GF34" si="703">GE27+GF26</f>
        <v>0</v>
      </c>
      <c r="GG27" s="6">
        <f t="shared" si="576"/>
        <v>0</v>
      </c>
      <c r="GH27" s="6">
        <f t="shared" ref="GH27:GH34" si="704">GG27+GH26</f>
        <v>0</v>
      </c>
      <c r="GI27" s="6">
        <f t="shared" si="577"/>
        <v>0</v>
      </c>
      <c r="GJ27" s="6">
        <f t="shared" ref="GJ27:GJ34" si="705">GI27+GJ26</f>
        <v>0</v>
      </c>
      <c r="GK27" s="6">
        <f t="shared" si="578"/>
        <v>0</v>
      </c>
      <c r="GL27" s="6">
        <f t="shared" ref="GL27:GL34" si="706">GK27+GL26</f>
        <v>0</v>
      </c>
      <c r="GM27" s="6">
        <f t="shared" si="579"/>
        <v>1</v>
      </c>
      <c r="GN27" s="6">
        <f t="shared" ref="GN27:GN34" si="707">GM27+GN26</f>
        <v>2</v>
      </c>
      <c r="GO27" s="6">
        <f t="shared" si="580"/>
        <v>0</v>
      </c>
      <c r="GP27" s="6">
        <f t="shared" ref="GP27:GP34" si="708">GO27+GP26</f>
        <v>0</v>
      </c>
      <c r="GQ27" s="6">
        <f t="shared" si="581"/>
        <v>0</v>
      </c>
      <c r="GR27" s="6">
        <f t="shared" ref="GR27:GR34" si="709">GQ27+GR26</f>
        <v>2</v>
      </c>
      <c r="GS27" s="6">
        <f t="shared" si="582"/>
        <v>1</v>
      </c>
      <c r="GT27" s="6">
        <f t="shared" ref="GT27:GT34" si="710">GS27+GT26</f>
        <v>1</v>
      </c>
      <c r="GU27" s="6">
        <f t="shared" si="583"/>
        <v>0</v>
      </c>
      <c r="GV27" s="6">
        <f t="shared" ref="GV27:GV34" si="711">GU27+GV26</f>
        <v>9</v>
      </c>
      <c r="GW27" s="6"/>
      <c r="GX27" s="6"/>
      <c r="GY27" s="6">
        <f t="shared" ref="GY27:GY28" si="712">IF($E27=5,FY27-5,NA())</f>
        <v>2</v>
      </c>
      <c r="GZ27" s="20">
        <f>FY27-'Zusammenfassung Tag1-4'!$H$2/18</f>
        <v>4</v>
      </c>
      <c r="HA27" s="22">
        <f t="shared" ref="HA27:HA34" si="713">GZ27+HA26</f>
        <v>87</v>
      </c>
      <c r="HB27" s="18">
        <v>8</v>
      </c>
      <c r="HC27" s="6">
        <f t="shared" ref="HC27:HC34" si="714">HB27+HC26</f>
        <v>108</v>
      </c>
      <c r="HD27" s="19">
        <v>3</v>
      </c>
      <c r="HE27" s="6">
        <f t="shared" ref="HE27:HE34" si="715">HD27+HE26</f>
        <v>44</v>
      </c>
      <c r="HF27" s="6">
        <f t="shared" si="584"/>
        <v>0</v>
      </c>
      <c r="HG27" s="6">
        <f t="shared" ref="HG27:HG34" si="716">HF27+HG26</f>
        <v>7</v>
      </c>
      <c r="HH27" s="6">
        <f t="shared" si="585"/>
        <v>0</v>
      </c>
      <c r="HI27" s="6">
        <f t="shared" ref="HI27:HI34" si="717">HH27+HI26</f>
        <v>2</v>
      </c>
      <c r="HJ27" s="6">
        <f t="shared" si="586"/>
        <v>0</v>
      </c>
      <c r="HK27" s="6">
        <f t="shared" ref="HK27:HK34" si="718">HJ27+HK26</f>
        <v>0</v>
      </c>
      <c r="HL27" s="6">
        <f t="shared" si="587"/>
        <v>0</v>
      </c>
      <c r="HM27" s="6">
        <f t="shared" ref="HM27:HM34" si="719">HL27+HM26</f>
        <v>0</v>
      </c>
      <c r="HN27" s="6">
        <f t="shared" si="588"/>
        <v>0</v>
      </c>
      <c r="HO27" s="6">
        <f t="shared" ref="HO27:HO34" si="720">HN27+HO26</f>
        <v>1</v>
      </c>
      <c r="HP27" s="6">
        <f t="shared" si="589"/>
        <v>1</v>
      </c>
      <c r="HQ27" s="6">
        <f t="shared" ref="HQ27:HQ34" si="721">HP27+HQ26</f>
        <v>1</v>
      </c>
      <c r="HR27" s="6">
        <f t="shared" si="590"/>
        <v>0</v>
      </c>
      <c r="HS27" s="6">
        <f t="shared" ref="HS27:HS34" si="722">HR27+HS26</f>
        <v>0</v>
      </c>
      <c r="HT27" s="6">
        <f t="shared" si="591"/>
        <v>0</v>
      </c>
      <c r="HU27" s="6">
        <f t="shared" ref="HU27:HU34" si="723">HT27+HU26</f>
        <v>2</v>
      </c>
      <c r="HV27" s="6">
        <f t="shared" si="592"/>
        <v>0</v>
      </c>
      <c r="HW27" s="6">
        <f t="shared" ref="HW27:HW34" si="724">HV27+HW26</f>
        <v>1</v>
      </c>
      <c r="HX27" s="6">
        <f t="shared" si="593"/>
        <v>1</v>
      </c>
      <c r="HY27" s="6">
        <f t="shared" ref="HY27:HY34" si="725">HX27+HY26</f>
        <v>6</v>
      </c>
      <c r="HZ27" s="6"/>
      <c r="IA27" s="6"/>
      <c r="IB27" s="6">
        <f t="shared" ref="IB27:IB28" si="726">IF($E27=5,HB27-5,NA())</f>
        <v>3</v>
      </c>
      <c r="IC27" s="20">
        <f>HB27-'Zusammenfassung Tag1-4'!$I$2/18</f>
        <v>7</v>
      </c>
      <c r="ID27" s="22">
        <f t="shared" ref="ID27:ID34" si="727">IC27+ID26</f>
        <v>88</v>
      </c>
      <c r="IE27" s="18"/>
      <c r="IF27" s="6">
        <f t="shared" ref="IF27:IF34" si="728">IE27+IF26</f>
        <v>0</v>
      </c>
      <c r="IG27" s="19"/>
      <c r="IH27" s="6">
        <f t="shared" ref="IH27:IH34" si="729">IG27+IH26</f>
        <v>0</v>
      </c>
      <c r="II27" s="6">
        <f t="shared" si="594"/>
        <v>1</v>
      </c>
      <c r="IJ27" s="6">
        <f t="shared" ref="IJ27:IJ34" si="730">II27+IJ26</f>
        <v>20</v>
      </c>
      <c r="IK27" s="6">
        <f t="shared" si="595"/>
        <v>0</v>
      </c>
      <c r="IL27" s="6">
        <f t="shared" ref="IL27:IL34" si="731">IK27+IL26</f>
        <v>0</v>
      </c>
      <c r="IM27" s="6">
        <f t="shared" si="596"/>
        <v>0</v>
      </c>
      <c r="IN27" s="6">
        <f t="shared" ref="IN27:IN34" si="732">IM27+IN26</f>
        <v>0</v>
      </c>
      <c r="IO27" s="6">
        <f t="shared" si="597"/>
        <v>0</v>
      </c>
      <c r="IP27" s="6">
        <f t="shared" ref="IP27:IP34" si="733">IO27+IP26</f>
        <v>0</v>
      </c>
      <c r="IQ27" s="6">
        <f t="shared" si="598"/>
        <v>0</v>
      </c>
      <c r="IR27" s="6">
        <f t="shared" ref="IR27:IR34" si="734">IQ27+IR26</f>
        <v>0</v>
      </c>
      <c r="IS27" s="6">
        <f t="shared" si="599"/>
        <v>0</v>
      </c>
      <c r="IT27" s="6">
        <f t="shared" ref="IT27:IT34" si="735">IS27+IT26</f>
        <v>0</v>
      </c>
      <c r="IU27" s="6">
        <f t="shared" si="600"/>
        <v>1</v>
      </c>
      <c r="IV27" s="6">
        <f t="shared" ref="IV27:IV34" si="736">IU27+IV26</f>
        <v>2</v>
      </c>
      <c r="IW27" s="6">
        <f t="shared" si="601"/>
        <v>0</v>
      </c>
      <c r="IX27" s="6">
        <f t="shared" ref="IX27:IX34" si="737">IW27+IX26</f>
        <v>0</v>
      </c>
      <c r="IY27" s="6">
        <f t="shared" si="602"/>
        <v>0</v>
      </c>
      <c r="IZ27" s="6">
        <f t="shared" ref="IZ27:IZ34" si="738">IY27+IZ26</f>
        <v>0</v>
      </c>
      <c r="JA27" s="6">
        <f t="shared" si="603"/>
        <v>0</v>
      </c>
      <c r="JB27" s="6">
        <f t="shared" ref="JB27:JB34" si="739">JA27+JB26</f>
        <v>0</v>
      </c>
      <c r="JC27" s="6"/>
      <c r="JD27" s="6"/>
      <c r="JE27" s="6">
        <f t="shared" ref="JE27:JE28" si="740">IF($E27=5,IE27-5,NA())</f>
        <v>-5</v>
      </c>
      <c r="JF27" s="20">
        <f>IE27-'Zusammenfassung Tag1-4'!$J$2/18</f>
        <v>-3</v>
      </c>
      <c r="JG27" s="22">
        <f t="shared" ref="JG27:JG34" si="741">JF27+JG26</f>
        <v>-60</v>
      </c>
      <c r="JH27" s="18"/>
      <c r="JI27" s="6">
        <f t="shared" ref="JI27:JI34" si="742">JH27+JI26</f>
        <v>0</v>
      </c>
      <c r="JJ27" s="19"/>
      <c r="JK27" s="6">
        <f t="shared" ref="JK27:JK34" si="743">JJ27+JK26</f>
        <v>0</v>
      </c>
      <c r="JL27" s="6">
        <f t="shared" si="604"/>
        <v>1</v>
      </c>
      <c r="JM27" s="6">
        <f t="shared" ref="JM27:JM34" si="744">JL27+JM26</f>
        <v>20</v>
      </c>
      <c r="JN27" s="6">
        <f t="shared" si="605"/>
        <v>0</v>
      </c>
      <c r="JO27" s="6">
        <f t="shared" ref="JO27:JO34" si="745">JN27+JO26</f>
        <v>0</v>
      </c>
      <c r="JP27" s="6">
        <f t="shared" si="606"/>
        <v>0</v>
      </c>
      <c r="JQ27" s="6">
        <f t="shared" ref="JQ27:JQ34" si="746">JP27+JQ26</f>
        <v>0</v>
      </c>
      <c r="JR27" s="6">
        <f t="shared" si="607"/>
        <v>0</v>
      </c>
      <c r="JS27" s="6">
        <f t="shared" ref="JS27:JS34" si="747">JR27+JS26</f>
        <v>0</v>
      </c>
      <c r="JT27" s="6">
        <f t="shared" si="608"/>
        <v>0</v>
      </c>
      <c r="JU27" s="6">
        <f t="shared" ref="JU27:JU34" si="748">JT27+JU26</f>
        <v>0</v>
      </c>
      <c r="JV27" s="6">
        <f t="shared" si="609"/>
        <v>0</v>
      </c>
      <c r="JW27" s="6">
        <f t="shared" ref="JW27:JW34" si="749">JV27+JW26</f>
        <v>0</v>
      </c>
      <c r="JX27" s="6">
        <f t="shared" si="610"/>
        <v>1</v>
      </c>
      <c r="JY27" s="6">
        <f t="shared" ref="JY27:JY34" si="750">JX27+JY26</f>
        <v>2</v>
      </c>
      <c r="JZ27" s="6">
        <f t="shared" si="611"/>
        <v>0</v>
      </c>
      <c r="KA27" s="6">
        <f t="shared" ref="KA27:KA34" si="751">JZ27+KA26</f>
        <v>0</v>
      </c>
      <c r="KB27" s="6">
        <f t="shared" si="612"/>
        <v>0</v>
      </c>
      <c r="KC27" s="6">
        <f t="shared" ref="KC27:KC34" si="752">KB27+KC26</f>
        <v>0</v>
      </c>
      <c r="KD27" s="6">
        <f t="shared" si="613"/>
        <v>0</v>
      </c>
      <c r="KE27" s="6">
        <f t="shared" ref="KE27:KE34" si="753">KD27+KE26</f>
        <v>0</v>
      </c>
      <c r="KF27" s="6"/>
      <c r="KG27" s="6"/>
      <c r="KH27" s="6">
        <f t="shared" ref="KH27:KH28" si="754">IF($E27=5,JH27-5,NA())</f>
        <v>-5</v>
      </c>
      <c r="KI27" s="20">
        <f>JH27-'Zusammenfassung Tag1-4'!$K$2/18</f>
        <v>-0.77777777777777779</v>
      </c>
      <c r="KJ27" s="22">
        <f t="shared" ref="KJ27:KJ34" si="755">KI27+KJ26</f>
        <v>-15.555555555555562</v>
      </c>
      <c r="KK27" s="10"/>
      <c r="KL27" s="10"/>
      <c r="KM27" s="10"/>
      <c r="KN27" s="10"/>
      <c r="KO27" s="10"/>
      <c r="KP27" s="10"/>
      <c r="KQ27" s="10"/>
      <c r="KR27" s="10"/>
      <c r="KS27" s="10"/>
      <c r="KT27" s="10"/>
      <c r="KU27" s="10"/>
      <c r="KV27" s="10"/>
      <c r="KW27" s="10"/>
      <c r="KX27" s="10"/>
      <c r="KY27" s="10"/>
      <c r="KZ27" s="10"/>
      <c r="LA27" s="10"/>
      <c r="LB27" s="10"/>
      <c r="LC27" s="10"/>
      <c r="LD27" s="10"/>
    </row>
    <row r="28" spans="1:316" ht="15.75" customHeight="1" x14ac:dyDescent="0.25">
      <c r="A28" s="106"/>
      <c r="B28" s="103"/>
      <c r="C28" s="6">
        <v>3</v>
      </c>
      <c r="D28" s="6">
        <f t="shared" si="614"/>
        <v>21</v>
      </c>
      <c r="E28" s="6">
        <v>5</v>
      </c>
      <c r="F28" s="7">
        <f t="shared" si="615"/>
        <v>86</v>
      </c>
      <c r="G28" s="18">
        <v>5</v>
      </c>
      <c r="H28" s="6">
        <f t="shared" si="616"/>
        <v>103</v>
      </c>
      <c r="I28" s="19">
        <v>1</v>
      </c>
      <c r="J28" s="6">
        <f t="shared" si="617"/>
        <v>41</v>
      </c>
      <c r="K28" s="6">
        <f t="shared" si="514"/>
        <v>0</v>
      </c>
      <c r="L28" s="6">
        <f t="shared" si="618"/>
        <v>9</v>
      </c>
      <c r="M28" s="6">
        <f t="shared" si="515"/>
        <v>1</v>
      </c>
      <c r="N28" s="6">
        <f t="shared" si="619"/>
        <v>2</v>
      </c>
      <c r="O28" s="6">
        <f t="shared" si="516"/>
        <v>0</v>
      </c>
      <c r="P28" s="6">
        <f t="shared" si="620"/>
        <v>1</v>
      </c>
      <c r="Q28" s="6">
        <f t="shared" si="517"/>
        <v>1</v>
      </c>
      <c r="R28" s="6">
        <f t="shared" si="621"/>
        <v>2</v>
      </c>
      <c r="S28" s="6">
        <f t="shared" si="518"/>
        <v>0</v>
      </c>
      <c r="T28" s="6">
        <f t="shared" si="622"/>
        <v>0</v>
      </c>
      <c r="U28" s="6">
        <f t="shared" si="519"/>
        <v>0</v>
      </c>
      <c r="V28" s="6">
        <f t="shared" si="623"/>
        <v>1</v>
      </c>
      <c r="W28" s="6">
        <f t="shared" si="520"/>
        <v>0</v>
      </c>
      <c r="X28" s="6">
        <f t="shared" si="624"/>
        <v>0</v>
      </c>
      <c r="Y28" s="6">
        <f t="shared" si="521"/>
        <v>1</v>
      </c>
      <c r="Z28" s="6">
        <f t="shared" si="625"/>
        <v>5</v>
      </c>
      <c r="AA28" s="6">
        <f t="shared" si="522"/>
        <v>0</v>
      </c>
      <c r="AB28" s="6">
        <f t="shared" si="626"/>
        <v>2</v>
      </c>
      <c r="AC28" s="6">
        <f t="shared" si="523"/>
        <v>0</v>
      </c>
      <c r="AD28" s="6">
        <f t="shared" si="627"/>
        <v>3</v>
      </c>
      <c r="AE28" s="6"/>
      <c r="AF28" s="6"/>
      <c r="AG28" s="6">
        <f t="shared" si="628"/>
        <v>0</v>
      </c>
      <c r="AH28" s="20">
        <f>G28-'Zusammenfassung Tag1-4'!$B$2/18</f>
        <v>3.8888888888888888</v>
      </c>
      <c r="AI28" s="21">
        <f t="shared" si="629"/>
        <v>79.666666666666629</v>
      </c>
      <c r="AJ28" s="18">
        <v>5</v>
      </c>
      <c r="AK28" s="6">
        <f t="shared" si="630"/>
        <v>96</v>
      </c>
      <c r="AL28" s="19">
        <v>2</v>
      </c>
      <c r="AM28" s="6">
        <f t="shared" si="631"/>
        <v>41</v>
      </c>
      <c r="AN28" s="6">
        <f t="shared" si="524"/>
        <v>1</v>
      </c>
      <c r="AO28" s="6">
        <f t="shared" si="632"/>
        <v>13</v>
      </c>
      <c r="AP28" s="6">
        <f t="shared" si="525"/>
        <v>0</v>
      </c>
      <c r="AQ28" s="6">
        <f t="shared" si="633"/>
        <v>3</v>
      </c>
      <c r="AR28" s="6">
        <f t="shared" si="526"/>
        <v>0</v>
      </c>
      <c r="AS28" s="6">
        <f t="shared" si="634"/>
        <v>0</v>
      </c>
      <c r="AT28" s="6">
        <f t="shared" si="527"/>
        <v>1</v>
      </c>
      <c r="AU28" s="6">
        <f t="shared" si="635"/>
        <v>3</v>
      </c>
      <c r="AV28" s="6">
        <f t="shared" si="528"/>
        <v>0</v>
      </c>
      <c r="AW28" s="6">
        <f t="shared" si="636"/>
        <v>0</v>
      </c>
      <c r="AX28" s="6">
        <f t="shared" si="529"/>
        <v>0</v>
      </c>
      <c r="AY28" s="6">
        <f t="shared" si="637"/>
        <v>0</v>
      </c>
      <c r="AZ28" s="6">
        <f t="shared" si="530"/>
        <v>0</v>
      </c>
      <c r="BA28" s="6">
        <f t="shared" si="638"/>
        <v>0</v>
      </c>
      <c r="BB28" s="6">
        <f t="shared" si="531"/>
        <v>0</v>
      </c>
      <c r="BC28" s="6">
        <f t="shared" si="639"/>
        <v>4</v>
      </c>
      <c r="BD28" s="6">
        <f t="shared" si="532"/>
        <v>1</v>
      </c>
      <c r="BE28" s="6">
        <f t="shared" si="640"/>
        <v>3</v>
      </c>
      <c r="BF28" s="6">
        <f t="shared" si="533"/>
        <v>0</v>
      </c>
      <c r="BG28" s="6">
        <f t="shared" si="641"/>
        <v>3</v>
      </c>
      <c r="BH28" s="6"/>
      <c r="BI28" s="6"/>
      <c r="BJ28" s="6">
        <f t="shared" si="642"/>
        <v>0</v>
      </c>
      <c r="BK28" s="20">
        <f>AJ28-'Zusammenfassung Tag1-4'!$C$2/18</f>
        <v>4.333333333333333</v>
      </c>
      <c r="BL28" s="21">
        <f t="shared" si="643"/>
        <v>82</v>
      </c>
      <c r="BM28" s="18">
        <v>5</v>
      </c>
      <c r="BN28" s="6">
        <f t="shared" si="644"/>
        <v>118</v>
      </c>
      <c r="BO28" s="19">
        <v>1</v>
      </c>
      <c r="BP28" s="6">
        <f t="shared" si="645"/>
        <v>42</v>
      </c>
      <c r="BQ28" s="6">
        <f t="shared" si="534"/>
        <v>0</v>
      </c>
      <c r="BR28" s="6">
        <f t="shared" si="646"/>
        <v>4</v>
      </c>
      <c r="BS28" s="6">
        <f t="shared" si="535"/>
        <v>1</v>
      </c>
      <c r="BT28" s="6">
        <f t="shared" si="647"/>
        <v>2</v>
      </c>
      <c r="BU28" s="6">
        <f t="shared" si="536"/>
        <v>0</v>
      </c>
      <c r="BV28" s="6">
        <f t="shared" si="648"/>
        <v>0</v>
      </c>
      <c r="BW28" s="6">
        <f t="shared" si="537"/>
        <v>1</v>
      </c>
      <c r="BX28" s="6">
        <f t="shared" si="649"/>
        <v>1</v>
      </c>
      <c r="BY28" s="6">
        <f t="shared" si="538"/>
        <v>0</v>
      </c>
      <c r="BZ28" s="6">
        <f t="shared" si="650"/>
        <v>0</v>
      </c>
      <c r="CA28" s="6">
        <f t="shared" si="539"/>
        <v>0</v>
      </c>
      <c r="CB28" s="6">
        <f t="shared" si="651"/>
        <v>2</v>
      </c>
      <c r="CC28" s="6">
        <f t="shared" si="540"/>
        <v>0</v>
      </c>
      <c r="CD28" s="6">
        <f t="shared" si="652"/>
        <v>0</v>
      </c>
      <c r="CE28" s="6">
        <f t="shared" si="541"/>
        <v>1</v>
      </c>
      <c r="CF28" s="6">
        <f t="shared" si="653"/>
        <v>4</v>
      </c>
      <c r="CG28" s="6">
        <f t="shared" si="542"/>
        <v>0</v>
      </c>
      <c r="CH28" s="6">
        <f t="shared" si="654"/>
        <v>1</v>
      </c>
      <c r="CI28" s="6">
        <f t="shared" si="543"/>
        <v>0</v>
      </c>
      <c r="CJ28" s="6">
        <f t="shared" si="655"/>
        <v>4</v>
      </c>
      <c r="CK28" s="6"/>
      <c r="CL28" s="6"/>
      <c r="CM28" s="6">
        <f t="shared" si="656"/>
        <v>0</v>
      </c>
      <c r="CN28" s="20">
        <f>BM28-'Zusammenfassung Tag1-4'!$D$2/18</f>
        <v>3.666666666666667</v>
      </c>
      <c r="CO28" s="21">
        <f t="shared" si="657"/>
        <v>90</v>
      </c>
      <c r="CP28" s="18">
        <v>6</v>
      </c>
      <c r="CQ28" s="6">
        <f t="shared" si="658"/>
        <v>116</v>
      </c>
      <c r="CR28" s="19">
        <v>2</v>
      </c>
      <c r="CS28" s="6">
        <f t="shared" si="659"/>
        <v>44</v>
      </c>
      <c r="CT28" s="6">
        <f t="shared" si="544"/>
        <v>0</v>
      </c>
      <c r="CU28" s="6">
        <f t="shared" si="660"/>
        <v>4</v>
      </c>
      <c r="CV28" s="6">
        <f t="shared" si="545"/>
        <v>0</v>
      </c>
      <c r="CW28" s="6">
        <f t="shared" si="661"/>
        <v>2</v>
      </c>
      <c r="CX28" s="6">
        <f t="shared" si="546"/>
        <v>0</v>
      </c>
      <c r="CY28" s="6">
        <f t="shared" si="662"/>
        <v>0</v>
      </c>
      <c r="CZ28" s="6">
        <f t="shared" si="547"/>
        <v>0</v>
      </c>
      <c r="DA28" s="6">
        <f t="shared" si="663"/>
        <v>0</v>
      </c>
      <c r="DB28" s="6">
        <f t="shared" si="548"/>
        <v>1</v>
      </c>
      <c r="DC28" s="6">
        <f t="shared" si="664"/>
        <v>3</v>
      </c>
      <c r="DD28" s="6">
        <f t="shared" si="549"/>
        <v>0</v>
      </c>
      <c r="DE28" s="6">
        <f t="shared" si="665"/>
        <v>0</v>
      </c>
      <c r="DF28" s="6">
        <f t="shared" si="550"/>
        <v>0</v>
      </c>
      <c r="DG28" s="6">
        <f t="shared" si="666"/>
        <v>0</v>
      </c>
      <c r="DH28" s="6">
        <f t="shared" si="551"/>
        <v>0</v>
      </c>
      <c r="DI28" s="6">
        <f t="shared" si="667"/>
        <v>3</v>
      </c>
      <c r="DJ28" s="6">
        <f t="shared" si="552"/>
        <v>1</v>
      </c>
      <c r="DK28" s="6">
        <f t="shared" si="668"/>
        <v>3</v>
      </c>
      <c r="DL28" s="6">
        <f t="shared" si="553"/>
        <v>0</v>
      </c>
      <c r="DM28" s="6">
        <f t="shared" si="669"/>
        <v>5</v>
      </c>
      <c r="DN28" s="6"/>
      <c r="DO28" s="6"/>
      <c r="DP28" s="6">
        <f t="shared" si="670"/>
        <v>1</v>
      </c>
      <c r="DQ28" s="20">
        <f>CP28-'Zusammenfassung Tag1-4'!$E$2/18</f>
        <v>4.7222222222222223</v>
      </c>
      <c r="DR28" s="22">
        <f t="shared" si="671"/>
        <v>89.166666666666686</v>
      </c>
      <c r="DS28" s="18">
        <v>10</v>
      </c>
      <c r="DT28" s="6">
        <f t="shared" si="672"/>
        <v>164</v>
      </c>
      <c r="DU28" s="19">
        <v>2</v>
      </c>
      <c r="DV28" s="6">
        <f t="shared" si="673"/>
        <v>48</v>
      </c>
      <c r="DW28" s="6">
        <f t="shared" si="554"/>
        <v>0</v>
      </c>
      <c r="DX28" s="6">
        <f t="shared" si="674"/>
        <v>1</v>
      </c>
      <c r="DY28" s="6">
        <f t="shared" si="555"/>
        <v>0</v>
      </c>
      <c r="DZ28" s="6">
        <f t="shared" si="675"/>
        <v>0</v>
      </c>
      <c r="EA28" s="6">
        <f t="shared" si="556"/>
        <v>0</v>
      </c>
      <c r="EB28" s="6">
        <f t="shared" si="676"/>
        <v>0</v>
      </c>
      <c r="EC28" s="6">
        <f t="shared" si="557"/>
        <v>0</v>
      </c>
      <c r="ED28" s="6">
        <f t="shared" si="677"/>
        <v>0</v>
      </c>
      <c r="EE28" s="6">
        <f t="shared" si="558"/>
        <v>0</v>
      </c>
      <c r="EF28" s="6">
        <f t="shared" si="678"/>
        <v>0</v>
      </c>
      <c r="EG28" s="6">
        <f t="shared" si="559"/>
        <v>1</v>
      </c>
      <c r="EH28" s="6">
        <f t="shared" si="679"/>
        <v>3</v>
      </c>
      <c r="EI28" s="6">
        <f t="shared" si="560"/>
        <v>0</v>
      </c>
      <c r="EJ28" s="6">
        <f t="shared" si="680"/>
        <v>0</v>
      </c>
      <c r="EK28" s="6">
        <f t="shared" si="561"/>
        <v>0</v>
      </c>
      <c r="EL28" s="6">
        <f t="shared" si="681"/>
        <v>0</v>
      </c>
      <c r="EM28" s="6">
        <f t="shared" si="562"/>
        <v>1</v>
      </c>
      <c r="EN28" s="6">
        <f t="shared" si="682"/>
        <v>3</v>
      </c>
      <c r="EO28" s="6">
        <f t="shared" si="563"/>
        <v>0</v>
      </c>
      <c r="EP28" s="6">
        <f t="shared" si="683"/>
        <v>5</v>
      </c>
      <c r="EQ28" s="6"/>
      <c r="ER28" s="6"/>
      <c r="ES28" s="6">
        <f t="shared" si="684"/>
        <v>5</v>
      </c>
      <c r="ET28" s="20">
        <f>DS28-'Zusammenfassung Tag1-4'!$F$2/18</f>
        <v>7</v>
      </c>
      <c r="EU28" s="22">
        <f t="shared" si="685"/>
        <v>101</v>
      </c>
      <c r="EV28" s="18">
        <v>7</v>
      </c>
      <c r="EW28" s="6">
        <f t="shared" si="686"/>
        <v>118</v>
      </c>
      <c r="EX28" s="19">
        <v>2</v>
      </c>
      <c r="EY28" s="6">
        <f t="shared" si="687"/>
        <v>47</v>
      </c>
      <c r="EZ28" s="6">
        <f t="shared" si="564"/>
        <v>0</v>
      </c>
      <c r="FA28" s="6">
        <f t="shared" si="688"/>
        <v>5</v>
      </c>
      <c r="FB28" s="6">
        <f t="shared" si="565"/>
        <v>0</v>
      </c>
      <c r="FC28" s="6">
        <f t="shared" si="689"/>
        <v>0</v>
      </c>
      <c r="FD28" s="6">
        <f t="shared" si="566"/>
        <v>0</v>
      </c>
      <c r="FE28" s="6">
        <f t="shared" si="690"/>
        <v>1</v>
      </c>
      <c r="FF28" s="6">
        <f t="shared" si="567"/>
        <v>0</v>
      </c>
      <c r="FG28" s="6">
        <f t="shared" si="691"/>
        <v>0</v>
      </c>
      <c r="FH28" s="6">
        <f t="shared" si="568"/>
        <v>0</v>
      </c>
      <c r="FI28" s="6">
        <f t="shared" si="692"/>
        <v>1</v>
      </c>
      <c r="FJ28" s="6">
        <f t="shared" si="569"/>
        <v>1</v>
      </c>
      <c r="FK28" s="6">
        <f t="shared" si="693"/>
        <v>1</v>
      </c>
      <c r="FL28" s="6">
        <f t="shared" si="570"/>
        <v>0</v>
      </c>
      <c r="FM28" s="6">
        <f t="shared" si="694"/>
        <v>0</v>
      </c>
      <c r="FN28" s="6">
        <f t="shared" si="571"/>
        <v>0</v>
      </c>
      <c r="FO28" s="6">
        <f t="shared" si="695"/>
        <v>2</v>
      </c>
      <c r="FP28" s="6">
        <f t="shared" si="572"/>
        <v>1</v>
      </c>
      <c r="FQ28" s="6">
        <f t="shared" si="696"/>
        <v>2</v>
      </c>
      <c r="FR28" s="6">
        <f t="shared" si="573"/>
        <v>0</v>
      </c>
      <c r="FS28" s="6">
        <f t="shared" si="697"/>
        <v>7</v>
      </c>
      <c r="FT28" s="6"/>
      <c r="FU28" s="6"/>
      <c r="FV28" s="6">
        <f t="shared" si="698"/>
        <v>2</v>
      </c>
      <c r="FW28" s="20">
        <f>EV28-'Zusammenfassung Tag1-4'!$G$2/18</f>
        <v>5.5</v>
      </c>
      <c r="FX28" s="22">
        <f t="shared" si="699"/>
        <v>86.5</v>
      </c>
      <c r="FY28" s="18">
        <v>8</v>
      </c>
      <c r="FZ28" s="6">
        <f t="shared" si="700"/>
        <v>155</v>
      </c>
      <c r="GA28" s="19">
        <v>3</v>
      </c>
      <c r="GB28" s="6">
        <f t="shared" si="701"/>
        <v>50</v>
      </c>
      <c r="GC28" s="6">
        <f t="shared" si="574"/>
        <v>0</v>
      </c>
      <c r="GD28" s="6">
        <f t="shared" si="702"/>
        <v>1</v>
      </c>
      <c r="GE28" s="6">
        <f t="shared" si="575"/>
        <v>0</v>
      </c>
      <c r="GF28" s="6">
        <f t="shared" si="703"/>
        <v>0</v>
      </c>
      <c r="GG28" s="6">
        <f t="shared" si="576"/>
        <v>0</v>
      </c>
      <c r="GH28" s="6">
        <f t="shared" si="704"/>
        <v>0</v>
      </c>
      <c r="GI28" s="6">
        <f t="shared" si="577"/>
        <v>0</v>
      </c>
      <c r="GJ28" s="6">
        <f t="shared" si="705"/>
        <v>0</v>
      </c>
      <c r="GK28" s="6">
        <f t="shared" si="578"/>
        <v>0</v>
      </c>
      <c r="GL28" s="6">
        <f t="shared" si="706"/>
        <v>0</v>
      </c>
      <c r="GM28" s="6">
        <f t="shared" si="579"/>
        <v>1</v>
      </c>
      <c r="GN28" s="6">
        <f t="shared" si="707"/>
        <v>3</v>
      </c>
      <c r="GO28" s="6">
        <f t="shared" si="580"/>
        <v>0</v>
      </c>
      <c r="GP28" s="6">
        <f t="shared" si="708"/>
        <v>0</v>
      </c>
      <c r="GQ28" s="6">
        <f t="shared" si="581"/>
        <v>0</v>
      </c>
      <c r="GR28" s="6">
        <f t="shared" si="709"/>
        <v>2</v>
      </c>
      <c r="GS28" s="6">
        <f t="shared" si="582"/>
        <v>0</v>
      </c>
      <c r="GT28" s="6">
        <f t="shared" si="710"/>
        <v>1</v>
      </c>
      <c r="GU28" s="6">
        <f t="shared" si="583"/>
        <v>1</v>
      </c>
      <c r="GV28" s="6">
        <f t="shared" si="711"/>
        <v>10</v>
      </c>
      <c r="GW28" s="6"/>
      <c r="GX28" s="6"/>
      <c r="GY28" s="6">
        <f t="shared" si="712"/>
        <v>3</v>
      </c>
      <c r="GZ28" s="20">
        <f>FY28-'Zusammenfassung Tag1-4'!$H$2/18</f>
        <v>5</v>
      </c>
      <c r="HA28" s="22">
        <f t="shared" si="713"/>
        <v>92</v>
      </c>
      <c r="HB28" s="18">
        <v>5</v>
      </c>
      <c r="HC28" s="6">
        <f t="shared" si="714"/>
        <v>113</v>
      </c>
      <c r="HD28" s="19">
        <v>1</v>
      </c>
      <c r="HE28" s="6">
        <f t="shared" si="715"/>
        <v>45</v>
      </c>
      <c r="HF28" s="6">
        <f t="shared" si="584"/>
        <v>0</v>
      </c>
      <c r="HG28" s="6">
        <f t="shared" si="716"/>
        <v>7</v>
      </c>
      <c r="HH28" s="6">
        <f t="shared" si="585"/>
        <v>1</v>
      </c>
      <c r="HI28" s="6">
        <f t="shared" si="717"/>
        <v>3</v>
      </c>
      <c r="HJ28" s="6">
        <f t="shared" si="586"/>
        <v>0</v>
      </c>
      <c r="HK28" s="6">
        <f t="shared" si="718"/>
        <v>0</v>
      </c>
      <c r="HL28" s="6">
        <f t="shared" si="587"/>
        <v>1</v>
      </c>
      <c r="HM28" s="6">
        <f t="shared" si="719"/>
        <v>1</v>
      </c>
      <c r="HN28" s="6">
        <f t="shared" si="588"/>
        <v>0</v>
      </c>
      <c r="HO28" s="6">
        <f t="shared" si="720"/>
        <v>1</v>
      </c>
      <c r="HP28" s="6">
        <f t="shared" si="589"/>
        <v>0</v>
      </c>
      <c r="HQ28" s="6">
        <f t="shared" si="721"/>
        <v>1</v>
      </c>
      <c r="HR28" s="6">
        <f t="shared" si="590"/>
        <v>0</v>
      </c>
      <c r="HS28" s="6">
        <f t="shared" si="722"/>
        <v>0</v>
      </c>
      <c r="HT28" s="6">
        <f t="shared" si="591"/>
        <v>1</v>
      </c>
      <c r="HU28" s="6">
        <f t="shared" si="723"/>
        <v>3</v>
      </c>
      <c r="HV28" s="6">
        <f t="shared" si="592"/>
        <v>0</v>
      </c>
      <c r="HW28" s="6">
        <f t="shared" si="724"/>
        <v>1</v>
      </c>
      <c r="HX28" s="6">
        <f t="shared" si="593"/>
        <v>0</v>
      </c>
      <c r="HY28" s="6">
        <f t="shared" si="725"/>
        <v>6</v>
      </c>
      <c r="HZ28" s="6"/>
      <c r="IA28" s="6"/>
      <c r="IB28" s="6">
        <f t="shared" si="726"/>
        <v>0</v>
      </c>
      <c r="IC28" s="20">
        <f>HB28-'Zusammenfassung Tag1-4'!$I$2/18</f>
        <v>4</v>
      </c>
      <c r="ID28" s="22">
        <f t="shared" si="727"/>
        <v>92</v>
      </c>
      <c r="IE28" s="18"/>
      <c r="IF28" s="6">
        <f t="shared" si="728"/>
        <v>0</v>
      </c>
      <c r="IG28" s="19"/>
      <c r="IH28" s="6">
        <f t="shared" si="729"/>
        <v>0</v>
      </c>
      <c r="II28" s="6">
        <f t="shared" si="594"/>
        <v>1</v>
      </c>
      <c r="IJ28" s="6">
        <f t="shared" si="730"/>
        <v>21</v>
      </c>
      <c r="IK28" s="6">
        <f t="shared" si="595"/>
        <v>0</v>
      </c>
      <c r="IL28" s="6">
        <f t="shared" si="731"/>
        <v>0</v>
      </c>
      <c r="IM28" s="6">
        <f t="shared" si="596"/>
        <v>0</v>
      </c>
      <c r="IN28" s="6">
        <f t="shared" si="732"/>
        <v>0</v>
      </c>
      <c r="IO28" s="6">
        <f t="shared" si="597"/>
        <v>0</v>
      </c>
      <c r="IP28" s="6">
        <f t="shared" si="733"/>
        <v>0</v>
      </c>
      <c r="IQ28" s="6">
        <f t="shared" si="598"/>
        <v>0</v>
      </c>
      <c r="IR28" s="6">
        <f t="shared" si="734"/>
        <v>0</v>
      </c>
      <c r="IS28" s="6">
        <f t="shared" si="599"/>
        <v>0</v>
      </c>
      <c r="IT28" s="6">
        <f t="shared" si="735"/>
        <v>0</v>
      </c>
      <c r="IU28" s="6">
        <f t="shared" si="600"/>
        <v>1</v>
      </c>
      <c r="IV28" s="6">
        <f t="shared" si="736"/>
        <v>3</v>
      </c>
      <c r="IW28" s="6">
        <f t="shared" si="601"/>
        <v>0</v>
      </c>
      <c r="IX28" s="6">
        <f t="shared" si="737"/>
        <v>0</v>
      </c>
      <c r="IY28" s="6">
        <f t="shared" si="602"/>
        <v>0</v>
      </c>
      <c r="IZ28" s="6">
        <f t="shared" si="738"/>
        <v>0</v>
      </c>
      <c r="JA28" s="6">
        <f t="shared" si="603"/>
        <v>0</v>
      </c>
      <c r="JB28" s="6">
        <f t="shared" si="739"/>
        <v>0</v>
      </c>
      <c r="JC28" s="6"/>
      <c r="JD28" s="6"/>
      <c r="JE28" s="6">
        <f t="shared" si="740"/>
        <v>-5</v>
      </c>
      <c r="JF28" s="20">
        <f>IE28-'Zusammenfassung Tag1-4'!$J$2/18</f>
        <v>-3</v>
      </c>
      <c r="JG28" s="22">
        <f t="shared" si="741"/>
        <v>-63</v>
      </c>
      <c r="JH28" s="18"/>
      <c r="JI28" s="6">
        <f t="shared" si="742"/>
        <v>0</v>
      </c>
      <c r="JJ28" s="19"/>
      <c r="JK28" s="6">
        <f t="shared" si="743"/>
        <v>0</v>
      </c>
      <c r="JL28" s="6">
        <f t="shared" si="604"/>
        <v>1</v>
      </c>
      <c r="JM28" s="6">
        <f t="shared" si="744"/>
        <v>21</v>
      </c>
      <c r="JN28" s="6">
        <f t="shared" si="605"/>
        <v>0</v>
      </c>
      <c r="JO28" s="6">
        <f t="shared" si="745"/>
        <v>0</v>
      </c>
      <c r="JP28" s="6">
        <f t="shared" si="606"/>
        <v>0</v>
      </c>
      <c r="JQ28" s="6">
        <f t="shared" si="746"/>
        <v>0</v>
      </c>
      <c r="JR28" s="6">
        <f t="shared" si="607"/>
        <v>0</v>
      </c>
      <c r="JS28" s="6">
        <f t="shared" si="747"/>
        <v>0</v>
      </c>
      <c r="JT28" s="6">
        <f t="shared" si="608"/>
        <v>0</v>
      </c>
      <c r="JU28" s="6">
        <f t="shared" si="748"/>
        <v>0</v>
      </c>
      <c r="JV28" s="6">
        <f t="shared" si="609"/>
        <v>0</v>
      </c>
      <c r="JW28" s="6">
        <f t="shared" si="749"/>
        <v>0</v>
      </c>
      <c r="JX28" s="6">
        <f t="shared" si="610"/>
        <v>1</v>
      </c>
      <c r="JY28" s="6">
        <f t="shared" si="750"/>
        <v>3</v>
      </c>
      <c r="JZ28" s="6">
        <f t="shared" si="611"/>
        <v>0</v>
      </c>
      <c r="KA28" s="6">
        <f t="shared" si="751"/>
        <v>0</v>
      </c>
      <c r="KB28" s="6">
        <f t="shared" si="612"/>
        <v>0</v>
      </c>
      <c r="KC28" s="6">
        <f t="shared" si="752"/>
        <v>0</v>
      </c>
      <c r="KD28" s="6">
        <f t="shared" si="613"/>
        <v>0</v>
      </c>
      <c r="KE28" s="6">
        <f t="shared" si="753"/>
        <v>0</v>
      </c>
      <c r="KF28" s="6"/>
      <c r="KG28" s="6"/>
      <c r="KH28" s="6">
        <f t="shared" si="754"/>
        <v>-5</v>
      </c>
      <c r="KI28" s="20">
        <f>JH28-'Zusammenfassung Tag1-4'!$K$2/18</f>
        <v>-0.77777777777777779</v>
      </c>
      <c r="KJ28" s="22">
        <f t="shared" si="755"/>
        <v>-16.333333333333339</v>
      </c>
      <c r="KK28" s="10"/>
      <c r="KL28" s="10"/>
      <c r="KM28" s="10"/>
      <c r="KN28" s="10"/>
      <c r="KO28" s="10"/>
      <c r="KP28" s="10"/>
      <c r="KQ28" s="10"/>
      <c r="KR28" s="10"/>
      <c r="KS28" s="10"/>
      <c r="KT28" s="10"/>
      <c r="KU28" s="10"/>
      <c r="KV28" s="10"/>
      <c r="KW28" s="10"/>
      <c r="KX28" s="10"/>
      <c r="KY28" s="10"/>
      <c r="KZ28" s="10"/>
      <c r="LA28" s="10"/>
      <c r="LB28" s="10"/>
      <c r="LC28" s="10"/>
      <c r="LD28" s="10"/>
    </row>
    <row r="29" spans="1:316" ht="15.75" customHeight="1" x14ac:dyDescent="0.25">
      <c r="A29" s="106"/>
      <c r="B29" s="103"/>
      <c r="C29" s="6">
        <v>4</v>
      </c>
      <c r="D29" s="6">
        <f t="shared" si="614"/>
        <v>22</v>
      </c>
      <c r="E29" s="6">
        <v>4</v>
      </c>
      <c r="F29" s="7">
        <f t="shared" si="615"/>
        <v>90</v>
      </c>
      <c r="G29" s="18">
        <v>6</v>
      </c>
      <c r="H29" s="6">
        <f t="shared" si="616"/>
        <v>109</v>
      </c>
      <c r="I29" s="19">
        <v>3</v>
      </c>
      <c r="J29" s="6">
        <f t="shared" si="617"/>
        <v>44</v>
      </c>
      <c r="K29" s="6">
        <f t="shared" si="514"/>
        <v>0</v>
      </c>
      <c r="L29" s="6">
        <f t="shared" si="618"/>
        <v>9</v>
      </c>
      <c r="M29" s="6">
        <f t="shared" si="515"/>
        <v>0</v>
      </c>
      <c r="N29" s="6">
        <f t="shared" si="619"/>
        <v>2</v>
      </c>
      <c r="O29" s="6">
        <f t="shared" si="516"/>
        <v>0</v>
      </c>
      <c r="P29" s="6">
        <f t="shared" si="620"/>
        <v>1</v>
      </c>
      <c r="Q29" s="6">
        <f t="shared" si="517"/>
        <v>0</v>
      </c>
      <c r="R29" s="6">
        <f t="shared" si="621"/>
        <v>2</v>
      </c>
      <c r="S29" s="6">
        <f t="shared" si="518"/>
        <v>0</v>
      </c>
      <c r="T29" s="6">
        <f t="shared" si="622"/>
        <v>0</v>
      </c>
      <c r="U29" s="6">
        <f t="shared" si="519"/>
        <v>1</v>
      </c>
      <c r="V29" s="6">
        <f t="shared" si="623"/>
        <v>2</v>
      </c>
      <c r="W29" s="6">
        <f t="shared" si="520"/>
        <v>0</v>
      </c>
      <c r="X29" s="6">
        <f t="shared" si="624"/>
        <v>0</v>
      </c>
      <c r="Y29" s="6">
        <f t="shared" si="521"/>
        <v>0</v>
      </c>
      <c r="Z29" s="6">
        <f t="shared" si="625"/>
        <v>5</v>
      </c>
      <c r="AA29" s="6">
        <f t="shared" si="522"/>
        <v>0</v>
      </c>
      <c r="AB29" s="6">
        <f t="shared" si="626"/>
        <v>2</v>
      </c>
      <c r="AC29" s="6">
        <f t="shared" si="523"/>
        <v>1</v>
      </c>
      <c r="AD29" s="6">
        <f t="shared" si="627"/>
        <v>4</v>
      </c>
      <c r="AE29" s="6"/>
      <c r="AF29" s="6">
        <f t="shared" ref="AF29:AF31" si="756">IF($E29=4,G29-4,NA())</f>
        <v>2</v>
      </c>
      <c r="AG29" s="6"/>
      <c r="AH29" s="20">
        <f>G29-'Zusammenfassung Tag1-4'!$B$2/18</f>
        <v>4.8888888888888893</v>
      </c>
      <c r="AI29" s="21">
        <f t="shared" si="629"/>
        <v>84.555555555555515</v>
      </c>
      <c r="AJ29" s="18">
        <v>5</v>
      </c>
      <c r="AK29" s="6">
        <f t="shared" si="630"/>
        <v>101</v>
      </c>
      <c r="AL29" s="19">
        <v>2</v>
      </c>
      <c r="AM29" s="6">
        <f t="shared" si="631"/>
        <v>43</v>
      </c>
      <c r="AN29" s="6">
        <f t="shared" si="524"/>
        <v>0</v>
      </c>
      <c r="AO29" s="6">
        <f t="shared" si="632"/>
        <v>13</v>
      </c>
      <c r="AP29" s="6">
        <f t="shared" si="525"/>
        <v>0</v>
      </c>
      <c r="AQ29" s="6">
        <f t="shared" si="633"/>
        <v>3</v>
      </c>
      <c r="AR29" s="6">
        <f t="shared" si="526"/>
        <v>0</v>
      </c>
      <c r="AS29" s="6">
        <f t="shared" si="634"/>
        <v>0</v>
      </c>
      <c r="AT29" s="6">
        <f t="shared" si="527"/>
        <v>0</v>
      </c>
      <c r="AU29" s="6">
        <f t="shared" si="635"/>
        <v>3</v>
      </c>
      <c r="AV29" s="6">
        <f t="shared" si="528"/>
        <v>1</v>
      </c>
      <c r="AW29" s="6">
        <f t="shared" si="636"/>
        <v>1</v>
      </c>
      <c r="AX29" s="6">
        <f t="shared" si="529"/>
        <v>0</v>
      </c>
      <c r="AY29" s="6">
        <f t="shared" si="637"/>
        <v>0</v>
      </c>
      <c r="AZ29" s="6">
        <f t="shared" si="530"/>
        <v>0</v>
      </c>
      <c r="BA29" s="6">
        <f t="shared" si="638"/>
        <v>0</v>
      </c>
      <c r="BB29" s="6">
        <f t="shared" si="531"/>
        <v>0</v>
      </c>
      <c r="BC29" s="6">
        <f t="shared" si="639"/>
        <v>4</v>
      </c>
      <c r="BD29" s="6">
        <f t="shared" si="532"/>
        <v>1</v>
      </c>
      <c r="BE29" s="6">
        <f t="shared" si="640"/>
        <v>4</v>
      </c>
      <c r="BF29" s="6">
        <f t="shared" si="533"/>
        <v>0</v>
      </c>
      <c r="BG29" s="6">
        <f t="shared" si="641"/>
        <v>3</v>
      </c>
      <c r="BH29" s="6"/>
      <c r="BI29" s="6">
        <f t="shared" ref="BI29:BI31" si="757">IF($E29=4,AJ29-4,NA())</f>
        <v>1</v>
      </c>
      <c r="BJ29" s="6"/>
      <c r="BK29" s="20">
        <f>AJ29-'Zusammenfassung Tag1-4'!$C$2/18</f>
        <v>4.333333333333333</v>
      </c>
      <c r="BL29" s="21">
        <f t="shared" si="643"/>
        <v>86.333333333333329</v>
      </c>
      <c r="BM29" s="18">
        <v>4</v>
      </c>
      <c r="BN29" s="6">
        <f t="shared" si="644"/>
        <v>122</v>
      </c>
      <c r="BO29" s="19">
        <v>2</v>
      </c>
      <c r="BP29" s="6">
        <f t="shared" si="645"/>
        <v>44</v>
      </c>
      <c r="BQ29" s="6">
        <f t="shared" si="534"/>
        <v>1</v>
      </c>
      <c r="BR29" s="6">
        <f t="shared" si="646"/>
        <v>5</v>
      </c>
      <c r="BS29" s="6">
        <f t="shared" si="535"/>
        <v>0</v>
      </c>
      <c r="BT29" s="6">
        <f t="shared" si="647"/>
        <v>2</v>
      </c>
      <c r="BU29" s="6">
        <f t="shared" si="536"/>
        <v>0</v>
      </c>
      <c r="BV29" s="6">
        <f t="shared" si="648"/>
        <v>0</v>
      </c>
      <c r="BW29" s="6">
        <f t="shared" si="537"/>
        <v>1</v>
      </c>
      <c r="BX29" s="6">
        <f t="shared" si="649"/>
        <v>2</v>
      </c>
      <c r="BY29" s="6">
        <f t="shared" si="538"/>
        <v>0</v>
      </c>
      <c r="BZ29" s="6">
        <f t="shared" si="650"/>
        <v>0</v>
      </c>
      <c r="CA29" s="6">
        <f t="shared" si="539"/>
        <v>0</v>
      </c>
      <c r="CB29" s="6">
        <f t="shared" si="651"/>
        <v>2</v>
      </c>
      <c r="CC29" s="6">
        <f t="shared" si="540"/>
        <v>0</v>
      </c>
      <c r="CD29" s="6">
        <f t="shared" si="652"/>
        <v>0</v>
      </c>
      <c r="CE29" s="6">
        <f t="shared" si="541"/>
        <v>0</v>
      </c>
      <c r="CF29" s="6">
        <f t="shared" si="653"/>
        <v>4</v>
      </c>
      <c r="CG29" s="6">
        <f t="shared" si="542"/>
        <v>1</v>
      </c>
      <c r="CH29" s="6">
        <f t="shared" si="654"/>
        <v>2</v>
      </c>
      <c r="CI29" s="6">
        <f t="shared" si="543"/>
        <v>0</v>
      </c>
      <c r="CJ29" s="6">
        <f t="shared" si="655"/>
        <v>4</v>
      </c>
      <c r="CK29" s="6"/>
      <c r="CL29" s="6">
        <f t="shared" ref="CL29:CL31" si="758">IF($E29=4,BM29-4,NA())</f>
        <v>0</v>
      </c>
      <c r="CM29" s="6"/>
      <c r="CN29" s="20">
        <f>BM29-'Zusammenfassung Tag1-4'!$D$2/18</f>
        <v>2.666666666666667</v>
      </c>
      <c r="CO29" s="21">
        <f t="shared" si="657"/>
        <v>92.666666666666671</v>
      </c>
      <c r="CP29" s="18">
        <v>5</v>
      </c>
      <c r="CQ29" s="6">
        <f t="shared" si="658"/>
        <v>121</v>
      </c>
      <c r="CR29" s="19">
        <v>2</v>
      </c>
      <c r="CS29" s="6">
        <f t="shared" si="659"/>
        <v>46</v>
      </c>
      <c r="CT29" s="6">
        <f t="shared" si="544"/>
        <v>0</v>
      </c>
      <c r="CU29" s="6">
        <f t="shared" si="660"/>
        <v>4</v>
      </c>
      <c r="CV29" s="6">
        <f t="shared" si="545"/>
        <v>0</v>
      </c>
      <c r="CW29" s="6">
        <f t="shared" si="661"/>
        <v>2</v>
      </c>
      <c r="CX29" s="6">
        <f t="shared" si="546"/>
        <v>0</v>
      </c>
      <c r="CY29" s="6">
        <f t="shared" si="662"/>
        <v>0</v>
      </c>
      <c r="CZ29" s="6">
        <f t="shared" si="547"/>
        <v>0</v>
      </c>
      <c r="DA29" s="6">
        <f t="shared" si="663"/>
        <v>0</v>
      </c>
      <c r="DB29" s="6">
        <f t="shared" si="548"/>
        <v>1</v>
      </c>
      <c r="DC29" s="6">
        <f t="shared" si="664"/>
        <v>4</v>
      </c>
      <c r="DD29" s="6">
        <f t="shared" si="549"/>
        <v>0</v>
      </c>
      <c r="DE29" s="6">
        <f t="shared" si="665"/>
        <v>0</v>
      </c>
      <c r="DF29" s="6">
        <f t="shared" si="550"/>
        <v>0</v>
      </c>
      <c r="DG29" s="6">
        <f t="shared" si="666"/>
        <v>0</v>
      </c>
      <c r="DH29" s="6">
        <f t="shared" si="551"/>
        <v>0</v>
      </c>
      <c r="DI29" s="6">
        <f t="shared" si="667"/>
        <v>3</v>
      </c>
      <c r="DJ29" s="6">
        <f t="shared" si="552"/>
        <v>1</v>
      </c>
      <c r="DK29" s="6">
        <f t="shared" si="668"/>
        <v>4</v>
      </c>
      <c r="DL29" s="6">
        <f t="shared" si="553"/>
        <v>0</v>
      </c>
      <c r="DM29" s="6">
        <f t="shared" si="669"/>
        <v>5</v>
      </c>
      <c r="DN29" s="6"/>
      <c r="DO29" s="6">
        <f t="shared" ref="DO29:DO31" si="759">IF($E29=4,CP29-4,NA())</f>
        <v>1</v>
      </c>
      <c r="DP29" s="6"/>
      <c r="DQ29" s="20">
        <f>CP29-'Zusammenfassung Tag1-4'!$E$2/18</f>
        <v>3.7222222222222223</v>
      </c>
      <c r="DR29" s="22">
        <f t="shared" si="671"/>
        <v>92.888888888888914</v>
      </c>
      <c r="DS29" s="18">
        <v>10</v>
      </c>
      <c r="DT29" s="6">
        <f t="shared" si="672"/>
        <v>174</v>
      </c>
      <c r="DU29" s="19">
        <v>2</v>
      </c>
      <c r="DV29" s="6">
        <f t="shared" si="673"/>
        <v>50</v>
      </c>
      <c r="DW29" s="6">
        <f t="shared" si="554"/>
        <v>0</v>
      </c>
      <c r="DX29" s="6">
        <f t="shared" si="674"/>
        <v>1</v>
      </c>
      <c r="DY29" s="6">
        <f t="shared" si="555"/>
        <v>0</v>
      </c>
      <c r="DZ29" s="6">
        <f t="shared" si="675"/>
        <v>0</v>
      </c>
      <c r="EA29" s="6">
        <f t="shared" si="556"/>
        <v>0</v>
      </c>
      <c r="EB29" s="6">
        <f t="shared" si="676"/>
        <v>0</v>
      </c>
      <c r="EC29" s="6">
        <f t="shared" si="557"/>
        <v>0</v>
      </c>
      <c r="ED29" s="6">
        <f t="shared" si="677"/>
        <v>0</v>
      </c>
      <c r="EE29" s="6">
        <f t="shared" si="558"/>
        <v>0</v>
      </c>
      <c r="EF29" s="6">
        <f t="shared" si="678"/>
        <v>0</v>
      </c>
      <c r="EG29" s="6">
        <f t="shared" si="559"/>
        <v>1</v>
      </c>
      <c r="EH29" s="6">
        <f t="shared" si="679"/>
        <v>4</v>
      </c>
      <c r="EI29" s="6">
        <f t="shared" si="560"/>
        <v>0</v>
      </c>
      <c r="EJ29" s="6">
        <f t="shared" si="680"/>
        <v>0</v>
      </c>
      <c r="EK29" s="6">
        <f t="shared" si="561"/>
        <v>0</v>
      </c>
      <c r="EL29" s="6">
        <f t="shared" si="681"/>
        <v>0</v>
      </c>
      <c r="EM29" s="6">
        <f t="shared" si="562"/>
        <v>1</v>
      </c>
      <c r="EN29" s="6">
        <f t="shared" si="682"/>
        <v>4</v>
      </c>
      <c r="EO29" s="6">
        <f t="shared" si="563"/>
        <v>0</v>
      </c>
      <c r="EP29" s="6">
        <f t="shared" si="683"/>
        <v>5</v>
      </c>
      <c r="EQ29" s="6"/>
      <c r="ER29" s="6">
        <f t="shared" ref="ER29:ER31" si="760">IF($E29=4,DS29-4,NA())</f>
        <v>6</v>
      </c>
      <c r="ES29" s="6"/>
      <c r="ET29" s="20">
        <f>DS29-'Zusammenfassung Tag1-4'!$F$2/18</f>
        <v>7</v>
      </c>
      <c r="EU29" s="22">
        <f t="shared" si="685"/>
        <v>108</v>
      </c>
      <c r="EV29" s="18">
        <v>6</v>
      </c>
      <c r="EW29" s="6">
        <f t="shared" si="686"/>
        <v>124</v>
      </c>
      <c r="EX29" s="19">
        <v>2</v>
      </c>
      <c r="EY29" s="6">
        <f t="shared" si="687"/>
        <v>49</v>
      </c>
      <c r="EZ29" s="6">
        <f t="shared" si="564"/>
        <v>0</v>
      </c>
      <c r="FA29" s="6">
        <f t="shared" si="688"/>
        <v>5</v>
      </c>
      <c r="FB29" s="6">
        <f t="shared" si="565"/>
        <v>0</v>
      </c>
      <c r="FC29" s="6">
        <f t="shared" si="689"/>
        <v>0</v>
      </c>
      <c r="FD29" s="6">
        <f t="shared" si="566"/>
        <v>0</v>
      </c>
      <c r="FE29" s="6">
        <f t="shared" si="690"/>
        <v>1</v>
      </c>
      <c r="FF29" s="6">
        <f t="shared" si="567"/>
        <v>0</v>
      </c>
      <c r="FG29" s="6">
        <f t="shared" si="691"/>
        <v>0</v>
      </c>
      <c r="FH29" s="6">
        <f t="shared" si="568"/>
        <v>0</v>
      </c>
      <c r="FI29" s="6">
        <f t="shared" si="692"/>
        <v>1</v>
      </c>
      <c r="FJ29" s="6">
        <f t="shared" si="569"/>
        <v>1</v>
      </c>
      <c r="FK29" s="6">
        <f t="shared" si="693"/>
        <v>2</v>
      </c>
      <c r="FL29" s="6">
        <f t="shared" si="570"/>
        <v>0</v>
      </c>
      <c r="FM29" s="6">
        <f t="shared" si="694"/>
        <v>0</v>
      </c>
      <c r="FN29" s="6">
        <f t="shared" si="571"/>
        <v>0</v>
      </c>
      <c r="FO29" s="6">
        <f t="shared" si="695"/>
        <v>2</v>
      </c>
      <c r="FP29" s="6">
        <f t="shared" si="572"/>
        <v>1</v>
      </c>
      <c r="FQ29" s="6">
        <f t="shared" si="696"/>
        <v>3</v>
      </c>
      <c r="FR29" s="6">
        <f t="shared" si="573"/>
        <v>0</v>
      </c>
      <c r="FS29" s="6">
        <f t="shared" si="697"/>
        <v>7</v>
      </c>
      <c r="FT29" s="6"/>
      <c r="FU29" s="6">
        <f t="shared" ref="FU29:FU31" si="761">IF($E29=4,EV29-4,NA())</f>
        <v>2</v>
      </c>
      <c r="FV29" s="6"/>
      <c r="FW29" s="20">
        <f>EV29-'Zusammenfassung Tag1-4'!$G$2/18</f>
        <v>4.5</v>
      </c>
      <c r="FX29" s="22">
        <f t="shared" si="699"/>
        <v>91</v>
      </c>
      <c r="FY29" s="18">
        <v>5</v>
      </c>
      <c r="FZ29" s="6">
        <f t="shared" si="700"/>
        <v>160</v>
      </c>
      <c r="GA29" s="19">
        <v>2</v>
      </c>
      <c r="GB29" s="6">
        <f t="shared" si="701"/>
        <v>52</v>
      </c>
      <c r="GC29" s="6">
        <f t="shared" si="574"/>
        <v>0</v>
      </c>
      <c r="GD29" s="6">
        <f t="shared" si="702"/>
        <v>1</v>
      </c>
      <c r="GE29" s="6">
        <f t="shared" si="575"/>
        <v>0</v>
      </c>
      <c r="GF29" s="6">
        <f t="shared" si="703"/>
        <v>0</v>
      </c>
      <c r="GG29" s="6">
        <f t="shared" si="576"/>
        <v>0</v>
      </c>
      <c r="GH29" s="6">
        <f t="shared" si="704"/>
        <v>0</v>
      </c>
      <c r="GI29" s="6">
        <f t="shared" si="577"/>
        <v>0</v>
      </c>
      <c r="GJ29" s="6">
        <f t="shared" si="705"/>
        <v>0</v>
      </c>
      <c r="GK29" s="6">
        <f t="shared" si="578"/>
        <v>1</v>
      </c>
      <c r="GL29" s="6">
        <f t="shared" si="706"/>
        <v>1</v>
      </c>
      <c r="GM29" s="6">
        <f t="shared" si="579"/>
        <v>0</v>
      </c>
      <c r="GN29" s="6">
        <f t="shared" si="707"/>
        <v>3</v>
      </c>
      <c r="GO29" s="6">
        <f t="shared" si="580"/>
        <v>0</v>
      </c>
      <c r="GP29" s="6">
        <f t="shared" si="708"/>
        <v>0</v>
      </c>
      <c r="GQ29" s="6">
        <f t="shared" si="581"/>
        <v>0</v>
      </c>
      <c r="GR29" s="6">
        <f t="shared" si="709"/>
        <v>2</v>
      </c>
      <c r="GS29" s="6">
        <f t="shared" si="582"/>
        <v>1</v>
      </c>
      <c r="GT29" s="6">
        <f t="shared" si="710"/>
        <v>2</v>
      </c>
      <c r="GU29" s="6">
        <f t="shared" si="583"/>
        <v>0</v>
      </c>
      <c r="GV29" s="6">
        <f t="shared" si="711"/>
        <v>10</v>
      </c>
      <c r="GW29" s="6"/>
      <c r="GX29" s="6">
        <f t="shared" ref="GX29:GX31" si="762">IF($E29=4,FY29-4,NA())</f>
        <v>1</v>
      </c>
      <c r="GY29" s="6"/>
      <c r="GZ29" s="20">
        <f>FY29-'Zusammenfassung Tag1-4'!$H$2/18</f>
        <v>2</v>
      </c>
      <c r="HA29" s="22">
        <f t="shared" si="713"/>
        <v>94</v>
      </c>
      <c r="HB29" s="18">
        <v>5</v>
      </c>
      <c r="HC29" s="6">
        <f t="shared" si="714"/>
        <v>118</v>
      </c>
      <c r="HD29" s="19">
        <v>2</v>
      </c>
      <c r="HE29" s="6">
        <f t="shared" si="715"/>
        <v>47</v>
      </c>
      <c r="HF29" s="6">
        <f t="shared" si="584"/>
        <v>0</v>
      </c>
      <c r="HG29" s="6">
        <f t="shared" si="716"/>
        <v>7</v>
      </c>
      <c r="HH29" s="6">
        <f t="shared" si="585"/>
        <v>0</v>
      </c>
      <c r="HI29" s="6">
        <f t="shared" si="717"/>
        <v>3</v>
      </c>
      <c r="HJ29" s="6">
        <f t="shared" si="586"/>
        <v>0</v>
      </c>
      <c r="HK29" s="6">
        <f t="shared" si="718"/>
        <v>0</v>
      </c>
      <c r="HL29" s="6">
        <f t="shared" si="587"/>
        <v>0</v>
      </c>
      <c r="HM29" s="6">
        <f t="shared" si="719"/>
        <v>1</v>
      </c>
      <c r="HN29" s="6">
        <f t="shared" si="588"/>
        <v>1</v>
      </c>
      <c r="HO29" s="6">
        <f t="shared" si="720"/>
        <v>2</v>
      </c>
      <c r="HP29" s="6">
        <f t="shared" si="589"/>
        <v>0</v>
      </c>
      <c r="HQ29" s="6">
        <f t="shared" si="721"/>
        <v>1</v>
      </c>
      <c r="HR29" s="6">
        <f t="shared" si="590"/>
        <v>0</v>
      </c>
      <c r="HS29" s="6">
        <f t="shared" si="722"/>
        <v>0</v>
      </c>
      <c r="HT29" s="6">
        <f t="shared" si="591"/>
        <v>0</v>
      </c>
      <c r="HU29" s="6">
        <f t="shared" si="723"/>
        <v>3</v>
      </c>
      <c r="HV29" s="6">
        <f t="shared" si="592"/>
        <v>1</v>
      </c>
      <c r="HW29" s="6">
        <f t="shared" si="724"/>
        <v>2</v>
      </c>
      <c r="HX29" s="6">
        <f t="shared" si="593"/>
        <v>0</v>
      </c>
      <c r="HY29" s="6">
        <f t="shared" si="725"/>
        <v>6</v>
      </c>
      <c r="HZ29" s="6"/>
      <c r="IA29" s="6">
        <f t="shared" ref="IA29:IA31" si="763">IF($E29=4,HB29-4,NA())</f>
        <v>1</v>
      </c>
      <c r="IB29" s="6"/>
      <c r="IC29" s="20">
        <f>HB29-'Zusammenfassung Tag1-4'!$I$2/18</f>
        <v>4</v>
      </c>
      <c r="ID29" s="22">
        <f t="shared" si="727"/>
        <v>96</v>
      </c>
      <c r="IE29" s="18"/>
      <c r="IF29" s="6">
        <f t="shared" si="728"/>
        <v>0</v>
      </c>
      <c r="IG29" s="19"/>
      <c r="IH29" s="6">
        <f t="shared" si="729"/>
        <v>0</v>
      </c>
      <c r="II29" s="6">
        <f t="shared" si="594"/>
        <v>1</v>
      </c>
      <c r="IJ29" s="6">
        <f t="shared" si="730"/>
        <v>22</v>
      </c>
      <c r="IK29" s="6">
        <f t="shared" si="595"/>
        <v>0</v>
      </c>
      <c r="IL29" s="6">
        <f t="shared" si="731"/>
        <v>0</v>
      </c>
      <c r="IM29" s="6">
        <f t="shared" si="596"/>
        <v>0</v>
      </c>
      <c r="IN29" s="6">
        <f t="shared" si="732"/>
        <v>0</v>
      </c>
      <c r="IO29" s="6">
        <f t="shared" si="597"/>
        <v>0</v>
      </c>
      <c r="IP29" s="6">
        <f t="shared" si="733"/>
        <v>0</v>
      </c>
      <c r="IQ29" s="6">
        <f t="shared" si="598"/>
        <v>0</v>
      </c>
      <c r="IR29" s="6">
        <f t="shared" si="734"/>
        <v>0</v>
      </c>
      <c r="IS29" s="6">
        <f t="shared" si="599"/>
        <v>0</v>
      </c>
      <c r="IT29" s="6">
        <f t="shared" si="735"/>
        <v>0</v>
      </c>
      <c r="IU29" s="6">
        <f t="shared" si="600"/>
        <v>1</v>
      </c>
      <c r="IV29" s="6">
        <f t="shared" si="736"/>
        <v>4</v>
      </c>
      <c r="IW29" s="6">
        <f t="shared" si="601"/>
        <v>0</v>
      </c>
      <c r="IX29" s="6">
        <f t="shared" si="737"/>
        <v>0</v>
      </c>
      <c r="IY29" s="6">
        <f t="shared" si="602"/>
        <v>0</v>
      </c>
      <c r="IZ29" s="6">
        <f t="shared" si="738"/>
        <v>0</v>
      </c>
      <c r="JA29" s="6">
        <f t="shared" si="603"/>
        <v>0</v>
      </c>
      <c r="JB29" s="6">
        <f t="shared" si="739"/>
        <v>0</v>
      </c>
      <c r="JC29" s="6"/>
      <c r="JD29" s="6">
        <f t="shared" ref="JD29:JD31" si="764">IF($E29=4,IE29-4,NA())</f>
        <v>-4</v>
      </c>
      <c r="JE29" s="6"/>
      <c r="JF29" s="20">
        <f>IE29-'Zusammenfassung Tag1-4'!$J$2/18</f>
        <v>-3</v>
      </c>
      <c r="JG29" s="22">
        <f t="shared" si="741"/>
        <v>-66</v>
      </c>
      <c r="JH29" s="18"/>
      <c r="JI29" s="6">
        <f t="shared" si="742"/>
        <v>0</v>
      </c>
      <c r="JJ29" s="19"/>
      <c r="JK29" s="6">
        <f t="shared" si="743"/>
        <v>0</v>
      </c>
      <c r="JL29" s="6">
        <f t="shared" si="604"/>
        <v>1</v>
      </c>
      <c r="JM29" s="6">
        <f t="shared" si="744"/>
        <v>22</v>
      </c>
      <c r="JN29" s="6">
        <f t="shared" si="605"/>
        <v>0</v>
      </c>
      <c r="JO29" s="6">
        <f t="shared" si="745"/>
        <v>0</v>
      </c>
      <c r="JP29" s="6">
        <f t="shared" si="606"/>
        <v>0</v>
      </c>
      <c r="JQ29" s="6">
        <f t="shared" si="746"/>
        <v>0</v>
      </c>
      <c r="JR29" s="6">
        <f t="shared" si="607"/>
        <v>0</v>
      </c>
      <c r="JS29" s="6">
        <f t="shared" si="747"/>
        <v>0</v>
      </c>
      <c r="JT29" s="6">
        <f t="shared" si="608"/>
        <v>0</v>
      </c>
      <c r="JU29" s="6">
        <f t="shared" si="748"/>
        <v>0</v>
      </c>
      <c r="JV29" s="6">
        <f t="shared" si="609"/>
        <v>0</v>
      </c>
      <c r="JW29" s="6">
        <f t="shared" si="749"/>
        <v>0</v>
      </c>
      <c r="JX29" s="6">
        <f t="shared" si="610"/>
        <v>1</v>
      </c>
      <c r="JY29" s="6">
        <f t="shared" si="750"/>
        <v>4</v>
      </c>
      <c r="JZ29" s="6">
        <f t="shared" si="611"/>
        <v>0</v>
      </c>
      <c r="KA29" s="6">
        <f t="shared" si="751"/>
        <v>0</v>
      </c>
      <c r="KB29" s="6">
        <f t="shared" si="612"/>
        <v>0</v>
      </c>
      <c r="KC29" s="6">
        <f t="shared" si="752"/>
        <v>0</v>
      </c>
      <c r="KD29" s="6">
        <f t="shared" si="613"/>
        <v>0</v>
      </c>
      <c r="KE29" s="6">
        <f t="shared" si="753"/>
        <v>0</v>
      </c>
      <c r="KF29" s="6"/>
      <c r="KG29" s="6">
        <f t="shared" ref="KG29:KG31" si="765">IF($E29=4,JH29-4,NA())</f>
        <v>-4</v>
      </c>
      <c r="KH29" s="6"/>
      <c r="KI29" s="20">
        <f>JH29-'Zusammenfassung Tag1-4'!$K$2/18</f>
        <v>-0.77777777777777779</v>
      </c>
      <c r="KJ29" s="22">
        <f t="shared" si="755"/>
        <v>-17.111111111111118</v>
      </c>
      <c r="KK29" s="10"/>
      <c r="KL29" s="10"/>
      <c r="KM29" s="10"/>
      <c r="KN29" s="10"/>
      <c r="KO29" s="10"/>
      <c r="KP29" s="10"/>
      <c r="KQ29" s="10"/>
      <c r="KR29" s="10"/>
      <c r="KS29" s="10"/>
      <c r="KT29" s="10"/>
      <c r="KU29" s="10"/>
      <c r="KV29" s="10"/>
      <c r="KW29" s="10"/>
      <c r="KX29" s="10"/>
      <c r="KY29" s="10"/>
      <c r="KZ29" s="10"/>
      <c r="LA29" s="10"/>
      <c r="LB29" s="10"/>
      <c r="LC29" s="10"/>
      <c r="LD29" s="10"/>
    </row>
    <row r="30" spans="1:316" ht="15.75" customHeight="1" x14ac:dyDescent="0.25">
      <c r="A30" s="106"/>
      <c r="B30" s="103"/>
      <c r="C30" s="6">
        <v>5</v>
      </c>
      <c r="D30" s="6">
        <f t="shared" si="614"/>
        <v>23</v>
      </c>
      <c r="E30" s="6">
        <v>4</v>
      </c>
      <c r="F30" s="7">
        <f t="shared" si="615"/>
        <v>94</v>
      </c>
      <c r="G30" s="18">
        <v>6</v>
      </c>
      <c r="H30" s="6">
        <f t="shared" si="616"/>
        <v>115</v>
      </c>
      <c r="I30" s="19">
        <v>2</v>
      </c>
      <c r="J30" s="6">
        <f t="shared" si="617"/>
        <v>46</v>
      </c>
      <c r="K30" s="6">
        <f t="shared" si="514"/>
        <v>0</v>
      </c>
      <c r="L30" s="6">
        <f t="shared" si="618"/>
        <v>9</v>
      </c>
      <c r="M30" s="6">
        <f t="shared" si="515"/>
        <v>0</v>
      </c>
      <c r="N30" s="6">
        <f t="shared" si="619"/>
        <v>2</v>
      </c>
      <c r="O30" s="6">
        <f t="shared" si="516"/>
        <v>0</v>
      </c>
      <c r="P30" s="6">
        <f t="shared" si="620"/>
        <v>1</v>
      </c>
      <c r="Q30" s="6">
        <f t="shared" si="517"/>
        <v>0</v>
      </c>
      <c r="R30" s="6">
        <f t="shared" si="621"/>
        <v>2</v>
      </c>
      <c r="S30" s="6">
        <f t="shared" si="518"/>
        <v>0</v>
      </c>
      <c r="T30" s="6">
        <f t="shared" si="622"/>
        <v>0</v>
      </c>
      <c r="U30" s="6">
        <f t="shared" si="519"/>
        <v>1</v>
      </c>
      <c r="V30" s="6">
        <f t="shared" si="623"/>
        <v>3</v>
      </c>
      <c r="W30" s="6">
        <f t="shared" si="520"/>
        <v>0</v>
      </c>
      <c r="X30" s="6">
        <f t="shared" si="624"/>
        <v>0</v>
      </c>
      <c r="Y30" s="6">
        <f t="shared" si="521"/>
        <v>0</v>
      </c>
      <c r="Z30" s="6">
        <f t="shared" si="625"/>
        <v>5</v>
      </c>
      <c r="AA30" s="6">
        <f t="shared" si="522"/>
        <v>1</v>
      </c>
      <c r="AB30" s="6">
        <f t="shared" si="626"/>
        <v>3</v>
      </c>
      <c r="AC30" s="6">
        <f t="shared" si="523"/>
        <v>0</v>
      </c>
      <c r="AD30" s="6">
        <f t="shared" si="627"/>
        <v>4</v>
      </c>
      <c r="AE30" s="6"/>
      <c r="AF30" s="6">
        <f t="shared" si="756"/>
        <v>2</v>
      </c>
      <c r="AG30" s="6"/>
      <c r="AH30" s="20">
        <f>G30-'Zusammenfassung Tag1-4'!$B$2/18</f>
        <v>4.8888888888888893</v>
      </c>
      <c r="AI30" s="21">
        <f t="shared" si="629"/>
        <v>89.4444444444444</v>
      </c>
      <c r="AJ30" s="18">
        <v>3</v>
      </c>
      <c r="AK30" s="6">
        <f t="shared" si="630"/>
        <v>104</v>
      </c>
      <c r="AL30" s="19">
        <v>1</v>
      </c>
      <c r="AM30" s="6">
        <f t="shared" si="631"/>
        <v>44</v>
      </c>
      <c r="AN30" s="6">
        <f t="shared" si="524"/>
        <v>1</v>
      </c>
      <c r="AO30" s="6">
        <f t="shared" si="632"/>
        <v>14</v>
      </c>
      <c r="AP30" s="6">
        <f t="shared" si="525"/>
        <v>0</v>
      </c>
      <c r="AQ30" s="6">
        <f t="shared" si="633"/>
        <v>3</v>
      </c>
      <c r="AR30" s="6">
        <f t="shared" si="526"/>
        <v>1</v>
      </c>
      <c r="AS30" s="6">
        <f t="shared" si="634"/>
        <v>1</v>
      </c>
      <c r="AT30" s="6">
        <f t="shared" si="527"/>
        <v>0</v>
      </c>
      <c r="AU30" s="6">
        <f t="shared" si="635"/>
        <v>3</v>
      </c>
      <c r="AV30" s="6">
        <f t="shared" si="528"/>
        <v>0</v>
      </c>
      <c r="AW30" s="6">
        <f t="shared" si="636"/>
        <v>1</v>
      </c>
      <c r="AX30" s="6">
        <f t="shared" si="529"/>
        <v>0</v>
      </c>
      <c r="AY30" s="6">
        <f t="shared" si="637"/>
        <v>0</v>
      </c>
      <c r="AZ30" s="6">
        <f t="shared" si="530"/>
        <v>0</v>
      </c>
      <c r="BA30" s="6">
        <f t="shared" si="638"/>
        <v>0</v>
      </c>
      <c r="BB30" s="6">
        <f t="shared" si="531"/>
        <v>1</v>
      </c>
      <c r="BC30" s="6">
        <f t="shared" si="639"/>
        <v>5</v>
      </c>
      <c r="BD30" s="6">
        <f t="shared" si="532"/>
        <v>0</v>
      </c>
      <c r="BE30" s="6">
        <f t="shared" si="640"/>
        <v>4</v>
      </c>
      <c r="BF30" s="6">
        <f t="shared" si="533"/>
        <v>0</v>
      </c>
      <c r="BG30" s="6">
        <f t="shared" si="641"/>
        <v>3</v>
      </c>
      <c r="BH30" s="6"/>
      <c r="BI30" s="6">
        <f t="shared" si="757"/>
        <v>-1</v>
      </c>
      <c r="BJ30" s="6"/>
      <c r="BK30" s="20">
        <f>AJ30-'Zusammenfassung Tag1-4'!$C$2/18</f>
        <v>2.3333333333333335</v>
      </c>
      <c r="BL30" s="21">
        <f t="shared" si="643"/>
        <v>88.666666666666657</v>
      </c>
      <c r="BM30" s="18">
        <v>6</v>
      </c>
      <c r="BN30" s="6">
        <f t="shared" si="644"/>
        <v>128</v>
      </c>
      <c r="BO30" s="19">
        <v>2</v>
      </c>
      <c r="BP30" s="6">
        <f t="shared" si="645"/>
        <v>46</v>
      </c>
      <c r="BQ30" s="6">
        <f t="shared" si="534"/>
        <v>0</v>
      </c>
      <c r="BR30" s="6">
        <f t="shared" si="646"/>
        <v>5</v>
      </c>
      <c r="BS30" s="6">
        <f t="shared" si="535"/>
        <v>0</v>
      </c>
      <c r="BT30" s="6">
        <f t="shared" si="647"/>
        <v>2</v>
      </c>
      <c r="BU30" s="6">
        <f t="shared" si="536"/>
        <v>0</v>
      </c>
      <c r="BV30" s="6">
        <f t="shared" si="648"/>
        <v>0</v>
      </c>
      <c r="BW30" s="6">
        <f t="shared" si="537"/>
        <v>0</v>
      </c>
      <c r="BX30" s="6">
        <f t="shared" si="649"/>
        <v>2</v>
      </c>
      <c r="BY30" s="6">
        <f t="shared" si="538"/>
        <v>0</v>
      </c>
      <c r="BZ30" s="6">
        <f t="shared" si="650"/>
        <v>0</v>
      </c>
      <c r="CA30" s="6">
        <f t="shared" si="539"/>
        <v>1</v>
      </c>
      <c r="CB30" s="6">
        <f t="shared" si="651"/>
        <v>3</v>
      </c>
      <c r="CC30" s="6">
        <f t="shared" si="540"/>
        <v>0</v>
      </c>
      <c r="CD30" s="6">
        <f t="shared" si="652"/>
        <v>0</v>
      </c>
      <c r="CE30" s="6">
        <f t="shared" si="541"/>
        <v>0</v>
      </c>
      <c r="CF30" s="6">
        <f t="shared" si="653"/>
        <v>4</v>
      </c>
      <c r="CG30" s="6">
        <f t="shared" si="542"/>
        <v>1</v>
      </c>
      <c r="CH30" s="6">
        <f t="shared" si="654"/>
        <v>3</v>
      </c>
      <c r="CI30" s="6">
        <f t="shared" si="543"/>
        <v>0</v>
      </c>
      <c r="CJ30" s="6">
        <f t="shared" si="655"/>
        <v>4</v>
      </c>
      <c r="CK30" s="6"/>
      <c r="CL30" s="6">
        <f t="shared" si="758"/>
        <v>2</v>
      </c>
      <c r="CM30" s="6"/>
      <c r="CN30" s="20">
        <f>BM30-'Zusammenfassung Tag1-4'!$D$2/18</f>
        <v>4.666666666666667</v>
      </c>
      <c r="CO30" s="21">
        <f t="shared" si="657"/>
        <v>97.333333333333343</v>
      </c>
      <c r="CP30" s="18">
        <v>4</v>
      </c>
      <c r="CQ30" s="6">
        <f t="shared" si="658"/>
        <v>125</v>
      </c>
      <c r="CR30" s="19">
        <v>2</v>
      </c>
      <c r="CS30" s="6">
        <f t="shared" si="659"/>
        <v>48</v>
      </c>
      <c r="CT30" s="6">
        <f t="shared" si="544"/>
        <v>1</v>
      </c>
      <c r="CU30" s="6">
        <f t="shared" si="660"/>
        <v>5</v>
      </c>
      <c r="CV30" s="6">
        <f t="shared" si="545"/>
        <v>0</v>
      </c>
      <c r="CW30" s="6">
        <f t="shared" si="661"/>
        <v>2</v>
      </c>
      <c r="CX30" s="6">
        <f t="shared" si="546"/>
        <v>0</v>
      </c>
      <c r="CY30" s="6">
        <f t="shared" si="662"/>
        <v>0</v>
      </c>
      <c r="CZ30" s="6">
        <f t="shared" si="547"/>
        <v>1</v>
      </c>
      <c r="DA30" s="6">
        <f t="shared" si="663"/>
        <v>1</v>
      </c>
      <c r="DB30" s="6">
        <f t="shared" si="548"/>
        <v>0</v>
      </c>
      <c r="DC30" s="6">
        <f t="shared" si="664"/>
        <v>4</v>
      </c>
      <c r="DD30" s="6">
        <f t="shared" si="549"/>
        <v>0</v>
      </c>
      <c r="DE30" s="6">
        <f t="shared" si="665"/>
        <v>0</v>
      </c>
      <c r="DF30" s="6">
        <f t="shared" si="550"/>
        <v>0</v>
      </c>
      <c r="DG30" s="6">
        <f t="shared" si="666"/>
        <v>0</v>
      </c>
      <c r="DH30" s="6">
        <f t="shared" si="551"/>
        <v>0</v>
      </c>
      <c r="DI30" s="6">
        <f t="shared" si="667"/>
        <v>3</v>
      </c>
      <c r="DJ30" s="6">
        <f t="shared" si="552"/>
        <v>1</v>
      </c>
      <c r="DK30" s="6">
        <f t="shared" si="668"/>
        <v>5</v>
      </c>
      <c r="DL30" s="6">
        <f t="shared" si="553"/>
        <v>0</v>
      </c>
      <c r="DM30" s="6">
        <f t="shared" si="669"/>
        <v>5</v>
      </c>
      <c r="DN30" s="6"/>
      <c r="DO30" s="6">
        <f t="shared" si="759"/>
        <v>0</v>
      </c>
      <c r="DP30" s="6"/>
      <c r="DQ30" s="20">
        <f>CP30-'Zusammenfassung Tag1-4'!$E$2/18</f>
        <v>2.7222222222222223</v>
      </c>
      <c r="DR30" s="22">
        <f t="shared" si="671"/>
        <v>95.611111111111143</v>
      </c>
      <c r="DS30" s="18">
        <v>8</v>
      </c>
      <c r="DT30" s="6">
        <f t="shared" si="672"/>
        <v>182</v>
      </c>
      <c r="DU30" s="19">
        <v>3</v>
      </c>
      <c r="DV30" s="6">
        <f t="shared" si="673"/>
        <v>53</v>
      </c>
      <c r="DW30" s="6">
        <f t="shared" si="554"/>
        <v>0</v>
      </c>
      <c r="DX30" s="6">
        <f t="shared" si="674"/>
        <v>1</v>
      </c>
      <c r="DY30" s="6">
        <f t="shared" si="555"/>
        <v>0</v>
      </c>
      <c r="DZ30" s="6">
        <f t="shared" si="675"/>
        <v>0</v>
      </c>
      <c r="EA30" s="6">
        <f t="shared" si="556"/>
        <v>0</v>
      </c>
      <c r="EB30" s="6">
        <f t="shared" si="676"/>
        <v>0</v>
      </c>
      <c r="EC30" s="6">
        <f t="shared" si="557"/>
        <v>0</v>
      </c>
      <c r="ED30" s="6">
        <f t="shared" si="677"/>
        <v>0</v>
      </c>
      <c r="EE30" s="6">
        <f t="shared" si="558"/>
        <v>0</v>
      </c>
      <c r="EF30" s="6">
        <f t="shared" si="678"/>
        <v>0</v>
      </c>
      <c r="EG30" s="6">
        <f t="shared" si="559"/>
        <v>1</v>
      </c>
      <c r="EH30" s="6">
        <f t="shared" si="679"/>
        <v>5</v>
      </c>
      <c r="EI30" s="6">
        <f t="shared" si="560"/>
        <v>0</v>
      </c>
      <c r="EJ30" s="6">
        <f t="shared" si="680"/>
        <v>0</v>
      </c>
      <c r="EK30" s="6">
        <f t="shared" si="561"/>
        <v>0</v>
      </c>
      <c r="EL30" s="6">
        <f t="shared" si="681"/>
        <v>0</v>
      </c>
      <c r="EM30" s="6">
        <f t="shared" si="562"/>
        <v>0</v>
      </c>
      <c r="EN30" s="6">
        <f t="shared" si="682"/>
        <v>4</v>
      </c>
      <c r="EO30" s="6">
        <f t="shared" si="563"/>
        <v>1</v>
      </c>
      <c r="EP30" s="6">
        <f t="shared" si="683"/>
        <v>6</v>
      </c>
      <c r="EQ30" s="6"/>
      <c r="ER30" s="6">
        <f t="shared" si="760"/>
        <v>4</v>
      </c>
      <c r="ES30" s="6"/>
      <c r="ET30" s="20">
        <f>DS30-'Zusammenfassung Tag1-4'!$F$2/18</f>
        <v>5</v>
      </c>
      <c r="EU30" s="22">
        <f t="shared" si="685"/>
        <v>113</v>
      </c>
      <c r="EV30" s="18">
        <v>5</v>
      </c>
      <c r="EW30" s="6">
        <f t="shared" si="686"/>
        <v>129</v>
      </c>
      <c r="EX30" s="19">
        <v>2</v>
      </c>
      <c r="EY30" s="6">
        <f t="shared" si="687"/>
        <v>51</v>
      </c>
      <c r="EZ30" s="6">
        <f t="shared" si="564"/>
        <v>0</v>
      </c>
      <c r="FA30" s="6">
        <f t="shared" si="688"/>
        <v>5</v>
      </c>
      <c r="FB30" s="6">
        <f t="shared" si="565"/>
        <v>0</v>
      </c>
      <c r="FC30" s="6">
        <f t="shared" si="689"/>
        <v>0</v>
      </c>
      <c r="FD30" s="6">
        <f t="shared" si="566"/>
        <v>0</v>
      </c>
      <c r="FE30" s="6">
        <f t="shared" si="690"/>
        <v>1</v>
      </c>
      <c r="FF30" s="6">
        <f t="shared" si="567"/>
        <v>0</v>
      </c>
      <c r="FG30" s="6">
        <f t="shared" si="691"/>
        <v>0</v>
      </c>
      <c r="FH30" s="6">
        <f t="shared" si="568"/>
        <v>1</v>
      </c>
      <c r="FI30" s="6">
        <f t="shared" si="692"/>
        <v>2</v>
      </c>
      <c r="FJ30" s="6">
        <f t="shared" si="569"/>
        <v>0</v>
      </c>
      <c r="FK30" s="6">
        <f t="shared" si="693"/>
        <v>2</v>
      </c>
      <c r="FL30" s="6">
        <f t="shared" si="570"/>
        <v>0</v>
      </c>
      <c r="FM30" s="6">
        <f t="shared" si="694"/>
        <v>0</v>
      </c>
      <c r="FN30" s="6">
        <f t="shared" si="571"/>
        <v>0</v>
      </c>
      <c r="FO30" s="6">
        <f t="shared" si="695"/>
        <v>2</v>
      </c>
      <c r="FP30" s="6">
        <f t="shared" si="572"/>
        <v>1</v>
      </c>
      <c r="FQ30" s="6">
        <f t="shared" si="696"/>
        <v>4</v>
      </c>
      <c r="FR30" s="6">
        <f t="shared" si="573"/>
        <v>0</v>
      </c>
      <c r="FS30" s="6">
        <f t="shared" si="697"/>
        <v>7</v>
      </c>
      <c r="FT30" s="6"/>
      <c r="FU30" s="6">
        <f t="shared" si="761"/>
        <v>1</v>
      </c>
      <c r="FV30" s="6"/>
      <c r="FW30" s="20">
        <f>EV30-'Zusammenfassung Tag1-4'!$G$2/18</f>
        <v>3.5</v>
      </c>
      <c r="FX30" s="22">
        <f t="shared" si="699"/>
        <v>94.5</v>
      </c>
      <c r="FY30" s="18">
        <v>10</v>
      </c>
      <c r="FZ30" s="6">
        <f t="shared" si="700"/>
        <v>170</v>
      </c>
      <c r="GA30" s="19">
        <v>2</v>
      </c>
      <c r="GB30" s="6">
        <f t="shared" si="701"/>
        <v>54</v>
      </c>
      <c r="GC30" s="6">
        <f t="shared" si="574"/>
        <v>0</v>
      </c>
      <c r="GD30" s="6">
        <f t="shared" si="702"/>
        <v>1</v>
      </c>
      <c r="GE30" s="6">
        <f t="shared" si="575"/>
        <v>0</v>
      </c>
      <c r="GF30" s="6">
        <f t="shared" si="703"/>
        <v>0</v>
      </c>
      <c r="GG30" s="6">
        <f t="shared" si="576"/>
        <v>0</v>
      </c>
      <c r="GH30" s="6">
        <f t="shared" si="704"/>
        <v>0</v>
      </c>
      <c r="GI30" s="6">
        <f t="shared" si="577"/>
        <v>0</v>
      </c>
      <c r="GJ30" s="6">
        <f t="shared" si="705"/>
        <v>0</v>
      </c>
      <c r="GK30" s="6">
        <f t="shared" si="578"/>
        <v>0</v>
      </c>
      <c r="GL30" s="6">
        <f t="shared" si="706"/>
        <v>1</v>
      </c>
      <c r="GM30" s="6">
        <f t="shared" si="579"/>
        <v>1</v>
      </c>
      <c r="GN30" s="6">
        <f t="shared" si="707"/>
        <v>4</v>
      </c>
      <c r="GO30" s="6">
        <f t="shared" si="580"/>
        <v>0</v>
      </c>
      <c r="GP30" s="6">
        <f t="shared" si="708"/>
        <v>0</v>
      </c>
      <c r="GQ30" s="6">
        <f t="shared" si="581"/>
        <v>0</v>
      </c>
      <c r="GR30" s="6">
        <f t="shared" si="709"/>
        <v>2</v>
      </c>
      <c r="GS30" s="6">
        <f t="shared" si="582"/>
        <v>1</v>
      </c>
      <c r="GT30" s="6">
        <f t="shared" si="710"/>
        <v>3</v>
      </c>
      <c r="GU30" s="6">
        <f t="shared" si="583"/>
        <v>0</v>
      </c>
      <c r="GV30" s="6">
        <f t="shared" si="711"/>
        <v>10</v>
      </c>
      <c r="GW30" s="6"/>
      <c r="GX30" s="6">
        <f t="shared" si="762"/>
        <v>6</v>
      </c>
      <c r="GY30" s="6"/>
      <c r="GZ30" s="20">
        <f>FY30-'Zusammenfassung Tag1-4'!$H$2/18</f>
        <v>7</v>
      </c>
      <c r="HA30" s="22">
        <f t="shared" si="713"/>
        <v>101</v>
      </c>
      <c r="HB30" s="18">
        <v>5</v>
      </c>
      <c r="HC30" s="6">
        <f t="shared" si="714"/>
        <v>123</v>
      </c>
      <c r="HD30" s="19">
        <v>2</v>
      </c>
      <c r="HE30" s="6">
        <f t="shared" si="715"/>
        <v>49</v>
      </c>
      <c r="HF30" s="6">
        <f t="shared" si="584"/>
        <v>0</v>
      </c>
      <c r="HG30" s="6">
        <f t="shared" si="716"/>
        <v>7</v>
      </c>
      <c r="HH30" s="6">
        <f t="shared" si="585"/>
        <v>0</v>
      </c>
      <c r="HI30" s="6">
        <f t="shared" si="717"/>
        <v>3</v>
      </c>
      <c r="HJ30" s="6">
        <f t="shared" si="586"/>
        <v>0</v>
      </c>
      <c r="HK30" s="6">
        <f t="shared" si="718"/>
        <v>0</v>
      </c>
      <c r="HL30" s="6">
        <f t="shared" si="587"/>
        <v>0</v>
      </c>
      <c r="HM30" s="6">
        <f t="shared" si="719"/>
        <v>1</v>
      </c>
      <c r="HN30" s="6">
        <f t="shared" si="588"/>
        <v>1</v>
      </c>
      <c r="HO30" s="6">
        <f t="shared" si="720"/>
        <v>3</v>
      </c>
      <c r="HP30" s="6">
        <f t="shared" si="589"/>
        <v>0</v>
      </c>
      <c r="HQ30" s="6">
        <f t="shared" si="721"/>
        <v>1</v>
      </c>
      <c r="HR30" s="6">
        <f t="shared" si="590"/>
        <v>0</v>
      </c>
      <c r="HS30" s="6">
        <f t="shared" si="722"/>
        <v>0</v>
      </c>
      <c r="HT30" s="6">
        <f t="shared" si="591"/>
        <v>0</v>
      </c>
      <c r="HU30" s="6">
        <f t="shared" si="723"/>
        <v>3</v>
      </c>
      <c r="HV30" s="6">
        <f t="shared" si="592"/>
        <v>1</v>
      </c>
      <c r="HW30" s="6">
        <f t="shared" si="724"/>
        <v>3</v>
      </c>
      <c r="HX30" s="6">
        <f t="shared" si="593"/>
        <v>0</v>
      </c>
      <c r="HY30" s="6">
        <f t="shared" si="725"/>
        <v>6</v>
      </c>
      <c r="HZ30" s="6"/>
      <c r="IA30" s="6">
        <f t="shared" si="763"/>
        <v>1</v>
      </c>
      <c r="IB30" s="6"/>
      <c r="IC30" s="20">
        <f>HB30-'Zusammenfassung Tag1-4'!$I$2/18</f>
        <v>4</v>
      </c>
      <c r="ID30" s="22">
        <f t="shared" si="727"/>
        <v>100</v>
      </c>
      <c r="IE30" s="18"/>
      <c r="IF30" s="6">
        <f t="shared" si="728"/>
        <v>0</v>
      </c>
      <c r="IG30" s="19"/>
      <c r="IH30" s="6">
        <f t="shared" si="729"/>
        <v>0</v>
      </c>
      <c r="II30" s="6">
        <f t="shared" si="594"/>
        <v>1</v>
      </c>
      <c r="IJ30" s="6">
        <f t="shared" si="730"/>
        <v>23</v>
      </c>
      <c r="IK30" s="6">
        <f t="shared" si="595"/>
        <v>0</v>
      </c>
      <c r="IL30" s="6">
        <f t="shared" si="731"/>
        <v>0</v>
      </c>
      <c r="IM30" s="6">
        <f t="shared" si="596"/>
        <v>0</v>
      </c>
      <c r="IN30" s="6">
        <f t="shared" si="732"/>
        <v>0</v>
      </c>
      <c r="IO30" s="6">
        <f t="shared" si="597"/>
        <v>0</v>
      </c>
      <c r="IP30" s="6">
        <f t="shared" si="733"/>
        <v>0</v>
      </c>
      <c r="IQ30" s="6">
        <f t="shared" si="598"/>
        <v>0</v>
      </c>
      <c r="IR30" s="6">
        <f t="shared" si="734"/>
        <v>0</v>
      </c>
      <c r="IS30" s="6">
        <f t="shared" si="599"/>
        <v>0</v>
      </c>
      <c r="IT30" s="6">
        <f t="shared" si="735"/>
        <v>0</v>
      </c>
      <c r="IU30" s="6">
        <f t="shared" si="600"/>
        <v>1</v>
      </c>
      <c r="IV30" s="6">
        <f t="shared" si="736"/>
        <v>5</v>
      </c>
      <c r="IW30" s="6">
        <f t="shared" si="601"/>
        <v>0</v>
      </c>
      <c r="IX30" s="6">
        <f t="shared" si="737"/>
        <v>0</v>
      </c>
      <c r="IY30" s="6">
        <f t="shared" si="602"/>
        <v>0</v>
      </c>
      <c r="IZ30" s="6">
        <f t="shared" si="738"/>
        <v>0</v>
      </c>
      <c r="JA30" s="6">
        <f t="shared" si="603"/>
        <v>0</v>
      </c>
      <c r="JB30" s="6">
        <f t="shared" si="739"/>
        <v>0</v>
      </c>
      <c r="JC30" s="6"/>
      <c r="JD30" s="6">
        <f t="shared" si="764"/>
        <v>-4</v>
      </c>
      <c r="JE30" s="6"/>
      <c r="JF30" s="20">
        <f>IE30-'Zusammenfassung Tag1-4'!$J$2/18</f>
        <v>-3</v>
      </c>
      <c r="JG30" s="22">
        <f t="shared" si="741"/>
        <v>-69</v>
      </c>
      <c r="JH30" s="18"/>
      <c r="JI30" s="6">
        <f t="shared" si="742"/>
        <v>0</v>
      </c>
      <c r="JJ30" s="19"/>
      <c r="JK30" s="6">
        <f t="shared" si="743"/>
        <v>0</v>
      </c>
      <c r="JL30" s="6">
        <f t="shared" si="604"/>
        <v>1</v>
      </c>
      <c r="JM30" s="6">
        <f t="shared" si="744"/>
        <v>23</v>
      </c>
      <c r="JN30" s="6">
        <f t="shared" si="605"/>
        <v>0</v>
      </c>
      <c r="JO30" s="6">
        <f t="shared" si="745"/>
        <v>0</v>
      </c>
      <c r="JP30" s="6">
        <f t="shared" si="606"/>
        <v>0</v>
      </c>
      <c r="JQ30" s="6">
        <f t="shared" si="746"/>
        <v>0</v>
      </c>
      <c r="JR30" s="6">
        <f t="shared" si="607"/>
        <v>0</v>
      </c>
      <c r="JS30" s="6">
        <f t="shared" si="747"/>
        <v>0</v>
      </c>
      <c r="JT30" s="6">
        <f t="shared" si="608"/>
        <v>0</v>
      </c>
      <c r="JU30" s="6">
        <f t="shared" si="748"/>
        <v>0</v>
      </c>
      <c r="JV30" s="6">
        <f t="shared" si="609"/>
        <v>0</v>
      </c>
      <c r="JW30" s="6">
        <f t="shared" si="749"/>
        <v>0</v>
      </c>
      <c r="JX30" s="6">
        <f t="shared" si="610"/>
        <v>1</v>
      </c>
      <c r="JY30" s="6">
        <f t="shared" si="750"/>
        <v>5</v>
      </c>
      <c r="JZ30" s="6">
        <f t="shared" si="611"/>
        <v>0</v>
      </c>
      <c r="KA30" s="6">
        <f t="shared" si="751"/>
        <v>0</v>
      </c>
      <c r="KB30" s="6">
        <f t="shared" si="612"/>
        <v>0</v>
      </c>
      <c r="KC30" s="6">
        <f t="shared" si="752"/>
        <v>0</v>
      </c>
      <c r="KD30" s="6">
        <f t="shared" si="613"/>
        <v>0</v>
      </c>
      <c r="KE30" s="6">
        <f t="shared" si="753"/>
        <v>0</v>
      </c>
      <c r="KF30" s="6"/>
      <c r="KG30" s="6">
        <f t="shared" si="765"/>
        <v>-4</v>
      </c>
      <c r="KH30" s="6"/>
      <c r="KI30" s="20">
        <f>JH30-'Zusammenfassung Tag1-4'!$K$2/18</f>
        <v>-0.77777777777777779</v>
      </c>
      <c r="KJ30" s="22">
        <f t="shared" si="755"/>
        <v>-17.888888888888896</v>
      </c>
      <c r="KK30" s="10"/>
      <c r="KL30" s="10"/>
      <c r="KM30" s="10"/>
      <c r="KN30" s="10"/>
      <c r="KO30" s="10"/>
      <c r="KP30" s="10"/>
      <c r="KQ30" s="10"/>
      <c r="KR30" s="10"/>
      <c r="KS30" s="10"/>
      <c r="KT30" s="10"/>
      <c r="KU30" s="10"/>
      <c r="KV30" s="10"/>
      <c r="KW30" s="10"/>
      <c r="KX30" s="10"/>
      <c r="KY30" s="10"/>
      <c r="KZ30" s="10"/>
      <c r="LA30" s="10"/>
      <c r="LB30" s="10"/>
      <c r="LC30" s="10"/>
      <c r="LD30" s="10"/>
    </row>
    <row r="31" spans="1:316" ht="15.75" customHeight="1" x14ac:dyDescent="0.25">
      <c r="A31" s="106"/>
      <c r="B31" s="103"/>
      <c r="C31" s="6">
        <v>6</v>
      </c>
      <c r="D31" s="6">
        <f t="shared" si="614"/>
        <v>24</v>
      </c>
      <c r="E31" s="6">
        <v>4</v>
      </c>
      <c r="F31" s="7">
        <f t="shared" si="615"/>
        <v>98</v>
      </c>
      <c r="G31" s="18">
        <v>9</v>
      </c>
      <c r="H31" s="6">
        <f t="shared" si="616"/>
        <v>124</v>
      </c>
      <c r="I31" s="19">
        <v>2</v>
      </c>
      <c r="J31" s="6">
        <f t="shared" si="617"/>
        <v>48</v>
      </c>
      <c r="K31" s="6">
        <f t="shared" si="514"/>
        <v>0</v>
      </c>
      <c r="L31" s="6">
        <f t="shared" si="618"/>
        <v>9</v>
      </c>
      <c r="M31" s="6">
        <f t="shared" si="515"/>
        <v>0</v>
      </c>
      <c r="N31" s="6">
        <f t="shared" si="619"/>
        <v>2</v>
      </c>
      <c r="O31" s="6">
        <f t="shared" si="516"/>
        <v>0</v>
      </c>
      <c r="P31" s="6">
        <f t="shared" si="620"/>
        <v>1</v>
      </c>
      <c r="Q31" s="6">
        <f t="shared" si="517"/>
        <v>0</v>
      </c>
      <c r="R31" s="6">
        <f t="shared" si="621"/>
        <v>2</v>
      </c>
      <c r="S31" s="6">
        <f t="shared" si="518"/>
        <v>0</v>
      </c>
      <c r="T31" s="6">
        <f t="shared" si="622"/>
        <v>0</v>
      </c>
      <c r="U31" s="6">
        <f t="shared" si="519"/>
        <v>1</v>
      </c>
      <c r="V31" s="6">
        <f t="shared" si="623"/>
        <v>4</v>
      </c>
      <c r="W31" s="6">
        <f t="shared" si="520"/>
        <v>0</v>
      </c>
      <c r="X31" s="6">
        <f t="shared" si="624"/>
        <v>0</v>
      </c>
      <c r="Y31" s="6">
        <f t="shared" si="521"/>
        <v>0</v>
      </c>
      <c r="Z31" s="6">
        <f t="shared" si="625"/>
        <v>5</v>
      </c>
      <c r="AA31" s="6">
        <f t="shared" si="522"/>
        <v>1</v>
      </c>
      <c r="AB31" s="6">
        <f t="shared" si="626"/>
        <v>4</v>
      </c>
      <c r="AC31" s="6">
        <f t="shared" si="523"/>
        <v>0</v>
      </c>
      <c r="AD31" s="6">
        <f t="shared" si="627"/>
        <v>4</v>
      </c>
      <c r="AE31" s="6"/>
      <c r="AF31" s="6">
        <f t="shared" si="756"/>
        <v>5</v>
      </c>
      <c r="AG31" s="6"/>
      <c r="AH31" s="20">
        <f>G31-'Zusammenfassung Tag1-4'!$B$2/18</f>
        <v>7.8888888888888893</v>
      </c>
      <c r="AI31" s="21">
        <f t="shared" si="629"/>
        <v>97.333333333333286</v>
      </c>
      <c r="AJ31" s="18">
        <v>5</v>
      </c>
      <c r="AK31" s="6">
        <f t="shared" si="630"/>
        <v>109</v>
      </c>
      <c r="AL31" s="19">
        <v>2</v>
      </c>
      <c r="AM31" s="6">
        <f t="shared" si="631"/>
        <v>46</v>
      </c>
      <c r="AN31" s="6">
        <f t="shared" si="524"/>
        <v>0</v>
      </c>
      <c r="AO31" s="6">
        <f t="shared" si="632"/>
        <v>14</v>
      </c>
      <c r="AP31" s="6">
        <f t="shared" si="525"/>
        <v>0</v>
      </c>
      <c r="AQ31" s="6">
        <f t="shared" si="633"/>
        <v>3</v>
      </c>
      <c r="AR31" s="6">
        <f t="shared" si="526"/>
        <v>0</v>
      </c>
      <c r="AS31" s="6">
        <f t="shared" si="634"/>
        <v>1</v>
      </c>
      <c r="AT31" s="6">
        <f t="shared" si="527"/>
        <v>0</v>
      </c>
      <c r="AU31" s="6">
        <f t="shared" si="635"/>
        <v>3</v>
      </c>
      <c r="AV31" s="6">
        <f t="shared" si="528"/>
        <v>1</v>
      </c>
      <c r="AW31" s="6">
        <f t="shared" si="636"/>
        <v>2</v>
      </c>
      <c r="AX31" s="6">
        <f t="shared" si="529"/>
        <v>0</v>
      </c>
      <c r="AY31" s="6">
        <f t="shared" si="637"/>
        <v>0</v>
      </c>
      <c r="AZ31" s="6">
        <f t="shared" si="530"/>
        <v>0</v>
      </c>
      <c r="BA31" s="6">
        <f t="shared" si="638"/>
        <v>0</v>
      </c>
      <c r="BB31" s="6">
        <f t="shared" si="531"/>
        <v>0</v>
      </c>
      <c r="BC31" s="6">
        <f t="shared" si="639"/>
        <v>5</v>
      </c>
      <c r="BD31" s="6">
        <f t="shared" si="532"/>
        <v>1</v>
      </c>
      <c r="BE31" s="6">
        <f t="shared" si="640"/>
        <v>5</v>
      </c>
      <c r="BF31" s="6">
        <f t="shared" si="533"/>
        <v>0</v>
      </c>
      <c r="BG31" s="6">
        <f t="shared" si="641"/>
        <v>3</v>
      </c>
      <c r="BH31" s="6"/>
      <c r="BI31" s="6">
        <f t="shared" si="757"/>
        <v>1</v>
      </c>
      <c r="BJ31" s="6"/>
      <c r="BK31" s="20">
        <f>AJ31-'Zusammenfassung Tag1-4'!$C$2/18</f>
        <v>4.333333333333333</v>
      </c>
      <c r="BL31" s="21">
        <f t="shared" si="643"/>
        <v>92.999999999999986</v>
      </c>
      <c r="BM31" s="18">
        <v>6</v>
      </c>
      <c r="BN31" s="6">
        <f t="shared" si="644"/>
        <v>134</v>
      </c>
      <c r="BO31" s="19">
        <v>2</v>
      </c>
      <c r="BP31" s="6">
        <f t="shared" si="645"/>
        <v>48</v>
      </c>
      <c r="BQ31" s="6">
        <f t="shared" si="534"/>
        <v>0</v>
      </c>
      <c r="BR31" s="6">
        <f t="shared" si="646"/>
        <v>5</v>
      </c>
      <c r="BS31" s="6">
        <f t="shared" si="535"/>
        <v>0</v>
      </c>
      <c r="BT31" s="6">
        <f t="shared" si="647"/>
        <v>2</v>
      </c>
      <c r="BU31" s="6">
        <f t="shared" si="536"/>
        <v>0</v>
      </c>
      <c r="BV31" s="6">
        <f t="shared" si="648"/>
        <v>0</v>
      </c>
      <c r="BW31" s="6">
        <f t="shared" si="537"/>
        <v>0</v>
      </c>
      <c r="BX31" s="6">
        <f t="shared" si="649"/>
        <v>2</v>
      </c>
      <c r="BY31" s="6">
        <f t="shared" si="538"/>
        <v>0</v>
      </c>
      <c r="BZ31" s="6">
        <f t="shared" si="650"/>
        <v>0</v>
      </c>
      <c r="CA31" s="6">
        <f t="shared" si="539"/>
        <v>1</v>
      </c>
      <c r="CB31" s="6">
        <f t="shared" si="651"/>
        <v>4</v>
      </c>
      <c r="CC31" s="6">
        <f t="shared" si="540"/>
        <v>0</v>
      </c>
      <c r="CD31" s="6">
        <f t="shared" si="652"/>
        <v>0</v>
      </c>
      <c r="CE31" s="6">
        <f t="shared" si="541"/>
        <v>0</v>
      </c>
      <c r="CF31" s="6">
        <f t="shared" si="653"/>
        <v>4</v>
      </c>
      <c r="CG31" s="6">
        <f t="shared" si="542"/>
        <v>1</v>
      </c>
      <c r="CH31" s="6">
        <f t="shared" si="654"/>
        <v>4</v>
      </c>
      <c r="CI31" s="6">
        <f t="shared" si="543"/>
        <v>0</v>
      </c>
      <c r="CJ31" s="6">
        <f t="shared" si="655"/>
        <v>4</v>
      </c>
      <c r="CK31" s="6"/>
      <c r="CL31" s="6">
        <f t="shared" si="758"/>
        <v>2</v>
      </c>
      <c r="CM31" s="6"/>
      <c r="CN31" s="20">
        <f>BM31-'Zusammenfassung Tag1-4'!$D$2/18</f>
        <v>4.666666666666667</v>
      </c>
      <c r="CO31" s="21">
        <f t="shared" si="657"/>
        <v>102.00000000000001</v>
      </c>
      <c r="CP31" s="18">
        <v>5</v>
      </c>
      <c r="CQ31" s="6">
        <f t="shared" si="658"/>
        <v>130</v>
      </c>
      <c r="CR31" s="19">
        <v>2</v>
      </c>
      <c r="CS31" s="6">
        <f t="shared" si="659"/>
        <v>50</v>
      </c>
      <c r="CT31" s="6">
        <f t="shared" si="544"/>
        <v>0</v>
      </c>
      <c r="CU31" s="6">
        <f t="shared" si="660"/>
        <v>5</v>
      </c>
      <c r="CV31" s="6">
        <f t="shared" si="545"/>
        <v>0</v>
      </c>
      <c r="CW31" s="6">
        <f t="shared" si="661"/>
        <v>2</v>
      </c>
      <c r="CX31" s="6">
        <f t="shared" si="546"/>
        <v>0</v>
      </c>
      <c r="CY31" s="6">
        <f t="shared" si="662"/>
        <v>0</v>
      </c>
      <c r="CZ31" s="6">
        <f t="shared" si="547"/>
        <v>0</v>
      </c>
      <c r="DA31" s="6">
        <f t="shared" si="663"/>
        <v>1</v>
      </c>
      <c r="DB31" s="6">
        <f t="shared" si="548"/>
        <v>1</v>
      </c>
      <c r="DC31" s="6">
        <f t="shared" si="664"/>
        <v>5</v>
      </c>
      <c r="DD31" s="6">
        <f t="shared" si="549"/>
        <v>0</v>
      </c>
      <c r="DE31" s="6">
        <f t="shared" si="665"/>
        <v>0</v>
      </c>
      <c r="DF31" s="6">
        <f t="shared" si="550"/>
        <v>0</v>
      </c>
      <c r="DG31" s="6">
        <f t="shared" si="666"/>
        <v>0</v>
      </c>
      <c r="DH31" s="6">
        <f t="shared" si="551"/>
        <v>0</v>
      </c>
      <c r="DI31" s="6">
        <f t="shared" si="667"/>
        <v>3</v>
      </c>
      <c r="DJ31" s="6">
        <f t="shared" si="552"/>
        <v>1</v>
      </c>
      <c r="DK31" s="6">
        <f t="shared" si="668"/>
        <v>6</v>
      </c>
      <c r="DL31" s="6">
        <f t="shared" si="553"/>
        <v>0</v>
      </c>
      <c r="DM31" s="6">
        <f t="shared" si="669"/>
        <v>5</v>
      </c>
      <c r="DN31" s="6"/>
      <c r="DO31" s="6">
        <f t="shared" si="759"/>
        <v>1</v>
      </c>
      <c r="DP31" s="6"/>
      <c r="DQ31" s="20">
        <f>CP31-'Zusammenfassung Tag1-4'!$E$2/18</f>
        <v>3.7222222222222223</v>
      </c>
      <c r="DR31" s="22">
        <f t="shared" si="671"/>
        <v>99.333333333333371</v>
      </c>
      <c r="DS31" s="18">
        <v>8</v>
      </c>
      <c r="DT31" s="6">
        <f t="shared" si="672"/>
        <v>190</v>
      </c>
      <c r="DU31" s="19">
        <v>3</v>
      </c>
      <c r="DV31" s="6">
        <f t="shared" si="673"/>
        <v>56</v>
      </c>
      <c r="DW31" s="6">
        <f t="shared" si="554"/>
        <v>0</v>
      </c>
      <c r="DX31" s="6">
        <f t="shared" si="674"/>
        <v>1</v>
      </c>
      <c r="DY31" s="6">
        <f t="shared" si="555"/>
        <v>0</v>
      </c>
      <c r="DZ31" s="6">
        <f t="shared" si="675"/>
        <v>0</v>
      </c>
      <c r="EA31" s="6">
        <f t="shared" si="556"/>
        <v>0</v>
      </c>
      <c r="EB31" s="6">
        <f t="shared" si="676"/>
        <v>0</v>
      </c>
      <c r="EC31" s="6">
        <f t="shared" si="557"/>
        <v>0</v>
      </c>
      <c r="ED31" s="6">
        <f t="shared" si="677"/>
        <v>0</v>
      </c>
      <c r="EE31" s="6">
        <f t="shared" si="558"/>
        <v>0</v>
      </c>
      <c r="EF31" s="6">
        <f t="shared" si="678"/>
        <v>0</v>
      </c>
      <c r="EG31" s="6">
        <f t="shared" si="559"/>
        <v>1</v>
      </c>
      <c r="EH31" s="6">
        <f t="shared" si="679"/>
        <v>6</v>
      </c>
      <c r="EI31" s="6">
        <f t="shared" si="560"/>
        <v>0</v>
      </c>
      <c r="EJ31" s="6">
        <f t="shared" si="680"/>
        <v>0</v>
      </c>
      <c r="EK31" s="6">
        <f t="shared" si="561"/>
        <v>0</v>
      </c>
      <c r="EL31" s="6">
        <f t="shared" si="681"/>
        <v>0</v>
      </c>
      <c r="EM31" s="6">
        <f t="shared" si="562"/>
        <v>0</v>
      </c>
      <c r="EN31" s="6">
        <f t="shared" si="682"/>
        <v>4</v>
      </c>
      <c r="EO31" s="6">
        <f t="shared" si="563"/>
        <v>1</v>
      </c>
      <c r="EP31" s="6">
        <f t="shared" si="683"/>
        <v>7</v>
      </c>
      <c r="EQ31" s="6"/>
      <c r="ER31" s="6">
        <f t="shared" si="760"/>
        <v>4</v>
      </c>
      <c r="ES31" s="6"/>
      <c r="ET31" s="20">
        <f>DS31-'Zusammenfassung Tag1-4'!$F$2/18</f>
        <v>5</v>
      </c>
      <c r="EU31" s="22">
        <f t="shared" si="685"/>
        <v>118</v>
      </c>
      <c r="EV31" s="18">
        <v>6</v>
      </c>
      <c r="EW31" s="6">
        <f t="shared" si="686"/>
        <v>135</v>
      </c>
      <c r="EX31" s="19">
        <v>2</v>
      </c>
      <c r="EY31" s="6">
        <f t="shared" si="687"/>
        <v>53</v>
      </c>
      <c r="EZ31" s="6">
        <f t="shared" si="564"/>
        <v>0</v>
      </c>
      <c r="FA31" s="6">
        <f t="shared" si="688"/>
        <v>5</v>
      </c>
      <c r="FB31" s="6">
        <f t="shared" si="565"/>
        <v>0</v>
      </c>
      <c r="FC31" s="6">
        <f t="shared" si="689"/>
        <v>0</v>
      </c>
      <c r="FD31" s="6">
        <f t="shared" si="566"/>
        <v>0</v>
      </c>
      <c r="FE31" s="6">
        <f t="shared" si="690"/>
        <v>1</v>
      </c>
      <c r="FF31" s="6">
        <f t="shared" si="567"/>
        <v>0</v>
      </c>
      <c r="FG31" s="6">
        <f t="shared" si="691"/>
        <v>0</v>
      </c>
      <c r="FH31" s="6">
        <f t="shared" si="568"/>
        <v>0</v>
      </c>
      <c r="FI31" s="6">
        <f t="shared" si="692"/>
        <v>2</v>
      </c>
      <c r="FJ31" s="6">
        <f t="shared" si="569"/>
        <v>1</v>
      </c>
      <c r="FK31" s="6">
        <f t="shared" si="693"/>
        <v>3</v>
      </c>
      <c r="FL31" s="6">
        <f t="shared" si="570"/>
        <v>0</v>
      </c>
      <c r="FM31" s="6">
        <f t="shared" si="694"/>
        <v>0</v>
      </c>
      <c r="FN31" s="6">
        <f t="shared" si="571"/>
        <v>0</v>
      </c>
      <c r="FO31" s="6">
        <f t="shared" si="695"/>
        <v>2</v>
      </c>
      <c r="FP31" s="6">
        <f t="shared" si="572"/>
        <v>1</v>
      </c>
      <c r="FQ31" s="6">
        <f t="shared" si="696"/>
        <v>5</v>
      </c>
      <c r="FR31" s="6">
        <f t="shared" si="573"/>
        <v>0</v>
      </c>
      <c r="FS31" s="6">
        <f t="shared" si="697"/>
        <v>7</v>
      </c>
      <c r="FT31" s="6"/>
      <c r="FU31" s="6">
        <f t="shared" si="761"/>
        <v>2</v>
      </c>
      <c r="FV31" s="6"/>
      <c r="FW31" s="20">
        <f>EV31-'Zusammenfassung Tag1-4'!$G$2/18</f>
        <v>4.5</v>
      </c>
      <c r="FX31" s="22">
        <f t="shared" si="699"/>
        <v>99</v>
      </c>
      <c r="FY31" s="18">
        <v>9</v>
      </c>
      <c r="FZ31" s="6">
        <f t="shared" si="700"/>
        <v>179</v>
      </c>
      <c r="GA31" s="19">
        <v>3</v>
      </c>
      <c r="GB31" s="6">
        <f t="shared" si="701"/>
        <v>57</v>
      </c>
      <c r="GC31" s="6">
        <f t="shared" si="574"/>
        <v>0</v>
      </c>
      <c r="GD31" s="6">
        <f t="shared" si="702"/>
        <v>1</v>
      </c>
      <c r="GE31" s="6">
        <f t="shared" si="575"/>
        <v>0</v>
      </c>
      <c r="GF31" s="6">
        <f t="shared" si="703"/>
        <v>0</v>
      </c>
      <c r="GG31" s="6">
        <f t="shared" si="576"/>
        <v>0</v>
      </c>
      <c r="GH31" s="6">
        <f t="shared" si="704"/>
        <v>0</v>
      </c>
      <c r="GI31" s="6">
        <f t="shared" si="577"/>
        <v>0</v>
      </c>
      <c r="GJ31" s="6">
        <f t="shared" si="705"/>
        <v>0</v>
      </c>
      <c r="GK31" s="6">
        <f t="shared" si="578"/>
        <v>0</v>
      </c>
      <c r="GL31" s="6">
        <f t="shared" si="706"/>
        <v>1</v>
      </c>
      <c r="GM31" s="6">
        <f t="shared" si="579"/>
        <v>1</v>
      </c>
      <c r="GN31" s="6">
        <f t="shared" si="707"/>
        <v>5</v>
      </c>
      <c r="GO31" s="6">
        <f t="shared" si="580"/>
        <v>0</v>
      </c>
      <c r="GP31" s="6">
        <f t="shared" si="708"/>
        <v>0</v>
      </c>
      <c r="GQ31" s="6">
        <f t="shared" si="581"/>
        <v>0</v>
      </c>
      <c r="GR31" s="6">
        <f t="shared" si="709"/>
        <v>2</v>
      </c>
      <c r="GS31" s="6">
        <f t="shared" si="582"/>
        <v>0</v>
      </c>
      <c r="GT31" s="6">
        <f t="shared" si="710"/>
        <v>3</v>
      </c>
      <c r="GU31" s="6">
        <f t="shared" si="583"/>
        <v>1</v>
      </c>
      <c r="GV31" s="6">
        <f t="shared" si="711"/>
        <v>11</v>
      </c>
      <c r="GW31" s="6"/>
      <c r="GX31" s="6">
        <f t="shared" si="762"/>
        <v>5</v>
      </c>
      <c r="GY31" s="6"/>
      <c r="GZ31" s="20">
        <f>FY31-'Zusammenfassung Tag1-4'!$H$2/18</f>
        <v>6</v>
      </c>
      <c r="HA31" s="22">
        <f t="shared" si="713"/>
        <v>107</v>
      </c>
      <c r="HB31" s="18">
        <v>8</v>
      </c>
      <c r="HC31" s="6">
        <f t="shared" si="714"/>
        <v>131</v>
      </c>
      <c r="HD31" s="19">
        <v>2</v>
      </c>
      <c r="HE31" s="6">
        <f t="shared" si="715"/>
        <v>51</v>
      </c>
      <c r="HF31" s="6">
        <f t="shared" si="584"/>
        <v>0</v>
      </c>
      <c r="HG31" s="6">
        <f t="shared" si="716"/>
        <v>7</v>
      </c>
      <c r="HH31" s="6">
        <f t="shared" si="585"/>
        <v>0</v>
      </c>
      <c r="HI31" s="6">
        <f t="shared" si="717"/>
        <v>3</v>
      </c>
      <c r="HJ31" s="6">
        <f t="shared" si="586"/>
        <v>0</v>
      </c>
      <c r="HK31" s="6">
        <f t="shared" si="718"/>
        <v>0</v>
      </c>
      <c r="HL31" s="6">
        <f t="shared" si="587"/>
        <v>0</v>
      </c>
      <c r="HM31" s="6">
        <f t="shared" si="719"/>
        <v>1</v>
      </c>
      <c r="HN31" s="6">
        <f t="shared" si="588"/>
        <v>0</v>
      </c>
      <c r="HO31" s="6">
        <f t="shared" si="720"/>
        <v>3</v>
      </c>
      <c r="HP31" s="6">
        <f t="shared" si="589"/>
        <v>1</v>
      </c>
      <c r="HQ31" s="6">
        <f t="shared" si="721"/>
        <v>2</v>
      </c>
      <c r="HR31" s="6">
        <f t="shared" si="590"/>
        <v>0</v>
      </c>
      <c r="HS31" s="6">
        <f t="shared" si="722"/>
        <v>0</v>
      </c>
      <c r="HT31" s="6">
        <f t="shared" si="591"/>
        <v>0</v>
      </c>
      <c r="HU31" s="6">
        <f t="shared" si="723"/>
        <v>3</v>
      </c>
      <c r="HV31" s="6">
        <f t="shared" si="592"/>
        <v>1</v>
      </c>
      <c r="HW31" s="6">
        <f t="shared" si="724"/>
        <v>4</v>
      </c>
      <c r="HX31" s="6">
        <f t="shared" si="593"/>
        <v>0</v>
      </c>
      <c r="HY31" s="6">
        <f t="shared" si="725"/>
        <v>6</v>
      </c>
      <c r="HZ31" s="6"/>
      <c r="IA31" s="6">
        <f t="shared" si="763"/>
        <v>4</v>
      </c>
      <c r="IB31" s="6"/>
      <c r="IC31" s="20">
        <f>HB31-'Zusammenfassung Tag1-4'!$I$2/18</f>
        <v>7</v>
      </c>
      <c r="ID31" s="22">
        <f t="shared" si="727"/>
        <v>107</v>
      </c>
      <c r="IE31" s="18"/>
      <c r="IF31" s="6">
        <f t="shared" si="728"/>
        <v>0</v>
      </c>
      <c r="IG31" s="19"/>
      <c r="IH31" s="6">
        <f t="shared" si="729"/>
        <v>0</v>
      </c>
      <c r="II31" s="6">
        <f t="shared" si="594"/>
        <v>1</v>
      </c>
      <c r="IJ31" s="6">
        <f t="shared" si="730"/>
        <v>24</v>
      </c>
      <c r="IK31" s="6">
        <f t="shared" si="595"/>
        <v>0</v>
      </c>
      <c r="IL31" s="6">
        <f t="shared" si="731"/>
        <v>0</v>
      </c>
      <c r="IM31" s="6">
        <f t="shared" si="596"/>
        <v>0</v>
      </c>
      <c r="IN31" s="6">
        <f t="shared" si="732"/>
        <v>0</v>
      </c>
      <c r="IO31" s="6">
        <f t="shared" si="597"/>
        <v>0</v>
      </c>
      <c r="IP31" s="6">
        <f t="shared" si="733"/>
        <v>0</v>
      </c>
      <c r="IQ31" s="6">
        <f t="shared" si="598"/>
        <v>0</v>
      </c>
      <c r="IR31" s="6">
        <f t="shared" si="734"/>
        <v>0</v>
      </c>
      <c r="IS31" s="6">
        <f t="shared" si="599"/>
        <v>0</v>
      </c>
      <c r="IT31" s="6">
        <f t="shared" si="735"/>
        <v>0</v>
      </c>
      <c r="IU31" s="6">
        <f t="shared" si="600"/>
        <v>1</v>
      </c>
      <c r="IV31" s="6">
        <f t="shared" si="736"/>
        <v>6</v>
      </c>
      <c r="IW31" s="6">
        <f t="shared" si="601"/>
        <v>0</v>
      </c>
      <c r="IX31" s="6">
        <f t="shared" si="737"/>
        <v>0</v>
      </c>
      <c r="IY31" s="6">
        <f t="shared" si="602"/>
        <v>0</v>
      </c>
      <c r="IZ31" s="6">
        <f t="shared" si="738"/>
        <v>0</v>
      </c>
      <c r="JA31" s="6">
        <f t="shared" si="603"/>
        <v>0</v>
      </c>
      <c r="JB31" s="6">
        <f t="shared" si="739"/>
        <v>0</v>
      </c>
      <c r="JC31" s="6"/>
      <c r="JD31" s="6">
        <f t="shared" si="764"/>
        <v>-4</v>
      </c>
      <c r="JE31" s="6"/>
      <c r="JF31" s="20">
        <f>IE31-'Zusammenfassung Tag1-4'!$J$2/18</f>
        <v>-3</v>
      </c>
      <c r="JG31" s="22">
        <f t="shared" si="741"/>
        <v>-72</v>
      </c>
      <c r="JH31" s="18"/>
      <c r="JI31" s="6">
        <f t="shared" si="742"/>
        <v>0</v>
      </c>
      <c r="JJ31" s="19"/>
      <c r="JK31" s="6">
        <f t="shared" si="743"/>
        <v>0</v>
      </c>
      <c r="JL31" s="6">
        <f t="shared" si="604"/>
        <v>1</v>
      </c>
      <c r="JM31" s="6">
        <f t="shared" si="744"/>
        <v>24</v>
      </c>
      <c r="JN31" s="6">
        <f t="shared" si="605"/>
        <v>0</v>
      </c>
      <c r="JO31" s="6">
        <f t="shared" si="745"/>
        <v>0</v>
      </c>
      <c r="JP31" s="6">
        <f t="shared" si="606"/>
        <v>0</v>
      </c>
      <c r="JQ31" s="6">
        <f t="shared" si="746"/>
        <v>0</v>
      </c>
      <c r="JR31" s="6">
        <f t="shared" si="607"/>
        <v>0</v>
      </c>
      <c r="JS31" s="6">
        <f t="shared" si="747"/>
        <v>0</v>
      </c>
      <c r="JT31" s="6">
        <f t="shared" si="608"/>
        <v>0</v>
      </c>
      <c r="JU31" s="6">
        <f t="shared" si="748"/>
        <v>0</v>
      </c>
      <c r="JV31" s="6">
        <f t="shared" si="609"/>
        <v>0</v>
      </c>
      <c r="JW31" s="6">
        <f t="shared" si="749"/>
        <v>0</v>
      </c>
      <c r="JX31" s="6">
        <f t="shared" si="610"/>
        <v>1</v>
      </c>
      <c r="JY31" s="6">
        <f t="shared" si="750"/>
        <v>6</v>
      </c>
      <c r="JZ31" s="6">
        <f t="shared" si="611"/>
        <v>0</v>
      </c>
      <c r="KA31" s="6">
        <f t="shared" si="751"/>
        <v>0</v>
      </c>
      <c r="KB31" s="6">
        <f t="shared" si="612"/>
        <v>0</v>
      </c>
      <c r="KC31" s="6">
        <f t="shared" si="752"/>
        <v>0</v>
      </c>
      <c r="KD31" s="6">
        <f t="shared" si="613"/>
        <v>0</v>
      </c>
      <c r="KE31" s="6">
        <f t="shared" si="753"/>
        <v>0</v>
      </c>
      <c r="KF31" s="6"/>
      <c r="KG31" s="6">
        <f t="shared" si="765"/>
        <v>-4</v>
      </c>
      <c r="KH31" s="6"/>
      <c r="KI31" s="20">
        <f>JH31-'Zusammenfassung Tag1-4'!$K$2/18</f>
        <v>-0.77777777777777779</v>
      </c>
      <c r="KJ31" s="22">
        <f t="shared" si="755"/>
        <v>-18.666666666666675</v>
      </c>
      <c r="KK31" s="10"/>
      <c r="KL31" s="10"/>
      <c r="KM31" s="10"/>
      <c r="KN31" s="10"/>
      <c r="KO31" s="10"/>
      <c r="KP31" s="10"/>
      <c r="KQ31" s="10"/>
      <c r="KR31" s="10"/>
      <c r="KS31" s="10"/>
      <c r="KT31" s="10"/>
      <c r="KU31" s="10"/>
      <c r="KV31" s="10"/>
      <c r="KW31" s="10"/>
      <c r="KX31" s="10"/>
      <c r="KY31" s="10"/>
      <c r="KZ31" s="10"/>
      <c r="LA31" s="10"/>
      <c r="LB31" s="10"/>
      <c r="LC31" s="10"/>
      <c r="LD31" s="10"/>
    </row>
    <row r="32" spans="1:316" ht="15.75" customHeight="1" x14ac:dyDescent="0.25">
      <c r="A32" s="106"/>
      <c r="B32" s="103"/>
      <c r="C32" s="6">
        <v>7</v>
      </c>
      <c r="D32" s="6">
        <f t="shared" si="614"/>
        <v>25</v>
      </c>
      <c r="E32" s="6">
        <v>3</v>
      </c>
      <c r="F32" s="7">
        <f t="shared" si="615"/>
        <v>101</v>
      </c>
      <c r="G32" s="18">
        <v>4</v>
      </c>
      <c r="H32" s="6">
        <f t="shared" si="616"/>
        <v>128</v>
      </c>
      <c r="I32" s="19">
        <v>3</v>
      </c>
      <c r="J32" s="6">
        <f t="shared" si="617"/>
        <v>51</v>
      </c>
      <c r="K32" s="6">
        <f t="shared" si="514"/>
        <v>1</v>
      </c>
      <c r="L32" s="6">
        <f t="shared" si="618"/>
        <v>10</v>
      </c>
      <c r="M32" s="6">
        <f t="shared" si="515"/>
        <v>0</v>
      </c>
      <c r="N32" s="6">
        <f t="shared" si="619"/>
        <v>2</v>
      </c>
      <c r="O32" s="6">
        <f t="shared" si="516"/>
        <v>0</v>
      </c>
      <c r="P32" s="6">
        <f t="shared" si="620"/>
        <v>1</v>
      </c>
      <c r="Q32" s="6">
        <f t="shared" si="517"/>
        <v>0</v>
      </c>
      <c r="R32" s="6">
        <f t="shared" si="621"/>
        <v>2</v>
      </c>
      <c r="S32" s="6">
        <f t="shared" si="518"/>
        <v>1</v>
      </c>
      <c r="T32" s="6">
        <f t="shared" si="622"/>
        <v>1</v>
      </c>
      <c r="U32" s="6">
        <f t="shared" si="519"/>
        <v>0</v>
      </c>
      <c r="V32" s="6">
        <f t="shared" si="623"/>
        <v>4</v>
      </c>
      <c r="W32" s="6">
        <f t="shared" si="520"/>
        <v>0</v>
      </c>
      <c r="X32" s="6">
        <f t="shared" si="624"/>
        <v>0</v>
      </c>
      <c r="Y32" s="6">
        <f t="shared" si="521"/>
        <v>0</v>
      </c>
      <c r="Z32" s="6">
        <f t="shared" si="625"/>
        <v>5</v>
      </c>
      <c r="AA32" s="6">
        <f t="shared" si="522"/>
        <v>0</v>
      </c>
      <c r="AB32" s="6">
        <f t="shared" si="626"/>
        <v>4</v>
      </c>
      <c r="AC32" s="6">
        <f t="shared" si="523"/>
        <v>1</v>
      </c>
      <c r="AD32" s="6">
        <f t="shared" si="627"/>
        <v>5</v>
      </c>
      <c r="AE32" s="6">
        <f>IF($E32=3,G32-3,NA())</f>
        <v>1</v>
      </c>
      <c r="AF32" s="6"/>
      <c r="AG32" s="6"/>
      <c r="AH32" s="20">
        <f>G32-'Zusammenfassung Tag1-4'!$B$2/18</f>
        <v>2.8888888888888888</v>
      </c>
      <c r="AI32" s="21">
        <f t="shared" si="629"/>
        <v>100.22222222222217</v>
      </c>
      <c r="AJ32" s="18">
        <v>3</v>
      </c>
      <c r="AK32" s="6">
        <f t="shared" si="630"/>
        <v>112</v>
      </c>
      <c r="AL32" s="19">
        <v>2</v>
      </c>
      <c r="AM32" s="6">
        <f t="shared" si="631"/>
        <v>48</v>
      </c>
      <c r="AN32" s="6">
        <f t="shared" si="524"/>
        <v>1</v>
      </c>
      <c r="AO32" s="6">
        <f t="shared" si="632"/>
        <v>15</v>
      </c>
      <c r="AP32" s="6">
        <f t="shared" si="525"/>
        <v>0</v>
      </c>
      <c r="AQ32" s="6">
        <f t="shared" si="633"/>
        <v>3</v>
      </c>
      <c r="AR32" s="6">
        <f t="shared" si="526"/>
        <v>0</v>
      </c>
      <c r="AS32" s="6">
        <f t="shared" si="634"/>
        <v>1</v>
      </c>
      <c r="AT32" s="6">
        <f t="shared" si="527"/>
        <v>1</v>
      </c>
      <c r="AU32" s="6">
        <f t="shared" si="635"/>
        <v>4</v>
      </c>
      <c r="AV32" s="6">
        <f t="shared" si="528"/>
        <v>0</v>
      </c>
      <c r="AW32" s="6">
        <f t="shared" si="636"/>
        <v>2</v>
      </c>
      <c r="AX32" s="6">
        <f t="shared" si="529"/>
        <v>0</v>
      </c>
      <c r="AY32" s="6">
        <f t="shared" si="637"/>
        <v>0</v>
      </c>
      <c r="AZ32" s="6">
        <f t="shared" si="530"/>
        <v>0</v>
      </c>
      <c r="BA32" s="6">
        <f t="shared" si="638"/>
        <v>0</v>
      </c>
      <c r="BB32" s="6">
        <f t="shared" si="531"/>
        <v>0</v>
      </c>
      <c r="BC32" s="6">
        <f t="shared" si="639"/>
        <v>5</v>
      </c>
      <c r="BD32" s="6">
        <f t="shared" si="532"/>
        <v>1</v>
      </c>
      <c r="BE32" s="6">
        <f t="shared" si="640"/>
        <v>6</v>
      </c>
      <c r="BF32" s="6">
        <f t="shared" si="533"/>
        <v>0</v>
      </c>
      <c r="BG32" s="6">
        <f t="shared" si="641"/>
        <v>3</v>
      </c>
      <c r="BH32" s="6">
        <f>IF($E32=3,AJ32-3,NA())</f>
        <v>0</v>
      </c>
      <c r="BI32" s="6"/>
      <c r="BJ32" s="6"/>
      <c r="BK32" s="20">
        <f>AJ32-'Zusammenfassung Tag1-4'!$C$2/18</f>
        <v>2.3333333333333335</v>
      </c>
      <c r="BL32" s="21">
        <f t="shared" si="643"/>
        <v>95.333333333333314</v>
      </c>
      <c r="BM32" s="18">
        <v>6</v>
      </c>
      <c r="BN32" s="6">
        <f t="shared" si="644"/>
        <v>140</v>
      </c>
      <c r="BO32" s="19">
        <v>3</v>
      </c>
      <c r="BP32" s="6">
        <f t="shared" si="645"/>
        <v>51</v>
      </c>
      <c r="BQ32" s="6">
        <f t="shared" si="534"/>
        <v>0</v>
      </c>
      <c r="BR32" s="6">
        <f t="shared" si="646"/>
        <v>5</v>
      </c>
      <c r="BS32" s="6">
        <f t="shared" si="535"/>
        <v>0</v>
      </c>
      <c r="BT32" s="6">
        <f t="shared" si="647"/>
        <v>2</v>
      </c>
      <c r="BU32" s="6">
        <f t="shared" si="536"/>
        <v>0</v>
      </c>
      <c r="BV32" s="6">
        <f t="shared" si="648"/>
        <v>0</v>
      </c>
      <c r="BW32" s="6">
        <f t="shared" si="537"/>
        <v>0</v>
      </c>
      <c r="BX32" s="6">
        <f t="shared" si="649"/>
        <v>2</v>
      </c>
      <c r="BY32" s="6">
        <f t="shared" si="538"/>
        <v>0</v>
      </c>
      <c r="BZ32" s="6">
        <f t="shared" si="650"/>
        <v>0</v>
      </c>
      <c r="CA32" s="6">
        <f t="shared" si="539"/>
        <v>1</v>
      </c>
      <c r="CB32" s="6">
        <f t="shared" si="651"/>
        <v>5</v>
      </c>
      <c r="CC32" s="6">
        <f t="shared" si="540"/>
        <v>0</v>
      </c>
      <c r="CD32" s="6">
        <f t="shared" si="652"/>
        <v>0</v>
      </c>
      <c r="CE32" s="6">
        <f t="shared" si="541"/>
        <v>0</v>
      </c>
      <c r="CF32" s="6">
        <f t="shared" si="653"/>
        <v>4</v>
      </c>
      <c r="CG32" s="6">
        <f t="shared" si="542"/>
        <v>0</v>
      </c>
      <c r="CH32" s="6">
        <f t="shared" si="654"/>
        <v>4</v>
      </c>
      <c r="CI32" s="6">
        <f t="shared" si="543"/>
        <v>1</v>
      </c>
      <c r="CJ32" s="6">
        <f t="shared" si="655"/>
        <v>5</v>
      </c>
      <c r="CK32" s="6">
        <f>IF($E32=3,BM32-3,NA())</f>
        <v>3</v>
      </c>
      <c r="CL32" s="6"/>
      <c r="CM32" s="6"/>
      <c r="CN32" s="20">
        <f>BM32-'Zusammenfassung Tag1-4'!$D$2/18</f>
        <v>4.666666666666667</v>
      </c>
      <c r="CO32" s="21">
        <f t="shared" si="657"/>
        <v>106.66666666666669</v>
      </c>
      <c r="CP32" s="18">
        <v>5</v>
      </c>
      <c r="CQ32" s="6">
        <f t="shared" si="658"/>
        <v>135</v>
      </c>
      <c r="CR32" s="19">
        <v>3</v>
      </c>
      <c r="CS32" s="6">
        <f t="shared" si="659"/>
        <v>53</v>
      </c>
      <c r="CT32" s="6">
        <f t="shared" si="544"/>
        <v>0</v>
      </c>
      <c r="CU32" s="6">
        <f t="shared" si="660"/>
        <v>5</v>
      </c>
      <c r="CV32" s="6">
        <f t="shared" si="545"/>
        <v>0</v>
      </c>
      <c r="CW32" s="6">
        <f t="shared" si="661"/>
        <v>2</v>
      </c>
      <c r="CX32" s="6">
        <f t="shared" si="546"/>
        <v>0</v>
      </c>
      <c r="CY32" s="6">
        <f t="shared" si="662"/>
        <v>0</v>
      </c>
      <c r="CZ32" s="6">
        <f t="shared" si="547"/>
        <v>0</v>
      </c>
      <c r="DA32" s="6">
        <f t="shared" si="663"/>
        <v>1</v>
      </c>
      <c r="DB32" s="6">
        <f t="shared" si="548"/>
        <v>0</v>
      </c>
      <c r="DC32" s="6">
        <f t="shared" si="664"/>
        <v>5</v>
      </c>
      <c r="DD32" s="6">
        <f t="shared" si="549"/>
        <v>1</v>
      </c>
      <c r="DE32" s="6">
        <f t="shared" si="665"/>
        <v>1</v>
      </c>
      <c r="DF32" s="6">
        <f t="shared" si="550"/>
        <v>0</v>
      </c>
      <c r="DG32" s="6">
        <f t="shared" si="666"/>
        <v>0</v>
      </c>
      <c r="DH32" s="6">
        <f t="shared" si="551"/>
        <v>0</v>
      </c>
      <c r="DI32" s="6">
        <f t="shared" si="667"/>
        <v>3</v>
      </c>
      <c r="DJ32" s="6">
        <f t="shared" si="552"/>
        <v>0</v>
      </c>
      <c r="DK32" s="6">
        <f t="shared" si="668"/>
        <v>6</v>
      </c>
      <c r="DL32" s="6">
        <f t="shared" si="553"/>
        <v>1</v>
      </c>
      <c r="DM32" s="6">
        <f t="shared" si="669"/>
        <v>6</v>
      </c>
      <c r="DN32" s="6">
        <f>IF($E32=3,CP32-3,NA())</f>
        <v>2</v>
      </c>
      <c r="DO32" s="6"/>
      <c r="DP32" s="6"/>
      <c r="DQ32" s="20">
        <f>CP32-'Zusammenfassung Tag1-4'!$E$2/18</f>
        <v>3.7222222222222223</v>
      </c>
      <c r="DR32" s="22">
        <f t="shared" si="671"/>
        <v>103.0555555555556</v>
      </c>
      <c r="DS32" s="18">
        <v>4</v>
      </c>
      <c r="DT32" s="6">
        <f t="shared" si="672"/>
        <v>194</v>
      </c>
      <c r="DU32" s="19">
        <v>2</v>
      </c>
      <c r="DV32" s="6">
        <f t="shared" si="673"/>
        <v>58</v>
      </c>
      <c r="DW32" s="6">
        <f t="shared" si="554"/>
        <v>0</v>
      </c>
      <c r="DX32" s="6">
        <f t="shared" si="674"/>
        <v>1</v>
      </c>
      <c r="DY32" s="6">
        <f t="shared" si="555"/>
        <v>0</v>
      </c>
      <c r="DZ32" s="6">
        <f t="shared" si="675"/>
        <v>0</v>
      </c>
      <c r="EA32" s="6">
        <f t="shared" si="556"/>
        <v>0</v>
      </c>
      <c r="EB32" s="6">
        <f t="shared" si="676"/>
        <v>0</v>
      </c>
      <c r="EC32" s="6">
        <f t="shared" si="557"/>
        <v>0</v>
      </c>
      <c r="ED32" s="6">
        <f t="shared" si="677"/>
        <v>0</v>
      </c>
      <c r="EE32" s="6">
        <f t="shared" si="558"/>
        <v>1</v>
      </c>
      <c r="EF32" s="6">
        <f t="shared" si="678"/>
        <v>1</v>
      </c>
      <c r="EG32" s="6">
        <f t="shared" si="559"/>
        <v>0</v>
      </c>
      <c r="EH32" s="6">
        <f t="shared" si="679"/>
        <v>6</v>
      </c>
      <c r="EI32" s="6">
        <f t="shared" si="560"/>
        <v>0</v>
      </c>
      <c r="EJ32" s="6">
        <f t="shared" si="680"/>
        <v>0</v>
      </c>
      <c r="EK32" s="6">
        <f t="shared" si="561"/>
        <v>0</v>
      </c>
      <c r="EL32" s="6">
        <f t="shared" si="681"/>
        <v>0</v>
      </c>
      <c r="EM32" s="6">
        <f t="shared" si="562"/>
        <v>1</v>
      </c>
      <c r="EN32" s="6">
        <f t="shared" si="682"/>
        <v>5</v>
      </c>
      <c r="EO32" s="6">
        <f t="shared" si="563"/>
        <v>0</v>
      </c>
      <c r="EP32" s="6">
        <f t="shared" si="683"/>
        <v>7</v>
      </c>
      <c r="EQ32" s="6">
        <f>IF($E32=3,DS32-3,NA())</f>
        <v>1</v>
      </c>
      <c r="ER32" s="6"/>
      <c r="ES32" s="6"/>
      <c r="ET32" s="20">
        <f>DS32-'Zusammenfassung Tag1-4'!$F$2/18</f>
        <v>1</v>
      </c>
      <c r="EU32" s="22">
        <f t="shared" si="685"/>
        <v>119</v>
      </c>
      <c r="EV32" s="18">
        <v>5</v>
      </c>
      <c r="EW32" s="6">
        <f t="shared" si="686"/>
        <v>140</v>
      </c>
      <c r="EX32" s="19">
        <v>2</v>
      </c>
      <c r="EY32" s="6">
        <f t="shared" si="687"/>
        <v>55</v>
      </c>
      <c r="EZ32" s="6">
        <f t="shared" si="564"/>
        <v>0</v>
      </c>
      <c r="FA32" s="6">
        <f t="shared" si="688"/>
        <v>5</v>
      </c>
      <c r="FB32" s="6">
        <f t="shared" si="565"/>
        <v>0</v>
      </c>
      <c r="FC32" s="6">
        <f t="shared" si="689"/>
        <v>0</v>
      </c>
      <c r="FD32" s="6">
        <f t="shared" si="566"/>
        <v>0</v>
      </c>
      <c r="FE32" s="6">
        <f t="shared" si="690"/>
        <v>1</v>
      </c>
      <c r="FF32" s="6">
        <f t="shared" si="567"/>
        <v>0</v>
      </c>
      <c r="FG32" s="6">
        <f t="shared" si="691"/>
        <v>0</v>
      </c>
      <c r="FH32" s="6">
        <f t="shared" si="568"/>
        <v>0</v>
      </c>
      <c r="FI32" s="6">
        <f t="shared" si="692"/>
        <v>2</v>
      </c>
      <c r="FJ32" s="6">
        <f t="shared" si="569"/>
        <v>1</v>
      </c>
      <c r="FK32" s="6">
        <f t="shared" si="693"/>
        <v>4</v>
      </c>
      <c r="FL32" s="6">
        <f t="shared" si="570"/>
        <v>0</v>
      </c>
      <c r="FM32" s="6">
        <f t="shared" si="694"/>
        <v>0</v>
      </c>
      <c r="FN32" s="6">
        <f t="shared" si="571"/>
        <v>0</v>
      </c>
      <c r="FO32" s="6">
        <f t="shared" si="695"/>
        <v>2</v>
      </c>
      <c r="FP32" s="6">
        <f t="shared" si="572"/>
        <v>1</v>
      </c>
      <c r="FQ32" s="6">
        <f t="shared" si="696"/>
        <v>6</v>
      </c>
      <c r="FR32" s="6">
        <f t="shared" si="573"/>
        <v>0</v>
      </c>
      <c r="FS32" s="6">
        <f t="shared" si="697"/>
        <v>7</v>
      </c>
      <c r="FT32" s="6">
        <f>IF($E32=3,EV32-3,NA())</f>
        <v>2</v>
      </c>
      <c r="FU32" s="6"/>
      <c r="FV32" s="6"/>
      <c r="FW32" s="20">
        <f>EV32-'Zusammenfassung Tag1-4'!$G$2/18</f>
        <v>3.5</v>
      </c>
      <c r="FX32" s="22">
        <f t="shared" si="699"/>
        <v>102.5</v>
      </c>
      <c r="FY32" s="18">
        <v>6</v>
      </c>
      <c r="FZ32" s="6">
        <f t="shared" si="700"/>
        <v>185</v>
      </c>
      <c r="GA32" s="19">
        <v>2</v>
      </c>
      <c r="GB32" s="6">
        <f t="shared" si="701"/>
        <v>59</v>
      </c>
      <c r="GC32" s="6">
        <f t="shared" si="574"/>
        <v>0</v>
      </c>
      <c r="GD32" s="6">
        <f t="shared" si="702"/>
        <v>1</v>
      </c>
      <c r="GE32" s="6">
        <f t="shared" si="575"/>
        <v>0</v>
      </c>
      <c r="GF32" s="6">
        <f t="shared" si="703"/>
        <v>0</v>
      </c>
      <c r="GG32" s="6">
        <f t="shared" si="576"/>
        <v>0</v>
      </c>
      <c r="GH32" s="6">
        <f t="shared" si="704"/>
        <v>0</v>
      </c>
      <c r="GI32" s="6">
        <f t="shared" si="577"/>
        <v>0</v>
      </c>
      <c r="GJ32" s="6">
        <f t="shared" si="705"/>
        <v>0</v>
      </c>
      <c r="GK32" s="6">
        <f t="shared" si="578"/>
        <v>0</v>
      </c>
      <c r="GL32" s="6">
        <f t="shared" si="706"/>
        <v>1</v>
      </c>
      <c r="GM32" s="6">
        <f t="shared" si="579"/>
        <v>1</v>
      </c>
      <c r="GN32" s="6">
        <f t="shared" si="707"/>
        <v>6</v>
      </c>
      <c r="GO32" s="6">
        <f t="shared" si="580"/>
        <v>0</v>
      </c>
      <c r="GP32" s="6">
        <f t="shared" si="708"/>
        <v>0</v>
      </c>
      <c r="GQ32" s="6">
        <f t="shared" si="581"/>
        <v>0</v>
      </c>
      <c r="GR32" s="6">
        <f t="shared" si="709"/>
        <v>2</v>
      </c>
      <c r="GS32" s="6">
        <f t="shared" si="582"/>
        <v>1</v>
      </c>
      <c r="GT32" s="6">
        <f t="shared" si="710"/>
        <v>4</v>
      </c>
      <c r="GU32" s="6">
        <f t="shared" si="583"/>
        <v>0</v>
      </c>
      <c r="GV32" s="6">
        <f t="shared" si="711"/>
        <v>11</v>
      </c>
      <c r="GW32" s="6">
        <f>IF($E32=3,FY32-3,NA())</f>
        <v>3</v>
      </c>
      <c r="GX32" s="6"/>
      <c r="GY32" s="6"/>
      <c r="GZ32" s="20">
        <f>FY32-'Zusammenfassung Tag1-4'!$H$2/18</f>
        <v>3</v>
      </c>
      <c r="HA32" s="22">
        <f t="shared" si="713"/>
        <v>110</v>
      </c>
      <c r="HB32" s="18">
        <v>5</v>
      </c>
      <c r="HC32" s="6">
        <f t="shared" si="714"/>
        <v>136</v>
      </c>
      <c r="HD32" s="19">
        <v>2</v>
      </c>
      <c r="HE32" s="6">
        <f t="shared" si="715"/>
        <v>53</v>
      </c>
      <c r="HF32" s="6">
        <f t="shared" si="584"/>
        <v>0</v>
      </c>
      <c r="HG32" s="6">
        <f t="shared" si="716"/>
        <v>7</v>
      </c>
      <c r="HH32" s="6">
        <f t="shared" si="585"/>
        <v>0</v>
      </c>
      <c r="HI32" s="6">
        <f t="shared" si="717"/>
        <v>3</v>
      </c>
      <c r="HJ32" s="6">
        <f t="shared" si="586"/>
        <v>0</v>
      </c>
      <c r="HK32" s="6">
        <f t="shared" si="718"/>
        <v>0</v>
      </c>
      <c r="HL32" s="6">
        <f t="shared" si="587"/>
        <v>0</v>
      </c>
      <c r="HM32" s="6">
        <f t="shared" si="719"/>
        <v>1</v>
      </c>
      <c r="HN32" s="6">
        <f t="shared" si="588"/>
        <v>0</v>
      </c>
      <c r="HO32" s="6">
        <f t="shared" si="720"/>
        <v>3</v>
      </c>
      <c r="HP32" s="6">
        <f t="shared" si="589"/>
        <v>1</v>
      </c>
      <c r="HQ32" s="6">
        <f t="shared" si="721"/>
        <v>3</v>
      </c>
      <c r="HR32" s="6">
        <f t="shared" si="590"/>
        <v>0</v>
      </c>
      <c r="HS32" s="6">
        <f t="shared" si="722"/>
        <v>0</v>
      </c>
      <c r="HT32" s="6">
        <f t="shared" si="591"/>
        <v>0</v>
      </c>
      <c r="HU32" s="6">
        <f t="shared" si="723"/>
        <v>3</v>
      </c>
      <c r="HV32" s="6">
        <f t="shared" si="592"/>
        <v>1</v>
      </c>
      <c r="HW32" s="6">
        <f t="shared" si="724"/>
        <v>5</v>
      </c>
      <c r="HX32" s="6">
        <f t="shared" si="593"/>
        <v>0</v>
      </c>
      <c r="HY32" s="6">
        <f t="shared" si="725"/>
        <v>6</v>
      </c>
      <c r="HZ32" s="6">
        <f>IF($E32=3,HB32-3,NA())</f>
        <v>2</v>
      </c>
      <c r="IA32" s="6"/>
      <c r="IB32" s="6"/>
      <c r="IC32" s="20">
        <f>HB32-'Zusammenfassung Tag1-4'!$I$2/18</f>
        <v>4</v>
      </c>
      <c r="ID32" s="22">
        <f t="shared" si="727"/>
        <v>111</v>
      </c>
      <c r="IE32" s="18"/>
      <c r="IF32" s="6">
        <f t="shared" si="728"/>
        <v>0</v>
      </c>
      <c r="IG32" s="19"/>
      <c r="IH32" s="6">
        <f t="shared" si="729"/>
        <v>0</v>
      </c>
      <c r="II32" s="6">
        <f t="shared" si="594"/>
        <v>1</v>
      </c>
      <c r="IJ32" s="6">
        <f t="shared" si="730"/>
        <v>25</v>
      </c>
      <c r="IK32" s="6">
        <f t="shared" si="595"/>
        <v>0</v>
      </c>
      <c r="IL32" s="6">
        <f t="shared" si="731"/>
        <v>0</v>
      </c>
      <c r="IM32" s="6">
        <f t="shared" si="596"/>
        <v>0</v>
      </c>
      <c r="IN32" s="6">
        <f t="shared" si="732"/>
        <v>0</v>
      </c>
      <c r="IO32" s="6">
        <f t="shared" si="597"/>
        <v>0</v>
      </c>
      <c r="IP32" s="6">
        <f t="shared" si="733"/>
        <v>0</v>
      </c>
      <c r="IQ32" s="6">
        <f t="shared" si="598"/>
        <v>0</v>
      </c>
      <c r="IR32" s="6">
        <f t="shared" si="734"/>
        <v>0</v>
      </c>
      <c r="IS32" s="6">
        <f t="shared" si="599"/>
        <v>0</v>
      </c>
      <c r="IT32" s="6">
        <f t="shared" si="735"/>
        <v>0</v>
      </c>
      <c r="IU32" s="6">
        <f t="shared" si="600"/>
        <v>1</v>
      </c>
      <c r="IV32" s="6">
        <f t="shared" si="736"/>
        <v>7</v>
      </c>
      <c r="IW32" s="6">
        <f t="shared" si="601"/>
        <v>0</v>
      </c>
      <c r="IX32" s="6">
        <f t="shared" si="737"/>
        <v>0</v>
      </c>
      <c r="IY32" s="6">
        <f t="shared" si="602"/>
        <v>0</v>
      </c>
      <c r="IZ32" s="6">
        <f t="shared" si="738"/>
        <v>0</v>
      </c>
      <c r="JA32" s="6">
        <f t="shared" si="603"/>
        <v>0</v>
      </c>
      <c r="JB32" s="6">
        <f t="shared" si="739"/>
        <v>0</v>
      </c>
      <c r="JC32" s="6">
        <f>IF($E32=3,IE32-3,NA())</f>
        <v>-3</v>
      </c>
      <c r="JD32" s="6"/>
      <c r="JE32" s="6"/>
      <c r="JF32" s="20">
        <f>IE32-'Zusammenfassung Tag1-4'!$J$2/18</f>
        <v>-3</v>
      </c>
      <c r="JG32" s="22">
        <f t="shared" si="741"/>
        <v>-75</v>
      </c>
      <c r="JH32" s="18"/>
      <c r="JI32" s="6">
        <f t="shared" si="742"/>
        <v>0</v>
      </c>
      <c r="JJ32" s="19"/>
      <c r="JK32" s="6">
        <f t="shared" si="743"/>
        <v>0</v>
      </c>
      <c r="JL32" s="6">
        <f t="shared" si="604"/>
        <v>1</v>
      </c>
      <c r="JM32" s="6">
        <f t="shared" si="744"/>
        <v>25</v>
      </c>
      <c r="JN32" s="6">
        <f t="shared" si="605"/>
        <v>0</v>
      </c>
      <c r="JO32" s="6">
        <f t="shared" si="745"/>
        <v>0</v>
      </c>
      <c r="JP32" s="6">
        <f t="shared" si="606"/>
        <v>0</v>
      </c>
      <c r="JQ32" s="6">
        <f t="shared" si="746"/>
        <v>0</v>
      </c>
      <c r="JR32" s="6">
        <f t="shared" si="607"/>
        <v>0</v>
      </c>
      <c r="JS32" s="6">
        <f t="shared" si="747"/>
        <v>0</v>
      </c>
      <c r="JT32" s="6">
        <f t="shared" si="608"/>
        <v>0</v>
      </c>
      <c r="JU32" s="6">
        <f t="shared" si="748"/>
        <v>0</v>
      </c>
      <c r="JV32" s="6">
        <f t="shared" si="609"/>
        <v>0</v>
      </c>
      <c r="JW32" s="6">
        <f t="shared" si="749"/>
        <v>0</v>
      </c>
      <c r="JX32" s="6">
        <f t="shared" si="610"/>
        <v>1</v>
      </c>
      <c r="JY32" s="6">
        <f t="shared" si="750"/>
        <v>7</v>
      </c>
      <c r="JZ32" s="6">
        <f t="shared" si="611"/>
        <v>0</v>
      </c>
      <c r="KA32" s="6">
        <f t="shared" si="751"/>
        <v>0</v>
      </c>
      <c r="KB32" s="6">
        <f t="shared" si="612"/>
        <v>0</v>
      </c>
      <c r="KC32" s="6">
        <f t="shared" si="752"/>
        <v>0</v>
      </c>
      <c r="KD32" s="6">
        <f t="shared" si="613"/>
        <v>0</v>
      </c>
      <c r="KE32" s="6">
        <f t="shared" si="753"/>
        <v>0</v>
      </c>
      <c r="KF32" s="6">
        <f>IF($E32=3,JH32-3,NA())</f>
        <v>-3</v>
      </c>
      <c r="KG32" s="6"/>
      <c r="KH32" s="6"/>
      <c r="KI32" s="20">
        <f>JH32-'Zusammenfassung Tag1-4'!$K$2/18</f>
        <v>-0.77777777777777779</v>
      </c>
      <c r="KJ32" s="22">
        <f t="shared" si="755"/>
        <v>-19.444444444444454</v>
      </c>
      <c r="KK32" s="10"/>
      <c r="KL32" s="10"/>
      <c r="KM32" s="10"/>
      <c r="KN32" s="10"/>
      <c r="KO32" s="10"/>
      <c r="KP32" s="10"/>
      <c r="KQ32" s="10"/>
      <c r="KR32" s="10"/>
      <c r="KS32" s="10"/>
      <c r="KT32" s="10"/>
      <c r="KU32" s="10"/>
      <c r="KV32" s="10"/>
      <c r="KW32" s="10"/>
      <c r="KX32" s="10"/>
      <c r="KY32" s="10"/>
      <c r="KZ32" s="10"/>
      <c r="LA32" s="10"/>
      <c r="LB32" s="10"/>
      <c r="LC32" s="10"/>
      <c r="LD32" s="10"/>
    </row>
    <row r="33" spans="1:316" ht="15.75" customHeight="1" x14ac:dyDescent="0.25">
      <c r="A33" s="106"/>
      <c r="B33" s="103"/>
      <c r="C33" s="6">
        <v>8</v>
      </c>
      <c r="D33" s="6">
        <f t="shared" si="614"/>
        <v>26</v>
      </c>
      <c r="E33" s="6">
        <v>4</v>
      </c>
      <c r="F33" s="7">
        <f t="shared" si="615"/>
        <v>105</v>
      </c>
      <c r="G33" s="18">
        <v>5</v>
      </c>
      <c r="H33" s="6">
        <f t="shared" si="616"/>
        <v>133</v>
      </c>
      <c r="I33" s="19">
        <v>2</v>
      </c>
      <c r="J33" s="6">
        <f t="shared" si="617"/>
        <v>53</v>
      </c>
      <c r="K33" s="6">
        <f t="shared" si="514"/>
        <v>0</v>
      </c>
      <c r="L33" s="6">
        <f t="shared" si="618"/>
        <v>10</v>
      </c>
      <c r="M33" s="6">
        <f t="shared" si="515"/>
        <v>0</v>
      </c>
      <c r="N33" s="6">
        <f t="shared" si="619"/>
        <v>2</v>
      </c>
      <c r="O33" s="6">
        <f t="shared" si="516"/>
        <v>0</v>
      </c>
      <c r="P33" s="6">
        <f t="shared" si="620"/>
        <v>1</v>
      </c>
      <c r="Q33" s="6">
        <f t="shared" si="517"/>
        <v>0</v>
      </c>
      <c r="R33" s="6">
        <f t="shared" si="621"/>
        <v>2</v>
      </c>
      <c r="S33" s="6">
        <f t="shared" si="518"/>
        <v>1</v>
      </c>
      <c r="T33" s="6">
        <f t="shared" si="622"/>
        <v>2</v>
      </c>
      <c r="U33" s="6">
        <f t="shared" si="519"/>
        <v>0</v>
      </c>
      <c r="V33" s="6">
        <f t="shared" si="623"/>
        <v>4</v>
      </c>
      <c r="W33" s="6">
        <f t="shared" si="520"/>
        <v>0</v>
      </c>
      <c r="X33" s="6">
        <f t="shared" si="624"/>
        <v>0</v>
      </c>
      <c r="Y33" s="6">
        <f t="shared" si="521"/>
        <v>0</v>
      </c>
      <c r="Z33" s="6">
        <f t="shared" si="625"/>
        <v>5</v>
      </c>
      <c r="AA33" s="6">
        <f t="shared" si="522"/>
        <v>1</v>
      </c>
      <c r="AB33" s="6">
        <f t="shared" si="626"/>
        <v>5</v>
      </c>
      <c r="AC33" s="6">
        <f t="shared" si="523"/>
        <v>0</v>
      </c>
      <c r="AD33" s="6">
        <f t="shared" si="627"/>
        <v>5</v>
      </c>
      <c r="AE33" s="6"/>
      <c r="AF33" s="6">
        <f t="shared" ref="AF33:AF34" si="766">IF($E33=4,G33-4,NA())</f>
        <v>1</v>
      </c>
      <c r="AG33" s="6"/>
      <c r="AH33" s="20">
        <f>G33-'Zusammenfassung Tag1-4'!$B$2/18</f>
        <v>3.8888888888888888</v>
      </c>
      <c r="AI33" s="21">
        <f t="shared" si="629"/>
        <v>104.11111111111106</v>
      </c>
      <c r="AJ33" s="18">
        <v>6</v>
      </c>
      <c r="AK33" s="6">
        <f t="shared" si="630"/>
        <v>118</v>
      </c>
      <c r="AL33" s="19">
        <v>1</v>
      </c>
      <c r="AM33" s="6">
        <f t="shared" si="631"/>
        <v>49</v>
      </c>
      <c r="AN33" s="6">
        <f t="shared" si="524"/>
        <v>0</v>
      </c>
      <c r="AO33" s="6">
        <f t="shared" si="632"/>
        <v>15</v>
      </c>
      <c r="AP33" s="6">
        <f t="shared" si="525"/>
        <v>0</v>
      </c>
      <c r="AQ33" s="6">
        <f t="shared" si="633"/>
        <v>3</v>
      </c>
      <c r="AR33" s="6">
        <f t="shared" si="526"/>
        <v>0</v>
      </c>
      <c r="AS33" s="6">
        <f t="shared" si="634"/>
        <v>1</v>
      </c>
      <c r="AT33" s="6">
        <f t="shared" si="527"/>
        <v>0</v>
      </c>
      <c r="AU33" s="6">
        <f t="shared" si="635"/>
        <v>4</v>
      </c>
      <c r="AV33" s="6">
        <f t="shared" si="528"/>
        <v>0</v>
      </c>
      <c r="AW33" s="6">
        <f t="shared" si="636"/>
        <v>2</v>
      </c>
      <c r="AX33" s="6">
        <f t="shared" si="529"/>
        <v>1</v>
      </c>
      <c r="AY33" s="6">
        <f t="shared" si="637"/>
        <v>1</v>
      </c>
      <c r="AZ33" s="6">
        <f t="shared" si="530"/>
        <v>0</v>
      </c>
      <c r="BA33" s="6">
        <f t="shared" si="638"/>
        <v>0</v>
      </c>
      <c r="BB33" s="6">
        <f t="shared" si="531"/>
        <v>1</v>
      </c>
      <c r="BC33" s="6">
        <f t="shared" si="639"/>
        <v>6</v>
      </c>
      <c r="BD33" s="6">
        <f t="shared" si="532"/>
        <v>0</v>
      </c>
      <c r="BE33" s="6">
        <f t="shared" si="640"/>
        <v>6</v>
      </c>
      <c r="BF33" s="6">
        <f t="shared" si="533"/>
        <v>0</v>
      </c>
      <c r="BG33" s="6">
        <f t="shared" si="641"/>
        <v>3</v>
      </c>
      <c r="BH33" s="6"/>
      <c r="BI33" s="6">
        <f t="shared" ref="BI33:BI34" si="767">IF($E33=4,AJ33-4,NA())</f>
        <v>2</v>
      </c>
      <c r="BJ33" s="6"/>
      <c r="BK33" s="20">
        <f>AJ33-'Zusammenfassung Tag1-4'!$C$2/18</f>
        <v>5.333333333333333</v>
      </c>
      <c r="BL33" s="21">
        <f t="shared" si="643"/>
        <v>100.66666666666664</v>
      </c>
      <c r="BM33" s="18">
        <v>5</v>
      </c>
      <c r="BN33" s="6">
        <f t="shared" si="644"/>
        <v>145</v>
      </c>
      <c r="BO33" s="19">
        <v>2</v>
      </c>
      <c r="BP33" s="6">
        <f t="shared" si="645"/>
        <v>53</v>
      </c>
      <c r="BQ33" s="6">
        <f t="shared" si="534"/>
        <v>0</v>
      </c>
      <c r="BR33" s="6">
        <f t="shared" si="646"/>
        <v>5</v>
      </c>
      <c r="BS33" s="6">
        <f t="shared" si="535"/>
        <v>0</v>
      </c>
      <c r="BT33" s="6">
        <f t="shared" si="647"/>
        <v>2</v>
      </c>
      <c r="BU33" s="6">
        <f t="shared" si="536"/>
        <v>0</v>
      </c>
      <c r="BV33" s="6">
        <f t="shared" si="648"/>
        <v>0</v>
      </c>
      <c r="BW33" s="6">
        <f t="shared" si="537"/>
        <v>0</v>
      </c>
      <c r="BX33" s="6">
        <f t="shared" si="649"/>
        <v>2</v>
      </c>
      <c r="BY33" s="6">
        <f t="shared" si="538"/>
        <v>1</v>
      </c>
      <c r="BZ33" s="6">
        <f t="shared" si="650"/>
        <v>1</v>
      </c>
      <c r="CA33" s="6">
        <f t="shared" si="539"/>
        <v>0</v>
      </c>
      <c r="CB33" s="6">
        <f t="shared" si="651"/>
        <v>5</v>
      </c>
      <c r="CC33" s="6">
        <f t="shared" si="540"/>
        <v>0</v>
      </c>
      <c r="CD33" s="6">
        <f t="shared" si="652"/>
        <v>0</v>
      </c>
      <c r="CE33" s="6">
        <f t="shared" si="541"/>
        <v>0</v>
      </c>
      <c r="CF33" s="6">
        <f t="shared" si="653"/>
        <v>4</v>
      </c>
      <c r="CG33" s="6">
        <f t="shared" si="542"/>
        <v>1</v>
      </c>
      <c r="CH33" s="6">
        <f t="shared" si="654"/>
        <v>5</v>
      </c>
      <c r="CI33" s="6">
        <f t="shared" si="543"/>
        <v>0</v>
      </c>
      <c r="CJ33" s="6">
        <f t="shared" si="655"/>
        <v>5</v>
      </c>
      <c r="CK33" s="6"/>
      <c r="CL33" s="6">
        <f t="shared" ref="CL33:CL34" si="768">IF($E33=4,BM33-4,NA())</f>
        <v>1</v>
      </c>
      <c r="CM33" s="6"/>
      <c r="CN33" s="20">
        <f>BM33-'Zusammenfassung Tag1-4'!$D$2/18</f>
        <v>3.666666666666667</v>
      </c>
      <c r="CO33" s="21">
        <f t="shared" si="657"/>
        <v>110.33333333333336</v>
      </c>
      <c r="CP33" s="18">
        <v>5</v>
      </c>
      <c r="CQ33" s="6">
        <f t="shared" si="658"/>
        <v>140</v>
      </c>
      <c r="CR33" s="19">
        <v>1</v>
      </c>
      <c r="CS33" s="6">
        <f t="shared" si="659"/>
        <v>54</v>
      </c>
      <c r="CT33" s="6">
        <f t="shared" si="544"/>
        <v>0</v>
      </c>
      <c r="CU33" s="6">
        <f t="shared" si="660"/>
        <v>5</v>
      </c>
      <c r="CV33" s="6">
        <f t="shared" si="545"/>
        <v>0</v>
      </c>
      <c r="CW33" s="6">
        <f t="shared" si="661"/>
        <v>2</v>
      </c>
      <c r="CX33" s="6">
        <f t="shared" si="546"/>
        <v>0</v>
      </c>
      <c r="CY33" s="6">
        <f t="shared" si="662"/>
        <v>0</v>
      </c>
      <c r="CZ33" s="6">
        <f t="shared" si="547"/>
        <v>0</v>
      </c>
      <c r="DA33" s="6">
        <f t="shared" si="663"/>
        <v>1</v>
      </c>
      <c r="DB33" s="6">
        <f t="shared" si="548"/>
        <v>1</v>
      </c>
      <c r="DC33" s="6">
        <f t="shared" si="664"/>
        <v>6</v>
      </c>
      <c r="DD33" s="6">
        <f t="shared" si="549"/>
        <v>0</v>
      </c>
      <c r="DE33" s="6">
        <f t="shared" si="665"/>
        <v>1</v>
      </c>
      <c r="DF33" s="6">
        <f t="shared" si="550"/>
        <v>0</v>
      </c>
      <c r="DG33" s="6">
        <f t="shared" si="666"/>
        <v>0</v>
      </c>
      <c r="DH33" s="6">
        <f t="shared" si="551"/>
        <v>1</v>
      </c>
      <c r="DI33" s="6">
        <f t="shared" si="667"/>
        <v>4</v>
      </c>
      <c r="DJ33" s="6">
        <f t="shared" si="552"/>
        <v>0</v>
      </c>
      <c r="DK33" s="6">
        <f t="shared" si="668"/>
        <v>6</v>
      </c>
      <c r="DL33" s="6">
        <f t="shared" si="553"/>
        <v>0</v>
      </c>
      <c r="DM33" s="6">
        <f t="shared" si="669"/>
        <v>6</v>
      </c>
      <c r="DN33" s="6"/>
      <c r="DO33" s="6">
        <f t="shared" ref="DO33:DO34" si="769">IF($E33=4,CP33-4,NA())</f>
        <v>1</v>
      </c>
      <c r="DP33" s="6"/>
      <c r="DQ33" s="20">
        <f>CP33-'Zusammenfassung Tag1-4'!$E$2/18</f>
        <v>3.7222222222222223</v>
      </c>
      <c r="DR33" s="22">
        <f t="shared" si="671"/>
        <v>106.77777777777783</v>
      </c>
      <c r="DS33" s="18">
        <v>6</v>
      </c>
      <c r="DT33" s="6">
        <f t="shared" si="672"/>
        <v>200</v>
      </c>
      <c r="DU33" s="19">
        <v>1</v>
      </c>
      <c r="DV33" s="6">
        <f t="shared" si="673"/>
        <v>59</v>
      </c>
      <c r="DW33" s="6">
        <f t="shared" si="554"/>
        <v>0</v>
      </c>
      <c r="DX33" s="6">
        <f t="shared" si="674"/>
        <v>1</v>
      </c>
      <c r="DY33" s="6">
        <f t="shared" si="555"/>
        <v>0</v>
      </c>
      <c r="DZ33" s="6">
        <f t="shared" si="675"/>
        <v>0</v>
      </c>
      <c r="EA33" s="6">
        <f t="shared" si="556"/>
        <v>0</v>
      </c>
      <c r="EB33" s="6">
        <f t="shared" si="676"/>
        <v>0</v>
      </c>
      <c r="EC33" s="6">
        <f t="shared" si="557"/>
        <v>0</v>
      </c>
      <c r="ED33" s="6">
        <f t="shared" si="677"/>
        <v>0</v>
      </c>
      <c r="EE33" s="6">
        <f t="shared" si="558"/>
        <v>0</v>
      </c>
      <c r="EF33" s="6">
        <f t="shared" si="678"/>
        <v>1</v>
      </c>
      <c r="EG33" s="6">
        <f t="shared" si="559"/>
        <v>1</v>
      </c>
      <c r="EH33" s="6">
        <f t="shared" si="679"/>
        <v>7</v>
      </c>
      <c r="EI33" s="6">
        <f t="shared" si="560"/>
        <v>0</v>
      </c>
      <c r="EJ33" s="6">
        <f t="shared" si="680"/>
        <v>0</v>
      </c>
      <c r="EK33" s="6">
        <f t="shared" si="561"/>
        <v>1</v>
      </c>
      <c r="EL33" s="6">
        <f t="shared" si="681"/>
        <v>1</v>
      </c>
      <c r="EM33" s="6">
        <f t="shared" si="562"/>
        <v>0</v>
      </c>
      <c r="EN33" s="6">
        <f t="shared" si="682"/>
        <v>5</v>
      </c>
      <c r="EO33" s="6">
        <f t="shared" si="563"/>
        <v>0</v>
      </c>
      <c r="EP33" s="6">
        <f t="shared" si="683"/>
        <v>7</v>
      </c>
      <c r="EQ33" s="6"/>
      <c r="ER33" s="6">
        <f t="shared" ref="ER33:ER34" si="770">IF($E33=4,DS33-4,NA())</f>
        <v>2</v>
      </c>
      <c r="ES33" s="6"/>
      <c r="ET33" s="20">
        <f>DS33-'Zusammenfassung Tag1-4'!$F$2/18</f>
        <v>3</v>
      </c>
      <c r="EU33" s="22">
        <f t="shared" si="685"/>
        <v>122</v>
      </c>
      <c r="EV33" s="18">
        <v>4</v>
      </c>
      <c r="EW33" s="6">
        <f t="shared" si="686"/>
        <v>144</v>
      </c>
      <c r="EX33" s="19">
        <v>2</v>
      </c>
      <c r="EY33" s="6">
        <f t="shared" si="687"/>
        <v>57</v>
      </c>
      <c r="EZ33" s="6">
        <f t="shared" si="564"/>
        <v>1</v>
      </c>
      <c r="FA33" s="6">
        <f t="shared" si="688"/>
        <v>6</v>
      </c>
      <c r="FB33" s="6">
        <f t="shared" si="565"/>
        <v>0</v>
      </c>
      <c r="FC33" s="6">
        <f t="shared" si="689"/>
        <v>0</v>
      </c>
      <c r="FD33" s="6">
        <f t="shared" si="566"/>
        <v>0</v>
      </c>
      <c r="FE33" s="6">
        <f t="shared" si="690"/>
        <v>1</v>
      </c>
      <c r="FF33" s="6">
        <f t="shared" si="567"/>
        <v>1</v>
      </c>
      <c r="FG33" s="6">
        <f t="shared" si="691"/>
        <v>1</v>
      </c>
      <c r="FH33" s="6">
        <f t="shared" si="568"/>
        <v>0</v>
      </c>
      <c r="FI33" s="6">
        <f t="shared" si="692"/>
        <v>2</v>
      </c>
      <c r="FJ33" s="6">
        <f t="shared" si="569"/>
        <v>0</v>
      </c>
      <c r="FK33" s="6">
        <f t="shared" si="693"/>
        <v>4</v>
      </c>
      <c r="FL33" s="6">
        <f t="shared" si="570"/>
        <v>0</v>
      </c>
      <c r="FM33" s="6">
        <f t="shared" si="694"/>
        <v>0</v>
      </c>
      <c r="FN33" s="6">
        <f t="shared" si="571"/>
        <v>0</v>
      </c>
      <c r="FO33" s="6">
        <f t="shared" si="695"/>
        <v>2</v>
      </c>
      <c r="FP33" s="6">
        <f t="shared" si="572"/>
        <v>1</v>
      </c>
      <c r="FQ33" s="6">
        <f t="shared" si="696"/>
        <v>7</v>
      </c>
      <c r="FR33" s="6">
        <f t="shared" si="573"/>
        <v>0</v>
      </c>
      <c r="FS33" s="6">
        <f t="shared" si="697"/>
        <v>7</v>
      </c>
      <c r="FT33" s="6"/>
      <c r="FU33" s="6">
        <f t="shared" ref="FU33:FU34" si="771">IF($E33=4,EV33-4,NA())</f>
        <v>0</v>
      </c>
      <c r="FV33" s="6"/>
      <c r="FW33" s="20">
        <f>EV33-'Zusammenfassung Tag1-4'!$G$2/18</f>
        <v>2.5</v>
      </c>
      <c r="FX33" s="22">
        <f t="shared" si="699"/>
        <v>105</v>
      </c>
      <c r="FY33" s="18">
        <v>9</v>
      </c>
      <c r="FZ33" s="6">
        <f t="shared" si="700"/>
        <v>194</v>
      </c>
      <c r="GA33" s="19">
        <v>3</v>
      </c>
      <c r="GB33" s="6">
        <f t="shared" si="701"/>
        <v>62</v>
      </c>
      <c r="GC33" s="6">
        <f t="shared" si="574"/>
        <v>0</v>
      </c>
      <c r="GD33" s="6">
        <f t="shared" si="702"/>
        <v>1</v>
      </c>
      <c r="GE33" s="6">
        <f t="shared" si="575"/>
        <v>0</v>
      </c>
      <c r="GF33" s="6">
        <f t="shared" si="703"/>
        <v>0</v>
      </c>
      <c r="GG33" s="6">
        <f t="shared" si="576"/>
        <v>0</v>
      </c>
      <c r="GH33" s="6">
        <f t="shared" si="704"/>
        <v>0</v>
      </c>
      <c r="GI33" s="6">
        <f t="shared" si="577"/>
        <v>0</v>
      </c>
      <c r="GJ33" s="6">
        <f t="shared" si="705"/>
        <v>0</v>
      </c>
      <c r="GK33" s="6">
        <f t="shared" si="578"/>
        <v>0</v>
      </c>
      <c r="GL33" s="6">
        <f t="shared" si="706"/>
        <v>1</v>
      </c>
      <c r="GM33" s="6">
        <f t="shared" si="579"/>
        <v>1</v>
      </c>
      <c r="GN33" s="6">
        <f t="shared" si="707"/>
        <v>7</v>
      </c>
      <c r="GO33" s="6">
        <f t="shared" si="580"/>
        <v>0</v>
      </c>
      <c r="GP33" s="6">
        <f t="shared" si="708"/>
        <v>0</v>
      </c>
      <c r="GQ33" s="6">
        <f t="shared" si="581"/>
        <v>0</v>
      </c>
      <c r="GR33" s="6">
        <f t="shared" si="709"/>
        <v>2</v>
      </c>
      <c r="GS33" s="6">
        <f t="shared" si="582"/>
        <v>0</v>
      </c>
      <c r="GT33" s="6">
        <f t="shared" si="710"/>
        <v>4</v>
      </c>
      <c r="GU33" s="6">
        <f t="shared" si="583"/>
        <v>1</v>
      </c>
      <c r="GV33" s="6">
        <f t="shared" si="711"/>
        <v>12</v>
      </c>
      <c r="GW33" s="6"/>
      <c r="GX33" s="6">
        <f t="shared" ref="GX33:GX34" si="772">IF($E33=4,FY33-4,NA())</f>
        <v>5</v>
      </c>
      <c r="GY33" s="6"/>
      <c r="GZ33" s="20">
        <f>FY33-'Zusammenfassung Tag1-4'!$H$2/18</f>
        <v>6</v>
      </c>
      <c r="HA33" s="22">
        <f t="shared" si="713"/>
        <v>116</v>
      </c>
      <c r="HB33" s="18">
        <v>5</v>
      </c>
      <c r="HC33" s="6">
        <f t="shared" si="714"/>
        <v>141</v>
      </c>
      <c r="HD33" s="19">
        <v>2</v>
      </c>
      <c r="HE33" s="6">
        <f t="shared" si="715"/>
        <v>55</v>
      </c>
      <c r="HF33" s="6">
        <f t="shared" si="584"/>
        <v>0</v>
      </c>
      <c r="HG33" s="6">
        <f t="shared" si="716"/>
        <v>7</v>
      </c>
      <c r="HH33" s="6">
        <f t="shared" si="585"/>
        <v>0</v>
      </c>
      <c r="HI33" s="6">
        <f t="shared" si="717"/>
        <v>3</v>
      </c>
      <c r="HJ33" s="6">
        <f t="shared" si="586"/>
        <v>0</v>
      </c>
      <c r="HK33" s="6">
        <f t="shared" si="718"/>
        <v>0</v>
      </c>
      <c r="HL33" s="6">
        <f t="shared" si="587"/>
        <v>0</v>
      </c>
      <c r="HM33" s="6">
        <f t="shared" si="719"/>
        <v>1</v>
      </c>
      <c r="HN33" s="6">
        <f t="shared" si="588"/>
        <v>1</v>
      </c>
      <c r="HO33" s="6">
        <f t="shared" si="720"/>
        <v>4</v>
      </c>
      <c r="HP33" s="6">
        <f t="shared" si="589"/>
        <v>0</v>
      </c>
      <c r="HQ33" s="6">
        <f t="shared" si="721"/>
        <v>3</v>
      </c>
      <c r="HR33" s="6">
        <f t="shared" si="590"/>
        <v>0</v>
      </c>
      <c r="HS33" s="6">
        <f t="shared" si="722"/>
        <v>0</v>
      </c>
      <c r="HT33" s="6">
        <f t="shared" si="591"/>
        <v>0</v>
      </c>
      <c r="HU33" s="6">
        <f t="shared" si="723"/>
        <v>3</v>
      </c>
      <c r="HV33" s="6">
        <f t="shared" si="592"/>
        <v>1</v>
      </c>
      <c r="HW33" s="6">
        <f t="shared" si="724"/>
        <v>6</v>
      </c>
      <c r="HX33" s="6">
        <f t="shared" si="593"/>
        <v>0</v>
      </c>
      <c r="HY33" s="6">
        <f t="shared" si="725"/>
        <v>6</v>
      </c>
      <c r="HZ33" s="6"/>
      <c r="IA33" s="6">
        <f t="shared" ref="IA33:IA34" si="773">IF($E33=4,HB33-4,NA())</f>
        <v>1</v>
      </c>
      <c r="IB33" s="6"/>
      <c r="IC33" s="20">
        <f>HB33-'Zusammenfassung Tag1-4'!$I$2/18</f>
        <v>4</v>
      </c>
      <c r="ID33" s="22">
        <f t="shared" si="727"/>
        <v>115</v>
      </c>
      <c r="IE33" s="18"/>
      <c r="IF33" s="6">
        <f t="shared" si="728"/>
        <v>0</v>
      </c>
      <c r="IG33" s="19"/>
      <c r="IH33" s="6">
        <f t="shared" si="729"/>
        <v>0</v>
      </c>
      <c r="II33" s="6">
        <f t="shared" si="594"/>
        <v>1</v>
      </c>
      <c r="IJ33" s="6">
        <f t="shared" si="730"/>
        <v>26</v>
      </c>
      <c r="IK33" s="6">
        <f t="shared" si="595"/>
        <v>0</v>
      </c>
      <c r="IL33" s="6">
        <f t="shared" si="731"/>
        <v>0</v>
      </c>
      <c r="IM33" s="6">
        <f t="shared" si="596"/>
        <v>0</v>
      </c>
      <c r="IN33" s="6">
        <f t="shared" si="732"/>
        <v>0</v>
      </c>
      <c r="IO33" s="6">
        <f t="shared" si="597"/>
        <v>0</v>
      </c>
      <c r="IP33" s="6">
        <f t="shared" si="733"/>
        <v>0</v>
      </c>
      <c r="IQ33" s="6">
        <f t="shared" si="598"/>
        <v>0</v>
      </c>
      <c r="IR33" s="6">
        <f t="shared" si="734"/>
        <v>0</v>
      </c>
      <c r="IS33" s="6">
        <f t="shared" si="599"/>
        <v>0</v>
      </c>
      <c r="IT33" s="6">
        <f t="shared" si="735"/>
        <v>0</v>
      </c>
      <c r="IU33" s="6">
        <f t="shared" si="600"/>
        <v>1</v>
      </c>
      <c r="IV33" s="6">
        <f t="shared" si="736"/>
        <v>8</v>
      </c>
      <c r="IW33" s="6">
        <f t="shared" si="601"/>
        <v>0</v>
      </c>
      <c r="IX33" s="6">
        <f t="shared" si="737"/>
        <v>0</v>
      </c>
      <c r="IY33" s="6">
        <f t="shared" si="602"/>
        <v>0</v>
      </c>
      <c r="IZ33" s="6">
        <f t="shared" si="738"/>
        <v>0</v>
      </c>
      <c r="JA33" s="6">
        <f t="shared" si="603"/>
        <v>0</v>
      </c>
      <c r="JB33" s="6">
        <f t="shared" si="739"/>
        <v>0</v>
      </c>
      <c r="JC33" s="6"/>
      <c r="JD33" s="6">
        <f t="shared" ref="JD33:JD34" si="774">IF($E33=4,IE33-4,NA())</f>
        <v>-4</v>
      </c>
      <c r="JE33" s="6"/>
      <c r="JF33" s="20">
        <f>IE33-'Zusammenfassung Tag1-4'!$J$2/18</f>
        <v>-3</v>
      </c>
      <c r="JG33" s="22">
        <f t="shared" si="741"/>
        <v>-78</v>
      </c>
      <c r="JH33" s="18"/>
      <c r="JI33" s="6">
        <f t="shared" si="742"/>
        <v>0</v>
      </c>
      <c r="JJ33" s="19"/>
      <c r="JK33" s="6">
        <f t="shared" si="743"/>
        <v>0</v>
      </c>
      <c r="JL33" s="6">
        <f t="shared" si="604"/>
        <v>1</v>
      </c>
      <c r="JM33" s="6">
        <f t="shared" si="744"/>
        <v>26</v>
      </c>
      <c r="JN33" s="6">
        <f t="shared" si="605"/>
        <v>0</v>
      </c>
      <c r="JO33" s="6">
        <f t="shared" si="745"/>
        <v>0</v>
      </c>
      <c r="JP33" s="6">
        <f t="shared" si="606"/>
        <v>0</v>
      </c>
      <c r="JQ33" s="6">
        <f t="shared" si="746"/>
        <v>0</v>
      </c>
      <c r="JR33" s="6">
        <f t="shared" si="607"/>
        <v>0</v>
      </c>
      <c r="JS33" s="6">
        <f t="shared" si="747"/>
        <v>0</v>
      </c>
      <c r="JT33" s="6">
        <f t="shared" si="608"/>
        <v>0</v>
      </c>
      <c r="JU33" s="6">
        <f t="shared" si="748"/>
        <v>0</v>
      </c>
      <c r="JV33" s="6">
        <f t="shared" si="609"/>
        <v>0</v>
      </c>
      <c r="JW33" s="6">
        <f t="shared" si="749"/>
        <v>0</v>
      </c>
      <c r="JX33" s="6">
        <f t="shared" si="610"/>
        <v>1</v>
      </c>
      <c r="JY33" s="6">
        <f t="shared" si="750"/>
        <v>8</v>
      </c>
      <c r="JZ33" s="6">
        <f t="shared" si="611"/>
        <v>0</v>
      </c>
      <c r="KA33" s="6">
        <f t="shared" si="751"/>
        <v>0</v>
      </c>
      <c r="KB33" s="6">
        <f t="shared" si="612"/>
        <v>0</v>
      </c>
      <c r="KC33" s="6">
        <f t="shared" si="752"/>
        <v>0</v>
      </c>
      <c r="KD33" s="6">
        <f t="shared" si="613"/>
        <v>0</v>
      </c>
      <c r="KE33" s="6">
        <f t="shared" si="753"/>
        <v>0</v>
      </c>
      <c r="KF33" s="6"/>
      <c r="KG33" s="6">
        <f t="shared" ref="KG33:KG34" si="775">IF($E33=4,JH33-4,NA())</f>
        <v>-4</v>
      </c>
      <c r="KH33" s="6"/>
      <c r="KI33" s="20">
        <f>JH33-'Zusammenfassung Tag1-4'!$K$2/18</f>
        <v>-0.77777777777777779</v>
      </c>
      <c r="KJ33" s="22">
        <f t="shared" si="755"/>
        <v>-20.222222222222232</v>
      </c>
      <c r="KK33" s="10"/>
      <c r="KL33" s="10"/>
      <c r="KM33" s="10"/>
      <c r="KN33" s="10"/>
      <c r="KO33" s="10"/>
      <c r="KP33" s="10"/>
      <c r="KQ33" s="10"/>
      <c r="KR33" s="10"/>
      <c r="KS33" s="10"/>
      <c r="KT33" s="10"/>
      <c r="KU33" s="10"/>
      <c r="KV33" s="10"/>
      <c r="KW33" s="10"/>
      <c r="KX33" s="10"/>
      <c r="KY33" s="10"/>
      <c r="KZ33" s="10"/>
      <c r="LA33" s="10"/>
      <c r="LB33" s="10"/>
      <c r="LC33" s="10"/>
      <c r="LD33" s="10"/>
    </row>
    <row r="34" spans="1:316" ht="15.75" customHeight="1" x14ac:dyDescent="0.25">
      <c r="A34" s="106"/>
      <c r="B34" s="103"/>
      <c r="C34" s="3">
        <v>9</v>
      </c>
      <c r="D34" s="3">
        <f t="shared" si="614"/>
        <v>27</v>
      </c>
      <c r="E34" s="3">
        <v>4</v>
      </c>
      <c r="F34" s="23">
        <f t="shared" si="615"/>
        <v>109</v>
      </c>
      <c r="G34" s="24">
        <v>4</v>
      </c>
      <c r="H34" s="3">
        <f t="shared" si="616"/>
        <v>137</v>
      </c>
      <c r="I34" s="25">
        <v>2</v>
      </c>
      <c r="J34" s="3">
        <f t="shared" si="617"/>
        <v>55</v>
      </c>
      <c r="K34" s="3">
        <f t="shared" si="514"/>
        <v>1</v>
      </c>
      <c r="L34" s="3">
        <f t="shared" si="618"/>
        <v>11</v>
      </c>
      <c r="M34" s="3">
        <f t="shared" si="515"/>
        <v>0</v>
      </c>
      <c r="N34" s="3">
        <f t="shared" si="619"/>
        <v>2</v>
      </c>
      <c r="O34" s="3">
        <f t="shared" si="516"/>
        <v>0</v>
      </c>
      <c r="P34" s="3">
        <f t="shared" si="620"/>
        <v>1</v>
      </c>
      <c r="Q34" s="3">
        <f t="shared" si="517"/>
        <v>1</v>
      </c>
      <c r="R34" s="3">
        <f t="shared" si="621"/>
        <v>3</v>
      </c>
      <c r="S34" s="3">
        <f t="shared" si="518"/>
        <v>0</v>
      </c>
      <c r="T34" s="3">
        <f t="shared" si="622"/>
        <v>2</v>
      </c>
      <c r="U34" s="3">
        <f t="shared" si="519"/>
        <v>0</v>
      </c>
      <c r="V34" s="3">
        <f t="shared" si="623"/>
        <v>4</v>
      </c>
      <c r="W34" s="3">
        <f t="shared" si="520"/>
        <v>0</v>
      </c>
      <c r="X34" s="3">
        <f t="shared" si="624"/>
        <v>0</v>
      </c>
      <c r="Y34" s="3">
        <f t="shared" si="521"/>
        <v>0</v>
      </c>
      <c r="Z34" s="3">
        <f t="shared" si="625"/>
        <v>5</v>
      </c>
      <c r="AA34" s="3">
        <f t="shared" si="522"/>
        <v>1</v>
      </c>
      <c r="AB34" s="3">
        <f t="shared" si="626"/>
        <v>6</v>
      </c>
      <c r="AC34" s="3">
        <f t="shared" si="523"/>
        <v>0</v>
      </c>
      <c r="AD34" s="3">
        <f t="shared" si="627"/>
        <v>5</v>
      </c>
      <c r="AE34" s="3"/>
      <c r="AF34" s="3">
        <f t="shared" si="766"/>
        <v>0</v>
      </c>
      <c r="AG34" s="3"/>
      <c r="AH34" s="26">
        <f>G34-'Zusammenfassung Tag1-4'!$B$2/18</f>
        <v>2.8888888888888888</v>
      </c>
      <c r="AI34" s="27">
        <f t="shared" si="629"/>
        <v>106.99999999999994</v>
      </c>
      <c r="AJ34" s="24">
        <v>4</v>
      </c>
      <c r="AK34" s="3">
        <f t="shared" si="630"/>
        <v>122</v>
      </c>
      <c r="AL34" s="25">
        <v>2</v>
      </c>
      <c r="AM34" s="3">
        <f t="shared" si="631"/>
        <v>51</v>
      </c>
      <c r="AN34" s="3">
        <f t="shared" si="524"/>
        <v>1</v>
      </c>
      <c r="AO34" s="3">
        <f t="shared" si="632"/>
        <v>16</v>
      </c>
      <c r="AP34" s="3">
        <f t="shared" si="525"/>
        <v>0</v>
      </c>
      <c r="AQ34" s="3">
        <f t="shared" si="633"/>
        <v>3</v>
      </c>
      <c r="AR34" s="3">
        <f t="shared" si="526"/>
        <v>0</v>
      </c>
      <c r="AS34" s="3">
        <f t="shared" si="634"/>
        <v>1</v>
      </c>
      <c r="AT34" s="3">
        <f t="shared" si="527"/>
        <v>1</v>
      </c>
      <c r="AU34" s="3">
        <f t="shared" si="635"/>
        <v>5</v>
      </c>
      <c r="AV34" s="3">
        <f t="shared" si="528"/>
        <v>0</v>
      </c>
      <c r="AW34" s="3">
        <f t="shared" si="636"/>
        <v>2</v>
      </c>
      <c r="AX34" s="3">
        <f t="shared" si="529"/>
        <v>0</v>
      </c>
      <c r="AY34" s="3">
        <f t="shared" si="637"/>
        <v>1</v>
      </c>
      <c r="AZ34" s="3">
        <f t="shared" si="530"/>
        <v>0</v>
      </c>
      <c r="BA34" s="3">
        <f t="shared" si="638"/>
        <v>0</v>
      </c>
      <c r="BB34" s="3">
        <f t="shared" si="531"/>
        <v>0</v>
      </c>
      <c r="BC34" s="3">
        <f t="shared" si="639"/>
        <v>6</v>
      </c>
      <c r="BD34" s="3">
        <f t="shared" si="532"/>
        <v>1</v>
      </c>
      <c r="BE34" s="3">
        <f t="shared" si="640"/>
        <v>7</v>
      </c>
      <c r="BF34" s="3">
        <f t="shared" si="533"/>
        <v>0</v>
      </c>
      <c r="BG34" s="3">
        <f t="shared" si="641"/>
        <v>3</v>
      </c>
      <c r="BH34" s="3"/>
      <c r="BI34" s="3">
        <f t="shared" si="767"/>
        <v>0</v>
      </c>
      <c r="BJ34" s="3"/>
      <c r="BK34" s="26">
        <f>AJ34-'Zusammenfassung Tag1-4'!$C$2/18</f>
        <v>3.3333333333333335</v>
      </c>
      <c r="BL34" s="27">
        <f t="shared" si="643"/>
        <v>103.99999999999997</v>
      </c>
      <c r="BM34" s="24">
        <v>6</v>
      </c>
      <c r="BN34" s="3">
        <f t="shared" si="644"/>
        <v>151</v>
      </c>
      <c r="BO34" s="25">
        <v>3</v>
      </c>
      <c r="BP34" s="3">
        <f t="shared" si="645"/>
        <v>56</v>
      </c>
      <c r="BQ34" s="3">
        <f t="shared" si="534"/>
        <v>0</v>
      </c>
      <c r="BR34" s="3">
        <f t="shared" si="646"/>
        <v>5</v>
      </c>
      <c r="BS34" s="3">
        <f t="shared" si="535"/>
        <v>0</v>
      </c>
      <c r="BT34" s="3">
        <f t="shared" si="647"/>
        <v>2</v>
      </c>
      <c r="BU34" s="3">
        <f t="shared" si="536"/>
        <v>0</v>
      </c>
      <c r="BV34" s="3">
        <f t="shared" si="648"/>
        <v>0</v>
      </c>
      <c r="BW34" s="3">
        <f t="shared" si="537"/>
        <v>0</v>
      </c>
      <c r="BX34" s="3">
        <f t="shared" si="649"/>
        <v>2</v>
      </c>
      <c r="BY34" s="3">
        <f t="shared" si="538"/>
        <v>0</v>
      </c>
      <c r="BZ34" s="3">
        <f t="shared" si="650"/>
        <v>1</v>
      </c>
      <c r="CA34" s="3">
        <f t="shared" si="539"/>
        <v>1</v>
      </c>
      <c r="CB34" s="3">
        <f t="shared" si="651"/>
        <v>6</v>
      </c>
      <c r="CC34" s="3">
        <f t="shared" si="540"/>
        <v>0</v>
      </c>
      <c r="CD34" s="3">
        <f t="shared" si="652"/>
        <v>0</v>
      </c>
      <c r="CE34" s="3">
        <f t="shared" si="541"/>
        <v>0</v>
      </c>
      <c r="CF34" s="3">
        <f t="shared" si="653"/>
        <v>4</v>
      </c>
      <c r="CG34" s="3">
        <f t="shared" si="542"/>
        <v>0</v>
      </c>
      <c r="CH34" s="3">
        <f t="shared" si="654"/>
        <v>5</v>
      </c>
      <c r="CI34" s="3">
        <f t="shared" si="543"/>
        <v>1</v>
      </c>
      <c r="CJ34" s="3">
        <f t="shared" si="655"/>
        <v>6</v>
      </c>
      <c r="CK34" s="3"/>
      <c r="CL34" s="3">
        <f t="shared" si="768"/>
        <v>2</v>
      </c>
      <c r="CM34" s="3"/>
      <c r="CN34" s="26">
        <f>BM34-'Zusammenfassung Tag1-4'!$D$2/18</f>
        <v>4.666666666666667</v>
      </c>
      <c r="CO34" s="27">
        <f t="shared" si="657"/>
        <v>115.00000000000003</v>
      </c>
      <c r="CP34" s="24">
        <v>4</v>
      </c>
      <c r="CQ34" s="3">
        <f t="shared" si="658"/>
        <v>144</v>
      </c>
      <c r="CR34" s="25">
        <v>1</v>
      </c>
      <c r="CS34" s="3">
        <f t="shared" si="659"/>
        <v>55</v>
      </c>
      <c r="CT34" s="3">
        <f t="shared" si="544"/>
        <v>0</v>
      </c>
      <c r="CU34" s="3">
        <f t="shared" si="660"/>
        <v>5</v>
      </c>
      <c r="CV34" s="3">
        <f t="shared" si="545"/>
        <v>1</v>
      </c>
      <c r="CW34" s="3">
        <f t="shared" si="661"/>
        <v>3</v>
      </c>
      <c r="CX34" s="3">
        <f t="shared" si="546"/>
        <v>0</v>
      </c>
      <c r="CY34" s="3">
        <f t="shared" si="662"/>
        <v>0</v>
      </c>
      <c r="CZ34" s="3">
        <f t="shared" si="547"/>
        <v>1</v>
      </c>
      <c r="DA34" s="3">
        <f t="shared" si="663"/>
        <v>2</v>
      </c>
      <c r="DB34" s="3">
        <f t="shared" si="548"/>
        <v>0</v>
      </c>
      <c r="DC34" s="3">
        <f t="shared" si="664"/>
        <v>6</v>
      </c>
      <c r="DD34" s="3">
        <f t="shared" si="549"/>
        <v>0</v>
      </c>
      <c r="DE34" s="3">
        <f t="shared" si="665"/>
        <v>1</v>
      </c>
      <c r="DF34" s="3">
        <f t="shared" si="550"/>
        <v>0</v>
      </c>
      <c r="DG34" s="3">
        <f t="shared" si="666"/>
        <v>0</v>
      </c>
      <c r="DH34" s="3">
        <f t="shared" si="551"/>
        <v>1</v>
      </c>
      <c r="DI34" s="3">
        <f t="shared" si="667"/>
        <v>5</v>
      </c>
      <c r="DJ34" s="3">
        <f t="shared" si="552"/>
        <v>0</v>
      </c>
      <c r="DK34" s="3">
        <f t="shared" si="668"/>
        <v>6</v>
      </c>
      <c r="DL34" s="3">
        <f t="shared" si="553"/>
        <v>0</v>
      </c>
      <c r="DM34" s="3">
        <f t="shared" si="669"/>
        <v>6</v>
      </c>
      <c r="DN34" s="3"/>
      <c r="DO34" s="3">
        <f t="shared" si="769"/>
        <v>0</v>
      </c>
      <c r="DP34" s="3"/>
      <c r="DQ34" s="26">
        <f>CP34-'Zusammenfassung Tag1-4'!$E$2/18</f>
        <v>2.7222222222222223</v>
      </c>
      <c r="DR34" s="28">
        <f t="shared" si="671"/>
        <v>109.50000000000006</v>
      </c>
      <c r="DS34" s="24">
        <v>7</v>
      </c>
      <c r="DT34" s="3">
        <f t="shared" si="672"/>
        <v>207</v>
      </c>
      <c r="DU34" s="25">
        <v>2</v>
      </c>
      <c r="DV34" s="3">
        <f t="shared" si="673"/>
        <v>61</v>
      </c>
      <c r="DW34" s="3">
        <f t="shared" si="554"/>
        <v>0</v>
      </c>
      <c r="DX34" s="3">
        <f t="shared" si="674"/>
        <v>1</v>
      </c>
      <c r="DY34" s="3">
        <f t="shared" si="555"/>
        <v>0</v>
      </c>
      <c r="DZ34" s="3">
        <f t="shared" si="675"/>
        <v>0</v>
      </c>
      <c r="EA34" s="3">
        <f t="shared" si="556"/>
        <v>0</v>
      </c>
      <c r="EB34" s="3">
        <f t="shared" si="676"/>
        <v>0</v>
      </c>
      <c r="EC34" s="3">
        <f t="shared" si="557"/>
        <v>0</v>
      </c>
      <c r="ED34" s="3">
        <f t="shared" si="677"/>
        <v>0</v>
      </c>
      <c r="EE34" s="3">
        <f t="shared" si="558"/>
        <v>0</v>
      </c>
      <c r="EF34" s="3">
        <f t="shared" si="678"/>
        <v>1</v>
      </c>
      <c r="EG34" s="3">
        <f t="shared" si="559"/>
        <v>1</v>
      </c>
      <c r="EH34" s="3">
        <f t="shared" si="679"/>
        <v>8</v>
      </c>
      <c r="EI34" s="3">
        <f t="shared" si="560"/>
        <v>0</v>
      </c>
      <c r="EJ34" s="3">
        <f t="shared" si="680"/>
        <v>0</v>
      </c>
      <c r="EK34" s="3">
        <f t="shared" si="561"/>
        <v>0</v>
      </c>
      <c r="EL34" s="3">
        <f t="shared" si="681"/>
        <v>1</v>
      </c>
      <c r="EM34" s="3">
        <f t="shared" si="562"/>
        <v>1</v>
      </c>
      <c r="EN34" s="3">
        <f t="shared" si="682"/>
        <v>6</v>
      </c>
      <c r="EO34" s="3">
        <f t="shared" si="563"/>
        <v>0</v>
      </c>
      <c r="EP34" s="3">
        <f t="shared" si="683"/>
        <v>7</v>
      </c>
      <c r="EQ34" s="3"/>
      <c r="ER34" s="3">
        <f t="shared" si="770"/>
        <v>3</v>
      </c>
      <c r="ES34" s="3"/>
      <c r="ET34" s="26">
        <f>DS34-'Zusammenfassung Tag1-4'!$F$2/18</f>
        <v>4</v>
      </c>
      <c r="EU34" s="28">
        <f t="shared" si="685"/>
        <v>126</v>
      </c>
      <c r="EV34" s="24">
        <v>7</v>
      </c>
      <c r="EW34" s="3">
        <f t="shared" si="686"/>
        <v>151</v>
      </c>
      <c r="EX34" s="25">
        <v>2</v>
      </c>
      <c r="EY34" s="3">
        <f t="shared" si="687"/>
        <v>59</v>
      </c>
      <c r="EZ34" s="3">
        <f t="shared" si="564"/>
        <v>0</v>
      </c>
      <c r="FA34" s="3">
        <f t="shared" si="688"/>
        <v>6</v>
      </c>
      <c r="FB34" s="3">
        <f t="shared" si="565"/>
        <v>0</v>
      </c>
      <c r="FC34" s="3">
        <f t="shared" si="689"/>
        <v>0</v>
      </c>
      <c r="FD34" s="3">
        <f t="shared" si="566"/>
        <v>0</v>
      </c>
      <c r="FE34" s="3">
        <f t="shared" si="690"/>
        <v>1</v>
      </c>
      <c r="FF34" s="3">
        <f t="shared" si="567"/>
        <v>0</v>
      </c>
      <c r="FG34" s="3">
        <f t="shared" si="691"/>
        <v>1</v>
      </c>
      <c r="FH34" s="3">
        <f t="shared" si="568"/>
        <v>0</v>
      </c>
      <c r="FI34" s="3">
        <f t="shared" si="692"/>
        <v>2</v>
      </c>
      <c r="FJ34" s="3">
        <f t="shared" si="569"/>
        <v>1</v>
      </c>
      <c r="FK34" s="3">
        <f t="shared" si="693"/>
        <v>5</v>
      </c>
      <c r="FL34" s="3">
        <f t="shared" si="570"/>
        <v>0</v>
      </c>
      <c r="FM34" s="3">
        <f t="shared" si="694"/>
        <v>0</v>
      </c>
      <c r="FN34" s="3">
        <f t="shared" si="571"/>
        <v>0</v>
      </c>
      <c r="FO34" s="3">
        <f t="shared" si="695"/>
        <v>2</v>
      </c>
      <c r="FP34" s="3">
        <f t="shared" si="572"/>
        <v>1</v>
      </c>
      <c r="FQ34" s="3">
        <f t="shared" si="696"/>
        <v>8</v>
      </c>
      <c r="FR34" s="3">
        <f t="shared" si="573"/>
        <v>0</v>
      </c>
      <c r="FS34" s="3">
        <f t="shared" si="697"/>
        <v>7</v>
      </c>
      <c r="FT34" s="3"/>
      <c r="FU34" s="3">
        <f t="shared" si="771"/>
        <v>3</v>
      </c>
      <c r="FV34" s="3"/>
      <c r="FW34" s="26">
        <f>EV34-'Zusammenfassung Tag1-4'!$G$2/18</f>
        <v>5.5</v>
      </c>
      <c r="FX34" s="28">
        <f t="shared" si="699"/>
        <v>110.5</v>
      </c>
      <c r="FY34" s="24">
        <v>7</v>
      </c>
      <c r="FZ34" s="3">
        <f t="shared" si="700"/>
        <v>201</v>
      </c>
      <c r="GA34" s="25">
        <v>3</v>
      </c>
      <c r="GB34" s="3">
        <f t="shared" si="701"/>
        <v>65</v>
      </c>
      <c r="GC34" s="3">
        <f t="shared" si="574"/>
        <v>0</v>
      </c>
      <c r="GD34" s="3">
        <f t="shared" si="702"/>
        <v>1</v>
      </c>
      <c r="GE34" s="3">
        <f t="shared" si="575"/>
        <v>0</v>
      </c>
      <c r="GF34" s="3">
        <f t="shared" si="703"/>
        <v>0</v>
      </c>
      <c r="GG34" s="3">
        <f t="shared" si="576"/>
        <v>0</v>
      </c>
      <c r="GH34" s="3">
        <f t="shared" si="704"/>
        <v>0</v>
      </c>
      <c r="GI34" s="3">
        <f t="shared" si="577"/>
        <v>0</v>
      </c>
      <c r="GJ34" s="3">
        <f t="shared" si="705"/>
        <v>0</v>
      </c>
      <c r="GK34" s="3">
        <f t="shared" si="578"/>
        <v>0</v>
      </c>
      <c r="GL34" s="3">
        <f t="shared" si="706"/>
        <v>1</v>
      </c>
      <c r="GM34" s="3">
        <f t="shared" si="579"/>
        <v>1</v>
      </c>
      <c r="GN34" s="3">
        <f t="shared" si="707"/>
        <v>8</v>
      </c>
      <c r="GO34" s="3">
        <f t="shared" si="580"/>
        <v>0</v>
      </c>
      <c r="GP34" s="3">
        <f t="shared" si="708"/>
        <v>0</v>
      </c>
      <c r="GQ34" s="3">
        <f t="shared" si="581"/>
        <v>0</v>
      </c>
      <c r="GR34" s="3">
        <f t="shared" si="709"/>
        <v>2</v>
      </c>
      <c r="GS34" s="3">
        <f t="shared" si="582"/>
        <v>0</v>
      </c>
      <c r="GT34" s="3">
        <f t="shared" si="710"/>
        <v>4</v>
      </c>
      <c r="GU34" s="3">
        <f t="shared" si="583"/>
        <v>1</v>
      </c>
      <c r="GV34" s="3">
        <f t="shared" si="711"/>
        <v>13</v>
      </c>
      <c r="GW34" s="3"/>
      <c r="GX34" s="3">
        <f t="shared" si="772"/>
        <v>3</v>
      </c>
      <c r="GY34" s="3"/>
      <c r="GZ34" s="26">
        <f>FY34-'Zusammenfassung Tag1-4'!$H$2/18</f>
        <v>4</v>
      </c>
      <c r="HA34" s="28">
        <f t="shared" si="713"/>
        <v>120</v>
      </c>
      <c r="HB34" s="24">
        <v>5</v>
      </c>
      <c r="HC34" s="3">
        <f t="shared" si="714"/>
        <v>146</v>
      </c>
      <c r="HD34" s="25">
        <v>2</v>
      </c>
      <c r="HE34" s="3">
        <f t="shared" si="715"/>
        <v>57</v>
      </c>
      <c r="HF34" s="3">
        <f t="shared" si="584"/>
        <v>0</v>
      </c>
      <c r="HG34" s="3">
        <f t="shared" si="716"/>
        <v>7</v>
      </c>
      <c r="HH34" s="3">
        <f t="shared" si="585"/>
        <v>0</v>
      </c>
      <c r="HI34" s="3">
        <f t="shared" si="717"/>
        <v>3</v>
      </c>
      <c r="HJ34" s="3">
        <f t="shared" si="586"/>
        <v>0</v>
      </c>
      <c r="HK34" s="3">
        <f t="shared" si="718"/>
        <v>0</v>
      </c>
      <c r="HL34" s="3">
        <f t="shared" si="587"/>
        <v>0</v>
      </c>
      <c r="HM34" s="3">
        <f t="shared" si="719"/>
        <v>1</v>
      </c>
      <c r="HN34" s="3">
        <f t="shared" si="588"/>
        <v>1</v>
      </c>
      <c r="HO34" s="3">
        <f t="shared" si="720"/>
        <v>5</v>
      </c>
      <c r="HP34" s="3">
        <f t="shared" si="589"/>
        <v>0</v>
      </c>
      <c r="HQ34" s="3">
        <f t="shared" si="721"/>
        <v>3</v>
      </c>
      <c r="HR34" s="3">
        <f t="shared" si="590"/>
        <v>0</v>
      </c>
      <c r="HS34" s="3">
        <f t="shared" si="722"/>
        <v>0</v>
      </c>
      <c r="HT34" s="3">
        <f t="shared" si="591"/>
        <v>0</v>
      </c>
      <c r="HU34" s="3">
        <f t="shared" si="723"/>
        <v>3</v>
      </c>
      <c r="HV34" s="3">
        <f t="shared" si="592"/>
        <v>1</v>
      </c>
      <c r="HW34" s="3">
        <f t="shared" si="724"/>
        <v>7</v>
      </c>
      <c r="HX34" s="3">
        <f t="shared" si="593"/>
        <v>0</v>
      </c>
      <c r="HY34" s="3">
        <f t="shared" si="725"/>
        <v>6</v>
      </c>
      <c r="HZ34" s="3"/>
      <c r="IA34" s="3">
        <f t="shared" si="773"/>
        <v>1</v>
      </c>
      <c r="IB34" s="3"/>
      <c r="IC34" s="26">
        <f>HB34-'Zusammenfassung Tag1-4'!$I$2/18</f>
        <v>4</v>
      </c>
      <c r="ID34" s="28">
        <f t="shared" si="727"/>
        <v>119</v>
      </c>
      <c r="IE34" s="24"/>
      <c r="IF34" s="3">
        <f t="shared" si="728"/>
        <v>0</v>
      </c>
      <c r="IG34" s="25"/>
      <c r="IH34" s="3">
        <f t="shared" si="729"/>
        <v>0</v>
      </c>
      <c r="II34" s="3">
        <f t="shared" si="594"/>
        <v>1</v>
      </c>
      <c r="IJ34" s="3">
        <f t="shared" si="730"/>
        <v>27</v>
      </c>
      <c r="IK34" s="3">
        <f t="shared" si="595"/>
        <v>0</v>
      </c>
      <c r="IL34" s="3">
        <f t="shared" si="731"/>
        <v>0</v>
      </c>
      <c r="IM34" s="3">
        <f t="shared" si="596"/>
        <v>0</v>
      </c>
      <c r="IN34" s="3">
        <f t="shared" si="732"/>
        <v>0</v>
      </c>
      <c r="IO34" s="3">
        <f t="shared" si="597"/>
        <v>0</v>
      </c>
      <c r="IP34" s="3">
        <f t="shared" si="733"/>
        <v>0</v>
      </c>
      <c r="IQ34" s="3">
        <f t="shared" si="598"/>
        <v>0</v>
      </c>
      <c r="IR34" s="3">
        <f t="shared" si="734"/>
        <v>0</v>
      </c>
      <c r="IS34" s="3">
        <f t="shared" si="599"/>
        <v>0</v>
      </c>
      <c r="IT34" s="3">
        <f t="shared" si="735"/>
        <v>0</v>
      </c>
      <c r="IU34" s="3">
        <f t="shared" si="600"/>
        <v>1</v>
      </c>
      <c r="IV34" s="3">
        <f t="shared" si="736"/>
        <v>9</v>
      </c>
      <c r="IW34" s="3">
        <f t="shared" si="601"/>
        <v>0</v>
      </c>
      <c r="IX34" s="3">
        <f t="shared" si="737"/>
        <v>0</v>
      </c>
      <c r="IY34" s="3">
        <f t="shared" si="602"/>
        <v>0</v>
      </c>
      <c r="IZ34" s="3">
        <f t="shared" si="738"/>
        <v>0</v>
      </c>
      <c r="JA34" s="3">
        <f t="shared" si="603"/>
        <v>0</v>
      </c>
      <c r="JB34" s="3">
        <f t="shared" si="739"/>
        <v>0</v>
      </c>
      <c r="JC34" s="3"/>
      <c r="JD34" s="3">
        <f t="shared" si="774"/>
        <v>-4</v>
      </c>
      <c r="JE34" s="3"/>
      <c r="JF34" s="26">
        <f>IE34-'Zusammenfassung Tag1-4'!$J$2/18</f>
        <v>-3</v>
      </c>
      <c r="JG34" s="28">
        <f t="shared" si="741"/>
        <v>-81</v>
      </c>
      <c r="JH34" s="24"/>
      <c r="JI34" s="3">
        <f t="shared" si="742"/>
        <v>0</v>
      </c>
      <c r="JJ34" s="25"/>
      <c r="JK34" s="3">
        <f t="shared" si="743"/>
        <v>0</v>
      </c>
      <c r="JL34" s="3">
        <f t="shared" si="604"/>
        <v>1</v>
      </c>
      <c r="JM34" s="3">
        <f t="shared" si="744"/>
        <v>27</v>
      </c>
      <c r="JN34" s="3">
        <f t="shared" si="605"/>
        <v>0</v>
      </c>
      <c r="JO34" s="3">
        <f t="shared" si="745"/>
        <v>0</v>
      </c>
      <c r="JP34" s="3">
        <f t="shared" si="606"/>
        <v>0</v>
      </c>
      <c r="JQ34" s="3">
        <f t="shared" si="746"/>
        <v>0</v>
      </c>
      <c r="JR34" s="3">
        <f t="shared" si="607"/>
        <v>0</v>
      </c>
      <c r="JS34" s="3">
        <f t="shared" si="747"/>
        <v>0</v>
      </c>
      <c r="JT34" s="3">
        <f t="shared" si="608"/>
        <v>0</v>
      </c>
      <c r="JU34" s="3">
        <f t="shared" si="748"/>
        <v>0</v>
      </c>
      <c r="JV34" s="3">
        <f t="shared" si="609"/>
        <v>0</v>
      </c>
      <c r="JW34" s="3">
        <f t="shared" si="749"/>
        <v>0</v>
      </c>
      <c r="JX34" s="3">
        <f t="shared" si="610"/>
        <v>1</v>
      </c>
      <c r="JY34" s="3">
        <f t="shared" si="750"/>
        <v>9</v>
      </c>
      <c r="JZ34" s="3">
        <f t="shared" si="611"/>
        <v>0</v>
      </c>
      <c r="KA34" s="3">
        <f t="shared" si="751"/>
        <v>0</v>
      </c>
      <c r="KB34" s="3">
        <f t="shared" si="612"/>
        <v>0</v>
      </c>
      <c r="KC34" s="3">
        <f t="shared" si="752"/>
        <v>0</v>
      </c>
      <c r="KD34" s="3">
        <f t="shared" si="613"/>
        <v>0</v>
      </c>
      <c r="KE34" s="3">
        <f t="shared" si="753"/>
        <v>0</v>
      </c>
      <c r="KF34" s="3"/>
      <c r="KG34" s="3">
        <f t="shared" si="775"/>
        <v>-4</v>
      </c>
      <c r="KH34" s="3"/>
      <c r="KI34" s="26">
        <f>JH34-'Zusammenfassung Tag1-4'!$K$2/18</f>
        <v>-0.77777777777777779</v>
      </c>
      <c r="KJ34" s="28">
        <f t="shared" si="755"/>
        <v>-21.000000000000011</v>
      </c>
      <c r="KK34" s="10"/>
      <c r="KL34" s="10"/>
      <c r="KM34" s="10"/>
      <c r="KN34" s="10"/>
      <c r="KO34" s="10"/>
      <c r="KP34" s="10"/>
      <c r="KQ34" s="10"/>
      <c r="KR34" s="10"/>
      <c r="KS34" s="10"/>
      <c r="KT34" s="10"/>
      <c r="KU34" s="10"/>
      <c r="KV34" s="10"/>
      <c r="KW34" s="10"/>
      <c r="KX34" s="10"/>
      <c r="KY34" s="10"/>
      <c r="KZ34" s="10"/>
      <c r="LA34" s="10"/>
      <c r="LB34" s="10"/>
      <c r="LC34" s="10"/>
      <c r="LD34" s="10"/>
    </row>
    <row r="35" spans="1:316" ht="15.75" customHeight="1" x14ac:dyDescent="0.25">
      <c r="A35" s="106"/>
      <c r="B35" s="104"/>
      <c r="C35" s="3" t="s">
        <v>47</v>
      </c>
      <c r="D35" s="3"/>
      <c r="E35" s="3">
        <f>SUM(E26:E34)</f>
        <v>37</v>
      </c>
      <c r="F35" s="23"/>
      <c r="G35" s="29">
        <f>SUM(G26:G34)</f>
        <v>50</v>
      </c>
      <c r="H35" s="3"/>
      <c r="I35" s="3">
        <f>SUM(I26:I34)</f>
        <v>19</v>
      </c>
      <c r="J35" s="3"/>
      <c r="K35" s="3">
        <f>SUM(K26:K34)</f>
        <v>3</v>
      </c>
      <c r="L35" s="3"/>
      <c r="M35" s="3">
        <f>SUM(M26:M34)</f>
        <v>1</v>
      </c>
      <c r="N35" s="3"/>
      <c r="O35" s="3">
        <f>SUM(O26:O34)</f>
        <v>0</v>
      </c>
      <c r="P35" s="3"/>
      <c r="Q35" s="3">
        <f>SUM(Q26:Q34)</f>
        <v>3</v>
      </c>
      <c r="R35" s="3"/>
      <c r="S35" s="3">
        <f>SUM(S26:S34)</f>
        <v>2</v>
      </c>
      <c r="T35" s="3"/>
      <c r="U35" s="3">
        <f>SUM(U26:U34)</f>
        <v>4</v>
      </c>
      <c r="V35" s="3"/>
      <c r="W35" s="3">
        <f>SUM(W26:W34)</f>
        <v>0</v>
      </c>
      <c r="X35" s="3"/>
      <c r="Y35" s="3">
        <f>SUM(Y26:Y34)</f>
        <v>1</v>
      </c>
      <c r="Z35" s="3"/>
      <c r="AA35" s="3">
        <f>SUM(AA26:AA34)</f>
        <v>6</v>
      </c>
      <c r="AB35" s="3"/>
      <c r="AC35" s="3">
        <f>SUM(AC26:AC34)</f>
        <v>2</v>
      </c>
      <c r="AD35" s="3"/>
      <c r="AE35" s="3">
        <f t="shared" ref="AE35:AG35" si="776">AVERAGE(AE26:AE34)</f>
        <v>1</v>
      </c>
      <c r="AF35" s="26">
        <f t="shared" si="776"/>
        <v>2</v>
      </c>
      <c r="AG35" s="26">
        <f t="shared" si="776"/>
        <v>0</v>
      </c>
      <c r="AH35" s="26">
        <f>SUM(AH26:AH34)</f>
        <v>39.999999999999993</v>
      </c>
      <c r="AI35" s="23"/>
      <c r="AJ35" s="29">
        <f>SUM(AJ26:AJ34)</f>
        <v>40</v>
      </c>
      <c r="AK35" s="3"/>
      <c r="AL35" s="3">
        <f>SUM(AL26:AL34)</f>
        <v>16</v>
      </c>
      <c r="AM35" s="3"/>
      <c r="AN35" s="3">
        <f>SUM(AN26:AN34)</f>
        <v>6</v>
      </c>
      <c r="AO35" s="3"/>
      <c r="AP35" s="3">
        <f>SUM(AP26:AP34)</f>
        <v>0</v>
      </c>
      <c r="AQ35" s="3"/>
      <c r="AR35" s="3">
        <f>SUM(AR26:AR34)</f>
        <v>1</v>
      </c>
      <c r="AS35" s="3"/>
      <c r="AT35" s="3">
        <f>SUM(AT26:AT34)</f>
        <v>5</v>
      </c>
      <c r="AU35" s="3"/>
      <c r="AV35" s="3">
        <f>SUM(AV26:AV34)</f>
        <v>2</v>
      </c>
      <c r="AW35" s="3"/>
      <c r="AX35" s="3">
        <f>SUM(AX26:AX34)</f>
        <v>1</v>
      </c>
      <c r="AY35" s="3"/>
      <c r="AZ35" s="3">
        <f>SUM(AZ26:AZ34)</f>
        <v>0</v>
      </c>
      <c r="BA35" s="3"/>
      <c r="BB35" s="3">
        <f>SUM(BB26:BB34)</f>
        <v>2</v>
      </c>
      <c r="BC35" s="3"/>
      <c r="BD35" s="3">
        <f>SUM(BD26:BD34)</f>
        <v>7</v>
      </c>
      <c r="BE35" s="3"/>
      <c r="BF35" s="3">
        <f>SUM(BF26:BF34)</f>
        <v>0</v>
      </c>
      <c r="BG35" s="3"/>
      <c r="BH35" s="3">
        <f t="shared" ref="BH35:BJ35" si="777">AVERAGE(BH26:BH34)</f>
        <v>0</v>
      </c>
      <c r="BI35" s="26">
        <f t="shared" si="777"/>
        <v>0.5</v>
      </c>
      <c r="BJ35" s="26">
        <f t="shared" si="777"/>
        <v>0</v>
      </c>
      <c r="BK35" s="26">
        <f>SUM(BK26:BK34)</f>
        <v>33.999999999999993</v>
      </c>
      <c r="BL35" s="23"/>
      <c r="BM35" s="29">
        <f>SUM(BM26:BM34)</f>
        <v>51</v>
      </c>
      <c r="BN35" s="3"/>
      <c r="BO35" s="3">
        <f>SUM(BO26:BO34)</f>
        <v>20</v>
      </c>
      <c r="BP35" s="3"/>
      <c r="BQ35" s="3">
        <f>SUM(BQ26:BQ34)</f>
        <v>1</v>
      </c>
      <c r="BR35" s="3"/>
      <c r="BS35" s="3">
        <f>SUM(BS26:BS34)</f>
        <v>1</v>
      </c>
      <c r="BT35" s="3"/>
      <c r="BU35" s="3">
        <f>SUM(BU26:BU34)</f>
        <v>0</v>
      </c>
      <c r="BV35" s="3"/>
      <c r="BW35" s="3">
        <f>SUM(BW26:BW34)</f>
        <v>2</v>
      </c>
      <c r="BX35" s="3"/>
      <c r="BY35" s="3">
        <f>SUM(BY26:BY34)</f>
        <v>1</v>
      </c>
      <c r="BZ35" s="3"/>
      <c r="CA35" s="3">
        <f>SUM(CA26:CA34)</f>
        <v>6</v>
      </c>
      <c r="CB35" s="3"/>
      <c r="CC35" s="3">
        <f>SUM(CC26:CC34)</f>
        <v>0</v>
      </c>
      <c r="CD35" s="3"/>
      <c r="CE35" s="3">
        <f>SUM(CE26:CE34)</f>
        <v>1</v>
      </c>
      <c r="CF35" s="3"/>
      <c r="CG35" s="3">
        <f>SUM(CG26:CG34)</f>
        <v>5</v>
      </c>
      <c r="CH35" s="3"/>
      <c r="CI35" s="3">
        <f>SUM(CI26:CI34)</f>
        <v>3</v>
      </c>
      <c r="CJ35" s="3"/>
      <c r="CK35" s="3">
        <f t="shared" ref="CK35:CM35" si="778">AVERAGE(CK26:CK34)</f>
        <v>3</v>
      </c>
      <c r="CL35" s="26">
        <f t="shared" si="778"/>
        <v>1.5</v>
      </c>
      <c r="CM35" s="26">
        <f t="shared" si="778"/>
        <v>1</v>
      </c>
      <c r="CN35" s="26">
        <f>SUM(CN26:CN34)</f>
        <v>39</v>
      </c>
      <c r="CO35" s="23"/>
      <c r="CP35" s="29">
        <f>SUM(CP26:CP34)</f>
        <v>45</v>
      </c>
      <c r="CQ35" s="3"/>
      <c r="CR35" s="3">
        <f>SUM(CR26:CR34)</f>
        <v>17</v>
      </c>
      <c r="CS35" s="3"/>
      <c r="CT35" s="3">
        <f>SUM(CT26:CT34)</f>
        <v>1</v>
      </c>
      <c r="CU35" s="3"/>
      <c r="CV35" s="3">
        <f>SUM(CV26:CV34)</f>
        <v>1</v>
      </c>
      <c r="CW35" s="3"/>
      <c r="CX35" s="3">
        <f>SUM(CX26:CX34)</f>
        <v>0</v>
      </c>
      <c r="CY35" s="3"/>
      <c r="CZ35" s="3">
        <f>SUM(CZ26:CZ34)</f>
        <v>2</v>
      </c>
      <c r="DA35" s="3"/>
      <c r="DB35" s="3">
        <f>SUM(DB26:DB34)</f>
        <v>6</v>
      </c>
      <c r="DC35" s="3"/>
      <c r="DD35" s="3">
        <f>SUM(DD26:DD34)</f>
        <v>1</v>
      </c>
      <c r="DE35" s="3"/>
      <c r="DF35" s="3">
        <f>SUM(DF26:DF34)</f>
        <v>0</v>
      </c>
      <c r="DG35" s="3"/>
      <c r="DH35" s="3">
        <f>SUM(DH26:DH34)</f>
        <v>2</v>
      </c>
      <c r="DI35" s="3"/>
      <c r="DJ35" s="3">
        <f>SUM(DJ26:DJ34)</f>
        <v>6</v>
      </c>
      <c r="DK35" s="3"/>
      <c r="DL35" s="3">
        <f>SUM(DL26:DL34)</f>
        <v>1</v>
      </c>
      <c r="DM35" s="3"/>
      <c r="DN35" s="3">
        <f t="shared" ref="DN35:DP35" si="779">AVERAGE(DN26:DN34)</f>
        <v>2</v>
      </c>
      <c r="DO35" s="26">
        <f t="shared" si="779"/>
        <v>0.66666666666666663</v>
      </c>
      <c r="DP35" s="26">
        <f t="shared" si="779"/>
        <v>1</v>
      </c>
      <c r="DQ35" s="26">
        <f>SUM(DQ26:DQ34)</f>
        <v>33.5</v>
      </c>
      <c r="DR35" s="30"/>
      <c r="DS35" s="29">
        <f>SUM(DS26:DS34)</f>
        <v>70</v>
      </c>
      <c r="DT35" s="3"/>
      <c r="DU35" s="3">
        <f>SUM(DU26:DU34)</f>
        <v>19</v>
      </c>
      <c r="DV35" s="3"/>
      <c r="DW35" s="3">
        <f>SUM(DW26:DW34)</f>
        <v>0</v>
      </c>
      <c r="DX35" s="3"/>
      <c r="DY35" s="3">
        <f>SUM(DY26:DY34)</f>
        <v>0</v>
      </c>
      <c r="DZ35" s="3"/>
      <c r="EA35" s="3">
        <f>SUM(EA26:EA34)</f>
        <v>0</v>
      </c>
      <c r="EB35" s="3"/>
      <c r="EC35" s="3">
        <f>SUM(EC26:EC34)</f>
        <v>0</v>
      </c>
      <c r="ED35" s="3"/>
      <c r="EE35" s="3">
        <f>SUM(EE26:EE34)</f>
        <v>1</v>
      </c>
      <c r="EF35" s="3"/>
      <c r="EG35" s="3">
        <f>SUM(EG26:EG34)</f>
        <v>8</v>
      </c>
      <c r="EH35" s="3"/>
      <c r="EI35" s="3">
        <f>SUM(EI26:EI34)</f>
        <v>0</v>
      </c>
      <c r="EJ35" s="3"/>
      <c r="EK35" s="3">
        <f>SUM(EK26:EK34)</f>
        <v>1</v>
      </c>
      <c r="EL35" s="3"/>
      <c r="EM35" s="3">
        <f>SUM(EM26:EM34)</f>
        <v>6</v>
      </c>
      <c r="EN35" s="3"/>
      <c r="EO35" s="3">
        <f>SUM(EO26:EO34)</f>
        <v>2</v>
      </c>
      <c r="EP35" s="3"/>
      <c r="EQ35" s="3">
        <f t="shared" ref="EQ35:ES35" si="780">AVERAGE(EQ26:EQ34)</f>
        <v>1</v>
      </c>
      <c r="ER35" s="26">
        <f t="shared" si="780"/>
        <v>3.6666666666666665</v>
      </c>
      <c r="ES35" s="26">
        <f t="shared" si="780"/>
        <v>5</v>
      </c>
      <c r="ET35" s="26">
        <f>SUM(ET26:ET34)</f>
        <v>43</v>
      </c>
      <c r="EU35" s="30"/>
      <c r="EV35" s="29">
        <f>SUM(EV26:EV34)</f>
        <v>49</v>
      </c>
      <c r="EW35" s="3"/>
      <c r="EX35" s="3">
        <f>SUM(EX26:EX34)</f>
        <v>17</v>
      </c>
      <c r="EY35" s="3"/>
      <c r="EZ35" s="3">
        <f>SUM(EZ26:EZ34)</f>
        <v>2</v>
      </c>
      <c r="FA35" s="3"/>
      <c r="FB35" s="3">
        <f>SUM(FB26:FB34)</f>
        <v>0</v>
      </c>
      <c r="FC35" s="3"/>
      <c r="FD35" s="3">
        <f>SUM(FD26:FD34)</f>
        <v>1</v>
      </c>
      <c r="FE35" s="3"/>
      <c r="FF35" s="3">
        <f>SUM(FF26:FF34)</f>
        <v>1</v>
      </c>
      <c r="FG35" s="3"/>
      <c r="FH35" s="3">
        <f>SUM(FH26:FH34)</f>
        <v>2</v>
      </c>
      <c r="FI35" s="3"/>
      <c r="FJ35" s="3">
        <f>SUM(FJ26:FJ34)</f>
        <v>5</v>
      </c>
      <c r="FK35" s="3"/>
      <c r="FL35" s="3">
        <f>SUM(FL26:FL34)</f>
        <v>0</v>
      </c>
      <c r="FM35" s="3"/>
      <c r="FN35" s="3">
        <f>SUM(FN26:FN34)</f>
        <v>1</v>
      </c>
      <c r="FO35" s="3"/>
      <c r="FP35" s="3">
        <f>SUM(FP26:FP34)</f>
        <v>8</v>
      </c>
      <c r="FQ35" s="3"/>
      <c r="FR35" s="3">
        <f>SUM(FR26:FR34)</f>
        <v>0</v>
      </c>
      <c r="FS35" s="3"/>
      <c r="FT35" s="3">
        <f t="shared" ref="FT35:FV35" si="781">AVERAGE(FT26:FT34)</f>
        <v>2</v>
      </c>
      <c r="FU35" s="26">
        <f t="shared" si="781"/>
        <v>1.1666666666666667</v>
      </c>
      <c r="FV35" s="26">
        <f t="shared" si="781"/>
        <v>1.5</v>
      </c>
      <c r="FW35" s="26">
        <f>SUM(FW26:FW34)</f>
        <v>35.5</v>
      </c>
      <c r="FX35" s="30"/>
      <c r="FY35" s="29">
        <f>SUM(FY26:FY34)</f>
        <v>70</v>
      </c>
      <c r="FZ35" s="3"/>
      <c r="GA35" s="3">
        <f>SUM(GA26:GA34)</f>
        <v>23</v>
      </c>
      <c r="GB35" s="3"/>
      <c r="GC35" s="3">
        <f>SUM(GC26:GC34)</f>
        <v>0</v>
      </c>
      <c r="GD35" s="3"/>
      <c r="GE35" s="3">
        <f>SUM(GE26:GE34)</f>
        <v>0</v>
      </c>
      <c r="GF35" s="3"/>
      <c r="GG35" s="3">
        <f>SUM(GG26:GG34)</f>
        <v>0</v>
      </c>
      <c r="GH35" s="3"/>
      <c r="GI35" s="3">
        <f>SUM(GI26:GI34)</f>
        <v>0</v>
      </c>
      <c r="GJ35" s="3"/>
      <c r="GK35" s="3">
        <f>SUM(GK26:GK34)</f>
        <v>1</v>
      </c>
      <c r="GL35" s="3"/>
      <c r="GM35" s="3">
        <f>SUM(GM26:GM34)</f>
        <v>8</v>
      </c>
      <c r="GN35" s="3"/>
      <c r="GO35" s="3">
        <f>SUM(GO26:GO34)</f>
        <v>0</v>
      </c>
      <c r="GP35" s="3"/>
      <c r="GQ35" s="3">
        <f>SUM(GQ26:GQ34)</f>
        <v>0</v>
      </c>
      <c r="GR35" s="3"/>
      <c r="GS35" s="3">
        <f>SUM(GS26:GS34)</f>
        <v>4</v>
      </c>
      <c r="GT35" s="3"/>
      <c r="GU35" s="3">
        <f>SUM(GU26:GU34)</f>
        <v>5</v>
      </c>
      <c r="GV35" s="3"/>
      <c r="GW35" s="3">
        <f t="shared" ref="GW35:GY35" si="782">AVERAGE(GW26:GW34)</f>
        <v>3</v>
      </c>
      <c r="GX35" s="26">
        <f t="shared" si="782"/>
        <v>4.166666666666667</v>
      </c>
      <c r="GY35" s="26">
        <f t="shared" si="782"/>
        <v>2.5</v>
      </c>
      <c r="GZ35" s="26">
        <f>SUM(GZ26:GZ34)</f>
        <v>43</v>
      </c>
      <c r="HA35" s="30"/>
      <c r="HB35" s="29">
        <f>SUM(HB26:HB34)</f>
        <v>51</v>
      </c>
      <c r="HC35" s="3"/>
      <c r="HD35" s="3">
        <f>SUM(HD26:HD34)</f>
        <v>18</v>
      </c>
      <c r="HE35" s="3"/>
      <c r="HF35" s="3">
        <f>SUM(HF26:HF34)</f>
        <v>0</v>
      </c>
      <c r="HG35" s="3"/>
      <c r="HH35" s="3">
        <f>SUM(HH26:HH34)</f>
        <v>1</v>
      </c>
      <c r="HI35" s="3"/>
      <c r="HJ35" s="3">
        <f>SUM(HJ26:HJ34)</f>
        <v>0</v>
      </c>
      <c r="HK35" s="3"/>
      <c r="HL35" s="3">
        <f>SUM(HL26:HL34)</f>
        <v>1</v>
      </c>
      <c r="HM35" s="3"/>
      <c r="HN35" s="3">
        <f>SUM(HN26:HN34)</f>
        <v>5</v>
      </c>
      <c r="HO35" s="3"/>
      <c r="HP35" s="3">
        <f>SUM(HP26:HP34)</f>
        <v>3</v>
      </c>
      <c r="HQ35" s="3"/>
      <c r="HR35" s="3">
        <f>SUM(HR26:HR34)</f>
        <v>0</v>
      </c>
      <c r="HS35" s="3"/>
      <c r="HT35" s="3">
        <f>SUM(HT26:HT34)</f>
        <v>1</v>
      </c>
      <c r="HU35" s="3"/>
      <c r="HV35" s="3">
        <f>SUM(HV26:HV34)</f>
        <v>7</v>
      </c>
      <c r="HW35" s="3"/>
      <c r="HX35" s="3">
        <f>SUM(HX26:HX34)</f>
        <v>1</v>
      </c>
      <c r="HY35" s="3"/>
      <c r="HZ35" s="3">
        <f t="shared" ref="HZ35:IB35" si="783">AVERAGE(HZ26:HZ34)</f>
        <v>2</v>
      </c>
      <c r="IA35" s="26">
        <f t="shared" si="783"/>
        <v>1.5</v>
      </c>
      <c r="IB35" s="26">
        <f t="shared" si="783"/>
        <v>1.5</v>
      </c>
      <c r="IC35" s="26">
        <f>SUM(IC26:IC34)</f>
        <v>42</v>
      </c>
      <c r="ID35" s="30"/>
      <c r="IE35" s="29">
        <f>SUM(IE26:IE34)</f>
        <v>0</v>
      </c>
      <c r="IF35" s="3"/>
      <c r="IG35" s="3">
        <f>SUM(IG26:IG34)</f>
        <v>0</v>
      </c>
      <c r="IH35" s="3"/>
      <c r="II35" s="3">
        <f>SUM(II26:II34)</f>
        <v>9</v>
      </c>
      <c r="IJ35" s="3"/>
      <c r="IK35" s="3">
        <f>SUM(IK26:IK34)</f>
        <v>0</v>
      </c>
      <c r="IL35" s="3"/>
      <c r="IM35" s="3">
        <f>SUM(IM26:IM34)</f>
        <v>0</v>
      </c>
      <c r="IN35" s="3"/>
      <c r="IO35" s="3">
        <f>SUM(IO26:IO34)</f>
        <v>0</v>
      </c>
      <c r="IP35" s="3"/>
      <c r="IQ35" s="3">
        <f>SUM(IQ26:IQ34)</f>
        <v>0</v>
      </c>
      <c r="IR35" s="3"/>
      <c r="IS35" s="3">
        <f>SUM(IS26:IS34)</f>
        <v>0</v>
      </c>
      <c r="IT35" s="3"/>
      <c r="IU35" s="3">
        <f>SUM(IU26:IU34)</f>
        <v>9</v>
      </c>
      <c r="IV35" s="3"/>
      <c r="IW35" s="3">
        <f>SUM(IW26:IW34)</f>
        <v>0</v>
      </c>
      <c r="IX35" s="3"/>
      <c r="IY35" s="3">
        <f>SUM(IY26:IY34)</f>
        <v>0</v>
      </c>
      <c r="IZ35" s="3"/>
      <c r="JA35" s="3">
        <f>SUM(JA26:JA34)</f>
        <v>0</v>
      </c>
      <c r="JB35" s="3"/>
      <c r="JC35" s="3">
        <f t="shared" ref="JC35:JE35" si="784">AVERAGE(JC26:JC34)</f>
        <v>-3</v>
      </c>
      <c r="JD35" s="26">
        <f t="shared" si="784"/>
        <v>-4</v>
      </c>
      <c r="JE35" s="26">
        <f t="shared" si="784"/>
        <v>-5</v>
      </c>
      <c r="JF35" s="26">
        <f>SUM(JF26:JF34)</f>
        <v>-27</v>
      </c>
      <c r="JG35" s="30"/>
      <c r="JH35" s="29">
        <f>SUM(JH26:JH34)</f>
        <v>0</v>
      </c>
      <c r="JI35" s="3"/>
      <c r="JJ35" s="3">
        <f>SUM(JJ26:JJ34)</f>
        <v>0</v>
      </c>
      <c r="JK35" s="3"/>
      <c r="JL35" s="3">
        <f>SUM(JL26:JL34)</f>
        <v>9</v>
      </c>
      <c r="JM35" s="3"/>
      <c r="JN35" s="3">
        <f>SUM(JN26:JN34)</f>
        <v>0</v>
      </c>
      <c r="JO35" s="3"/>
      <c r="JP35" s="3">
        <f>SUM(JP26:JP34)</f>
        <v>0</v>
      </c>
      <c r="JQ35" s="3"/>
      <c r="JR35" s="3">
        <f>SUM(JR26:JR34)</f>
        <v>0</v>
      </c>
      <c r="JS35" s="3"/>
      <c r="JT35" s="3">
        <f>SUM(JT26:JT34)</f>
        <v>0</v>
      </c>
      <c r="JU35" s="3"/>
      <c r="JV35" s="3">
        <f>SUM(JV26:JV34)</f>
        <v>0</v>
      </c>
      <c r="JW35" s="3"/>
      <c r="JX35" s="3">
        <f>SUM(JX26:JX34)</f>
        <v>9</v>
      </c>
      <c r="JY35" s="3"/>
      <c r="JZ35" s="3">
        <f>SUM(JZ26:JZ34)</f>
        <v>0</v>
      </c>
      <c r="KA35" s="3"/>
      <c r="KB35" s="3">
        <f>SUM(KB26:KB34)</f>
        <v>0</v>
      </c>
      <c r="KC35" s="3"/>
      <c r="KD35" s="3">
        <f>SUM(KD26:KD34)</f>
        <v>0</v>
      </c>
      <c r="KE35" s="3"/>
      <c r="KF35" s="3">
        <f t="shared" ref="KF35:KH35" si="785">AVERAGE(KF26:KF34)</f>
        <v>-3</v>
      </c>
      <c r="KG35" s="26">
        <f t="shared" si="785"/>
        <v>-4</v>
      </c>
      <c r="KH35" s="26">
        <f t="shared" si="785"/>
        <v>-5</v>
      </c>
      <c r="KI35" s="26">
        <f>SUM(KI26:KI34)</f>
        <v>-7</v>
      </c>
      <c r="KJ35" s="30"/>
      <c r="KK35" s="10"/>
      <c r="KL35" s="10"/>
      <c r="KM35" s="10"/>
      <c r="KN35" s="10"/>
      <c r="KO35" s="10"/>
      <c r="KP35" s="10"/>
      <c r="KQ35" s="10"/>
      <c r="KR35" s="10"/>
      <c r="KS35" s="10"/>
      <c r="KT35" s="10"/>
      <c r="KU35" s="10"/>
      <c r="KV35" s="10"/>
      <c r="KW35" s="10"/>
      <c r="KX35" s="10"/>
      <c r="KY35" s="10"/>
      <c r="KZ35" s="10"/>
      <c r="LA35" s="10"/>
      <c r="LB35" s="10"/>
      <c r="LC35" s="10"/>
      <c r="LD35" s="10"/>
    </row>
    <row r="36" spans="1:316" ht="15.75" customHeight="1" x14ac:dyDescent="0.25">
      <c r="A36" s="106"/>
      <c r="B36" s="102" t="s">
        <v>48</v>
      </c>
      <c r="C36" s="11">
        <v>10</v>
      </c>
      <c r="D36" s="6">
        <f>D34+1</f>
        <v>28</v>
      </c>
      <c r="E36" s="11">
        <v>3</v>
      </c>
      <c r="F36" s="7">
        <f>E36+F34</f>
        <v>112</v>
      </c>
      <c r="G36" s="13">
        <v>4</v>
      </c>
      <c r="H36" s="11">
        <f>G36+H34</f>
        <v>141</v>
      </c>
      <c r="I36" s="14">
        <v>2</v>
      </c>
      <c r="J36" s="11">
        <f>I36+J34</f>
        <v>57</v>
      </c>
      <c r="K36" s="11">
        <f t="shared" ref="K36:K44" si="786">IF(G36-I36&lt;=$E36-2,1,0)</f>
        <v>0</v>
      </c>
      <c r="L36" s="11">
        <f>K36+L34</f>
        <v>11</v>
      </c>
      <c r="M36" s="11">
        <f t="shared" ref="M36:M44" si="787">IF(K36=0,IF(G36=$E36,1,0),0)</f>
        <v>0</v>
      </c>
      <c r="N36" s="11">
        <f>M36+N34</f>
        <v>2</v>
      </c>
      <c r="O36" s="11">
        <f t="shared" ref="O36:O44" si="788">IF($E36-G36=1,1,0)</f>
        <v>0</v>
      </c>
      <c r="P36" s="11">
        <f>O36+P34</f>
        <v>1</v>
      </c>
      <c r="Q36" s="11">
        <f t="shared" ref="Q36:Q44" si="789">IF(G36=$E36,1,0)</f>
        <v>0</v>
      </c>
      <c r="R36" s="11">
        <f>Q36+R34</f>
        <v>3</v>
      </c>
      <c r="S36" s="11">
        <f t="shared" ref="S36:S44" si="790">IF(G36-$E36=1,1,0)</f>
        <v>1</v>
      </c>
      <c r="T36" s="11">
        <f>S36+T34</f>
        <v>3</v>
      </c>
      <c r="U36" s="11">
        <f t="shared" ref="U36:U44" si="791">IF(G36-$E36&gt;=2,1,0)</f>
        <v>0</v>
      </c>
      <c r="V36" s="11">
        <f>U36+V34</f>
        <v>4</v>
      </c>
      <c r="W36" s="11">
        <f t="shared" ref="W36:W44" si="792">IF(I36=0,1,0)</f>
        <v>0</v>
      </c>
      <c r="X36" s="11">
        <f>W36+X34</f>
        <v>0</v>
      </c>
      <c r="Y36" s="11">
        <f t="shared" ref="Y36:Y44" si="793">IF(I36=1,1,0)</f>
        <v>0</v>
      </c>
      <c r="Z36" s="11">
        <f>Y36+Z34</f>
        <v>5</v>
      </c>
      <c r="AA36" s="11">
        <f t="shared" ref="AA36:AA44" si="794">IF(I36=2,1,0)</f>
        <v>1</v>
      </c>
      <c r="AB36" s="11">
        <f>AA36+AB34</f>
        <v>7</v>
      </c>
      <c r="AC36" s="11">
        <f t="shared" ref="AC36:AC44" si="795">IF(I36&gt;=3,1,0)</f>
        <v>0</v>
      </c>
      <c r="AD36" s="11">
        <f>AC36+AD34</f>
        <v>5</v>
      </c>
      <c r="AE36" s="11">
        <f>IF($E36=3,G36-3,NA())</f>
        <v>1</v>
      </c>
      <c r="AF36" s="11"/>
      <c r="AG36" s="11"/>
      <c r="AH36" s="15">
        <f>G36-'Zusammenfassung Tag1-4'!$B$2/18</f>
        <v>2.8888888888888888</v>
      </c>
      <c r="AI36" s="16">
        <f>AH36+AI34</f>
        <v>109.88888888888883</v>
      </c>
      <c r="AJ36" s="13">
        <v>3</v>
      </c>
      <c r="AK36" s="11">
        <f>AJ36+AK34</f>
        <v>125</v>
      </c>
      <c r="AL36" s="14">
        <v>1</v>
      </c>
      <c r="AM36" s="11">
        <f>AL36+AM34</f>
        <v>52</v>
      </c>
      <c r="AN36" s="11">
        <f t="shared" ref="AN36:AN44" si="796">IF(AJ36-AL36&lt;=$E36-2,1,0)</f>
        <v>0</v>
      </c>
      <c r="AO36" s="11">
        <f>AN36+AO34</f>
        <v>16</v>
      </c>
      <c r="AP36" s="11">
        <f t="shared" ref="AP36:AP44" si="797">IF(AN36=0,IF(AJ36=$E36,1,0),0)</f>
        <v>1</v>
      </c>
      <c r="AQ36" s="11">
        <f>AP36+AQ34</f>
        <v>4</v>
      </c>
      <c r="AR36" s="11">
        <f t="shared" ref="AR36:AR44" si="798">IF($E36-AJ36=1,1,0)</f>
        <v>0</v>
      </c>
      <c r="AS36" s="11">
        <f>AR36+AS34</f>
        <v>1</v>
      </c>
      <c r="AT36" s="11">
        <f t="shared" ref="AT36:AT44" si="799">IF(AJ36=$E36,1,0)</f>
        <v>1</v>
      </c>
      <c r="AU36" s="11">
        <f>AT36+AU34</f>
        <v>6</v>
      </c>
      <c r="AV36" s="11">
        <f t="shared" ref="AV36:AV44" si="800">IF(AJ36-$E36=1,1,0)</f>
        <v>0</v>
      </c>
      <c r="AW36" s="11">
        <f>AV36+AW34</f>
        <v>2</v>
      </c>
      <c r="AX36" s="11">
        <f t="shared" ref="AX36:AX44" si="801">IF(AJ36-$E36&gt;=2,1,0)</f>
        <v>0</v>
      </c>
      <c r="AY36" s="11">
        <f>AX36+AY34</f>
        <v>1</v>
      </c>
      <c r="AZ36" s="11">
        <f t="shared" ref="AZ36:AZ44" si="802">IF(AL36=0,1,0)</f>
        <v>0</v>
      </c>
      <c r="BA36" s="11">
        <f>AZ36+BA34</f>
        <v>0</v>
      </c>
      <c r="BB36" s="11">
        <f t="shared" ref="BB36:BB44" si="803">IF(AL36=1,1,0)</f>
        <v>1</v>
      </c>
      <c r="BC36" s="11">
        <f>BB36+BC34</f>
        <v>7</v>
      </c>
      <c r="BD36" s="11">
        <f t="shared" ref="BD36:BD44" si="804">IF(AL36=2,1,0)</f>
        <v>0</v>
      </c>
      <c r="BE36" s="11">
        <f>BD36+BE34</f>
        <v>7</v>
      </c>
      <c r="BF36" s="11">
        <f t="shared" ref="BF36:BF44" si="805">IF(AL36&gt;=3,1,0)</f>
        <v>0</v>
      </c>
      <c r="BG36" s="11">
        <f>BF36+BG34</f>
        <v>3</v>
      </c>
      <c r="BH36" s="11">
        <f>IF($E36=3,AJ36-3,NA())</f>
        <v>0</v>
      </c>
      <c r="BI36" s="11"/>
      <c r="BJ36" s="11"/>
      <c r="BK36" s="15">
        <f>AJ36-'Zusammenfassung Tag1-4'!$C$2/18</f>
        <v>2.3333333333333335</v>
      </c>
      <c r="BL36" s="16">
        <f>BK36+BL34</f>
        <v>106.3333333333333</v>
      </c>
      <c r="BM36" s="13">
        <v>4</v>
      </c>
      <c r="BN36" s="11">
        <f>BM36+BN34</f>
        <v>155</v>
      </c>
      <c r="BO36" s="14">
        <v>2</v>
      </c>
      <c r="BP36" s="11">
        <f>BO36+BP34</f>
        <v>58</v>
      </c>
      <c r="BQ36" s="11">
        <f t="shared" ref="BQ36:BQ44" si="806">IF(BM36-BO36&lt;=$E36-2,1,0)</f>
        <v>0</v>
      </c>
      <c r="BR36" s="11">
        <f>BQ36+BR34</f>
        <v>5</v>
      </c>
      <c r="BS36" s="11">
        <f t="shared" ref="BS36:BS44" si="807">IF(BQ36=0,IF(BM36=$E36,1,0),0)</f>
        <v>0</v>
      </c>
      <c r="BT36" s="11">
        <f>BS36+BT34</f>
        <v>2</v>
      </c>
      <c r="BU36" s="11">
        <f t="shared" ref="BU36:BU44" si="808">IF($E36-BM36=1,1,0)</f>
        <v>0</v>
      </c>
      <c r="BV36" s="11">
        <f>BU36+BV34</f>
        <v>0</v>
      </c>
      <c r="BW36" s="11">
        <f t="shared" ref="BW36:BW44" si="809">IF(BM36=$E36,1,0)</f>
        <v>0</v>
      </c>
      <c r="BX36" s="11">
        <f>BW36+BX34</f>
        <v>2</v>
      </c>
      <c r="BY36" s="11">
        <f t="shared" ref="BY36:BY44" si="810">IF(BM36-$E36=1,1,0)</f>
        <v>1</v>
      </c>
      <c r="BZ36" s="11">
        <f>BY36+BZ34</f>
        <v>2</v>
      </c>
      <c r="CA36" s="11">
        <f t="shared" ref="CA36:CA44" si="811">IF(BM36-$E36&gt;=2,1,0)</f>
        <v>0</v>
      </c>
      <c r="CB36" s="11">
        <f>CA36+CB34</f>
        <v>6</v>
      </c>
      <c r="CC36" s="11">
        <f t="shared" ref="CC36:CC44" si="812">IF(BO36=0,1,0)</f>
        <v>0</v>
      </c>
      <c r="CD36" s="11">
        <f>CC36+CD34</f>
        <v>0</v>
      </c>
      <c r="CE36" s="11">
        <f t="shared" ref="CE36:CE44" si="813">IF(BO36=1,1,0)</f>
        <v>0</v>
      </c>
      <c r="CF36" s="11">
        <f>CE36+CF34</f>
        <v>4</v>
      </c>
      <c r="CG36" s="11">
        <f t="shared" ref="CG36:CG44" si="814">IF(BO36=2,1,0)</f>
        <v>1</v>
      </c>
      <c r="CH36" s="11">
        <f>CG36+CH34</f>
        <v>6</v>
      </c>
      <c r="CI36" s="11">
        <f t="shared" ref="CI36:CI44" si="815">IF(BO36&gt;=3,1,0)</f>
        <v>0</v>
      </c>
      <c r="CJ36" s="11">
        <f>CI36+CJ34</f>
        <v>6</v>
      </c>
      <c r="CK36" s="11">
        <f>IF($E36=3,BM36-3,NA())</f>
        <v>1</v>
      </c>
      <c r="CL36" s="11"/>
      <c r="CM36" s="11"/>
      <c r="CN36" s="15">
        <f>BM36-'Zusammenfassung Tag1-4'!$D$2/18</f>
        <v>2.666666666666667</v>
      </c>
      <c r="CO36" s="16">
        <f>CN36+CO34</f>
        <v>117.6666666666667</v>
      </c>
      <c r="CP36" s="13">
        <v>4</v>
      </c>
      <c r="CQ36" s="11">
        <f>CP36+CQ34</f>
        <v>148</v>
      </c>
      <c r="CR36" s="14">
        <v>2</v>
      </c>
      <c r="CS36" s="11">
        <f>CR36+CS34</f>
        <v>57</v>
      </c>
      <c r="CT36" s="11">
        <f t="shared" ref="CT36:CT44" si="816">IF(CP36-CR36&lt;=$E36-2,1,0)</f>
        <v>0</v>
      </c>
      <c r="CU36" s="11">
        <f>CT36+CU34</f>
        <v>5</v>
      </c>
      <c r="CV36" s="11">
        <f t="shared" ref="CV36:CV44" si="817">IF(CT36=0,IF(CP36=$E36,1,0),0)</f>
        <v>0</v>
      </c>
      <c r="CW36" s="11">
        <f>CV36+CW34</f>
        <v>3</v>
      </c>
      <c r="CX36" s="11">
        <f t="shared" ref="CX36:CX44" si="818">IF($E36-CP36=1,1,0)</f>
        <v>0</v>
      </c>
      <c r="CY36" s="11">
        <f>CX36+CY34</f>
        <v>0</v>
      </c>
      <c r="CZ36" s="11">
        <f t="shared" ref="CZ36:CZ44" si="819">IF(CP36=$E36,1,0)</f>
        <v>0</v>
      </c>
      <c r="DA36" s="11">
        <f>CZ36+DA34</f>
        <v>2</v>
      </c>
      <c r="DB36" s="11">
        <f t="shared" ref="DB36:DB44" si="820">IF(CP36-$E36=1,1,0)</f>
        <v>1</v>
      </c>
      <c r="DC36" s="11">
        <f>DB36+DC34</f>
        <v>7</v>
      </c>
      <c r="DD36" s="11">
        <f t="shared" ref="DD36:DD44" si="821">IF(CP36-$E36&gt;=2,1,0)</f>
        <v>0</v>
      </c>
      <c r="DE36" s="11">
        <f>DD36+DE34</f>
        <v>1</v>
      </c>
      <c r="DF36" s="11">
        <f t="shared" ref="DF36:DF44" si="822">IF(CR36=0,1,0)</f>
        <v>0</v>
      </c>
      <c r="DG36" s="11">
        <f>DF36+DG34</f>
        <v>0</v>
      </c>
      <c r="DH36" s="11">
        <f t="shared" ref="DH36:DH44" si="823">IF(CR36=1,1,0)</f>
        <v>0</v>
      </c>
      <c r="DI36" s="11">
        <f>DH36+DI34</f>
        <v>5</v>
      </c>
      <c r="DJ36" s="11">
        <f t="shared" ref="DJ36:DJ44" si="824">IF(CR36=2,1,0)</f>
        <v>1</v>
      </c>
      <c r="DK36" s="11">
        <f>DJ36+DK34</f>
        <v>7</v>
      </c>
      <c r="DL36" s="11">
        <f t="shared" ref="DL36:DL44" si="825">IF(CR36&gt;=3,1,0)</f>
        <v>0</v>
      </c>
      <c r="DM36" s="11">
        <f>DL36+DM34</f>
        <v>6</v>
      </c>
      <c r="DN36" s="11">
        <f>IF($E36=3,CP36-3,NA())</f>
        <v>1</v>
      </c>
      <c r="DO36" s="11"/>
      <c r="DP36" s="11"/>
      <c r="DQ36" s="15">
        <f>CP36-'Zusammenfassung Tag1-4'!$E$2/18</f>
        <v>2.7222222222222223</v>
      </c>
      <c r="DR36" s="17">
        <f>DQ36+DR34</f>
        <v>112.22222222222229</v>
      </c>
      <c r="DS36" s="13">
        <v>8</v>
      </c>
      <c r="DT36" s="11">
        <f>DS36+DT34</f>
        <v>215</v>
      </c>
      <c r="DU36" s="14">
        <v>2</v>
      </c>
      <c r="DV36" s="11">
        <f>DU36+DV34</f>
        <v>63</v>
      </c>
      <c r="DW36" s="11">
        <f t="shared" ref="DW36:DW44" si="826">IF(DS36-DU36&lt;=$E36-2,1,0)</f>
        <v>0</v>
      </c>
      <c r="DX36" s="11">
        <f>DW36+DX34</f>
        <v>1</v>
      </c>
      <c r="DY36" s="11">
        <f t="shared" ref="DY36:DY44" si="827">IF(DW36=0,IF(DS36=$E36,1,0),0)</f>
        <v>0</v>
      </c>
      <c r="DZ36" s="11">
        <f>DY36+DZ34</f>
        <v>0</v>
      </c>
      <c r="EA36" s="11">
        <f t="shared" ref="EA36:EA44" si="828">IF($E36-DS36=1,1,0)</f>
        <v>0</v>
      </c>
      <c r="EB36" s="11">
        <f>EA36+EB34</f>
        <v>0</v>
      </c>
      <c r="EC36" s="11">
        <f t="shared" ref="EC36:EC44" si="829">IF(DS36=$E36,1,0)</f>
        <v>0</v>
      </c>
      <c r="ED36" s="11">
        <f>EC36+ED34</f>
        <v>0</v>
      </c>
      <c r="EE36" s="11">
        <f t="shared" ref="EE36:EE44" si="830">IF(DS36-$E36=1,1,0)</f>
        <v>0</v>
      </c>
      <c r="EF36" s="11">
        <f>EE36+EF34</f>
        <v>1</v>
      </c>
      <c r="EG36" s="11">
        <f t="shared" ref="EG36:EG44" si="831">IF(DS36-$E36&gt;=2,1,0)</f>
        <v>1</v>
      </c>
      <c r="EH36" s="11">
        <f>EG36+EH34</f>
        <v>9</v>
      </c>
      <c r="EI36" s="11">
        <f t="shared" ref="EI36:EI44" si="832">IF(DU36=0,1,0)</f>
        <v>0</v>
      </c>
      <c r="EJ36" s="11">
        <f>EI36+EJ34</f>
        <v>0</v>
      </c>
      <c r="EK36" s="11">
        <f t="shared" ref="EK36:EK44" si="833">IF(DU36=1,1,0)</f>
        <v>0</v>
      </c>
      <c r="EL36" s="11">
        <f>EK36+EL34</f>
        <v>1</v>
      </c>
      <c r="EM36" s="11">
        <f t="shared" ref="EM36:EM44" si="834">IF(DU36=2,1,0)</f>
        <v>1</v>
      </c>
      <c r="EN36" s="11">
        <f>EM36+EN34</f>
        <v>7</v>
      </c>
      <c r="EO36" s="11">
        <f t="shared" ref="EO36:EO44" si="835">IF(DU36&gt;=3,1,0)</f>
        <v>0</v>
      </c>
      <c r="EP36" s="11">
        <f>EO36+EP34</f>
        <v>7</v>
      </c>
      <c r="EQ36" s="11">
        <f>IF($E36=3,DS36-3,NA())</f>
        <v>5</v>
      </c>
      <c r="ER36" s="11"/>
      <c r="ES36" s="11"/>
      <c r="ET36" s="15">
        <f>DS36-'Zusammenfassung Tag1-4'!$F$2/18</f>
        <v>5</v>
      </c>
      <c r="EU36" s="17">
        <f>ET36+EU34</f>
        <v>131</v>
      </c>
      <c r="EV36" s="13">
        <v>4</v>
      </c>
      <c r="EW36" s="11">
        <f>EV36+EW34</f>
        <v>155</v>
      </c>
      <c r="EX36" s="14">
        <v>2</v>
      </c>
      <c r="EY36" s="11">
        <f>EX36+EY34</f>
        <v>61</v>
      </c>
      <c r="EZ36" s="11">
        <f t="shared" ref="EZ36:EZ44" si="836">IF(EV36-EX36&lt;=$E36-2,1,0)</f>
        <v>0</v>
      </c>
      <c r="FA36" s="11">
        <f>EZ36+FA34</f>
        <v>6</v>
      </c>
      <c r="FB36" s="11">
        <f t="shared" ref="FB36:FB44" si="837">IF(EZ36=0,IF(EV36=$E36,1,0),0)</f>
        <v>0</v>
      </c>
      <c r="FC36" s="11">
        <f>FB36+FC34</f>
        <v>0</v>
      </c>
      <c r="FD36" s="11">
        <f t="shared" ref="FD36:FD44" si="838">IF($E36-EV36=1,1,0)</f>
        <v>0</v>
      </c>
      <c r="FE36" s="11">
        <f>FD36+FE34</f>
        <v>1</v>
      </c>
      <c r="FF36" s="11">
        <f t="shared" ref="FF36:FF44" si="839">IF(EV36=$E36,1,0)</f>
        <v>0</v>
      </c>
      <c r="FG36" s="11">
        <f>FF36+FG34</f>
        <v>1</v>
      </c>
      <c r="FH36" s="11">
        <f t="shared" ref="FH36:FH44" si="840">IF(EV36-$E36=1,1,0)</f>
        <v>1</v>
      </c>
      <c r="FI36" s="11">
        <f>FH36+FI34</f>
        <v>3</v>
      </c>
      <c r="FJ36" s="11">
        <f t="shared" ref="FJ36:FJ44" si="841">IF(EV36-$E36&gt;=2,1,0)</f>
        <v>0</v>
      </c>
      <c r="FK36" s="11">
        <f>FJ36+FK34</f>
        <v>5</v>
      </c>
      <c r="FL36" s="11">
        <f t="shared" ref="FL36:FL44" si="842">IF(EX36=0,1,0)</f>
        <v>0</v>
      </c>
      <c r="FM36" s="11">
        <f>FL36+FM34</f>
        <v>0</v>
      </c>
      <c r="FN36" s="11">
        <f t="shared" ref="FN36:FN44" si="843">IF(EX36=1,1,0)</f>
        <v>0</v>
      </c>
      <c r="FO36" s="11">
        <f>FN36+FO34</f>
        <v>2</v>
      </c>
      <c r="FP36" s="11">
        <f t="shared" ref="FP36:FP44" si="844">IF(EX36=2,1,0)</f>
        <v>1</v>
      </c>
      <c r="FQ36" s="11">
        <f>FP36+FQ34</f>
        <v>9</v>
      </c>
      <c r="FR36" s="11">
        <f t="shared" ref="FR36:FR44" si="845">IF(EX36&gt;=3,1,0)</f>
        <v>0</v>
      </c>
      <c r="FS36" s="11">
        <f>FR36+FS34</f>
        <v>7</v>
      </c>
      <c r="FT36" s="11">
        <f>IF($E36=3,EV36-3,NA())</f>
        <v>1</v>
      </c>
      <c r="FU36" s="11"/>
      <c r="FV36" s="11"/>
      <c r="FW36" s="15">
        <f>EV36-'Zusammenfassung Tag1-4'!$G$2/18</f>
        <v>2.5</v>
      </c>
      <c r="FX36" s="17">
        <f>FW36+FX34</f>
        <v>113</v>
      </c>
      <c r="FY36" s="13">
        <v>7</v>
      </c>
      <c r="FZ36" s="11">
        <f>FY36+FZ34</f>
        <v>208</v>
      </c>
      <c r="GA36" s="14">
        <v>2</v>
      </c>
      <c r="GB36" s="11">
        <f>GA36+GB34</f>
        <v>67</v>
      </c>
      <c r="GC36" s="11">
        <f t="shared" ref="GC36:GC44" si="846">IF(FY36-GA36&lt;=$E36-2,1,0)</f>
        <v>0</v>
      </c>
      <c r="GD36" s="11">
        <f>GC36+GD34</f>
        <v>1</v>
      </c>
      <c r="GE36" s="11">
        <f t="shared" ref="GE36:GE44" si="847">IF(GC36=0,IF(FY36=$E36,1,0),0)</f>
        <v>0</v>
      </c>
      <c r="GF36" s="11">
        <f>GE36+GF34</f>
        <v>0</v>
      </c>
      <c r="GG36" s="11">
        <f t="shared" ref="GG36:GG44" si="848">IF($E36-FY36=1,1,0)</f>
        <v>0</v>
      </c>
      <c r="GH36" s="11">
        <f>GG36+GH34</f>
        <v>0</v>
      </c>
      <c r="GI36" s="11">
        <f t="shared" ref="GI36:GI44" si="849">IF(FY36=$E36,1,0)</f>
        <v>0</v>
      </c>
      <c r="GJ36" s="11">
        <f>GI36+GJ34</f>
        <v>0</v>
      </c>
      <c r="GK36" s="11">
        <f t="shared" ref="GK36:GK44" si="850">IF(FY36-$E36=1,1,0)</f>
        <v>0</v>
      </c>
      <c r="GL36" s="11">
        <f>GK36+GL34</f>
        <v>1</v>
      </c>
      <c r="GM36" s="11">
        <f t="shared" ref="GM36:GM44" si="851">IF(FY36-$E36&gt;=2,1,0)</f>
        <v>1</v>
      </c>
      <c r="GN36" s="11">
        <f>GM36+GN34</f>
        <v>9</v>
      </c>
      <c r="GO36" s="11">
        <f t="shared" ref="GO36:GO44" si="852">IF(GA36=0,1,0)</f>
        <v>0</v>
      </c>
      <c r="GP36" s="11">
        <f>GO36+GP34</f>
        <v>0</v>
      </c>
      <c r="GQ36" s="11">
        <f t="shared" ref="GQ36:GQ44" si="853">IF(GA36=1,1,0)</f>
        <v>0</v>
      </c>
      <c r="GR36" s="11">
        <f>GQ36+GR34</f>
        <v>2</v>
      </c>
      <c r="GS36" s="11">
        <f t="shared" ref="GS36:GS44" si="854">IF(GA36=2,1,0)</f>
        <v>1</v>
      </c>
      <c r="GT36" s="11">
        <f>GS36+GT34</f>
        <v>5</v>
      </c>
      <c r="GU36" s="11">
        <f t="shared" ref="GU36:GU44" si="855">IF(GA36&gt;=3,1,0)</f>
        <v>0</v>
      </c>
      <c r="GV36" s="11">
        <f>GU36+GV34</f>
        <v>13</v>
      </c>
      <c r="GW36" s="11">
        <f>IF($E36=3,FY36-3,NA())</f>
        <v>4</v>
      </c>
      <c r="GX36" s="11"/>
      <c r="GY36" s="11"/>
      <c r="GZ36" s="15">
        <f>FY36-'Zusammenfassung Tag1-4'!$H$2/18</f>
        <v>4</v>
      </c>
      <c r="HA36" s="17">
        <f>GZ36+HA34</f>
        <v>124</v>
      </c>
      <c r="HB36" s="13">
        <v>4</v>
      </c>
      <c r="HC36" s="11">
        <f>HB36+HC34</f>
        <v>150</v>
      </c>
      <c r="HD36" s="14">
        <v>2</v>
      </c>
      <c r="HE36" s="11">
        <f>HD36+HE34</f>
        <v>59</v>
      </c>
      <c r="HF36" s="11">
        <f t="shared" ref="HF36:HF44" si="856">IF(HB36-HD36&lt;=$E36-2,1,0)</f>
        <v>0</v>
      </c>
      <c r="HG36" s="11">
        <f>HF36+HG34</f>
        <v>7</v>
      </c>
      <c r="HH36" s="11">
        <f t="shared" ref="HH36:HH44" si="857">IF(HF36=0,IF(HB36=$E36,1,0),0)</f>
        <v>0</v>
      </c>
      <c r="HI36" s="11">
        <f>HH36+HI34</f>
        <v>3</v>
      </c>
      <c r="HJ36" s="11">
        <f t="shared" ref="HJ36:HJ44" si="858">IF($E36-HB36=1,1,0)</f>
        <v>0</v>
      </c>
      <c r="HK36" s="11">
        <f>HJ36+HK34</f>
        <v>0</v>
      </c>
      <c r="HL36" s="11">
        <f t="shared" ref="HL36:HL44" si="859">IF(HB36=$E36,1,0)</f>
        <v>0</v>
      </c>
      <c r="HM36" s="11">
        <f>HL36+HM34</f>
        <v>1</v>
      </c>
      <c r="HN36" s="11">
        <f t="shared" ref="HN36:HN44" si="860">IF(HB36-$E36=1,1,0)</f>
        <v>1</v>
      </c>
      <c r="HO36" s="11">
        <f>HN36+HO34</f>
        <v>6</v>
      </c>
      <c r="HP36" s="11">
        <f t="shared" ref="HP36:HP44" si="861">IF(HB36-$E36&gt;=2,1,0)</f>
        <v>0</v>
      </c>
      <c r="HQ36" s="11">
        <f>HP36+HQ34</f>
        <v>3</v>
      </c>
      <c r="HR36" s="11">
        <f t="shared" ref="HR36:HR44" si="862">IF(HD36=0,1,0)</f>
        <v>0</v>
      </c>
      <c r="HS36" s="11">
        <f>HR36+HS34</f>
        <v>0</v>
      </c>
      <c r="HT36" s="11">
        <f t="shared" ref="HT36:HT44" si="863">IF(HD36=1,1,0)</f>
        <v>0</v>
      </c>
      <c r="HU36" s="11">
        <f>HT36+HU34</f>
        <v>3</v>
      </c>
      <c r="HV36" s="11">
        <f t="shared" ref="HV36:HV44" si="864">IF(HD36=2,1,0)</f>
        <v>1</v>
      </c>
      <c r="HW36" s="11">
        <f>HV36+HW34</f>
        <v>8</v>
      </c>
      <c r="HX36" s="11">
        <f t="shared" ref="HX36:HX44" si="865">IF(HD36&gt;=3,1,0)</f>
        <v>0</v>
      </c>
      <c r="HY36" s="11">
        <f>HX36+HY34</f>
        <v>6</v>
      </c>
      <c r="HZ36" s="11">
        <f>IF($E36=3,HB36-3,NA())</f>
        <v>1</v>
      </c>
      <c r="IA36" s="11"/>
      <c r="IB36" s="11"/>
      <c r="IC36" s="15">
        <f>HB36-'Zusammenfassung Tag1-4'!$I$2/18</f>
        <v>3</v>
      </c>
      <c r="ID36" s="17">
        <f>IC36+ID34</f>
        <v>122</v>
      </c>
      <c r="IE36" s="13"/>
      <c r="IF36" s="11">
        <f>IE36+IF34</f>
        <v>0</v>
      </c>
      <c r="IG36" s="14"/>
      <c r="IH36" s="11">
        <f>IG36+IH34</f>
        <v>0</v>
      </c>
      <c r="II36" s="11">
        <f t="shared" ref="II36:II44" si="866">IF(IE36-IG36&lt;=$E36-2,1,0)</f>
        <v>1</v>
      </c>
      <c r="IJ36" s="11">
        <f>II36+IJ34</f>
        <v>28</v>
      </c>
      <c r="IK36" s="11">
        <f t="shared" ref="IK36:IK44" si="867">IF(II36=0,IF(IE36=$E36,1,0),0)</f>
        <v>0</v>
      </c>
      <c r="IL36" s="11">
        <f>IK36+IL34</f>
        <v>0</v>
      </c>
      <c r="IM36" s="11">
        <f t="shared" ref="IM36:IM44" si="868">IF($E36-IE36=1,1,0)</f>
        <v>0</v>
      </c>
      <c r="IN36" s="11">
        <f>IM36+IN34</f>
        <v>0</v>
      </c>
      <c r="IO36" s="11">
        <f t="shared" ref="IO36:IO44" si="869">IF(IE36=$E36,1,0)</f>
        <v>0</v>
      </c>
      <c r="IP36" s="11">
        <f>IO36+IP34</f>
        <v>0</v>
      </c>
      <c r="IQ36" s="11">
        <f t="shared" ref="IQ36:IQ44" si="870">IF(IE36-$E36=1,1,0)</f>
        <v>0</v>
      </c>
      <c r="IR36" s="11">
        <f>IQ36+IR34</f>
        <v>0</v>
      </c>
      <c r="IS36" s="11">
        <f t="shared" ref="IS36:IS44" si="871">IF(IE36-$E36&gt;=2,1,0)</f>
        <v>0</v>
      </c>
      <c r="IT36" s="11">
        <f>IS36+IT34</f>
        <v>0</v>
      </c>
      <c r="IU36" s="11">
        <f t="shared" ref="IU36:IU44" si="872">IF(IG36=0,1,0)</f>
        <v>1</v>
      </c>
      <c r="IV36" s="11">
        <f>IU36+IV34</f>
        <v>10</v>
      </c>
      <c r="IW36" s="11">
        <f t="shared" ref="IW36:IW44" si="873">IF(IG36=1,1,0)</f>
        <v>0</v>
      </c>
      <c r="IX36" s="11">
        <f>IW36+IX34</f>
        <v>0</v>
      </c>
      <c r="IY36" s="11">
        <f t="shared" ref="IY36:IY44" si="874">IF(IG36=2,1,0)</f>
        <v>0</v>
      </c>
      <c r="IZ36" s="11">
        <f>IY36+IZ34</f>
        <v>0</v>
      </c>
      <c r="JA36" s="11">
        <f t="shared" ref="JA36:JA44" si="875">IF(IG36&gt;=3,1,0)</f>
        <v>0</v>
      </c>
      <c r="JB36" s="11">
        <f>JA36+JB34</f>
        <v>0</v>
      </c>
      <c r="JC36" s="11">
        <f>IF($E36=3,IE36-3,NA())</f>
        <v>-3</v>
      </c>
      <c r="JD36" s="11"/>
      <c r="JE36" s="11"/>
      <c r="JF36" s="15">
        <f>IE36-'Zusammenfassung Tag1-4'!$J$2/18</f>
        <v>-3</v>
      </c>
      <c r="JG36" s="17">
        <f>JF36+JG34</f>
        <v>-84</v>
      </c>
      <c r="JH36" s="13"/>
      <c r="JI36" s="11">
        <f>JH36+JI34</f>
        <v>0</v>
      </c>
      <c r="JJ36" s="14"/>
      <c r="JK36" s="11">
        <f>JJ36+JK34</f>
        <v>0</v>
      </c>
      <c r="JL36" s="11">
        <f t="shared" ref="JL36:JL44" si="876">IF(JH36-JJ36&lt;=$E36-2,1,0)</f>
        <v>1</v>
      </c>
      <c r="JM36" s="11">
        <f>JL36+JM34</f>
        <v>28</v>
      </c>
      <c r="JN36" s="11">
        <f t="shared" ref="JN36:JN44" si="877">IF(JL36=0,IF(JH36=$E36,1,0),0)</f>
        <v>0</v>
      </c>
      <c r="JO36" s="11">
        <f>JN36+JO34</f>
        <v>0</v>
      </c>
      <c r="JP36" s="11">
        <f t="shared" ref="JP36:JP44" si="878">IF($E36-JH36=1,1,0)</f>
        <v>0</v>
      </c>
      <c r="JQ36" s="11">
        <f>JP36+JQ34</f>
        <v>0</v>
      </c>
      <c r="JR36" s="11">
        <f t="shared" ref="JR36:JR44" si="879">IF(JH36=$E36,1,0)</f>
        <v>0</v>
      </c>
      <c r="JS36" s="11">
        <f>JR36+JS34</f>
        <v>0</v>
      </c>
      <c r="JT36" s="11">
        <f t="shared" ref="JT36:JT44" si="880">IF(JH36-$E36=1,1,0)</f>
        <v>0</v>
      </c>
      <c r="JU36" s="11">
        <f>JT36+JU34</f>
        <v>0</v>
      </c>
      <c r="JV36" s="11">
        <f t="shared" ref="JV36:JV44" si="881">IF(JH36-$E36&gt;=2,1,0)</f>
        <v>0</v>
      </c>
      <c r="JW36" s="11">
        <f>JV36+JW34</f>
        <v>0</v>
      </c>
      <c r="JX36" s="11">
        <f t="shared" ref="JX36:JX44" si="882">IF(JJ36=0,1,0)</f>
        <v>1</v>
      </c>
      <c r="JY36" s="11">
        <f>JX36+JY34</f>
        <v>10</v>
      </c>
      <c r="JZ36" s="11">
        <f t="shared" ref="JZ36:JZ44" si="883">IF(JJ36=1,1,0)</f>
        <v>0</v>
      </c>
      <c r="KA36" s="11">
        <f>JZ36+KA34</f>
        <v>0</v>
      </c>
      <c r="KB36" s="11">
        <f t="shared" ref="KB36:KB44" si="884">IF(JJ36=2,1,0)</f>
        <v>0</v>
      </c>
      <c r="KC36" s="11">
        <f>KB36+KC34</f>
        <v>0</v>
      </c>
      <c r="KD36" s="11">
        <f t="shared" ref="KD36:KD44" si="885">IF(JJ36&gt;=3,1,0)</f>
        <v>0</v>
      </c>
      <c r="KE36" s="11">
        <f>KD36+KE34</f>
        <v>0</v>
      </c>
      <c r="KF36" s="11">
        <f>IF($E36=3,JH36-3,NA())</f>
        <v>-3</v>
      </c>
      <c r="KG36" s="11"/>
      <c r="KH36" s="11"/>
      <c r="KI36" s="15">
        <f>JH36-'Zusammenfassung Tag1-4'!$K$2/18</f>
        <v>-0.77777777777777779</v>
      </c>
      <c r="KJ36" s="17">
        <f>KI36+KJ34</f>
        <v>-21.777777777777789</v>
      </c>
      <c r="KK36" s="10"/>
      <c r="KL36" s="10"/>
      <c r="KM36" s="10"/>
      <c r="KN36" s="10"/>
      <c r="KO36" s="10"/>
      <c r="KP36" s="10"/>
      <c r="KQ36" s="10"/>
      <c r="KR36" s="10"/>
      <c r="KS36" s="10"/>
      <c r="KT36" s="10"/>
      <c r="KU36" s="10"/>
      <c r="KV36" s="10"/>
      <c r="KW36" s="10"/>
      <c r="KX36" s="10"/>
      <c r="KY36" s="10"/>
      <c r="KZ36" s="10"/>
      <c r="LA36" s="10"/>
      <c r="LB36" s="10"/>
      <c r="LC36" s="10"/>
      <c r="LD36" s="10"/>
    </row>
    <row r="37" spans="1:316" ht="15.75" customHeight="1" x14ac:dyDescent="0.25">
      <c r="A37" s="106"/>
      <c r="B37" s="103"/>
      <c r="C37" s="6">
        <v>11</v>
      </c>
      <c r="D37" s="6">
        <f t="shared" ref="D37:D44" si="886">D36+1</f>
        <v>29</v>
      </c>
      <c r="E37" s="6">
        <v>4</v>
      </c>
      <c r="F37" s="7">
        <f t="shared" ref="F37:F44" si="887">E37+F36</f>
        <v>116</v>
      </c>
      <c r="G37" s="18">
        <v>4</v>
      </c>
      <c r="H37" s="6">
        <f t="shared" ref="H37:H44" si="888">G37+H36</f>
        <v>145</v>
      </c>
      <c r="I37" s="19">
        <v>1</v>
      </c>
      <c r="J37" s="6">
        <f t="shared" ref="J37:J44" si="889">I37+J36</f>
        <v>58</v>
      </c>
      <c r="K37" s="6">
        <f t="shared" si="786"/>
        <v>0</v>
      </c>
      <c r="L37" s="6">
        <f t="shared" ref="L37:L44" si="890">K37+L36</f>
        <v>11</v>
      </c>
      <c r="M37" s="6">
        <f t="shared" si="787"/>
        <v>1</v>
      </c>
      <c r="N37" s="6">
        <f t="shared" ref="N37:N44" si="891">M37+N36</f>
        <v>3</v>
      </c>
      <c r="O37" s="6">
        <f t="shared" si="788"/>
        <v>0</v>
      </c>
      <c r="P37" s="6">
        <f t="shared" ref="P37:P44" si="892">O37+P36</f>
        <v>1</v>
      </c>
      <c r="Q37" s="6">
        <f t="shared" si="789"/>
        <v>1</v>
      </c>
      <c r="R37" s="6">
        <f t="shared" ref="R37:R44" si="893">Q37+R36</f>
        <v>4</v>
      </c>
      <c r="S37" s="6">
        <f t="shared" si="790"/>
        <v>0</v>
      </c>
      <c r="T37" s="6">
        <f t="shared" ref="T37:T44" si="894">S37+T36</f>
        <v>3</v>
      </c>
      <c r="U37" s="6">
        <f t="shared" si="791"/>
        <v>0</v>
      </c>
      <c r="V37" s="6">
        <f t="shared" ref="V37:V44" si="895">U37+V36</f>
        <v>4</v>
      </c>
      <c r="W37" s="6">
        <f t="shared" si="792"/>
        <v>0</v>
      </c>
      <c r="X37" s="6">
        <f t="shared" ref="X37:X44" si="896">W37+X36</f>
        <v>0</v>
      </c>
      <c r="Y37" s="6">
        <f t="shared" si="793"/>
        <v>1</v>
      </c>
      <c r="Z37" s="6">
        <f t="shared" ref="Z37:Z44" si="897">Y37+Z36</f>
        <v>6</v>
      </c>
      <c r="AA37" s="6">
        <f t="shared" si="794"/>
        <v>0</v>
      </c>
      <c r="AB37" s="6">
        <f t="shared" ref="AB37:AB44" si="898">AA37+AB36</f>
        <v>7</v>
      </c>
      <c r="AC37" s="6">
        <f t="shared" si="795"/>
        <v>0</v>
      </c>
      <c r="AD37" s="6">
        <f t="shared" ref="AD37:AD44" si="899">AC37+AD36</f>
        <v>5</v>
      </c>
      <c r="AE37" s="6"/>
      <c r="AF37" s="6">
        <f t="shared" ref="AF37:AF38" si="900">IF($E37=4,G37-4,NA())</f>
        <v>0</v>
      </c>
      <c r="AG37" s="6"/>
      <c r="AH37" s="20">
        <f>G37-'Zusammenfassung Tag1-4'!$B$2/18</f>
        <v>2.8888888888888888</v>
      </c>
      <c r="AI37" s="21">
        <f t="shared" ref="AI37:AI44" si="901">AH37+AI36</f>
        <v>112.77777777777771</v>
      </c>
      <c r="AJ37" s="18">
        <v>4</v>
      </c>
      <c r="AK37" s="6">
        <f t="shared" ref="AK37:AK44" si="902">AJ37+AK36</f>
        <v>129</v>
      </c>
      <c r="AL37" s="19">
        <v>2</v>
      </c>
      <c r="AM37" s="6">
        <f t="shared" ref="AM37:AM44" si="903">AL37+AM36</f>
        <v>54</v>
      </c>
      <c r="AN37" s="6">
        <f t="shared" si="796"/>
        <v>1</v>
      </c>
      <c r="AO37" s="6">
        <f t="shared" ref="AO37:AO44" si="904">AN37+AO36</f>
        <v>17</v>
      </c>
      <c r="AP37" s="6">
        <f t="shared" si="797"/>
        <v>0</v>
      </c>
      <c r="AQ37" s="6">
        <f t="shared" ref="AQ37:AQ44" si="905">AP37+AQ36</f>
        <v>4</v>
      </c>
      <c r="AR37" s="6">
        <f t="shared" si="798"/>
        <v>0</v>
      </c>
      <c r="AS37" s="6">
        <f t="shared" ref="AS37:AS44" si="906">AR37+AS36</f>
        <v>1</v>
      </c>
      <c r="AT37" s="6">
        <f t="shared" si="799"/>
        <v>1</v>
      </c>
      <c r="AU37" s="6">
        <f t="shared" ref="AU37:AU44" si="907">AT37+AU36</f>
        <v>7</v>
      </c>
      <c r="AV37" s="6">
        <f t="shared" si="800"/>
        <v>0</v>
      </c>
      <c r="AW37" s="6">
        <f t="shared" ref="AW37:AW44" si="908">AV37+AW36</f>
        <v>2</v>
      </c>
      <c r="AX37" s="6">
        <f t="shared" si="801"/>
        <v>0</v>
      </c>
      <c r="AY37" s="6">
        <f t="shared" ref="AY37:AY44" si="909">AX37+AY36</f>
        <v>1</v>
      </c>
      <c r="AZ37" s="6">
        <f t="shared" si="802"/>
        <v>0</v>
      </c>
      <c r="BA37" s="6">
        <f t="shared" ref="BA37:BA44" si="910">AZ37+BA36</f>
        <v>0</v>
      </c>
      <c r="BB37" s="6">
        <f t="shared" si="803"/>
        <v>0</v>
      </c>
      <c r="BC37" s="6">
        <f t="shared" ref="BC37:BC44" si="911">BB37+BC36</f>
        <v>7</v>
      </c>
      <c r="BD37" s="6">
        <f t="shared" si="804"/>
        <v>1</v>
      </c>
      <c r="BE37" s="6">
        <f t="shared" ref="BE37:BE44" si="912">BD37+BE36</f>
        <v>8</v>
      </c>
      <c r="BF37" s="6">
        <f t="shared" si="805"/>
        <v>0</v>
      </c>
      <c r="BG37" s="6">
        <f t="shared" ref="BG37:BG44" si="913">BF37+BG36</f>
        <v>3</v>
      </c>
      <c r="BH37" s="6"/>
      <c r="BI37" s="6">
        <f t="shared" ref="BI37:BI38" si="914">IF($E37=4,AJ37-4,NA())</f>
        <v>0</v>
      </c>
      <c r="BJ37" s="6"/>
      <c r="BK37" s="20">
        <f>AJ37-'Zusammenfassung Tag1-4'!$C$2/18</f>
        <v>3.3333333333333335</v>
      </c>
      <c r="BL37" s="21">
        <f t="shared" ref="BL37:BL44" si="915">BK37+BL36</f>
        <v>109.66666666666663</v>
      </c>
      <c r="BM37" s="18">
        <v>6</v>
      </c>
      <c r="BN37" s="6">
        <f t="shared" ref="BN37:BN44" si="916">BM37+BN36</f>
        <v>161</v>
      </c>
      <c r="BO37" s="19">
        <v>2</v>
      </c>
      <c r="BP37" s="6">
        <f t="shared" ref="BP37:BP44" si="917">BO37+BP36</f>
        <v>60</v>
      </c>
      <c r="BQ37" s="6">
        <f t="shared" si="806"/>
        <v>0</v>
      </c>
      <c r="BR37" s="6">
        <f t="shared" ref="BR37:BR44" si="918">BQ37+BR36</f>
        <v>5</v>
      </c>
      <c r="BS37" s="6">
        <f t="shared" si="807"/>
        <v>0</v>
      </c>
      <c r="BT37" s="6">
        <f t="shared" ref="BT37:BT44" si="919">BS37+BT36</f>
        <v>2</v>
      </c>
      <c r="BU37" s="6">
        <f t="shared" si="808"/>
        <v>0</v>
      </c>
      <c r="BV37" s="6">
        <f t="shared" ref="BV37:BV44" si="920">BU37+BV36</f>
        <v>0</v>
      </c>
      <c r="BW37" s="6">
        <f t="shared" si="809"/>
        <v>0</v>
      </c>
      <c r="BX37" s="6">
        <f t="shared" ref="BX37:BX44" si="921">BW37+BX36</f>
        <v>2</v>
      </c>
      <c r="BY37" s="6">
        <f t="shared" si="810"/>
        <v>0</v>
      </c>
      <c r="BZ37" s="6">
        <f t="shared" ref="BZ37:BZ44" si="922">BY37+BZ36</f>
        <v>2</v>
      </c>
      <c r="CA37" s="6">
        <f t="shared" si="811"/>
        <v>1</v>
      </c>
      <c r="CB37" s="6">
        <f t="shared" ref="CB37:CB44" si="923">CA37+CB36</f>
        <v>7</v>
      </c>
      <c r="CC37" s="6">
        <f t="shared" si="812"/>
        <v>0</v>
      </c>
      <c r="CD37" s="6">
        <f t="shared" ref="CD37:CD44" si="924">CC37+CD36</f>
        <v>0</v>
      </c>
      <c r="CE37" s="6">
        <f t="shared" si="813"/>
        <v>0</v>
      </c>
      <c r="CF37" s="6">
        <f t="shared" ref="CF37:CF44" si="925">CE37+CF36</f>
        <v>4</v>
      </c>
      <c r="CG37" s="6">
        <f t="shared" si="814"/>
        <v>1</v>
      </c>
      <c r="CH37" s="6">
        <f t="shared" ref="CH37:CH44" si="926">CG37+CH36</f>
        <v>7</v>
      </c>
      <c r="CI37" s="6">
        <f t="shared" si="815"/>
        <v>0</v>
      </c>
      <c r="CJ37" s="6">
        <f t="shared" ref="CJ37:CJ44" si="927">CI37+CJ36</f>
        <v>6</v>
      </c>
      <c r="CK37" s="6"/>
      <c r="CL37" s="6">
        <f t="shared" ref="CL37:CL38" si="928">IF($E37=4,BM37-4,NA())</f>
        <v>2</v>
      </c>
      <c r="CM37" s="6"/>
      <c r="CN37" s="20">
        <f>BM37-'Zusammenfassung Tag1-4'!$D$2/18</f>
        <v>4.666666666666667</v>
      </c>
      <c r="CO37" s="21">
        <f t="shared" ref="CO37:CO44" si="929">CN37+CO36</f>
        <v>122.33333333333337</v>
      </c>
      <c r="CP37" s="18">
        <v>6</v>
      </c>
      <c r="CQ37" s="6">
        <f t="shared" ref="CQ37:CQ44" si="930">CP37+CQ36</f>
        <v>154</v>
      </c>
      <c r="CR37" s="19">
        <v>2</v>
      </c>
      <c r="CS37" s="6">
        <f t="shared" ref="CS37:CS44" si="931">CR37+CS36</f>
        <v>59</v>
      </c>
      <c r="CT37" s="6">
        <f t="shared" si="816"/>
        <v>0</v>
      </c>
      <c r="CU37" s="6">
        <f t="shared" ref="CU37:CU44" si="932">CT37+CU36</f>
        <v>5</v>
      </c>
      <c r="CV37" s="6">
        <f t="shared" si="817"/>
        <v>0</v>
      </c>
      <c r="CW37" s="6">
        <f t="shared" ref="CW37:CW44" si="933">CV37+CW36</f>
        <v>3</v>
      </c>
      <c r="CX37" s="6">
        <f t="shared" si="818"/>
        <v>0</v>
      </c>
      <c r="CY37" s="6">
        <f t="shared" ref="CY37:CY44" si="934">CX37+CY36</f>
        <v>0</v>
      </c>
      <c r="CZ37" s="6">
        <f t="shared" si="819"/>
        <v>0</v>
      </c>
      <c r="DA37" s="6">
        <f t="shared" ref="DA37:DA44" si="935">CZ37+DA36</f>
        <v>2</v>
      </c>
      <c r="DB37" s="6">
        <f t="shared" si="820"/>
        <v>0</v>
      </c>
      <c r="DC37" s="6">
        <f t="shared" ref="DC37:DC44" si="936">DB37+DC36</f>
        <v>7</v>
      </c>
      <c r="DD37" s="6">
        <f t="shared" si="821"/>
        <v>1</v>
      </c>
      <c r="DE37" s="6">
        <f t="shared" ref="DE37:DE44" si="937">DD37+DE36</f>
        <v>2</v>
      </c>
      <c r="DF37" s="6">
        <f t="shared" si="822"/>
        <v>0</v>
      </c>
      <c r="DG37" s="6">
        <f t="shared" ref="DG37:DG44" si="938">DF37+DG36</f>
        <v>0</v>
      </c>
      <c r="DH37" s="6">
        <f t="shared" si="823"/>
        <v>0</v>
      </c>
      <c r="DI37" s="6">
        <f t="shared" ref="DI37:DI44" si="939">DH37+DI36</f>
        <v>5</v>
      </c>
      <c r="DJ37" s="6">
        <f t="shared" si="824"/>
        <v>1</v>
      </c>
      <c r="DK37" s="6">
        <f t="shared" ref="DK37:DK44" si="940">DJ37+DK36</f>
        <v>8</v>
      </c>
      <c r="DL37" s="6">
        <f t="shared" si="825"/>
        <v>0</v>
      </c>
      <c r="DM37" s="6">
        <f t="shared" ref="DM37:DM44" si="941">DL37+DM36</f>
        <v>6</v>
      </c>
      <c r="DN37" s="6"/>
      <c r="DO37" s="6">
        <f t="shared" ref="DO37:DO38" si="942">IF($E37=4,CP37-4,NA())</f>
        <v>2</v>
      </c>
      <c r="DP37" s="6"/>
      <c r="DQ37" s="20">
        <f>CP37-'Zusammenfassung Tag1-4'!$E$2/18</f>
        <v>4.7222222222222223</v>
      </c>
      <c r="DR37" s="22">
        <f t="shared" ref="DR37:DR44" si="943">DQ37+DR36</f>
        <v>116.94444444444451</v>
      </c>
      <c r="DS37" s="18">
        <v>7</v>
      </c>
      <c r="DT37" s="6">
        <f t="shared" ref="DT37:DT44" si="944">DS37+DT36</f>
        <v>222</v>
      </c>
      <c r="DU37" s="19">
        <v>2</v>
      </c>
      <c r="DV37" s="6">
        <f t="shared" ref="DV37:DV44" si="945">DU37+DV36</f>
        <v>65</v>
      </c>
      <c r="DW37" s="6">
        <f t="shared" si="826"/>
        <v>0</v>
      </c>
      <c r="DX37" s="6">
        <f t="shared" ref="DX37:DX44" si="946">DW37+DX36</f>
        <v>1</v>
      </c>
      <c r="DY37" s="6">
        <f t="shared" si="827"/>
        <v>0</v>
      </c>
      <c r="DZ37" s="6">
        <f t="shared" ref="DZ37:DZ44" si="947">DY37+DZ36</f>
        <v>0</v>
      </c>
      <c r="EA37" s="6">
        <f t="shared" si="828"/>
        <v>0</v>
      </c>
      <c r="EB37" s="6">
        <f t="shared" ref="EB37:EB44" si="948">EA37+EB36</f>
        <v>0</v>
      </c>
      <c r="EC37" s="6">
        <f t="shared" si="829"/>
        <v>0</v>
      </c>
      <c r="ED37" s="6">
        <f t="shared" ref="ED37:ED44" si="949">EC37+ED36</f>
        <v>0</v>
      </c>
      <c r="EE37" s="6">
        <f t="shared" si="830"/>
        <v>0</v>
      </c>
      <c r="EF37" s="6">
        <f t="shared" ref="EF37:EF44" si="950">EE37+EF36</f>
        <v>1</v>
      </c>
      <c r="EG37" s="6">
        <f t="shared" si="831"/>
        <v>1</v>
      </c>
      <c r="EH37" s="6">
        <f t="shared" ref="EH37:EH44" si="951">EG37+EH36</f>
        <v>10</v>
      </c>
      <c r="EI37" s="6">
        <f t="shared" si="832"/>
        <v>0</v>
      </c>
      <c r="EJ37" s="6">
        <f t="shared" ref="EJ37:EJ44" si="952">EI37+EJ36</f>
        <v>0</v>
      </c>
      <c r="EK37" s="6">
        <f t="shared" si="833"/>
        <v>0</v>
      </c>
      <c r="EL37" s="6">
        <f t="shared" ref="EL37:EL44" si="953">EK37+EL36</f>
        <v>1</v>
      </c>
      <c r="EM37" s="6">
        <f t="shared" si="834"/>
        <v>1</v>
      </c>
      <c r="EN37" s="6">
        <f t="shared" ref="EN37:EN44" si="954">EM37+EN36</f>
        <v>8</v>
      </c>
      <c r="EO37" s="6">
        <f t="shared" si="835"/>
        <v>0</v>
      </c>
      <c r="EP37" s="6">
        <f t="shared" ref="EP37:EP44" si="955">EO37+EP36</f>
        <v>7</v>
      </c>
      <c r="EQ37" s="6"/>
      <c r="ER37" s="6">
        <f t="shared" ref="ER37:ER38" si="956">IF($E37=4,DS37-4,NA())</f>
        <v>3</v>
      </c>
      <c r="ES37" s="6"/>
      <c r="ET37" s="20">
        <f>DS37-'Zusammenfassung Tag1-4'!$F$2/18</f>
        <v>4</v>
      </c>
      <c r="EU37" s="22">
        <f t="shared" ref="EU37:EU44" si="957">ET37+EU36</f>
        <v>135</v>
      </c>
      <c r="EV37" s="18">
        <v>6</v>
      </c>
      <c r="EW37" s="6">
        <f t="shared" ref="EW37:EW44" si="958">EV37+EW36</f>
        <v>161</v>
      </c>
      <c r="EX37" s="19">
        <v>2</v>
      </c>
      <c r="EY37" s="6">
        <f t="shared" ref="EY37:EY44" si="959">EX37+EY36</f>
        <v>63</v>
      </c>
      <c r="EZ37" s="6">
        <f t="shared" si="836"/>
        <v>0</v>
      </c>
      <c r="FA37" s="6">
        <f t="shared" ref="FA37:FA44" si="960">EZ37+FA36</f>
        <v>6</v>
      </c>
      <c r="FB37" s="6">
        <f t="shared" si="837"/>
        <v>0</v>
      </c>
      <c r="FC37" s="6">
        <f t="shared" ref="FC37:FC44" si="961">FB37+FC36</f>
        <v>0</v>
      </c>
      <c r="FD37" s="6">
        <f t="shared" si="838"/>
        <v>0</v>
      </c>
      <c r="FE37" s="6">
        <f t="shared" ref="FE37:FE44" si="962">FD37+FE36</f>
        <v>1</v>
      </c>
      <c r="FF37" s="6">
        <f t="shared" si="839"/>
        <v>0</v>
      </c>
      <c r="FG37" s="6">
        <f t="shared" ref="FG37:FG44" si="963">FF37+FG36</f>
        <v>1</v>
      </c>
      <c r="FH37" s="6">
        <f t="shared" si="840"/>
        <v>0</v>
      </c>
      <c r="FI37" s="6">
        <f t="shared" ref="FI37:FI44" si="964">FH37+FI36</f>
        <v>3</v>
      </c>
      <c r="FJ37" s="6">
        <f t="shared" si="841"/>
        <v>1</v>
      </c>
      <c r="FK37" s="6">
        <f t="shared" ref="FK37:FK44" si="965">FJ37+FK36</f>
        <v>6</v>
      </c>
      <c r="FL37" s="6">
        <f t="shared" si="842"/>
        <v>0</v>
      </c>
      <c r="FM37" s="6">
        <f t="shared" ref="FM37:FM44" si="966">FL37+FM36</f>
        <v>0</v>
      </c>
      <c r="FN37" s="6">
        <f t="shared" si="843"/>
        <v>0</v>
      </c>
      <c r="FO37" s="6">
        <f t="shared" ref="FO37:FO44" si="967">FN37+FO36</f>
        <v>2</v>
      </c>
      <c r="FP37" s="6">
        <f t="shared" si="844"/>
        <v>1</v>
      </c>
      <c r="FQ37" s="6">
        <f t="shared" ref="FQ37:FQ44" si="968">FP37+FQ36</f>
        <v>10</v>
      </c>
      <c r="FR37" s="6">
        <f t="shared" si="845"/>
        <v>0</v>
      </c>
      <c r="FS37" s="6">
        <f t="shared" ref="FS37:FS44" si="969">FR37+FS36</f>
        <v>7</v>
      </c>
      <c r="FT37" s="6"/>
      <c r="FU37" s="6">
        <f t="shared" ref="FU37:FU38" si="970">IF($E37=4,EV37-4,NA())</f>
        <v>2</v>
      </c>
      <c r="FV37" s="6"/>
      <c r="FW37" s="20">
        <f>EV37-'Zusammenfassung Tag1-4'!$G$2/18</f>
        <v>4.5</v>
      </c>
      <c r="FX37" s="22">
        <f t="shared" ref="FX37:FX44" si="971">FW37+FX36</f>
        <v>117.5</v>
      </c>
      <c r="FY37" s="18">
        <v>8</v>
      </c>
      <c r="FZ37" s="6">
        <f t="shared" ref="FZ37:FZ44" si="972">FY37+FZ36</f>
        <v>216</v>
      </c>
      <c r="GA37" s="19">
        <v>2</v>
      </c>
      <c r="GB37" s="6">
        <f t="shared" ref="GB37:GB44" si="973">GA37+GB36</f>
        <v>69</v>
      </c>
      <c r="GC37" s="6">
        <f t="shared" si="846"/>
        <v>0</v>
      </c>
      <c r="GD37" s="6">
        <f t="shared" ref="GD37:GD44" si="974">GC37+GD36</f>
        <v>1</v>
      </c>
      <c r="GE37" s="6">
        <f t="shared" si="847"/>
        <v>0</v>
      </c>
      <c r="GF37" s="6">
        <f t="shared" ref="GF37:GF44" si="975">GE37+GF36</f>
        <v>0</v>
      </c>
      <c r="GG37" s="6">
        <f t="shared" si="848"/>
        <v>0</v>
      </c>
      <c r="GH37" s="6">
        <f t="shared" ref="GH37:GH44" si="976">GG37+GH36</f>
        <v>0</v>
      </c>
      <c r="GI37" s="6">
        <f t="shared" si="849"/>
        <v>0</v>
      </c>
      <c r="GJ37" s="6">
        <f t="shared" ref="GJ37:GJ44" si="977">GI37+GJ36</f>
        <v>0</v>
      </c>
      <c r="GK37" s="6">
        <f t="shared" si="850"/>
        <v>0</v>
      </c>
      <c r="GL37" s="6">
        <f t="shared" ref="GL37:GL44" si="978">GK37+GL36</f>
        <v>1</v>
      </c>
      <c r="GM37" s="6">
        <f t="shared" si="851"/>
        <v>1</v>
      </c>
      <c r="GN37" s="6">
        <f t="shared" ref="GN37:GN44" si="979">GM37+GN36</f>
        <v>10</v>
      </c>
      <c r="GO37" s="6">
        <f t="shared" si="852"/>
        <v>0</v>
      </c>
      <c r="GP37" s="6">
        <f t="shared" ref="GP37:GP44" si="980">GO37+GP36</f>
        <v>0</v>
      </c>
      <c r="GQ37" s="6">
        <f t="shared" si="853"/>
        <v>0</v>
      </c>
      <c r="GR37" s="6">
        <f t="shared" ref="GR37:GR44" si="981">GQ37+GR36</f>
        <v>2</v>
      </c>
      <c r="GS37" s="6">
        <f t="shared" si="854"/>
        <v>1</v>
      </c>
      <c r="GT37" s="6">
        <f t="shared" ref="GT37:GT44" si="982">GS37+GT36</f>
        <v>6</v>
      </c>
      <c r="GU37" s="6">
        <f t="shared" si="855"/>
        <v>0</v>
      </c>
      <c r="GV37" s="6">
        <f t="shared" ref="GV37:GV44" si="983">GU37+GV36</f>
        <v>13</v>
      </c>
      <c r="GW37" s="6"/>
      <c r="GX37" s="6">
        <f t="shared" ref="GX37:GX38" si="984">IF($E37=4,FY37-4,NA())</f>
        <v>4</v>
      </c>
      <c r="GY37" s="6"/>
      <c r="GZ37" s="20">
        <f>FY37-'Zusammenfassung Tag1-4'!$H$2/18</f>
        <v>5</v>
      </c>
      <c r="HA37" s="22">
        <f t="shared" ref="HA37:HA44" si="985">GZ37+HA36</f>
        <v>129</v>
      </c>
      <c r="HB37" s="18">
        <v>4</v>
      </c>
      <c r="HC37" s="6">
        <f t="shared" ref="HC37:HC44" si="986">HB37+HC36</f>
        <v>154</v>
      </c>
      <c r="HD37" s="19">
        <v>1</v>
      </c>
      <c r="HE37" s="6">
        <f t="shared" ref="HE37:HE44" si="987">HD37+HE36</f>
        <v>60</v>
      </c>
      <c r="HF37" s="6">
        <f t="shared" si="856"/>
        <v>0</v>
      </c>
      <c r="HG37" s="6">
        <f t="shared" ref="HG37:HG44" si="988">HF37+HG36</f>
        <v>7</v>
      </c>
      <c r="HH37" s="6">
        <f t="shared" si="857"/>
        <v>1</v>
      </c>
      <c r="HI37" s="6">
        <f t="shared" ref="HI37:HI44" si="989">HH37+HI36</f>
        <v>4</v>
      </c>
      <c r="HJ37" s="6">
        <f t="shared" si="858"/>
        <v>0</v>
      </c>
      <c r="HK37" s="6">
        <f t="shared" ref="HK37:HK44" si="990">HJ37+HK36</f>
        <v>0</v>
      </c>
      <c r="HL37" s="6">
        <f t="shared" si="859"/>
        <v>1</v>
      </c>
      <c r="HM37" s="6">
        <f t="shared" ref="HM37:HM44" si="991">HL37+HM36</f>
        <v>2</v>
      </c>
      <c r="HN37" s="6">
        <f t="shared" si="860"/>
        <v>0</v>
      </c>
      <c r="HO37" s="6">
        <f t="shared" ref="HO37:HO44" si="992">HN37+HO36</f>
        <v>6</v>
      </c>
      <c r="HP37" s="6">
        <f t="shared" si="861"/>
        <v>0</v>
      </c>
      <c r="HQ37" s="6">
        <f t="shared" ref="HQ37:HQ44" si="993">HP37+HQ36</f>
        <v>3</v>
      </c>
      <c r="HR37" s="6">
        <f t="shared" si="862"/>
        <v>0</v>
      </c>
      <c r="HS37" s="6">
        <f t="shared" ref="HS37:HS44" si="994">HR37+HS36</f>
        <v>0</v>
      </c>
      <c r="HT37" s="6">
        <f t="shared" si="863"/>
        <v>1</v>
      </c>
      <c r="HU37" s="6">
        <f t="shared" ref="HU37:HU44" si="995">HT37+HU36</f>
        <v>4</v>
      </c>
      <c r="HV37" s="6">
        <f t="shared" si="864"/>
        <v>0</v>
      </c>
      <c r="HW37" s="6">
        <f t="shared" ref="HW37:HW44" si="996">HV37+HW36</f>
        <v>8</v>
      </c>
      <c r="HX37" s="6">
        <f t="shared" si="865"/>
        <v>0</v>
      </c>
      <c r="HY37" s="6">
        <f t="shared" ref="HY37:HY44" si="997">HX37+HY36</f>
        <v>6</v>
      </c>
      <c r="HZ37" s="6"/>
      <c r="IA37" s="6">
        <f t="shared" ref="IA37:IA38" si="998">IF($E37=4,HB37-4,NA())</f>
        <v>0</v>
      </c>
      <c r="IB37" s="6"/>
      <c r="IC37" s="20">
        <f>HB37-'Zusammenfassung Tag1-4'!$I$2/18</f>
        <v>3</v>
      </c>
      <c r="ID37" s="22">
        <f t="shared" ref="ID37:ID44" si="999">IC37+ID36</f>
        <v>125</v>
      </c>
      <c r="IE37" s="18"/>
      <c r="IF37" s="6">
        <f t="shared" ref="IF37:IF44" si="1000">IE37+IF36</f>
        <v>0</v>
      </c>
      <c r="IG37" s="19"/>
      <c r="IH37" s="6">
        <f t="shared" ref="IH37:IH44" si="1001">IG37+IH36</f>
        <v>0</v>
      </c>
      <c r="II37" s="6">
        <f t="shared" si="866"/>
        <v>1</v>
      </c>
      <c r="IJ37" s="6">
        <f t="shared" ref="IJ37:IJ44" si="1002">II37+IJ36</f>
        <v>29</v>
      </c>
      <c r="IK37" s="6">
        <f t="shared" si="867"/>
        <v>0</v>
      </c>
      <c r="IL37" s="6">
        <f t="shared" ref="IL37:IL44" si="1003">IK37+IL36</f>
        <v>0</v>
      </c>
      <c r="IM37" s="6">
        <f t="shared" si="868"/>
        <v>0</v>
      </c>
      <c r="IN37" s="6">
        <f t="shared" ref="IN37:IN44" si="1004">IM37+IN36</f>
        <v>0</v>
      </c>
      <c r="IO37" s="6">
        <f t="shared" si="869"/>
        <v>0</v>
      </c>
      <c r="IP37" s="6">
        <f t="shared" ref="IP37:IP44" si="1005">IO37+IP36</f>
        <v>0</v>
      </c>
      <c r="IQ37" s="6">
        <f t="shared" si="870"/>
        <v>0</v>
      </c>
      <c r="IR37" s="6">
        <f t="shared" ref="IR37:IR44" si="1006">IQ37+IR36</f>
        <v>0</v>
      </c>
      <c r="IS37" s="6">
        <f t="shared" si="871"/>
        <v>0</v>
      </c>
      <c r="IT37" s="6">
        <f t="shared" ref="IT37:IT44" si="1007">IS37+IT36</f>
        <v>0</v>
      </c>
      <c r="IU37" s="6">
        <f t="shared" si="872"/>
        <v>1</v>
      </c>
      <c r="IV37" s="6">
        <f t="shared" ref="IV37:IV44" si="1008">IU37+IV36</f>
        <v>11</v>
      </c>
      <c r="IW37" s="6">
        <f t="shared" si="873"/>
        <v>0</v>
      </c>
      <c r="IX37" s="6">
        <f t="shared" ref="IX37:IX44" si="1009">IW37+IX36</f>
        <v>0</v>
      </c>
      <c r="IY37" s="6">
        <f t="shared" si="874"/>
        <v>0</v>
      </c>
      <c r="IZ37" s="6">
        <f t="shared" ref="IZ37:IZ44" si="1010">IY37+IZ36</f>
        <v>0</v>
      </c>
      <c r="JA37" s="6">
        <f t="shared" si="875"/>
        <v>0</v>
      </c>
      <c r="JB37" s="6">
        <f t="shared" ref="JB37:JB44" si="1011">JA37+JB36</f>
        <v>0</v>
      </c>
      <c r="JC37" s="6"/>
      <c r="JD37" s="6">
        <f t="shared" ref="JD37:JD38" si="1012">IF($E37=4,IE37-4,NA())</f>
        <v>-4</v>
      </c>
      <c r="JE37" s="6"/>
      <c r="JF37" s="20">
        <f>IE37-'Zusammenfassung Tag1-4'!$J$2/18</f>
        <v>-3</v>
      </c>
      <c r="JG37" s="22">
        <f t="shared" ref="JG37:JG44" si="1013">JF37+JG36</f>
        <v>-87</v>
      </c>
      <c r="JH37" s="18"/>
      <c r="JI37" s="6">
        <f t="shared" ref="JI37:JI44" si="1014">JH37+JI36</f>
        <v>0</v>
      </c>
      <c r="JJ37" s="19"/>
      <c r="JK37" s="6">
        <f t="shared" ref="JK37:JK44" si="1015">JJ37+JK36</f>
        <v>0</v>
      </c>
      <c r="JL37" s="6">
        <f t="shared" si="876"/>
        <v>1</v>
      </c>
      <c r="JM37" s="6">
        <f t="shared" ref="JM37:JM44" si="1016">JL37+JM36</f>
        <v>29</v>
      </c>
      <c r="JN37" s="6">
        <f t="shared" si="877"/>
        <v>0</v>
      </c>
      <c r="JO37" s="6">
        <f t="shared" ref="JO37:JO44" si="1017">JN37+JO36</f>
        <v>0</v>
      </c>
      <c r="JP37" s="6">
        <f t="shared" si="878"/>
        <v>0</v>
      </c>
      <c r="JQ37" s="6">
        <f t="shared" ref="JQ37:JQ44" si="1018">JP37+JQ36</f>
        <v>0</v>
      </c>
      <c r="JR37" s="6">
        <f t="shared" si="879"/>
        <v>0</v>
      </c>
      <c r="JS37" s="6">
        <f t="shared" ref="JS37:JS44" si="1019">JR37+JS36</f>
        <v>0</v>
      </c>
      <c r="JT37" s="6">
        <f t="shared" si="880"/>
        <v>0</v>
      </c>
      <c r="JU37" s="6">
        <f t="shared" ref="JU37:JU44" si="1020">JT37+JU36</f>
        <v>0</v>
      </c>
      <c r="JV37" s="6">
        <f t="shared" si="881"/>
        <v>0</v>
      </c>
      <c r="JW37" s="6">
        <f t="shared" ref="JW37:JW44" si="1021">JV37+JW36</f>
        <v>0</v>
      </c>
      <c r="JX37" s="6">
        <f t="shared" si="882"/>
        <v>1</v>
      </c>
      <c r="JY37" s="6">
        <f t="shared" ref="JY37:JY44" si="1022">JX37+JY36</f>
        <v>11</v>
      </c>
      <c r="JZ37" s="6">
        <f t="shared" si="883"/>
        <v>0</v>
      </c>
      <c r="KA37" s="6">
        <f t="shared" ref="KA37:KA44" si="1023">JZ37+KA36</f>
        <v>0</v>
      </c>
      <c r="KB37" s="6">
        <f t="shared" si="884"/>
        <v>0</v>
      </c>
      <c r="KC37" s="6">
        <f t="shared" ref="KC37:KC44" si="1024">KB37+KC36</f>
        <v>0</v>
      </c>
      <c r="KD37" s="6">
        <f t="shared" si="885"/>
        <v>0</v>
      </c>
      <c r="KE37" s="6">
        <f t="shared" ref="KE37:KE44" si="1025">KD37+KE36</f>
        <v>0</v>
      </c>
      <c r="KF37" s="6"/>
      <c r="KG37" s="6">
        <f t="shared" ref="KG37:KG38" si="1026">IF($E37=4,JH37-4,NA())</f>
        <v>-4</v>
      </c>
      <c r="KH37" s="6"/>
      <c r="KI37" s="20">
        <f>JH37-'Zusammenfassung Tag1-4'!$K$2/18</f>
        <v>-0.77777777777777779</v>
      </c>
      <c r="KJ37" s="22">
        <f t="shared" ref="KJ37:KJ44" si="1027">KI37+KJ36</f>
        <v>-22.555555555555568</v>
      </c>
      <c r="KK37" s="10"/>
      <c r="KL37" s="10"/>
      <c r="KM37" s="10"/>
      <c r="KN37" s="10"/>
      <c r="KO37" s="10"/>
      <c r="KP37" s="10"/>
      <c r="KQ37" s="10"/>
      <c r="KR37" s="10"/>
      <c r="KS37" s="10"/>
      <c r="KT37" s="10"/>
      <c r="KU37" s="10"/>
      <c r="KV37" s="10"/>
      <c r="KW37" s="10"/>
      <c r="KX37" s="10"/>
      <c r="KY37" s="10"/>
      <c r="KZ37" s="10"/>
      <c r="LA37" s="10"/>
      <c r="LB37" s="10"/>
      <c r="LC37" s="10"/>
      <c r="LD37" s="10"/>
    </row>
    <row r="38" spans="1:316" ht="15.75" customHeight="1" x14ac:dyDescent="0.25">
      <c r="A38" s="106"/>
      <c r="B38" s="103"/>
      <c r="C38" s="6">
        <v>12</v>
      </c>
      <c r="D38" s="6">
        <f t="shared" si="886"/>
        <v>30</v>
      </c>
      <c r="E38" s="6">
        <v>4</v>
      </c>
      <c r="F38" s="7">
        <f t="shared" si="887"/>
        <v>120</v>
      </c>
      <c r="G38" s="18">
        <v>5</v>
      </c>
      <c r="H38" s="6">
        <f t="shared" si="888"/>
        <v>150</v>
      </c>
      <c r="I38" s="19">
        <v>2</v>
      </c>
      <c r="J38" s="6">
        <f t="shared" si="889"/>
        <v>60</v>
      </c>
      <c r="K38" s="6">
        <f t="shared" si="786"/>
        <v>0</v>
      </c>
      <c r="L38" s="6">
        <f t="shared" si="890"/>
        <v>11</v>
      </c>
      <c r="M38" s="6">
        <f t="shared" si="787"/>
        <v>0</v>
      </c>
      <c r="N38" s="6">
        <f t="shared" si="891"/>
        <v>3</v>
      </c>
      <c r="O38" s="6">
        <f t="shared" si="788"/>
        <v>0</v>
      </c>
      <c r="P38" s="6">
        <f t="shared" si="892"/>
        <v>1</v>
      </c>
      <c r="Q38" s="6">
        <f t="shared" si="789"/>
        <v>0</v>
      </c>
      <c r="R38" s="6">
        <f t="shared" si="893"/>
        <v>4</v>
      </c>
      <c r="S38" s="6">
        <f t="shared" si="790"/>
        <v>1</v>
      </c>
      <c r="T38" s="6">
        <f t="shared" si="894"/>
        <v>4</v>
      </c>
      <c r="U38" s="6">
        <f t="shared" si="791"/>
        <v>0</v>
      </c>
      <c r="V38" s="6">
        <f t="shared" si="895"/>
        <v>4</v>
      </c>
      <c r="W38" s="6">
        <f t="shared" si="792"/>
        <v>0</v>
      </c>
      <c r="X38" s="6">
        <f t="shared" si="896"/>
        <v>0</v>
      </c>
      <c r="Y38" s="6">
        <f t="shared" si="793"/>
        <v>0</v>
      </c>
      <c r="Z38" s="6">
        <f t="shared" si="897"/>
        <v>6</v>
      </c>
      <c r="AA38" s="6">
        <f t="shared" si="794"/>
        <v>1</v>
      </c>
      <c r="AB38" s="6">
        <f t="shared" si="898"/>
        <v>8</v>
      </c>
      <c r="AC38" s="6">
        <f t="shared" si="795"/>
        <v>0</v>
      </c>
      <c r="AD38" s="6">
        <f t="shared" si="899"/>
        <v>5</v>
      </c>
      <c r="AE38" s="6"/>
      <c r="AF38" s="6">
        <f t="shared" si="900"/>
        <v>1</v>
      </c>
      <c r="AG38" s="6"/>
      <c r="AH38" s="20">
        <f>G38-'Zusammenfassung Tag1-4'!$B$2/18</f>
        <v>3.8888888888888888</v>
      </c>
      <c r="AI38" s="21">
        <f t="shared" si="901"/>
        <v>116.6666666666666</v>
      </c>
      <c r="AJ38" s="18">
        <v>7</v>
      </c>
      <c r="AK38" s="6">
        <f t="shared" si="902"/>
        <v>136</v>
      </c>
      <c r="AL38" s="19">
        <v>3</v>
      </c>
      <c r="AM38" s="6">
        <f t="shared" si="903"/>
        <v>57</v>
      </c>
      <c r="AN38" s="6">
        <f t="shared" si="796"/>
        <v>0</v>
      </c>
      <c r="AO38" s="6">
        <f t="shared" si="904"/>
        <v>17</v>
      </c>
      <c r="AP38" s="6">
        <f t="shared" si="797"/>
        <v>0</v>
      </c>
      <c r="AQ38" s="6">
        <f t="shared" si="905"/>
        <v>4</v>
      </c>
      <c r="AR38" s="6">
        <f t="shared" si="798"/>
        <v>0</v>
      </c>
      <c r="AS38" s="6">
        <f t="shared" si="906"/>
        <v>1</v>
      </c>
      <c r="AT38" s="6">
        <f t="shared" si="799"/>
        <v>0</v>
      </c>
      <c r="AU38" s="6">
        <f t="shared" si="907"/>
        <v>7</v>
      </c>
      <c r="AV38" s="6">
        <f t="shared" si="800"/>
        <v>0</v>
      </c>
      <c r="AW38" s="6">
        <f t="shared" si="908"/>
        <v>2</v>
      </c>
      <c r="AX38" s="6">
        <f t="shared" si="801"/>
        <v>1</v>
      </c>
      <c r="AY38" s="6">
        <f t="shared" si="909"/>
        <v>2</v>
      </c>
      <c r="AZ38" s="6">
        <f t="shared" si="802"/>
        <v>0</v>
      </c>
      <c r="BA38" s="6">
        <f t="shared" si="910"/>
        <v>0</v>
      </c>
      <c r="BB38" s="6">
        <f t="shared" si="803"/>
        <v>0</v>
      </c>
      <c r="BC38" s="6">
        <f t="shared" si="911"/>
        <v>7</v>
      </c>
      <c r="BD38" s="6">
        <f t="shared" si="804"/>
        <v>0</v>
      </c>
      <c r="BE38" s="6">
        <f t="shared" si="912"/>
        <v>8</v>
      </c>
      <c r="BF38" s="6">
        <f t="shared" si="805"/>
        <v>1</v>
      </c>
      <c r="BG38" s="6">
        <f t="shared" si="913"/>
        <v>4</v>
      </c>
      <c r="BH38" s="6"/>
      <c r="BI38" s="6">
        <f t="shared" si="914"/>
        <v>3</v>
      </c>
      <c r="BJ38" s="6"/>
      <c r="BK38" s="20">
        <f>AJ38-'Zusammenfassung Tag1-4'!$C$2/18</f>
        <v>6.333333333333333</v>
      </c>
      <c r="BL38" s="21">
        <f t="shared" si="915"/>
        <v>115.99999999999996</v>
      </c>
      <c r="BM38" s="18">
        <v>6</v>
      </c>
      <c r="BN38" s="6">
        <f t="shared" si="916"/>
        <v>167</v>
      </c>
      <c r="BO38" s="19">
        <v>3</v>
      </c>
      <c r="BP38" s="6">
        <f t="shared" si="917"/>
        <v>63</v>
      </c>
      <c r="BQ38" s="6">
        <f t="shared" si="806"/>
        <v>0</v>
      </c>
      <c r="BR38" s="6">
        <f t="shared" si="918"/>
        <v>5</v>
      </c>
      <c r="BS38" s="6">
        <f t="shared" si="807"/>
        <v>0</v>
      </c>
      <c r="BT38" s="6">
        <f t="shared" si="919"/>
        <v>2</v>
      </c>
      <c r="BU38" s="6">
        <f t="shared" si="808"/>
        <v>0</v>
      </c>
      <c r="BV38" s="6">
        <f t="shared" si="920"/>
        <v>0</v>
      </c>
      <c r="BW38" s="6">
        <f t="shared" si="809"/>
        <v>0</v>
      </c>
      <c r="BX38" s="6">
        <f t="shared" si="921"/>
        <v>2</v>
      </c>
      <c r="BY38" s="6">
        <f t="shared" si="810"/>
        <v>0</v>
      </c>
      <c r="BZ38" s="6">
        <f t="shared" si="922"/>
        <v>2</v>
      </c>
      <c r="CA38" s="6">
        <f t="shared" si="811"/>
        <v>1</v>
      </c>
      <c r="CB38" s="6">
        <f t="shared" si="923"/>
        <v>8</v>
      </c>
      <c r="CC38" s="6">
        <f t="shared" si="812"/>
        <v>0</v>
      </c>
      <c r="CD38" s="6">
        <f t="shared" si="924"/>
        <v>0</v>
      </c>
      <c r="CE38" s="6">
        <f t="shared" si="813"/>
        <v>0</v>
      </c>
      <c r="CF38" s="6">
        <f t="shared" si="925"/>
        <v>4</v>
      </c>
      <c r="CG38" s="6">
        <f t="shared" si="814"/>
        <v>0</v>
      </c>
      <c r="CH38" s="6">
        <f t="shared" si="926"/>
        <v>7</v>
      </c>
      <c r="CI38" s="6">
        <f t="shared" si="815"/>
        <v>1</v>
      </c>
      <c r="CJ38" s="6">
        <f t="shared" si="927"/>
        <v>7</v>
      </c>
      <c r="CK38" s="6"/>
      <c r="CL38" s="6">
        <f t="shared" si="928"/>
        <v>2</v>
      </c>
      <c r="CM38" s="6"/>
      <c r="CN38" s="20">
        <f>BM38-'Zusammenfassung Tag1-4'!$D$2/18</f>
        <v>4.666666666666667</v>
      </c>
      <c r="CO38" s="21">
        <f t="shared" si="929"/>
        <v>127.00000000000004</v>
      </c>
      <c r="CP38" s="18">
        <v>6</v>
      </c>
      <c r="CQ38" s="6">
        <f t="shared" si="930"/>
        <v>160</v>
      </c>
      <c r="CR38" s="19">
        <v>2</v>
      </c>
      <c r="CS38" s="6">
        <f t="shared" si="931"/>
        <v>61</v>
      </c>
      <c r="CT38" s="6">
        <f t="shared" si="816"/>
        <v>0</v>
      </c>
      <c r="CU38" s="6">
        <f t="shared" si="932"/>
        <v>5</v>
      </c>
      <c r="CV38" s="6">
        <f t="shared" si="817"/>
        <v>0</v>
      </c>
      <c r="CW38" s="6">
        <f t="shared" si="933"/>
        <v>3</v>
      </c>
      <c r="CX38" s="6">
        <f t="shared" si="818"/>
        <v>0</v>
      </c>
      <c r="CY38" s="6">
        <f t="shared" si="934"/>
        <v>0</v>
      </c>
      <c r="CZ38" s="6">
        <f t="shared" si="819"/>
        <v>0</v>
      </c>
      <c r="DA38" s="6">
        <f t="shared" si="935"/>
        <v>2</v>
      </c>
      <c r="DB38" s="6">
        <f t="shared" si="820"/>
        <v>0</v>
      </c>
      <c r="DC38" s="6">
        <f t="shared" si="936"/>
        <v>7</v>
      </c>
      <c r="DD38" s="6">
        <f t="shared" si="821"/>
        <v>1</v>
      </c>
      <c r="DE38" s="6">
        <f t="shared" si="937"/>
        <v>3</v>
      </c>
      <c r="DF38" s="6">
        <f t="shared" si="822"/>
        <v>0</v>
      </c>
      <c r="DG38" s="6">
        <f t="shared" si="938"/>
        <v>0</v>
      </c>
      <c r="DH38" s="6">
        <f t="shared" si="823"/>
        <v>0</v>
      </c>
      <c r="DI38" s="6">
        <f t="shared" si="939"/>
        <v>5</v>
      </c>
      <c r="DJ38" s="6">
        <f t="shared" si="824"/>
        <v>1</v>
      </c>
      <c r="DK38" s="6">
        <f t="shared" si="940"/>
        <v>9</v>
      </c>
      <c r="DL38" s="6">
        <f t="shared" si="825"/>
        <v>0</v>
      </c>
      <c r="DM38" s="6">
        <f t="shared" si="941"/>
        <v>6</v>
      </c>
      <c r="DN38" s="6"/>
      <c r="DO38" s="6">
        <f t="shared" si="942"/>
        <v>2</v>
      </c>
      <c r="DP38" s="6"/>
      <c r="DQ38" s="20">
        <f>CP38-'Zusammenfassung Tag1-4'!$E$2/18</f>
        <v>4.7222222222222223</v>
      </c>
      <c r="DR38" s="22">
        <f t="shared" si="943"/>
        <v>121.66666666666674</v>
      </c>
      <c r="DS38" s="18">
        <v>10</v>
      </c>
      <c r="DT38" s="6">
        <f t="shared" si="944"/>
        <v>232</v>
      </c>
      <c r="DU38" s="19">
        <v>2</v>
      </c>
      <c r="DV38" s="6">
        <f t="shared" si="945"/>
        <v>67</v>
      </c>
      <c r="DW38" s="6">
        <f t="shared" si="826"/>
        <v>0</v>
      </c>
      <c r="DX38" s="6">
        <f t="shared" si="946"/>
        <v>1</v>
      </c>
      <c r="DY38" s="6">
        <f t="shared" si="827"/>
        <v>0</v>
      </c>
      <c r="DZ38" s="6">
        <f t="shared" si="947"/>
        <v>0</v>
      </c>
      <c r="EA38" s="6">
        <f t="shared" si="828"/>
        <v>0</v>
      </c>
      <c r="EB38" s="6">
        <f t="shared" si="948"/>
        <v>0</v>
      </c>
      <c r="EC38" s="6">
        <f t="shared" si="829"/>
        <v>0</v>
      </c>
      <c r="ED38" s="6">
        <f t="shared" si="949"/>
        <v>0</v>
      </c>
      <c r="EE38" s="6">
        <f t="shared" si="830"/>
        <v>0</v>
      </c>
      <c r="EF38" s="6">
        <f t="shared" si="950"/>
        <v>1</v>
      </c>
      <c r="EG38" s="6">
        <f t="shared" si="831"/>
        <v>1</v>
      </c>
      <c r="EH38" s="6">
        <f t="shared" si="951"/>
        <v>11</v>
      </c>
      <c r="EI38" s="6">
        <f t="shared" si="832"/>
        <v>0</v>
      </c>
      <c r="EJ38" s="6">
        <f t="shared" si="952"/>
        <v>0</v>
      </c>
      <c r="EK38" s="6">
        <f t="shared" si="833"/>
        <v>0</v>
      </c>
      <c r="EL38" s="6">
        <f t="shared" si="953"/>
        <v>1</v>
      </c>
      <c r="EM38" s="6">
        <f t="shared" si="834"/>
        <v>1</v>
      </c>
      <c r="EN38" s="6">
        <f t="shared" si="954"/>
        <v>9</v>
      </c>
      <c r="EO38" s="6">
        <f t="shared" si="835"/>
        <v>0</v>
      </c>
      <c r="EP38" s="6">
        <f t="shared" si="955"/>
        <v>7</v>
      </c>
      <c r="EQ38" s="6"/>
      <c r="ER38" s="6">
        <f t="shared" si="956"/>
        <v>6</v>
      </c>
      <c r="ES38" s="6"/>
      <c r="ET38" s="20">
        <f>DS38-'Zusammenfassung Tag1-4'!$F$2/18</f>
        <v>7</v>
      </c>
      <c r="EU38" s="22">
        <f t="shared" si="957"/>
        <v>142</v>
      </c>
      <c r="EV38" s="18">
        <v>3</v>
      </c>
      <c r="EW38" s="6">
        <f t="shared" si="958"/>
        <v>164</v>
      </c>
      <c r="EX38" s="19">
        <v>1</v>
      </c>
      <c r="EY38" s="6">
        <f t="shared" si="959"/>
        <v>64</v>
      </c>
      <c r="EZ38" s="6">
        <f t="shared" si="836"/>
        <v>1</v>
      </c>
      <c r="FA38" s="6">
        <f t="shared" si="960"/>
        <v>7</v>
      </c>
      <c r="FB38" s="6">
        <f t="shared" si="837"/>
        <v>0</v>
      </c>
      <c r="FC38" s="6">
        <f t="shared" si="961"/>
        <v>0</v>
      </c>
      <c r="FD38" s="6">
        <f t="shared" si="838"/>
        <v>1</v>
      </c>
      <c r="FE38" s="6">
        <f t="shared" si="962"/>
        <v>2</v>
      </c>
      <c r="FF38" s="6">
        <f t="shared" si="839"/>
        <v>0</v>
      </c>
      <c r="FG38" s="6">
        <f t="shared" si="963"/>
        <v>1</v>
      </c>
      <c r="FH38" s="6">
        <f t="shared" si="840"/>
        <v>0</v>
      </c>
      <c r="FI38" s="6">
        <f t="shared" si="964"/>
        <v>3</v>
      </c>
      <c r="FJ38" s="6">
        <f t="shared" si="841"/>
        <v>0</v>
      </c>
      <c r="FK38" s="6">
        <f t="shared" si="965"/>
        <v>6</v>
      </c>
      <c r="FL38" s="6">
        <f t="shared" si="842"/>
        <v>0</v>
      </c>
      <c r="FM38" s="6">
        <f t="shared" si="966"/>
        <v>0</v>
      </c>
      <c r="FN38" s="6">
        <f t="shared" si="843"/>
        <v>1</v>
      </c>
      <c r="FO38" s="6">
        <f t="shared" si="967"/>
        <v>3</v>
      </c>
      <c r="FP38" s="6">
        <f t="shared" si="844"/>
        <v>0</v>
      </c>
      <c r="FQ38" s="6">
        <f t="shared" si="968"/>
        <v>10</v>
      </c>
      <c r="FR38" s="6">
        <f t="shared" si="845"/>
        <v>0</v>
      </c>
      <c r="FS38" s="6">
        <f t="shared" si="969"/>
        <v>7</v>
      </c>
      <c r="FT38" s="6"/>
      <c r="FU38" s="6">
        <f t="shared" si="970"/>
        <v>-1</v>
      </c>
      <c r="FV38" s="6"/>
      <c r="FW38" s="20">
        <f>EV38-'Zusammenfassung Tag1-4'!$G$2/18</f>
        <v>1.5</v>
      </c>
      <c r="FX38" s="22">
        <f t="shared" si="971"/>
        <v>119</v>
      </c>
      <c r="FY38" s="18">
        <v>10</v>
      </c>
      <c r="FZ38" s="6">
        <f t="shared" si="972"/>
        <v>226</v>
      </c>
      <c r="GA38" s="19">
        <v>2</v>
      </c>
      <c r="GB38" s="6">
        <f t="shared" si="973"/>
        <v>71</v>
      </c>
      <c r="GC38" s="6">
        <f t="shared" si="846"/>
        <v>0</v>
      </c>
      <c r="GD38" s="6">
        <f t="shared" si="974"/>
        <v>1</v>
      </c>
      <c r="GE38" s="6">
        <f t="shared" si="847"/>
        <v>0</v>
      </c>
      <c r="GF38" s="6">
        <f t="shared" si="975"/>
        <v>0</v>
      </c>
      <c r="GG38" s="6">
        <f t="shared" si="848"/>
        <v>0</v>
      </c>
      <c r="GH38" s="6">
        <f t="shared" si="976"/>
        <v>0</v>
      </c>
      <c r="GI38" s="6">
        <f t="shared" si="849"/>
        <v>0</v>
      </c>
      <c r="GJ38" s="6">
        <f t="shared" si="977"/>
        <v>0</v>
      </c>
      <c r="GK38" s="6">
        <f t="shared" si="850"/>
        <v>0</v>
      </c>
      <c r="GL38" s="6">
        <f t="shared" si="978"/>
        <v>1</v>
      </c>
      <c r="GM38" s="6">
        <f t="shared" si="851"/>
        <v>1</v>
      </c>
      <c r="GN38" s="6">
        <f t="shared" si="979"/>
        <v>11</v>
      </c>
      <c r="GO38" s="6">
        <f t="shared" si="852"/>
        <v>0</v>
      </c>
      <c r="GP38" s="6">
        <f t="shared" si="980"/>
        <v>0</v>
      </c>
      <c r="GQ38" s="6">
        <f t="shared" si="853"/>
        <v>0</v>
      </c>
      <c r="GR38" s="6">
        <f t="shared" si="981"/>
        <v>2</v>
      </c>
      <c r="GS38" s="6">
        <f t="shared" si="854"/>
        <v>1</v>
      </c>
      <c r="GT38" s="6">
        <f t="shared" si="982"/>
        <v>7</v>
      </c>
      <c r="GU38" s="6">
        <f t="shared" si="855"/>
        <v>0</v>
      </c>
      <c r="GV38" s="6">
        <f t="shared" si="983"/>
        <v>13</v>
      </c>
      <c r="GW38" s="6"/>
      <c r="GX38" s="6">
        <f t="shared" si="984"/>
        <v>6</v>
      </c>
      <c r="GY38" s="6"/>
      <c r="GZ38" s="20">
        <f>FY38-'Zusammenfassung Tag1-4'!$H$2/18</f>
        <v>7</v>
      </c>
      <c r="HA38" s="22">
        <f t="shared" si="985"/>
        <v>136</v>
      </c>
      <c r="HB38" s="18">
        <v>8</v>
      </c>
      <c r="HC38" s="6">
        <f t="shared" si="986"/>
        <v>162</v>
      </c>
      <c r="HD38" s="19">
        <v>2</v>
      </c>
      <c r="HE38" s="6">
        <f t="shared" si="987"/>
        <v>62</v>
      </c>
      <c r="HF38" s="6">
        <f t="shared" si="856"/>
        <v>0</v>
      </c>
      <c r="HG38" s="6">
        <f t="shared" si="988"/>
        <v>7</v>
      </c>
      <c r="HH38" s="6">
        <f t="shared" si="857"/>
        <v>0</v>
      </c>
      <c r="HI38" s="6">
        <f t="shared" si="989"/>
        <v>4</v>
      </c>
      <c r="HJ38" s="6">
        <f t="shared" si="858"/>
        <v>0</v>
      </c>
      <c r="HK38" s="6">
        <f t="shared" si="990"/>
        <v>0</v>
      </c>
      <c r="HL38" s="6">
        <f t="shared" si="859"/>
        <v>0</v>
      </c>
      <c r="HM38" s="6">
        <f t="shared" si="991"/>
        <v>2</v>
      </c>
      <c r="HN38" s="6">
        <f t="shared" si="860"/>
        <v>0</v>
      </c>
      <c r="HO38" s="6">
        <f t="shared" si="992"/>
        <v>6</v>
      </c>
      <c r="HP38" s="6">
        <f t="shared" si="861"/>
        <v>1</v>
      </c>
      <c r="HQ38" s="6">
        <f t="shared" si="993"/>
        <v>4</v>
      </c>
      <c r="HR38" s="6">
        <f t="shared" si="862"/>
        <v>0</v>
      </c>
      <c r="HS38" s="6">
        <f t="shared" si="994"/>
        <v>0</v>
      </c>
      <c r="HT38" s="6">
        <f t="shared" si="863"/>
        <v>0</v>
      </c>
      <c r="HU38" s="6">
        <f t="shared" si="995"/>
        <v>4</v>
      </c>
      <c r="HV38" s="6">
        <f t="shared" si="864"/>
        <v>1</v>
      </c>
      <c r="HW38" s="6">
        <f t="shared" si="996"/>
        <v>9</v>
      </c>
      <c r="HX38" s="6">
        <f t="shared" si="865"/>
        <v>0</v>
      </c>
      <c r="HY38" s="6">
        <f t="shared" si="997"/>
        <v>6</v>
      </c>
      <c r="HZ38" s="6"/>
      <c r="IA38" s="6">
        <f t="shared" si="998"/>
        <v>4</v>
      </c>
      <c r="IB38" s="6"/>
      <c r="IC38" s="20">
        <f>HB38-'Zusammenfassung Tag1-4'!$I$2/18</f>
        <v>7</v>
      </c>
      <c r="ID38" s="22">
        <f t="shared" si="999"/>
        <v>132</v>
      </c>
      <c r="IE38" s="18"/>
      <c r="IF38" s="6">
        <f t="shared" si="1000"/>
        <v>0</v>
      </c>
      <c r="IG38" s="19"/>
      <c r="IH38" s="6">
        <f t="shared" si="1001"/>
        <v>0</v>
      </c>
      <c r="II38" s="6">
        <f t="shared" si="866"/>
        <v>1</v>
      </c>
      <c r="IJ38" s="6">
        <f t="shared" si="1002"/>
        <v>30</v>
      </c>
      <c r="IK38" s="6">
        <f t="shared" si="867"/>
        <v>0</v>
      </c>
      <c r="IL38" s="6">
        <f t="shared" si="1003"/>
        <v>0</v>
      </c>
      <c r="IM38" s="6">
        <f t="shared" si="868"/>
        <v>0</v>
      </c>
      <c r="IN38" s="6">
        <f t="shared" si="1004"/>
        <v>0</v>
      </c>
      <c r="IO38" s="6">
        <f t="shared" si="869"/>
        <v>0</v>
      </c>
      <c r="IP38" s="6">
        <f t="shared" si="1005"/>
        <v>0</v>
      </c>
      <c r="IQ38" s="6">
        <f t="shared" si="870"/>
        <v>0</v>
      </c>
      <c r="IR38" s="6">
        <f t="shared" si="1006"/>
        <v>0</v>
      </c>
      <c r="IS38" s="6">
        <f t="shared" si="871"/>
        <v>0</v>
      </c>
      <c r="IT38" s="6">
        <f t="shared" si="1007"/>
        <v>0</v>
      </c>
      <c r="IU38" s="6">
        <f t="shared" si="872"/>
        <v>1</v>
      </c>
      <c r="IV38" s="6">
        <f t="shared" si="1008"/>
        <v>12</v>
      </c>
      <c r="IW38" s="6">
        <f t="shared" si="873"/>
        <v>0</v>
      </c>
      <c r="IX38" s="6">
        <f t="shared" si="1009"/>
        <v>0</v>
      </c>
      <c r="IY38" s="6">
        <f t="shared" si="874"/>
        <v>0</v>
      </c>
      <c r="IZ38" s="6">
        <f t="shared" si="1010"/>
        <v>0</v>
      </c>
      <c r="JA38" s="6">
        <f t="shared" si="875"/>
        <v>0</v>
      </c>
      <c r="JB38" s="6">
        <f t="shared" si="1011"/>
        <v>0</v>
      </c>
      <c r="JC38" s="6"/>
      <c r="JD38" s="6">
        <f t="shared" si="1012"/>
        <v>-4</v>
      </c>
      <c r="JE38" s="6"/>
      <c r="JF38" s="20">
        <f>IE38-'Zusammenfassung Tag1-4'!$J$2/18</f>
        <v>-3</v>
      </c>
      <c r="JG38" s="22">
        <f t="shared" si="1013"/>
        <v>-90</v>
      </c>
      <c r="JH38" s="18"/>
      <c r="JI38" s="6">
        <f t="shared" si="1014"/>
        <v>0</v>
      </c>
      <c r="JJ38" s="19"/>
      <c r="JK38" s="6">
        <f t="shared" si="1015"/>
        <v>0</v>
      </c>
      <c r="JL38" s="6">
        <f t="shared" si="876"/>
        <v>1</v>
      </c>
      <c r="JM38" s="6">
        <f t="shared" si="1016"/>
        <v>30</v>
      </c>
      <c r="JN38" s="6">
        <f t="shared" si="877"/>
        <v>0</v>
      </c>
      <c r="JO38" s="6">
        <f t="shared" si="1017"/>
        <v>0</v>
      </c>
      <c r="JP38" s="6">
        <f t="shared" si="878"/>
        <v>0</v>
      </c>
      <c r="JQ38" s="6">
        <f t="shared" si="1018"/>
        <v>0</v>
      </c>
      <c r="JR38" s="6">
        <f t="shared" si="879"/>
        <v>0</v>
      </c>
      <c r="JS38" s="6">
        <f t="shared" si="1019"/>
        <v>0</v>
      </c>
      <c r="JT38" s="6">
        <f t="shared" si="880"/>
        <v>0</v>
      </c>
      <c r="JU38" s="6">
        <f t="shared" si="1020"/>
        <v>0</v>
      </c>
      <c r="JV38" s="6">
        <f t="shared" si="881"/>
        <v>0</v>
      </c>
      <c r="JW38" s="6">
        <f t="shared" si="1021"/>
        <v>0</v>
      </c>
      <c r="JX38" s="6">
        <f t="shared" si="882"/>
        <v>1</v>
      </c>
      <c r="JY38" s="6">
        <f t="shared" si="1022"/>
        <v>12</v>
      </c>
      <c r="JZ38" s="6">
        <f t="shared" si="883"/>
        <v>0</v>
      </c>
      <c r="KA38" s="6">
        <f t="shared" si="1023"/>
        <v>0</v>
      </c>
      <c r="KB38" s="6">
        <f t="shared" si="884"/>
        <v>0</v>
      </c>
      <c r="KC38" s="6">
        <f t="shared" si="1024"/>
        <v>0</v>
      </c>
      <c r="KD38" s="6">
        <f t="shared" si="885"/>
        <v>0</v>
      </c>
      <c r="KE38" s="6">
        <f t="shared" si="1025"/>
        <v>0</v>
      </c>
      <c r="KF38" s="6"/>
      <c r="KG38" s="6">
        <f t="shared" si="1026"/>
        <v>-4</v>
      </c>
      <c r="KH38" s="6"/>
      <c r="KI38" s="20">
        <f>JH38-'Zusammenfassung Tag1-4'!$K$2/18</f>
        <v>-0.77777777777777779</v>
      </c>
      <c r="KJ38" s="22">
        <f t="shared" si="1027"/>
        <v>-23.333333333333346</v>
      </c>
      <c r="KK38" s="10"/>
      <c r="KL38" s="10"/>
      <c r="KM38" s="10"/>
      <c r="KN38" s="10"/>
      <c r="KO38" s="10"/>
      <c r="KP38" s="10"/>
      <c r="KQ38" s="10"/>
      <c r="KR38" s="10"/>
      <c r="KS38" s="10"/>
      <c r="KT38" s="10"/>
      <c r="KU38" s="10"/>
      <c r="KV38" s="10"/>
      <c r="KW38" s="10"/>
      <c r="KX38" s="10"/>
      <c r="KY38" s="10"/>
      <c r="KZ38" s="10"/>
      <c r="LA38" s="10"/>
      <c r="LB38" s="10"/>
      <c r="LC38" s="10"/>
      <c r="LD38" s="10"/>
    </row>
    <row r="39" spans="1:316" ht="15.75" customHeight="1" x14ac:dyDescent="0.25">
      <c r="A39" s="106"/>
      <c r="B39" s="103"/>
      <c r="C39" s="6">
        <v>13</v>
      </c>
      <c r="D39" s="6">
        <f t="shared" si="886"/>
        <v>31</v>
      </c>
      <c r="E39" s="6">
        <v>5</v>
      </c>
      <c r="F39" s="7">
        <f t="shared" si="887"/>
        <v>125</v>
      </c>
      <c r="G39" s="18">
        <v>5</v>
      </c>
      <c r="H39" s="6">
        <f t="shared" si="888"/>
        <v>155</v>
      </c>
      <c r="I39" s="19">
        <v>2</v>
      </c>
      <c r="J39" s="6">
        <f t="shared" si="889"/>
        <v>62</v>
      </c>
      <c r="K39" s="6">
        <f t="shared" si="786"/>
        <v>1</v>
      </c>
      <c r="L39" s="6">
        <f t="shared" si="890"/>
        <v>12</v>
      </c>
      <c r="M39" s="6">
        <f t="shared" si="787"/>
        <v>0</v>
      </c>
      <c r="N39" s="6">
        <f t="shared" si="891"/>
        <v>3</v>
      </c>
      <c r="O39" s="6">
        <f t="shared" si="788"/>
        <v>0</v>
      </c>
      <c r="P39" s="6">
        <f t="shared" si="892"/>
        <v>1</v>
      </c>
      <c r="Q39" s="6">
        <f t="shared" si="789"/>
        <v>1</v>
      </c>
      <c r="R39" s="6">
        <f t="shared" si="893"/>
        <v>5</v>
      </c>
      <c r="S39" s="6">
        <f t="shared" si="790"/>
        <v>0</v>
      </c>
      <c r="T39" s="6">
        <f t="shared" si="894"/>
        <v>4</v>
      </c>
      <c r="U39" s="6">
        <f t="shared" si="791"/>
        <v>0</v>
      </c>
      <c r="V39" s="6">
        <f t="shared" si="895"/>
        <v>4</v>
      </c>
      <c r="W39" s="6">
        <f t="shared" si="792"/>
        <v>0</v>
      </c>
      <c r="X39" s="6">
        <f t="shared" si="896"/>
        <v>0</v>
      </c>
      <c r="Y39" s="6">
        <f t="shared" si="793"/>
        <v>0</v>
      </c>
      <c r="Z39" s="6">
        <f t="shared" si="897"/>
        <v>6</v>
      </c>
      <c r="AA39" s="6">
        <f t="shared" si="794"/>
        <v>1</v>
      </c>
      <c r="AB39" s="6">
        <f t="shared" si="898"/>
        <v>9</v>
      </c>
      <c r="AC39" s="6">
        <f t="shared" si="795"/>
        <v>0</v>
      </c>
      <c r="AD39" s="6">
        <f t="shared" si="899"/>
        <v>5</v>
      </c>
      <c r="AE39" s="6"/>
      <c r="AF39" s="6"/>
      <c r="AG39" s="6">
        <f>IF($E39=5,G39-5,NA())</f>
        <v>0</v>
      </c>
      <c r="AH39" s="20">
        <f>G39-'Zusammenfassung Tag1-4'!$B$2/18</f>
        <v>3.8888888888888888</v>
      </c>
      <c r="AI39" s="21">
        <f t="shared" si="901"/>
        <v>120.55555555555549</v>
      </c>
      <c r="AJ39" s="18">
        <v>7</v>
      </c>
      <c r="AK39" s="6">
        <f t="shared" si="902"/>
        <v>143</v>
      </c>
      <c r="AL39" s="19">
        <v>2</v>
      </c>
      <c r="AM39" s="6">
        <f t="shared" si="903"/>
        <v>59</v>
      </c>
      <c r="AN39" s="6">
        <f t="shared" si="796"/>
        <v>0</v>
      </c>
      <c r="AO39" s="6">
        <f t="shared" si="904"/>
        <v>17</v>
      </c>
      <c r="AP39" s="6">
        <f t="shared" si="797"/>
        <v>0</v>
      </c>
      <c r="AQ39" s="6">
        <f t="shared" si="905"/>
        <v>4</v>
      </c>
      <c r="AR39" s="6">
        <f t="shared" si="798"/>
        <v>0</v>
      </c>
      <c r="AS39" s="6">
        <f t="shared" si="906"/>
        <v>1</v>
      </c>
      <c r="AT39" s="6">
        <f t="shared" si="799"/>
        <v>0</v>
      </c>
      <c r="AU39" s="6">
        <f t="shared" si="907"/>
        <v>7</v>
      </c>
      <c r="AV39" s="6">
        <f t="shared" si="800"/>
        <v>0</v>
      </c>
      <c r="AW39" s="6">
        <f t="shared" si="908"/>
        <v>2</v>
      </c>
      <c r="AX39" s="6">
        <f t="shared" si="801"/>
        <v>1</v>
      </c>
      <c r="AY39" s="6">
        <f t="shared" si="909"/>
        <v>3</v>
      </c>
      <c r="AZ39" s="6">
        <f t="shared" si="802"/>
        <v>0</v>
      </c>
      <c r="BA39" s="6">
        <f t="shared" si="910"/>
        <v>0</v>
      </c>
      <c r="BB39" s="6">
        <f t="shared" si="803"/>
        <v>0</v>
      </c>
      <c r="BC39" s="6">
        <f t="shared" si="911"/>
        <v>7</v>
      </c>
      <c r="BD39" s="6">
        <f t="shared" si="804"/>
        <v>1</v>
      </c>
      <c r="BE39" s="6">
        <f t="shared" si="912"/>
        <v>9</v>
      </c>
      <c r="BF39" s="6">
        <f t="shared" si="805"/>
        <v>0</v>
      </c>
      <c r="BG39" s="6">
        <f t="shared" si="913"/>
        <v>4</v>
      </c>
      <c r="BH39" s="6"/>
      <c r="BI39" s="6"/>
      <c r="BJ39" s="6">
        <f>IF($E39=5,AJ39-5,NA())</f>
        <v>2</v>
      </c>
      <c r="BK39" s="20">
        <f>AJ39-'Zusammenfassung Tag1-4'!$C$2/18</f>
        <v>6.333333333333333</v>
      </c>
      <c r="BL39" s="21">
        <f t="shared" si="915"/>
        <v>122.33333333333329</v>
      </c>
      <c r="BM39" s="18">
        <v>5</v>
      </c>
      <c r="BN39" s="6">
        <f t="shared" si="916"/>
        <v>172</v>
      </c>
      <c r="BO39" s="19">
        <v>1</v>
      </c>
      <c r="BP39" s="6">
        <f t="shared" si="917"/>
        <v>64</v>
      </c>
      <c r="BQ39" s="6">
        <f t="shared" si="806"/>
        <v>0</v>
      </c>
      <c r="BR39" s="6">
        <f t="shared" si="918"/>
        <v>5</v>
      </c>
      <c r="BS39" s="6">
        <f t="shared" si="807"/>
        <v>1</v>
      </c>
      <c r="BT39" s="6">
        <f t="shared" si="919"/>
        <v>3</v>
      </c>
      <c r="BU39" s="6">
        <f t="shared" si="808"/>
        <v>0</v>
      </c>
      <c r="BV39" s="6">
        <f t="shared" si="920"/>
        <v>0</v>
      </c>
      <c r="BW39" s="6">
        <f t="shared" si="809"/>
        <v>1</v>
      </c>
      <c r="BX39" s="6">
        <f t="shared" si="921"/>
        <v>3</v>
      </c>
      <c r="BY39" s="6">
        <f t="shared" si="810"/>
        <v>0</v>
      </c>
      <c r="BZ39" s="6">
        <f t="shared" si="922"/>
        <v>2</v>
      </c>
      <c r="CA39" s="6">
        <f t="shared" si="811"/>
        <v>0</v>
      </c>
      <c r="CB39" s="6">
        <f t="shared" si="923"/>
        <v>8</v>
      </c>
      <c r="CC39" s="6">
        <f t="shared" si="812"/>
        <v>0</v>
      </c>
      <c r="CD39" s="6">
        <f t="shared" si="924"/>
        <v>0</v>
      </c>
      <c r="CE39" s="6">
        <f t="shared" si="813"/>
        <v>1</v>
      </c>
      <c r="CF39" s="6">
        <f t="shared" si="925"/>
        <v>5</v>
      </c>
      <c r="CG39" s="6">
        <f t="shared" si="814"/>
        <v>0</v>
      </c>
      <c r="CH39" s="6">
        <f t="shared" si="926"/>
        <v>7</v>
      </c>
      <c r="CI39" s="6">
        <f t="shared" si="815"/>
        <v>0</v>
      </c>
      <c r="CJ39" s="6">
        <f t="shared" si="927"/>
        <v>7</v>
      </c>
      <c r="CK39" s="6"/>
      <c r="CL39" s="6"/>
      <c r="CM39" s="6">
        <f>IF($E39=5,BM39-5,NA())</f>
        <v>0</v>
      </c>
      <c r="CN39" s="20">
        <f>BM39-'Zusammenfassung Tag1-4'!$D$2/18</f>
        <v>3.666666666666667</v>
      </c>
      <c r="CO39" s="21">
        <f t="shared" si="929"/>
        <v>130.66666666666671</v>
      </c>
      <c r="CP39" s="18">
        <v>5</v>
      </c>
      <c r="CQ39" s="6">
        <f t="shared" si="930"/>
        <v>165</v>
      </c>
      <c r="CR39" s="19">
        <v>2</v>
      </c>
      <c r="CS39" s="6">
        <f t="shared" si="931"/>
        <v>63</v>
      </c>
      <c r="CT39" s="6">
        <f t="shared" si="816"/>
        <v>1</v>
      </c>
      <c r="CU39" s="6">
        <f t="shared" si="932"/>
        <v>6</v>
      </c>
      <c r="CV39" s="6">
        <f t="shared" si="817"/>
        <v>0</v>
      </c>
      <c r="CW39" s="6">
        <f t="shared" si="933"/>
        <v>3</v>
      </c>
      <c r="CX39" s="6">
        <f t="shared" si="818"/>
        <v>0</v>
      </c>
      <c r="CY39" s="6">
        <f t="shared" si="934"/>
        <v>0</v>
      </c>
      <c r="CZ39" s="6">
        <f t="shared" si="819"/>
        <v>1</v>
      </c>
      <c r="DA39" s="6">
        <f t="shared" si="935"/>
        <v>3</v>
      </c>
      <c r="DB39" s="6">
        <f t="shared" si="820"/>
        <v>0</v>
      </c>
      <c r="DC39" s="6">
        <f t="shared" si="936"/>
        <v>7</v>
      </c>
      <c r="DD39" s="6">
        <f t="shared" si="821"/>
        <v>0</v>
      </c>
      <c r="DE39" s="6">
        <f t="shared" si="937"/>
        <v>3</v>
      </c>
      <c r="DF39" s="6">
        <f t="shared" si="822"/>
        <v>0</v>
      </c>
      <c r="DG39" s="6">
        <f t="shared" si="938"/>
        <v>0</v>
      </c>
      <c r="DH39" s="6">
        <f t="shared" si="823"/>
        <v>0</v>
      </c>
      <c r="DI39" s="6">
        <f t="shared" si="939"/>
        <v>5</v>
      </c>
      <c r="DJ39" s="6">
        <f t="shared" si="824"/>
        <v>1</v>
      </c>
      <c r="DK39" s="6">
        <f t="shared" si="940"/>
        <v>10</v>
      </c>
      <c r="DL39" s="6">
        <f t="shared" si="825"/>
        <v>0</v>
      </c>
      <c r="DM39" s="6">
        <f t="shared" si="941"/>
        <v>6</v>
      </c>
      <c r="DN39" s="6"/>
      <c r="DO39" s="6"/>
      <c r="DP39" s="6">
        <f>IF($E39=5,CP39-5,NA())</f>
        <v>0</v>
      </c>
      <c r="DQ39" s="20">
        <f>CP39-'Zusammenfassung Tag1-4'!$E$2/18</f>
        <v>3.7222222222222223</v>
      </c>
      <c r="DR39" s="22">
        <f t="shared" si="943"/>
        <v>125.38888888888897</v>
      </c>
      <c r="DS39" s="18">
        <v>8</v>
      </c>
      <c r="DT39" s="6">
        <f t="shared" si="944"/>
        <v>240</v>
      </c>
      <c r="DU39" s="19">
        <v>2</v>
      </c>
      <c r="DV39" s="6">
        <f t="shared" si="945"/>
        <v>69</v>
      </c>
      <c r="DW39" s="6">
        <f t="shared" si="826"/>
        <v>0</v>
      </c>
      <c r="DX39" s="6">
        <f t="shared" si="946"/>
        <v>1</v>
      </c>
      <c r="DY39" s="6">
        <f t="shared" si="827"/>
        <v>0</v>
      </c>
      <c r="DZ39" s="6">
        <f t="shared" si="947"/>
        <v>0</v>
      </c>
      <c r="EA39" s="6">
        <f t="shared" si="828"/>
        <v>0</v>
      </c>
      <c r="EB39" s="6">
        <f t="shared" si="948"/>
        <v>0</v>
      </c>
      <c r="EC39" s="6">
        <f t="shared" si="829"/>
        <v>0</v>
      </c>
      <c r="ED39" s="6">
        <f t="shared" si="949"/>
        <v>0</v>
      </c>
      <c r="EE39" s="6">
        <f t="shared" si="830"/>
        <v>0</v>
      </c>
      <c r="EF39" s="6">
        <f t="shared" si="950"/>
        <v>1</v>
      </c>
      <c r="EG39" s="6">
        <f t="shared" si="831"/>
        <v>1</v>
      </c>
      <c r="EH39" s="6">
        <f t="shared" si="951"/>
        <v>12</v>
      </c>
      <c r="EI39" s="6">
        <f t="shared" si="832"/>
        <v>0</v>
      </c>
      <c r="EJ39" s="6">
        <f t="shared" si="952"/>
        <v>0</v>
      </c>
      <c r="EK39" s="6">
        <f t="shared" si="833"/>
        <v>0</v>
      </c>
      <c r="EL39" s="6">
        <f t="shared" si="953"/>
        <v>1</v>
      </c>
      <c r="EM39" s="6">
        <f t="shared" si="834"/>
        <v>1</v>
      </c>
      <c r="EN39" s="6">
        <f t="shared" si="954"/>
        <v>10</v>
      </c>
      <c r="EO39" s="6">
        <f t="shared" si="835"/>
        <v>0</v>
      </c>
      <c r="EP39" s="6">
        <f t="shared" si="955"/>
        <v>7</v>
      </c>
      <c r="EQ39" s="6"/>
      <c r="ER39" s="6"/>
      <c r="ES39" s="6">
        <f>IF($E39=5,DS39-5,NA())</f>
        <v>3</v>
      </c>
      <c r="ET39" s="20">
        <f>DS39-'Zusammenfassung Tag1-4'!$F$2/18</f>
        <v>5</v>
      </c>
      <c r="EU39" s="22">
        <f t="shared" si="957"/>
        <v>147</v>
      </c>
      <c r="EV39" s="18">
        <v>8</v>
      </c>
      <c r="EW39" s="6">
        <f t="shared" si="958"/>
        <v>172</v>
      </c>
      <c r="EX39" s="19">
        <v>2</v>
      </c>
      <c r="EY39" s="6">
        <f t="shared" si="959"/>
        <v>66</v>
      </c>
      <c r="EZ39" s="6">
        <f t="shared" si="836"/>
        <v>0</v>
      </c>
      <c r="FA39" s="6">
        <f t="shared" si="960"/>
        <v>7</v>
      </c>
      <c r="FB39" s="6">
        <f t="shared" si="837"/>
        <v>0</v>
      </c>
      <c r="FC39" s="6">
        <f t="shared" si="961"/>
        <v>0</v>
      </c>
      <c r="FD39" s="6">
        <f t="shared" si="838"/>
        <v>0</v>
      </c>
      <c r="FE39" s="6">
        <f t="shared" si="962"/>
        <v>2</v>
      </c>
      <c r="FF39" s="6">
        <f t="shared" si="839"/>
        <v>0</v>
      </c>
      <c r="FG39" s="6">
        <f t="shared" si="963"/>
        <v>1</v>
      </c>
      <c r="FH39" s="6">
        <f t="shared" si="840"/>
        <v>0</v>
      </c>
      <c r="FI39" s="6">
        <f t="shared" si="964"/>
        <v>3</v>
      </c>
      <c r="FJ39" s="6">
        <f t="shared" si="841"/>
        <v>1</v>
      </c>
      <c r="FK39" s="6">
        <f t="shared" si="965"/>
        <v>7</v>
      </c>
      <c r="FL39" s="6">
        <f t="shared" si="842"/>
        <v>0</v>
      </c>
      <c r="FM39" s="6">
        <f t="shared" si="966"/>
        <v>0</v>
      </c>
      <c r="FN39" s="6">
        <f t="shared" si="843"/>
        <v>0</v>
      </c>
      <c r="FO39" s="6">
        <f t="shared" si="967"/>
        <v>3</v>
      </c>
      <c r="FP39" s="6">
        <f t="shared" si="844"/>
        <v>1</v>
      </c>
      <c r="FQ39" s="6">
        <f t="shared" si="968"/>
        <v>11</v>
      </c>
      <c r="FR39" s="6">
        <f t="shared" si="845"/>
        <v>0</v>
      </c>
      <c r="FS39" s="6">
        <f t="shared" si="969"/>
        <v>7</v>
      </c>
      <c r="FT39" s="6"/>
      <c r="FU39" s="6"/>
      <c r="FV39" s="6">
        <f>IF($E39=5,EV39-5,NA())</f>
        <v>3</v>
      </c>
      <c r="FW39" s="20">
        <f>EV39-'Zusammenfassung Tag1-4'!$G$2/18</f>
        <v>6.5</v>
      </c>
      <c r="FX39" s="22">
        <f t="shared" si="971"/>
        <v>125.5</v>
      </c>
      <c r="FY39" s="18">
        <v>7</v>
      </c>
      <c r="FZ39" s="6">
        <f t="shared" si="972"/>
        <v>233</v>
      </c>
      <c r="GA39" s="19">
        <v>3</v>
      </c>
      <c r="GB39" s="6">
        <f t="shared" si="973"/>
        <v>74</v>
      </c>
      <c r="GC39" s="6">
        <f t="shared" si="846"/>
        <v>0</v>
      </c>
      <c r="GD39" s="6">
        <f t="shared" si="974"/>
        <v>1</v>
      </c>
      <c r="GE39" s="6">
        <f t="shared" si="847"/>
        <v>0</v>
      </c>
      <c r="GF39" s="6">
        <f t="shared" si="975"/>
        <v>0</v>
      </c>
      <c r="GG39" s="6">
        <f t="shared" si="848"/>
        <v>0</v>
      </c>
      <c r="GH39" s="6">
        <f t="shared" si="976"/>
        <v>0</v>
      </c>
      <c r="GI39" s="6">
        <f t="shared" si="849"/>
        <v>0</v>
      </c>
      <c r="GJ39" s="6">
        <f t="shared" si="977"/>
        <v>0</v>
      </c>
      <c r="GK39" s="6">
        <f t="shared" si="850"/>
        <v>0</v>
      </c>
      <c r="GL39" s="6">
        <f t="shared" si="978"/>
        <v>1</v>
      </c>
      <c r="GM39" s="6">
        <f t="shared" si="851"/>
        <v>1</v>
      </c>
      <c r="GN39" s="6">
        <f t="shared" si="979"/>
        <v>12</v>
      </c>
      <c r="GO39" s="6">
        <f t="shared" si="852"/>
        <v>0</v>
      </c>
      <c r="GP39" s="6">
        <f t="shared" si="980"/>
        <v>0</v>
      </c>
      <c r="GQ39" s="6">
        <f t="shared" si="853"/>
        <v>0</v>
      </c>
      <c r="GR39" s="6">
        <f t="shared" si="981"/>
        <v>2</v>
      </c>
      <c r="GS39" s="6">
        <f t="shared" si="854"/>
        <v>0</v>
      </c>
      <c r="GT39" s="6">
        <f t="shared" si="982"/>
        <v>7</v>
      </c>
      <c r="GU39" s="6">
        <f t="shared" si="855"/>
        <v>1</v>
      </c>
      <c r="GV39" s="6">
        <f t="shared" si="983"/>
        <v>14</v>
      </c>
      <c r="GW39" s="6"/>
      <c r="GX39" s="6"/>
      <c r="GY39" s="6">
        <f>IF($E39=5,FY39-5,NA())</f>
        <v>2</v>
      </c>
      <c r="GZ39" s="20">
        <f>FY39-'Zusammenfassung Tag1-4'!$H$2/18</f>
        <v>4</v>
      </c>
      <c r="HA39" s="22">
        <f t="shared" si="985"/>
        <v>140</v>
      </c>
      <c r="HB39" s="18">
        <v>6</v>
      </c>
      <c r="HC39" s="6">
        <f t="shared" si="986"/>
        <v>168</v>
      </c>
      <c r="HD39" s="19">
        <v>3</v>
      </c>
      <c r="HE39" s="6">
        <f t="shared" si="987"/>
        <v>65</v>
      </c>
      <c r="HF39" s="6">
        <f t="shared" si="856"/>
        <v>1</v>
      </c>
      <c r="HG39" s="6">
        <f t="shared" si="988"/>
        <v>8</v>
      </c>
      <c r="HH39" s="6">
        <f t="shared" si="857"/>
        <v>0</v>
      </c>
      <c r="HI39" s="6">
        <f t="shared" si="989"/>
        <v>4</v>
      </c>
      <c r="HJ39" s="6">
        <f t="shared" si="858"/>
        <v>0</v>
      </c>
      <c r="HK39" s="6">
        <f t="shared" si="990"/>
        <v>0</v>
      </c>
      <c r="HL39" s="6">
        <f t="shared" si="859"/>
        <v>0</v>
      </c>
      <c r="HM39" s="6">
        <f t="shared" si="991"/>
        <v>2</v>
      </c>
      <c r="HN39" s="6">
        <f t="shared" si="860"/>
        <v>1</v>
      </c>
      <c r="HO39" s="6">
        <f t="shared" si="992"/>
        <v>7</v>
      </c>
      <c r="HP39" s="6">
        <f t="shared" si="861"/>
        <v>0</v>
      </c>
      <c r="HQ39" s="6">
        <f t="shared" si="993"/>
        <v>4</v>
      </c>
      <c r="HR39" s="6">
        <f t="shared" si="862"/>
        <v>0</v>
      </c>
      <c r="HS39" s="6">
        <f t="shared" si="994"/>
        <v>0</v>
      </c>
      <c r="HT39" s="6">
        <f t="shared" si="863"/>
        <v>0</v>
      </c>
      <c r="HU39" s="6">
        <f t="shared" si="995"/>
        <v>4</v>
      </c>
      <c r="HV39" s="6">
        <f t="shared" si="864"/>
        <v>0</v>
      </c>
      <c r="HW39" s="6">
        <f t="shared" si="996"/>
        <v>9</v>
      </c>
      <c r="HX39" s="6">
        <f t="shared" si="865"/>
        <v>1</v>
      </c>
      <c r="HY39" s="6">
        <f t="shared" si="997"/>
        <v>7</v>
      </c>
      <c r="HZ39" s="6"/>
      <c r="IA39" s="6"/>
      <c r="IB39" s="6">
        <f>IF($E39=5,HB39-5,NA())</f>
        <v>1</v>
      </c>
      <c r="IC39" s="20">
        <f>HB39-'Zusammenfassung Tag1-4'!$I$2/18</f>
        <v>5</v>
      </c>
      <c r="ID39" s="22">
        <f t="shared" si="999"/>
        <v>137</v>
      </c>
      <c r="IE39" s="18"/>
      <c r="IF39" s="6">
        <f t="shared" si="1000"/>
        <v>0</v>
      </c>
      <c r="IG39" s="19"/>
      <c r="IH39" s="6">
        <f t="shared" si="1001"/>
        <v>0</v>
      </c>
      <c r="II39" s="6">
        <f t="shared" si="866"/>
        <v>1</v>
      </c>
      <c r="IJ39" s="6">
        <f t="shared" si="1002"/>
        <v>31</v>
      </c>
      <c r="IK39" s="6">
        <f t="shared" si="867"/>
        <v>0</v>
      </c>
      <c r="IL39" s="6">
        <f t="shared" si="1003"/>
        <v>0</v>
      </c>
      <c r="IM39" s="6">
        <f t="shared" si="868"/>
        <v>0</v>
      </c>
      <c r="IN39" s="6">
        <f t="shared" si="1004"/>
        <v>0</v>
      </c>
      <c r="IO39" s="6">
        <f t="shared" si="869"/>
        <v>0</v>
      </c>
      <c r="IP39" s="6">
        <f t="shared" si="1005"/>
        <v>0</v>
      </c>
      <c r="IQ39" s="6">
        <f t="shared" si="870"/>
        <v>0</v>
      </c>
      <c r="IR39" s="6">
        <f t="shared" si="1006"/>
        <v>0</v>
      </c>
      <c r="IS39" s="6">
        <f t="shared" si="871"/>
        <v>0</v>
      </c>
      <c r="IT39" s="6">
        <f t="shared" si="1007"/>
        <v>0</v>
      </c>
      <c r="IU39" s="6">
        <f t="shared" si="872"/>
        <v>1</v>
      </c>
      <c r="IV39" s="6">
        <f t="shared" si="1008"/>
        <v>13</v>
      </c>
      <c r="IW39" s="6">
        <f t="shared" si="873"/>
        <v>0</v>
      </c>
      <c r="IX39" s="6">
        <f t="shared" si="1009"/>
        <v>0</v>
      </c>
      <c r="IY39" s="6">
        <f t="shared" si="874"/>
        <v>0</v>
      </c>
      <c r="IZ39" s="6">
        <f t="shared" si="1010"/>
        <v>0</v>
      </c>
      <c r="JA39" s="6">
        <f t="shared" si="875"/>
        <v>0</v>
      </c>
      <c r="JB39" s="6">
        <f t="shared" si="1011"/>
        <v>0</v>
      </c>
      <c r="JC39" s="6"/>
      <c r="JD39" s="6"/>
      <c r="JE39" s="6">
        <f>IF($E39=5,IE39-5,NA())</f>
        <v>-5</v>
      </c>
      <c r="JF39" s="20">
        <f>IE39-'Zusammenfassung Tag1-4'!$J$2/18</f>
        <v>-3</v>
      </c>
      <c r="JG39" s="22">
        <f t="shared" si="1013"/>
        <v>-93</v>
      </c>
      <c r="JH39" s="18"/>
      <c r="JI39" s="6">
        <f t="shared" si="1014"/>
        <v>0</v>
      </c>
      <c r="JJ39" s="19"/>
      <c r="JK39" s="6">
        <f t="shared" si="1015"/>
        <v>0</v>
      </c>
      <c r="JL39" s="6">
        <f t="shared" si="876"/>
        <v>1</v>
      </c>
      <c r="JM39" s="6">
        <f t="shared" si="1016"/>
        <v>31</v>
      </c>
      <c r="JN39" s="6">
        <f t="shared" si="877"/>
        <v>0</v>
      </c>
      <c r="JO39" s="6">
        <f t="shared" si="1017"/>
        <v>0</v>
      </c>
      <c r="JP39" s="6">
        <f t="shared" si="878"/>
        <v>0</v>
      </c>
      <c r="JQ39" s="6">
        <f t="shared" si="1018"/>
        <v>0</v>
      </c>
      <c r="JR39" s="6">
        <f t="shared" si="879"/>
        <v>0</v>
      </c>
      <c r="JS39" s="6">
        <f t="shared" si="1019"/>
        <v>0</v>
      </c>
      <c r="JT39" s="6">
        <f t="shared" si="880"/>
        <v>0</v>
      </c>
      <c r="JU39" s="6">
        <f t="shared" si="1020"/>
        <v>0</v>
      </c>
      <c r="JV39" s="6">
        <f t="shared" si="881"/>
        <v>0</v>
      </c>
      <c r="JW39" s="6">
        <f t="shared" si="1021"/>
        <v>0</v>
      </c>
      <c r="JX39" s="6">
        <f t="shared" si="882"/>
        <v>1</v>
      </c>
      <c r="JY39" s="6">
        <f t="shared" si="1022"/>
        <v>13</v>
      </c>
      <c r="JZ39" s="6">
        <f t="shared" si="883"/>
        <v>0</v>
      </c>
      <c r="KA39" s="6">
        <f t="shared" si="1023"/>
        <v>0</v>
      </c>
      <c r="KB39" s="6">
        <f t="shared" si="884"/>
        <v>0</v>
      </c>
      <c r="KC39" s="6">
        <f t="shared" si="1024"/>
        <v>0</v>
      </c>
      <c r="KD39" s="6">
        <f t="shared" si="885"/>
        <v>0</v>
      </c>
      <c r="KE39" s="6">
        <f t="shared" si="1025"/>
        <v>0</v>
      </c>
      <c r="KF39" s="6"/>
      <c r="KG39" s="6"/>
      <c r="KH39" s="6">
        <f>IF($E39=5,JH39-5,NA())</f>
        <v>-5</v>
      </c>
      <c r="KI39" s="20">
        <f>JH39-'Zusammenfassung Tag1-4'!$K$2/18</f>
        <v>-0.77777777777777779</v>
      </c>
      <c r="KJ39" s="22">
        <f t="shared" si="1027"/>
        <v>-24.111111111111125</v>
      </c>
      <c r="KK39" s="10"/>
      <c r="KL39" s="10"/>
      <c r="KM39" s="10"/>
      <c r="KN39" s="10"/>
      <c r="KO39" s="10"/>
      <c r="KP39" s="10"/>
      <c r="KQ39" s="10"/>
      <c r="KR39" s="10"/>
      <c r="KS39" s="10"/>
      <c r="KT39" s="10"/>
      <c r="KU39" s="10"/>
      <c r="KV39" s="10"/>
      <c r="KW39" s="10"/>
      <c r="KX39" s="10"/>
      <c r="KY39" s="10"/>
      <c r="KZ39" s="10"/>
      <c r="LA39" s="10"/>
      <c r="LB39" s="10"/>
      <c r="LC39" s="10"/>
      <c r="LD39" s="10"/>
    </row>
    <row r="40" spans="1:316" ht="15.75" customHeight="1" x14ac:dyDescent="0.25">
      <c r="A40" s="106"/>
      <c r="B40" s="103"/>
      <c r="C40" s="6">
        <v>14</v>
      </c>
      <c r="D40" s="6">
        <f t="shared" si="886"/>
        <v>32</v>
      </c>
      <c r="E40" s="6">
        <v>4</v>
      </c>
      <c r="F40" s="7">
        <f t="shared" si="887"/>
        <v>129</v>
      </c>
      <c r="G40" s="18">
        <v>4</v>
      </c>
      <c r="H40" s="6">
        <f t="shared" si="888"/>
        <v>159</v>
      </c>
      <c r="I40" s="19">
        <v>2</v>
      </c>
      <c r="J40" s="6">
        <f t="shared" si="889"/>
        <v>64</v>
      </c>
      <c r="K40" s="6">
        <f t="shared" si="786"/>
        <v>1</v>
      </c>
      <c r="L40" s="6">
        <f t="shared" si="890"/>
        <v>13</v>
      </c>
      <c r="M40" s="6">
        <f t="shared" si="787"/>
        <v>0</v>
      </c>
      <c r="N40" s="6">
        <f t="shared" si="891"/>
        <v>3</v>
      </c>
      <c r="O40" s="6">
        <f t="shared" si="788"/>
        <v>0</v>
      </c>
      <c r="P40" s="6">
        <f t="shared" si="892"/>
        <v>1</v>
      </c>
      <c r="Q40" s="6">
        <f t="shared" si="789"/>
        <v>1</v>
      </c>
      <c r="R40" s="6">
        <f t="shared" si="893"/>
        <v>6</v>
      </c>
      <c r="S40" s="6">
        <f t="shared" si="790"/>
        <v>0</v>
      </c>
      <c r="T40" s="6">
        <f t="shared" si="894"/>
        <v>4</v>
      </c>
      <c r="U40" s="6">
        <f t="shared" si="791"/>
        <v>0</v>
      </c>
      <c r="V40" s="6">
        <f t="shared" si="895"/>
        <v>4</v>
      </c>
      <c r="W40" s="6">
        <f t="shared" si="792"/>
        <v>0</v>
      </c>
      <c r="X40" s="6">
        <f t="shared" si="896"/>
        <v>0</v>
      </c>
      <c r="Y40" s="6">
        <f t="shared" si="793"/>
        <v>0</v>
      </c>
      <c r="Z40" s="6">
        <f t="shared" si="897"/>
        <v>6</v>
      </c>
      <c r="AA40" s="6">
        <f t="shared" si="794"/>
        <v>1</v>
      </c>
      <c r="AB40" s="6">
        <f t="shared" si="898"/>
        <v>10</v>
      </c>
      <c r="AC40" s="6">
        <f t="shared" si="795"/>
        <v>0</v>
      </c>
      <c r="AD40" s="6">
        <f t="shared" si="899"/>
        <v>5</v>
      </c>
      <c r="AE40" s="6"/>
      <c r="AF40" s="6">
        <f>IF($E40=4,G40-4,NA())</f>
        <v>0</v>
      </c>
      <c r="AG40" s="6"/>
      <c r="AH40" s="20">
        <f>G40-'Zusammenfassung Tag1-4'!$B$2/18</f>
        <v>2.8888888888888888</v>
      </c>
      <c r="AI40" s="21">
        <f t="shared" si="901"/>
        <v>123.44444444444437</v>
      </c>
      <c r="AJ40" s="18">
        <v>3</v>
      </c>
      <c r="AK40" s="6">
        <f t="shared" si="902"/>
        <v>146</v>
      </c>
      <c r="AL40" s="19">
        <v>1</v>
      </c>
      <c r="AM40" s="6">
        <f t="shared" si="903"/>
        <v>60</v>
      </c>
      <c r="AN40" s="6">
        <f t="shared" si="796"/>
        <v>1</v>
      </c>
      <c r="AO40" s="6">
        <f t="shared" si="904"/>
        <v>18</v>
      </c>
      <c r="AP40" s="6">
        <f t="shared" si="797"/>
        <v>0</v>
      </c>
      <c r="AQ40" s="6">
        <f t="shared" si="905"/>
        <v>4</v>
      </c>
      <c r="AR40" s="6">
        <f t="shared" si="798"/>
        <v>1</v>
      </c>
      <c r="AS40" s="6">
        <f t="shared" si="906"/>
        <v>2</v>
      </c>
      <c r="AT40" s="6">
        <f t="shared" si="799"/>
        <v>0</v>
      </c>
      <c r="AU40" s="6">
        <f t="shared" si="907"/>
        <v>7</v>
      </c>
      <c r="AV40" s="6">
        <f t="shared" si="800"/>
        <v>0</v>
      </c>
      <c r="AW40" s="6">
        <f t="shared" si="908"/>
        <v>2</v>
      </c>
      <c r="AX40" s="6">
        <f t="shared" si="801"/>
        <v>0</v>
      </c>
      <c r="AY40" s="6">
        <f t="shared" si="909"/>
        <v>3</v>
      </c>
      <c r="AZ40" s="6">
        <f t="shared" si="802"/>
        <v>0</v>
      </c>
      <c r="BA40" s="6">
        <f t="shared" si="910"/>
        <v>0</v>
      </c>
      <c r="BB40" s="6">
        <f t="shared" si="803"/>
        <v>1</v>
      </c>
      <c r="BC40" s="6">
        <f t="shared" si="911"/>
        <v>8</v>
      </c>
      <c r="BD40" s="6">
        <f t="shared" si="804"/>
        <v>0</v>
      </c>
      <c r="BE40" s="6">
        <f t="shared" si="912"/>
        <v>9</v>
      </c>
      <c r="BF40" s="6">
        <f t="shared" si="805"/>
        <v>0</v>
      </c>
      <c r="BG40" s="6">
        <f t="shared" si="913"/>
        <v>4</v>
      </c>
      <c r="BH40" s="6"/>
      <c r="BI40" s="6">
        <f>IF($E40=4,AJ40-4,NA())</f>
        <v>-1</v>
      </c>
      <c r="BJ40" s="6"/>
      <c r="BK40" s="20">
        <f>AJ40-'Zusammenfassung Tag1-4'!$C$2/18</f>
        <v>2.3333333333333335</v>
      </c>
      <c r="BL40" s="21">
        <f t="shared" si="915"/>
        <v>124.66666666666661</v>
      </c>
      <c r="BM40" s="18">
        <v>5</v>
      </c>
      <c r="BN40" s="6">
        <f t="shared" si="916"/>
        <v>177</v>
      </c>
      <c r="BO40" s="19">
        <v>2</v>
      </c>
      <c r="BP40" s="6">
        <f t="shared" si="917"/>
        <v>66</v>
      </c>
      <c r="BQ40" s="6">
        <f t="shared" si="806"/>
        <v>0</v>
      </c>
      <c r="BR40" s="6">
        <f t="shared" si="918"/>
        <v>5</v>
      </c>
      <c r="BS40" s="6">
        <f t="shared" si="807"/>
        <v>0</v>
      </c>
      <c r="BT40" s="6">
        <f t="shared" si="919"/>
        <v>3</v>
      </c>
      <c r="BU40" s="6">
        <f t="shared" si="808"/>
        <v>0</v>
      </c>
      <c r="BV40" s="6">
        <f t="shared" si="920"/>
        <v>0</v>
      </c>
      <c r="BW40" s="6">
        <f t="shared" si="809"/>
        <v>0</v>
      </c>
      <c r="BX40" s="6">
        <f t="shared" si="921"/>
        <v>3</v>
      </c>
      <c r="BY40" s="6">
        <f t="shared" si="810"/>
        <v>1</v>
      </c>
      <c r="BZ40" s="6">
        <f t="shared" si="922"/>
        <v>3</v>
      </c>
      <c r="CA40" s="6">
        <f t="shared" si="811"/>
        <v>0</v>
      </c>
      <c r="CB40" s="6">
        <f t="shared" si="923"/>
        <v>8</v>
      </c>
      <c r="CC40" s="6">
        <f t="shared" si="812"/>
        <v>0</v>
      </c>
      <c r="CD40" s="6">
        <f t="shared" si="924"/>
        <v>0</v>
      </c>
      <c r="CE40" s="6">
        <f t="shared" si="813"/>
        <v>0</v>
      </c>
      <c r="CF40" s="6">
        <f t="shared" si="925"/>
        <v>5</v>
      </c>
      <c r="CG40" s="6">
        <f t="shared" si="814"/>
        <v>1</v>
      </c>
      <c r="CH40" s="6">
        <f t="shared" si="926"/>
        <v>8</v>
      </c>
      <c r="CI40" s="6">
        <f t="shared" si="815"/>
        <v>0</v>
      </c>
      <c r="CJ40" s="6">
        <f t="shared" si="927"/>
        <v>7</v>
      </c>
      <c r="CK40" s="6"/>
      <c r="CL40" s="6">
        <f>IF($E40=4,BM40-4,NA())</f>
        <v>1</v>
      </c>
      <c r="CM40" s="6"/>
      <c r="CN40" s="20">
        <f>BM40-'Zusammenfassung Tag1-4'!$D$2/18</f>
        <v>3.666666666666667</v>
      </c>
      <c r="CO40" s="21">
        <f t="shared" si="929"/>
        <v>134.33333333333337</v>
      </c>
      <c r="CP40" s="18">
        <v>4</v>
      </c>
      <c r="CQ40" s="6">
        <f t="shared" si="930"/>
        <v>169</v>
      </c>
      <c r="CR40" s="19">
        <v>2</v>
      </c>
      <c r="CS40" s="6">
        <f t="shared" si="931"/>
        <v>65</v>
      </c>
      <c r="CT40" s="6">
        <f t="shared" si="816"/>
        <v>1</v>
      </c>
      <c r="CU40" s="6">
        <f t="shared" si="932"/>
        <v>7</v>
      </c>
      <c r="CV40" s="6">
        <f t="shared" si="817"/>
        <v>0</v>
      </c>
      <c r="CW40" s="6">
        <f t="shared" si="933"/>
        <v>3</v>
      </c>
      <c r="CX40" s="6">
        <f t="shared" si="818"/>
        <v>0</v>
      </c>
      <c r="CY40" s="6">
        <f t="shared" si="934"/>
        <v>0</v>
      </c>
      <c r="CZ40" s="6">
        <f t="shared" si="819"/>
        <v>1</v>
      </c>
      <c r="DA40" s="6">
        <f t="shared" si="935"/>
        <v>4</v>
      </c>
      <c r="DB40" s="6">
        <f t="shared" si="820"/>
        <v>0</v>
      </c>
      <c r="DC40" s="6">
        <f t="shared" si="936"/>
        <v>7</v>
      </c>
      <c r="DD40" s="6">
        <f t="shared" si="821"/>
        <v>0</v>
      </c>
      <c r="DE40" s="6">
        <f t="shared" si="937"/>
        <v>3</v>
      </c>
      <c r="DF40" s="6">
        <f t="shared" si="822"/>
        <v>0</v>
      </c>
      <c r="DG40" s="6">
        <f t="shared" si="938"/>
        <v>0</v>
      </c>
      <c r="DH40" s="6">
        <f t="shared" si="823"/>
        <v>0</v>
      </c>
      <c r="DI40" s="6">
        <f t="shared" si="939"/>
        <v>5</v>
      </c>
      <c r="DJ40" s="6">
        <f t="shared" si="824"/>
        <v>1</v>
      </c>
      <c r="DK40" s="6">
        <f t="shared" si="940"/>
        <v>11</v>
      </c>
      <c r="DL40" s="6">
        <f t="shared" si="825"/>
        <v>0</v>
      </c>
      <c r="DM40" s="6">
        <f t="shared" si="941"/>
        <v>6</v>
      </c>
      <c r="DN40" s="6"/>
      <c r="DO40" s="6">
        <f>IF($E40=4,CP40-4,NA())</f>
        <v>0</v>
      </c>
      <c r="DP40" s="6"/>
      <c r="DQ40" s="20">
        <f>CP40-'Zusammenfassung Tag1-4'!$E$2/18</f>
        <v>2.7222222222222223</v>
      </c>
      <c r="DR40" s="22">
        <f t="shared" si="943"/>
        <v>128.1111111111112</v>
      </c>
      <c r="DS40" s="18">
        <v>10</v>
      </c>
      <c r="DT40" s="6">
        <f t="shared" si="944"/>
        <v>250</v>
      </c>
      <c r="DU40" s="19">
        <v>2</v>
      </c>
      <c r="DV40" s="6">
        <f t="shared" si="945"/>
        <v>71</v>
      </c>
      <c r="DW40" s="6">
        <f t="shared" si="826"/>
        <v>0</v>
      </c>
      <c r="DX40" s="6">
        <f t="shared" si="946"/>
        <v>1</v>
      </c>
      <c r="DY40" s="6">
        <f t="shared" si="827"/>
        <v>0</v>
      </c>
      <c r="DZ40" s="6">
        <f t="shared" si="947"/>
        <v>0</v>
      </c>
      <c r="EA40" s="6">
        <f t="shared" si="828"/>
        <v>0</v>
      </c>
      <c r="EB40" s="6">
        <f t="shared" si="948"/>
        <v>0</v>
      </c>
      <c r="EC40" s="6">
        <f t="shared" si="829"/>
        <v>0</v>
      </c>
      <c r="ED40" s="6">
        <f t="shared" si="949"/>
        <v>0</v>
      </c>
      <c r="EE40" s="6">
        <f t="shared" si="830"/>
        <v>0</v>
      </c>
      <c r="EF40" s="6">
        <f t="shared" si="950"/>
        <v>1</v>
      </c>
      <c r="EG40" s="6">
        <f t="shared" si="831"/>
        <v>1</v>
      </c>
      <c r="EH40" s="6">
        <f t="shared" si="951"/>
        <v>13</v>
      </c>
      <c r="EI40" s="6">
        <f t="shared" si="832"/>
        <v>0</v>
      </c>
      <c r="EJ40" s="6">
        <f t="shared" si="952"/>
        <v>0</v>
      </c>
      <c r="EK40" s="6">
        <f t="shared" si="833"/>
        <v>0</v>
      </c>
      <c r="EL40" s="6">
        <f t="shared" si="953"/>
        <v>1</v>
      </c>
      <c r="EM40" s="6">
        <f t="shared" si="834"/>
        <v>1</v>
      </c>
      <c r="EN40" s="6">
        <f t="shared" si="954"/>
        <v>11</v>
      </c>
      <c r="EO40" s="6">
        <f t="shared" si="835"/>
        <v>0</v>
      </c>
      <c r="EP40" s="6">
        <f t="shared" si="955"/>
        <v>7</v>
      </c>
      <c r="EQ40" s="6"/>
      <c r="ER40" s="6">
        <f>IF($E40=4,DS40-4,NA())</f>
        <v>6</v>
      </c>
      <c r="ES40" s="6"/>
      <c r="ET40" s="20">
        <f>DS40-'Zusammenfassung Tag1-4'!$F$2/18</f>
        <v>7</v>
      </c>
      <c r="EU40" s="22">
        <f t="shared" si="957"/>
        <v>154</v>
      </c>
      <c r="EV40" s="18">
        <v>6</v>
      </c>
      <c r="EW40" s="6">
        <f t="shared" si="958"/>
        <v>178</v>
      </c>
      <c r="EX40" s="19">
        <v>3</v>
      </c>
      <c r="EY40" s="6">
        <f t="shared" si="959"/>
        <v>69</v>
      </c>
      <c r="EZ40" s="6">
        <f t="shared" si="836"/>
        <v>0</v>
      </c>
      <c r="FA40" s="6">
        <f t="shared" si="960"/>
        <v>7</v>
      </c>
      <c r="FB40" s="6">
        <f t="shared" si="837"/>
        <v>0</v>
      </c>
      <c r="FC40" s="6">
        <f t="shared" si="961"/>
        <v>0</v>
      </c>
      <c r="FD40" s="6">
        <f t="shared" si="838"/>
        <v>0</v>
      </c>
      <c r="FE40" s="6">
        <f t="shared" si="962"/>
        <v>2</v>
      </c>
      <c r="FF40" s="6">
        <f t="shared" si="839"/>
        <v>0</v>
      </c>
      <c r="FG40" s="6">
        <f t="shared" si="963"/>
        <v>1</v>
      </c>
      <c r="FH40" s="6">
        <f t="shared" si="840"/>
        <v>0</v>
      </c>
      <c r="FI40" s="6">
        <f t="shared" si="964"/>
        <v>3</v>
      </c>
      <c r="FJ40" s="6">
        <f t="shared" si="841"/>
        <v>1</v>
      </c>
      <c r="FK40" s="6">
        <f t="shared" si="965"/>
        <v>8</v>
      </c>
      <c r="FL40" s="6">
        <f t="shared" si="842"/>
        <v>0</v>
      </c>
      <c r="FM40" s="6">
        <f t="shared" si="966"/>
        <v>0</v>
      </c>
      <c r="FN40" s="6">
        <f t="shared" si="843"/>
        <v>0</v>
      </c>
      <c r="FO40" s="6">
        <f t="shared" si="967"/>
        <v>3</v>
      </c>
      <c r="FP40" s="6">
        <f t="shared" si="844"/>
        <v>0</v>
      </c>
      <c r="FQ40" s="6">
        <f t="shared" si="968"/>
        <v>11</v>
      </c>
      <c r="FR40" s="6">
        <f t="shared" si="845"/>
        <v>1</v>
      </c>
      <c r="FS40" s="6">
        <f t="shared" si="969"/>
        <v>8</v>
      </c>
      <c r="FT40" s="6"/>
      <c r="FU40" s="6">
        <f>IF($E40=4,EV40-4,NA())</f>
        <v>2</v>
      </c>
      <c r="FV40" s="6"/>
      <c r="FW40" s="20">
        <f>EV40-'Zusammenfassung Tag1-4'!$G$2/18</f>
        <v>4.5</v>
      </c>
      <c r="FX40" s="22">
        <f t="shared" si="971"/>
        <v>130</v>
      </c>
      <c r="FY40" s="18">
        <v>6</v>
      </c>
      <c r="FZ40" s="6">
        <f t="shared" si="972"/>
        <v>239</v>
      </c>
      <c r="GA40" s="19">
        <v>2</v>
      </c>
      <c r="GB40" s="6">
        <f t="shared" si="973"/>
        <v>76</v>
      </c>
      <c r="GC40" s="6">
        <f t="shared" si="846"/>
        <v>0</v>
      </c>
      <c r="GD40" s="6">
        <f t="shared" si="974"/>
        <v>1</v>
      </c>
      <c r="GE40" s="6">
        <f t="shared" si="847"/>
        <v>0</v>
      </c>
      <c r="GF40" s="6">
        <f t="shared" si="975"/>
        <v>0</v>
      </c>
      <c r="GG40" s="6">
        <f t="shared" si="848"/>
        <v>0</v>
      </c>
      <c r="GH40" s="6">
        <f t="shared" si="976"/>
        <v>0</v>
      </c>
      <c r="GI40" s="6">
        <f t="shared" si="849"/>
        <v>0</v>
      </c>
      <c r="GJ40" s="6">
        <f t="shared" si="977"/>
        <v>0</v>
      </c>
      <c r="GK40" s="6">
        <f t="shared" si="850"/>
        <v>0</v>
      </c>
      <c r="GL40" s="6">
        <f t="shared" si="978"/>
        <v>1</v>
      </c>
      <c r="GM40" s="6">
        <f t="shared" si="851"/>
        <v>1</v>
      </c>
      <c r="GN40" s="6">
        <f t="shared" si="979"/>
        <v>13</v>
      </c>
      <c r="GO40" s="6">
        <f t="shared" si="852"/>
        <v>0</v>
      </c>
      <c r="GP40" s="6">
        <f t="shared" si="980"/>
        <v>0</v>
      </c>
      <c r="GQ40" s="6">
        <f t="shared" si="853"/>
        <v>0</v>
      </c>
      <c r="GR40" s="6">
        <f t="shared" si="981"/>
        <v>2</v>
      </c>
      <c r="GS40" s="6">
        <f t="shared" si="854"/>
        <v>1</v>
      </c>
      <c r="GT40" s="6">
        <f t="shared" si="982"/>
        <v>8</v>
      </c>
      <c r="GU40" s="6">
        <f t="shared" si="855"/>
        <v>0</v>
      </c>
      <c r="GV40" s="6">
        <f t="shared" si="983"/>
        <v>14</v>
      </c>
      <c r="GW40" s="6"/>
      <c r="GX40" s="6">
        <f>IF($E40=4,FY40-4,NA())</f>
        <v>2</v>
      </c>
      <c r="GY40" s="6"/>
      <c r="GZ40" s="20">
        <f>FY40-'Zusammenfassung Tag1-4'!$H$2/18</f>
        <v>3</v>
      </c>
      <c r="HA40" s="22">
        <f t="shared" si="985"/>
        <v>143</v>
      </c>
      <c r="HB40" s="18">
        <v>5</v>
      </c>
      <c r="HC40" s="6">
        <f t="shared" si="986"/>
        <v>173</v>
      </c>
      <c r="HD40" s="19">
        <v>1</v>
      </c>
      <c r="HE40" s="6">
        <f t="shared" si="987"/>
        <v>66</v>
      </c>
      <c r="HF40" s="6">
        <f t="shared" si="856"/>
        <v>0</v>
      </c>
      <c r="HG40" s="6">
        <f t="shared" si="988"/>
        <v>8</v>
      </c>
      <c r="HH40" s="6">
        <f t="shared" si="857"/>
        <v>0</v>
      </c>
      <c r="HI40" s="6">
        <f t="shared" si="989"/>
        <v>4</v>
      </c>
      <c r="HJ40" s="6">
        <f t="shared" si="858"/>
        <v>0</v>
      </c>
      <c r="HK40" s="6">
        <f t="shared" si="990"/>
        <v>0</v>
      </c>
      <c r="HL40" s="6">
        <f t="shared" si="859"/>
        <v>0</v>
      </c>
      <c r="HM40" s="6">
        <f t="shared" si="991"/>
        <v>2</v>
      </c>
      <c r="HN40" s="6">
        <f t="shared" si="860"/>
        <v>1</v>
      </c>
      <c r="HO40" s="6">
        <f t="shared" si="992"/>
        <v>8</v>
      </c>
      <c r="HP40" s="6">
        <f t="shared" si="861"/>
        <v>0</v>
      </c>
      <c r="HQ40" s="6">
        <f t="shared" si="993"/>
        <v>4</v>
      </c>
      <c r="HR40" s="6">
        <f t="shared" si="862"/>
        <v>0</v>
      </c>
      <c r="HS40" s="6">
        <f t="shared" si="994"/>
        <v>0</v>
      </c>
      <c r="HT40" s="6">
        <f t="shared" si="863"/>
        <v>1</v>
      </c>
      <c r="HU40" s="6">
        <f t="shared" si="995"/>
        <v>5</v>
      </c>
      <c r="HV40" s="6">
        <f t="shared" si="864"/>
        <v>0</v>
      </c>
      <c r="HW40" s="6">
        <f t="shared" si="996"/>
        <v>9</v>
      </c>
      <c r="HX40" s="6">
        <f t="shared" si="865"/>
        <v>0</v>
      </c>
      <c r="HY40" s="6">
        <f t="shared" si="997"/>
        <v>7</v>
      </c>
      <c r="HZ40" s="6"/>
      <c r="IA40" s="6">
        <f>IF($E40=4,HB40-4,NA())</f>
        <v>1</v>
      </c>
      <c r="IB40" s="6"/>
      <c r="IC40" s="20">
        <f>HB40-'Zusammenfassung Tag1-4'!$I$2/18</f>
        <v>4</v>
      </c>
      <c r="ID40" s="22">
        <f t="shared" si="999"/>
        <v>141</v>
      </c>
      <c r="IE40" s="18"/>
      <c r="IF40" s="6">
        <f t="shared" si="1000"/>
        <v>0</v>
      </c>
      <c r="IG40" s="19"/>
      <c r="IH40" s="6">
        <f t="shared" si="1001"/>
        <v>0</v>
      </c>
      <c r="II40" s="6">
        <f t="shared" si="866"/>
        <v>1</v>
      </c>
      <c r="IJ40" s="6">
        <f t="shared" si="1002"/>
        <v>32</v>
      </c>
      <c r="IK40" s="6">
        <f t="shared" si="867"/>
        <v>0</v>
      </c>
      <c r="IL40" s="6">
        <f t="shared" si="1003"/>
        <v>0</v>
      </c>
      <c r="IM40" s="6">
        <f t="shared" si="868"/>
        <v>0</v>
      </c>
      <c r="IN40" s="6">
        <f t="shared" si="1004"/>
        <v>0</v>
      </c>
      <c r="IO40" s="6">
        <f t="shared" si="869"/>
        <v>0</v>
      </c>
      <c r="IP40" s="6">
        <f t="shared" si="1005"/>
        <v>0</v>
      </c>
      <c r="IQ40" s="6">
        <f t="shared" si="870"/>
        <v>0</v>
      </c>
      <c r="IR40" s="6">
        <f t="shared" si="1006"/>
        <v>0</v>
      </c>
      <c r="IS40" s="6">
        <f t="shared" si="871"/>
        <v>0</v>
      </c>
      <c r="IT40" s="6">
        <f t="shared" si="1007"/>
        <v>0</v>
      </c>
      <c r="IU40" s="6">
        <f t="shared" si="872"/>
        <v>1</v>
      </c>
      <c r="IV40" s="6">
        <f t="shared" si="1008"/>
        <v>14</v>
      </c>
      <c r="IW40" s="6">
        <f t="shared" si="873"/>
        <v>0</v>
      </c>
      <c r="IX40" s="6">
        <f t="shared" si="1009"/>
        <v>0</v>
      </c>
      <c r="IY40" s="6">
        <f t="shared" si="874"/>
        <v>0</v>
      </c>
      <c r="IZ40" s="6">
        <f t="shared" si="1010"/>
        <v>0</v>
      </c>
      <c r="JA40" s="6">
        <f t="shared" si="875"/>
        <v>0</v>
      </c>
      <c r="JB40" s="6">
        <f t="shared" si="1011"/>
        <v>0</v>
      </c>
      <c r="JC40" s="6"/>
      <c r="JD40" s="6">
        <f>IF($E40=4,IE40-4,NA())</f>
        <v>-4</v>
      </c>
      <c r="JE40" s="6"/>
      <c r="JF40" s="20">
        <f>IE40-'Zusammenfassung Tag1-4'!$J$2/18</f>
        <v>-3</v>
      </c>
      <c r="JG40" s="22">
        <f t="shared" si="1013"/>
        <v>-96</v>
      </c>
      <c r="JH40" s="18"/>
      <c r="JI40" s="6">
        <f t="shared" si="1014"/>
        <v>0</v>
      </c>
      <c r="JJ40" s="19"/>
      <c r="JK40" s="6">
        <f t="shared" si="1015"/>
        <v>0</v>
      </c>
      <c r="JL40" s="6">
        <f t="shared" si="876"/>
        <v>1</v>
      </c>
      <c r="JM40" s="6">
        <f t="shared" si="1016"/>
        <v>32</v>
      </c>
      <c r="JN40" s="6">
        <f t="shared" si="877"/>
        <v>0</v>
      </c>
      <c r="JO40" s="6">
        <f t="shared" si="1017"/>
        <v>0</v>
      </c>
      <c r="JP40" s="6">
        <f t="shared" si="878"/>
        <v>0</v>
      </c>
      <c r="JQ40" s="6">
        <f t="shared" si="1018"/>
        <v>0</v>
      </c>
      <c r="JR40" s="6">
        <f t="shared" si="879"/>
        <v>0</v>
      </c>
      <c r="JS40" s="6">
        <f t="shared" si="1019"/>
        <v>0</v>
      </c>
      <c r="JT40" s="6">
        <f t="shared" si="880"/>
        <v>0</v>
      </c>
      <c r="JU40" s="6">
        <f t="shared" si="1020"/>
        <v>0</v>
      </c>
      <c r="JV40" s="6">
        <f t="shared" si="881"/>
        <v>0</v>
      </c>
      <c r="JW40" s="6">
        <f t="shared" si="1021"/>
        <v>0</v>
      </c>
      <c r="JX40" s="6">
        <f t="shared" si="882"/>
        <v>1</v>
      </c>
      <c r="JY40" s="6">
        <f t="shared" si="1022"/>
        <v>14</v>
      </c>
      <c r="JZ40" s="6">
        <f t="shared" si="883"/>
        <v>0</v>
      </c>
      <c r="KA40" s="6">
        <f t="shared" si="1023"/>
        <v>0</v>
      </c>
      <c r="KB40" s="6">
        <f t="shared" si="884"/>
        <v>0</v>
      </c>
      <c r="KC40" s="6">
        <f t="shared" si="1024"/>
        <v>0</v>
      </c>
      <c r="KD40" s="6">
        <f t="shared" si="885"/>
        <v>0</v>
      </c>
      <c r="KE40" s="6">
        <f t="shared" si="1025"/>
        <v>0</v>
      </c>
      <c r="KF40" s="6"/>
      <c r="KG40" s="6">
        <f>IF($E40=4,JH40-4,NA())</f>
        <v>-4</v>
      </c>
      <c r="KH40" s="6"/>
      <c r="KI40" s="20">
        <f>JH40-'Zusammenfassung Tag1-4'!$K$2/18</f>
        <v>-0.77777777777777779</v>
      </c>
      <c r="KJ40" s="22">
        <f t="shared" si="1027"/>
        <v>-24.888888888888903</v>
      </c>
      <c r="KK40" s="10"/>
      <c r="KL40" s="10"/>
      <c r="KM40" s="10"/>
      <c r="KN40" s="10"/>
      <c r="KO40" s="10"/>
      <c r="KP40" s="10"/>
      <c r="KQ40" s="10"/>
      <c r="KR40" s="10"/>
      <c r="KS40" s="10"/>
      <c r="KT40" s="10"/>
      <c r="KU40" s="10"/>
      <c r="KV40" s="10"/>
      <c r="KW40" s="10"/>
      <c r="KX40" s="10"/>
      <c r="KY40" s="10"/>
      <c r="KZ40" s="10"/>
      <c r="LA40" s="10"/>
      <c r="LB40" s="10"/>
      <c r="LC40" s="10"/>
      <c r="LD40" s="10"/>
    </row>
    <row r="41" spans="1:316" ht="15.75" customHeight="1" x14ac:dyDescent="0.25">
      <c r="A41" s="106"/>
      <c r="B41" s="103"/>
      <c r="C41" s="6">
        <v>15</v>
      </c>
      <c r="D41" s="6">
        <f t="shared" si="886"/>
        <v>33</v>
      </c>
      <c r="E41" s="6">
        <v>3</v>
      </c>
      <c r="F41" s="7">
        <f t="shared" si="887"/>
        <v>132</v>
      </c>
      <c r="G41" s="18">
        <v>3</v>
      </c>
      <c r="H41" s="6">
        <f t="shared" si="888"/>
        <v>162</v>
      </c>
      <c r="I41" s="19">
        <v>2</v>
      </c>
      <c r="J41" s="6">
        <f t="shared" si="889"/>
        <v>66</v>
      </c>
      <c r="K41" s="6">
        <f t="shared" si="786"/>
        <v>1</v>
      </c>
      <c r="L41" s="6">
        <f t="shared" si="890"/>
        <v>14</v>
      </c>
      <c r="M41" s="6">
        <f t="shared" si="787"/>
        <v>0</v>
      </c>
      <c r="N41" s="6">
        <f t="shared" si="891"/>
        <v>3</v>
      </c>
      <c r="O41" s="6">
        <f t="shared" si="788"/>
        <v>0</v>
      </c>
      <c r="P41" s="6">
        <f t="shared" si="892"/>
        <v>1</v>
      </c>
      <c r="Q41" s="6">
        <f t="shared" si="789"/>
        <v>1</v>
      </c>
      <c r="R41" s="6">
        <f t="shared" si="893"/>
        <v>7</v>
      </c>
      <c r="S41" s="6">
        <f t="shared" si="790"/>
        <v>0</v>
      </c>
      <c r="T41" s="6">
        <f t="shared" si="894"/>
        <v>4</v>
      </c>
      <c r="U41" s="6">
        <f t="shared" si="791"/>
        <v>0</v>
      </c>
      <c r="V41" s="6">
        <f t="shared" si="895"/>
        <v>4</v>
      </c>
      <c r="W41" s="6">
        <f t="shared" si="792"/>
        <v>0</v>
      </c>
      <c r="X41" s="6">
        <f t="shared" si="896"/>
        <v>0</v>
      </c>
      <c r="Y41" s="6">
        <f t="shared" si="793"/>
        <v>0</v>
      </c>
      <c r="Z41" s="6">
        <f t="shared" si="897"/>
        <v>6</v>
      </c>
      <c r="AA41" s="6">
        <f t="shared" si="794"/>
        <v>1</v>
      </c>
      <c r="AB41" s="6">
        <f t="shared" si="898"/>
        <v>11</v>
      </c>
      <c r="AC41" s="6">
        <f t="shared" si="795"/>
        <v>0</v>
      </c>
      <c r="AD41" s="6">
        <f t="shared" si="899"/>
        <v>5</v>
      </c>
      <c r="AE41" s="6">
        <f>IF($E41=3,G41-3,NA())</f>
        <v>0</v>
      </c>
      <c r="AF41" s="6"/>
      <c r="AG41" s="6"/>
      <c r="AH41" s="20">
        <f>G41-'Zusammenfassung Tag1-4'!$B$2/18</f>
        <v>1.8888888888888888</v>
      </c>
      <c r="AI41" s="21">
        <f t="shared" si="901"/>
        <v>125.33333333333326</v>
      </c>
      <c r="AJ41" s="18">
        <v>2</v>
      </c>
      <c r="AK41" s="6">
        <f t="shared" si="902"/>
        <v>148</v>
      </c>
      <c r="AL41" s="19">
        <v>1</v>
      </c>
      <c r="AM41" s="6">
        <f t="shared" si="903"/>
        <v>61</v>
      </c>
      <c r="AN41" s="6">
        <f t="shared" si="796"/>
        <v>1</v>
      </c>
      <c r="AO41" s="6">
        <f t="shared" si="904"/>
        <v>19</v>
      </c>
      <c r="AP41" s="6">
        <f t="shared" si="797"/>
        <v>0</v>
      </c>
      <c r="AQ41" s="6">
        <f t="shared" si="905"/>
        <v>4</v>
      </c>
      <c r="AR41" s="6">
        <f t="shared" si="798"/>
        <v>1</v>
      </c>
      <c r="AS41" s="6">
        <f t="shared" si="906"/>
        <v>3</v>
      </c>
      <c r="AT41" s="6">
        <f t="shared" si="799"/>
        <v>0</v>
      </c>
      <c r="AU41" s="6">
        <f t="shared" si="907"/>
        <v>7</v>
      </c>
      <c r="AV41" s="6">
        <f t="shared" si="800"/>
        <v>0</v>
      </c>
      <c r="AW41" s="6">
        <f t="shared" si="908"/>
        <v>2</v>
      </c>
      <c r="AX41" s="6">
        <f t="shared" si="801"/>
        <v>0</v>
      </c>
      <c r="AY41" s="6">
        <f t="shared" si="909"/>
        <v>3</v>
      </c>
      <c r="AZ41" s="6">
        <f t="shared" si="802"/>
        <v>0</v>
      </c>
      <c r="BA41" s="6">
        <f t="shared" si="910"/>
        <v>0</v>
      </c>
      <c r="BB41" s="6">
        <f t="shared" si="803"/>
        <v>1</v>
      </c>
      <c r="BC41" s="6">
        <f t="shared" si="911"/>
        <v>9</v>
      </c>
      <c r="BD41" s="6">
        <f t="shared" si="804"/>
        <v>0</v>
      </c>
      <c r="BE41" s="6">
        <f t="shared" si="912"/>
        <v>9</v>
      </c>
      <c r="BF41" s="6">
        <f t="shared" si="805"/>
        <v>0</v>
      </c>
      <c r="BG41" s="6">
        <f t="shared" si="913"/>
        <v>4</v>
      </c>
      <c r="BH41" s="6">
        <f>IF($E41=3,AJ41-3,NA())</f>
        <v>-1</v>
      </c>
      <c r="BI41" s="6"/>
      <c r="BJ41" s="6"/>
      <c r="BK41" s="20">
        <f>AJ41-'Zusammenfassung Tag1-4'!$C$2/18</f>
        <v>1.3333333333333335</v>
      </c>
      <c r="BL41" s="21">
        <f t="shared" si="915"/>
        <v>125.99999999999994</v>
      </c>
      <c r="BM41" s="18">
        <v>2</v>
      </c>
      <c r="BN41" s="6">
        <f t="shared" si="916"/>
        <v>179</v>
      </c>
      <c r="BO41" s="19">
        <v>1</v>
      </c>
      <c r="BP41" s="6">
        <f t="shared" si="917"/>
        <v>67</v>
      </c>
      <c r="BQ41" s="6">
        <f t="shared" si="806"/>
        <v>1</v>
      </c>
      <c r="BR41" s="6">
        <f t="shared" si="918"/>
        <v>6</v>
      </c>
      <c r="BS41" s="6">
        <f t="shared" si="807"/>
        <v>0</v>
      </c>
      <c r="BT41" s="6">
        <f t="shared" si="919"/>
        <v>3</v>
      </c>
      <c r="BU41" s="6">
        <f t="shared" si="808"/>
        <v>1</v>
      </c>
      <c r="BV41" s="6">
        <f t="shared" si="920"/>
        <v>1</v>
      </c>
      <c r="BW41" s="6">
        <f t="shared" si="809"/>
        <v>0</v>
      </c>
      <c r="BX41" s="6">
        <f t="shared" si="921"/>
        <v>3</v>
      </c>
      <c r="BY41" s="6">
        <f t="shared" si="810"/>
        <v>0</v>
      </c>
      <c r="BZ41" s="6">
        <f t="shared" si="922"/>
        <v>3</v>
      </c>
      <c r="CA41" s="6">
        <f t="shared" si="811"/>
        <v>0</v>
      </c>
      <c r="CB41" s="6">
        <f t="shared" si="923"/>
        <v>8</v>
      </c>
      <c r="CC41" s="6">
        <f t="shared" si="812"/>
        <v>0</v>
      </c>
      <c r="CD41" s="6">
        <f t="shared" si="924"/>
        <v>0</v>
      </c>
      <c r="CE41" s="6">
        <f t="shared" si="813"/>
        <v>1</v>
      </c>
      <c r="CF41" s="6">
        <f t="shared" si="925"/>
        <v>6</v>
      </c>
      <c r="CG41" s="6">
        <f t="shared" si="814"/>
        <v>0</v>
      </c>
      <c r="CH41" s="6">
        <f t="shared" si="926"/>
        <v>8</v>
      </c>
      <c r="CI41" s="6">
        <f t="shared" si="815"/>
        <v>0</v>
      </c>
      <c r="CJ41" s="6">
        <f t="shared" si="927"/>
        <v>7</v>
      </c>
      <c r="CK41" s="6">
        <f>IF($E41=3,BM41-3,NA())</f>
        <v>-1</v>
      </c>
      <c r="CL41" s="6"/>
      <c r="CM41" s="6"/>
      <c r="CN41" s="20">
        <f>BM41-'Zusammenfassung Tag1-4'!$D$2/18</f>
        <v>0.66666666666666674</v>
      </c>
      <c r="CO41" s="21">
        <f t="shared" si="929"/>
        <v>135.00000000000003</v>
      </c>
      <c r="CP41" s="18">
        <v>4</v>
      </c>
      <c r="CQ41" s="6">
        <f t="shared" si="930"/>
        <v>173</v>
      </c>
      <c r="CR41" s="19">
        <v>1</v>
      </c>
      <c r="CS41" s="6">
        <f t="shared" si="931"/>
        <v>66</v>
      </c>
      <c r="CT41" s="6">
        <f t="shared" si="816"/>
        <v>0</v>
      </c>
      <c r="CU41" s="6">
        <f t="shared" si="932"/>
        <v>7</v>
      </c>
      <c r="CV41" s="6">
        <f t="shared" si="817"/>
        <v>0</v>
      </c>
      <c r="CW41" s="6">
        <f t="shared" si="933"/>
        <v>3</v>
      </c>
      <c r="CX41" s="6">
        <f t="shared" si="818"/>
        <v>0</v>
      </c>
      <c r="CY41" s="6">
        <f t="shared" si="934"/>
        <v>0</v>
      </c>
      <c r="CZ41" s="6">
        <f t="shared" si="819"/>
        <v>0</v>
      </c>
      <c r="DA41" s="6">
        <f t="shared" si="935"/>
        <v>4</v>
      </c>
      <c r="DB41" s="6">
        <f t="shared" si="820"/>
        <v>1</v>
      </c>
      <c r="DC41" s="6">
        <f t="shared" si="936"/>
        <v>8</v>
      </c>
      <c r="DD41" s="6">
        <f t="shared" si="821"/>
        <v>0</v>
      </c>
      <c r="DE41" s="6">
        <f t="shared" si="937"/>
        <v>3</v>
      </c>
      <c r="DF41" s="6">
        <f t="shared" si="822"/>
        <v>0</v>
      </c>
      <c r="DG41" s="6">
        <f t="shared" si="938"/>
        <v>0</v>
      </c>
      <c r="DH41" s="6">
        <f t="shared" si="823"/>
        <v>1</v>
      </c>
      <c r="DI41" s="6">
        <f t="shared" si="939"/>
        <v>6</v>
      </c>
      <c r="DJ41" s="6">
        <f t="shared" si="824"/>
        <v>0</v>
      </c>
      <c r="DK41" s="6">
        <f t="shared" si="940"/>
        <v>11</v>
      </c>
      <c r="DL41" s="6">
        <f t="shared" si="825"/>
        <v>0</v>
      </c>
      <c r="DM41" s="6">
        <f t="shared" si="941"/>
        <v>6</v>
      </c>
      <c r="DN41" s="6">
        <f>IF($E41=3,CP41-3,NA())</f>
        <v>1</v>
      </c>
      <c r="DO41" s="6"/>
      <c r="DP41" s="6"/>
      <c r="DQ41" s="20">
        <f>CP41-'Zusammenfassung Tag1-4'!$E$2/18</f>
        <v>2.7222222222222223</v>
      </c>
      <c r="DR41" s="22">
        <f t="shared" si="943"/>
        <v>130.83333333333343</v>
      </c>
      <c r="DS41" s="18">
        <v>6</v>
      </c>
      <c r="DT41" s="6">
        <f t="shared" si="944"/>
        <v>256</v>
      </c>
      <c r="DU41" s="19">
        <v>1</v>
      </c>
      <c r="DV41" s="6">
        <f t="shared" si="945"/>
        <v>72</v>
      </c>
      <c r="DW41" s="6">
        <f t="shared" si="826"/>
        <v>0</v>
      </c>
      <c r="DX41" s="6">
        <f t="shared" si="946"/>
        <v>1</v>
      </c>
      <c r="DY41" s="6">
        <f t="shared" si="827"/>
        <v>0</v>
      </c>
      <c r="DZ41" s="6">
        <f t="shared" si="947"/>
        <v>0</v>
      </c>
      <c r="EA41" s="6">
        <f t="shared" si="828"/>
        <v>0</v>
      </c>
      <c r="EB41" s="6">
        <f t="shared" si="948"/>
        <v>0</v>
      </c>
      <c r="EC41" s="6">
        <f t="shared" si="829"/>
        <v>0</v>
      </c>
      <c r="ED41" s="6">
        <f t="shared" si="949"/>
        <v>0</v>
      </c>
      <c r="EE41" s="6">
        <f t="shared" si="830"/>
        <v>0</v>
      </c>
      <c r="EF41" s="6">
        <f t="shared" si="950"/>
        <v>1</v>
      </c>
      <c r="EG41" s="6">
        <f t="shared" si="831"/>
        <v>1</v>
      </c>
      <c r="EH41" s="6">
        <f t="shared" si="951"/>
        <v>14</v>
      </c>
      <c r="EI41" s="6">
        <f t="shared" si="832"/>
        <v>0</v>
      </c>
      <c r="EJ41" s="6">
        <f t="shared" si="952"/>
        <v>0</v>
      </c>
      <c r="EK41" s="6">
        <f t="shared" si="833"/>
        <v>1</v>
      </c>
      <c r="EL41" s="6">
        <f t="shared" si="953"/>
        <v>2</v>
      </c>
      <c r="EM41" s="6">
        <f t="shared" si="834"/>
        <v>0</v>
      </c>
      <c r="EN41" s="6">
        <f t="shared" si="954"/>
        <v>11</v>
      </c>
      <c r="EO41" s="6">
        <f t="shared" si="835"/>
        <v>0</v>
      </c>
      <c r="EP41" s="6">
        <f t="shared" si="955"/>
        <v>7</v>
      </c>
      <c r="EQ41" s="6">
        <f>IF($E41=3,DS41-3,NA())</f>
        <v>3</v>
      </c>
      <c r="ER41" s="6"/>
      <c r="ES41" s="6"/>
      <c r="ET41" s="20">
        <f>DS41-'Zusammenfassung Tag1-4'!$F$2/18</f>
        <v>3</v>
      </c>
      <c r="EU41" s="22">
        <f t="shared" si="957"/>
        <v>157</v>
      </c>
      <c r="EV41" s="18">
        <v>4</v>
      </c>
      <c r="EW41" s="6">
        <f t="shared" si="958"/>
        <v>182</v>
      </c>
      <c r="EX41" s="19">
        <v>2</v>
      </c>
      <c r="EY41" s="6">
        <f t="shared" si="959"/>
        <v>71</v>
      </c>
      <c r="EZ41" s="6">
        <f t="shared" si="836"/>
        <v>0</v>
      </c>
      <c r="FA41" s="6">
        <f t="shared" si="960"/>
        <v>7</v>
      </c>
      <c r="FB41" s="6">
        <f t="shared" si="837"/>
        <v>0</v>
      </c>
      <c r="FC41" s="6">
        <f t="shared" si="961"/>
        <v>0</v>
      </c>
      <c r="FD41" s="6">
        <f t="shared" si="838"/>
        <v>0</v>
      </c>
      <c r="FE41" s="6">
        <f t="shared" si="962"/>
        <v>2</v>
      </c>
      <c r="FF41" s="6">
        <f t="shared" si="839"/>
        <v>0</v>
      </c>
      <c r="FG41" s="6">
        <f t="shared" si="963"/>
        <v>1</v>
      </c>
      <c r="FH41" s="6">
        <f t="shared" si="840"/>
        <v>1</v>
      </c>
      <c r="FI41" s="6">
        <f t="shared" si="964"/>
        <v>4</v>
      </c>
      <c r="FJ41" s="6">
        <f t="shared" si="841"/>
        <v>0</v>
      </c>
      <c r="FK41" s="6">
        <f t="shared" si="965"/>
        <v>8</v>
      </c>
      <c r="FL41" s="6">
        <f t="shared" si="842"/>
        <v>0</v>
      </c>
      <c r="FM41" s="6">
        <f t="shared" si="966"/>
        <v>0</v>
      </c>
      <c r="FN41" s="6">
        <f t="shared" si="843"/>
        <v>0</v>
      </c>
      <c r="FO41" s="6">
        <f t="shared" si="967"/>
        <v>3</v>
      </c>
      <c r="FP41" s="6">
        <f t="shared" si="844"/>
        <v>1</v>
      </c>
      <c r="FQ41" s="6">
        <f t="shared" si="968"/>
        <v>12</v>
      </c>
      <c r="FR41" s="6">
        <f t="shared" si="845"/>
        <v>0</v>
      </c>
      <c r="FS41" s="6">
        <f t="shared" si="969"/>
        <v>8</v>
      </c>
      <c r="FT41" s="6">
        <f>IF($E41=3,EV41-3,NA())</f>
        <v>1</v>
      </c>
      <c r="FU41" s="6"/>
      <c r="FV41" s="6"/>
      <c r="FW41" s="20">
        <f>EV41-'Zusammenfassung Tag1-4'!$G$2/18</f>
        <v>2.5</v>
      </c>
      <c r="FX41" s="22">
        <f t="shared" si="971"/>
        <v>132.5</v>
      </c>
      <c r="FY41" s="18">
        <v>4</v>
      </c>
      <c r="FZ41" s="6">
        <f t="shared" si="972"/>
        <v>243</v>
      </c>
      <c r="GA41" s="19">
        <v>3</v>
      </c>
      <c r="GB41" s="6">
        <f t="shared" si="973"/>
        <v>79</v>
      </c>
      <c r="GC41" s="6">
        <f t="shared" si="846"/>
        <v>1</v>
      </c>
      <c r="GD41" s="6">
        <f t="shared" si="974"/>
        <v>2</v>
      </c>
      <c r="GE41" s="6">
        <f t="shared" si="847"/>
        <v>0</v>
      </c>
      <c r="GF41" s="6">
        <f t="shared" si="975"/>
        <v>0</v>
      </c>
      <c r="GG41" s="6">
        <f t="shared" si="848"/>
        <v>0</v>
      </c>
      <c r="GH41" s="6">
        <f t="shared" si="976"/>
        <v>0</v>
      </c>
      <c r="GI41" s="6">
        <f t="shared" si="849"/>
        <v>0</v>
      </c>
      <c r="GJ41" s="6">
        <f t="shared" si="977"/>
        <v>0</v>
      </c>
      <c r="GK41" s="6">
        <f t="shared" si="850"/>
        <v>1</v>
      </c>
      <c r="GL41" s="6">
        <f t="shared" si="978"/>
        <v>2</v>
      </c>
      <c r="GM41" s="6">
        <f t="shared" si="851"/>
        <v>0</v>
      </c>
      <c r="GN41" s="6">
        <f t="shared" si="979"/>
        <v>13</v>
      </c>
      <c r="GO41" s="6">
        <f t="shared" si="852"/>
        <v>0</v>
      </c>
      <c r="GP41" s="6">
        <f t="shared" si="980"/>
        <v>0</v>
      </c>
      <c r="GQ41" s="6">
        <f t="shared" si="853"/>
        <v>0</v>
      </c>
      <c r="GR41" s="6">
        <f t="shared" si="981"/>
        <v>2</v>
      </c>
      <c r="GS41" s="6">
        <f t="shared" si="854"/>
        <v>0</v>
      </c>
      <c r="GT41" s="6">
        <f t="shared" si="982"/>
        <v>8</v>
      </c>
      <c r="GU41" s="6">
        <f t="shared" si="855"/>
        <v>1</v>
      </c>
      <c r="GV41" s="6">
        <f t="shared" si="983"/>
        <v>15</v>
      </c>
      <c r="GW41" s="6">
        <f>IF($E41=3,FY41-3,NA())</f>
        <v>1</v>
      </c>
      <c r="GX41" s="6"/>
      <c r="GY41" s="6"/>
      <c r="GZ41" s="20">
        <f>FY41-'Zusammenfassung Tag1-4'!$H$2/18</f>
        <v>1</v>
      </c>
      <c r="HA41" s="22">
        <f t="shared" si="985"/>
        <v>144</v>
      </c>
      <c r="HB41" s="18">
        <v>5</v>
      </c>
      <c r="HC41" s="6">
        <f t="shared" si="986"/>
        <v>178</v>
      </c>
      <c r="HD41" s="19">
        <v>2</v>
      </c>
      <c r="HE41" s="6">
        <f t="shared" si="987"/>
        <v>68</v>
      </c>
      <c r="HF41" s="6">
        <f t="shared" si="856"/>
        <v>0</v>
      </c>
      <c r="HG41" s="6">
        <f t="shared" si="988"/>
        <v>8</v>
      </c>
      <c r="HH41" s="6">
        <f t="shared" si="857"/>
        <v>0</v>
      </c>
      <c r="HI41" s="6">
        <f t="shared" si="989"/>
        <v>4</v>
      </c>
      <c r="HJ41" s="6">
        <f t="shared" si="858"/>
        <v>0</v>
      </c>
      <c r="HK41" s="6">
        <f t="shared" si="990"/>
        <v>0</v>
      </c>
      <c r="HL41" s="6">
        <f t="shared" si="859"/>
        <v>0</v>
      </c>
      <c r="HM41" s="6">
        <f t="shared" si="991"/>
        <v>2</v>
      </c>
      <c r="HN41" s="6">
        <f t="shared" si="860"/>
        <v>0</v>
      </c>
      <c r="HO41" s="6">
        <f t="shared" si="992"/>
        <v>8</v>
      </c>
      <c r="HP41" s="6">
        <f t="shared" si="861"/>
        <v>1</v>
      </c>
      <c r="HQ41" s="6">
        <f t="shared" si="993"/>
        <v>5</v>
      </c>
      <c r="HR41" s="6">
        <f t="shared" si="862"/>
        <v>0</v>
      </c>
      <c r="HS41" s="6">
        <f t="shared" si="994"/>
        <v>0</v>
      </c>
      <c r="HT41" s="6">
        <f t="shared" si="863"/>
        <v>0</v>
      </c>
      <c r="HU41" s="6">
        <f t="shared" si="995"/>
        <v>5</v>
      </c>
      <c r="HV41" s="6">
        <f t="shared" si="864"/>
        <v>1</v>
      </c>
      <c r="HW41" s="6">
        <f t="shared" si="996"/>
        <v>10</v>
      </c>
      <c r="HX41" s="6">
        <f t="shared" si="865"/>
        <v>0</v>
      </c>
      <c r="HY41" s="6">
        <f t="shared" si="997"/>
        <v>7</v>
      </c>
      <c r="HZ41" s="6">
        <f>IF($E41=3,HB41-3,NA())</f>
        <v>2</v>
      </c>
      <c r="IA41" s="6"/>
      <c r="IB41" s="6"/>
      <c r="IC41" s="20">
        <f>HB41-'Zusammenfassung Tag1-4'!$I$2/18</f>
        <v>4</v>
      </c>
      <c r="ID41" s="22">
        <f t="shared" si="999"/>
        <v>145</v>
      </c>
      <c r="IE41" s="18"/>
      <c r="IF41" s="6">
        <f t="shared" si="1000"/>
        <v>0</v>
      </c>
      <c r="IG41" s="19"/>
      <c r="IH41" s="6">
        <f t="shared" si="1001"/>
        <v>0</v>
      </c>
      <c r="II41" s="6">
        <f t="shared" si="866"/>
        <v>1</v>
      </c>
      <c r="IJ41" s="6">
        <f t="shared" si="1002"/>
        <v>33</v>
      </c>
      <c r="IK41" s="6">
        <f t="shared" si="867"/>
        <v>0</v>
      </c>
      <c r="IL41" s="6">
        <f t="shared" si="1003"/>
        <v>0</v>
      </c>
      <c r="IM41" s="6">
        <f t="shared" si="868"/>
        <v>0</v>
      </c>
      <c r="IN41" s="6">
        <f t="shared" si="1004"/>
        <v>0</v>
      </c>
      <c r="IO41" s="6">
        <f t="shared" si="869"/>
        <v>0</v>
      </c>
      <c r="IP41" s="6">
        <f t="shared" si="1005"/>
        <v>0</v>
      </c>
      <c r="IQ41" s="6">
        <f t="shared" si="870"/>
        <v>0</v>
      </c>
      <c r="IR41" s="6">
        <f t="shared" si="1006"/>
        <v>0</v>
      </c>
      <c r="IS41" s="6">
        <f t="shared" si="871"/>
        <v>0</v>
      </c>
      <c r="IT41" s="6">
        <f t="shared" si="1007"/>
        <v>0</v>
      </c>
      <c r="IU41" s="6">
        <f t="shared" si="872"/>
        <v>1</v>
      </c>
      <c r="IV41" s="6">
        <f t="shared" si="1008"/>
        <v>15</v>
      </c>
      <c r="IW41" s="6">
        <f t="shared" si="873"/>
        <v>0</v>
      </c>
      <c r="IX41" s="6">
        <f t="shared" si="1009"/>
        <v>0</v>
      </c>
      <c r="IY41" s="6">
        <f t="shared" si="874"/>
        <v>0</v>
      </c>
      <c r="IZ41" s="6">
        <f t="shared" si="1010"/>
        <v>0</v>
      </c>
      <c r="JA41" s="6">
        <f t="shared" si="875"/>
        <v>0</v>
      </c>
      <c r="JB41" s="6">
        <f t="shared" si="1011"/>
        <v>0</v>
      </c>
      <c r="JC41" s="6">
        <f>IF($E41=3,IE41-3,NA())</f>
        <v>-3</v>
      </c>
      <c r="JD41" s="6"/>
      <c r="JE41" s="6"/>
      <c r="JF41" s="20">
        <f>IE41-'Zusammenfassung Tag1-4'!$J$2/18</f>
        <v>-3</v>
      </c>
      <c r="JG41" s="22">
        <f t="shared" si="1013"/>
        <v>-99</v>
      </c>
      <c r="JH41" s="18"/>
      <c r="JI41" s="6">
        <f t="shared" si="1014"/>
        <v>0</v>
      </c>
      <c r="JJ41" s="19"/>
      <c r="JK41" s="6">
        <f t="shared" si="1015"/>
        <v>0</v>
      </c>
      <c r="JL41" s="6">
        <f t="shared" si="876"/>
        <v>1</v>
      </c>
      <c r="JM41" s="6">
        <f t="shared" si="1016"/>
        <v>33</v>
      </c>
      <c r="JN41" s="6">
        <f t="shared" si="877"/>
        <v>0</v>
      </c>
      <c r="JO41" s="6">
        <f t="shared" si="1017"/>
        <v>0</v>
      </c>
      <c r="JP41" s="6">
        <f t="shared" si="878"/>
        <v>0</v>
      </c>
      <c r="JQ41" s="6">
        <f t="shared" si="1018"/>
        <v>0</v>
      </c>
      <c r="JR41" s="6">
        <f t="shared" si="879"/>
        <v>0</v>
      </c>
      <c r="JS41" s="6">
        <f t="shared" si="1019"/>
        <v>0</v>
      </c>
      <c r="JT41" s="6">
        <f t="shared" si="880"/>
        <v>0</v>
      </c>
      <c r="JU41" s="6">
        <f t="shared" si="1020"/>
        <v>0</v>
      </c>
      <c r="JV41" s="6">
        <f t="shared" si="881"/>
        <v>0</v>
      </c>
      <c r="JW41" s="6">
        <f t="shared" si="1021"/>
        <v>0</v>
      </c>
      <c r="JX41" s="6">
        <f t="shared" si="882"/>
        <v>1</v>
      </c>
      <c r="JY41" s="6">
        <f t="shared" si="1022"/>
        <v>15</v>
      </c>
      <c r="JZ41" s="6">
        <f t="shared" si="883"/>
        <v>0</v>
      </c>
      <c r="KA41" s="6">
        <f t="shared" si="1023"/>
        <v>0</v>
      </c>
      <c r="KB41" s="6">
        <f t="shared" si="884"/>
        <v>0</v>
      </c>
      <c r="KC41" s="6">
        <f t="shared" si="1024"/>
        <v>0</v>
      </c>
      <c r="KD41" s="6">
        <f t="shared" si="885"/>
        <v>0</v>
      </c>
      <c r="KE41" s="6">
        <f t="shared" si="1025"/>
        <v>0</v>
      </c>
      <c r="KF41" s="6">
        <f>IF($E41=3,JH41-3,NA())</f>
        <v>-3</v>
      </c>
      <c r="KG41" s="6"/>
      <c r="KH41" s="6"/>
      <c r="KI41" s="20">
        <f>JH41-'Zusammenfassung Tag1-4'!$K$2/18</f>
        <v>-0.77777777777777779</v>
      </c>
      <c r="KJ41" s="22">
        <f t="shared" si="1027"/>
        <v>-25.666666666666682</v>
      </c>
      <c r="KK41" s="10"/>
      <c r="KL41" s="10"/>
      <c r="KM41" s="10"/>
      <c r="KN41" s="10"/>
      <c r="KO41" s="10"/>
      <c r="KP41" s="10"/>
      <c r="KQ41" s="10"/>
      <c r="KR41" s="10"/>
      <c r="KS41" s="10"/>
      <c r="KT41" s="10"/>
      <c r="KU41" s="10"/>
      <c r="KV41" s="10"/>
      <c r="KW41" s="10"/>
      <c r="KX41" s="10"/>
      <c r="KY41" s="10"/>
      <c r="KZ41" s="10"/>
      <c r="LA41" s="10"/>
      <c r="LB41" s="10"/>
      <c r="LC41" s="10"/>
      <c r="LD41" s="10"/>
    </row>
    <row r="42" spans="1:316" ht="15.75" customHeight="1" x14ac:dyDescent="0.25">
      <c r="A42" s="106"/>
      <c r="B42" s="103"/>
      <c r="C42" s="6">
        <v>16</v>
      </c>
      <c r="D42" s="6">
        <f t="shared" si="886"/>
        <v>34</v>
      </c>
      <c r="E42" s="6">
        <v>4</v>
      </c>
      <c r="F42" s="7">
        <f t="shared" si="887"/>
        <v>136</v>
      </c>
      <c r="G42" s="18">
        <v>6</v>
      </c>
      <c r="H42" s="6">
        <f t="shared" si="888"/>
        <v>168</v>
      </c>
      <c r="I42" s="19">
        <v>1</v>
      </c>
      <c r="J42" s="6">
        <f t="shared" si="889"/>
        <v>67</v>
      </c>
      <c r="K42" s="6">
        <f t="shared" si="786"/>
        <v>0</v>
      </c>
      <c r="L42" s="6">
        <f t="shared" si="890"/>
        <v>14</v>
      </c>
      <c r="M42" s="6">
        <f t="shared" si="787"/>
        <v>0</v>
      </c>
      <c r="N42" s="6">
        <f t="shared" si="891"/>
        <v>3</v>
      </c>
      <c r="O42" s="6">
        <f t="shared" si="788"/>
        <v>0</v>
      </c>
      <c r="P42" s="6">
        <f t="shared" si="892"/>
        <v>1</v>
      </c>
      <c r="Q42" s="6">
        <f t="shared" si="789"/>
        <v>0</v>
      </c>
      <c r="R42" s="6">
        <f t="shared" si="893"/>
        <v>7</v>
      </c>
      <c r="S42" s="6">
        <f t="shared" si="790"/>
        <v>0</v>
      </c>
      <c r="T42" s="6">
        <f t="shared" si="894"/>
        <v>4</v>
      </c>
      <c r="U42" s="6">
        <f t="shared" si="791"/>
        <v>1</v>
      </c>
      <c r="V42" s="6">
        <f t="shared" si="895"/>
        <v>5</v>
      </c>
      <c r="W42" s="6">
        <f t="shared" si="792"/>
        <v>0</v>
      </c>
      <c r="X42" s="6">
        <f t="shared" si="896"/>
        <v>0</v>
      </c>
      <c r="Y42" s="6">
        <f t="shared" si="793"/>
        <v>1</v>
      </c>
      <c r="Z42" s="6">
        <f t="shared" si="897"/>
        <v>7</v>
      </c>
      <c r="AA42" s="6">
        <f t="shared" si="794"/>
        <v>0</v>
      </c>
      <c r="AB42" s="6">
        <f t="shared" si="898"/>
        <v>11</v>
      </c>
      <c r="AC42" s="6">
        <f t="shared" si="795"/>
        <v>0</v>
      </c>
      <c r="AD42" s="6">
        <f t="shared" si="899"/>
        <v>5</v>
      </c>
      <c r="AE42" s="6"/>
      <c r="AF42" s="6">
        <f>IF($E42=4,G42-4,NA())</f>
        <v>2</v>
      </c>
      <c r="AG42" s="6"/>
      <c r="AH42" s="20">
        <f>G42-'Zusammenfassung Tag1-4'!$B$2/18</f>
        <v>4.8888888888888893</v>
      </c>
      <c r="AI42" s="21">
        <f t="shared" si="901"/>
        <v>130.22222222222214</v>
      </c>
      <c r="AJ42" s="18">
        <v>7</v>
      </c>
      <c r="AK42" s="6">
        <f t="shared" si="902"/>
        <v>155</v>
      </c>
      <c r="AL42" s="19">
        <v>2</v>
      </c>
      <c r="AM42" s="6">
        <f t="shared" si="903"/>
        <v>63</v>
      </c>
      <c r="AN42" s="6">
        <f t="shared" si="796"/>
        <v>0</v>
      </c>
      <c r="AO42" s="6">
        <f t="shared" si="904"/>
        <v>19</v>
      </c>
      <c r="AP42" s="6">
        <f t="shared" si="797"/>
        <v>0</v>
      </c>
      <c r="AQ42" s="6">
        <f t="shared" si="905"/>
        <v>4</v>
      </c>
      <c r="AR42" s="6">
        <f t="shared" si="798"/>
        <v>0</v>
      </c>
      <c r="AS42" s="6">
        <f t="shared" si="906"/>
        <v>3</v>
      </c>
      <c r="AT42" s="6">
        <f t="shared" si="799"/>
        <v>0</v>
      </c>
      <c r="AU42" s="6">
        <f t="shared" si="907"/>
        <v>7</v>
      </c>
      <c r="AV42" s="6">
        <f t="shared" si="800"/>
        <v>0</v>
      </c>
      <c r="AW42" s="6">
        <f t="shared" si="908"/>
        <v>2</v>
      </c>
      <c r="AX42" s="6">
        <f t="shared" si="801"/>
        <v>1</v>
      </c>
      <c r="AY42" s="6">
        <f t="shared" si="909"/>
        <v>4</v>
      </c>
      <c r="AZ42" s="6">
        <f t="shared" si="802"/>
        <v>0</v>
      </c>
      <c r="BA42" s="6">
        <f t="shared" si="910"/>
        <v>0</v>
      </c>
      <c r="BB42" s="6">
        <f t="shared" si="803"/>
        <v>0</v>
      </c>
      <c r="BC42" s="6">
        <f t="shared" si="911"/>
        <v>9</v>
      </c>
      <c r="BD42" s="6">
        <f t="shared" si="804"/>
        <v>1</v>
      </c>
      <c r="BE42" s="6">
        <f t="shared" si="912"/>
        <v>10</v>
      </c>
      <c r="BF42" s="6">
        <f t="shared" si="805"/>
        <v>0</v>
      </c>
      <c r="BG42" s="6">
        <f t="shared" si="913"/>
        <v>4</v>
      </c>
      <c r="BH42" s="6"/>
      <c r="BI42" s="6">
        <f>IF($E42=4,AJ42-4,NA())</f>
        <v>3</v>
      </c>
      <c r="BJ42" s="6"/>
      <c r="BK42" s="20">
        <f>AJ42-'Zusammenfassung Tag1-4'!$C$2/18</f>
        <v>6.333333333333333</v>
      </c>
      <c r="BL42" s="21">
        <f t="shared" si="915"/>
        <v>132.33333333333329</v>
      </c>
      <c r="BM42" s="18">
        <v>7</v>
      </c>
      <c r="BN42" s="6">
        <f t="shared" si="916"/>
        <v>186</v>
      </c>
      <c r="BO42" s="19">
        <v>2</v>
      </c>
      <c r="BP42" s="6">
        <f t="shared" si="917"/>
        <v>69</v>
      </c>
      <c r="BQ42" s="6">
        <f t="shared" si="806"/>
        <v>0</v>
      </c>
      <c r="BR42" s="6">
        <f t="shared" si="918"/>
        <v>6</v>
      </c>
      <c r="BS42" s="6">
        <f t="shared" si="807"/>
        <v>0</v>
      </c>
      <c r="BT42" s="6">
        <f t="shared" si="919"/>
        <v>3</v>
      </c>
      <c r="BU42" s="6">
        <f t="shared" si="808"/>
        <v>0</v>
      </c>
      <c r="BV42" s="6">
        <f t="shared" si="920"/>
        <v>1</v>
      </c>
      <c r="BW42" s="6">
        <f t="shared" si="809"/>
        <v>0</v>
      </c>
      <c r="BX42" s="6">
        <f t="shared" si="921"/>
        <v>3</v>
      </c>
      <c r="BY42" s="6">
        <f t="shared" si="810"/>
        <v>0</v>
      </c>
      <c r="BZ42" s="6">
        <f t="shared" si="922"/>
        <v>3</v>
      </c>
      <c r="CA42" s="6">
        <f t="shared" si="811"/>
        <v>1</v>
      </c>
      <c r="CB42" s="6">
        <f t="shared" si="923"/>
        <v>9</v>
      </c>
      <c r="CC42" s="6">
        <f t="shared" si="812"/>
        <v>0</v>
      </c>
      <c r="CD42" s="6">
        <f t="shared" si="924"/>
        <v>0</v>
      </c>
      <c r="CE42" s="6">
        <f t="shared" si="813"/>
        <v>0</v>
      </c>
      <c r="CF42" s="6">
        <f t="shared" si="925"/>
        <v>6</v>
      </c>
      <c r="CG42" s="6">
        <f t="shared" si="814"/>
        <v>1</v>
      </c>
      <c r="CH42" s="6">
        <f t="shared" si="926"/>
        <v>9</v>
      </c>
      <c r="CI42" s="6">
        <f t="shared" si="815"/>
        <v>0</v>
      </c>
      <c r="CJ42" s="6">
        <f t="shared" si="927"/>
        <v>7</v>
      </c>
      <c r="CK42" s="6"/>
      <c r="CL42" s="6">
        <f>IF($E42=4,BM42-4,NA())</f>
        <v>3</v>
      </c>
      <c r="CM42" s="6"/>
      <c r="CN42" s="20">
        <f>BM42-'Zusammenfassung Tag1-4'!$D$2/18</f>
        <v>5.666666666666667</v>
      </c>
      <c r="CO42" s="21">
        <f t="shared" si="929"/>
        <v>140.66666666666669</v>
      </c>
      <c r="CP42" s="18">
        <v>5</v>
      </c>
      <c r="CQ42" s="6">
        <f t="shared" si="930"/>
        <v>178</v>
      </c>
      <c r="CR42" s="19">
        <v>2</v>
      </c>
      <c r="CS42" s="6">
        <f t="shared" si="931"/>
        <v>68</v>
      </c>
      <c r="CT42" s="6">
        <f t="shared" si="816"/>
        <v>0</v>
      </c>
      <c r="CU42" s="6">
        <f t="shared" si="932"/>
        <v>7</v>
      </c>
      <c r="CV42" s="6">
        <f t="shared" si="817"/>
        <v>0</v>
      </c>
      <c r="CW42" s="6">
        <f t="shared" si="933"/>
        <v>3</v>
      </c>
      <c r="CX42" s="6">
        <f t="shared" si="818"/>
        <v>0</v>
      </c>
      <c r="CY42" s="6">
        <f t="shared" si="934"/>
        <v>0</v>
      </c>
      <c r="CZ42" s="6">
        <f t="shared" si="819"/>
        <v>0</v>
      </c>
      <c r="DA42" s="6">
        <f t="shared" si="935"/>
        <v>4</v>
      </c>
      <c r="DB42" s="6">
        <f t="shared" si="820"/>
        <v>1</v>
      </c>
      <c r="DC42" s="6">
        <f t="shared" si="936"/>
        <v>9</v>
      </c>
      <c r="DD42" s="6">
        <f t="shared" si="821"/>
        <v>0</v>
      </c>
      <c r="DE42" s="6">
        <f t="shared" si="937"/>
        <v>3</v>
      </c>
      <c r="DF42" s="6">
        <f t="shared" si="822"/>
        <v>0</v>
      </c>
      <c r="DG42" s="6">
        <f t="shared" si="938"/>
        <v>0</v>
      </c>
      <c r="DH42" s="6">
        <f t="shared" si="823"/>
        <v>0</v>
      </c>
      <c r="DI42" s="6">
        <f t="shared" si="939"/>
        <v>6</v>
      </c>
      <c r="DJ42" s="6">
        <f t="shared" si="824"/>
        <v>1</v>
      </c>
      <c r="DK42" s="6">
        <f t="shared" si="940"/>
        <v>12</v>
      </c>
      <c r="DL42" s="6">
        <f t="shared" si="825"/>
        <v>0</v>
      </c>
      <c r="DM42" s="6">
        <f t="shared" si="941"/>
        <v>6</v>
      </c>
      <c r="DN42" s="6"/>
      <c r="DO42" s="6">
        <f>IF($E42=4,CP42-4,NA())</f>
        <v>1</v>
      </c>
      <c r="DP42" s="6"/>
      <c r="DQ42" s="20">
        <f>CP42-'Zusammenfassung Tag1-4'!$E$2/18</f>
        <v>3.7222222222222223</v>
      </c>
      <c r="DR42" s="22">
        <f t="shared" si="943"/>
        <v>134.55555555555566</v>
      </c>
      <c r="DS42" s="18">
        <v>7</v>
      </c>
      <c r="DT42" s="6">
        <f t="shared" si="944"/>
        <v>263</v>
      </c>
      <c r="DU42" s="19">
        <v>2</v>
      </c>
      <c r="DV42" s="6">
        <f t="shared" si="945"/>
        <v>74</v>
      </c>
      <c r="DW42" s="6">
        <f t="shared" si="826"/>
        <v>0</v>
      </c>
      <c r="DX42" s="6">
        <f t="shared" si="946"/>
        <v>1</v>
      </c>
      <c r="DY42" s="6">
        <f t="shared" si="827"/>
        <v>0</v>
      </c>
      <c r="DZ42" s="6">
        <f t="shared" si="947"/>
        <v>0</v>
      </c>
      <c r="EA42" s="6">
        <f t="shared" si="828"/>
        <v>0</v>
      </c>
      <c r="EB42" s="6">
        <f t="shared" si="948"/>
        <v>0</v>
      </c>
      <c r="EC42" s="6">
        <f t="shared" si="829"/>
        <v>0</v>
      </c>
      <c r="ED42" s="6">
        <f t="shared" si="949"/>
        <v>0</v>
      </c>
      <c r="EE42" s="6">
        <f t="shared" si="830"/>
        <v>0</v>
      </c>
      <c r="EF42" s="6">
        <f t="shared" si="950"/>
        <v>1</v>
      </c>
      <c r="EG42" s="6">
        <f t="shared" si="831"/>
        <v>1</v>
      </c>
      <c r="EH42" s="6">
        <f t="shared" si="951"/>
        <v>15</v>
      </c>
      <c r="EI42" s="6">
        <f t="shared" si="832"/>
        <v>0</v>
      </c>
      <c r="EJ42" s="6">
        <f t="shared" si="952"/>
        <v>0</v>
      </c>
      <c r="EK42" s="6">
        <f t="shared" si="833"/>
        <v>0</v>
      </c>
      <c r="EL42" s="6">
        <f t="shared" si="953"/>
        <v>2</v>
      </c>
      <c r="EM42" s="6">
        <f t="shared" si="834"/>
        <v>1</v>
      </c>
      <c r="EN42" s="6">
        <f t="shared" si="954"/>
        <v>12</v>
      </c>
      <c r="EO42" s="6">
        <f t="shared" si="835"/>
        <v>0</v>
      </c>
      <c r="EP42" s="6">
        <f t="shared" si="955"/>
        <v>7</v>
      </c>
      <c r="EQ42" s="6"/>
      <c r="ER42" s="6">
        <f>IF($E42=4,DS42-4,NA())</f>
        <v>3</v>
      </c>
      <c r="ES42" s="6"/>
      <c r="ET42" s="20">
        <f>DS42-'Zusammenfassung Tag1-4'!$F$2/18</f>
        <v>4</v>
      </c>
      <c r="EU42" s="22">
        <f t="shared" si="957"/>
        <v>161</v>
      </c>
      <c r="EV42" s="18">
        <v>5</v>
      </c>
      <c r="EW42" s="6">
        <f t="shared" si="958"/>
        <v>187</v>
      </c>
      <c r="EX42" s="19">
        <v>2</v>
      </c>
      <c r="EY42" s="6">
        <f t="shared" si="959"/>
        <v>73</v>
      </c>
      <c r="EZ42" s="6">
        <f t="shared" si="836"/>
        <v>0</v>
      </c>
      <c r="FA42" s="6">
        <f t="shared" si="960"/>
        <v>7</v>
      </c>
      <c r="FB42" s="6">
        <f t="shared" si="837"/>
        <v>0</v>
      </c>
      <c r="FC42" s="6">
        <f t="shared" si="961"/>
        <v>0</v>
      </c>
      <c r="FD42" s="6">
        <f t="shared" si="838"/>
        <v>0</v>
      </c>
      <c r="FE42" s="6">
        <f t="shared" si="962"/>
        <v>2</v>
      </c>
      <c r="FF42" s="6">
        <f t="shared" si="839"/>
        <v>0</v>
      </c>
      <c r="FG42" s="6">
        <f t="shared" si="963"/>
        <v>1</v>
      </c>
      <c r="FH42" s="6">
        <f t="shared" si="840"/>
        <v>1</v>
      </c>
      <c r="FI42" s="6">
        <f t="shared" si="964"/>
        <v>5</v>
      </c>
      <c r="FJ42" s="6">
        <f t="shared" si="841"/>
        <v>0</v>
      </c>
      <c r="FK42" s="6">
        <f t="shared" si="965"/>
        <v>8</v>
      </c>
      <c r="FL42" s="6">
        <f t="shared" si="842"/>
        <v>0</v>
      </c>
      <c r="FM42" s="6">
        <f t="shared" si="966"/>
        <v>0</v>
      </c>
      <c r="FN42" s="6">
        <f t="shared" si="843"/>
        <v>0</v>
      </c>
      <c r="FO42" s="6">
        <f t="shared" si="967"/>
        <v>3</v>
      </c>
      <c r="FP42" s="6">
        <f t="shared" si="844"/>
        <v>1</v>
      </c>
      <c r="FQ42" s="6">
        <f t="shared" si="968"/>
        <v>13</v>
      </c>
      <c r="FR42" s="6">
        <f t="shared" si="845"/>
        <v>0</v>
      </c>
      <c r="FS42" s="6">
        <f t="shared" si="969"/>
        <v>8</v>
      </c>
      <c r="FT42" s="6"/>
      <c r="FU42" s="6">
        <f>IF($E42=4,EV42-4,NA())</f>
        <v>1</v>
      </c>
      <c r="FV42" s="6"/>
      <c r="FW42" s="20">
        <f>EV42-'Zusammenfassung Tag1-4'!$G$2/18</f>
        <v>3.5</v>
      </c>
      <c r="FX42" s="22">
        <f t="shared" si="971"/>
        <v>136</v>
      </c>
      <c r="FY42" s="18">
        <v>9</v>
      </c>
      <c r="FZ42" s="6">
        <f t="shared" si="972"/>
        <v>252</v>
      </c>
      <c r="GA42" s="19">
        <v>2</v>
      </c>
      <c r="GB42" s="6">
        <f t="shared" si="973"/>
        <v>81</v>
      </c>
      <c r="GC42" s="6">
        <f t="shared" si="846"/>
        <v>0</v>
      </c>
      <c r="GD42" s="6">
        <f t="shared" si="974"/>
        <v>2</v>
      </c>
      <c r="GE42" s="6">
        <f t="shared" si="847"/>
        <v>0</v>
      </c>
      <c r="GF42" s="6">
        <f t="shared" si="975"/>
        <v>0</v>
      </c>
      <c r="GG42" s="6">
        <f t="shared" si="848"/>
        <v>0</v>
      </c>
      <c r="GH42" s="6">
        <f t="shared" si="976"/>
        <v>0</v>
      </c>
      <c r="GI42" s="6">
        <f t="shared" si="849"/>
        <v>0</v>
      </c>
      <c r="GJ42" s="6">
        <f t="shared" si="977"/>
        <v>0</v>
      </c>
      <c r="GK42" s="6">
        <f t="shared" si="850"/>
        <v>0</v>
      </c>
      <c r="GL42" s="6">
        <f t="shared" si="978"/>
        <v>2</v>
      </c>
      <c r="GM42" s="6">
        <f t="shared" si="851"/>
        <v>1</v>
      </c>
      <c r="GN42" s="6">
        <f t="shared" si="979"/>
        <v>14</v>
      </c>
      <c r="GO42" s="6">
        <f t="shared" si="852"/>
        <v>0</v>
      </c>
      <c r="GP42" s="6">
        <f t="shared" si="980"/>
        <v>0</v>
      </c>
      <c r="GQ42" s="6">
        <f t="shared" si="853"/>
        <v>0</v>
      </c>
      <c r="GR42" s="6">
        <f t="shared" si="981"/>
        <v>2</v>
      </c>
      <c r="GS42" s="6">
        <f t="shared" si="854"/>
        <v>1</v>
      </c>
      <c r="GT42" s="6">
        <f t="shared" si="982"/>
        <v>9</v>
      </c>
      <c r="GU42" s="6">
        <f t="shared" si="855"/>
        <v>0</v>
      </c>
      <c r="GV42" s="6">
        <f t="shared" si="983"/>
        <v>15</v>
      </c>
      <c r="GW42" s="6"/>
      <c r="GX42" s="6">
        <f>IF($E42=4,FY42-4,NA())</f>
        <v>5</v>
      </c>
      <c r="GY42" s="6"/>
      <c r="GZ42" s="20">
        <f>FY42-'Zusammenfassung Tag1-4'!$H$2/18</f>
        <v>6</v>
      </c>
      <c r="HA42" s="22">
        <f t="shared" si="985"/>
        <v>150</v>
      </c>
      <c r="HB42" s="18">
        <v>4</v>
      </c>
      <c r="HC42" s="6">
        <f t="shared" si="986"/>
        <v>182</v>
      </c>
      <c r="HD42" s="19">
        <v>2</v>
      </c>
      <c r="HE42" s="6">
        <f t="shared" si="987"/>
        <v>70</v>
      </c>
      <c r="HF42" s="6">
        <f t="shared" si="856"/>
        <v>1</v>
      </c>
      <c r="HG42" s="6">
        <f t="shared" si="988"/>
        <v>9</v>
      </c>
      <c r="HH42" s="6">
        <f t="shared" si="857"/>
        <v>0</v>
      </c>
      <c r="HI42" s="6">
        <f t="shared" si="989"/>
        <v>4</v>
      </c>
      <c r="HJ42" s="6">
        <f t="shared" si="858"/>
        <v>0</v>
      </c>
      <c r="HK42" s="6">
        <f t="shared" si="990"/>
        <v>0</v>
      </c>
      <c r="HL42" s="6">
        <f t="shared" si="859"/>
        <v>1</v>
      </c>
      <c r="HM42" s="6">
        <f t="shared" si="991"/>
        <v>3</v>
      </c>
      <c r="HN42" s="6">
        <f t="shared" si="860"/>
        <v>0</v>
      </c>
      <c r="HO42" s="6">
        <f t="shared" si="992"/>
        <v>8</v>
      </c>
      <c r="HP42" s="6">
        <f t="shared" si="861"/>
        <v>0</v>
      </c>
      <c r="HQ42" s="6">
        <f t="shared" si="993"/>
        <v>5</v>
      </c>
      <c r="HR42" s="6">
        <f t="shared" si="862"/>
        <v>0</v>
      </c>
      <c r="HS42" s="6">
        <f t="shared" si="994"/>
        <v>0</v>
      </c>
      <c r="HT42" s="6">
        <f t="shared" si="863"/>
        <v>0</v>
      </c>
      <c r="HU42" s="6">
        <f t="shared" si="995"/>
        <v>5</v>
      </c>
      <c r="HV42" s="6">
        <f t="shared" si="864"/>
        <v>1</v>
      </c>
      <c r="HW42" s="6">
        <f t="shared" si="996"/>
        <v>11</v>
      </c>
      <c r="HX42" s="6">
        <f t="shared" si="865"/>
        <v>0</v>
      </c>
      <c r="HY42" s="6">
        <f t="shared" si="997"/>
        <v>7</v>
      </c>
      <c r="HZ42" s="6"/>
      <c r="IA42" s="6">
        <f>IF($E42=4,HB42-4,NA())</f>
        <v>0</v>
      </c>
      <c r="IB42" s="6"/>
      <c r="IC42" s="20">
        <f>HB42-'Zusammenfassung Tag1-4'!$I$2/18</f>
        <v>3</v>
      </c>
      <c r="ID42" s="22">
        <f t="shared" si="999"/>
        <v>148</v>
      </c>
      <c r="IE42" s="18"/>
      <c r="IF42" s="6">
        <f t="shared" si="1000"/>
        <v>0</v>
      </c>
      <c r="IG42" s="19"/>
      <c r="IH42" s="6">
        <f t="shared" si="1001"/>
        <v>0</v>
      </c>
      <c r="II42" s="6">
        <f t="shared" si="866"/>
        <v>1</v>
      </c>
      <c r="IJ42" s="6">
        <f t="shared" si="1002"/>
        <v>34</v>
      </c>
      <c r="IK42" s="6">
        <f t="shared" si="867"/>
        <v>0</v>
      </c>
      <c r="IL42" s="6">
        <f t="shared" si="1003"/>
        <v>0</v>
      </c>
      <c r="IM42" s="6">
        <f t="shared" si="868"/>
        <v>0</v>
      </c>
      <c r="IN42" s="6">
        <f t="shared" si="1004"/>
        <v>0</v>
      </c>
      <c r="IO42" s="6">
        <f t="shared" si="869"/>
        <v>0</v>
      </c>
      <c r="IP42" s="6">
        <f t="shared" si="1005"/>
        <v>0</v>
      </c>
      <c r="IQ42" s="6">
        <f t="shared" si="870"/>
        <v>0</v>
      </c>
      <c r="IR42" s="6">
        <f t="shared" si="1006"/>
        <v>0</v>
      </c>
      <c r="IS42" s="6">
        <f t="shared" si="871"/>
        <v>0</v>
      </c>
      <c r="IT42" s="6">
        <f t="shared" si="1007"/>
        <v>0</v>
      </c>
      <c r="IU42" s="6">
        <f t="shared" si="872"/>
        <v>1</v>
      </c>
      <c r="IV42" s="6">
        <f t="shared" si="1008"/>
        <v>16</v>
      </c>
      <c r="IW42" s="6">
        <f t="shared" si="873"/>
        <v>0</v>
      </c>
      <c r="IX42" s="6">
        <f t="shared" si="1009"/>
        <v>0</v>
      </c>
      <c r="IY42" s="6">
        <f t="shared" si="874"/>
        <v>0</v>
      </c>
      <c r="IZ42" s="6">
        <f t="shared" si="1010"/>
        <v>0</v>
      </c>
      <c r="JA42" s="6">
        <f t="shared" si="875"/>
        <v>0</v>
      </c>
      <c r="JB42" s="6">
        <f t="shared" si="1011"/>
        <v>0</v>
      </c>
      <c r="JC42" s="6"/>
      <c r="JD42" s="6">
        <f>IF($E42=4,IE42-4,NA())</f>
        <v>-4</v>
      </c>
      <c r="JE42" s="6"/>
      <c r="JF42" s="20">
        <f>IE42-'Zusammenfassung Tag1-4'!$J$2/18</f>
        <v>-3</v>
      </c>
      <c r="JG42" s="22">
        <f t="shared" si="1013"/>
        <v>-102</v>
      </c>
      <c r="JH42" s="18"/>
      <c r="JI42" s="6">
        <f t="shared" si="1014"/>
        <v>0</v>
      </c>
      <c r="JJ42" s="19"/>
      <c r="JK42" s="6">
        <f t="shared" si="1015"/>
        <v>0</v>
      </c>
      <c r="JL42" s="6">
        <f t="shared" si="876"/>
        <v>1</v>
      </c>
      <c r="JM42" s="6">
        <f t="shared" si="1016"/>
        <v>34</v>
      </c>
      <c r="JN42" s="6">
        <f t="shared" si="877"/>
        <v>0</v>
      </c>
      <c r="JO42" s="6">
        <f t="shared" si="1017"/>
        <v>0</v>
      </c>
      <c r="JP42" s="6">
        <f t="shared" si="878"/>
        <v>0</v>
      </c>
      <c r="JQ42" s="6">
        <f t="shared" si="1018"/>
        <v>0</v>
      </c>
      <c r="JR42" s="6">
        <f t="shared" si="879"/>
        <v>0</v>
      </c>
      <c r="JS42" s="6">
        <f t="shared" si="1019"/>
        <v>0</v>
      </c>
      <c r="JT42" s="6">
        <f t="shared" si="880"/>
        <v>0</v>
      </c>
      <c r="JU42" s="6">
        <f t="shared" si="1020"/>
        <v>0</v>
      </c>
      <c r="JV42" s="6">
        <f t="shared" si="881"/>
        <v>0</v>
      </c>
      <c r="JW42" s="6">
        <f t="shared" si="1021"/>
        <v>0</v>
      </c>
      <c r="JX42" s="6">
        <f t="shared" si="882"/>
        <v>1</v>
      </c>
      <c r="JY42" s="6">
        <f t="shared" si="1022"/>
        <v>16</v>
      </c>
      <c r="JZ42" s="6">
        <f t="shared" si="883"/>
        <v>0</v>
      </c>
      <c r="KA42" s="6">
        <f t="shared" si="1023"/>
        <v>0</v>
      </c>
      <c r="KB42" s="6">
        <f t="shared" si="884"/>
        <v>0</v>
      </c>
      <c r="KC42" s="6">
        <f t="shared" si="1024"/>
        <v>0</v>
      </c>
      <c r="KD42" s="6">
        <f t="shared" si="885"/>
        <v>0</v>
      </c>
      <c r="KE42" s="6">
        <f t="shared" si="1025"/>
        <v>0</v>
      </c>
      <c r="KF42" s="6"/>
      <c r="KG42" s="6">
        <f>IF($E42=4,JH42-4,NA())</f>
        <v>-4</v>
      </c>
      <c r="KH42" s="6"/>
      <c r="KI42" s="20">
        <f>JH42-'Zusammenfassung Tag1-4'!$K$2/18</f>
        <v>-0.77777777777777779</v>
      </c>
      <c r="KJ42" s="22">
        <f t="shared" si="1027"/>
        <v>-26.444444444444461</v>
      </c>
      <c r="KK42" s="10"/>
      <c r="KL42" s="10"/>
      <c r="KM42" s="10"/>
      <c r="KN42" s="10"/>
      <c r="KO42" s="10"/>
      <c r="KP42" s="10"/>
      <c r="KQ42" s="10"/>
      <c r="KR42" s="10"/>
      <c r="KS42" s="10"/>
      <c r="KT42" s="10"/>
      <c r="KU42" s="10"/>
      <c r="KV42" s="10"/>
      <c r="KW42" s="10"/>
      <c r="KX42" s="10"/>
      <c r="KY42" s="10"/>
      <c r="KZ42" s="10"/>
      <c r="LA42" s="10"/>
      <c r="LB42" s="10"/>
      <c r="LC42" s="10"/>
      <c r="LD42" s="10"/>
    </row>
    <row r="43" spans="1:316" ht="15.75" customHeight="1" x14ac:dyDescent="0.25">
      <c r="A43" s="106"/>
      <c r="B43" s="103"/>
      <c r="C43" s="6">
        <v>17</v>
      </c>
      <c r="D43" s="6">
        <f t="shared" si="886"/>
        <v>35</v>
      </c>
      <c r="E43" s="6">
        <v>3</v>
      </c>
      <c r="F43" s="7">
        <f t="shared" si="887"/>
        <v>139</v>
      </c>
      <c r="G43" s="18">
        <v>3</v>
      </c>
      <c r="H43" s="6">
        <f t="shared" si="888"/>
        <v>171</v>
      </c>
      <c r="I43" s="19">
        <v>2</v>
      </c>
      <c r="J43" s="6">
        <f t="shared" si="889"/>
        <v>69</v>
      </c>
      <c r="K43" s="6">
        <f t="shared" si="786"/>
        <v>1</v>
      </c>
      <c r="L43" s="6">
        <f t="shared" si="890"/>
        <v>15</v>
      </c>
      <c r="M43" s="6">
        <f t="shared" si="787"/>
        <v>0</v>
      </c>
      <c r="N43" s="6">
        <f t="shared" si="891"/>
        <v>3</v>
      </c>
      <c r="O43" s="6">
        <f t="shared" si="788"/>
        <v>0</v>
      </c>
      <c r="P43" s="6">
        <f t="shared" si="892"/>
        <v>1</v>
      </c>
      <c r="Q43" s="6">
        <f t="shared" si="789"/>
        <v>1</v>
      </c>
      <c r="R43" s="6">
        <f t="shared" si="893"/>
        <v>8</v>
      </c>
      <c r="S43" s="6">
        <f t="shared" si="790"/>
        <v>0</v>
      </c>
      <c r="T43" s="6">
        <f t="shared" si="894"/>
        <v>4</v>
      </c>
      <c r="U43" s="6">
        <f t="shared" si="791"/>
        <v>0</v>
      </c>
      <c r="V43" s="6">
        <f t="shared" si="895"/>
        <v>5</v>
      </c>
      <c r="W43" s="6">
        <f t="shared" si="792"/>
        <v>0</v>
      </c>
      <c r="X43" s="6">
        <f t="shared" si="896"/>
        <v>0</v>
      </c>
      <c r="Y43" s="6">
        <f t="shared" si="793"/>
        <v>0</v>
      </c>
      <c r="Z43" s="6">
        <f t="shared" si="897"/>
        <v>7</v>
      </c>
      <c r="AA43" s="6">
        <f t="shared" si="794"/>
        <v>1</v>
      </c>
      <c r="AB43" s="6">
        <f t="shared" si="898"/>
        <v>12</v>
      </c>
      <c r="AC43" s="6">
        <f t="shared" si="795"/>
        <v>0</v>
      </c>
      <c r="AD43" s="6">
        <f t="shared" si="899"/>
        <v>5</v>
      </c>
      <c r="AE43" s="6">
        <f>IF($E43=3,G43-3,NA())</f>
        <v>0</v>
      </c>
      <c r="AF43" s="6"/>
      <c r="AG43" s="6"/>
      <c r="AH43" s="20">
        <f>G43-'Zusammenfassung Tag1-4'!$B$2/18</f>
        <v>1.8888888888888888</v>
      </c>
      <c r="AI43" s="21">
        <f t="shared" si="901"/>
        <v>132.11111111111103</v>
      </c>
      <c r="AJ43" s="18">
        <v>3</v>
      </c>
      <c r="AK43" s="6">
        <f t="shared" si="902"/>
        <v>158</v>
      </c>
      <c r="AL43" s="19">
        <v>1</v>
      </c>
      <c r="AM43" s="6">
        <f t="shared" si="903"/>
        <v>64</v>
      </c>
      <c r="AN43" s="6">
        <f t="shared" si="796"/>
        <v>0</v>
      </c>
      <c r="AO43" s="6">
        <f t="shared" si="904"/>
        <v>19</v>
      </c>
      <c r="AP43" s="6">
        <f t="shared" si="797"/>
        <v>1</v>
      </c>
      <c r="AQ43" s="6">
        <f t="shared" si="905"/>
        <v>5</v>
      </c>
      <c r="AR43" s="6">
        <f t="shared" si="798"/>
        <v>0</v>
      </c>
      <c r="AS43" s="6">
        <f t="shared" si="906"/>
        <v>3</v>
      </c>
      <c r="AT43" s="6">
        <f t="shared" si="799"/>
        <v>1</v>
      </c>
      <c r="AU43" s="6">
        <f t="shared" si="907"/>
        <v>8</v>
      </c>
      <c r="AV43" s="6">
        <f t="shared" si="800"/>
        <v>0</v>
      </c>
      <c r="AW43" s="6">
        <f t="shared" si="908"/>
        <v>2</v>
      </c>
      <c r="AX43" s="6">
        <f t="shared" si="801"/>
        <v>0</v>
      </c>
      <c r="AY43" s="6">
        <f t="shared" si="909"/>
        <v>4</v>
      </c>
      <c r="AZ43" s="6">
        <f t="shared" si="802"/>
        <v>0</v>
      </c>
      <c r="BA43" s="6">
        <f t="shared" si="910"/>
        <v>0</v>
      </c>
      <c r="BB43" s="6">
        <f t="shared" si="803"/>
        <v>1</v>
      </c>
      <c r="BC43" s="6">
        <f t="shared" si="911"/>
        <v>10</v>
      </c>
      <c r="BD43" s="6">
        <f t="shared" si="804"/>
        <v>0</v>
      </c>
      <c r="BE43" s="6">
        <f t="shared" si="912"/>
        <v>10</v>
      </c>
      <c r="BF43" s="6">
        <f t="shared" si="805"/>
        <v>0</v>
      </c>
      <c r="BG43" s="6">
        <f t="shared" si="913"/>
        <v>4</v>
      </c>
      <c r="BH43" s="6">
        <f>IF($E43=3,AJ43-3,NA())</f>
        <v>0</v>
      </c>
      <c r="BI43" s="6"/>
      <c r="BJ43" s="6"/>
      <c r="BK43" s="20">
        <f>AJ43-'Zusammenfassung Tag1-4'!$C$2/18</f>
        <v>2.3333333333333335</v>
      </c>
      <c r="BL43" s="21">
        <f t="shared" si="915"/>
        <v>134.66666666666663</v>
      </c>
      <c r="BM43" s="18">
        <v>4</v>
      </c>
      <c r="BN43" s="6">
        <f t="shared" si="916"/>
        <v>190</v>
      </c>
      <c r="BO43" s="19">
        <v>2</v>
      </c>
      <c r="BP43" s="6">
        <f t="shared" si="917"/>
        <v>71</v>
      </c>
      <c r="BQ43" s="6">
        <f t="shared" si="806"/>
        <v>0</v>
      </c>
      <c r="BR43" s="6">
        <f t="shared" si="918"/>
        <v>6</v>
      </c>
      <c r="BS43" s="6">
        <f t="shared" si="807"/>
        <v>0</v>
      </c>
      <c r="BT43" s="6">
        <f t="shared" si="919"/>
        <v>3</v>
      </c>
      <c r="BU43" s="6">
        <f t="shared" si="808"/>
        <v>0</v>
      </c>
      <c r="BV43" s="6">
        <f t="shared" si="920"/>
        <v>1</v>
      </c>
      <c r="BW43" s="6">
        <f t="shared" si="809"/>
        <v>0</v>
      </c>
      <c r="BX43" s="6">
        <f t="shared" si="921"/>
        <v>3</v>
      </c>
      <c r="BY43" s="6">
        <f t="shared" si="810"/>
        <v>1</v>
      </c>
      <c r="BZ43" s="6">
        <f t="shared" si="922"/>
        <v>4</v>
      </c>
      <c r="CA43" s="6">
        <f t="shared" si="811"/>
        <v>0</v>
      </c>
      <c r="CB43" s="6">
        <f t="shared" si="923"/>
        <v>9</v>
      </c>
      <c r="CC43" s="6">
        <f t="shared" si="812"/>
        <v>0</v>
      </c>
      <c r="CD43" s="6">
        <f t="shared" si="924"/>
        <v>0</v>
      </c>
      <c r="CE43" s="6">
        <f t="shared" si="813"/>
        <v>0</v>
      </c>
      <c r="CF43" s="6">
        <f t="shared" si="925"/>
        <v>6</v>
      </c>
      <c r="CG43" s="6">
        <f t="shared" si="814"/>
        <v>1</v>
      </c>
      <c r="CH43" s="6">
        <f t="shared" si="926"/>
        <v>10</v>
      </c>
      <c r="CI43" s="6">
        <f t="shared" si="815"/>
        <v>0</v>
      </c>
      <c r="CJ43" s="6">
        <f t="shared" si="927"/>
        <v>7</v>
      </c>
      <c r="CK43" s="6">
        <f>IF($E43=3,BM43-3,NA())</f>
        <v>1</v>
      </c>
      <c r="CL43" s="6"/>
      <c r="CM43" s="6"/>
      <c r="CN43" s="20">
        <f>BM43-'Zusammenfassung Tag1-4'!$D$2/18</f>
        <v>2.666666666666667</v>
      </c>
      <c r="CO43" s="21">
        <f t="shared" si="929"/>
        <v>143.33333333333334</v>
      </c>
      <c r="CP43" s="18">
        <v>4</v>
      </c>
      <c r="CQ43" s="6">
        <f t="shared" si="930"/>
        <v>182</v>
      </c>
      <c r="CR43" s="19">
        <v>2</v>
      </c>
      <c r="CS43" s="6">
        <f t="shared" si="931"/>
        <v>70</v>
      </c>
      <c r="CT43" s="6">
        <f t="shared" si="816"/>
        <v>0</v>
      </c>
      <c r="CU43" s="6">
        <f t="shared" si="932"/>
        <v>7</v>
      </c>
      <c r="CV43" s="6">
        <f t="shared" si="817"/>
        <v>0</v>
      </c>
      <c r="CW43" s="6">
        <f t="shared" si="933"/>
        <v>3</v>
      </c>
      <c r="CX43" s="6">
        <f t="shared" si="818"/>
        <v>0</v>
      </c>
      <c r="CY43" s="6">
        <f t="shared" si="934"/>
        <v>0</v>
      </c>
      <c r="CZ43" s="6">
        <f t="shared" si="819"/>
        <v>0</v>
      </c>
      <c r="DA43" s="6">
        <f t="shared" si="935"/>
        <v>4</v>
      </c>
      <c r="DB43" s="6">
        <f t="shared" si="820"/>
        <v>1</v>
      </c>
      <c r="DC43" s="6">
        <f t="shared" si="936"/>
        <v>10</v>
      </c>
      <c r="DD43" s="6">
        <f t="shared" si="821"/>
        <v>0</v>
      </c>
      <c r="DE43" s="6">
        <f t="shared" si="937"/>
        <v>3</v>
      </c>
      <c r="DF43" s="6">
        <f t="shared" si="822"/>
        <v>0</v>
      </c>
      <c r="DG43" s="6">
        <f t="shared" si="938"/>
        <v>0</v>
      </c>
      <c r="DH43" s="6">
        <f t="shared" si="823"/>
        <v>0</v>
      </c>
      <c r="DI43" s="6">
        <f t="shared" si="939"/>
        <v>6</v>
      </c>
      <c r="DJ43" s="6">
        <f t="shared" si="824"/>
        <v>1</v>
      </c>
      <c r="DK43" s="6">
        <f t="shared" si="940"/>
        <v>13</v>
      </c>
      <c r="DL43" s="6">
        <f t="shared" si="825"/>
        <v>0</v>
      </c>
      <c r="DM43" s="6">
        <f t="shared" si="941"/>
        <v>6</v>
      </c>
      <c r="DN43" s="6">
        <f>IF($E43=3,CP43-3,NA())</f>
        <v>1</v>
      </c>
      <c r="DO43" s="6"/>
      <c r="DP43" s="6"/>
      <c r="DQ43" s="20">
        <f>CP43-'Zusammenfassung Tag1-4'!$E$2/18</f>
        <v>2.7222222222222223</v>
      </c>
      <c r="DR43" s="22">
        <f t="shared" si="943"/>
        <v>137.27777777777789</v>
      </c>
      <c r="DS43" s="18">
        <v>5</v>
      </c>
      <c r="DT43" s="6">
        <f t="shared" si="944"/>
        <v>268</v>
      </c>
      <c r="DU43" s="19">
        <v>2</v>
      </c>
      <c r="DV43" s="6">
        <f t="shared" si="945"/>
        <v>76</v>
      </c>
      <c r="DW43" s="6">
        <f t="shared" si="826"/>
        <v>0</v>
      </c>
      <c r="DX43" s="6">
        <f t="shared" si="946"/>
        <v>1</v>
      </c>
      <c r="DY43" s="6">
        <f t="shared" si="827"/>
        <v>0</v>
      </c>
      <c r="DZ43" s="6">
        <f t="shared" si="947"/>
        <v>0</v>
      </c>
      <c r="EA43" s="6">
        <f t="shared" si="828"/>
        <v>0</v>
      </c>
      <c r="EB43" s="6">
        <f t="shared" si="948"/>
        <v>0</v>
      </c>
      <c r="EC43" s="6">
        <f t="shared" si="829"/>
        <v>0</v>
      </c>
      <c r="ED43" s="6">
        <f t="shared" si="949"/>
        <v>0</v>
      </c>
      <c r="EE43" s="6">
        <f t="shared" si="830"/>
        <v>0</v>
      </c>
      <c r="EF43" s="6">
        <f t="shared" si="950"/>
        <v>1</v>
      </c>
      <c r="EG43" s="6">
        <f t="shared" si="831"/>
        <v>1</v>
      </c>
      <c r="EH43" s="6">
        <f t="shared" si="951"/>
        <v>16</v>
      </c>
      <c r="EI43" s="6">
        <f t="shared" si="832"/>
        <v>0</v>
      </c>
      <c r="EJ43" s="6">
        <f t="shared" si="952"/>
        <v>0</v>
      </c>
      <c r="EK43" s="6">
        <f t="shared" si="833"/>
        <v>0</v>
      </c>
      <c r="EL43" s="6">
        <f t="shared" si="953"/>
        <v>2</v>
      </c>
      <c r="EM43" s="6">
        <f t="shared" si="834"/>
        <v>1</v>
      </c>
      <c r="EN43" s="6">
        <f t="shared" si="954"/>
        <v>13</v>
      </c>
      <c r="EO43" s="6">
        <f t="shared" si="835"/>
        <v>0</v>
      </c>
      <c r="EP43" s="6">
        <f t="shared" si="955"/>
        <v>7</v>
      </c>
      <c r="EQ43" s="6">
        <f>IF($E43=3,DS43-3,NA())</f>
        <v>2</v>
      </c>
      <c r="ER43" s="6"/>
      <c r="ES43" s="6"/>
      <c r="ET43" s="20">
        <f>DS43-'Zusammenfassung Tag1-4'!$F$2/18</f>
        <v>2</v>
      </c>
      <c r="EU43" s="22">
        <f t="shared" si="957"/>
        <v>163</v>
      </c>
      <c r="EV43" s="18">
        <v>9</v>
      </c>
      <c r="EW43" s="6">
        <f t="shared" si="958"/>
        <v>196</v>
      </c>
      <c r="EX43" s="19">
        <v>2</v>
      </c>
      <c r="EY43" s="6">
        <f t="shared" si="959"/>
        <v>75</v>
      </c>
      <c r="EZ43" s="6">
        <f t="shared" si="836"/>
        <v>0</v>
      </c>
      <c r="FA43" s="6">
        <f t="shared" si="960"/>
        <v>7</v>
      </c>
      <c r="FB43" s="6">
        <f t="shared" si="837"/>
        <v>0</v>
      </c>
      <c r="FC43" s="6">
        <f t="shared" si="961"/>
        <v>0</v>
      </c>
      <c r="FD43" s="6">
        <f t="shared" si="838"/>
        <v>0</v>
      </c>
      <c r="FE43" s="6">
        <f t="shared" si="962"/>
        <v>2</v>
      </c>
      <c r="FF43" s="6">
        <f t="shared" si="839"/>
        <v>0</v>
      </c>
      <c r="FG43" s="6">
        <f t="shared" si="963"/>
        <v>1</v>
      </c>
      <c r="FH43" s="6">
        <f t="shared" si="840"/>
        <v>0</v>
      </c>
      <c r="FI43" s="6">
        <f t="shared" si="964"/>
        <v>5</v>
      </c>
      <c r="FJ43" s="6">
        <f t="shared" si="841"/>
        <v>1</v>
      </c>
      <c r="FK43" s="6">
        <f t="shared" si="965"/>
        <v>9</v>
      </c>
      <c r="FL43" s="6">
        <f t="shared" si="842"/>
        <v>0</v>
      </c>
      <c r="FM43" s="6">
        <f t="shared" si="966"/>
        <v>0</v>
      </c>
      <c r="FN43" s="6">
        <f t="shared" si="843"/>
        <v>0</v>
      </c>
      <c r="FO43" s="6">
        <f t="shared" si="967"/>
        <v>3</v>
      </c>
      <c r="FP43" s="6">
        <f t="shared" si="844"/>
        <v>1</v>
      </c>
      <c r="FQ43" s="6">
        <f t="shared" si="968"/>
        <v>14</v>
      </c>
      <c r="FR43" s="6">
        <f t="shared" si="845"/>
        <v>0</v>
      </c>
      <c r="FS43" s="6">
        <f t="shared" si="969"/>
        <v>8</v>
      </c>
      <c r="FT43" s="6">
        <f>IF($E43=3,EV43-3,NA())</f>
        <v>6</v>
      </c>
      <c r="FU43" s="6"/>
      <c r="FV43" s="6"/>
      <c r="FW43" s="20">
        <f>EV43-'Zusammenfassung Tag1-4'!$G$2/18</f>
        <v>7.5</v>
      </c>
      <c r="FX43" s="22">
        <f t="shared" si="971"/>
        <v>143.5</v>
      </c>
      <c r="FY43" s="18">
        <v>4</v>
      </c>
      <c r="FZ43" s="6">
        <f t="shared" si="972"/>
        <v>256</v>
      </c>
      <c r="GA43" s="19">
        <v>2</v>
      </c>
      <c r="GB43" s="6">
        <f t="shared" si="973"/>
        <v>83</v>
      </c>
      <c r="GC43" s="6">
        <f t="shared" si="846"/>
        <v>0</v>
      </c>
      <c r="GD43" s="6">
        <f t="shared" si="974"/>
        <v>2</v>
      </c>
      <c r="GE43" s="6">
        <f t="shared" si="847"/>
        <v>0</v>
      </c>
      <c r="GF43" s="6">
        <f t="shared" si="975"/>
        <v>0</v>
      </c>
      <c r="GG43" s="6">
        <f t="shared" si="848"/>
        <v>0</v>
      </c>
      <c r="GH43" s="6">
        <f t="shared" si="976"/>
        <v>0</v>
      </c>
      <c r="GI43" s="6">
        <f t="shared" si="849"/>
        <v>0</v>
      </c>
      <c r="GJ43" s="6">
        <f t="shared" si="977"/>
        <v>0</v>
      </c>
      <c r="GK43" s="6">
        <f t="shared" si="850"/>
        <v>1</v>
      </c>
      <c r="GL43" s="6">
        <f t="shared" si="978"/>
        <v>3</v>
      </c>
      <c r="GM43" s="6">
        <f t="shared" si="851"/>
        <v>0</v>
      </c>
      <c r="GN43" s="6">
        <f t="shared" si="979"/>
        <v>14</v>
      </c>
      <c r="GO43" s="6">
        <f t="shared" si="852"/>
        <v>0</v>
      </c>
      <c r="GP43" s="6">
        <f t="shared" si="980"/>
        <v>0</v>
      </c>
      <c r="GQ43" s="6">
        <f t="shared" si="853"/>
        <v>0</v>
      </c>
      <c r="GR43" s="6">
        <f t="shared" si="981"/>
        <v>2</v>
      </c>
      <c r="GS43" s="6">
        <f t="shared" si="854"/>
        <v>1</v>
      </c>
      <c r="GT43" s="6">
        <f t="shared" si="982"/>
        <v>10</v>
      </c>
      <c r="GU43" s="6">
        <f t="shared" si="855"/>
        <v>0</v>
      </c>
      <c r="GV43" s="6">
        <f t="shared" si="983"/>
        <v>15</v>
      </c>
      <c r="GW43" s="6">
        <f>IF($E43=3,FY43-3,NA())</f>
        <v>1</v>
      </c>
      <c r="GX43" s="6"/>
      <c r="GY43" s="6"/>
      <c r="GZ43" s="20">
        <f>FY43-'Zusammenfassung Tag1-4'!$H$2/18</f>
        <v>1</v>
      </c>
      <c r="HA43" s="22">
        <f t="shared" si="985"/>
        <v>151</v>
      </c>
      <c r="HB43" s="18">
        <v>3</v>
      </c>
      <c r="HC43" s="6">
        <f t="shared" si="986"/>
        <v>185</v>
      </c>
      <c r="HD43" s="19">
        <v>2</v>
      </c>
      <c r="HE43" s="6">
        <f t="shared" si="987"/>
        <v>72</v>
      </c>
      <c r="HF43" s="6">
        <f t="shared" si="856"/>
        <v>1</v>
      </c>
      <c r="HG43" s="6">
        <f t="shared" si="988"/>
        <v>10</v>
      </c>
      <c r="HH43" s="6">
        <f t="shared" si="857"/>
        <v>0</v>
      </c>
      <c r="HI43" s="6">
        <f t="shared" si="989"/>
        <v>4</v>
      </c>
      <c r="HJ43" s="6">
        <f t="shared" si="858"/>
        <v>0</v>
      </c>
      <c r="HK43" s="6">
        <f t="shared" si="990"/>
        <v>0</v>
      </c>
      <c r="HL43" s="6">
        <f t="shared" si="859"/>
        <v>1</v>
      </c>
      <c r="HM43" s="6">
        <f t="shared" si="991"/>
        <v>4</v>
      </c>
      <c r="HN43" s="6">
        <f t="shared" si="860"/>
        <v>0</v>
      </c>
      <c r="HO43" s="6">
        <f t="shared" si="992"/>
        <v>8</v>
      </c>
      <c r="HP43" s="6">
        <f t="shared" si="861"/>
        <v>0</v>
      </c>
      <c r="HQ43" s="6">
        <f t="shared" si="993"/>
        <v>5</v>
      </c>
      <c r="HR43" s="6">
        <f t="shared" si="862"/>
        <v>0</v>
      </c>
      <c r="HS43" s="6">
        <f t="shared" si="994"/>
        <v>0</v>
      </c>
      <c r="HT43" s="6">
        <f t="shared" si="863"/>
        <v>0</v>
      </c>
      <c r="HU43" s="6">
        <f t="shared" si="995"/>
        <v>5</v>
      </c>
      <c r="HV43" s="6">
        <f t="shared" si="864"/>
        <v>1</v>
      </c>
      <c r="HW43" s="6">
        <f t="shared" si="996"/>
        <v>12</v>
      </c>
      <c r="HX43" s="6">
        <f t="shared" si="865"/>
        <v>0</v>
      </c>
      <c r="HY43" s="6">
        <f t="shared" si="997"/>
        <v>7</v>
      </c>
      <c r="HZ43" s="6">
        <f>IF($E43=3,HB43-3,NA())</f>
        <v>0</v>
      </c>
      <c r="IA43" s="6"/>
      <c r="IB43" s="6"/>
      <c r="IC43" s="20">
        <f>HB43-'Zusammenfassung Tag1-4'!$I$2/18</f>
        <v>2</v>
      </c>
      <c r="ID43" s="22">
        <f t="shared" si="999"/>
        <v>150</v>
      </c>
      <c r="IE43" s="18"/>
      <c r="IF43" s="6">
        <f t="shared" si="1000"/>
        <v>0</v>
      </c>
      <c r="IG43" s="19"/>
      <c r="IH43" s="6">
        <f t="shared" si="1001"/>
        <v>0</v>
      </c>
      <c r="II43" s="6">
        <f t="shared" si="866"/>
        <v>1</v>
      </c>
      <c r="IJ43" s="6">
        <f t="shared" si="1002"/>
        <v>35</v>
      </c>
      <c r="IK43" s="6">
        <f t="shared" si="867"/>
        <v>0</v>
      </c>
      <c r="IL43" s="6">
        <f t="shared" si="1003"/>
        <v>0</v>
      </c>
      <c r="IM43" s="6">
        <f t="shared" si="868"/>
        <v>0</v>
      </c>
      <c r="IN43" s="6">
        <f t="shared" si="1004"/>
        <v>0</v>
      </c>
      <c r="IO43" s="6">
        <f t="shared" si="869"/>
        <v>0</v>
      </c>
      <c r="IP43" s="6">
        <f t="shared" si="1005"/>
        <v>0</v>
      </c>
      <c r="IQ43" s="6">
        <f t="shared" si="870"/>
        <v>0</v>
      </c>
      <c r="IR43" s="6">
        <f t="shared" si="1006"/>
        <v>0</v>
      </c>
      <c r="IS43" s="6">
        <f t="shared" si="871"/>
        <v>0</v>
      </c>
      <c r="IT43" s="6">
        <f t="shared" si="1007"/>
        <v>0</v>
      </c>
      <c r="IU43" s="6">
        <f t="shared" si="872"/>
        <v>1</v>
      </c>
      <c r="IV43" s="6">
        <f t="shared" si="1008"/>
        <v>17</v>
      </c>
      <c r="IW43" s="6">
        <f t="shared" si="873"/>
        <v>0</v>
      </c>
      <c r="IX43" s="6">
        <f t="shared" si="1009"/>
        <v>0</v>
      </c>
      <c r="IY43" s="6">
        <f t="shared" si="874"/>
        <v>0</v>
      </c>
      <c r="IZ43" s="6">
        <f t="shared" si="1010"/>
        <v>0</v>
      </c>
      <c r="JA43" s="6">
        <f t="shared" si="875"/>
        <v>0</v>
      </c>
      <c r="JB43" s="6">
        <f t="shared" si="1011"/>
        <v>0</v>
      </c>
      <c r="JC43" s="6">
        <f>IF($E43=3,IE43-3,NA())</f>
        <v>-3</v>
      </c>
      <c r="JD43" s="6"/>
      <c r="JE43" s="6"/>
      <c r="JF43" s="20">
        <f>IE43-'Zusammenfassung Tag1-4'!$J$2/18</f>
        <v>-3</v>
      </c>
      <c r="JG43" s="22">
        <f t="shared" si="1013"/>
        <v>-105</v>
      </c>
      <c r="JH43" s="18"/>
      <c r="JI43" s="6">
        <f t="shared" si="1014"/>
        <v>0</v>
      </c>
      <c r="JJ43" s="19"/>
      <c r="JK43" s="6">
        <f t="shared" si="1015"/>
        <v>0</v>
      </c>
      <c r="JL43" s="6">
        <f t="shared" si="876"/>
        <v>1</v>
      </c>
      <c r="JM43" s="6">
        <f t="shared" si="1016"/>
        <v>35</v>
      </c>
      <c r="JN43" s="6">
        <f t="shared" si="877"/>
        <v>0</v>
      </c>
      <c r="JO43" s="6">
        <f t="shared" si="1017"/>
        <v>0</v>
      </c>
      <c r="JP43" s="6">
        <f t="shared" si="878"/>
        <v>0</v>
      </c>
      <c r="JQ43" s="6">
        <f t="shared" si="1018"/>
        <v>0</v>
      </c>
      <c r="JR43" s="6">
        <f t="shared" si="879"/>
        <v>0</v>
      </c>
      <c r="JS43" s="6">
        <f t="shared" si="1019"/>
        <v>0</v>
      </c>
      <c r="JT43" s="6">
        <f t="shared" si="880"/>
        <v>0</v>
      </c>
      <c r="JU43" s="6">
        <f t="shared" si="1020"/>
        <v>0</v>
      </c>
      <c r="JV43" s="6">
        <f t="shared" si="881"/>
        <v>0</v>
      </c>
      <c r="JW43" s="6">
        <f t="shared" si="1021"/>
        <v>0</v>
      </c>
      <c r="JX43" s="6">
        <f t="shared" si="882"/>
        <v>1</v>
      </c>
      <c r="JY43" s="6">
        <f t="shared" si="1022"/>
        <v>17</v>
      </c>
      <c r="JZ43" s="6">
        <f t="shared" si="883"/>
        <v>0</v>
      </c>
      <c r="KA43" s="6">
        <f t="shared" si="1023"/>
        <v>0</v>
      </c>
      <c r="KB43" s="6">
        <f t="shared" si="884"/>
        <v>0</v>
      </c>
      <c r="KC43" s="6">
        <f t="shared" si="1024"/>
        <v>0</v>
      </c>
      <c r="KD43" s="6">
        <f t="shared" si="885"/>
        <v>0</v>
      </c>
      <c r="KE43" s="6">
        <f t="shared" si="1025"/>
        <v>0</v>
      </c>
      <c r="KF43" s="6">
        <f>IF($E43=3,JH43-3,NA())</f>
        <v>-3</v>
      </c>
      <c r="KG43" s="6"/>
      <c r="KH43" s="6"/>
      <c r="KI43" s="20">
        <f>JH43-'Zusammenfassung Tag1-4'!$K$2/18</f>
        <v>-0.77777777777777779</v>
      </c>
      <c r="KJ43" s="22">
        <f t="shared" si="1027"/>
        <v>-27.222222222222239</v>
      </c>
      <c r="KK43" s="10"/>
      <c r="KL43" s="10"/>
      <c r="KM43" s="10"/>
      <c r="KN43" s="10"/>
      <c r="KO43" s="10"/>
      <c r="KP43" s="10"/>
      <c r="KQ43" s="10"/>
      <c r="KR43" s="10"/>
      <c r="KS43" s="10"/>
      <c r="KT43" s="10"/>
      <c r="KU43" s="10"/>
      <c r="KV43" s="10"/>
      <c r="KW43" s="10"/>
      <c r="KX43" s="10"/>
      <c r="KY43" s="10"/>
      <c r="KZ43" s="10"/>
      <c r="LA43" s="10"/>
      <c r="LB43" s="10"/>
      <c r="LC43" s="10"/>
      <c r="LD43" s="10"/>
    </row>
    <row r="44" spans="1:316" ht="15.75" customHeight="1" x14ac:dyDescent="0.25">
      <c r="A44" s="106"/>
      <c r="B44" s="103"/>
      <c r="C44" s="3">
        <v>18</v>
      </c>
      <c r="D44" s="3">
        <f t="shared" si="886"/>
        <v>36</v>
      </c>
      <c r="E44" s="3">
        <v>5</v>
      </c>
      <c r="F44" s="23">
        <f t="shared" si="887"/>
        <v>144</v>
      </c>
      <c r="G44" s="24">
        <v>6</v>
      </c>
      <c r="H44" s="3">
        <f t="shared" si="888"/>
        <v>177</v>
      </c>
      <c r="I44" s="25">
        <v>2</v>
      </c>
      <c r="J44" s="3">
        <f t="shared" si="889"/>
        <v>71</v>
      </c>
      <c r="K44" s="3">
        <f t="shared" si="786"/>
        <v>0</v>
      </c>
      <c r="L44" s="3">
        <f t="shared" si="890"/>
        <v>15</v>
      </c>
      <c r="M44" s="3">
        <f t="shared" si="787"/>
        <v>0</v>
      </c>
      <c r="N44" s="3">
        <f t="shared" si="891"/>
        <v>3</v>
      </c>
      <c r="O44" s="3">
        <f t="shared" si="788"/>
        <v>0</v>
      </c>
      <c r="P44" s="3">
        <f t="shared" si="892"/>
        <v>1</v>
      </c>
      <c r="Q44" s="3">
        <f t="shared" si="789"/>
        <v>0</v>
      </c>
      <c r="R44" s="3">
        <f t="shared" si="893"/>
        <v>8</v>
      </c>
      <c r="S44" s="3">
        <f t="shared" si="790"/>
        <v>1</v>
      </c>
      <c r="T44" s="3">
        <f t="shared" si="894"/>
        <v>5</v>
      </c>
      <c r="U44" s="3">
        <f t="shared" si="791"/>
        <v>0</v>
      </c>
      <c r="V44" s="3">
        <f t="shared" si="895"/>
        <v>5</v>
      </c>
      <c r="W44" s="3">
        <f t="shared" si="792"/>
        <v>0</v>
      </c>
      <c r="X44" s="3">
        <f t="shared" si="896"/>
        <v>0</v>
      </c>
      <c r="Y44" s="3">
        <f t="shared" si="793"/>
        <v>0</v>
      </c>
      <c r="Z44" s="3">
        <f t="shared" si="897"/>
        <v>7</v>
      </c>
      <c r="AA44" s="3">
        <f t="shared" si="794"/>
        <v>1</v>
      </c>
      <c r="AB44" s="3">
        <f t="shared" si="898"/>
        <v>13</v>
      </c>
      <c r="AC44" s="3">
        <f t="shared" si="795"/>
        <v>0</v>
      </c>
      <c r="AD44" s="3">
        <f t="shared" si="899"/>
        <v>5</v>
      </c>
      <c r="AE44" s="3"/>
      <c r="AF44" s="3"/>
      <c r="AG44" s="3">
        <f>IF($E44=5,G44-5,NA())</f>
        <v>1</v>
      </c>
      <c r="AH44" s="26">
        <f>G44-'Zusammenfassung Tag1-4'!$B$2/18</f>
        <v>4.8888888888888893</v>
      </c>
      <c r="AI44" s="27">
        <f t="shared" si="901"/>
        <v>136.99999999999991</v>
      </c>
      <c r="AJ44" s="24">
        <v>5</v>
      </c>
      <c r="AK44" s="3">
        <f t="shared" si="902"/>
        <v>163</v>
      </c>
      <c r="AL44" s="25">
        <v>2</v>
      </c>
      <c r="AM44" s="3">
        <f t="shared" si="903"/>
        <v>66</v>
      </c>
      <c r="AN44" s="3">
        <f t="shared" si="796"/>
        <v>1</v>
      </c>
      <c r="AO44" s="3">
        <f t="shared" si="904"/>
        <v>20</v>
      </c>
      <c r="AP44" s="3">
        <f t="shared" si="797"/>
        <v>0</v>
      </c>
      <c r="AQ44" s="3">
        <f t="shared" si="905"/>
        <v>5</v>
      </c>
      <c r="AR44" s="3">
        <f t="shared" si="798"/>
        <v>0</v>
      </c>
      <c r="AS44" s="3">
        <f t="shared" si="906"/>
        <v>3</v>
      </c>
      <c r="AT44" s="3">
        <f t="shared" si="799"/>
        <v>1</v>
      </c>
      <c r="AU44" s="3">
        <f t="shared" si="907"/>
        <v>9</v>
      </c>
      <c r="AV44" s="3">
        <f t="shared" si="800"/>
        <v>0</v>
      </c>
      <c r="AW44" s="3">
        <f t="shared" si="908"/>
        <v>2</v>
      </c>
      <c r="AX44" s="3">
        <f t="shared" si="801"/>
        <v>0</v>
      </c>
      <c r="AY44" s="3">
        <f t="shared" si="909"/>
        <v>4</v>
      </c>
      <c r="AZ44" s="3">
        <f t="shared" si="802"/>
        <v>0</v>
      </c>
      <c r="BA44" s="3">
        <f t="shared" si="910"/>
        <v>0</v>
      </c>
      <c r="BB44" s="3">
        <f t="shared" si="803"/>
        <v>0</v>
      </c>
      <c r="BC44" s="3">
        <f t="shared" si="911"/>
        <v>10</v>
      </c>
      <c r="BD44" s="3">
        <f t="shared" si="804"/>
        <v>1</v>
      </c>
      <c r="BE44" s="3">
        <f t="shared" si="912"/>
        <v>11</v>
      </c>
      <c r="BF44" s="3">
        <f t="shared" si="805"/>
        <v>0</v>
      </c>
      <c r="BG44" s="3">
        <f t="shared" si="913"/>
        <v>4</v>
      </c>
      <c r="BH44" s="3"/>
      <c r="BI44" s="3"/>
      <c r="BJ44" s="3">
        <f>IF($E44=5,AJ44-5,NA())</f>
        <v>0</v>
      </c>
      <c r="BK44" s="26">
        <f>AJ44-'Zusammenfassung Tag1-4'!$C$2/18</f>
        <v>4.333333333333333</v>
      </c>
      <c r="BL44" s="27">
        <f t="shared" si="915"/>
        <v>138.99999999999997</v>
      </c>
      <c r="BM44" s="24">
        <v>10</v>
      </c>
      <c r="BN44" s="3">
        <f t="shared" si="916"/>
        <v>200</v>
      </c>
      <c r="BO44" s="25">
        <v>2</v>
      </c>
      <c r="BP44" s="3">
        <f t="shared" si="917"/>
        <v>73</v>
      </c>
      <c r="BQ44" s="3">
        <f t="shared" si="806"/>
        <v>0</v>
      </c>
      <c r="BR44" s="3">
        <f t="shared" si="918"/>
        <v>6</v>
      </c>
      <c r="BS44" s="3">
        <f t="shared" si="807"/>
        <v>0</v>
      </c>
      <c r="BT44" s="3">
        <f t="shared" si="919"/>
        <v>3</v>
      </c>
      <c r="BU44" s="3">
        <f t="shared" si="808"/>
        <v>0</v>
      </c>
      <c r="BV44" s="3">
        <f t="shared" si="920"/>
        <v>1</v>
      </c>
      <c r="BW44" s="3">
        <f t="shared" si="809"/>
        <v>0</v>
      </c>
      <c r="BX44" s="3">
        <f t="shared" si="921"/>
        <v>3</v>
      </c>
      <c r="BY44" s="3">
        <f t="shared" si="810"/>
        <v>0</v>
      </c>
      <c r="BZ44" s="3">
        <f t="shared" si="922"/>
        <v>4</v>
      </c>
      <c r="CA44" s="3">
        <f t="shared" si="811"/>
        <v>1</v>
      </c>
      <c r="CB44" s="3">
        <f t="shared" si="923"/>
        <v>10</v>
      </c>
      <c r="CC44" s="3">
        <f t="shared" si="812"/>
        <v>0</v>
      </c>
      <c r="CD44" s="3">
        <f t="shared" si="924"/>
        <v>0</v>
      </c>
      <c r="CE44" s="3">
        <f t="shared" si="813"/>
        <v>0</v>
      </c>
      <c r="CF44" s="3">
        <f t="shared" si="925"/>
        <v>6</v>
      </c>
      <c r="CG44" s="3">
        <f t="shared" si="814"/>
        <v>1</v>
      </c>
      <c r="CH44" s="3">
        <f t="shared" si="926"/>
        <v>11</v>
      </c>
      <c r="CI44" s="3">
        <f t="shared" si="815"/>
        <v>0</v>
      </c>
      <c r="CJ44" s="3">
        <f t="shared" si="927"/>
        <v>7</v>
      </c>
      <c r="CK44" s="3"/>
      <c r="CL44" s="3"/>
      <c r="CM44" s="3">
        <f>IF($E44=5,BM44-5,NA())</f>
        <v>5</v>
      </c>
      <c r="CN44" s="26">
        <f>BM44-'Zusammenfassung Tag1-4'!$D$2/18</f>
        <v>8.6666666666666661</v>
      </c>
      <c r="CO44" s="27">
        <f t="shared" si="929"/>
        <v>152</v>
      </c>
      <c r="CP44" s="24">
        <v>6</v>
      </c>
      <c r="CQ44" s="3">
        <f t="shared" si="930"/>
        <v>188</v>
      </c>
      <c r="CR44" s="25">
        <v>3</v>
      </c>
      <c r="CS44" s="3">
        <f t="shared" si="931"/>
        <v>73</v>
      </c>
      <c r="CT44" s="3">
        <f t="shared" si="816"/>
        <v>1</v>
      </c>
      <c r="CU44" s="3">
        <f t="shared" si="932"/>
        <v>8</v>
      </c>
      <c r="CV44" s="3">
        <f t="shared" si="817"/>
        <v>0</v>
      </c>
      <c r="CW44" s="3">
        <f t="shared" si="933"/>
        <v>3</v>
      </c>
      <c r="CX44" s="3">
        <f t="shared" si="818"/>
        <v>0</v>
      </c>
      <c r="CY44" s="3">
        <f t="shared" si="934"/>
        <v>0</v>
      </c>
      <c r="CZ44" s="3">
        <f t="shared" si="819"/>
        <v>0</v>
      </c>
      <c r="DA44" s="3">
        <f t="shared" si="935"/>
        <v>4</v>
      </c>
      <c r="DB44" s="3">
        <f t="shared" si="820"/>
        <v>1</v>
      </c>
      <c r="DC44" s="3">
        <f t="shared" si="936"/>
        <v>11</v>
      </c>
      <c r="DD44" s="3">
        <f t="shared" si="821"/>
        <v>0</v>
      </c>
      <c r="DE44" s="3">
        <f t="shared" si="937"/>
        <v>3</v>
      </c>
      <c r="DF44" s="3">
        <f t="shared" si="822"/>
        <v>0</v>
      </c>
      <c r="DG44" s="3">
        <f t="shared" si="938"/>
        <v>0</v>
      </c>
      <c r="DH44" s="3">
        <f t="shared" si="823"/>
        <v>0</v>
      </c>
      <c r="DI44" s="3">
        <f t="shared" si="939"/>
        <v>6</v>
      </c>
      <c r="DJ44" s="3">
        <f t="shared" si="824"/>
        <v>0</v>
      </c>
      <c r="DK44" s="3">
        <f t="shared" si="940"/>
        <v>13</v>
      </c>
      <c r="DL44" s="3">
        <f t="shared" si="825"/>
        <v>1</v>
      </c>
      <c r="DM44" s="3">
        <f t="shared" si="941"/>
        <v>7</v>
      </c>
      <c r="DN44" s="3"/>
      <c r="DO44" s="3"/>
      <c r="DP44" s="3">
        <f>IF($E44=5,CP44-5,NA())</f>
        <v>1</v>
      </c>
      <c r="DQ44" s="26">
        <f>CP44-'Zusammenfassung Tag1-4'!$E$2/18</f>
        <v>4.7222222222222223</v>
      </c>
      <c r="DR44" s="28">
        <f t="shared" si="943"/>
        <v>142.00000000000011</v>
      </c>
      <c r="DS44" s="24">
        <v>9</v>
      </c>
      <c r="DT44" s="3">
        <f t="shared" si="944"/>
        <v>277</v>
      </c>
      <c r="DU44" s="25">
        <v>3</v>
      </c>
      <c r="DV44" s="3">
        <f t="shared" si="945"/>
        <v>79</v>
      </c>
      <c r="DW44" s="3">
        <f t="shared" si="826"/>
        <v>0</v>
      </c>
      <c r="DX44" s="3">
        <f t="shared" si="946"/>
        <v>1</v>
      </c>
      <c r="DY44" s="3">
        <f t="shared" si="827"/>
        <v>0</v>
      </c>
      <c r="DZ44" s="3">
        <f t="shared" si="947"/>
        <v>0</v>
      </c>
      <c r="EA44" s="3">
        <f t="shared" si="828"/>
        <v>0</v>
      </c>
      <c r="EB44" s="3">
        <f t="shared" si="948"/>
        <v>0</v>
      </c>
      <c r="EC44" s="3">
        <f t="shared" si="829"/>
        <v>0</v>
      </c>
      <c r="ED44" s="3">
        <f t="shared" si="949"/>
        <v>0</v>
      </c>
      <c r="EE44" s="3">
        <f t="shared" si="830"/>
        <v>0</v>
      </c>
      <c r="EF44" s="3">
        <f t="shared" si="950"/>
        <v>1</v>
      </c>
      <c r="EG44" s="3">
        <f t="shared" si="831"/>
        <v>1</v>
      </c>
      <c r="EH44" s="3">
        <f t="shared" si="951"/>
        <v>17</v>
      </c>
      <c r="EI44" s="3">
        <f t="shared" si="832"/>
        <v>0</v>
      </c>
      <c r="EJ44" s="3">
        <f t="shared" si="952"/>
        <v>0</v>
      </c>
      <c r="EK44" s="3">
        <f t="shared" si="833"/>
        <v>0</v>
      </c>
      <c r="EL44" s="3">
        <f t="shared" si="953"/>
        <v>2</v>
      </c>
      <c r="EM44" s="3">
        <f t="shared" si="834"/>
        <v>0</v>
      </c>
      <c r="EN44" s="3">
        <f t="shared" si="954"/>
        <v>13</v>
      </c>
      <c r="EO44" s="3">
        <f t="shared" si="835"/>
        <v>1</v>
      </c>
      <c r="EP44" s="3">
        <f t="shared" si="955"/>
        <v>8</v>
      </c>
      <c r="EQ44" s="3"/>
      <c r="ER44" s="3"/>
      <c r="ES44" s="3">
        <f>IF($E44=5,DS44-5,NA())</f>
        <v>4</v>
      </c>
      <c r="ET44" s="26">
        <f>DS44-'Zusammenfassung Tag1-4'!$F$2/18</f>
        <v>6</v>
      </c>
      <c r="EU44" s="28">
        <f t="shared" si="957"/>
        <v>169</v>
      </c>
      <c r="EV44" s="24">
        <v>5</v>
      </c>
      <c r="EW44" s="3">
        <f t="shared" si="958"/>
        <v>201</v>
      </c>
      <c r="EX44" s="25">
        <v>2</v>
      </c>
      <c r="EY44" s="3">
        <f t="shared" si="959"/>
        <v>77</v>
      </c>
      <c r="EZ44" s="3">
        <f t="shared" si="836"/>
        <v>1</v>
      </c>
      <c r="FA44" s="3">
        <f t="shared" si="960"/>
        <v>8</v>
      </c>
      <c r="FB44" s="3">
        <f t="shared" si="837"/>
        <v>0</v>
      </c>
      <c r="FC44" s="3">
        <f t="shared" si="961"/>
        <v>0</v>
      </c>
      <c r="FD44" s="3">
        <f t="shared" si="838"/>
        <v>0</v>
      </c>
      <c r="FE44" s="3">
        <f t="shared" si="962"/>
        <v>2</v>
      </c>
      <c r="FF44" s="3">
        <f t="shared" si="839"/>
        <v>1</v>
      </c>
      <c r="FG44" s="3">
        <f t="shared" si="963"/>
        <v>2</v>
      </c>
      <c r="FH44" s="3">
        <f t="shared" si="840"/>
        <v>0</v>
      </c>
      <c r="FI44" s="3">
        <f t="shared" si="964"/>
        <v>5</v>
      </c>
      <c r="FJ44" s="3">
        <f t="shared" si="841"/>
        <v>0</v>
      </c>
      <c r="FK44" s="3">
        <f t="shared" si="965"/>
        <v>9</v>
      </c>
      <c r="FL44" s="3">
        <f t="shared" si="842"/>
        <v>0</v>
      </c>
      <c r="FM44" s="3">
        <f t="shared" si="966"/>
        <v>0</v>
      </c>
      <c r="FN44" s="3">
        <f t="shared" si="843"/>
        <v>0</v>
      </c>
      <c r="FO44" s="3">
        <f t="shared" si="967"/>
        <v>3</v>
      </c>
      <c r="FP44" s="3">
        <f t="shared" si="844"/>
        <v>1</v>
      </c>
      <c r="FQ44" s="3">
        <f t="shared" si="968"/>
        <v>15</v>
      </c>
      <c r="FR44" s="3">
        <f t="shared" si="845"/>
        <v>0</v>
      </c>
      <c r="FS44" s="3">
        <f t="shared" si="969"/>
        <v>8</v>
      </c>
      <c r="FT44" s="3"/>
      <c r="FU44" s="3"/>
      <c r="FV44" s="3">
        <f>IF($E44=5,EV44-5,NA())</f>
        <v>0</v>
      </c>
      <c r="FW44" s="26">
        <f>EV44-'Zusammenfassung Tag1-4'!$G$2/18</f>
        <v>3.5</v>
      </c>
      <c r="FX44" s="28">
        <f t="shared" si="971"/>
        <v>147</v>
      </c>
      <c r="FY44" s="24">
        <v>7</v>
      </c>
      <c r="FZ44" s="3">
        <f t="shared" si="972"/>
        <v>263</v>
      </c>
      <c r="GA44" s="25">
        <v>2</v>
      </c>
      <c r="GB44" s="3">
        <f t="shared" si="973"/>
        <v>85</v>
      </c>
      <c r="GC44" s="3">
        <f t="shared" si="846"/>
        <v>0</v>
      </c>
      <c r="GD44" s="3">
        <f t="shared" si="974"/>
        <v>2</v>
      </c>
      <c r="GE44" s="3">
        <f t="shared" si="847"/>
        <v>0</v>
      </c>
      <c r="GF44" s="3">
        <f t="shared" si="975"/>
        <v>0</v>
      </c>
      <c r="GG44" s="3">
        <f t="shared" si="848"/>
        <v>0</v>
      </c>
      <c r="GH44" s="3">
        <f t="shared" si="976"/>
        <v>0</v>
      </c>
      <c r="GI44" s="3">
        <f t="shared" si="849"/>
        <v>0</v>
      </c>
      <c r="GJ44" s="3">
        <f t="shared" si="977"/>
        <v>0</v>
      </c>
      <c r="GK44" s="3">
        <f t="shared" si="850"/>
        <v>0</v>
      </c>
      <c r="GL44" s="3">
        <f t="shared" si="978"/>
        <v>3</v>
      </c>
      <c r="GM44" s="3">
        <f t="shared" si="851"/>
        <v>1</v>
      </c>
      <c r="GN44" s="3">
        <f t="shared" si="979"/>
        <v>15</v>
      </c>
      <c r="GO44" s="3">
        <f t="shared" si="852"/>
        <v>0</v>
      </c>
      <c r="GP44" s="3">
        <f t="shared" si="980"/>
        <v>0</v>
      </c>
      <c r="GQ44" s="3">
        <f t="shared" si="853"/>
        <v>0</v>
      </c>
      <c r="GR44" s="3">
        <f t="shared" si="981"/>
        <v>2</v>
      </c>
      <c r="GS44" s="3">
        <f t="shared" si="854"/>
        <v>1</v>
      </c>
      <c r="GT44" s="3">
        <f t="shared" si="982"/>
        <v>11</v>
      </c>
      <c r="GU44" s="3">
        <f t="shared" si="855"/>
        <v>0</v>
      </c>
      <c r="GV44" s="3">
        <f t="shared" si="983"/>
        <v>15</v>
      </c>
      <c r="GW44" s="3"/>
      <c r="GX44" s="3"/>
      <c r="GY44" s="3">
        <f>IF($E44=5,FY44-5,NA())</f>
        <v>2</v>
      </c>
      <c r="GZ44" s="26">
        <f>FY44-'Zusammenfassung Tag1-4'!$H$2/18</f>
        <v>4</v>
      </c>
      <c r="HA44" s="28">
        <f t="shared" si="985"/>
        <v>155</v>
      </c>
      <c r="HB44" s="24">
        <v>6</v>
      </c>
      <c r="HC44" s="3">
        <f t="shared" si="986"/>
        <v>191</v>
      </c>
      <c r="HD44" s="25">
        <v>2</v>
      </c>
      <c r="HE44" s="3">
        <f t="shared" si="987"/>
        <v>74</v>
      </c>
      <c r="HF44" s="3">
        <f t="shared" si="856"/>
        <v>0</v>
      </c>
      <c r="HG44" s="3">
        <f t="shared" si="988"/>
        <v>10</v>
      </c>
      <c r="HH44" s="3">
        <f t="shared" si="857"/>
        <v>0</v>
      </c>
      <c r="HI44" s="3">
        <f t="shared" si="989"/>
        <v>4</v>
      </c>
      <c r="HJ44" s="3">
        <f t="shared" si="858"/>
        <v>0</v>
      </c>
      <c r="HK44" s="3">
        <f t="shared" si="990"/>
        <v>0</v>
      </c>
      <c r="HL44" s="3">
        <f t="shared" si="859"/>
        <v>0</v>
      </c>
      <c r="HM44" s="3">
        <f t="shared" si="991"/>
        <v>4</v>
      </c>
      <c r="HN44" s="3">
        <f t="shared" si="860"/>
        <v>1</v>
      </c>
      <c r="HO44" s="3">
        <f t="shared" si="992"/>
        <v>9</v>
      </c>
      <c r="HP44" s="3">
        <f t="shared" si="861"/>
        <v>0</v>
      </c>
      <c r="HQ44" s="3">
        <f t="shared" si="993"/>
        <v>5</v>
      </c>
      <c r="HR44" s="3">
        <f t="shared" si="862"/>
        <v>0</v>
      </c>
      <c r="HS44" s="3">
        <f t="shared" si="994"/>
        <v>0</v>
      </c>
      <c r="HT44" s="3">
        <f t="shared" si="863"/>
        <v>0</v>
      </c>
      <c r="HU44" s="3">
        <f t="shared" si="995"/>
        <v>5</v>
      </c>
      <c r="HV44" s="3">
        <f t="shared" si="864"/>
        <v>1</v>
      </c>
      <c r="HW44" s="3">
        <f t="shared" si="996"/>
        <v>13</v>
      </c>
      <c r="HX44" s="3">
        <f t="shared" si="865"/>
        <v>0</v>
      </c>
      <c r="HY44" s="3">
        <f t="shared" si="997"/>
        <v>7</v>
      </c>
      <c r="HZ44" s="3"/>
      <c r="IA44" s="3"/>
      <c r="IB44" s="3">
        <f>IF($E44=5,HB44-5,NA())</f>
        <v>1</v>
      </c>
      <c r="IC44" s="26">
        <f>HB44-'Zusammenfassung Tag1-4'!$I$2/18</f>
        <v>5</v>
      </c>
      <c r="ID44" s="28">
        <f t="shared" si="999"/>
        <v>155</v>
      </c>
      <c r="IE44" s="24"/>
      <c r="IF44" s="3">
        <f t="shared" si="1000"/>
        <v>0</v>
      </c>
      <c r="IG44" s="25"/>
      <c r="IH44" s="3">
        <f t="shared" si="1001"/>
        <v>0</v>
      </c>
      <c r="II44" s="3">
        <f t="shared" si="866"/>
        <v>1</v>
      </c>
      <c r="IJ44" s="3">
        <f t="shared" si="1002"/>
        <v>36</v>
      </c>
      <c r="IK44" s="3">
        <f t="shared" si="867"/>
        <v>0</v>
      </c>
      <c r="IL44" s="3">
        <f t="shared" si="1003"/>
        <v>0</v>
      </c>
      <c r="IM44" s="3">
        <f t="shared" si="868"/>
        <v>0</v>
      </c>
      <c r="IN44" s="3">
        <f t="shared" si="1004"/>
        <v>0</v>
      </c>
      <c r="IO44" s="3">
        <f t="shared" si="869"/>
        <v>0</v>
      </c>
      <c r="IP44" s="3">
        <f t="shared" si="1005"/>
        <v>0</v>
      </c>
      <c r="IQ44" s="3">
        <f t="shared" si="870"/>
        <v>0</v>
      </c>
      <c r="IR44" s="3">
        <f t="shared" si="1006"/>
        <v>0</v>
      </c>
      <c r="IS44" s="3">
        <f t="shared" si="871"/>
        <v>0</v>
      </c>
      <c r="IT44" s="3">
        <f t="shared" si="1007"/>
        <v>0</v>
      </c>
      <c r="IU44" s="3">
        <f t="shared" si="872"/>
        <v>1</v>
      </c>
      <c r="IV44" s="3">
        <f t="shared" si="1008"/>
        <v>18</v>
      </c>
      <c r="IW44" s="3">
        <f t="shared" si="873"/>
        <v>0</v>
      </c>
      <c r="IX44" s="3">
        <f t="shared" si="1009"/>
        <v>0</v>
      </c>
      <c r="IY44" s="3">
        <f t="shared" si="874"/>
        <v>0</v>
      </c>
      <c r="IZ44" s="3">
        <f t="shared" si="1010"/>
        <v>0</v>
      </c>
      <c r="JA44" s="3">
        <f t="shared" si="875"/>
        <v>0</v>
      </c>
      <c r="JB44" s="3">
        <f t="shared" si="1011"/>
        <v>0</v>
      </c>
      <c r="JC44" s="3"/>
      <c r="JD44" s="3"/>
      <c r="JE44" s="3">
        <f>IF($E44=5,IE44-5,NA())</f>
        <v>-5</v>
      </c>
      <c r="JF44" s="26">
        <f>IE44-'Zusammenfassung Tag1-4'!$J$2/18</f>
        <v>-3</v>
      </c>
      <c r="JG44" s="28">
        <f t="shared" si="1013"/>
        <v>-108</v>
      </c>
      <c r="JH44" s="24"/>
      <c r="JI44" s="3">
        <f t="shared" si="1014"/>
        <v>0</v>
      </c>
      <c r="JJ44" s="25"/>
      <c r="JK44" s="3">
        <f t="shared" si="1015"/>
        <v>0</v>
      </c>
      <c r="JL44" s="3">
        <f t="shared" si="876"/>
        <v>1</v>
      </c>
      <c r="JM44" s="3">
        <f t="shared" si="1016"/>
        <v>36</v>
      </c>
      <c r="JN44" s="3">
        <f t="shared" si="877"/>
        <v>0</v>
      </c>
      <c r="JO44" s="3">
        <f t="shared" si="1017"/>
        <v>0</v>
      </c>
      <c r="JP44" s="3">
        <f t="shared" si="878"/>
        <v>0</v>
      </c>
      <c r="JQ44" s="3">
        <f t="shared" si="1018"/>
        <v>0</v>
      </c>
      <c r="JR44" s="3">
        <f t="shared" si="879"/>
        <v>0</v>
      </c>
      <c r="JS44" s="3">
        <f t="shared" si="1019"/>
        <v>0</v>
      </c>
      <c r="JT44" s="3">
        <f t="shared" si="880"/>
        <v>0</v>
      </c>
      <c r="JU44" s="3">
        <f t="shared" si="1020"/>
        <v>0</v>
      </c>
      <c r="JV44" s="3">
        <f t="shared" si="881"/>
        <v>0</v>
      </c>
      <c r="JW44" s="3">
        <f t="shared" si="1021"/>
        <v>0</v>
      </c>
      <c r="JX44" s="3">
        <f t="shared" si="882"/>
        <v>1</v>
      </c>
      <c r="JY44" s="3">
        <f t="shared" si="1022"/>
        <v>18</v>
      </c>
      <c r="JZ44" s="3">
        <f t="shared" si="883"/>
        <v>0</v>
      </c>
      <c r="KA44" s="3">
        <f t="shared" si="1023"/>
        <v>0</v>
      </c>
      <c r="KB44" s="3">
        <f t="shared" si="884"/>
        <v>0</v>
      </c>
      <c r="KC44" s="3">
        <f t="shared" si="1024"/>
        <v>0</v>
      </c>
      <c r="KD44" s="3">
        <f t="shared" si="885"/>
        <v>0</v>
      </c>
      <c r="KE44" s="3">
        <f t="shared" si="1025"/>
        <v>0</v>
      </c>
      <c r="KF44" s="3"/>
      <c r="KG44" s="3"/>
      <c r="KH44" s="3">
        <f>IF($E44=5,JH44-5,NA())</f>
        <v>-5</v>
      </c>
      <c r="KI44" s="26">
        <f>JH44-'Zusammenfassung Tag1-4'!$K$2/18</f>
        <v>-0.77777777777777779</v>
      </c>
      <c r="KJ44" s="28">
        <f t="shared" si="1027"/>
        <v>-28.000000000000018</v>
      </c>
      <c r="KK44" s="10"/>
      <c r="KL44" s="10"/>
      <c r="KM44" s="10"/>
      <c r="KN44" s="10"/>
      <c r="KO44" s="10"/>
      <c r="KP44" s="10"/>
      <c r="KQ44" s="10"/>
      <c r="KR44" s="10"/>
      <c r="KS44" s="10"/>
      <c r="KT44" s="10"/>
      <c r="KU44" s="10"/>
      <c r="KV44" s="10"/>
      <c r="KW44" s="10"/>
      <c r="KX44" s="10"/>
      <c r="KY44" s="10"/>
      <c r="KZ44" s="10"/>
      <c r="LA44" s="10"/>
      <c r="LB44" s="10"/>
      <c r="LC44" s="10"/>
      <c r="LD44" s="10"/>
    </row>
    <row r="45" spans="1:316" ht="15.75" customHeight="1" x14ac:dyDescent="0.25">
      <c r="A45" s="106"/>
      <c r="B45" s="104"/>
      <c r="C45" s="3" t="s">
        <v>47</v>
      </c>
      <c r="D45" s="3"/>
      <c r="E45" s="4">
        <f>SUM(E36:E44)</f>
        <v>35</v>
      </c>
      <c r="F45" s="5"/>
      <c r="G45" s="3">
        <f>SUM(G36:G44)</f>
        <v>40</v>
      </c>
      <c r="H45" s="3"/>
      <c r="I45" s="3">
        <f>SUM(I36:I44)</f>
        <v>16</v>
      </c>
      <c r="J45" s="3"/>
      <c r="K45" s="3">
        <f>SUM(K36:K44)</f>
        <v>4</v>
      </c>
      <c r="L45" s="3"/>
      <c r="M45" s="3">
        <f>SUM(M36:M44)</f>
        <v>1</v>
      </c>
      <c r="N45" s="3"/>
      <c r="O45" s="3">
        <f>SUM(O36:O44)</f>
        <v>0</v>
      </c>
      <c r="P45" s="3"/>
      <c r="Q45" s="3">
        <f>SUM(Q36:Q44)</f>
        <v>5</v>
      </c>
      <c r="R45" s="3"/>
      <c r="S45" s="3">
        <f>SUM(S36:S44)</f>
        <v>3</v>
      </c>
      <c r="T45" s="3"/>
      <c r="U45" s="3">
        <f>SUM(U36:U44)</f>
        <v>1</v>
      </c>
      <c r="V45" s="3"/>
      <c r="W45" s="3">
        <f>SUM(W36:W44)</f>
        <v>0</v>
      </c>
      <c r="X45" s="3"/>
      <c r="Y45" s="3">
        <f>SUM(Y36:Y44)</f>
        <v>2</v>
      </c>
      <c r="Z45" s="3"/>
      <c r="AA45" s="3">
        <f>SUM(AA36:AA44)</f>
        <v>7</v>
      </c>
      <c r="AB45" s="3"/>
      <c r="AC45" s="3">
        <f>SUM(AC36:AC44)</f>
        <v>0</v>
      </c>
      <c r="AD45" s="3"/>
      <c r="AE45" s="26">
        <f t="shared" ref="AE45:AG45" si="1028">AVERAGE(AE36:AE44)</f>
        <v>0.33333333333333331</v>
      </c>
      <c r="AF45" s="26">
        <f t="shared" si="1028"/>
        <v>0.75</v>
      </c>
      <c r="AG45" s="26">
        <f t="shared" si="1028"/>
        <v>0.5</v>
      </c>
      <c r="AH45" s="26">
        <f>SUM(AH36:AH44)</f>
        <v>30</v>
      </c>
      <c r="AI45" s="23"/>
      <c r="AJ45" s="29">
        <f>SUM(AJ36:AJ44)</f>
        <v>41</v>
      </c>
      <c r="AK45" s="3"/>
      <c r="AL45" s="3">
        <f>SUM(AL36:AL44)</f>
        <v>15</v>
      </c>
      <c r="AM45" s="3"/>
      <c r="AN45" s="3">
        <f>SUM(AN36:AN44)</f>
        <v>4</v>
      </c>
      <c r="AO45" s="3"/>
      <c r="AP45" s="3">
        <f>SUM(AP36:AP44)</f>
        <v>2</v>
      </c>
      <c r="AQ45" s="3"/>
      <c r="AR45" s="3">
        <f>SUM(AR36:AR44)</f>
        <v>2</v>
      </c>
      <c r="AS45" s="3"/>
      <c r="AT45" s="3">
        <f>SUM(AT36:AT44)</f>
        <v>4</v>
      </c>
      <c r="AU45" s="3"/>
      <c r="AV45" s="3">
        <f>SUM(AV36:AV44)</f>
        <v>0</v>
      </c>
      <c r="AW45" s="3"/>
      <c r="AX45" s="3">
        <f>SUM(AX36:AX44)</f>
        <v>3</v>
      </c>
      <c r="AY45" s="3"/>
      <c r="AZ45" s="3">
        <f>SUM(AZ36:AZ44)</f>
        <v>0</v>
      </c>
      <c r="BA45" s="3"/>
      <c r="BB45" s="3">
        <f>SUM(BB36:BB44)</f>
        <v>4</v>
      </c>
      <c r="BC45" s="3"/>
      <c r="BD45" s="3">
        <f>SUM(BD36:BD44)</f>
        <v>4</v>
      </c>
      <c r="BE45" s="3"/>
      <c r="BF45" s="3">
        <f>SUM(BF36:BF44)</f>
        <v>1</v>
      </c>
      <c r="BG45" s="3"/>
      <c r="BH45" s="26">
        <f t="shared" ref="BH45:BJ45" si="1029">AVERAGE(BH36:BH44)</f>
        <v>-0.33333333333333331</v>
      </c>
      <c r="BI45" s="26">
        <f t="shared" si="1029"/>
        <v>1.25</v>
      </c>
      <c r="BJ45" s="26">
        <f t="shared" si="1029"/>
        <v>1</v>
      </c>
      <c r="BK45" s="26">
        <f>SUM(BK36:BK44)</f>
        <v>34.999999999999993</v>
      </c>
      <c r="BL45" s="23"/>
      <c r="BM45" s="29">
        <f>SUM(BM36:BM44)</f>
        <v>49</v>
      </c>
      <c r="BN45" s="3"/>
      <c r="BO45" s="3">
        <f>SUM(BO36:BO44)</f>
        <v>17</v>
      </c>
      <c r="BP45" s="3"/>
      <c r="BQ45" s="3">
        <f>SUM(BQ36:BQ44)</f>
        <v>1</v>
      </c>
      <c r="BR45" s="3"/>
      <c r="BS45" s="3">
        <f>SUM(BS36:BS44)</f>
        <v>1</v>
      </c>
      <c r="BT45" s="3"/>
      <c r="BU45" s="3">
        <f>SUM(BU36:BU44)</f>
        <v>1</v>
      </c>
      <c r="BV45" s="3"/>
      <c r="BW45" s="3">
        <f>SUM(BW36:BW44)</f>
        <v>1</v>
      </c>
      <c r="BX45" s="3"/>
      <c r="BY45" s="3">
        <f>SUM(BY36:BY44)</f>
        <v>3</v>
      </c>
      <c r="BZ45" s="3"/>
      <c r="CA45" s="3">
        <f>SUM(CA36:CA44)</f>
        <v>4</v>
      </c>
      <c r="CB45" s="3"/>
      <c r="CC45" s="3">
        <f>SUM(CC36:CC44)</f>
        <v>0</v>
      </c>
      <c r="CD45" s="3"/>
      <c r="CE45" s="3">
        <f>SUM(CE36:CE44)</f>
        <v>2</v>
      </c>
      <c r="CF45" s="3"/>
      <c r="CG45" s="3">
        <f>SUM(CG36:CG44)</f>
        <v>6</v>
      </c>
      <c r="CH45" s="3"/>
      <c r="CI45" s="3">
        <f>SUM(CI36:CI44)</f>
        <v>1</v>
      </c>
      <c r="CJ45" s="3"/>
      <c r="CK45" s="26">
        <f t="shared" ref="CK45:CM45" si="1030">AVERAGE(CK36:CK44)</f>
        <v>0.33333333333333331</v>
      </c>
      <c r="CL45" s="26">
        <f t="shared" si="1030"/>
        <v>2</v>
      </c>
      <c r="CM45" s="26">
        <f t="shared" si="1030"/>
        <v>2.5</v>
      </c>
      <c r="CN45" s="26">
        <f>SUM(CN36:CN44)</f>
        <v>37.000000000000007</v>
      </c>
      <c r="CO45" s="23"/>
      <c r="CP45" s="29">
        <f>SUM(CP36:CP44)</f>
        <v>44</v>
      </c>
      <c r="CQ45" s="3"/>
      <c r="CR45" s="3">
        <f>SUM(CR36:CR44)</f>
        <v>18</v>
      </c>
      <c r="CS45" s="3"/>
      <c r="CT45" s="3">
        <f>SUM(CT36:CT44)</f>
        <v>3</v>
      </c>
      <c r="CU45" s="3"/>
      <c r="CV45" s="3">
        <f>SUM(CV36:CV44)</f>
        <v>0</v>
      </c>
      <c r="CW45" s="3"/>
      <c r="CX45" s="3">
        <f>SUM(CX36:CX44)</f>
        <v>0</v>
      </c>
      <c r="CY45" s="3"/>
      <c r="CZ45" s="3">
        <f>SUM(CZ36:CZ44)</f>
        <v>2</v>
      </c>
      <c r="DA45" s="3"/>
      <c r="DB45" s="3">
        <f>SUM(DB36:DB44)</f>
        <v>5</v>
      </c>
      <c r="DC45" s="3"/>
      <c r="DD45" s="3">
        <f>SUM(DD36:DD44)</f>
        <v>2</v>
      </c>
      <c r="DE45" s="3"/>
      <c r="DF45" s="3">
        <f>SUM(DF36:DF44)</f>
        <v>0</v>
      </c>
      <c r="DG45" s="3"/>
      <c r="DH45" s="3">
        <f>SUM(DH36:DH44)</f>
        <v>1</v>
      </c>
      <c r="DI45" s="3"/>
      <c r="DJ45" s="3">
        <f>SUM(DJ36:DJ44)</f>
        <v>7</v>
      </c>
      <c r="DK45" s="3"/>
      <c r="DL45" s="3">
        <f>SUM(DL36:DL44)</f>
        <v>1</v>
      </c>
      <c r="DM45" s="3"/>
      <c r="DN45" s="26">
        <f t="shared" ref="DN45:DP45" si="1031">AVERAGE(DN36:DN44)</f>
        <v>1</v>
      </c>
      <c r="DO45" s="26">
        <f t="shared" si="1031"/>
        <v>1.25</v>
      </c>
      <c r="DP45" s="26">
        <f t="shared" si="1031"/>
        <v>0.5</v>
      </c>
      <c r="DQ45" s="26">
        <f>SUM(DQ36:DQ44)</f>
        <v>32.5</v>
      </c>
      <c r="DR45" s="30"/>
      <c r="DS45" s="29">
        <f>SUM(DS36:DS44)</f>
        <v>70</v>
      </c>
      <c r="DT45" s="3"/>
      <c r="DU45" s="3">
        <f>SUM(DU36:DU44)</f>
        <v>18</v>
      </c>
      <c r="DV45" s="3"/>
      <c r="DW45" s="3">
        <f>SUM(DW36:DW44)</f>
        <v>0</v>
      </c>
      <c r="DX45" s="3"/>
      <c r="DY45" s="3">
        <f>SUM(DY36:DY44)</f>
        <v>0</v>
      </c>
      <c r="DZ45" s="3"/>
      <c r="EA45" s="3">
        <f>SUM(EA36:EA44)</f>
        <v>0</v>
      </c>
      <c r="EB45" s="3"/>
      <c r="EC45" s="3">
        <f>SUM(EC36:EC44)</f>
        <v>0</v>
      </c>
      <c r="ED45" s="3"/>
      <c r="EE45" s="3">
        <f>SUM(EE36:EE44)</f>
        <v>0</v>
      </c>
      <c r="EF45" s="3"/>
      <c r="EG45" s="3">
        <f>SUM(EG36:EG44)</f>
        <v>9</v>
      </c>
      <c r="EH45" s="3"/>
      <c r="EI45" s="3">
        <f>SUM(EI36:EI44)</f>
        <v>0</v>
      </c>
      <c r="EJ45" s="3"/>
      <c r="EK45" s="3">
        <f>SUM(EK36:EK44)</f>
        <v>1</v>
      </c>
      <c r="EL45" s="3"/>
      <c r="EM45" s="3">
        <f>SUM(EM36:EM44)</f>
        <v>7</v>
      </c>
      <c r="EN45" s="3"/>
      <c r="EO45" s="3">
        <f>SUM(EO36:EO44)</f>
        <v>1</v>
      </c>
      <c r="EP45" s="3"/>
      <c r="EQ45" s="26">
        <f t="shared" ref="EQ45:ES45" si="1032">AVERAGE(EQ36:EQ44)</f>
        <v>3.3333333333333335</v>
      </c>
      <c r="ER45" s="26">
        <f t="shared" si="1032"/>
        <v>4.5</v>
      </c>
      <c r="ES45" s="26">
        <f t="shared" si="1032"/>
        <v>3.5</v>
      </c>
      <c r="ET45" s="26">
        <f>SUM(ET36:ET44)</f>
        <v>43</v>
      </c>
      <c r="EU45" s="30"/>
      <c r="EV45" s="29">
        <f>SUM(EV36:EV44)</f>
        <v>50</v>
      </c>
      <c r="EW45" s="3"/>
      <c r="EX45" s="3">
        <f>SUM(EX36:EX44)</f>
        <v>18</v>
      </c>
      <c r="EY45" s="3"/>
      <c r="EZ45" s="3">
        <f>SUM(EZ36:EZ44)</f>
        <v>2</v>
      </c>
      <c r="FA45" s="3"/>
      <c r="FB45" s="3">
        <f>SUM(FB36:FB44)</f>
        <v>0</v>
      </c>
      <c r="FC45" s="3"/>
      <c r="FD45" s="3">
        <f>SUM(FD36:FD44)</f>
        <v>1</v>
      </c>
      <c r="FE45" s="3"/>
      <c r="FF45" s="3">
        <f>SUM(FF36:FF44)</f>
        <v>1</v>
      </c>
      <c r="FG45" s="3"/>
      <c r="FH45" s="3">
        <f>SUM(FH36:FH44)</f>
        <v>3</v>
      </c>
      <c r="FI45" s="3"/>
      <c r="FJ45" s="3">
        <f>SUM(FJ36:FJ44)</f>
        <v>4</v>
      </c>
      <c r="FK45" s="3"/>
      <c r="FL45" s="3">
        <f>SUM(FL36:FL44)</f>
        <v>0</v>
      </c>
      <c r="FM45" s="3"/>
      <c r="FN45" s="3">
        <f>SUM(FN36:FN44)</f>
        <v>1</v>
      </c>
      <c r="FO45" s="3"/>
      <c r="FP45" s="3">
        <f>SUM(FP36:FP44)</f>
        <v>7</v>
      </c>
      <c r="FQ45" s="3"/>
      <c r="FR45" s="3">
        <f>SUM(FR36:FR44)</f>
        <v>1</v>
      </c>
      <c r="FS45" s="3"/>
      <c r="FT45" s="26">
        <f t="shared" ref="FT45:FV45" si="1033">AVERAGE(FT36:FT44)</f>
        <v>2.6666666666666665</v>
      </c>
      <c r="FU45" s="26">
        <f t="shared" si="1033"/>
        <v>1</v>
      </c>
      <c r="FV45" s="26">
        <f t="shared" si="1033"/>
        <v>1.5</v>
      </c>
      <c r="FW45" s="26">
        <f>SUM(FW36:FW44)</f>
        <v>36.5</v>
      </c>
      <c r="FX45" s="30"/>
      <c r="FY45" s="29">
        <f>SUM(FY36:FY44)</f>
        <v>62</v>
      </c>
      <c r="FZ45" s="3"/>
      <c r="GA45" s="3">
        <f>SUM(GA36:GA44)</f>
        <v>20</v>
      </c>
      <c r="GB45" s="3"/>
      <c r="GC45" s="3">
        <f>SUM(GC36:GC44)</f>
        <v>1</v>
      </c>
      <c r="GD45" s="3"/>
      <c r="GE45" s="3">
        <f>SUM(GE36:GE44)</f>
        <v>0</v>
      </c>
      <c r="GF45" s="3"/>
      <c r="GG45" s="3">
        <f>SUM(GG36:GG44)</f>
        <v>0</v>
      </c>
      <c r="GH45" s="3"/>
      <c r="GI45" s="3">
        <f>SUM(GI36:GI44)</f>
        <v>0</v>
      </c>
      <c r="GJ45" s="3"/>
      <c r="GK45" s="3">
        <f>SUM(GK36:GK44)</f>
        <v>2</v>
      </c>
      <c r="GL45" s="3"/>
      <c r="GM45" s="3">
        <f>SUM(GM36:GM44)</f>
        <v>7</v>
      </c>
      <c r="GN45" s="3"/>
      <c r="GO45" s="3">
        <f>SUM(GO36:GO44)</f>
        <v>0</v>
      </c>
      <c r="GP45" s="3"/>
      <c r="GQ45" s="3">
        <f>SUM(GQ36:GQ44)</f>
        <v>0</v>
      </c>
      <c r="GR45" s="3"/>
      <c r="GS45" s="3">
        <f>SUM(GS36:GS44)</f>
        <v>7</v>
      </c>
      <c r="GT45" s="3"/>
      <c r="GU45" s="3">
        <f>SUM(GU36:GU44)</f>
        <v>2</v>
      </c>
      <c r="GV45" s="3"/>
      <c r="GW45" s="26">
        <f t="shared" ref="GW45:GY45" si="1034">AVERAGE(GW36:GW44)</f>
        <v>2</v>
      </c>
      <c r="GX45" s="26">
        <f t="shared" si="1034"/>
        <v>4.25</v>
      </c>
      <c r="GY45" s="26">
        <f t="shared" si="1034"/>
        <v>2</v>
      </c>
      <c r="GZ45" s="26">
        <f>SUM(GZ36:GZ44)</f>
        <v>35</v>
      </c>
      <c r="HA45" s="30"/>
      <c r="HB45" s="29">
        <f>SUM(HB36:HB44)</f>
        <v>45</v>
      </c>
      <c r="HC45" s="3"/>
      <c r="HD45" s="3">
        <f>SUM(HD36:HD44)</f>
        <v>17</v>
      </c>
      <c r="HE45" s="3"/>
      <c r="HF45" s="3">
        <f>SUM(HF36:HF44)</f>
        <v>3</v>
      </c>
      <c r="HG45" s="3"/>
      <c r="HH45" s="3">
        <f>SUM(HH36:HH44)</f>
        <v>1</v>
      </c>
      <c r="HI45" s="3"/>
      <c r="HJ45" s="3">
        <f>SUM(HJ36:HJ44)</f>
        <v>0</v>
      </c>
      <c r="HK45" s="3"/>
      <c r="HL45" s="3">
        <f>SUM(HL36:HL44)</f>
        <v>3</v>
      </c>
      <c r="HM45" s="3"/>
      <c r="HN45" s="3">
        <f>SUM(HN36:HN44)</f>
        <v>4</v>
      </c>
      <c r="HO45" s="3"/>
      <c r="HP45" s="3">
        <f>SUM(HP36:HP44)</f>
        <v>2</v>
      </c>
      <c r="HQ45" s="3"/>
      <c r="HR45" s="3">
        <f>SUM(HR36:HR44)</f>
        <v>0</v>
      </c>
      <c r="HS45" s="3"/>
      <c r="HT45" s="3">
        <f>SUM(HT36:HT44)</f>
        <v>2</v>
      </c>
      <c r="HU45" s="3"/>
      <c r="HV45" s="3">
        <f>SUM(HV36:HV44)</f>
        <v>6</v>
      </c>
      <c r="HW45" s="3"/>
      <c r="HX45" s="3">
        <f>SUM(HX36:HX44)</f>
        <v>1</v>
      </c>
      <c r="HY45" s="3"/>
      <c r="HZ45" s="26">
        <f t="shared" ref="HZ45:IB45" si="1035">AVERAGE(HZ36:HZ44)</f>
        <v>1</v>
      </c>
      <c r="IA45" s="26">
        <f t="shared" si="1035"/>
        <v>1.25</v>
      </c>
      <c r="IB45" s="26">
        <f t="shared" si="1035"/>
        <v>1</v>
      </c>
      <c r="IC45" s="26">
        <f>SUM(IC36:IC44)</f>
        <v>36</v>
      </c>
      <c r="ID45" s="30"/>
      <c r="IE45" s="29">
        <f>SUM(IE36:IE44)</f>
        <v>0</v>
      </c>
      <c r="IF45" s="3"/>
      <c r="IG45" s="3">
        <f>SUM(IG36:IG44)</f>
        <v>0</v>
      </c>
      <c r="IH45" s="3"/>
      <c r="II45" s="3">
        <f>SUM(II36:II44)</f>
        <v>9</v>
      </c>
      <c r="IJ45" s="3"/>
      <c r="IK45" s="3">
        <f>SUM(IK36:IK44)</f>
        <v>0</v>
      </c>
      <c r="IL45" s="3"/>
      <c r="IM45" s="3">
        <f>SUM(IM36:IM44)</f>
        <v>0</v>
      </c>
      <c r="IN45" s="3"/>
      <c r="IO45" s="3">
        <f>SUM(IO36:IO44)</f>
        <v>0</v>
      </c>
      <c r="IP45" s="3"/>
      <c r="IQ45" s="3">
        <f>SUM(IQ36:IQ44)</f>
        <v>0</v>
      </c>
      <c r="IR45" s="3"/>
      <c r="IS45" s="3">
        <f>SUM(IS36:IS44)</f>
        <v>0</v>
      </c>
      <c r="IT45" s="3"/>
      <c r="IU45" s="3">
        <f>SUM(IU36:IU44)</f>
        <v>9</v>
      </c>
      <c r="IV45" s="3"/>
      <c r="IW45" s="3">
        <f>SUM(IW36:IW44)</f>
        <v>0</v>
      </c>
      <c r="IX45" s="3"/>
      <c r="IY45" s="3">
        <f>SUM(IY36:IY44)</f>
        <v>0</v>
      </c>
      <c r="IZ45" s="3"/>
      <c r="JA45" s="3">
        <f>SUM(JA36:JA44)</f>
        <v>0</v>
      </c>
      <c r="JB45" s="3"/>
      <c r="JC45" s="26">
        <f t="shared" ref="JC45:JE45" si="1036">AVERAGE(JC36:JC44)</f>
        <v>-3</v>
      </c>
      <c r="JD45" s="26">
        <f t="shared" si="1036"/>
        <v>-4</v>
      </c>
      <c r="JE45" s="26">
        <f t="shared" si="1036"/>
        <v>-5</v>
      </c>
      <c r="JF45" s="26">
        <f>SUM(JF36:JF44)</f>
        <v>-27</v>
      </c>
      <c r="JG45" s="30"/>
      <c r="JH45" s="29">
        <f>SUM(JH36:JH44)</f>
        <v>0</v>
      </c>
      <c r="JI45" s="3"/>
      <c r="JJ45" s="3">
        <f>SUM(JJ36:JJ44)</f>
        <v>0</v>
      </c>
      <c r="JK45" s="3"/>
      <c r="JL45" s="3">
        <f>SUM(JL36:JL44)</f>
        <v>9</v>
      </c>
      <c r="JM45" s="3"/>
      <c r="JN45" s="3">
        <f>SUM(JN36:JN44)</f>
        <v>0</v>
      </c>
      <c r="JO45" s="3"/>
      <c r="JP45" s="3">
        <f>SUM(JP36:JP44)</f>
        <v>0</v>
      </c>
      <c r="JQ45" s="3"/>
      <c r="JR45" s="3">
        <f>SUM(JR36:JR44)</f>
        <v>0</v>
      </c>
      <c r="JS45" s="3"/>
      <c r="JT45" s="3">
        <f>SUM(JT36:JT44)</f>
        <v>0</v>
      </c>
      <c r="JU45" s="3"/>
      <c r="JV45" s="3">
        <f>SUM(JV36:JV44)</f>
        <v>0</v>
      </c>
      <c r="JW45" s="3"/>
      <c r="JX45" s="3">
        <f>SUM(JX36:JX44)</f>
        <v>9</v>
      </c>
      <c r="JY45" s="3"/>
      <c r="JZ45" s="3">
        <f>SUM(JZ36:JZ44)</f>
        <v>0</v>
      </c>
      <c r="KA45" s="3"/>
      <c r="KB45" s="3">
        <f>SUM(KB36:KB44)</f>
        <v>0</v>
      </c>
      <c r="KC45" s="3"/>
      <c r="KD45" s="3">
        <f>SUM(KD36:KD44)</f>
        <v>0</v>
      </c>
      <c r="KE45" s="3"/>
      <c r="KF45" s="26">
        <f t="shared" ref="KF45:KH45" si="1037">AVERAGE(KF36:KF44)</f>
        <v>-3</v>
      </c>
      <c r="KG45" s="26">
        <f t="shared" si="1037"/>
        <v>-4</v>
      </c>
      <c r="KH45" s="26">
        <f t="shared" si="1037"/>
        <v>-5</v>
      </c>
      <c r="KI45" s="26">
        <f>SUM(KI36:KI44)</f>
        <v>-7</v>
      </c>
      <c r="KJ45" s="30"/>
      <c r="KK45" s="10"/>
      <c r="KL45" s="10"/>
      <c r="KM45" s="10"/>
      <c r="KN45" s="10"/>
      <c r="KO45" s="10"/>
      <c r="KP45" s="10"/>
      <c r="KQ45" s="10"/>
      <c r="KR45" s="10"/>
      <c r="KS45" s="10"/>
      <c r="KT45" s="10"/>
      <c r="KU45" s="10"/>
      <c r="KV45" s="10"/>
      <c r="KW45" s="10"/>
      <c r="KX45" s="10"/>
      <c r="KY45" s="10"/>
      <c r="KZ45" s="10"/>
      <c r="LA45" s="10"/>
      <c r="LB45" s="10"/>
      <c r="LC45" s="10"/>
      <c r="LD45" s="10"/>
    </row>
    <row r="46" spans="1:316" ht="15.75" customHeight="1" x14ac:dyDescent="0.25">
      <c r="A46" s="107"/>
      <c r="B46" s="40" t="s">
        <v>49</v>
      </c>
      <c r="C46" s="41" t="s">
        <v>47</v>
      </c>
      <c r="D46" s="41"/>
      <c r="E46" s="6">
        <f>E35+E45</f>
        <v>72</v>
      </c>
      <c r="F46" s="12"/>
      <c r="G46" s="36">
        <f>G35+G45</f>
        <v>90</v>
      </c>
      <c r="H46" s="36"/>
      <c r="I46" s="36">
        <f>I35+I45</f>
        <v>35</v>
      </c>
      <c r="J46" s="36"/>
      <c r="K46" s="36">
        <f>K35+K45</f>
        <v>7</v>
      </c>
      <c r="L46" s="36"/>
      <c r="M46" s="36">
        <f>M35+M45</f>
        <v>2</v>
      </c>
      <c r="N46" s="36"/>
      <c r="O46" s="36">
        <f>O35+O45</f>
        <v>0</v>
      </c>
      <c r="P46" s="36"/>
      <c r="Q46" s="36">
        <f>Q35+Q45</f>
        <v>8</v>
      </c>
      <c r="R46" s="36"/>
      <c r="S46" s="36">
        <f>S35+S45</f>
        <v>5</v>
      </c>
      <c r="T46" s="36"/>
      <c r="U46" s="36">
        <f>U35+U45</f>
        <v>5</v>
      </c>
      <c r="V46" s="36"/>
      <c r="W46" s="36">
        <f>W35+W45</f>
        <v>0</v>
      </c>
      <c r="X46" s="36"/>
      <c r="Y46" s="36">
        <f>Y35+Y45</f>
        <v>3</v>
      </c>
      <c r="Z46" s="36"/>
      <c r="AA46" s="36">
        <f>AA35+AA45</f>
        <v>13</v>
      </c>
      <c r="AB46" s="36"/>
      <c r="AC46" s="36">
        <f>AC35+AC45</f>
        <v>2</v>
      </c>
      <c r="AD46" s="36"/>
      <c r="AE46" s="37">
        <f t="shared" ref="AE46:AG46" si="1038">AVERAGE(AE26:AE34,AE36:AE44)</f>
        <v>0.5</v>
      </c>
      <c r="AF46" s="37">
        <f t="shared" si="1038"/>
        <v>1.5</v>
      </c>
      <c r="AG46" s="37">
        <f t="shared" si="1038"/>
        <v>0.25</v>
      </c>
      <c r="AH46" s="37">
        <f>AH35+AH45</f>
        <v>70</v>
      </c>
      <c r="AI46" s="35"/>
      <c r="AJ46" s="38">
        <f>AJ35+AJ45</f>
        <v>81</v>
      </c>
      <c r="AK46" s="36"/>
      <c r="AL46" s="36">
        <f>AL35+AL45</f>
        <v>31</v>
      </c>
      <c r="AM46" s="36"/>
      <c r="AN46" s="36">
        <f>AN35+AN45</f>
        <v>10</v>
      </c>
      <c r="AO46" s="36"/>
      <c r="AP46" s="36">
        <f>AP35+AP45</f>
        <v>2</v>
      </c>
      <c r="AQ46" s="36"/>
      <c r="AR46" s="36">
        <f>AR35+AR45</f>
        <v>3</v>
      </c>
      <c r="AS46" s="36"/>
      <c r="AT46" s="36">
        <f>AT35+AT45</f>
        <v>9</v>
      </c>
      <c r="AU46" s="36"/>
      <c r="AV46" s="36">
        <f>AV35+AV45</f>
        <v>2</v>
      </c>
      <c r="AW46" s="36"/>
      <c r="AX46" s="36">
        <f>AX35+AX45</f>
        <v>4</v>
      </c>
      <c r="AY46" s="36"/>
      <c r="AZ46" s="36">
        <f>AZ35+AZ45</f>
        <v>0</v>
      </c>
      <c r="BA46" s="36"/>
      <c r="BB46" s="36">
        <f>BB35+BB45</f>
        <v>6</v>
      </c>
      <c r="BC46" s="36"/>
      <c r="BD46" s="36">
        <f>BD35+BD45</f>
        <v>11</v>
      </c>
      <c r="BE46" s="36"/>
      <c r="BF46" s="36">
        <f>BF35+BF45</f>
        <v>1</v>
      </c>
      <c r="BG46" s="36"/>
      <c r="BH46" s="37">
        <f t="shared" ref="BH46:BJ46" si="1039">AVERAGE(BH26:BH34,BH36:BH44)</f>
        <v>-0.25</v>
      </c>
      <c r="BI46" s="37">
        <f t="shared" si="1039"/>
        <v>0.8</v>
      </c>
      <c r="BJ46" s="37">
        <f t="shared" si="1039"/>
        <v>0.5</v>
      </c>
      <c r="BK46" s="37">
        <f>BK35+BK45</f>
        <v>68.999999999999986</v>
      </c>
      <c r="BL46" s="35"/>
      <c r="BM46" s="38">
        <f>BM35+BM45</f>
        <v>100</v>
      </c>
      <c r="BN46" s="36"/>
      <c r="BO46" s="36">
        <f>BO35+BO45</f>
        <v>37</v>
      </c>
      <c r="BP46" s="36"/>
      <c r="BQ46" s="36">
        <f>BQ35+BQ45</f>
        <v>2</v>
      </c>
      <c r="BR46" s="36"/>
      <c r="BS46" s="36">
        <f>BS35+BS45</f>
        <v>2</v>
      </c>
      <c r="BT46" s="36"/>
      <c r="BU46" s="36">
        <f>BU35+BU45</f>
        <v>1</v>
      </c>
      <c r="BV46" s="36"/>
      <c r="BW46" s="36">
        <f>BW35+BW45</f>
        <v>3</v>
      </c>
      <c r="BX46" s="36"/>
      <c r="BY46" s="36">
        <f>BY35+BY45</f>
        <v>4</v>
      </c>
      <c r="BZ46" s="36"/>
      <c r="CA46" s="36">
        <f>CA35+CA45</f>
        <v>10</v>
      </c>
      <c r="CB46" s="36"/>
      <c r="CC46" s="36">
        <f>CC35+CC45</f>
        <v>0</v>
      </c>
      <c r="CD46" s="36"/>
      <c r="CE46" s="36">
        <f>CE35+CE45</f>
        <v>3</v>
      </c>
      <c r="CF46" s="36"/>
      <c r="CG46" s="36">
        <f>CG35+CG45</f>
        <v>11</v>
      </c>
      <c r="CH46" s="36"/>
      <c r="CI46" s="36">
        <f>CI35+CI45</f>
        <v>4</v>
      </c>
      <c r="CJ46" s="36"/>
      <c r="CK46" s="37">
        <f t="shared" ref="CK46:CM46" si="1040">AVERAGE(CK26:CK34,CK36:CK44)</f>
        <v>1</v>
      </c>
      <c r="CL46" s="37">
        <f t="shared" si="1040"/>
        <v>1.7</v>
      </c>
      <c r="CM46" s="37">
        <f t="shared" si="1040"/>
        <v>1.75</v>
      </c>
      <c r="CN46" s="37">
        <f>CN35+CN45</f>
        <v>76</v>
      </c>
      <c r="CO46" s="35"/>
      <c r="CP46" s="38">
        <f>CP35+CP45</f>
        <v>89</v>
      </c>
      <c r="CQ46" s="36"/>
      <c r="CR46" s="36">
        <f>CR35+CR45</f>
        <v>35</v>
      </c>
      <c r="CS46" s="36"/>
      <c r="CT46" s="36">
        <f>CT35+CT45</f>
        <v>4</v>
      </c>
      <c r="CU46" s="36"/>
      <c r="CV46" s="36">
        <f>CV35+CV45</f>
        <v>1</v>
      </c>
      <c r="CW46" s="36"/>
      <c r="CX46" s="36">
        <f>CX35+CX45</f>
        <v>0</v>
      </c>
      <c r="CY46" s="36"/>
      <c r="CZ46" s="36">
        <f>CZ35+CZ45</f>
        <v>4</v>
      </c>
      <c r="DA46" s="36"/>
      <c r="DB46" s="36">
        <f>DB35+DB45</f>
        <v>11</v>
      </c>
      <c r="DC46" s="36"/>
      <c r="DD46" s="36">
        <f>DD35+DD45</f>
        <v>3</v>
      </c>
      <c r="DE46" s="36"/>
      <c r="DF46" s="36">
        <f>DF35+DF45</f>
        <v>0</v>
      </c>
      <c r="DG46" s="36"/>
      <c r="DH46" s="36">
        <f>DH35+DH45</f>
        <v>3</v>
      </c>
      <c r="DI46" s="36"/>
      <c r="DJ46" s="36">
        <f>DJ35+DJ45</f>
        <v>13</v>
      </c>
      <c r="DK46" s="36"/>
      <c r="DL46" s="36">
        <f>DL35+DL45</f>
        <v>2</v>
      </c>
      <c r="DM46" s="36"/>
      <c r="DN46" s="37">
        <f t="shared" ref="DN46:DP46" si="1041">AVERAGE(DN26:DN34,DN36:DN44)</f>
        <v>1.25</v>
      </c>
      <c r="DO46" s="37">
        <f t="shared" si="1041"/>
        <v>0.9</v>
      </c>
      <c r="DP46" s="37">
        <f t="shared" si="1041"/>
        <v>0.75</v>
      </c>
      <c r="DQ46" s="37">
        <f>DQ35+DQ45</f>
        <v>66</v>
      </c>
      <c r="DR46" s="39"/>
      <c r="DS46" s="38">
        <f>DS35+DS45</f>
        <v>140</v>
      </c>
      <c r="DT46" s="36"/>
      <c r="DU46" s="36">
        <f>DU35+DU45</f>
        <v>37</v>
      </c>
      <c r="DV46" s="36"/>
      <c r="DW46" s="36">
        <f>DW35+DW45</f>
        <v>0</v>
      </c>
      <c r="DX46" s="36"/>
      <c r="DY46" s="36">
        <f>DY35+DY45</f>
        <v>0</v>
      </c>
      <c r="DZ46" s="36"/>
      <c r="EA46" s="36">
        <f>EA35+EA45</f>
        <v>0</v>
      </c>
      <c r="EB46" s="36"/>
      <c r="EC46" s="36">
        <f>EC35+EC45</f>
        <v>0</v>
      </c>
      <c r="ED46" s="36"/>
      <c r="EE46" s="36">
        <f>EE35+EE45</f>
        <v>1</v>
      </c>
      <c r="EF46" s="36"/>
      <c r="EG46" s="36">
        <f>EG35+EG45</f>
        <v>17</v>
      </c>
      <c r="EH46" s="36"/>
      <c r="EI46" s="36">
        <f>EI35+EI45</f>
        <v>0</v>
      </c>
      <c r="EJ46" s="36"/>
      <c r="EK46" s="36">
        <f>EK35+EK45</f>
        <v>2</v>
      </c>
      <c r="EL46" s="36"/>
      <c r="EM46" s="36">
        <f>EM35+EM45</f>
        <v>13</v>
      </c>
      <c r="EN46" s="36"/>
      <c r="EO46" s="36">
        <f>EO35+EO45</f>
        <v>3</v>
      </c>
      <c r="EP46" s="36"/>
      <c r="EQ46" s="37">
        <f t="shared" ref="EQ46:ES46" si="1042">AVERAGE(EQ26:EQ34,EQ36:EQ44)</f>
        <v>2.75</v>
      </c>
      <c r="ER46" s="37">
        <f t="shared" si="1042"/>
        <v>4</v>
      </c>
      <c r="ES46" s="37">
        <f t="shared" si="1042"/>
        <v>4.25</v>
      </c>
      <c r="ET46" s="37">
        <f>ET35+ET45</f>
        <v>86</v>
      </c>
      <c r="EU46" s="39"/>
      <c r="EV46" s="38">
        <f>EV35+EV45</f>
        <v>99</v>
      </c>
      <c r="EW46" s="36"/>
      <c r="EX46" s="36">
        <f>EX35+EX45</f>
        <v>35</v>
      </c>
      <c r="EY46" s="36"/>
      <c r="EZ46" s="36">
        <f>EZ35+EZ45</f>
        <v>4</v>
      </c>
      <c r="FA46" s="36"/>
      <c r="FB46" s="36">
        <f>FB35+FB45</f>
        <v>0</v>
      </c>
      <c r="FC46" s="36"/>
      <c r="FD46" s="36">
        <f>FD35+FD45</f>
        <v>2</v>
      </c>
      <c r="FE46" s="36"/>
      <c r="FF46" s="36">
        <f>FF35+FF45</f>
        <v>2</v>
      </c>
      <c r="FG46" s="36"/>
      <c r="FH46" s="36">
        <f>FH35+FH45</f>
        <v>5</v>
      </c>
      <c r="FI46" s="36"/>
      <c r="FJ46" s="36">
        <f>FJ35+FJ45</f>
        <v>9</v>
      </c>
      <c r="FK46" s="36"/>
      <c r="FL46" s="36">
        <f>FL35+FL45</f>
        <v>0</v>
      </c>
      <c r="FM46" s="36"/>
      <c r="FN46" s="36">
        <f>FN35+FN45</f>
        <v>2</v>
      </c>
      <c r="FO46" s="36"/>
      <c r="FP46" s="36">
        <f>FP35+FP45</f>
        <v>15</v>
      </c>
      <c r="FQ46" s="36"/>
      <c r="FR46" s="36">
        <f>FR35+FR45</f>
        <v>1</v>
      </c>
      <c r="FS46" s="36"/>
      <c r="FT46" s="37">
        <f t="shared" ref="FT46:FV46" si="1043">AVERAGE(FT26:FT34,FT36:FT44)</f>
        <v>2.5</v>
      </c>
      <c r="FU46" s="37">
        <f t="shared" si="1043"/>
        <v>1.1000000000000001</v>
      </c>
      <c r="FV46" s="37">
        <f t="shared" si="1043"/>
        <v>1.5</v>
      </c>
      <c r="FW46" s="37">
        <f>FW35+FW45</f>
        <v>72</v>
      </c>
      <c r="FX46" s="39"/>
      <c r="FY46" s="38">
        <f>FY35+FY45</f>
        <v>132</v>
      </c>
      <c r="FZ46" s="36"/>
      <c r="GA46" s="36">
        <f>GA35+GA45</f>
        <v>43</v>
      </c>
      <c r="GB46" s="36"/>
      <c r="GC46" s="36">
        <f>GC35+GC45</f>
        <v>1</v>
      </c>
      <c r="GD46" s="36"/>
      <c r="GE46" s="36">
        <f>GE35+GE45</f>
        <v>0</v>
      </c>
      <c r="GF46" s="36"/>
      <c r="GG46" s="36">
        <f>GG35+GG45</f>
        <v>0</v>
      </c>
      <c r="GH46" s="36"/>
      <c r="GI46" s="36">
        <f>GI35+GI45</f>
        <v>0</v>
      </c>
      <c r="GJ46" s="36"/>
      <c r="GK46" s="36">
        <f>GK35+GK45</f>
        <v>3</v>
      </c>
      <c r="GL46" s="36"/>
      <c r="GM46" s="36">
        <f>GM35+GM45</f>
        <v>15</v>
      </c>
      <c r="GN46" s="36"/>
      <c r="GO46" s="36">
        <f>GO35+GO45</f>
        <v>0</v>
      </c>
      <c r="GP46" s="36"/>
      <c r="GQ46" s="36">
        <f>GQ35+GQ45</f>
        <v>0</v>
      </c>
      <c r="GR46" s="36"/>
      <c r="GS46" s="36">
        <f>GS35+GS45</f>
        <v>11</v>
      </c>
      <c r="GT46" s="36"/>
      <c r="GU46" s="36">
        <f>GU35+GU45</f>
        <v>7</v>
      </c>
      <c r="GV46" s="36"/>
      <c r="GW46" s="37">
        <f t="shared" ref="GW46:GY46" si="1044">AVERAGE(GW26:GW34,GW36:GW44)</f>
        <v>2.25</v>
      </c>
      <c r="GX46" s="37">
        <f t="shared" si="1044"/>
        <v>4.2</v>
      </c>
      <c r="GY46" s="37">
        <f t="shared" si="1044"/>
        <v>2.25</v>
      </c>
      <c r="GZ46" s="37">
        <f>GZ35+GZ45</f>
        <v>78</v>
      </c>
      <c r="HA46" s="39"/>
      <c r="HB46" s="38">
        <f>HB35+HB45</f>
        <v>96</v>
      </c>
      <c r="HC46" s="36"/>
      <c r="HD46" s="36">
        <f>HD35+HD45</f>
        <v>35</v>
      </c>
      <c r="HE46" s="36"/>
      <c r="HF46" s="36">
        <f>HF35+HF45</f>
        <v>3</v>
      </c>
      <c r="HG46" s="36"/>
      <c r="HH46" s="36">
        <f>HH35+HH45</f>
        <v>2</v>
      </c>
      <c r="HI46" s="36"/>
      <c r="HJ46" s="36">
        <f>HJ35+HJ45</f>
        <v>0</v>
      </c>
      <c r="HK46" s="36"/>
      <c r="HL46" s="36">
        <f>HL35+HL45</f>
        <v>4</v>
      </c>
      <c r="HM46" s="36"/>
      <c r="HN46" s="36">
        <f>HN35+HN45</f>
        <v>9</v>
      </c>
      <c r="HO46" s="36"/>
      <c r="HP46" s="36">
        <f>HP35+HP45</f>
        <v>5</v>
      </c>
      <c r="HQ46" s="36"/>
      <c r="HR46" s="36">
        <f>HR35+HR45</f>
        <v>0</v>
      </c>
      <c r="HS46" s="36"/>
      <c r="HT46" s="36">
        <f>HT35+HT45</f>
        <v>3</v>
      </c>
      <c r="HU46" s="36"/>
      <c r="HV46" s="36">
        <f>HV35+HV45</f>
        <v>13</v>
      </c>
      <c r="HW46" s="36"/>
      <c r="HX46" s="36">
        <f>HX35+HX45</f>
        <v>2</v>
      </c>
      <c r="HY46" s="36"/>
      <c r="HZ46" s="37">
        <f t="shared" ref="HZ46:IB46" si="1045">AVERAGE(HZ26:HZ34,HZ36:HZ44)</f>
        <v>1.25</v>
      </c>
      <c r="IA46" s="37">
        <f t="shared" si="1045"/>
        <v>1.4</v>
      </c>
      <c r="IB46" s="37">
        <f t="shared" si="1045"/>
        <v>1.25</v>
      </c>
      <c r="IC46" s="37">
        <f>IC35+IC45</f>
        <v>78</v>
      </c>
      <c r="ID46" s="39"/>
      <c r="IE46" s="38">
        <f>IE35+IE45</f>
        <v>0</v>
      </c>
      <c r="IF46" s="36"/>
      <c r="IG46" s="36">
        <f>IG35+IG45</f>
        <v>0</v>
      </c>
      <c r="IH46" s="36"/>
      <c r="II46" s="36">
        <f>II35+II45</f>
        <v>18</v>
      </c>
      <c r="IJ46" s="36"/>
      <c r="IK46" s="36">
        <f>IK35+IK45</f>
        <v>0</v>
      </c>
      <c r="IL46" s="36"/>
      <c r="IM46" s="36">
        <f>IM35+IM45</f>
        <v>0</v>
      </c>
      <c r="IN46" s="36"/>
      <c r="IO46" s="36">
        <f>IO35+IO45</f>
        <v>0</v>
      </c>
      <c r="IP46" s="36"/>
      <c r="IQ46" s="36">
        <f>IQ35+IQ45</f>
        <v>0</v>
      </c>
      <c r="IR46" s="36"/>
      <c r="IS46" s="36">
        <f>IS35+IS45</f>
        <v>0</v>
      </c>
      <c r="IT46" s="36"/>
      <c r="IU46" s="36">
        <f>IU35+IU45</f>
        <v>18</v>
      </c>
      <c r="IV46" s="36"/>
      <c r="IW46" s="36">
        <f>IW35+IW45</f>
        <v>0</v>
      </c>
      <c r="IX46" s="36"/>
      <c r="IY46" s="36">
        <f>IY35+IY45</f>
        <v>0</v>
      </c>
      <c r="IZ46" s="36"/>
      <c r="JA46" s="36">
        <f>JA35+JA45</f>
        <v>0</v>
      </c>
      <c r="JB46" s="36"/>
      <c r="JC46" s="37">
        <f t="shared" ref="JC46:JE46" si="1046">AVERAGE(JC26:JC34,JC36:JC44)</f>
        <v>-3</v>
      </c>
      <c r="JD46" s="37">
        <f t="shared" si="1046"/>
        <v>-4</v>
      </c>
      <c r="JE46" s="37">
        <f t="shared" si="1046"/>
        <v>-5</v>
      </c>
      <c r="JF46" s="37">
        <f>JF35+JF45</f>
        <v>-54</v>
      </c>
      <c r="JG46" s="39"/>
      <c r="JH46" s="38">
        <f>JH35+JH45</f>
        <v>0</v>
      </c>
      <c r="JI46" s="36"/>
      <c r="JJ46" s="36">
        <f>JJ35+JJ45</f>
        <v>0</v>
      </c>
      <c r="JK46" s="36"/>
      <c r="JL46" s="36">
        <f>JL35+JL45</f>
        <v>18</v>
      </c>
      <c r="JM46" s="36"/>
      <c r="JN46" s="36">
        <f>JN35+JN45</f>
        <v>0</v>
      </c>
      <c r="JO46" s="36"/>
      <c r="JP46" s="36">
        <f>JP35+JP45</f>
        <v>0</v>
      </c>
      <c r="JQ46" s="36"/>
      <c r="JR46" s="36">
        <f>JR35+JR45</f>
        <v>0</v>
      </c>
      <c r="JS46" s="36"/>
      <c r="JT46" s="36">
        <f>JT35+JT45</f>
        <v>0</v>
      </c>
      <c r="JU46" s="36"/>
      <c r="JV46" s="36">
        <f>JV35+JV45</f>
        <v>0</v>
      </c>
      <c r="JW46" s="36"/>
      <c r="JX46" s="36">
        <f>JX35+JX45</f>
        <v>18</v>
      </c>
      <c r="JY46" s="36"/>
      <c r="JZ46" s="36">
        <f>JZ35+JZ45</f>
        <v>0</v>
      </c>
      <c r="KA46" s="36"/>
      <c r="KB46" s="36">
        <f>KB35+KB45</f>
        <v>0</v>
      </c>
      <c r="KC46" s="36"/>
      <c r="KD46" s="36">
        <f>KD35+KD45</f>
        <v>0</v>
      </c>
      <c r="KE46" s="36"/>
      <c r="KF46" s="37">
        <f t="shared" ref="KF46:KH46" si="1047">AVERAGE(KF26:KF34,KF36:KF44)</f>
        <v>-3</v>
      </c>
      <c r="KG46" s="37">
        <f t="shared" si="1047"/>
        <v>-4</v>
      </c>
      <c r="KH46" s="37">
        <f t="shared" si="1047"/>
        <v>-5</v>
      </c>
      <c r="KI46" s="37">
        <f>KI35+KI45</f>
        <v>-14</v>
      </c>
      <c r="KJ46" s="39"/>
      <c r="KK46" s="10"/>
      <c r="KL46" s="10"/>
      <c r="KM46" s="10"/>
      <c r="KN46" s="10"/>
      <c r="KO46" s="10"/>
      <c r="KP46" s="10"/>
      <c r="KQ46" s="10"/>
      <c r="KR46" s="10"/>
      <c r="KS46" s="10"/>
      <c r="KT46" s="10"/>
      <c r="KU46" s="10"/>
      <c r="KV46" s="10"/>
      <c r="KW46" s="10"/>
      <c r="KX46" s="10"/>
      <c r="KY46" s="10"/>
      <c r="KZ46" s="10"/>
      <c r="LA46" s="10"/>
      <c r="LB46" s="10"/>
      <c r="LC46" s="10"/>
      <c r="LD46" s="10"/>
    </row>
    <row r="47" spans="1:316" ht="15.75" customHeight="1" x14ac:dyDescent="0.25">
      <c r="A47" s="42" t="s">
        <v>51</v>
      </c>
      <c r="B47" s="43" t="s">
        <v>52</v>
      </c>
      <c r="C47" s="44" t="s">
        <v>53</v>
      </c>
      <c r="D47" s="44"/>
      <c r="E47" s="45">
        <f>E23+E46</f>
        <v>144</v>
      </c>
      <c r="F47" s="46"/>
      <c r="G47" s="45">
        <f>G23+G46</f>
        <v>177</v>
      </c>
      <c r="H47" s="45"/>
      <c r="I47" s="45">
        <f>I23+I46</f>
        <v>71</v>
      </c>
      <c r="J47" s="45"/>
      <c r="K47" s="45">
        <f>K23+K46</f>
        <v>15</v>
      </c>
      <c r="L47" s="45"/>
      <c r="M47" s="45">
        <f>M23+M46</f>
        <v>3</v>
      </c>
      <c r="N47" s="45"/>
      <c r="O47" s="45">
        <f>O23+O46</f>
        <v>1</v>
      </c>
      <c r="P47" s="45"/>
      <c r="Q47" s="45">
        <f>Q23+Q46</f>
        <v>14</v>
      </c>
      <c r="R47" s="45"/>
      <c r="S47" s="45">
        <f>S23+S46</f>
        <v>12</v>
      </c>
      <c r="T47" s="45"/>
      <c r="U47" s="45">
        <f>U23+U46</f>
        <v>9</v>
      </c>
      <c r="V47" s="45"/>
      <c r="W47" s="45">
        <f>W23+W46</f>
        <v>0</v>
      </c>
      <c r="X47" s="45"/>
      <c r="Y47" s="45">
        <f>Y23+Y46</f>
        <v>7</v>
      </c>
      <c r="Z47" s="45"/>
      <c r="AA47" s="45">
        <f>AA23+AA46</f>
        <v>24</v>
      </c>
      <c r="AB47" s="45"/>
      <c r="AC47" s="45">
        <f>AC23+AC46</f>
        <v>5</v>
      </c>
      <c r="AD47" s="45"/>
      <c r="AE47" s="47">
        <f t="shared" ref="AE47:AG47" si="1048">AVERAGE(AE3:AE11,AE13:AE21,AE26:AE34,AE36:AE44)</f>
        <v>0.75</v>
      </c>
      <c r="AF47" s="47">
        <f t="shared" si="1048"/>
        <v>1.1000000000000001</v>
      </c>
      <c r="AG47" s="47">
        <f t="shared" si="1048"/>
        <v>0.625</v>
      </c>
      <c r="AH47" s="47">
        <f>AH23+AH46</f>
        <v>137</v>
      </c>
      <c r="AI47" s="46"/>
      <c r="AJ47" s="48">
        <f>AJ23+AJ46</f>
        <v>163</v>
      </c>
      <c r="AK47" s="45"/>
      <c r="AL47" s="45">
        <f>AL23+AL46</f>
        <v>66</v>
      </c>
      <c r="AM47" s="45"/>
      <c r="AN47" s="45">
        <f>AN23+AN46</f>
        <v>20</v>
      </c>
      <c r="AO47" s="45"/>
      <c r="AP47" s="45">
        <f>AP23+AP46</f>
        <v>5</v>
      </c>
      <c r="AQ47" s="45"/>
      <c r="AR47" s="45">
        <f>AR23+AR46</f>
        <v>3</v>
      </c>
      <c r="AS47" s="45"/>
      <c r="AT47" s="45">
        <f>AT23+AT46</f>
        <v>19</v>
      </c>
      <c r="AU47" s="45"/>
      <c r="AV47" s="45">
        <f>AV23+AV46</f>
        <v>8</v>
      </c>
      <c r="AW47" s="45"/>
      <c r="AX47" s="45">
        <f>AX23+AX46</f>
        <v>6</v>
      </c>
      <c r="AY47" s="45"/>
      <c r="AZ47" s="45">
        <f>AZ23+AZ46</f>
        <v>0</v>
      </c>
      <c r="BA47" s="45"/>
      <c r="BB47" s="45">
        <f>BB23+BB46</f>
        <v>10</v>
      </c>
      <c r="BC47" s="45"/>
      <c r="BD47" s="45">
        <f>BD23+BD46</f>
        <v>22</v>
      </c>
      <c r="BE47" s="45"/>
      <c r="BF47" s="45">
        <f>BF23+BF46</f>
        <v>4</v>
      </c>
      <c r="BG47" s="45"/>
      <c r="BH47" s="47">
        <f t="shared" ref="BH47:BJ47" si="1049">AVERAGE(BH3:BH11,BH13:BH21,BH26:BH34,BH36:BH44)</f>
        <v>0.375</v>
      </c>
      <c r="BI47" s="47">
        <f t="shared" si="1049"/>
        <v>0.7</v>
      </c>
      <c r="BJ47" s="47">
        <f t="shared" si="1049"/>
        <v>0.25</v>
      </c>
      <c r="BK47" s="47">
        <f>BK23+BK46</f>
        <v>139</v>
      </c>
      <c r="BL47" s="46"/>
      <c r="BM47" s="48">
        <f>BM23+BM46</f>
        <v>200</v>
      </c>
      <c r="BN47" s="45"/>
      <c r="BO47" s="45">
        <f>BO23+BO46</f>
        <v>73</v>
      </c>
      <c r="BP47" s="45"/>
      <c r="BQ47" s="45">
        <f>BQ23+BQ46</f>
        <v>6</v>
      </c>
      <c r="BR47" s="45"/>
      <c r="BS47" s="45">
        <f>BS23+BS46</f>
        <v>3</v>
      </c>
      <c r="BT47" s="45"/>
      <c r="BU47" s="45">
        <f>BU23+BU46</f>
        <v>1</v>
      </c>
      <c r="BV47" s="45"/>
      <c r="BW47" s="45">
        <f>BW23+BW46</f>
        <v>8</v>
      </c>
      <c r="BX47" s="45"/>
      <c r="BY47" s="45">
        <f>BY23+BY46</f>
        <v>9</v>
      </c>
      <c r="BZ47" s="45"/>
      <c r="CA47" s="45">
        <f>CA23+CA46</f>
        <v>18</v>
      </c>
      <c r="CB47" s="45"/>
      <c r="CC47" s="45">
        <f>CC23+CC46</f>
        <v>0</v>
      </c>
      <c r="CD47" s="45"/>
      <c r="CE47" s="45">
        <f>CE23+CE46</f>
        <v>6</v>
      </c>
      <c r="CF47" s="45"/>
      <c r="CG47" s="45">
        <f>CG23+CG46</f>
        <v>23</v>
      </c>
      <c r="CH47" s="45"/>
      <c r="CI47" s="45">
        <f>CI23+CI46</f>
        <v>7</v>
      </c>
      <c r="CJ47" s="45"/>
      <c r="CK47" s="47">
        <f t="shared" ref="CK47:CM47" si="1050">AVERAGE(CK3:CK11,CK13:CK21,CK26:CK34,CK36:CK44)</f>
        <v>1.125</v>
      </c>
      <c r="CL47" s="47">
        <f t="shared" si="1050"/>
        <v>1.7</v>
      </c>
      <c r="CM47" s="47">
        <f t="shared" si="1050"/>
        <v>1.625</v>
      </c>
      <c r="CN47" s="47">
        <f>CN23+CN46</f>
        <v>152</v>
      </c>
      <c r="CO47" s="46"/>
      <c r="CP47" s="48">
        <f>CP23+CP46</f>
        <v>188</v>
      </c>
      <c r="CQ47" s="45"/>
      <c r="CR47" s="45">
        <f>CR23+CR46</f>
        <v>73</v>
      </c>
      <c r="CS47" s="45"/>
      <c r="CT47" s="45">
        <f>CT23+CT46</f>
        <v>8</v>
      </c>
      <c r="CU47" s="45"/>
      <c r="CV47" s="45">
        <f>CV23+CV46</f>
        <v>3</v>
      </c>
      <c r="CW47" s="45"/>
      <c r="CX47" s="45">
        <f>CX23+CX46</f>
        <v>0</v>
      </c>
      <c r="CY47" s="45"/>
      <c r="CZ47" s="45">
        <f>CZ23+CZ46</f>
        <v>8</v>
      </c>
      <c r="DA47" s="45"/>
      <c r="DB47" s="45">
        <f>DB23+DB46</f>
        <v>16</v>
      </c>
      <c r="DC47" s="45"/>
      <c r="DD47" s="45">
        <f>DD23+DD46</f>
        <v>12</v>
      </c>
      <c r="DE47" s="45"/>
      <c r="DF47" s="45">
        <f>DF23+DF46</f>
        <v>0</v>
      </c>
      <c r="DG47" s="45"/>
      <c r="DH47" s="45">
        <f>DH23+DH46</f>
        <v>6</v>
      </c>
      <c r="DI47" s="45"/>
      <c r="DJ47" s="45">
        <f>DJ23+DJ46</f>
        <v>23</v>
      </c>
      <c r="DK47" s="45"/>
      <c r="DL47" s="45">
        <f>DL23+DL46</f>
        <v>7</v>
      </c>
      <c r="DM47" s="45"/>
      <c r="DN47" s="47">
        <f t="shared" ref="DN47:DP47" si="1051">AVERAGE(DN3:DN11,DN13:DN21,DN26:DN34,DN36:DN44)</f>
        <v>1.375</v>
      </c>
      <c r="DO47" s="47">
        <f t="shared" si="1051"/>
        <v>1.05</v>
      </c>
      <c r="DP47" s="47">
        <f t="shared" si="1051"/>
        <v>1.5</v>
      </c>
      <c r="DQ47" s="47">
        <f>DQ23+DQ46</f>
        <v>142</v>
      </c>
      <c r="DR47" s="49"/>
      <c r="DS47" s="48">
        <f>DS23+DS46</f>
        <v>277</v>
      </c>
      <c r="DT47" s="45"/>
      <c r="DU47" s="45">
        <f>DU23+DU45</f>
        <v>60</v>
      </c>
      <c r="DV47" s="45"/>
      <c r="DW47" s="45">
        <f>DW23+DW46</f>
        <v>1</v>
      </c>
      <c r="DX47" s="45"/>
      <c r="DY47" s="45">
        <f>DY23+DY46</f>
        <v>0</v>
      </c>
      <c r="DZ47" s="45"/>
      <c r="EA47" s="45">
        <f>EA23+EA46</f>
        <v>0</v>
      </c>
      <c r="EB47" s="45"/>
      <c r="EC47" s="45">
        <f>EC23+EC46</f>
        <v>1</v>
      </c>
      <c r="ED47" s="45"/>
      <c r="EE47" s="45">
        <f>EE23+EE46</f>
        <v>2</v>
      </c>
      <c r="EF47" s="45"/>
      <c r="EG47" s="45">
        <f>EG23+EG46</f>
        <v>33</v>
      </c>
      <c r="EH47" s="45"/>
      <c r="EI47" s="45">
        <f>EI23+EI46</f>
        <v>0</v>
      </c>
      <c r="EJ47" s="45"/>
      <c r="EK47" s="45">
        <f>EK23+EK46</f>
        <v>2</v>
      </c>
      <c r="EL47" s="45"/>
      <c r="EM47" s="45">
        <f>EM23+EM46</f>
        <v>26</v>
      </c>
      <c r="EN47" s="45"/>
      <c r="EO47" s="45">
        <f>EO23+EO46</f>
        <v>8</v>
      </c>
      <c r="EP47" s="45"/>
      <c r="EQ47" s="47">
        <f t="shared" ref="EQ47:ES47" si="1052">AVERAGE(EQ3:EQ11,EQ13:EQ21,EQ26:EQ34,EQ36:EQ44)</f>
        <v>2.625</v>
      </c>
      <c r="ER47" s="47">
        <f t="shared" si="1052"/>
        <v>3.9</v>
      </c>
      <c r="ES47" s="47">
        <f t="shared" si="1052"/>
        <v>4.25</v>
      </c>
      <c r="ET47" s="47">
        <f>ET23+ET46</f>
        <v>169</v>
      </c>
      <c r="EU47" s="49"/>
      <c r="EV47" s="48">
        <f>EV23+EV46</f>
        <v>201</v>
      </c>
      <c r="EW47" s="45"/>
      <c r="EX47" s="45">
        <f>EX23+EX46</f>
        <v>77</v>
      </c>
      <c r="EY47" s="45"/>
      <c r="EZ47" s="45">
        <f>EZ23+EZ46</f>
        <v>8</v>
      </c>
      <c r="FA47" s="45"/>
      <c r="FB47" s="45">
        <f>FB23+FB46</f>
        <v>0</v>
      </c>
      <c r="FC47" s="45"/>
      <c r="FD47" s="45">
        <f>FD23+FD46</f>
        <v>2</v>
      </c>
      <c r="FE47" s="45"/>
      <c r="FF47" s="45">
        <f>FF23+FF46</f>
        <v>4</v>
      </c>
      <c r="FG47" s="45"/>
      <c r="FH47" s="45">
        <f>FH23+FH46</f>
        <v>10</v>
      </c>
      <c r="FI47" s="45"/>
      <c r="FJ47" s="45">
        <f>FJ23+FJ46</f>
        <v>20</v>
      </c>
      <c r="FK47" s="45"/>
      <c r="FL47" s="45">
        <f>FL23+FL46</f>
        <v>0</v>
      </c>
      <c r="FM47" s="45"/>
      <c r="FN47" s="45">
        <f>FN23+FN46</f>
        <v>3</v>
      </c>
      <c r="FO47" s="45"/>
      <c r="FP47" s="45">
        <f>FP23+FP46</f>
        <v>25</v>
      </c>
      <c r="FQ47" s="45"/>
      <c r="FR47" s="45">
        <f>FR23+FR46</f>
        <v>8</v>
      </c>
      <c r="FS47" s="45"/>
      <c r="FT47" s="47">
        <f t="shared" ref="FT47:FV47" si="1053">AVERAGE(FT3:FT11,FT13:FT21,FT26:FT34,FT36:FT44)</f>
        <v>2</v>
      </c>
      <c r="FU47" s="47">
        <f t="shared" si="1053"/>
        <v>1.5</v>
      </c>
      <c r="FV47" s="47">
        <f t="shared" si="1053"/>
        <v>1.375</v>
      </c>
      <c r="FW47" s="47">
        <f>FW23+FW46</f>
        <v>147</v>
      </c>
      <c r="FX47" s="49"/>
      <c r="FY47" s="48">
        <f>FY23+FY46</f>
        <v>263</v>
      </c>
      <c r="FZ47" s="45"/>
      <c r="GA47" s="45">
        <f>GA23+GA46</f>
        <v>85</v>
      </c>
      <c r="GB47" s="45"/>
      <c r="GC47" s="45">
        <f>GC23+GC46</f>
        <v>2</v>
      </c>
      <c r="GD47" s="45"/>
      <c r="GE47" s="45">
        <f>GE23+GE46</f>
        <v>0</v>
      </c>
      <c r="GF47" s="45"/>
      <c r="GG47" s="45">
        <f>GG23+GG46</f>
        <v>0</v>
      </c>
      <c r="GH47" s="45"/>
      <c r="GI47" s="45">
        <f>GI23+GI46</f>
        <v>0</v>
      </c>
      <c r="GJ47" s="45"/>
      <c r="GK47" s="45">
        <f>GK23+GK46</f>
        <v>5</v>
      </c>
      <c r="GL47" s="45"/>
      <c r="GM47" s="45">
        <f>GM23+GM46</f>
        <v>31</v>
      </c>
      <c r="GN47" s="45"/>
      <c r="GO47" s="45">
        <f>GO23+GO46</f>
        <v>0</v>
      </c>
      <c r="GP47" s="45"/>
      <c r="GQ47" s="45">
        <f>GQ23+GQ46</f>
        <v>2</v>
      </c>
      <c r="GR47" s="45"/>
      <c r="GS47" s="45">
        <f>GS23+GS46</f>
        <v>19</v>
      </c>
      <c r="GT47" s="45"/>
      <c r="GU47" s="45">
        <f>GU23+GU46</f>
        <v>15</v>
      </c>
      <c r="GV47" s="45"/>
      <c r="GW47" s="47">
        <f t="shared" ref="GW47:GY47" si="1054">AVERAGE(GW3:GW11,GW13:GW21,GW26:GW34,GW36:GW44)</f>
        <v>2.25</v>
      </c>
      <c r="GX47" s="47">
        <f t="shared" si="1054"/>
        <v>3.95</v>
      </c>
      <c r="GY47" s="47">
        <f t="shared" si="1054"/>
        <v>2.75</v>
      </c>
      <c r="GZ47" s="47">
        <f>GZ23+GZ46</f>
        <v>155</v>
      </c>
      <c r="HA47" s="49"/>
      <c r="HB47" s="48">
        <f>HB23+HB46</f>
        <v>191</v>
      </c>
      <c r="HC47" s="45"/>
      <c r="HD47" s="45">
        <f>HD23+HD46</f>
        <v>74</v>
      </c>
      <c r="HE47" s="45"/>
      <c r="HF47" s="45">
        <f>HF23+HF46</f>
        <v>10</v>
      </c>
      <c r="HG47" s="45"/>
      <c r="HH47" s="45">
        <f>HH23+HH46</f>
        <v>4</v>
      </c>
      <c r="HI47" s="45"/>
      <c r="HJ47" s="45">
        <f>HJ23+HJ46</f>
        <v>0</v>
      </c>
      <c r="HK47" s="45"/>
      <c r="HL47" s="45">
        <f>HL23+HL46</f>
        <v>9</v>
      </c>
      <c r="HM47" s="45"/>
      <c r="HN47" s="45">
        <f>HN23+HN46</f>
        <v>17</v>
      </c>
      <c r="HO47" s="45"/>
      <c r="HP47" s="45">
        <f>HP23+HP46</f>
        <v>10</v>
      </c>
      <c r="HQ47" s="45"/>
      <c r="HR47" s="45">
        <f>HR23+HR46</f>
        <v>0</v>
      </c>
      <c r="HS47" s="45"/>
      <c r="HT47" s="45">
        <f>HT23+HT46</f>
        <v>5</v>
      </c>
      <c r="HU47" s="45"/>
      <c r="HV47" s="45">
        <f>HV23+HV46</f>
        <v>24</v>
      </c>
      <c r="HW47" s="45"/>
      <c r="HX47" s="45">
        <f>HX23+HX46</f>
        <v>7</v>
      </c>
      <c r="HY47" s="45"/>
      <c r="HZ47" s="47">
        <f t="shared" ref="HZ47:IB47" si="1055">AVERAGE(HZ3:HZ11,HZ13:HZ21,HZ26:HZ34,HZ36:HZ44)</f>
        <v>1</v>
      </c>
      <c r="IA47" s="47">
        <f t="shared" si="1055"/>
        <v>1.35</v>
      </c>
      <c r="IB47" s="47">
        <f t="shared" si="1055"/>
        <v>1.5</v>
      </c>
      <c r="IC47" s="47">
        <f>IC23+IC46</f>
        <v>155</v>
      </c>
      <c r="ID47" s="49"/>
      <c r="IE47" s="48">
        <f>IE23+IE46</f>
        <v>0</v>
      </c>
      <c r="IF47" s="45"/>
      <c r="IG47" s="45">
        <f>IG23+IG46</f>
        <v>0</v>
      </c>
      <c r="IH47" s="45"/>
      <c r="II47" s="45">
        <f>II23+II46</f>
        <v>36</v>
      </c>
      <c r="IJ47" s="45"/>
      <c r="IK47" s="45">
        <f>IK23+IK46</f>
        <v>0</v>
      </c>
      <c r="IL47" s="45"/>
      <c r="IM47" s="45">
        <f>IM23+IM46</f>
        <v>0</v>
      </c>
      <c r="IN47" s="45"/>
      <c r="IO47" s="45">
        <f>IO23+IO46</f>
        <v>0</v>
      </c>
      <c r="IP47" s="45"/>
      <c r="IQ47" s="45">
        <f>IQ23+IQ46</f>
        <v>0</v>
      </c>
      <c r="IR47" s="45"/>
      <c r="IS47" s="45">
        <f>IS23+IS46</f>
        <v>0</v>
      </c>
      <c r="IT47" s="45"/>
      <c r="IU47" s="45">
        <f>IU23+IU46</f>
        <v>36</v>
      </c>
      <c r="IV47" s="45"/>
      <c r="IW47" s="45">
        <f>IW23+IW46</f>
        <v>0</v>
      </c>
      <c r="IX47" s="45"/>
      <c r="IY47" s="45">
        <f>IY23+IY46</f>
        <v>0</v>
      </c>
      <c r="IZ47" s="45"/>
      <c r="JA47" s="45">
        <f>JA23+JA46</f>
        <v>0</v>
      </c>
      <c r="JB47" s="45"/>
      <c r="JC47" s="47">
        <f t="shared" ref="JC47:JE47" si="1056">AVERAGE(JC3:JC11,JC13:JC21,JC26:JC34,JC36:JC44)</f>
        <v>-3</v>
      </c>
      <c r="JD47" s="47">
        <f t="shared" si="1056"/>
        <v>-4</v>
      </c>
      <c r="JE47" s="47">
        <f t="shared" si="1056"/>
        <v>-5</v>
      </c>
      <c r="JF47" s="47">
        <f>JF23+JF46</f>
        <v>-108</v>
      </c>
      <c r="JG47" s="49"/>
      <c r="JH47" s="48">
        <f>JH23+JH46</f>
        <v>0</v>
      </c>
      <c r="JI47" s="45"/>
      <c r="JJ47" s="45">
        <f>JJ23+JJ46</f>
        <v>0</v>
      </c>
      <c r="JK47" s="45"/>
      <c r="JL47" s="45">
        <f>JL23+JL46</f>
        <v>36</v>
      </c>
      <c r="JM47" s="45"/>
      <c r="JN47" s="45">
        <f>JN23+JN46</f>
        <v>0</v>
      </c>
      <c r="JO47" s="45"/>
      <c r="JP47" s="45">
        <f>JP23+JP46</f>
        <v>0</v>
      </c>
      <c r="JQ47" s="45"/>
      <c r="JR47" s="45">
        <f>JR23+JR46</f>
        <v>0</v>
      </c>
      <c r="JS47" s="45"/>
      <c r="JT47" s="45">
        <f>JT23+JT46</f>
        <v>0</v>
      </c>
      <c r="JU47" s="45"/>
      <c r="JV47" s="45">
        <f>JV23+JV46</f>
        <v>0</v>
      </c>
      <c r="JW47" s="45"/>
      <c r="JX47" s="45">
        <f>JX23+JX46</f>
        <v>36</v>
      </c>
      <c r="JY47" s="45"/>
      <c r="JZ47" s="45">
        <f>JZ23+JZ46</f>
        <v>0</v>
      </c>
      <c r="KA47" s="45"/>
      <c r="KB47" s="45">
        <f>KB23+KB46</f>
        <v>0</v>
      </c>
      <c r="KC47" s="45"/>
      <c r="KD47" s="45">
        <f>KD23+KD46</f>
        <v>0</v>
      </c>
      <c r="KE47" s="45"/>
      <c r="KF47" s="47">
        <f t="shared" ref="KF47:KH47" si="1057">AVERAGE(KF3:KF11,KF13:KF21,KF26:KF34,KF36:KF44)</f>
        <v>-3</v>
      </c>
      <c r="KG47" s="47">
        <f t="shared" si="1057"/>
        <v>-4</v>
      </c>
      <c r="KH47" s="47">
        <f t="shared" si="1057"/>
        <v>-5</v>
      </c>
      <c r="KI47" s="47">
        <f>KI23+KI46</f>
        <v>-28</v>
      </c>
      <c r="KJ47" s="49"/>
      <c r="KK47" s="10"/>
      <c r="KL47" s="10"/>
      <c r="KM47" s="10"/>
      <c r="KN47" s="10"/>
      <c r="KO47" s="10"/>
      <c r="KP47" s="10"/>
      <c r="KQ47" s="10"/>
      <c r="KR47" s="10"/>
      <c r="KS47" s="10"/>
      <c r="KT47" s="10"/>
      <c r="KU47" s="10"/>
      <c r="KV47" s="10"/>
      <c r="KW47" s="10"/>
      <c r="KX47" s="10"/>
      <c r="KY47" s="10"/>
      <c r="KZ47" s="10"/>
      <c r="LA47" s="10"/>
      <c r="LB47" s="10"/>
      <c r="LC47" s="10"/>
      <c r="LD47" s="10"/>
    </row>
    <row r="48" spans="1:316" ht="15.75" customHeight="1" x14ac:dyDescent="0.25">
      <c r="A48" s="110" t="s">
        <v>54</v>
      </c>
      <c r="B48" s="99" t="s">
        <v>1</v>
      </c>
      <c r="C48" s="100"/>
      <c r="D48" s="100"/>
      <c r="E48" s="100"/>
      <c r="F48" s="111"/>
      <c r="G48" s="99" t="s">
        <v>2</v>
      </c>
      <c r="H48" s="100"/>
      <c r="I48" s="100"/>
      <c r="J48" s="100"/>
      <c r="K48" s="100"/>
      <c r="L48" s="100"/>
      <c r="M48" s="100"/>
      <c r="N48" s="100"/>
      <c r="O48" s="100"/>
      <c r="P48" s="100"/>
      <c r="Q48" s="100"/>
      <c r="R48" s="100"/>
      <c r="S48" s="100"/>
      <c r="T48" s="100"/>
      <c r="U48" s="100"/>
      <c r="V48" s="100"/>
      <c r="W48" s="100"/>
      <c r="X48" s="100"/>
      <c r="Y48" s="100"/>
      <c r="Z48" s="100"/>
      <c r="AA48" s="100"/>
      <c r="AB48" s="100"/>
      <c r="AC48" s="100"/>
      <c r="AD48" s="100"/>
      <c r="AE48" s="100"/>
      <c r="AF48" s="100"/>
      <c r="AG48" s="100"/>
      <c r="AH48" s="100"/>
      <c r="AI48" s="111"/>
      <c r="AJ48" s="99" t="s">
        <v>3</v>
      </c>
      <c r="AK48" s="100"/>
      <c r="AL48" s="100"/>
      <c r="AM48" s="100"/>
      <c r="AN48" s="100"/>
      <c r="AO48" s="100"/>
      <c r="AP48" s="100"/>
      <c r="AQ48" s="100"/>
      <c r="AR48" s="100"/>
      <c r="AS48" s="100"/>
      <c r="AT48" s="100"/>
      <c r="AU48" s="100"/>
      <c r="AV48" s="100"/>
      <c r="AW48" s="100"/>
      <c r="AX48" s="100"/>
      <c r="AY48" s="100"/>
      <c r="AZ48" s="100"/>
      <c r="BA48" s="100"/>
      <c r="BB48" s="100"/>
      <c r="BC48" s="100"/>
      <c r="BD48" s="100"/>
      <c r="BE48" s="100"/>
      <c r="BF48" s="100"/>
      <c r="BG48" s="100"/>
      <c r="BH48" s="100"/>
      <c r="BI48" s="100"/>
      <c r="BJ48" s="100"/>
      <c r="BK48" s="100"/>
      <c r="BL48" s="111"/>
      <c r="BM48" s="99" t="s">
        <v>4</v>
      </c>
      <c r="BN48" s="100"/>
      <c r="BO48" s="100"/>
      <c r="BP48" s="100"/>
      <c r="BQ48" s="100"/>
      <c r="BR48" s="100"/>
      <c r="BS48" s="100"/>
      <c r="BT48" s="100"/>
      <c r="BU48" s="100"/>
      <c r="BV48" s="100"/>
      <c r="BW48" s="100"/>
      <c r="BX48" s="100"/>
      <c r="BY48" s="100"/>
      <c r="BZ48" s="100"/>
      <c r="CA48" s="100"/>
      <c r="CB48" s="100"/>
      <c r="CC48" s="100"/>
      <c r="CD48" s="100"/>
      <c r="CE48" s="100"/>
      <c r="CF48" s="100"/>
      <c r="CG48" s="100"/>
      <c r="CH48" s="100"/>
      <c r="CI48" s="100"/>
      <c r="CJ48" s="100"/>
      <c r="CK48" s="100"/>
      <c r="CL48" s="100"/>
      <c r="CM48" s="100"/>
      <c r="CN48" s="100"/>
      <c r="CO48" s="111"/>
      <c r="CP48" s="99" t="s">
        <v>5</v>
      </c>
      <c r="CQ48" s="100"/>
      <c r="CR48" s="100"/>
      <c r="CS48" s="100"/>
      <c r="CT48" s="100"/>
      <c r="CU48" s="100"/>
      <c r="CV48" s="100"/>
      <c r="CW48" s="100"/>
      <c r="CX48" s="100"/>
      <c r="CY48" s="100"/>
      <c r="CZ48" s="100"/>
      <c r="DA48" s="100"/>
      <c r="DB48" s="100"/>
      <c r="DC48" s="100"/>
      <c r="DD48" s="100"/>
      <c r="DE48" s="100"/>
      <c r="DF48" s="100"/>
      <c r="DG48" s="100"/>
      <c r="DH48" s="100"/>
      <c r="DI48" s="100"/>
      <c r="DJ48" s="100"/>
      <c r="DK48" s="100"/>
      <c r="DL48" s="100"/>
      <c r="DM48" s="100"/>
      <c r="DN48" s="100"/>
      <c r="DO48" s="100"/>
      <c r="DP48" s="100"/>
      <c r="DQ48" s="100"/>
      <c r="DR48" s="101"/>
      <c r="DS48" s="99" t="s">
        <v>6</v>
      </c>
      <c r="DT48" s="100"/>
      <c r="DU48" s="100"/>
      <c r="DV48" s="100"/>
      <c r="DW48" s="100"/>
      <c r="DX48" s="100"/>
      <c r="DY48" s="100"/>
      <c r="DZ48" s="100"/>
      <c r="EA48" s="100"/>
      <c r="EB48" s="100"/>
      <c r="EC48" s="100"/>
      <c r="ED48" s="100"/>
      <c r="EE48" s="100"/>
      <c r="EF48" s="100"/>
      <c r="EG48" s="100"/>
      <c r="EH48" s="100"/>
      <c r="EI48" s="100"/>
      <c r="EJ48" s="100"/>
      <c r="EK48" s="100"/>
      <c r="EL48" s="100"/>
      <c r="EM48" s="100"/>
      <c r="EN48" s="100"/>
      <c r="EO48" s="100"/>
      <c r="EP48" s="100"/>
      <c r="EQ48" s="100"/>
      <c r="ER48" s="100"/>
      <c r="ES48" s="100"/>
      <c r="ET48" s="100"/>
      <c r="EU48" s="101"/>
      <c r="EV48" s="99" t="s">
        <v>7</v>
      </c>
      <c r="EW48" s="100"/>
      <c r="EX48" s="100"/>
      <c r="EY48" s="100"/>
      <c r="EZ48" s="100"/>
      <c r="FA48" s="100"/>
      <c r="FB48" s="100"/>
      <c r="FC48" s="100"/>
      <c r="FD48" s="100"/>
      <c r="FE48" s="100"/>
      <c r="FF48" s="100"/>
      <c r="FG48" s="100"/>
      <c r="FH48" s="100"/>
      <c r="FI48" s="100"/>
      <c r="FJ48" s="100"/>
      <c r="FK48" s="100"/>
      <c r="FL48" s="100"/>
      <c r="FM48" s="100"/>
      <c r="FN48" s="100"/>
      <c r="FO48" s="100"/>
      <c r="FP48" s="100"/>
      <c r="FQ48" s="100"/>
      <c r="FR48" s="100"/>
      <c r="FS48" s="100"/>
      <c r="FT48" s="100"/>
      <c r="FU48" s="100"/>
      <c r="FV48" s="100"/>
      <c r="FW48" s="100"/>
      <c r="FX48" s="101"/>
      <c r="FY48" s="99" t="s">
        <v>8</v>
      </c>
      <c r="FZ48" s="100"/>
      <c r="GA48" s="100"/>
      <c r="GB48" s="100"/>
      <c r="GC48" s="100"/>
      <c r="GD48" s="100"/>
      <c r="GE48" s="100"/>
      <c r="GF48" s="100"/>
      <c r="GG48" s="100"/>
      <c r="GH48" s="100"/>
      <c r="GI48" s="100"/>
      <c r="GJ48" s="100"/>
      <c r="GK48" s="100"/>
      <c r="GL48" s="100"/>
      <c r="GM48" s="100"/>
      <c r="GN48" s="100"/>
      <c r="GO48" s="100"/>
      <c r="GP48" s="100"/>
      <c r="GQ48" s="100"/>
      <c r="GR48" s="100"/>
      <c r="GS48" s="100"/>
      <c r="GT48" s="100"/>
      <c r="GU48" s="100"/>
      <c r="GV48" s="100"/>
      <c r="GW48" s="100"/>
      <c r="GX48" s="100"/>
      <c r="GY48" s="100"/>
      <c r="GZ48" s="100"/>
      <c r="HA48" s="101"/>
      <c r="HB48" s="99" t="s">
        <v>9</v>
      </c>
      <c r="HC48" s="100"/>
      <c r="HD48" s="100"/>
      <c r="HE48" s="100"/>
      <c r="HF48" s="100"/>
      <c r="HG48" s="100"/>
      <c r="HH48" s="100"/>
      <c r="HI48" s="100"/>
      <c r="HJ48" s="100"/>
      <c r="HK48" s="100"/>
      <c r="HL48" s="100"/>
      <c r="HM48" s="100"/>
      <c r="HN48" s="100"/>
      <c r="HO48" s="100"/>
      <c r="HP48" s="100"/>
      <c r="HQ48" s="100"/>
      <c r="HR48" s="100"/>
      <c r="HS48" s="100"/>
      <c r="HT48" s="100"/>
      <c r="HU48" s="100"/>
      <c r="HV48" s="100"/>
      <c r="HW48" s="100"/>
      <c r="HX48" s="100"/>
      <c r="HY48" s="100"/>
      <c r="HZ48" s="100"/>
      <c r="IA48" s="100"/>
      <c r="IB48" s="100"/>
      <c r="IC48" s="100"/>
      <c r="ID48" s="101"/>
      <c r="IE48" s="99" t="s">
        <v>10</v>
      </c>
      <c r="IF48" s="100"/>
      <c r="IG48" s="100"/>
      <c r="IH48" s="100"/>
      <c r="II48" s="100"/>
      <c r="IJ48" s="100"/>
      <c r="IK48" s="100"/>
      <c r="IL48" s="100"/>
      <c r="IM48" s="100"/>
      <c r="IN48" s="100"/>
      <c r="IO48" s="100"/>
      <c r="IP48" s="100"/>
      <c r="IQ48" s="100"/>
      <c r="IR48" s="100"/>
      <c r="IS48" s="100"/>
      <c r="IT48" s="100"/>
      <c r="IU48" s="100"/>
      <c r="IV48" s="100"/>
      <c r="IW48" s="100"/>
      <c r="IX48" s="100"/>
      <c r="IY48" s="100"/>
      <c r="IZ48" s="100"/>
      <c r="JA48" s="100"/>
      <c r="JB48" s="100"/>
      <c r="JC48" s="100"/>
      <c r="JD48" s="100"/>
      <c r="JE48" s="100"/>
      <c r="JF48" s="100"/>
      <c r="JG48" s="101"/>
      <c r="JH48" s="99" t="s">
        <v>11</v>
      </c>
      <c r="JI48" s="100"/>
      <c r="JJ48" s="100"/>
      <c r="JK48" s="100"/>
      <c r="JL48" s="100"/>
      <c r="JM48" s="100"/>
      <c r="JN48" s="100"/>
      <c r="JO48" s="100"/>
      <c r="JP48" s="100"/>
      <c r="JQ48" s="100"/>
      <c r="JR48" s="100"/>
      <c r="JS48" s="100"/>
      <c r="JT48" s="100"/>
      <c r="JU48" s="100"/>
      <c r="JV48" s="100"/>
      <c r="JW48" s="100"/>
      <c r="JX48" s="100"/>
      <c r="JY48" s="100"/>
      <c r="JZ48" s="100"/>
      <c r="KA48" s="100"/>
      <c r="KB48" s="100"/>
      <c r="KC48" s="100"/>
      <c r="KD48" s="100"/>
      <c r="KE48" s="100"/>
      <c r="KF48" s="100"/>
      <c r="KG48" s="100"/>
      <c r="KH48" s="100"/>
      <c r="KI48" s="100"/>
      <c r="KJ48" s="101"/>
      <c r="KK48" s="2"/>
      <c r="KL48" s="2"/>
      <c r="KM48" s="2"/>
      <c r="KN48" s="2"/>
      <c r="KO48" s="2"/>
      <c r="KP48" s="2"/>
      <c r="KQ48" s="2"/>
      <c r="KR48" s="2"/>
      <c r="KS48" s="2"/>
      <c r="KT48" s="2"/>
      <c r="KU48" s="2"/>
      <c r="KV48" s="2"/>
      <c r="KW48" s="2"/>
      <c r="KX48" s="2"/>
      <c r="KY48" s="2"/>
      <c r="KZ48" s="2"/>
      <c r="LA48" s="2"/>
      <c r="LB48" s="2"/>
      <c r="LC48" s="2"/>
      <c r="LD48" s="2"/>
    </row>
    <row r="49" spans="1:316" ht="15.75" customHeight="1" x14ac:dyDescent="0.25">
      <c r="A49" s="106"/>
      <c r="B49" s="1" t="s">
        <v>12</v>
      </c>
      <c r="C49" s="3" t="s">
        <v>13</v>
      </c>
      <c r="D49" s="3"/>
      <c r="E49" s="3" t="s">
        <v>15</v>
      </c>
      <c r="F49" s="23"/>
      <c r="G49" s="29" t="s">
        <v>17</v>
      </c>
      <c r="H49" s="3" t="s">
        <v>18</v>
      </c>
      <c r="I49" s="3" t="s">
        <v>19</v>
      </c>
      <c r="J49" s="3" t="s">
        <v>20</v>
      </c>
      <c r="K49" s="3" t="s">
        <v>21</v>
      </c>
      <c r="L49" s="3" t="s">
        <v>22</v>
      </c>
      <c r="M49" s="3" t="s">
        <v>23</v>
      </c>
      <c r="N49" s="3" t="s">
        <v>24</v>
      </c>
      <c r="O49" s="3" t="s">
        <v>25</v>
      </c>
      <c r="P49" s="3" t="s">
        <v>26</v>
      </c>
      <c r="Q49" s="6" t="s">
        <v>27</v>
      </c>
      <c r="R49" s="6" t="s">
        <v>28</v>
      </c>
      <c r="S49" s="6" t="s">
        <v>29</v>
      </c>
      <c r="T49" s="6" t="s">
        <v>30</v>
      </c>
      <c r="U49" s="6" t="s">
        <v>31</v>
      </c>
      <c r="V49" s="6" t="s">
        <v>32</v>
      </c>
      <c r="W49" s="6" t="s">
        <v>33</v>
      </c>
      <c r="X49" s="6" t="s">
        <v>34</v>
      </c>
      <c r="Y49" s="3" t="s">
        <v>35</v>
      </c>
      <c r="Z49" s="3" t="s">
        <v>36</v>
      </c>
      <c r="AA49" s="6" t="s">
        <v>37</v>
      </c>
      <c r="AB49" s="6" t="s">
        <v>38</v>
      </c>
      <c r="AC49" s="3" t="s">
        <v>39</v>
      </c>
      <c r="AD49" s="3" t="s">
        <v>40</v>
      </c>
      <c r="AE49" s="3" t="s">
        <v>41</v>
      </c>
      <c r="AF49" s="3" t="s">
        <v>42</v>
      </c>
      <c r="AG49" s="3" t="s">
        <v>43</v>
      </c>
      <c r="AH49" s="3" t="s">
        <v>44</v>
      </c>
      <c r="AI49" s="23" t="s">
        <v>45</v>
      </c>
      <c r="AJ49" s="29" t="s">
        <v>17</v>
      </c>
      <c r="AK49" s="3" t="s">
        <v>18</v>
      </c>
      <c r="AL49" s="3" t="s">
        <v>19</v>
      </c>
      <c r="AM49" s="3" t="s">
        <v>20</v>
      </c>
      <c r="AN49" s="3" t="s">
        <v>21</v>
      </c>
      <c r="AO49" s="3" t="s">
        <v>22</v>
      </c>
      <c r="AP49" s="3" t="s">
        <v>23</v>
      </c>
      <c r="AQ49" s="3" t="s">
        <v>24</v>
      </c>
      <c r="AR49" s="3" t="s">
        <v>25</v>
      </c>
      <c r="AS49" s="3" t="s">
        <v>26</v>
      </c>
      <c r="AT49" s="6" t="s">
        <v>27</v>
      </c>
      <c r="AU49" s="6" t="s">
        <v>28</v>
      </c>
      <c r="AV49" s="6" t="s">
        <v>29</v>
      </c>
      <c r="AW49" s="6" t="s">
        <v>30</v>
      </c>
      <c r="AX49" s="6" t="s">
        <v>31</v>
      </c>
      <c r="AY49" s="6" t="s">
        <v>32</v>
      </c>
      <c r="AZ49" s="6" t="s">
        <v>33</v>
      </c>
      <c r="BA49" s="6" t="s">
        <v>34</v>
      </c>
      <c r="BB49" s="3" t="s">
        <v>35</v>
      </c>
      <c r="BC49" s="3" t="s">
        <v>36</v>
      </c>
      <c r="BD49" s="6" t="s">
        <v>37</v>
      </c>
      <c r="BE49" s="6" t="s">
        <v>38</v>
      </c>
      <c r="BF49" s="3" t="s">
        <v>39</v>
      </c>
      <c r="BG49" s="3" t="s">
        <v>40</v>
      </c>
      <c r="BH49" s="3" t="s">
        <v>41</v>
      </c>
      <c r="BI49" s="3" t="s">
        <v>42</v>
      </c>
      <c r="BJ49" s="3" t="s">
        <v>43</v>
      </c>
      <c r="BK49" s="3" t="s">
        <v>44</v>
      </c>
      <c r="BL49" s="23" t="s">
        <v>45</v>
      </c>
      <c r="BM49" s="29" t="s">
        <v>17</v>
      </c>
      <c r="BN49" s="3" t="s">
        <v>18</v>
      </c>
      <c r="BO49" s="3" t="s">
        <v>19</v>
      </c>
      <c r="BP49" s="3" t="s">
        <v>20</v>
      </c>
      <c r="BQ49" s="3" t="s">
        <v>21</v>
      </c>
      <c r="BR49" s="3" t="s">
        <v>22</v>
      </c>
      <c r="BS49" s="3" t="s">
        <v>23</v>
      </c>
      <c r="BT49" s="3" t="s">
        <v>24</v>
      </c>
      <c r="BU49" s="3" t="s">
        <v>25</v>
      </c>
      <c r="BV49" s="3" t="s">
        <v>26</v>
      </c>
      <c r="BW49" s="6" t="s">
        <v>27</v>
      </c>
      <c r="BX49" s="6" t="s">
        <v>28</v>
      </c>
      <c r="BY49" s="6" t="s">
        <v>29</v>
      </c>
      <c r="BZ49" s="6" t="s">
        <v>30</v>
      </c>
      <c r="CA49" s="6" t="s">
        <v>31</v>
      </c>
      <c r="CB49" s="6" t="s">
        <v>32</v>
      </c>
      <c r="CC49" s="6" t="s">
        <v>33</v>
      </c>
      <c r="CD49" s="6" t="s">
        <v>34</v>
      </c>
      <c r="CE49" s="3" t="s">
        <v>35</v>
      </c>
      <c r="CF49" s="3" t="s">
        <v>36</v>
      </c>
      <c r="CG49" s="6" t="s">
        <v>37</v>
      </c>
      <c r="CH49" s="6" t="s">
        <v>38</v>
      </c>
      <c r="CI49" s="3" t="s">
        <v>39</v>
      </c>
      <c r="CJ49" s="3" t="s">
        <v>40</v>
      </c>
      <c r="CK49" s="3" t="s">
        <v>41</v>
      </c>
      <c r="CL49" s="3" t="s">
        <v>42</v>
      </c>
      <c r="CM49" s="3" t="s">
        <v>43</v>
      </c>
      <c r="CN49" s="3" t="s">
        <v>44</v>
      </c>
      <c r="CO49" s="23" t="s">
        <v>45</v>
      </c>
      <c r="CP49" s="29" t="s">
        <v>17</v>
      </c>
      <c r="CQ49" s="3" t="s">
        <v>18</v>
      </c>
      <c r="CR49" s="3" t="s">
        <v>19</v>
      </c>
      <c r="CS49" s="3" t="s">
        <v>20</v>
      </c>
      <c r="CT49" s="3" t="s">
        <v>21</v>
      </c>
      <c r="CU49" s="3" t="s">
        <v>22</v>
      </c>
      <c r="CV49" s="3" t="s">
        <v>23</v>
      </c>
      <c r="CW49" s="3" t="s">
        <v>24</v>
      </c>
      <c r="CX49" s="3" t="s">
        <v>25</v>
      </c>
      <c r="CY49" s="3" t="s">
        <v>26</v>
      </c>
      <c r="CZ49" s="6" t="s">
        <v>27</v>
      </c>
      <c r="DA49" s="6" t="s">
        <v>28</v>
      </c>
      <c r="DB49" s="6" t="s">
        <v>29</v>
      </c>
      <c r="DC49" s="6" t="s">
        <v>30</v>
      </c>
      <c r="DD49" s="6" t="s">
        <v>31</v>
      </c>
      <c r="DE49" s="6" t="s">
        <v>32</v>
      </c>
      <c r="DF49" s="6" t="s">
        <v>33</v>
      </c>
      <c r="DG49" s="6" t="s">
        <v>34</v>
      </c>
      <c r="DH49" s="3" t="s">
        <v>35</v>
      </c>
      <c r="DI49" s="3" t="s">
        <v>36</v>
      </c>
      <c r="DJ49" s="6" t="s">
        <v>37</v>
      </c>
      <c r="DK49" s="6" t="s">
        <v>38</v>
      </c>
      <c r="DL49" s="3" t="s">
        <v>39</v>
      </c>
      <c r="DM49" s="3" t="s">
        <v>40</v>
      </c>
      <c r="DN49" s="3" t="s">
        <v>41</v>
      </c>
      <c r="DO49" s="3" t="s">
        <v>42</v>
      </c>
      <c r="DP49" s="3" t="s">
        <v>43</v>
      </c>
      <c r="DQ49" s="3" t="s">
        <v>44</v>
      </c>
      <c r="DR49" s="30" t="s">
        <v>45</v>
      </c>
      <c r="DS49" s="29" t="s">
        <v>17</v>
      </c>
      <c r="DT49" s="3" t="s">
        <v>18</v>
      </c>
      <c r="DU49" s="3" t="s">
        <v>19</v>
      </c>
      <c r="DV49" s="3" t="s">
        <v>20</v>
      </c>
      <c r="DW49" s="3" t="s">
        <v>21</v>
      </c>
      <c r="DX49" s="3" t="s">
        <v>22</v>
      </c>
      <c r="DY49" s="3" t="s">
        <v>23</v>
      </c>
      <c r="DZ49" s="3" t="s">
        <v>24</v>
      </c>
      <c r="EA49" s="3" t="s">
        <v>25</v>
      </c>
      <c r="EB49" s="3" t="s">
        <v>26</v>
      </c>
      <c r="EC49" s="6" t="s">
        <v>27</v>
      </c>
      <c r="ED49" s="6" t="s">
        <v>28</v>
      </c>
      <c r="EE49" s="6" t="s">
        <v>29</v>
      </c>
      <c r="EF49" s="6" t="s">
        <v>30</v>
      </c>
      <c r="EG49" s="6" t="s">
        <v>31</v>
      </c>
      <c r="EH49" s="6" t="s">
        <v>32</v>
      </c>
      <c r="EI49" s="6" t="s">
        <v>33</v>
      </c>
      <c r="EJ49" s="6" t="s">
        <v>34</v>
      </c>
      <c r="EK49" s="3" t="s">
        <v>35</v>
      </c>
      <c r="EL49" s="3" t="s">
        <v>36</v>
      </c>
      <c r="EM49" s="6" t="s">
        <v>37</v>
      </c>
      <c r="EN49" s="6" t="s">
        <v>38</v>
      </c>
      <c r="EO49" s="3" t="s">
        <v>39</v>
      </c>
      <c r="EP49" s="3" t="s">
        <v>40</v>
      </c>
      <c r="EQ49" s="3" t="s">
        <v>41</v>
      </c>
      <c r="ER49" s="3" t="s">
        <v>42</v>
      </c>
      <c r="ES49" s="3" t="s">
        <v>43</v>
      </c>
      <c r="ET49" s="3" t="s">
        <v>44</v>
      </c>
      <c r="EU49" s="30" t="s">
        <v>45</v>
      </c>
      <c r="EV49" s="29" t="s">
        <v>17</v>
      </c>
      <c r="EW49" s="3" t="s">
        <v>18</v>
      </c>
      <c r="EX49" s="3" t="s">
        <v>19</v>
      </c>
      <c r="EY49" s="3" t="s">
        <v>20</v>
      </c>
      <c r="EZ49" s="3" t="s">
        <v>21</v>
      </c>
      <c r="FA49" s="3" t="s">
        <v>22</v>
      </c>
      <c r="FB49" s="3" t="s">
        <v>23</v>
      </c>
      <c r="FC49" s="3" t="s">
        <v>24</v>
      </c>
      <c r="FD49" s="3" t="s">
        <v>25</v>
      </c>
      <c r="FE49" s="3" t="s">
        <v>26</v>
      </c>
      <c r="FF49" s="6" t="s">
        <v>27</v>
      </c>
      <c r="FG49" s="6" t="s">
        <v>28</v>
      </c>
      <c r="FH49" s="6" t="s">
        <v>29</v>
      </c>
      <c r="FI49" s="6" t="s">
        <v>30</v>
      </c>
      <c r="FJ49" s="6" t="s">
        <v>31</v>
      </c>
      <c r="FK49" s="6" t="s">
        <v>32</v>
      </c>
      <c r="FL49" s="6" t="s">
        <v>33</v>
      </c>
      <c r="FM49" s="6" t="s">
        <v>34</v>
      </c>
      <c r="FN49" s="3" t="s">
        <v>35</v>
      </c>
      <c r="FO49" s="3" t="s">
        <v>36</v>
      </c>
      <c r="FP49" s="6" t="s">
        <v>37</v>
      </c>
      <c r="FQ49" s="6" t="s">
        <v>38</v>
      </c>
      <c r="FR49" s="3" t="s">
        <v>39</v>
      </c>
      <c r="FS49" s="3" t="s">
        <v>40</v>
      </c>
      <c r="FT49" s="3" t="s">
        <v>41</v>
      </c>
      <c r="FU49" s="3" t="s">
        <v>42</v>
      </c>
      <c r="FV49" s="3" t="s">
        <v>43</v>
      </c>
      <c r="FW49" s="3" t="s">
        <v>44</v>
      </c>
      <c r="FX49" s="30" t="s">
        <v>45</v>
      </c>
      <c r="FY49" s="29" t="s">
        <v>17</v>
      </c>
      <c r="FZ49" s="3" t="s">
        <v>18</v>
      </c>
      <c r="GA49" s="3" t="s">
        <v>19</v>
      </c>
      <c r="GB49" s="3" t="s">
        <v>20</v>
      </c>
      <c r="GC49" s="3" t="s">
        <v>21</v>
      </c>
      <c r="GD49" s="3" t="s">
        <v>22</v>
      </c>
      <c r="GE49" s="3" t="s">
        <v>23</v>
      </c>
      <c r="GF49" s="3" t="s">
        <v>24</v>
      </c>
      <c r="GG49" s="3" t="s">
        <v>25</v>
      </c>
      <c r="GH49" s="3" t="s">
        <v>26</v>
      </c>
      <c r="GI49" s="6" t="s">
        <v>27</v>
      </c>
      <c r="GJ49" s="6" t="s">
        <v>28</v>
      </c>
      <c r="GK49" s="6" t="s">
        <v>29</v>
      </c>
      <c r="GL49" s="6" t="s">
        <v>30</v>
      </c>
      <c r="GM49" s="6" t="s">
        <v>31</v>
      </c>
      <c r="GN49" s="6" t="s">
        <v>32</v>
      </c>
      <c r="GO49" s="6" t="s">
        <v>33</v>
      </c>
      <c r="GP49" s="6" t="s">
        <v>34</v>
      </c>
      <c r="GQ49" s="3" t="s">
        <v>35</v>
      </c>
      <c r="GR49" s="3" t="s">
        <v>36</v>
      </c>
      <c r="GS49" s="6" t="s">
        <v>37</v>
      </c>
      <c r="GT49" s="6" t="s">
        <v>38</v>
      </c>
      <c r="GU49" s="3" t="s">
        <v>39</v>
      </c>
      <c r="GV49" s="3" t="s">
        <v>40</v>
      </c>
      <c r="GW49" s="3" t="s">
        <v>41</v>
      </c>
      <c r="GX49" s="3" t="s">
        <v>42</v>
      </c>
      <c r="GY49" s="3" t="s">
        <v>43</v>
      </c>
      <c r="GZ49" s="3" t="s">
        <v>44</v>
      </c>
      <c r="HA49" s="30" t="s">
        <v>45</v>
      </c>
      <c r="HB49" s="29" t="s">
        <v>17</v>
      </c>
      <c r="HC49" s="3" t="s">
        <v>18</v>
      </c>
      <c r="HD49" s="3" t="s">
        <v>19</v>
      </c>
      <c r="HE49" s="3" t="s">
        <v>20</v>
      </c>
      <c r="HF49" s="3" t="s">
        <v>21</v>
      </c>
      <c r="HG49" s="3" t="s">
        <v>22</v>
      </c>
      <c r="HH49" s="3" t="s">
        <v>23</v>
      </c>
      <c r="HI49" s="3" t="s">
        <v>24</v>
      </c>
      <c r="HJ49" s="3" t="s">
        <v>25</v>
      </c>
      <c r="HK49" s="3" t="s">
        <v>26</v>
      </c>
      <c r="HL49" s="6" t="s">
        <v>27</v>
      </c>
      <c r="HM49" s="6" t="s">
        <v>28</v>
      </c>
      <c r="HN49" s="6" t="s">
        <v>29</v>
      </c>
      <c r="HO49" s="6" t="s">
        <v>30</v>
      </c>
      <c r="HP49" s="6" t="s">
        <v>31</v>
      </c>
      <c r="HQ49" s="6" t="s">
        <v>32</v>
      </c>
      <c r="HR49" s="6" t="s">
        <v>33</v>
      </c>
      <c r="HS49" s="6" t="s">
        <v>34</v>
      </c>
      <c r="HT49" s="3" t="s">
        <v>35</v>
      </c>
      <c r="HU49" s="3" t="s">
        <v>36</v>
      </c>
      <c r="HV49" s="6" t="s">
        <v>37</v>
      </c>
      <c r="HW49" s="6" t="s">
        <v>38</v>
      </c>
      <c r="HX49" s="3" t="s">
        <v>39</v>
      </c>
      <c r="HY49" s="3" t="s">
        <v>40</v>
      </c>
      <c r="HZ49" s="3" t="s">
        <v>41</v>
      </c>
      <c r="IA49" s="3" t="s">
        <v>42</v>
      </c>
      <c r="IB49" s="3" t="s">
        <v>43</v>
      </c>
      <c r="IC49" s="3" t="s">
        <v>44</v>
      </c>
      <c r="ID49" s="30" t="s">
        <v>45</v>
      </c>
      <c r="IE49" s="29" t="s">
        <v>17</v>
      </c>
      <c r="IF49" s="3" t="s">
        <v>18</v>
      </c>
      <c r="IG49" s="3" t="s">
        <v>19</v>
      </c>
      <c r="IH49" s="3" t="s">
        <v>20</v>
      </c>
      <c r="II49" s="3" t="s">
        <v>21</v>
      </c>
      <c r="IJ49" s="3" t="s">
        <v>22</v>
      </c>
      <c r="IK49" s="3" t="s">
        <v>23</v>
      </c>
      <c r="IL49" s="3" t="s">
        <v>24</v>
      </c>
      <c r="IM49" s="3" t="s">
        <v>25</v>
      </c>
      <c r="IN49" s="3" t="s">
        <v>26</v>
      </c>
      <c r="IO49" s="6" t="s">
        <v>27</v>
      </c>
      <c r="IP49" s="6" t="s">
        <v>28</v>
      </c>
      <c r="IQ49" s="6" t="s">
        <v>29</v>
      </c>
      <c r="IR49" s="6" t="s">
        <v>30</v>
      </c>
      <c r="IS49" s="6" t="s">
        <v>31</v>
      </c>
      <c r="IT49" s="6" t="s">
        <v>32</v>
      </c>
      <c r="IU49" s="6" t="s">
        <v>33</v>
      </c>
      <c r="IV49" s="6" t="s">
        <v>34</v>
      </c>
      <c r="IW49" s="3" t="s">
        <v>35</v>
      </c>
      <c r="IX49" s="3" t="s">
        <v>36</v>
      </c>
      <c r="IY49" s="6" t="s">
        <v>37</v>
      </c>
      <c r="IZ49" s="6" t="s">
        <v>38</v>
      </c>
      <c r="JA49" s="3" t="s">
        <v>39</v>
      </c>
      <c r="JB49" s="3" t="s">
        <v>40</v>
      </c>
      <c r="JC49" s="3" t="s">
        <v>41</v>
      </c>
      <c r="JD49" s="3" t="s">
        <v>42</v>
      </c>
      <c r="JE49" s="3" t="s">
        <v>43</v>
      </c>
      <c r="JF49" s="3" t="s">
        <v>44</v>
      </c>
      <c r="JG49" s="30" t="s">
        <v>45</v>
      </c>
      <c r="JH49" s="29" t="s">
        <v>17</v>
      </c>
      <c r="JI49" s="3" t="s">
        <v>18</v>
      </c>
      <c r="JJ49" s="3" t="s">
        <v>19</v>
      </c>
      <c r="JK49" s="3" t="s">
        <v>20</v>
      </c>
      <c r="JL49" s="3" t="s">
        <v>21</v>
      </c>
      <c r="JM49" s="3" t="s">
        <v>22</v>
      </c>
      <c r="JN49" s="3" t="s">
        <v>23</v>
      </c>
      <c r="JO49" s="3" t="s">
        <v>24</v>
      </c>
      <c r="JP49" s="3" t="s">
        <v>25</v>
      </c>
      <c r="JQ49" s="3" t="s">
        <v>26</v>
      </c>
      <c r="JR49" s="6" t="s">
        <v>27</v>
      </c>
      <c r="JS49" s="6" t="s">
        <v>28</v>
      </c>
      <c r="JT49" s="6" t="s">
        <v>29</v>
      </c>
      <c r="JU49" s="6" t="s">
        <v>30</v>
      </c>
      <c r="JV49" s="6" t="s">
        <v>31</v>
      </c>
      <c r="JW49" s="6" t="s">
        <v>32</v>
      </c>
      <c r="JX49" s="6" t="s">
        <v>33</v>
      </c>
      <c r="JY49" s="6" t="s">
        <v>34</v>
      </c>
      <c r="JZ49" s="3" t="s">
        <v>35</v>
      </c>
      <c r="KA49" s="3" t="s">
        <v>36</v>
      </c>
      <c r="KB49" s="6" t="s">
        <v>37</v>
      </c>
      <c r="KC49" s="6" t="s">
        <v>38</v>
      </c>
      <c r="KD49" s="3" t="s">
        <v>39</v>
      </c>
      <c r="KE49" s="3" t="s">
        <v>40</v>
      </c>
      <c r="KF49" s="3" t="s">
        <v>41</v>
      </c>
      <c r="KG49" s="3" t="s">
        <v>42</v>
      </c>
      <c r="KH49" s="3" t="s">
        <v>43</v>
      </c>
      <c r="KI49" s="3" t="s">
        <v>44</v>
      </c>
      <c r="KJ49" s="30" t="s">
        <v>45</v>
      </c>
      <c r="KK49" s="10"/>
      <c r="KL49" s="10"/>
      <c r="KM49" s="10"/>
      <c r="KN49" s="10"/>
      <c r="KO49" s="10"/>
      <c r="KP49" s="10"/>
      <c r="KQ49" s="10"/>
      <c r="KR49" s="10"/>
      <c r="KS49" s="10"/>
      <c r="KT49" s="10"/>
      <c r="KU49" s="10"/>
      <c r="KV49" s="10"/>
      <c r="KW49" s="10"/>
      <c r="KX49" s="10"/>
      <c r="KY49" s="10"/>
      <c r="KZ49" s="10"/>
      <c r="LA49" s="10"/>
      <c r="LB49" s="10"/>
      <c r="LC49" s="10"/>
      <c r="LD49" s="10"/>
    </row>
    <row r="50" spans="1:316" ht="15.75" customHeight="1" x14ac:dyDescent="0.25">
      <c r="A50" s="106"/>
      <c r="B50" s="102" t="s">
        <v>46</v>
      </c>
      <c r="C50" s="11">
        <v>1</v>
      </c>
      <c r="D50" s="11">
        <f>D44+1</f>
        <v>37</v>
      </c>
      <c r="E50" s="11">
        <v>4</v>
      </c>
      <c r="F50" s="12">
        <f>E50+F44</f>
        <v>148</v>
      </c>
      <c r="G50" s="13"/>
      <c r="H50" s="11"/>
      <c r="I50" s="14"/>
      <c r="J50" s="11">
        <f>I50+J44</f>
        <v>71</v>
      </c>
      <c r="K50" s="11">
        <f t="shared" ref="K50:K58" si="1058">IF(G50-I50&lt;=$E50-2,1,0)</f>
        <v>1</v>
      </c>
      <c r="L50" s="11">
        <f>K50+L44</f>
        <v>16</v>
      </c>
      <c r="M50" s="11">
        <f t="shared" ref="M50:M58" si="1059">IF(K50=0,IF(G50=$E50,1,0),0)</f>
        <v>0</v>
      </c>
      <c r="N50" s="11">
        <f>M50+N44</f>
        <v>3</v>
      </c>
      <c r="O50" s="11">
        <f t="shared" ref="O50:O58" si="1060">IF($E50-G50=1,1,0)</f>
        <v>0</v>
      </c>
      <c r="P50" s="11">
        <f>O50+P44</f>
        <v>1</v>
      </c>
      <c r="Q50" s="11">
        <f t="shared" ref="Q50:Q58" si="1061">IF(G50=$E50,1,0)</f>
        <v>0</v>
      </c>
      <c r="R50" s="11">
        <f>Q50</f>
        <v>0</v>
      </c>
      <c r="S50" s="11">
        <f t="shared" ref="S50:S58" si="1062">IF(G50-$E50=1,1,0)</f>
        <v>0</v>
      </c>
      <c r="T50" s="11">
        <f>S50</f>
        <v>0</v>
      </c>
      <c r="U50" s="11">
        <f t="shared" ref="U50:U58" si="1063">IF(G50-$E50&gt;=2,1,0)</f>
        <v>0</v>
      </c>
      <c r="V50" s="11">
        <f>U50</f>
        <v>0</v>
      </c>
      <c r="W50" s="11">
        <f t="shared" ref="W50:W58" si="1064">IF(I50=0,1,0)</f>
        <v>1</v>
      </c>
      <c r="X50" s="11">
        <f>W50</f>
        <v>1</v>
      </c>
      <c r="Y50" s="11">
        <f t="shared" ref="Y50:Y58" si="1065">IF(I50=1,1,0)</f>
        <v>0</v>
      </c>
      <c r="Z50" s="11">
        <f>Y50+Z44</f>
        <v>7</v>
      </c>
      <c r="AA50" s="11">
        <f t="shared" ref="AA50:AA58" si="1066">IF(I50=2,1,0)</f>
        <v>0</v>
      </c>
      <c r="AB50" s="11">
        <f>AA50</f>
        <v>0</v>
      </c>
      <c r="AC50" s="11">
        <f t="shared" ref="AC50:AC58" si="1067">IF(I50&gt;=3,1,0)</f>
        <v>0</v>
      </c>
      <c r="AD50" s="11">
        <f>AC50+AD44</f>
        <v>5</v>
      </c>
      <c r="AE50" s="11"/>
      <c r="AF50" s="11">
        <f>IF($E50=4,G50-4,NA())</f>
        <v>-4</v>
      </c>
      <c r="AG50" s="11"/>
      <c r="AH50" s="15">
        <f>G50-'Zusammenfassung Tag1-4'!$B$2/18</f>
        <v>-1.1111111111111112</v>
      </c>
      <c r="AI50" s="16">
        <f>AH50+AI44</f>
        <v>135.8888888888888</v>
      </c>
      <c r="AJ50" s="13">
        <v>6</v>
      </c>
      <c r="AK50" s="11">
        <f>AJ50+AK44</f>
        <v>169</v>
      </c>
      <c r="AL50" s="14">
        <v>3</v>
      </c>
      <c r="AM50" s="11">
        <f>AL50+AM44</f>
        <v>69</v>
      </c>
      <c r="AN50" s="11">
        <f t="shared" ref="AN50:AN58" si="1068">IF(AJ50-AL50&lt;=$E50-2,1,0)</f>
        <v>0</v>
      </c>
      <c r="AO50" s="11">
        <f>AN50+AO44</f>
        <v>20</v>
      </c>
      <c r="AP50" s="11">
        <f t="shared" ref="AP50:AP58" si="1069">IF(AN50=0,IF(AJ50=$E50,1,0),0)</f>
        <v>0</v>
      </c>
      <c r="AQ50" s="11">
        <f>AP50+AQ44</f>
        <v>5</v>
      </c>
      <c r="AR50" s="11">
        <f t="shared" ref="AR50:AR58" si="1070">IF($E50-AJ50=1,1,0)</f>
        <v>0</v>
      </c>
      <c r="AS50" s="11">
        <f>AR50+AS44</f>
        <v>3</v>
      </c>
      <c r="AT50" s="11">
        <f t="shared" ref="AT50:AT58" si="1071">IF(AJ50=$E50,1,0)</f>
        <v>0</v>
      </c>
      <c r="AU50" s="11">
        <f>AT50</f>
        <v>0</v>
      </c>
      <c r="AV50" s="11">
        <f t="shared" ref="AV50:AV58" si="1072">IF(AJ50-$E50=1,1,0)</f>
        <v>0</v>
      </c>
      <c r="AW50" s="11">
        <f>AV50</f>
        <v>0</v>
      </c>
      <c r="AX50" s="11">
        <f t="shared" ref="AX50:AX58" si="1073">IF(AJ50-$E50&gt;=2,1,0)</f>
        <v>1</v>
      </c>
      <c r="AY50" s="11">
        <f>AX50</f>
        <v>1</v>
      </c>
      <c r="AZ50" s="11">
        <f t="shared" ref="AZ50:AZ58" si="1074">IF(AL50=0,1,0)</f>
        <v>0</v>
      </c>
      <c r="BA50" s="11">
        <f>AZ50</f>
        <v>0</v>
      </c>
      <c r="BB50" s="11">
        <f t="shared" ref="BB50:BB58" si="1075">IF(AL50=1,1,0)</f>
        <v>0</v>
      </c>
      <c r="BC50" s="11">
        <f>BB50+BC44</f>
        <v>10</v>
      </c>
      <c r="BD50" s="11">
        <f t="shared" ref="BD50:BD58" si="1076">IF(AL50=2,1,0)</f>
        <v>0</v>
      </c>
      <c r="BE50" s="11">
        <f>BD50</f>
        <v>0</v>
      </c>
      <c r="BF50" s="11">
        <f t="shared" ref="BF50:BF58" si="1077">IF(AL50&gt;=3,1,0)</f>
        <v>1</v>
      </c>
      <c r="BG50" s="11">
        <f>BF50+BG44</f>
        <v>5</v>
      </c>
      <c r="BH50" s="11"/>
      <c r="BI50" s="11">
        <f>IF($E50=4,AJ50-4,NA())</f>
        <v>2</v>
      </c>
      <c r="BJ50" s="11"/>
      <c r="BK50" s="15">
        <f>AJ50-'Zusammenfassung Tag1-4'!$C$2/18</f>
        <v>5.333333333333333</v>
      </c>
      <c r="BL50" s="16">
        <f>BK50+BL44</f>
        <v>144.33333333333331</v>
      </c>
      <c r="BM50" s="13">
        <v>5</v>
      </c>
      <c r="BN50" s="11">
        <f>BM50+BN44</f>
        <v>205</v>
      </c>
      <c r="BO50" s="14">
        <v>3</v>
      </c>
      <c r="BP50" s="11">
        <f>BO50+BP44</f>
        <v>76</v>
      </c>
      <c r="BQ50" s="11">
        <f t="shared" ref="BQ50:BQ58" si="1078">IF(BM50-BO50&lt;=$E50-2,1,0)</f>
        <v>1</v>
      </c>
      <c r="BR50" s="11">
        <f>BQ50+BR44</f>
        <v>7</v>
      </c>
      <c r="BS50" s="11">
        <f t="shared" ref="BS50:BS58" si="1079">IF(BQ50=0,IF(BM50=$E50,1,0),0)</f>
        <v>0</v>
      </c>
      <c r="BT50" s="11">
        <f>BS50+BT44</f>
        <v>3</v>
      </c>
      <c r="BU50" s="11">
        <f t="shared" ref="BU50:BU58" si="1080">IF($E50-BM50=1,1,0)</f>
        <v>0</v>
      </c>
      <c r="BV50" s="11">
        <f>BU50</f>
        <v>0</v>
      </c>
      <c r="BW50" s="11">
        <f t="shared" ref="BW50:BW58" si="1081">IF(BM50=$E50,1,0)</f>
        <v>0</v>
      </c>
      <c r="BX50" s="11">
        <f>BW50</f>
        <v>0</v>
      </c>
      <c r="BY50" s="11">
        <f t="shared" ref="BY50:BY58" si="1082">IF(BM50-$E50=1,1,0)</f>
        <v>1</v>
      </c>
      <c r="BZ50" s="11">
        <f>BY50</f>
        <v>1</v>
      </c>
      <c r="CA50" s="11">
        <f t="shared" ref="CA50:CA58" si="1083">IF(BM50-$E50&gt;=2,1,0)</f>
        <v>0</v>
      </c>
      <c r="CB50" s="11">
        <f>CA50</f>
        <v>0</v>
      </c>
      <c r="CC50" s="11">
        <f t="shared" ref="CC50:CC58" si="1084">IF(BO50=0,1,0)</f>
        <v>0</v>
      </c>
      <c r="CD50" s="11">
        <f>CC50</f>
        <v>0</v>
      </c>
      <c r="CE50" s="11">
        <f t="shared" ref="CE50:CE58" si="1085">IF(BO50=1,1,0)</f>
        <v>0</v>
      </c>
      <c r="CF50" s="11">
        <f>CE50+CF44</f>
        <v>6</v>
      </c>
      <c r="CG50" s="11">
        <f t="shared" ref="CG50:CG58" si="1086">IF(BO50=2,1,0)</f>
        <v>0</v>
      </c>
      <c r="CH50" s="11">
        <f>CG50</f>
        <v>0</v>
      </c>
      <c r="CI50" s="11">
        <f t="shared" ref="CI50:CI58" si="1087">IF(BO50&gt;=3,1,0)</f>
        <v>1</v>
      </c>
      <c r="CJ50" s="11">
        <f>CI50+CJ44</f>
        <v>8</v>
      </c>
      <c r="CK50" s="11"/>
      <c r="CL50" s="11">
        <f>IF($E50=4,BM50-4,NA())</f>
        <v>1</v>
      </c>
      <c r="CM50" s="11"/>
      <c r="CN50" s="15">
        <f>BM50-'Zusammenfassung Tag1-4'!$D$2/18</f>
        <v>3.666666666666667</v>
      </c>
      <c r="CO50" s="16">
        <f>CN50+CO44</f>
        <v>155.66666666666666</v>
      </c>
      <c r="CP50" s="13">
        <v>5</v>
      </c>
      <c r="CQ50" s="11">
        <f>CP50+CQ44</f>
        <v>193</v>
      </c>
      <c r="CR50" s="14">
        <v>3</v>
      </c>
      <c r="CS50" s="11">
        <f>CR50+CS44</f>
        <v>76</v>
      </c>
      <c r="CT50" s="11">
        <f t="shared" ref="CT50:CT58" si="1088">IF(CP50-CR50&lt;=$E50-2,1,0)</f>
        <v>1</v>
      </c>
      <c r="CU50" s="11">
        <f>CT50+CU44</f>
        <v>9</v>
      </c>
      <c r="CV50" s="11">
        <f t="shared" ref="CV50:CV58" si="1089">IF(CT50=0,IF(CP50=$E50,1,0),0)</f>
        <v>0</v>
      </c>
      <c r="CW50" s="11">
        <f>CV50+CW44</f>
        <v>3</v>
      </c>
      <c r="CX50" s="11">
        <f t="shared" ref="CX50:CX58" si="1090">IF($E50-CP50=1,1,0)</f>
        <v>0</v>
      </c>
      <c r="CY50" s="11">
        <f>CX50</f>
        <v>0</v>
      </c>
      <c r="CZ50" s="11">
        <f t="shared" ref="CZ50:CZ58" si="1091">IF(CP50=$E50,1,0)</f>
        <v>0</v>
      </c>
      <c r="DA50" s="11">
        <f>CZ50</f>
        <v>0</v>
      </c>
      <c r="DB50" s="11">
        <f t="shared" ref="DB50:DB58" si="1092">IF(CP50-$E50=1,1,0)</f>
        <v>1</v>
      </c>
      <c r="DC50" s="11">
        <f>DB50</f>
        <v>1</v>
      </c>
      <c r="DD50" s="11">
        <f t="shared" ref="DD50:DD58" si="1093">IF(CP50-$E50&gt;=2,1,0)</f>
        <v>0</v>
      </c>
      <c r="DE50" s="11">
        <f>DD50</f>
        <v>0</v>
      </c>
      <c r="DF50" s="11">
        <f t="shared" ref="DF50:DF58" si="1094">IF(CR50=0,1,0)</f>
        <v>0</v>
      </c>
      <c r="DG50" s="11">
        <f>DF50</f>
        <v>0</v>
      </c>
      <c r="DH50" s="11">
        <f t="shared" ref="DH50:DH58" si="1095">IF(CR50=1,1,0)</f>
        <v>0</v>
      </c>
      <c r="DI50" s="11">
        <f>DH50+DI44</f>
        <v>6</v>
      </c>
      <c r="DJ50" s="11">
        <f t="shared" ref="DJ50:DJ58" si="1096">IF(CR50=2,1,0)</f>
        <v>0</v>
      </c>
      <c r="DK50" s="11">
        <f>DJ50</f>
        <v>0</v>
      </c>
      <c r="DL50" s="11">
        <f t="shared" ref="DL50:DL58" si="1097">IF(CR50&gt;=3,1,0)</f>
        <v>1</v>
      </c>
      <c r="DM50" s="11">
        <f>DL50+DM44</f>
        <v>8</v>
      </c>
      <c r="DN50" s="11"/>
      <c r="DO50" s="11">
        <f>IF($E50=4,CP50-4,NA())</f>
        <v>1</v>
      </c>
      <c r="DP50" s="11"/>
      <c r="DQ50" s="15">
        <f>CP50-'Zusammenfassung Tag1-4'!$E$2/18</f>
        <v>3.7222222222222223</v>
      </c>
      <c r="DR50" s="17">
        <f>DQ50+DR44</f>
        <v>145.72222222222234</v>
      </c>
      <c r="DS50" s="13">
        <v>10</v>
      </c>
      <c r="DT50" s="11">
        <f>DS50+DT44</f>
        <v>287</v>
      </c>
      <c r="DU50" s="14">
        <v>2</v>
      </c>
      <c r="DV50" s="11">
        <f>DU50+DV44</f>
        <v>81</v>
      </c>
      <c r="DW50" s="11">
        <f t="shared" ref="DW50:DW58" si="1098">IF(DS50-DU50&lt;=$E50-2,1,0)</f>
        <v>0</v>
      </c>
      <c r="DX50" s="11">
        <f>DW50+DX44</f>
        <v>1</v>
      </c>
      <c r="DY50" s="11">
        <f t="shared" ref="DY50:DY58" si="1099">IF(DW50=0,IF(DS50=$E50,1,0),0)</f>
        <v>0</v>
      </c>
      <c r="DZ50" s="11">
        <f>DY50+DZ44</f>
        <v>0</v>
      </c>
      <c r="EA50" s="11">
        <f t="shared" ref="EA50:EA58" si="1100">IF($E50-DS50=1,1,0)</f>
        <v>0</v>
      </c>
      <c r="EB50" s="11">
        <f>EA50</f>
        <v>0</v>
      </c>
      <c r="EC50" s="11">
        <f t="shared" ref="EC50:EC58" si="1101">IF(DS50=$E50,1,0)</f>
        <v>0</v>
      </c>
      <c r="ED50" s="11">
        <f>EC50</f>
        <v>0</v>
      </c>
      <c r="EE50" s="11">
        <f t="shared" ref="EE50:EE58" si="1102">IF(DS50-$E50=1,1,0)</f>
        <v>0</v>
      </c>
      <c r="EF50" s="11">
        <f>EE50</f>
        <v>0</v>
      </c>
      <c r="EG50" s="11">
        <f t="shared" ref="EG50:EG58" si="1103">IF(DS50-$E50&gt;=2,1,0)</f>
        <v>1</v>
      </c>
      <c r="EH50" s="11">
        <f>EG50</f>
        <v>1</v>
      </c>
      <c r="EI50" s="11">
        <f t="shared" ref="EI50:EI58" si="1104">IF(DU50=0,1,0)</f>
        <v>0</v>
      </c>
      <c r="EJ50" s="11">
        <f>EI50</f>
        <v>0</v>
      </c>
      <c r="EK50" s="11">
        <f t="shared" ref="EK50:EK58" si="1105">IF(DU50=1,1,0)</f>
        <v>0</v>
      </c>
      <c r="EL50" s="11">
        <f>EK50+EL44</f>
        <v>2</v>
      </c>
      <c r="EM50" s="11">
        <f t="shared" ref="EM50:EM58" si="1106">IF(DU50=2,1,0)</f>
        <v>1</v>
      </c>
      <c r="EN50" s="11">
        <f>EM50</f>
        <v>1</v>
      </c>
      <c r="EO50" s="11">
        <f t="shared" ref="EO50:EO58" si="1107">IF(DU50&gt;=3,1,0)</f>
        <v>0</v>
      </c>
      <c r="EP50" s="11">
        <f>EO50+EP44</f>
        <v>8</v>
      </c>
      <c r="EQ50" s="11"/>
      <c r="ER50" s="11">
        <f>IF($E50=4,DS50-4,NA())</f>
        <v>6</v>
      </c>
      <c r="ES50" s="11"/>
      <c r="ET50" s="15">
        <f>DS50-'Zusammenfassung Tag1-4'!$F$2/18</f>
        <v>7</v>
      </c>
      <c r="EU50" s="17">
        <f>ET50+EU44</f>
        <v>176</v>
      </c>
      <c r="EV50" s="13">
        <v>8</v>
      </c>
      <c r="EW50" s="11">
        <f>EV50+EW44</f>
        <v>209</v>
      </c>
      <c r="EX50" s="14">
        <v>3</v>
      </c>
      <c r="EY50" s="11">
        <f>EX50+EY44</f>
        <v>80</v>
      </c>
      <c r="EZ50" s="11">
        <f t="shared" ref="EZ50:EZ58" si="1108">IF(EV50-EX50&lt;=$E50-2,1,0)</f>
        <v>0</v>
      </c>
      <c r="FA50" s="11">
        <f>EZ50+FA44</f>
        <v>8</v>
      </c>
      <c r="FB50" s="11">
        <f t="shared" ref="FB50:FB58" si="1109">IF(EZ50=0,IF(EV50=$E50,1,0),0)</f>
        <v>0</v>
      </c>
      <c r="FC50" s="11">
        <f>FB50+FC44</f>
        <v>0</v>
      </c>
      <c r="FD50" s="11">
        <f t="shared" ref="FD50:FD58" si="1110">IF($E50-EV50=1,1,0)</f>
        <v>0</v>
      </c>
      <c r="FE50" s="11">
        <f>FD50</f>
        <v>0</v>
      </c>
      <c r="FF50" s="11">
        <f t="shared" ref="FF50:FF58" si="1111">IF(EV50=$E50,1,0)</f>
        <v>0</v>
      </c>
      <c r="FG50" s="11">
        <f>FF50</f>
        <v>0</v>
      </c>
      <c r="FH50" s="11">
        <f t="shared" ref="FH50:FH58" si="1112">IF(EV50-$E50=1,1,0)</f>
        <v>0</v>
      </c>
      <c r="FI50" s="11">
        <f>FH50</f>
        <v>0</v>
      </c>
      <c r="FJ50" s="11">
        <f t="shared" ref="FJ50:FJ58" si="1113">IF(EV50-$E50&gt;=2,1,0)</f>
        <v>1</v>
      </c>
      <c r="FK50" s="11">
        <f>FJ50</f>
        <v>1</v>
      </c>
      <c r="FL50" s="11">
        <f t="shared" ref="FL50:FL58" si="1114">IF(EX50=0,1,0)</f>
        <v>0</v>
      </c>
      <c r="FM50" s="11">
        <f>FL50</f>
        <v>0</v>
      </c>
      <c r="FN50" s="11">
        <f t="shared" ref="FN50:FN58" si="1115">IF(EX50=1,1,0)</f>
        <v>0</v>
      </c>
      <c r="FO50" s="11">
        <f>FN50+FO44</f>
        <v>3</v>
      </c>
      <c r="FP50" s="11">
        <f t="shared" ref="FP50:FP58" si="1116">IF(EX50=2,1,0)</f>
        <v>0</v>
      </c>
      <c r="FQ50" s="11">
        <f>FP50</f>
        <v>0</v>
      </c>
      <c r="FR50" s="11">
        <f t="shared" ref="FR50:FR58" si="1117">IF(EX50&gt;=3,1,0)</f>
        <v>1</v>
      </c>
      <c r="FS50" s="11">
        <f>FR50+FS44</f>
        <v>9</v>
      </c>
      <c r="FT50" s="11"/>
      <c r="FU50" s="11">
        <f>IF($E50=4,EV50-4,NA())</f>
        <v>4</v>
      </c>
      <c r="FV50" s="11"/>
      <c r="FW50" s="15">
        <f>EV50-'Zusammenfassung Tag1-4'!$G$2/18</f>
        <v>6.5</v>
      </c>
      <c r="FX50" s="17">
        <f>FW50+FX44</f>
        <v>153.5</v>
      </c>
      <c r="FY50" s="13">
        <v>6</v>
      </c>
      <c r="FZ50" s="11">
        <f>FY50+FZ44</f>
        <v>269</v>
      </c>
      <c r="GA50" s="14">
        <v>2</v>
      </c>
      <c r="GB50" s="11">
        <f>GA50+GB44</f>
        <v>87</v>
      </c>
      <c r="GC50" s="11">
        <f t="shared" ref="GC50:GC58" si="1118">IF(FY50-GA50&lt;=$E50-2,1,0)</f>
        <v>0</v>
      </c>
      <c r="GD50" s="11">
        <f>GC50+GD44</f>
        <v>2</v>
      </c>
      <c r="GE50" s="11">
        <f t="shared" ref="GE50:GE58" si="1119">IF(GC50=0,IF(FY50=$E50,1,0),0)</f>
        <v>0</v>
      </c>
      <c r="GF50" s="11">
        <f>GE50+GF44</f>
        <v>0</v>
      </c>
      <c r="GG50" s="11">
        <f t="shared" ref="GG50:GG58" si="1120">IF($E50-FY50=1,1,0)</f>
        <v>0</v>
      </c>
      <c r="GH50" s="11">
        <f>GG50</f>
        <v>0</v>
      </c>
      <c r="GI50" s="11">
        <f t="shared" ref="GI50:GI58" si="1121">IF(FY50=$E50,1,0)</f>
        <v>0</v>
      </c>
      <c r="GJ50" s="11">
        <f>GI50</f>
        <v>0</v>
      </c>
      <c r="GK50" s="11">
        <f t="shared" ref="GK50:GK58" si="1122">IF(FY50-$E50=1,1,0)</f>
        <v>0</v>
      </c>
      <c r="GL50" s="11">
        <f>GK50</f>
        <v>0</v>
      </c>
      <c r="GM50" s="11">
        <f t="shared" ref="GM50:GM58" si="1123">IF(FY50-$E50&gt;=2,1,0)</f>
        <v>1</v>
      </c>
      <c r="GN50" s="11">
        <f>GM50</f>
        <v>1</v>
      </c>
      <c r="GO50" s="11">
        <f t="shared" ref="GO50:GO58" si="1124">IF(GA50=0,1,0)</f>
        <v>0</v>
      </c>
      <c r="GP50" s="11">
        <f>GO50</f>
        <v>0</v>
      </c>
      <c r="GQ50" s="11">
        <f t="shared" ref="GQ50:GQ58" si="1125">IF(GA50=1,1,0)</f>
        <v>0</v>
      </c>
      <c r="GR50" s="11">
        <f>GQ50+GR44</f>
        <v>2</v>
      </c>
      <c r="GS50" s="11">
        <f t="shared" ref="GS50:GS58" si="1126">IF(GA50=2,1,0)</f>
        <v>1</v>
      </c>
      <c r="GT50" s="11">
        <f>GS50</f>
        <v>1</v>
      </c>
      <c r="GU50" s="11">
        <f t="shared" ref="GU50:GU58" si="1127">IF(GA50&gt;=3,1,0)</f>
        <v>0</v>
      </c>
      <c r="GV50" s="11">
        <f>GU50+GV44</f>
        <v>15</v>
      </c>
      <c r="GW50" s="11"/>
      <c r="GX50" s="11">
        <f>IF($E50=4,FY50-4,NA())</f>
        <v>2</v>
      </c>
      <c r="GY50" s="11"/>
      <c r="GZ50" s="15">
        <f>FY50-'Zusammenfassung Tag1-4'!$H$2/18</f>
        <v>3</v>
      </c>
      <c r="HA50" s="17">
        <f>GZ50+HA44</f>
        <v>158</v>
      </c>
      <c r="HB50" s="13">
        <v>4</v>
      </c>
      <c r="HC50" s="11">
        <f>HB50+HC44</f>
        <v>195</v>
      </c>
      <c r="HD50" s="14">
        <v>2</v>
      </c>
      <c r="HE50" s="11">
        <f>HD50+HE44</f>
        <v>76</v>
      </c>
      <c r="HF50" s="11">
        <f t="shared" ref="HF50:HF58" si="1128">IF(HB50-HD50&lt;=$E50-2,1,0)</f>
        <v>1</v>
      </c>
      <c r="HG50" s="11">
        <f>HF50+HG44</f>
        <v>11</v>
      </c>
      <c r="HH50" s="11">
        <f t="shared" ref="HH50:HH58" si="1129">IF(HF50=0,IF(HB50=$E50,1,0),0)</f>
        <v>0</v>
      </c>
      <c r="HI50" s="11">
        <f>HH50+HI44</f>
        <v>4</v>
      </c>
      <c r="HJ50" s="11">
        <f t="shared" ref="HJ50:HJ58" si="1130">IF($E50-HB50=1,1,0)</f>
        <v>0</v>
      </c>
      <c r="HK50" s="11">
        <f>HJ50</f>
        <v>0</v>
      </c>
      <c r="HL50" s="11">
        <f t="shared" ref="HL50:HL58" si="1131">IF(HB50=$E50,1,0)</f>
        <v>1</v>
      </c>
      <c r="HM50" s="11">
        <f>HL50</f>
        <v>1</v>
      </c>
      <c r="HN50" s="11">
        <f t="shared" ref="HN50:HN58" si="1132">IF(HB50-$E50=1,1,0)</f>
        <v>0</v>
      </c>
      <c r="HO50" s="11">
        <f>HN50</f>
        <v>0</v>
      </c>
      <c r="HP50" s="11">
        <f t="shared" ref="HP50:HP58" si="1133">IF(HB50-$E50&gt;=2,1,0)</f>
        <v>0</v>
      </c>
      <c r="HQ50" s="11">
        <f>HP50</f>
        <v>0</v>
      </c>
      <c r="HR50" s="11">
        <f t="shared" ref="HR50:HR58" si="1134">IF(HD50=0,1,0)</f>
        <v>0</v>
      </c>
      <c r="HS50" s="11">
        <f>HR50</f>
        <v>0</v>
      </c>
      <c r="HT50" s="11">
        <f t="shared" ref="HT50:HT58" si="1135">IF(HD50=1,1,0)</f>
        <v>0</v>
      </c>
      <c r="HU50" s="11">
        <f>HT50+HU44</f>
        <v>5</v>
      </c>
      <c r="HV50" s="11">
        <f t="shared" ref="HV50:HV58" si="1136">IF(HD50=2,1,0)</f>
        <v>1</v>
      </c>
      <c r="HW50" s="11">
        <f>HV50</f>
        <v>1</v>
      </c>
      <c r="HX50" s="11">
        <f t="shared" ref="HX50:HX58" si="1137">IF(HD50&gt;=3,1,0)</f>
        <v>0</v>
      </c>
      <c r="HY50" s="11">
        <f>HX50+HY44</f>
        <v>7</v>
      </c>
      <c r="HZ50" s="11"/>
      <c r="IA50" s="11">
        <f>IF($E50=4,HB50-4,NA())</f>
        <v>0</v>
      </c>
      <c r="IB50" s="11"/>
      <c r="IC50" s="15">
        <f>HB50-'Zusammenfassung Tag1-4'!$I$2/18</f>
        <v>3</v>
      </c>
      <c r="ID50" s="17">
        <f>IC50+ID44</f>
        <v>158</v>
      </c>
      <c r="IE50" s="13">
        <v>9</v>
      </c>
      <c r="IF50" s="11">
        <f>IE50+IF44</f>
        <v>9</v>
      </c>
      <c r="IG50" s="14">
        <v>3</v>
      </c>
      <c r="IH50" s="11">
        <f>IG50+IH44</f>
        <v>3</v>
      </c>
      <c r="II50" s="11">
        <f t="shared" ref="II50:II58" si="1138">IF(IE50-IG50&lt;=$E50-2,1,0)</f>
        <v>0</v>
      </c>
      <c r="IJ50" s="11">
        <f>II50+IJ44</f>
        <v>36</v>
      </c>
      <c r="IK50" s="11">
        <f t="shared" ref="IK50:IK58" si="1139">IF(II50=0,IF(IE50=$E50,1,0),0)</f>
        <v>0</v>
      </c>
      <c r="IL50" s="11">
        <f>IK50+IL44</f>
        <v>0</v>
      </c>
      <c r="IM50" s="11">
        <f t="shared" ref="IM50:IM58" si="1140">IF($E50-IE50=1,1,0)</f>
        <v>0</v>
      </c>
      <c r="IN50" s="11">
        <f>IM50</f>
        <v>0</v>
      </c>
      <c r="IO50" s="11">
        <f t="shared" ref="IO50:IO58" si="1141">IF(IE50=$E50,1,0)</f>
        <v>0</v>
      </c>
      <c r="IP50" s="11">
        <f>IO50</f>
        <v>0</v>
      </c>
      <c r="IQ50" s="11">
        <f t="shared" ref="IQ50:IQ58" si="1142">IF(IE50-$E50=1,1,0)</f>
        <v>0</v>
      </c>
      <c r="IR50" s="11">
        <f>IQ50</f>
        <v>0</v>
      </c>
      <c r="IS50" s="11">
        <f t="shared" ref="IS50:IS58" si="1143">IF(IE50-$E50&gt;=2,1,0)</f>
        <v>1</v>
      </c>
      <c r="IT50" s="11">
        <f>IS50</f>
        <v>1</v>
      </c>
      <c r="IU50" s="11">
        <f t="shared" ref="IU50:IU58" si="1144">IF(IG50=0,1,0)</f>
        <v>0</v>
      </c>
      <c r="IV50" s="11">
        <f>IU50</f>
        <v>0</v>
      </c>
      <c r="IW50" s="11">
        <f t="shared" ref="IW50:IW58" si="1145">IF(IG50=1,1,0)</f>
        <v>0</v>
      </c>
      <c r="IX50" s="11">
        <f>IW50+IX44</f>
        <v>0</v>
      </c>
      <c r="IY50" s="11">
        <f t="shared" ref="IY50:IY58" si="1146">IF(IG50=2,1,0)</f>
        <v>0</v>
      </c>
      <c r="IZ50" s="11">
        <f>IY50</f>
        <v>0</v>
      </c>
      <c r="JA50" s="11">
        <f t="shared" ref="JA50:JA58" si="1147">IF(IG50&gt;=3,1,0)</f>
        <v>1</v>
      </c>
      <c r="JB50" s="11">
        <f>JA50+JB44</f>
        <v>1</v>
      </c>
      <c r="JC50" s="11"/>
      <c r="JD50" s="11">
        <f>IF($E50=4,IE50-4,NA())</f>
        <v>5</v>
      </c>
      <c r="JE50" s="11"/>
      <c r="JF50" s="15">
        <f>IE50-'Zusammenfassung Tag1-4'!$J$2/18</f>
        <v>6</v>
      </c>
      <c r="JG50" s="17">
        <f>JF50+JG44</f>
        <v>-102</v>
      </c>
      <c r="JH50" s="13">
        <v>4</v>
      </c>
      <c r="JI50" s="11">
        <f>JH50+JI44</f>
        <v>4</v>
      </c>
      <c r="JJ50" s="14">
        <v>2</v>
      </c>
      <c r="JK50" s="11">
        <f>JJ50+JK44</f>
        <v>2</v>
      </c>
      <c r="JL50" s="11">
        <f t="shared" ref="JL50:JL58" si="1148">IF(JH50-JJ50&lt;=$E50-2,1,0)</f>
        <v>1</v>
      </c>
      <c r="JM50" s="11">
        <f>JL50+JM44</f>
        <v>37</v>
      </c>
      <c r="JN50" s="11">
        <f t="shared" ref="JN50:JN58" si="1149">IF(JL50=0,IF(JH50=$E50,1,0),0)</f>
        <v>0</v>
      </c>
      <c r="JO50" s="11">
        <f>JN50+JO44</f>
        <v>0</v>
      </c>
      <c r="JP50" s="11">
        <f t="shared" ref="JP50:JP58" si="1150">IF($E50-JH50=1,1,0)</f>
        <v>0</v>
      </c>
      <c r="JQ50" s="11">
        <f>JP50</f>
        <v>0</v>
      </c>
      <c r="JR50" s="11">
        <f t="shared" ref="JR50:JR58" si="1151">IF(JH50=$E50,1,0)</f>
        <v>1</v>
      </c>
      <c r="JS50" s="11">
        <f>JR50</f>
        <v>1</v>
      </c>
      <c r="JT50" s="11">
        <f t="shared" ref="JT50:JT58" si="1152">IF(JH50-$E50=1,1,0)</f>
        <v>0</v>
      </c>
      <c r="JU50" s="11">
        <f>JT50</f>
        <v>0</v>
      </c>
      <c r="JV50" s="11">
        <f t="shared" ref="JV50:JV58" si="1153">IF(JH50-$E50&gt;=2,1,0)</f>
        <v>0</v>
      </c>
      <c r="JW50" s="11">
        <f>JV50</f>
        <v>0</v>
      </c>
      <c r="JX50" s="11">
        <f t="shared" ref="JX50:JX58" si="1154">IF(JJ50=0,1,0)</f>
        <v>0</v>
      </c>
      <c r="JY50" s="11">
        <f>JX50</f>
        <v>0</v>
      </c>
      <c r="JZ50" s="11">
        <f t="shared" ref="JZ50:JZ58" si="1155">IF(JJ50=1,1,0)</f>
        <v>0</v>
      </c>
      <c r="KA50" s="11">
        <f>JZ50+KA44</f>
        <v>0</v>
      </c>
      <c r="KB50" s="11">
        <f t="shared" ref="KB50:KB58" si="1156">IF(JJ50=2,1,0)</f>
        <v>1</v>
      </c>
      <c r="KC50" s="11">
        <f>KB50</f>
        <v>1</v>
      </c>
      <c r="KD50" s="11">
        <f t="shared" ref="KD50:KD58" si="1157">IF(JJ50&gt;=3,1,0)</f>
        <v>0</v>
      </c>
      <c r="KE50" s="11">
        <f>KD50+KE44</f>
        <v>0</v>
      </c>
      <c r="KF50" s="11"/>
      <c r="KG50" s="11">
        <f>IF($E50=4,JH50-4,NA())</f>
        <v>0</v>
      </c>
      <c r="KH50" s="11"/>
      <c r="KI50" s="15">
        <f>JH50-'Zusammenfassung Tag1-4'!$K$2/18</f>
        <v>3.2222222222222223</v>
      </c>
      <c r="KJ50" s="17">
        <f>KI50+KJ44</f>
        <v>-24.777777777777796</v>
      </c>
      <c r="KK50" s="10"/>
      <c r="KL50" s="10"/>
      <c r="KM50" s="10"/>
      <c r="KN50" s="10"/>
      <c r="KO50" s="10"/>
      <c r="KP50" s="10"/>
      <c r="KQ50" s="10"/>
      <c r="KR50" s="10"/>
      <c r="KS50" s="10"/>
      <c r="KT50" s="10"/>
      <c r="KU50" s="10"/>
      <c r="KV50" s="10"/>
      <c r="KW50" s="10"/>
      <c r="KX50" s="10"/>
      <c r="KY50" s="10"/>
      <c r="KZ50" s="10"/>
      <c r="LA50" s="10"/>
      <c r="LB50" s="10"/>
      <c r="LC50" s="10"/>
      <c r="LD50" s="10"/>
    </row>
    <row r="51" spans="1:316" ht="15.75" customHeight="1" x14ac:dyDescent="0.25">
      <c r="A51" s="106"/>
      <c r="B51" s="103"/>
      <c r="C51" s="6">
        <v>2</v>
      </c>
      <c r="D51" s="6">
        <f t="shared" ref="D51:D58" si="1158">D50+1</f>
        <v>38</v>
      </c>
      <c r="E51" s="6">
        <v>5</v>
      </c>
      <c r="F51" s="7">
        <f t="shared" ref="F51:F58" si="1159">E51+F50</f>
        <v>153</v>
      </c>
      <c r="G51" s="18"/>
      <c r="H51" s="6"/>
      <c r="I51" s="19"/>
      <c r="J51" s="6">
        <f t="shared" ref="J51:J58" si="1160">I51+J50</f>
        <v>71</v>
      </c>
      <c r="K51" s="6">
        <f t="shared" si="1058"/>
        <v>1</v>
      </c>
      <c r="L51" s="6">
        <f t="shared" ref="L51:L58" si="1161">K51+L50</f>
        <v>17</v>
      </c>
      <c r="M51" s="6">
        <f t="shared" si="1059"/>
        <v>0</v>
      </c>
      <c r="N51" s="6">
        <f t="shared" ref="N51:N58" si="1162">M51+N50</f>
        <v>3</v>
      </c>
      <c r="O51" s="6">
        <f t="shared" si="1060"/>
        <v>0</v>
      </c>
      <c r="P51" s="6">
        <f t="shared" ref="P51:P58" si="1163">O51+P50</f>
        <v>1</v>
      </c>
      <c r="Q51" s="6">
        <f t="shared" si="1061"/>
        <v>0</v>
      </c>
      <c r="R51" s="6">
        <f t="shared" ref="R51:R58" si="1164">Q51+R50</f>
        <v>0</v>
      </c>
      <c r="S51" s="6">
        <f t="shared" si="1062"/>
        <v>0</v>
      </c>
      <c r="T51" s="6">
        <f t="shared" ref="T51:T58" si="1165">S51+T50</f>
        <v>0</v>
      </c>
      <c r="U51" s="6">
        <f t="shared" si="1063"/>
        <v>0</v>
      </c>
      <c r="V51" s="6">
        <f t="shared" ref="V51:V58" si="1166">U51+V50</f>
        <v>0</v>
      </c>
      <c r="W51" s="6">
        <f t="shared" si="1064"/>
        <v>1</v>
      </c>
      <c r="X51" s="6">
        <f t="shared" ref="X51:X58" si="1167">W51+X50</f>
        <v>2</v>
      </c>
      <c r="Y51" s="6">
        <f t="shared" si="1065"/>
        <v>0</v>
      </c>
      <c r="Z51" s="6">
        <f t="shared" ref="Z51:Z58" si="1168">Y51+Z50</f>
        <v>7</v>
      </c>
      <c r="AA51" s="6">
        <f t="shared" si="1066"/>
        <v>0</v>
      </c>
      <c r="AB51" s="6">
        <f t="shared" ref="AB51:AB58" si="1169">AA51+AB50</f>
        <v>0</v>
      </c>
      <c r="AC51" s="6">
        <f t="shared" si="1067"/>
        <v>0</v>
      </c>
      <c r="AD51" s="6">
        <f t="shared" ref="AD51:AD58" si="1170">AC51+AD50</f>
        <v>5</v>
      </c>
      <c r="AE51" s="6"/>
      <c r="AF51" s="6"/>
      <c r="AG51" s="6">
        <f t="shared" ref="AG51:AG52" si="1171">IF($E51=5,G51-5,NA())</f>
        <v>-5</v>
      </c>
      <c r="AH51" s="20">
        <f>G51-'Zusammenfassung Tag1-4'!$B$2/18</f>
        <v>-1.1111111111111112</v>
      </c>
      <c r="AI51" s="21">
        <f t="shared" ref="AI51:AI58" si="1172">AH51+AI50</f>
        <v>134.77777777777769</v>
      </c>
      <c r="AJ51" s="18">
        <v>5</v>
      </c>
      <c r="AK51" s="6">
        <f t="shared" ref="AK51:AK58" si="1173">AJ51+AK50</f>
        <v>174</v>
      </c>
      <c r="AL51" s="19">
        <v>2</v>
      </c>
      <c r="AM51" s="6">
        <f t="shared" ref="AM51:AM58" si="1174">AL51+AM50</f>
        <v>71</v>
      </c>
      <c r="AN51" s="6">
        <f t="shared" si="1068"/>
        <v>1</v>
      </c>
      <c r="AO51" s="6">
        <f t="shared" ref="AO51:AO58" si="1175">AN51+AO50</f>
        <v>21</v>
      </c>
      <c r="AP51" s="6">
        <f t="shared" si="1069"/>
        <v>0</v>
      </c>
      <c r="AQ51" s="6">
        <f t="shared" ref="AQ51:AQ58" si="1176">AP51+AQ50</f>
        <v>5</v>
      </c>
      <c r="AR51" s="6">
        <f t="shared" si="1070"/>
        <v>0</v>
      </c>
      <c r="AS51" s="6">
        <f t="shared" ref="AS51:AS58" si="1177">AR51+AS50</f>
        <v>3</v>
      </c>
      <c r="AT51" s="6">
        <f t="shared" si="1071"/>
        <v>1</v>
      </c>
      <c r="AU51" s="6">
        <f t="shared" ref="AU51:AU58" si="1178">AT51+AU50</f>
        <v>1</v>
      </c>
      <c r="AV51" s="6">
        <f t="shared" si="1072"/>
        <v>0</v>
      </c>
      <c r="AW51" s="6">
        <f t="shared" ref="AW51:AW58" si="1179">AV51+AW50</f>
        <v>0</v>
      </c>
      <c r="AX51" s="6">
        <f t="shared" si="1073"/>
        <v>0</v>
      </c>
      <c r="AY51" s="6">
        <f t="shared" ref="AY51:AY58" si="1180">AX51+AY50</f>
        <v>1</v>
      </c>
      <c r="AZ51" s="6">
        <f t="shared" si="1074"/>
        <v>0</v>
      </c>
      <c r="BA51" s="6">
        <f t="shared" ref="BA51:BA58" si="1181">AZ51+BA50</f>
        <v>0</v>
      </c>
      <c r="BB51" s="6">
        <f t="shared" si="1075"/>
        <v>0</v>
      </c>
      <c r="BC51" s="6">
        <f t="shared" ref="BC51:BC58" si="1182">BB51+BC50</f>
        <v>10</v>
      </c>
      <c r="BD51" s="6">
        <f t="shared" si="1076"/>
        <v>1</v>
      </c>
      <c r="BE51" s="6">
        <f t="shared" ref="BE51:BE58" si="1183">BD51+BE50</f>
        <v>1</v>
      </c>
      <c r="BF51" s="6">
        <f t="shared" si="1077"/>
        <v>0</v>
      </c>
      <c r="BG51" s="6">
        <f t="shared" ref="BG51:BG58" si="1184">BF51+BG50</f>
        <v>5</v>
      </c>
      <c r="BH51" s="6"/>
      <c r="BI51" s="6"/>
      <c r="BJ51" s="6">
        <f t="shared" ref="BJ51:BJ52" si="1185">IF($E51=5,AJ51-5,NA())</f>
        <v>0</v>
      </c>
      <c r="BK51" s="20">
        <f>AJ51-'Zusammenfassung Tag1-4'!$C$2/18</f>
        <v>4.333333333333333</v>
      </c>
      <c r="BL51" s="21">
        <f t="shared" ref="BL51:BL58" si="1186">BK51+BL50</f>
        <v>148.66666666666666</v>
      </c>
      <c r="BM51" s="18">
        <v>6</v>
      </c>
      <c r="BN51" s="6">
        <f t="shared" ref="BN51:BN58" si="1187">BM51+BN50</f>
        <v>211</v>
      </c>
      <c r="BO51" s="19">
        <v>2</v>
      </c>
      <c r="BP51" s="6">
        <f t="shared" ref="BP51:BP58" si="1188">BO51+BP50</f>
        <v>78</v>
      </c>
      <c r="BQ51" s="6">
        <f t="shared" si="1078"/>
        <v>0</v>
      </c>
      <c r="BR51" s="6">
        <f t="shared" ref="BR51:BR58" si="1189">BQ51+BR50</f>
        <v>7</v>
      </c>
      <c r="BS51" s="6">
        <f t="shared" si="1079"/>
        <v>0</v>
      </c>
      <c r="BT51" s="6">
        <f t="shared" ref="BT51:BT58" si="1190">BS51+BT50</f>
        <v>3</v>
      </c>
      <c r="BU51" s="6">
        <f t="shared" si="1080"/>
        <v>0</v>
      </c>
      <c r="BV51" s="6">
        <f t="shared" ref="BV51:BV58" si="1191">BU51+BV50</f>
        <v>0</v>
      </c>
      <c r="BW51" s="6">
        <f t="shared" si="1081"/>
        <v>0</v>
      </c>
      <c r="BX51" s="6">
        <f t="shared" ref="BX51:BX58" si="1192">BW51+BX50</f>
        <v>0</v>
      </c>
      <c r="BY51" s="6">
        <f t="shared" si="1082"/>
        <v>1</v>
      </c>
      <c r="BZ51" s="6">
        <f t="shared" ref="BZ51:BZ58" si="1193">BY51+BZ50</f>
        <v>2</v>
      </c>
      <c r="CA51" s="6">
        <f t="shared" si="1083"/>
        <v>0</v>
      </c>
      <c r="CB51" s="6">
        <f t="shared" ref="CB51:CB58" si="1194">CA51+CB50</f>
        <v>0</v>
      </c>
      <c r="CC51" s="6">
        <f t="shared" si="1084"/>
        <v>0</v>
      </c>
      <c r="CD51" s="6">
        <f t="shared" ref="CD51:CD58" si="1195">CC51+CD50</f>
        <v>0</v>
      </c>
      <c r="CE51" s="6">
        <f t="shared" si="1085"/>
        <v>0</v>
      </c>
      <c r="CF51" s="6">
        <f t="shared" ref="CF51:CF58" si="1196">CE51+CF50</f>
        <v>6</v>
      </c>
      <c r="CG51" s="6">
        <f t="shared" si="1086"/>
        <v>1</v>
      </c>
      <c r="CH51" s="6">
        <f t="shared" ref="CH51:CH58" si="1197">CG51+CH50</f>
        <v>1</v>
      </c>
      <c r="CI51" s="6">
        <f t="shared" si="1087"/>
        <v>0</v>
      </c>
      <c r="CJ51" s="6">
        <f t="shared" ref="CJ51:CJ58" si="1198">CI51+CJ50</f>
        <v>8</v>
      </c>
      <c r="CK51" s="6"/>
      <c r="CL51" s="6"/>
      <c r="CM51" s="6">
        <f t="shared" ref="CM51:CM52" si="1199">IF($E51=5,BM51-5,NA())</f>
        <v>1</v>
      </c>
      <c r="CN51" s="20">
        <f>BM51-'Zusammenfassung Tag1-4'!$D$2/18</f>
        <v>4.666666666666667</v>
      </c>
      <c r="CO51" s="21">
        <f t="shared" ref="CO51:CO58" si="1200">CN51+CO50</f>
        <v>160.33333333333331</v>
      </c>
      <c r="CP51" s="18">
        <v>6</v>
      </c>
      <c r="CQ51" s="6">
        <f t="shared" ref="CQ51:CQ58" si="1201">CP51+CQ50</f>
        <v>199</v>
      </c>
      <c r="CR51" s="19">
        <v>1</v>
      </c>
      <c r="CS51" s="6">
        <f t="shared" ref="CS51:CS58" si="1202">CR51+CS50</f>
        <v>77</v>
      </c>
      <c r="CT51" s="6">
        <f t="shared" si="1088"/>
        <v>0</v>
      </c>
      <c r="CU51" s="6">
        <f t="shared" ref="CU51:CU58" si="1203">CT51+CU50</f>
        <v>9</v>
      </c>
      <c r="CV51" s="6">
        <f t="shared" si="1089"/>
        <v>0</v>
      </c>
      <c r="CW51" s="6">
        <f t="shared" ref="CW51:CW58" si="1204">CV51+CW50</f>
        <v>3</v>
      </c>
      <c r="CX51" s="6">
        <f t="shared" si="1090"/>
        <v>0</v>
      </c>
      <c r="CY51" s="6">
        <f t="shared" ref="CY51:CY58" si="1205">CX51+CY50</f>
        <v>0</v>
      </c>
      <c r="CZ51" s="6">
        <f t="shared" si="1091"/>
        <v>0</v>
      </c>
      <c r="DA51" s="6">
        <f t="shared" ref="DA51:DA58" si="1206">CZ51+DA50</f>
        <v>0</v>
      </c>
      <c r="DB51" s="6">
        <f t="shared" si="1092"/>
        <v>1</v>
      </c>
      <c r="DC51" s="6">
        <f t="shared" ref="DC51:DC58" si="1207">DB51+DC50</f>
        <v>2</v>
      </c>
      <c r="DD51" s="6">
        <f t="shared" si="1093"/>
        <v>0</v>
      </c>
      <c r="DE51" s="6">
        <f t="shared" ref="DE51:DE58" si="1208">DD51+DE50</f>
        <v>0</v>
      </c>
      <c r="DF51" s="6">
        <f t="shared" si="1094"/>
        <v>0</v>
      </c>
      <c r="DG51" s="6">
        <f t="shared" ref="DG51:DG58" si="1209">DF51+DG50</f>
        <v>0</v>
      </c>
      <c r="DH51" s="6">
        <f t="shared" si="1095"/>
        <v>1</v>
      </c>
      <c r="DI51" s="6">
        <f t="shared" ref="DI51:DI58" si="1210">DH51+DI50</f>
        <v>7</v>
      </c>
      <c r="DJ51" s="6">
        <f t="shared" si="1096"/>
        <v>0</v>
      </c>
      <c r="DK51" s="6">
        <f t="shared" ref="DK51:DK58" si="1211">DJ51+DK50</f>
        <v>0</v>
      </c>
      <c r="DL51" s="6">
        <f t="shared" si="1097"/>
        <v>0</v>
      </c>
      <c r="DM51" s="6">
        <f t="shared" ref="DM51:DM58" si="1212">DL51+DM50</f>
        <v>8</v>
      </c>
      <c r="DN51" s="6"/>
      <c r="DO51" s="6"/>
      <c r="DP51" s="6">
        <f t="shared" ref="DP51:DP52" si="1213">IF($E51=5,CP51-5,NA())</f>
        <v>1</v>
      </c>
      <c r="DQ51" s="20">
        <f>CP51-'Zusammenfassung Tag1-4'!$E$2/18</f>
        <v>4.7222222222222223</v>
      </c>
      <c r="DR51" s="22">
        <f t="shared" ref="DR51:DR58" si="1214">DQ51+DR50</f>
        <v>150.44444444444457</v>
      </c>
      <c r="DS51" s="18">
        <v>10</v>
      </c>
      <c r="DT51" s="6">
        <f t="shared" ref="DT51:DT58" si="1215">DS51+DT50</f>
        <v>297</v>
      </c>
      <c r="DU51" s="19">
        <v>2</v>
      </c>
      <c r="DV51" s="6">
        <f t="shared" ref="DV51:DV58" si="1216">DU51+DV50</f>
        <v>83</v>
      </c>
      <c r="DW51" s="6">
        <f t="shared" si="1098"/>
        <v>0</v>
      </c>
      <c r="DX51" s="6">
        <f t="shared" ref="DX51:DX58" si="1217">DW51+DX50</f>
        <v>1</v>
      </c>
      <c r="DY51" s="6">
        <f t="shared" si="1099"/>
        <v>0</v>
      </c>
      <c r="DZ51" s="6">
        <f t="shared" ref="DZ51:DZ58" si="1218">DY51+DZ50</f>
        <v>0</v>
      </c>
      <c r="EA51" s="6">
        <f t="shared" si="1100"/>
        <v>0</v>
      </c>
      <c r="EB51" s="6">
        <f t="shared" ref="EB51:EB58" si="1219">EA51+EB50</f>
        <v>0</v>
      </c>
      <c r="EC51" s="6">
        <f t="shared" si="1101"/>
        <v>0</v>
      </c>
      <c r="ED51" s="6">
        <f t="shared" ref="ED51:ED58" si="1220">EC51+ED50</f>
        <v>0</v>
      </c>
      <c r="EE51" s="6">
        <f t="shared" si="1102"/>
        <v>0</v>
      </c>
      <c r="EF51" s="6">
        <f t="shared" ref="EF51:EF58" si="1221">EE51+EF50</f>
        <v>0</v>
      </c>
      <c r="EG51" s="6">
        <f t="shared" si="1103"/>
        <v>1</v>
      </c>
      <c r="EH51" s="6">
        <f t="shared" ref="EH51:EH58" si="1222">EG51+EH50</f>
        <v>2</v>
      </c>
      <c r="EI51" s="6">
        <f t="shared" si="1104"/>
        <v>0</v>
      </c>
      <c r="EJ51" s="6">
        <f t="shared" ref="EJ51:EJ58" si="1223">EI51+EJ50</f>
        <v>0</v>
      </c>
      <c r="EK51" s="6">
        <f t="shared" si="1105"/>
        <v>0</v>
      </c>
      <c r="EL51" s="6">
        <f t="shared" ref="EL51:EL58" si="1224">EK51+EL50</f>
        <v>2</v>
      </c>
      <c r="EM51" s="6">
        <f t="shared" si="1106"/>
        <v>1</v>
      </c>
      <c r="EN51" s="6">
        <f t="shared" ref="EN51:EN58" si="1225">EM51+EN50</f>
        <v>2</v>
      </c>
      <c r="EO51" s="6">
        <f t="shared" si="1107"/>
        <v>0</v>
      </c>
      <c r="EP51" s="6">
        <f t="shared" ref="EP51:EP58" si="1226">EO51+EP50</f>
        <v>8</v>
      </c>
      <c r="EQ51" s="6"/>
      <c r="ER51" s="6"/>
      <c r="ES51" s="6">
        <f t="shared" ref="ES51:ES52" si="1227">IF($E51=5,DS51-5,NA())</f>
        <v>5</v>
      </c>
      <c r="ET51" s="20">
        <f>DS51-'Zusammenfassung Tag1-4'!$F$2/18</f>
        <v>7</v>
      </c>
      <c r="EU51" s="22">
        <f t="shared" ref="EU51:EU58" si="1228">ET51+EU50</f>
        <v>183</v>
      </c>
      <c r="EV51" s="18">
        <v>6</v>
      </c>
      <c r="EW51" s="6">
        <f t="shared" ref="EW51:EW58" si="1229">EV51+EW50</f>
        <v>215</v>
      </c>
      <c r="EX51" s="19">
        <v>2</v>
      </c>
      <c r="EY51" s="6">
        <f t="shared" ref="EY51:EY58" si="1230">EX51+EY50</f>
        <v>82</v>
      </c>
      <c r="EZ51" s="6">
        <f t="shared" si="1108"/>
        <v>0</v>
      </c>
      <c r="FA51" s="6">
        <f t="shared" ref="FA51:FA58" si="1231">EZ51+FA50</f>
        <v>8</v>
      </c>
      <c r="FB51" s="6">
        <f t="shared" si="1109"/>
        <v>0</v>
      </c>
      <c r="FC51" s="6">
        <f t="shared" ref="FC51:FC58" si="1232">FB51+FC50</f>
        <v>0</v>
      </c>
      <c r="FD51" s="6">
        <f t="shared" si="1110"/>
        <v>0</v>
      </c>
      <c r="FE51" s="6">
        <f t="shared" ref="FE51:FE58" si="1233">FD51+FE50</f>
        <v>0</v>
      </c>
      <c r="FF51" s="6">
        <f t="shared" si="1111"/>
        <v>0</v>
      </c>
      <c r="FG51" s="6">
        <f t="shared" ref="FG51:FG58" si="1234">FF51+FG50</f>
        <v>0</v>
      </c>
      <c r="FH51" s="6">
        <f t="shared" si="1112"/>
        <v>1</v>
      </c>
      <c r="FI51" s="6">
        <f t="shared" ref="FI51:FI58" si="1235">FH51+FI50</f>
        <v>1</v>
      </c>
      <c r="FJ51" s="6">
        <f t="shared" si="1113"/>
        <v>0</v>
      </c>
      <c r="FK51" s="6">
        <f t="shared" ref="FK51:FK58" si="1236">FJ51+FK50</f>
        <v>1</v>
      </c>
      <c r="FL51" s="6">
        <f t="shared" si="1114"/>
        <v>0</v>
      </c>
      <c r="FM51" s="6">
        <f t="shared" ref="FM51:FM58" si="1237">FL51+FM50</f>
        <v>0</v>
      </c>
      <c r="FN51" s="6">
        <f t="shared" si="1115"/>
        <v>0</v>
      </c>
      <c r="FO51" s="6">
        <f t="shared" ref="FO51:FO58" si="1238">FN51+FO50</f>
        <v>3</v>
      </c>
      <c r="FP51" s="6">
        <f t="shared" si="1116"/>
        <v>1</v>
      </c>
      <c r="FQ51" s="6">
        <f t="shared" ref="FQ51:FQ58" si="1239">FP51+FQ50</f>
        <v>1</v>
      </c>
      <c r="FR51" s="6">
        <f t="shared" si="1117"/>
        <v>0</v>
      </c>
      <c r="FS51" s="6">
        <f t="shared" ref="FS51:FS58" si="1240">FR51+FS50</f>
        <v>9</v>
      </c>
      <c r="FT51" s="6"/>
      <c r="FU51" s="6"/>
      <c r="FV51" s="6">
        <f t="shared" ref="FV51:FV52" si="1241">IF($E51=5,EV51-5,NA())</f>
        <v>1</v>
      </c>
      <c r="FW51" s="20">
        <f>EV51-'Zusammenfassung Tag1-4'!$G$2/18</f>
        <v>4.5</v>
      </c>
      <c r="FX51" s="22">
        <f t="shared" ref="FX51:FX58" si="1242">FW51+FX50</f>
        <v>158</v>
      </c>
      <c r="FY51" s="18">
        <v>8</v>
      </c>
      <c r="FZ51" s="6">
        <f t="shared" ref="FZ51:FZ58" si="1243">FY51+FZ50</f>
        <v>277</v>
      </c>
      <c r="GA51" s="19">
        <v>2</v>
      </c>
      <c r="GB51" s="6">
        <f t="shared" ref="GB51:GB58" si="1244">GA51+GB50</f>
        <v>89</v>
      </c>
      <c r="GC51" s="6">
        <f t="shared" si="1118"/>
        <v>0</v>
      </c>
      <c r="GD51" s="6">
        <f t="shared" ref="GD51:GD58" si="1245">GC51+GD50</f>
        <v>2</v>
      </c>
      <c r="GE51" s="6">
        <f t="shared" si="1119"/>
        <v>0</v>
      </c>
      <c r="GF51" s="6">
        <f t="shared" ref="GF51:GF58" si="1246">GE51+GF50</f>
        <v>0</v>
      </c>
      <c r="GG51" s="6">
        <f t="shared" si="1120"/>
        <v>0</v>
      </c>
      <c r="GH51" s="6">
        <f t="shared" ref="GH51:GH58" si="1247">GG51+GH50</f>
        <v>0</v>
      </c>
      <c r="GI51" s="6">
        <f t="shared" si="1121"/>
        <v>0</v>
      </c>
      <c r="GJ51" s="6">
        <f t="shared" ref="GJ51:GJ58" si="1248">GI51+GJ50</f>
        <v>0</v>
      </c>
      <c r="GK51" s="6">
        <f t="shared" si="1122"/>
        <v>0</v>
      </c>
      <c r="GL51" s="6">
        <f t="shared" ref="GL51:GL58" si="1249">GK51+GL50</f>
        <v>0</v>
      </c>
      <c r="GM51" s="6">
        <f t="shared" si="1123"/>
        <v>1</v>
      </c>
      <c r="GN51" s="6">
        <f t="shared" ref="GN51:GN58" si="1250">GM51+GN50</f>
        <v>2</v>
      </c>
      <c r="GO51" s="6">
        <f t="shared" si="1124"/>
        <v>0</v>
      </c>
      <c r="GP51" s="6">
        <f t="shared" ref="GP51:GP58" si="1251">GO51+GP50</f>
        <v>0</v>
      </c>
      <c r="GQ51" s="6">
        <f t="shared" si="1125"/>
        <v>0</v>
      </c>
      <c r="GR51" s="6">
        <f t="shared" ref="GR51:GR58" si="1252">GQ51+GR50</f>
        <v>2</v>
      </c>
      <c r="GS51" s="6">
        <f t="shared" si="1126"/>
        <v>1</v>
      </c>
      <c r="GT51" s="6">
        <f t="shared" ref="GT51:GT58" si="1253">GS51+GT50</f>
        <v>2</v>
      </c>
      <c r="GU51" s="6">
        <f t="shared" si="1127"/>
        <v>0</v>
      </c>
      <c r="GV51" s="6">
        <f t="shared" ref="GV51:GV58" si="1254">GU51+GV50</f>
        <v>15</v>
      </c>
      <c r="GW51" s="6"/>
      <c r="GX51" s="6"/>
      <c r="GY51" s="6">
        <f t="shared" ref="GY51:GY52" si="1255">IF($E51=5,FY51-5,NA())</f>
        <v>3</v>
      </c>
      <c r="GZ51" s="20">
        <f>FY51-'Zusammenfassung Tag1-4'!$H$2/18</f>
        <v>5</v>
      </c>
      <c r="HA51" s="22">
        <f t="shared" ref="HA51:HA58" si="1256">GZ51+HA50</f>
        <v>163</v>
      </c>
      <c r="HB51" s="18">
        <v>6</v>
      </c>
      <c r="HC51" s="6">
        <f t="shared" ref="HC51:HC58" si="1257">HB51+HC50</f>
        <v>201</v>
      </c>
      <c r="HD51" s="19">
        <v>3</v>
      </c>
      <c r="HE51" s="6">
        <f t="shared" ref="HE51:HE58" si="1258">HD51+HE50</f>
        <v>79</v>
      </c>
      <c r="HF51" s="6">
        <f t="shared" si="1128"/>
        <v>1</v>
      </c>
      <c r="HG51" s="6">
        <f t="shared" ref="HG51:HG58" si="1259">HF51+HG50</f>
        <v>12</v>
      </c>
      <c r="HH51" s="6">
        <f t="shared" si="1129"/>
        <v>0</v>
      </c>
      <c r="HI51" s="6">
        <f t="shared" ref="HI51:HI58" si="1260">HH51+HI50</f>
        <v>4</v>
      </c>
      <c r="HJ51" s="6">
        <f t="shared" si="1130"/>
        <v>0</v>
      </c>
      <c r="HK51" s="6">
        <f t="shared" ref="HK51:HK58" si="1261">HJ51+HK50</f>
        <v>0</v>
      </c>
      <c r="HL51" s="6">
        <f t="shared" si="1131"/>
        <v>0</v>
      </c>
      <c r="HM51" s="6">
        <f t="shared" ref="HM51:HM58" si="1262">HL51+HM50</f>
        <v>1</v>
      </c>
      <c r="HN51" s="6">
        <f t="shared" si="1132"/>
        <v>1</v>
      </c>
      <c r="HO51" s="6">
        <f t="shared" ref="HO51:HO58" si="1263">HN51+HO50</f>
        <v>1</v>
      </c>
      <c r="HP51" s="6">
        <f t="shared" si="1133"/>
        <v>0</v>
      </c>
      <c r="HQ51" s="6">
        <f t="shared" ref="HQ51:HQ58" si="1264">HP51+HQ50</f>
        <v>0</v>
      </c>
      <c r="HR51" s="6">
        <f t="shared" si="1134"/>
        <v>0</v>
      </c>
      <c r="HS51" s="6">
        <f t="shared" ref="HS51:HS58" si="1265">HR51+HS50</f>
        <v>0</v>
      </c>
      <c r="HT51" s="6">
        <f t="shared" si="1135"/>
        <v>0</v>
      </c>
      <c r="HU51" s="6">
        <f t="shared" ref="HU51:HU58" si="1266">HT51+HU50</f>
        <v>5</v>
      </c>
      <c r="HV51" s="6">
        <f t="shared" si="1136"/>
        <v>0</v>
      </c>
      <c r="HW51" s="6">
        <f t="shared" ref="HW51:HW58" si="1267">HV51+HW50</f>
        <v>1</v>
      </c>
      <c r="HX51" s="6">
        <f t="shared" si="1137"/>
        <v>1</v>
      </c>
      <c r="HY51" s="6">
        <f t="shared" ref="HY51:HY58" si="1268">HX51+HY50</f>
        <v>8</v>
      </c>
      <c r="HZ51" s="6"/>
      <c r="IA51" s="6"/>
      <c r="IB51" s="6">
        <f t="shared" ref="IB51:IB52" si="1269">IF($E51=5,HB51-5,NA())</f>
        <v>1</v>
      </c>
      <c r="IC51" s="20">
        <f>HB51-'Zusammenfassung Tag1-4'!$I$2/18</f>
        <v>5</v>
      </c>
      <c r="ID51" s="22">
        <f t="shared" ref="ID51:ID58" si="1270">IC51+ID50</f>
        <v>163</v>
      </c>
      <c r="IE51" s="18">
        <v>8</v>
      </c>
      <c r="IF51" s="6">
        <f t="shared" ref="IF51:IF58" si="1271">IE51+IF50</f>
        <v>17</v>
      </c>
      <c r="IG51" s="19">
        <v>3</v>
      </c>
      <c r="IH51" s="6">
        <f t="shared" ref="IH51:IH58" si="1272">IG51+IH50</f>
        <v>6</v>
      </c>
      <c r="II51" s="6">
        <f t="shared" si="1138"/>
        <v>0</v>
      </c>
      <c r="IJ51" s="6">
        <f t="shared" ref="IJ51:IJ58" si="1273">II51+IJ50</f>
        <v>36</v>
      </c>
      <c r="IK51" s="6">
        <f t="shared" si="1139"/>
        <v>0</v>
      </c>
      <c r="IL51" s="6">
        <f t="shared" ref="IL51:IL58" si="1274">IK51+IL50</f>
        <v>0</v>
      </c>
      <c r="IM51" s="6">
        <f t="shared" si="1140"/>
        <v>0</v>
      </c>
      <c r="IN51" s="6">
        <f t="shared" ref="IN51:IN58" si="1275">IM51+IN50</f>
        <v>0</v>
      </c>
      <c r="IO51" s="6">
        <f t="shared" si="1141"/>
        <v>0</v>
      </c>
      <c r="IP51" s="6">
        <f t="shared" ref="IP51:IP58" si="1276">IO51+IP50</f>
        <v>0</v>
      </c>
      <c r="IQ51" s="6">
        <f t="shared" si="1142"/>
        <v>0</v>
      </c>
      <c r="IR51" s="6">
        <f t="shared" ref="IR51:IR58" si="1277">IQ51+IR50</f>
        <v>0</v>
      </c>
      <c r="IS51" s="6">
        <f t="shared" si="1143"/>
        <v>1</v>
      </c>
      <c r="IT51" s="6">
        <f t="shared" ref="IT51:IT58" si="1278">IS51+IT50</f>
        <v>2</v>
      </c>
      <c r="IU51" s="6">
        <f t="shared" si="1144"/>
        <v>0</v>
      </c>
      <c r="IV51" s="6">
        <f t="shared" ref="IV51:IV58" si="1279">IU51+IV50</f>
        <v>0</v>
      </c>
      <c r="IW51" s="6">
        <f t="shared" si="1145"/>
        <v>0</v>
      </c>
      <c r="IX51" s="6">
        <f t="shared" ref="IX51:IX58" si="1280">IW51+IX50</f>
        <v>0</v>
      </c>
      <c r="IY51" s="6">
        <f t="shared" si="1146"/>
        <v>0</v>
      </c>
      <c r="IZ51" s="6">
        <f t="shared" ref="IZ51:IZ58" si="1281">IY51+IZ50</f>
        <v>0</v>
      </c>
      <c r="JA51" s="6">
        <f t="shared" si="1147"/>
        <v>1</v>
      </c>
      <c r="JB51" s="6">
        <f t="shared" ref="JB51:JB58" si="1282">JA51+JB50</f>
        <v>2</v>
      </c>
      <c r="JC51" s="6"/>
      <c r="JD51" s="6"/>
      <c r="JE51" s="6">
        <f t="shared" ref="JE51:JE52" si="1283">IF($E51=5,IE51-5,NA())</f>
        <v>3</v>
      </c>
      <c r="JF51" s="20">
        <f>IE51-'Zusammenfassung Tag1-4'!$J$2/18</f>
        <v>5</v>
      </c>
      <c r="JG51" s="22">
        <f t="shared" ref="JG51:JG58" si="1284">JF51+JG50</f>
        <v>-97</v>
      </c>
      <c r="JH51" s="18">
        <v>5</v>
      </c>
      <c r="JI51" s="6">
        <f t="shared" ref="JI51:JI58" si="1285">JH51+JI50</f>
        <v>9</v>
      </c>
      <c r="JJ51" s="19">
        <v>2</v>
      </c>
      <c r="JK51" s="6">
        <f t="shared" ref="JK51:JK58" si="1286">JJ51+JK50</f>
        <v>4</v>
      </c>
      <c r="JL51" s="6">
        <f t="shared" si="1148"/>
        <v>1</v>
      </c>
      <c r="JM51" s="6">
        <f t="shared" ref="JM51:JM58" si="1287">JL51+JM50</f>
        <v>38</v>
      </c>
      <c r="JN51" s="6">
        <f t="shared" si="1149"/>
        <v>0</v>
      </c>
      <c r="JO51" s="6">
        <f t="shared" ref="JO51:JO58" si="1288">JN51+JO50</f>
        <v>0</v>
      </c>
      <c r="JP51" s="6">
        <f t="shared" si="1150"/>
        <v>0</v>
      </c>
      <c r="JQ51" s="6">
        <f t="shared" ref="JQ51:JQ58" si="1289">JP51+JQ50</f>
        <v>0</v>
      </c>
      <c r="JR51" s="6">
        <f t="shared" si="1151"/>
        <v>1</v>
      </c>
      <c r="JS51" s="6">
        <f t="shared" ref="JS51:JS58" si="1290">JR51+JS50</f>
        <v>2</v>
      </c>
      <c r="JT51" s="6">
        <f t="shared" si="1152"/>
        <v>0</v>
      </c>
      <c r="JU51" s="6">
        <f t="shared" ref="JU51:JU58" si="1291">JT51+JU50</f>
        <v>0</v>
      </c>
      <c r="JV51" s="6">
        <f t="shared" si="1153"/>
        <v>0</v>
      </c>
      <c r="JW51" s="6">
        <f t="shared" ref="JW51:JW58" si="1292">JV51+JW50</f>
        <v>0</v>
      </c>
      <c r="JX51" s="6">
        <f t="shared" si="1154"/>
        <v>0</v>
      </c>
      <c r="JY51" s="6">
        <f t="shared" ref="JY51:JY58" si="1293">JX51+JY50</f>
        <v>0</v>
      </c>
      <c r="JZ51" s="6">
        <f t="shared" si="1155"/>
        <v>0</v>
      </c>
      <c r="KA51" s="6">
        <f t="shared" ref="KA51:KA58" si="1294">JZ51+KA50</f>
        <v>0</v>
      </c>
      <c r="KB51" s="6">
        <f t="shared" si="1156"/>
        <v>1</v>
      </c>
      <c r="KC51" s="6">
        <f t="shared" ref="KC51:KC58" si="1295">KB51+KC50</f>
        <v>2</v>
      </c>
      <c r="KD51" s="6">
        <f t="shared" si="1157"/>
        <v>0</v>
      </c>
      <c r="KE51" s="6">
        <f t="shared" ref="KE51:KE58" si="1296">KD51+KE50</f>
        <v>0</v>
      </c>
      <c r="KF51" s="6"/>
      <c r="KG51" s="6"/>
      <c r="KH51" s="6">
        <f t="shared" ref="KH51:KH52" si="1297">IF($E51=5,JH51-5,NA())</f>
        <v>0</v>
      </c>
      <c r="KI51" s="20">
        <f>JH51-'Zusammenfassung Tag1-4'!$K$2/18</f>
        <v>4.2222222222222223</v>
      </c>
      <c r="KJ51" s="22">
        <f t="shared" ref="KJ51:KJ58" si="1298">KI51+KJ50</f>
        <v>-20.555555555555575</v>
      </c>
      <c r="KK51" s="10"/>
      <c r="KL51" s="10"/>
      <c r="KM51" s="10"/>
      <c r="KN51" s="10"/>
      <c r="KO51" s="10"/>
      <c r="KP51" s="10"/>
      <c r="KQ51" s="10"/>
      <c r="KR51" s="10"/>
      <c r="KS51" s="10"/>
      <c r="KT51" s="10"/>
      <c r="KU51" s="10"/>
      <c r="KV51" s="10"/>
      <c r="KW51" s="10"/>
      <c r="KX51" s="10"/>
      <c r="KY51" s="10"/>
      <c r="KZ51" s="10"/>
      <c r="LA51" s="10"/>
      <c r="LB51" s="10"/>
      <c r="LC51" s="10"/>
      <c r="LD51" s="10"/>
    </row>
    <row r="52" spans="1:316" ht="15.75" customHeight="1" x14ac:dyDescent="0.25">
      <c r="A52" s="106"/>
      <c r="B52" s="103"/>
      <c r="C52" s="6">
        <v>3</v>
      </c>
      <c r="D52" s="6">
        <f t="shared" si="1158"/>
        <v>39</v>
      </c>
      <c r="E52" s="6">
        <v>5</v>
      </c>
      <c r="F52" s="7">
        <f t="shared" si="1159"/>
        <v>158</v>
      </c>
      <c r="G52" s="18"/>
      <c r="H52" s="6"/>
      <c r="I52" s="19"/>
      <c r="J52" s="6">
        <f t="shared" si="1160"/>
        <v>71</v>
      </c>
      <c r="K52" s="6">
        <f t="shared" si="1058"/>
        <v>1</v>
      </c>
      <c r="L52" s="6">
        <f t="shared" si="1161"/>
        <v>18</v>
      </c>
      <c r="M52" s="6">
        <f t="shared" si="1059"/>
        <v>0</v>
      </c>
      <c r="N52" s="6">
        <f t="shared" si="1162"/>
        <v>3</v>
      </c>
      <c r="O52" s="6">
        <f t="shared" si="1060"/>
        <v>0</v>
      </c>
      <c r="P52" s="6">
        <f t="shared" si="1163"/>
        <v>1</v>
      </c>
      <c r="Q52" s="6">
        <f t="shared" si="1061"/>
        <v>0</v>
      </c>
      <c r="R52" s="6">
        <f t="shared" si="1164"/>
        <v>0</v>
      </c>
      <c r="S52" s="6">
        <f t="shared" si="1062"/>
        <v>0</v>
      </c>
      <c r="T52" s="6">
        <f t="shared" si="1165"/>
        <v>0</v>
      </c>
      <c r="U52" s="6">
        <f t="shared" si="1063"/>
        <v>0</v>
      </c>
      <c r="V52" s="6">
        <f t="shared" si="1166"/>
        <v>0</v>
      </c>
      <c r="W52" s="6">
        <f t="shared" si="1064"/>
        <v>1</v>
      </c>
      <c r="X52" s="6">
        <f t="shared" si="1167"/>
        <v>3</v>
      </c>
      <c r="Y52" s="6">
        <f t="shared" si="1065"/>
        <v>0</v>
      </c>
      <c r="Z52" s="6">
        <f t="shared" si="1168"/>
        <v>7</v>
      </c>
      <c r="AA52" s="6">
        <f t="shared" si="1066"/>
        <v>0</v>
      </c>
      <c r="AB52" s="6">
        <f t="shared" si="1169"/>
        <v>0</v>
      </c>
      <c r="AC52" s="6">
        <f t="shared" si="1067"/>
        <v>0</v>
      </c>
      <c r="AD52" s="6">
        <f t="shared" si="1170"/>
        <v>5</v>
      </c>
      <c r="AE52" s="6"/>
      <c r="AF52" s="6"/>
      <c r="AG52" s="6">
        <f t="shared" si="1171"/>
        <v>-5</v>
      </c>
      <c r="AH52" s="20">
        <f>G52-'Zusammenfassung Tag1-4'!$B$2/18</f>
        <v>-1.1111111111111112</v>
      </c>
      <c r="AI52" s="21">
        <f t="shared" si="1172"/>
        <v>133.66666666666657</v>
      </c>
      <c r="AJ52" s="18">
        <v>6</v>
      </c>
      <c r="AK52" s="6">
        <f t="shared" si="1173"/>
        <v>180</v>
      </c>
      <c r="AL52" s="19">
        <v>3</v>
      </c>
      <c r="AM52" s="6">
        <f t="shared" si="1174"/>
        <v>74</v>
      </c>
      <c r="AN52" s="6">
        <f t="shared" si="1068"/>
        <v>1</v>
      </c>
      <c r="AO52" s="6">
        <f t="shared" si="1175"/>
        <v>22</v>
      </c>
      <c r="AP52" s="6">
        <f t="shared" si="1069"/>
        <v>0</v>
      </c>
      <c r="AQ52" s="6">
        <f t="shared" si="1176"/>
        <v>5</v>
      </c>
      <c r="AR52" s="6">
        <f t="shared" si="1070"/>
        <v>0</v>
      </c>
      <c r="AS52" s="6">
        <f t="shared" si="1177"/>
        <v>3</v>
      </c>
      <c r="AT52" s="6">
        <f t="shared" si="1071"/>
        <v>0</v>
      </c>
      <c r="AU52" s="6">
        <f t="shared" si="1178"/>
        <v>1</v>
      </c>
      <c r="AV52" s="6">
        <f t="shared" si="1072"/>
        <v>1</v>
      </c>
      <c r="AW52" s="6">
        <f t="shared" si="1179"/>
        <v>1</v>
      </c>
      <c r="AX52" s="6">
        <f t="shared" si="1073"/>
        <v>0</v>
      </c>
      <c r="AY52" s="6">
        <f t="shared" si="1180"/>
        <v>1</v>
      </c>
      <c r="AZ52" s="6">
        <f t="shared" si="1074"/>
        <v>0</v>
      </c>
      <c r="BA52" s="6">
        <f t="shared" si="1181"/>
        <v>0</v>
      </c>
      <c r="BB52" s="6">
        <f t="shared" si="1075"/>
        <v>0</v>
      </c>
      <c r="BC52" s="6">
        <f t="shared" si="1182"/>
        <v>10</v>
      </c>
      <c r="BD52" s="6">
        <f t="shared" si="1076"/>
        <v>0</v>
      </c>
      <c r="BE52" s="6">
        <f t="shared" si="1183"/>
        <v>1</v>
      </c>
      <c r="BF52" s="6">
        <f t="shared" si="1077"/>
        <v>1</v>
      </c>
      <c r="BG52" s="6">
        <f t="shared" si="1184"/>
        <v>6</v>
      </c>
      <c r="BH52" s="6"/>
      <c r="BI52" s="6"/>
      <c r="BJ52" s="6">
        <f t="shared" si="1185"/>
        <v>1</v>
      </c>
      <c r="BK52" s="20">
        <f>AJ52-'Zusammenfassung Tag1-4'!$C$2/18</f>
        <v>5.333333333333333</v>
      </c>
      <c r="BL52" s="21">
        <f t="shared" si="1186"/>
        <v>154</v>
      </c>
      <c r="BM52" s="18">
        <v>7</v>
      </c>
      <c r="BN52" s="6">
        <f t="shared" si="1187"/>
        <v>218</v>
      </c>
      <c r="BO52" s="19">
        <v>3</v>
      </c>
      <c r="BP52" s="6">
        <f t="shared" si="1188"/>
        <v>81</v>
      </c>
      <c r="BQ52" s="6">
        <f t="shared" si="1078"/>
        <v>0</v>
      </c>
      <c r="BR52" s="6">
        <f t="shared" si="1189"/>
        <v>7</v>
      </c>
      <c r="BS52" s="6">
        <f t="shared" si="1079"/>
        <v>0</v>
      </c>
      <c r="BT52" s="6">
        <f t="shared" si="1190"/>
        <v>3</v>
      </c>
      <c r="BU52" s="6">
        <f t="shared" si="1080"/>
        <v>0</v>
      </c>
      <c r="BV52" s="6">
        <f t="shared" si="1191"/>
        <v>0</v>
      </c>
      <c r="BW52" s="6">
        <f t="shared" si="1081"/>
        <v>0</v>
      </c>
      <c r="BX52" s="6">
        <f t="shared" si="1192"/>
        <v>0</v>
      </c>
      <c r="BY52" s="6">
        <f t="shared" si="1082"/>
        <v>0</v>
      </c>
      <c r="BZ52" s="6">
        <f t="shared" si="1193"/>
        <v>2</v>
      </c>
      <c r="CA52" s="6">
        <f t="shared" si="1083"/>
        <v>1</v>
      </c>
      <c r="CB52" s="6">
        <f t="shared" si="1194"/>
        <v>1</v>
      </c>
      <c r="CC52" s="6">
        <f t="shared" si="1084"/>
        <v>0</v>
      </c>
      <c r="CD52" s="6">
        <f t="shared" si="1195"/>
        <v>0</v>
      </c>
      <c r="CE52" s="6">
        <f t="shared" si="1085"/>
        <v>0</v>
      </c>
      <c r="CF52" s="6">
        <f t="shared" si="1196"/>
        <v>6</v>
      </c>
      <c r="CG52" s="6">
        <f t="shared" si="1086"/>
        <v>0</v>
      </c>
      <c r="CH52" s="6">
        <f t="shared" si="1197"/>
        <v>1</v>
      </c>
      <c r="CI52" s="6">
        <f t="shared" si="1087"/>
        <v>1</v>
      </c>
      <c r="CJ52" s="6">
        <f t="shared" si="1198"/>
        <v>9</v>
      </c>
      <c r="CK52" s="6"/>
      <c r="CL52" s="6"/>
      <c r="CM52" s="6">
        <f t="shared" si="1199"/>
        <v>2</v>
      </c>
      <c r="CN52" s="20">
        <f>BM52-'Zusammenfassung Tag1-4'!$D$2/18</f>
        <v>5.666666666666667</v>
      </c>
      <c r="CO52" s="21">
        <f t="shared" si="1200"/>
        <v>165.99999999999997</v>
      </c>
      <c r="CP52" s="18">
        <v>5</v>
      </c>
      <c r="CQ52" s="6">
        <f t="shared" si="1201"/>
        <v>204</v>
      </c>
      <c r="CR52" s="19">
        <v>2</v>
      </c>
      <c r="CS52" s="6">
        <f t="shared" si="1202"/>
        <v>79</v>
      </c>
      <c r="CT52" s="6">
        <f t="shared" si="1088"/>
        <v>1</v>
      </c>
      <c r="CU52" s="6">
        <f t="shared" si="1203"/>
        <v>10</v>
      </c>
      <c r="CV52" s="6">
        <f t="shared" si="1089"/>
        <v>0</v>
      </c>
      <c r="CW52" s="6">
        <f t="shared" si="1204"/>
        <v>3</v>
      </c>
      <c r="CX52" s="6">
        <f t="shared" si="1090"/>
        <v>0</v>
      </c>
      <c r="CY52" s="6">
        <f t="shared" si="1205"/>
        <v>0</v>
      </c>
      <c r="CZ52" s="6">
        <f t="shared" si="1091"/>
        <v>1</v>
      </c>
      <c r="DA52" s="6">
        <f t="shared" si="1206"/>
        <v>1</v>
      </c>
      <c r="DB52" s="6">
        <f t="shared" si="1092"/>
        <v>0</v>
      </c>
      <c r="DC52" s="6">
        <f t="shared" si="1207"/>
        <v>2</v>
      </c>
      <c r="DD52" s="6">
        <f t="shared" si="1093"/>
        <v>0</v>
      </c>
      <c r="DE52" s="6">
        <f t="shared" si="1208"/>
        <v>0</v>
      </c>
      <c r="DF52" s="6">
        <f t="shared" si="1094"/>
        <v>0</v>
      </c>
      <c r="DG52" s="6">
        <f t="shared" si="1209"/>
        <v>0</v>
      </c>
      <c r="DH52" s="6">
        <f t="shared" si="1095"/>
        <v>0</v>
      </c>
      <c r="DI52" s="6">
        <f t="shared" si="1210"/>
        <v>7</v>
      </c>
      <c r="DJ52" s="6">
        <f t="shared" si="1096"/>
        <v>1</v>
      </c>
      <c r="DK52" s="6">
        <f t="shared" si="1211"/>
        <v>1</v>
      </c>
      <c r="DL52" s="6">
        <f t="shared" si="1097"/>
        <v>0</v>
      </c>
      <c r="DM52" s="6">
        <f t="shared" si="1212"/>
        <v>8</v>
      </c>
      <c r="DN52" s="6"/>
      <c r="DO52" s="6"/>
      <c r="DP52" s="6">
        <f t="shared" si="1213"/>
        <v>0</v>
      </c>
      <c r="DQ52" s="20">
        <f>CP52-'Zusammenfassung Tag1-4'!$E$2/18</f>
        <v>3.7222222222222223</v>
      </c>
      <c r="DR52" s="22">
        <f t="shared" si="1214"/>
        <v>154.1666666666668</v>
      </c>
      <c r="DS52" s="18">
        <v>9</v>
      </c>
      <c r="DT52" s="6">
        <f t="shared" si="1215"/>
        <v>306</v>
      </c>
      <c r="DU52" s="19">
        <v>3</v>
      </c>
      <c r="DV52" s="6">
        <f t="shared" si="1216"/>
        <v>86</v>
      </c>
      <c r="DW52" s="6">
        <f t="shared" si="1098"/>
        <v>0</v>
      </c>
      <c r="DX52" s="6">
        <f t="shared" si="1217"/>
        <v>1</v>
      </c>
      <c r="DY52" s="6">
        <f t="shared" si="1099"/>
        <v>0</v>
      </c>
      <c r="DZ52" s="6">
        <f t="shared" si="1218"/>
        <v>0</v>
      </c>
      <c r="EA52" s="6">
        <f t="shared" si="1100"/>
        <v>0</v>
      </c>
      <c r="EB52" s="6">
        <f t="shared" si="1219"/>
        <v>0</v>
      </c>
      <c r="EC52" s="6">
        <f t="shared" si="1101"/>
        <v>0</v>
      </c>
      <c r="ED52" s="6">
        <f t="shared" si="1220"/>
        <v>0</v>
      </c>
      <c r="EE52" s="6">
        <f t="shared" si="1102"/>
        <v>0</v>
      </c>
      <c r="EF52" s="6">
        <f t="shared" si="1221"/>
        <v>0</v>
      </c>
      <c r="EG52" s="6">
        <f t="shared" si="1103"/>
        <v>1</v>
      </c>
      <c r="EH52" s="6">
        <f t="shared" si="1222"/>
        <v>3</v>
      </c>
      <c r="EI52" s="6">
        <f t="shared" si="1104"/>
        <v>0</v>
      </c>
      <c r="EJ52" s="6">
        <f t="shared" si="1223"/>
        <v>0</v>
      </c>
      <c r="EK52" s="6">
        <f t="shared" si="1105"/>
        <v>0</v>
      </c>
      <c r="EL52" s="6">
        <f t="shared" si="1224"/>
        <v>2</v>
      </c>
      <c r="EM52" s="6">
        <f t="shared" si="1106"/>
        <v>0</v>
      </c>
      <c r="EN52" s="6">
        <f t="shared" si="1225"/>
        <v>2</v>
      </c>
      <c r="EO52" s="6">
        <f t="shared" si="1107"/>
        <v>1</v>
      </c>
      <c r="EP52" s="6">
        <f t="shared" si="1226"/>
        <v>9</v>
      </c>
      <c r="EQ52" s="6"/>
      <c r="ER52" s="6"/>
      <c r="ES52" s="6">
        <f t="shared" si="1227"/>
        <v>4</v>
      </c>
      <c r="ET52" s="20">
        <f>DS52-'Zusammenfassung Tag1-4'!$F$2/18</f>
        <v>6</v>
      </c>
      <c r="EU52" s="22">
        <f t="shared" si="1228"/>
        <v>189</v>
      </c>
      <c r="EV52" s="18">
        <v>7</v>
      </c>
      <c r="EW52" s="6">
        <f t="shared" si="1229"/>
        <v>222</v>
      </c>
      <c r="EX52" s="19">
        <v>1</v>
      </c>
      <c r="EY52" s="6">
        <f t="shared" si="1230"/>
        <v>83</v>
      </c>
      <c r="EZ52" s="6">
        <f t="shared" si="1108"/>
        <v>0</v>
      </c>
      <c r="FA52" s="6">
        <f t="shared" si="1231"/>
        <v>8</v>
      </c>
      <c r="FB52" s="6">
        <f t="shared" si="1109"/>
        <v>0</v>
      </c>
      <c r="FC52" s="6">
        <f t="shared" si="1232"/>
        <v>0</v>
      </c>
      <c r="FD52" s="6">
        <f t="shared" si="1110"/>
        <v>0</v>
      </c>
      <c r="FE52" s="6">
        <f t="shared" si="1233"/>
        <v>0</v>
      </c>
      <c r="FF52" s="6">
        <f t="shared" si="1111"/>
        <v>0</v>
      </c>
      <c r="FG52" s="6">
        <f t="shared" si="1234"/>
        <v>0</v>
      </c>
      <c r="FH52" s="6">
        <f t="shared" si="1112"/>
        <v>0</v>
      </c>
      <c r="FI52" s="6">
        <f t="shared" si="1235"/>
        <v>1</v>
      </c>
      <c r="FJ52" s="6">
        <f t="shared" si="1113"/>
        <v>1</v>
      </c>
      <c r="FK52" s="6">
        <f t="shared" si="1236"/>
        <v>2</v>
      </c>
      <c r="FL52" s="6">
        <f t="shared" si="1114"/>
        <v>0</v>
      </c>
      <c r="FM52" s="6">
        <f t="shared" si="1237"/>
        <v>0</v>
      </c>
      <c r="FN52" s="6">
        <f t="shared" si="1115"/>
        <v>1</v>
      </c>
      <c r="FO52" s="6">
        <f t="shared" si="1238"/>
        <v>4</v>
      </c>
      <c r="FP52" s="6">
        <f t="shared" si="1116"/>
        <v>0</v>
      </c>
      <c r="FQ52" s="6">
        <f t="shared" si="1239"/>
        <v>1</v>
      </c>
      <c r="FR52" s="6">
        <f t="shared" si="1117"/>
        <v>0</v>
      </c>
      <c r="FS52" s="6">
        <f t="shared" si="1240"/>
        <v>9</v>
      </c>
      <c r="FT52" s="6"/>
      <c r="FU52" s="6"/>
      <c r="FV52" s="6">
        <f t="shared" si="1241"/>
        <v>2</v>
      </c>
      <c r="FW52" s="20">
        <f>EV52-'Zusammenfassung Tag1-4'!$G$2/18</f>
        <v>5.5</v>
      </c>
      <c r="FX52" s="22">
        <f t="shared" si="1242"/>
        <v>163.5</v>
      </c>
      <c r="FY52" s="18">
        <v>9</v>
      </c>
      <c r="FZ52" s="6">
        <f t="shared" si="1243"/>
        <v>286</v>
      </c>
      <c r="GA52" s="19">
        <v>3</v>
      </c>
      <c r="GB52" s="6">
        <f t="shared" si="1244"/>
        <v>92</v>
      </c>
      <c r="GC52" s="6">
        <f t="shared" si="1118"/>
        <v>0</v>
      </c>
      <c r="GD52" s="6">
        <f t="shared" si="1245"/>
        <v>2</v>
      </c>
      <c r="GE52" s="6">
        <f t="shared" si="1119"/>
        <v>0</v>
      </c>
      <c r="GF52" s="6">
        <f t="shared" si="1246"/>
        <v>0</v>
      </c>
      <c r="GG52" s="6">
        <f t="shared" si="1120"/>
        <v>0</v>
      </c>
      <c r="GH52" s="6">
        <f t="shared" si="1247"/>
        <v>0</v>
      </c>
      <c r="GI52" s="6">
        <f t="shared" si="1121"/>
        <v>0</v>
      </c>
      <c r="GJ52" s="6">
        <f t="shared" si="1248"/>
        <v>0</v>
      </c>
      <c r="GK52" s="6">
        <f t="shared" si="1122"/>
        <v>0</v>
      </c>
      <c r="GL52" s="6">
        <f t="shared" si="1249"/>
        <v>0</v>
      </c>
      <c r="GM52" s="6">
        <f t="shared" si="1123"/>
        <v>1</v>
      </c>
      <c r="GN52" s="6">
        <f t="shared" si="1250"/>
        <v>3</v>
      </c>
      <c r="GO52" s="6">
        <f t="shared" si="1124"/>
        <v>0</v>
      </c>
      <c r="GP52" s="6">
        <f t="shared" si="1251"/>
        <v>0</v>
      </c>
      <c r="GQ52" s="6">
        <f t="shared" si="1125"/>
        <v>0</v>
      </c>
      <c r="GR52" s="6">
        <f t="shared" si="1252"/>
        <v>2</v>
      </c>
      <c r="GS52" s="6">
        <f t="shared" si="1126"/>
        <v>0</v>
      </c>
      <c r="GT52" s="6">
        <f t="shared" si="1253"/>
        <v>2</v>
      </c>
      <c r="GU52" s="6">
        <f t="shared" si="1127"/>
        <v>1</v>
      </c>
      <c r="GV52" s="6">
        <f t="shared" si="1254"/>
        <v>16</v>
      </c>
      <c r="GW52" s="6"/>
      <c r="GX52" s="6"/>
      <c r="GY52" s="6">
        <f t="shared" si="1255"/>
        <v>4</v>
      </c>
      <c r="GZ52" s="20">
        <f>FY52-'Zusammenfassung Tag1-4'!$H$2/18</f>
        <v>6</v>
      </c>
      <c r="HA52" s="22">
        <f t="shared" si="1256"/>
        <v>169</v>
      </c>
      <c r="HB52" s="18">
        <v>6</v>
      </c>
      <c r="HC52" s="6">
        <f t="shared" si="1257"/>
        <v>207</v>
      </c>
      <c r="HD52" s="19">
        <v>3</v>
      </c>
      <c r="HE52" s="6">
        <f t="shared" si="1258"/>
        <v>82</v>
      </c>
      <c r="HF52" s="6">
        <f t="shared" si="1128"/>
        <v>1</v>
      </c>
      <c r="HG52" s="6">
        <f t="shared" si="1259"/>
        <v>13</v>
      </c>
      <c r="HH52" s="6">
        <f t="shared" si="1129"/>
        <v>0</v>
      </c>
      <c r="HI52" s="6">
        <f t="shared" si="1260"/>
        <v>4</v>
      </c>
      <c r="HJ52" s="6">
        <f t="shared" si="1130"/>
        <v>0</v>
      </c>
      <c r="HK52" s="6">
        <f t="shared" si="1261"/>
        <v>0</v>
      </c>
      <c r="HL52" s="6">
        <f t="shared" si="1131"/>
        <v>0</v>
      </c>
      <c r="HM52" s="6">
        <f t="shared" si="1262"/>
        <v>1</v>
      </c>
      <c r="HN52" s="6">
        <f t="shared" si="1132"/>
        <v>1</v>
      </c>
      <c r="HO52" s="6">
        <f t="shared" si="1263"/>
        <v>2</v>
      </c>
      <c r="HP52" s="6">
        <f t="shared" si="1133"/>
        <v>0</v>
      </c>
      <c r="HQ52" s="6">
        <f t="shared" si="1264"/>
        <v>0</v>
      </c>
      <c r="HR52" s="6">
        <f t="shared" si="1134"/>
        <v>0</v>
      </c>
      <c r="HS52" s="6">
        <f t="shared" si="1265"/>
        <v>0</v>
      </c>
      <c r="HT52" s="6">
        <f t="shared" si="1135"/>
        <v>0</v>
      </c>
      <c r="HU52" s="6">
        <f t="shared" si="1266"/>
        <v>5</v>
      </c>
      <c r="HV52" s="6">
        <f t="shared" si="1136"/>
        <v>0</v>
      </c>
      <c r="HW52" s="6">
        <f t="shared" si="1267"/>
        <v>1</v>
      </c>
      <c r="HX52" s="6">
        <f t="shared" si="1137"/>
        <v>1</v>
      </c>
      <c r="HY52" s="6">
        <f t="shared" si="1268"/>
        <v>9</v>
      </c>
      <c r="HZ52" s="6"/>
      <c r="IA52" s="6"/>
      <c r="IB52" s="6">
        <f t="shared" si="1269"/>
        <v>1</v>
      </c>
      <c r="IC52" s="20">
        <f>HB52-'Zusammenfassung Tag1-4'!$I$2/18</f>
        <v>5</v>
      </c>
      <c r="ID52" s="22">
        <f t="shared" si="1270"/>
        <v>168</v>
      </c>
      <c r="IE52" s="18">
        <v>9</v>
      </c>
      <c r="IF52" s="6">
        <f t="shared" si="1271"/>
        <v>26</v>
      </c>
      <c r="IG52" s="19">
        <v>2</v>
      </c>
      <c r="IH52" s="6">
        <f t="shared" si="1272"/>
        <v>8</v>
      </c>
      <c r="II52" s="6">
        <f t="shared" si="1138"/>
        <v>0</v>
      </c>
      <c r="IJ52" s="6">
        <f t="shared" si="1273"/>
        <v>36</v>
      </c>
      <c r="IK52" s="6">
        <f t="shared" si="1139"/>
        <v>0</v>
      </c>
      <c r="IL52" s="6">
        <f t="shared" si="1274"/>
        <v>0</v>
      </c>
      <c r="IM52" s="6">
        <f t="shared" si="1140"/>
        <v>0</v>
      </c>
      <c r="IN52" s="6">
        <f t="shared" si="1275"/>
        <v>0</v>
      </c>
      <c r="IO52" s="6">
        <f t="shared" si="1141"/>
        <v>0</v>
      </c>
      <c r="IP52" s="6">
        <f t="shared" si="1276"/>
        <v>0</v>
      </c>
      <c r="IQ52" s="6">
        <f t="shared" si="1142"/>
        <v>0</v>
      </c>
      <c r="IR52" s="6">
        <f t="shared" si="1277"/>
        <v>0</v>
      </c>
      <c r="IS52" s="6">
        <f t="shared" si="1143"/>
        <v>1</v>
      </c>
      <c r="IT52" s="6">
        <f t="shared" si="1278"/>
        <v>3</v>
      </c>
      <c r="IU52" s="6">
        <f t="shared" si="1144"/>
        <v>0</v>
      </c>
      <c r="IV52" s="6">
        <f t="shared" si="1279"/>
        <v>0</v>
      </c>
      <c r="IW52" s="6">
        <f t="shared" si="1145"/>
        <v>0</v>
      </c>
      <c r="IX52" s="6">
        <f t="shared" si="1280"/>
        <v>0</v>
      </c>
      <c r="IY52" s="6">
        <f t="shared" si="1146"/>
        <v>1</v>
      </c>
      <c r="IZ52" s="6">
        <f t="shared" si="1281"/>
        <v>1</v>
      </c>
      <c r="JA52" s="6">
        <f t="shared" si="1147"/>
        <v>0</v>
      </c>
      <c r="JB52" s="6">
        <f t="shared" si="1282"/>
        <v>2</v>
      </c>
      <c r="JC52" s="6"/>
      <c r="JD52" s="6"/>
      <c r="JE52" s="6">
        <f t="shared" si="1283"/>
        <v>4</v>
      </c>
      <c r="JF52" s="20">
        <f>IE52-'Zusammenfassung Tag1-4'!$J$2/18</f>
        <v>6</v>
      </c>
      <c r="JG52" s="22">
        <f t="shared" si="1284"/>
        <v>-91</v>
      </c>
      <c r="JH52" s="18">
        <v>7</v>
      </c>
      <c r="JI52" s="6">
        <f t="shared" si="1285"/>
        <v>16</v>
      </c>
      <c r="JJ52" s="19">
        <v>2</v>
      </c>
      <c r="JK52" s="6">
        <f t="shared" si="1286"/>
        <v>6</v>
      </c>
      <c r="JL52" s="6">
        <f t="shared" si="1148"/>
        <v>0</v>
      </c>
      <c r="JM52" s="6">
        <f t="shared" si="1287"/>
        <v>38</v>
      </c>
      <c r="JN52" s="6">
        <f t="shared" si="1149"/>
        <v>0</v>
      </c>
      <c r="JO52" s="6">
        <f t="shared" si="1288"/>
        <v>0</v>
      </c>
      <c r="JP52" s="6">
        <f t="shared" si="1150"/>
        <v>0</v>
      </c>
      <c r="JQ52" s="6">
        <f t="shared" si="1289"/>
        <v>0</v>
      </c>
      <c r="JR52" s="6">
        <f t="shared" si="1151"/>
        <v>0</v>
      </c>
      <c r="JS52" s="6">
        <f t="shared" si="1290"/>
        <v>2</v>
      </c>
      <c r="JT52" s="6">
        <f t="shared" si="1152"/>
        <v>0</v>
      </c>
      <c r="JU52" s="6">
        <f t="shared" si="1291"/>
        <v>0</v>
      </c>
      <c r="JV52" s="6">
        <f t="shared" si="1153"/>
        <v>1</v>
      </c>
      <c r="JW52" s="6">
        <f t="shared" si="1292"/>
        <v>1</v>
      </c>
      <c r="JX52" s="6">
        <f t="shared" si="1154"/>
        <v>0</v>
      </c>
      <c r="JY52" s="6">
        <f t="shared" si="1293"/>
        <v>0</v>
      </c>
      <c r="JZ52" s="6">
        <f t="shared" si="1155"/>
        <v>0</v>
      </c>
      <c r="KA52" s="6">
        <f t="shared" si="1294"/>
        <v>0</v>
      </c>
      <c r="KB52" s="6">
        <f t="shared" si="1156"/>
        <v>1</v>
      </c>
      <c r="KC52" s="6">
        <f t="shared" si="1295"/>
        <v>3</v>
      </c>
      <c r="KD52" s="6">
        <f t="shared" si="1157"/>
        <v>0</v>
      </c>
      <c r="KE52" s="6">
        <f t="shared" si="1296"/>
        <v>0</v>
      </c>
      <c r="KF52" s="6"/>
      <c r="KG52" s="6"/>
      <c r="KH52" s="6">
        <f t="shared" si="1297"/>
        <v>2</v>
      </c>
      <c r="KI52" s="20">
        <f>JH52-'Zusammenfassung Tag1-4'!$K$2/18</f>
        <v>6.2222222222222223</v>
      </c>
      <c r="KJ52" s="22">
        <f t="shared" si="1298"/>
        <v>-14.333333333333353</v>
      </c>
      <c r="KK52" s="10"/>
      <c r="KL52" s="10"/>
      <c r="KM52" s="10"/>
      <c r="KN52" s="10"/>
      <c r="KO52" s="10"/>
      <c r="KP52" s="10"/>
      <c r="KQ52" s="10"/>
      <c r="KR52" s="10"/>
      <c r="KS52" s="10"/>
      <c r="KT52" s="10"/>
      <c r="KU52" s="10"/>
      <c r="KV52" s="10"/>
      <c r="KW52" s="10"/>
      <c r="KX52" s="10"/>
      <c r="KY52" s="10"/>
      <c r="KZ52" s="10"/>
      <c r="LA52" s="10"/>
      <c r="LB52" s="10"/>
      <c r="LC52" s="10"/>
      <c r="LD52" s="10"/>
    </row>
    <row r="53" spans="1:316" ht="15.75" customHeight="1" x14ac:dyDescent="0.25">
      <c r="A53" s="106"/>
      <c r="B53" s="103"/>
      <c r="C53" s="6">
        <v>4</v>
      </c>
      <c r="D53" s="6">
        <f t="shared" si="1158"/>
        <v>40</v>
      </c>
      <c r="E53" s="6">
        <v>4</v>
      </c>
      <c r="F53" s="7">
        <f t="shared" si="1159"/>
        <v>162</v>
      </c>
      <c r="G53" s="18"/>
      <c r="H53" s="6"/>
      <c r="I53" s="19"/>
      <c r="J53" s="6">
        <f t="shared" si="1160"/>
        <v>71</v>
      </c>
      <c r="K53" s="6">
        <f t="shared" si="1058"/>
        <v>1</v>
      </c>
      <c r="L53" s="6">
        <f t="shared" si="1161"/>
        <v>19</v>
      </c>
      <c r="M53" s="6">
        <f t="shared" si="1059"/>
        <v>0</v>
      </c>
      <c r="N53" s="6">
        <f t="shared" si="1162"/>
        <v>3</v>
      </c>
      <c r="O53" s="6">
        <f t="shared" si="1060"/>
        <v>0</v>
      </c>
      <c r="P53" s="6">
        <f t="shared" si="1163"/>
        <v>1</v>
      </c>
      <c r="Q53" s="6">
        <f t="shared" si="1061"/>
        <v>0</v>
      </c>
      <c r="R53" s="6">
        <f t="shared" si="1164"/>
        <v>0</v>
      </c>
      <c r="S53" s="6">
        <f t="shared" si="1062"/>
        <v>0</v>
      </c>
      <c r="T53" s="6">
        <f t="shared" si="1165"/>
        <v>0</v>
      </c>
      <c r="U53" s="6">
        <f t="shared" si="1063"/>
        <v>0</v>
      </c>
      <c r="V53" s="6">
        <f t="shared" si="1166"/>
        <v>0</v>
      </c>
      <c r="W53" s="6">
        <f t="shared" si="1064"/>
        <v>1</v>
      </c>
      <c r="X53" s="6">
        <f t="shared" si="1167"/>
        <v>4</v>
      </c>
      <c r="Y53" s="6">
        <f t="shared" si="1065"/>
        <v>0</v>
      </c>
      <c r="Z53" s="6">
        <f t="shared" si="1168"/>
        <v>7</v>
      </c>
      <c r="AA53" s="6">
        <f t="shared" si="1066"/>
        <v>0</v>
      </c>
      <c r="AB53" s="6">
        <f t="shared" si="1169"/>
        <v>0</v>
      </c>
      <c r="AC53" s="6">
        <f t="shared" si="1067"/>
        <v>0</v>
      </c>
      <c r="AD53" s="6">
        <f t="shared" si="1170"/>
        <v>5</v>
      </c>
      <c r="AE53" s="6"/>
      <c r="AF53" s="6">
        <f t="shared" ref="AF53:AF55" si="1299">IF($E53=4,G53-4,NA())</f>
        <v>-4</v>
      </c>
      <c r="AG53" s="6"/>
      <c r="AH53" s="20">
        <f>G53-'Zusammenfassung Tag1-4'!$B$2/18</f>
        <v>-1.1111111111111112</v>
      </c>
      <c r="AI53" s="21">
        <f t="shared" si="1172"/>
        <v>132.55555555555546</v>
      </c>
      <c r="AJ53" s="18">
        <v>4</v>
      </c>
      <c r="AK53" s="6">
        <f t="shared" si="1173"/>
        <v>184</v>
      </c>
      <c r="AL53" s="19">
        <v>1</v>
      </c>
      <c r="AM53" s="6">
        <f t="shared" si="1174"/>
        <v>75</v>
      </c>
      <c r="AN53" s="6">
        <f t="shared" si="1068"/>
        <v>0</v>
      </c>
      <c r="AO53" s="6">
        <f t="shared" si="1175"/>
        <v>22</v>
      </c>
      <c r="AP53" s="6">
        <f t="shared" si="1069"/>
        <v>1</v>
      </c>
      <c r="AQ53" s="6">
        <f t="shared" si="1176"/>
        <v>6</v>
      </c>
      <c r="AR53" s="6">
        <f t="shared" si="1070"/>
        <v>0</v>
      </c>
      <c r="AS53" s="6">
        <f t="shared" si="1177"/>
        <v>3</v>
      </c>
      <c r="AT53" s="6">
        <f t="shared" si="1071"/>
        <v>1</v>
      </c>
      <c r="AU53" s="6">
        <f t="shared" si="1178"/>
        <v>2</v>
      </c>
      <c r="AV53" s="6">
        <f t="shared" si="1072"/>
        <v>0</v>
      </c>
      <c r="AW53" s="6">
        <f t="shared" si="1179"/>
        <v>1</v>
      </c>
      <c r="AX53" s="6">
        <f t="shared" si="1073"/>
        <v>0</v>
      </c>
      <c r="AY53" s="6">
        <f t="shared" si="1180"/>
        <v>1</v>
      </c>
      <c r="AZ53" s="6">
        <f t="shared" si="1074"/>
        <v>0</v>
      </c>
      <c r="BA53" s="6">
        <f t="shared" si="1181"/>
        <v>0</v>
      </c>
      <c r="BB53" s="6">
        <f t="shared" si="1075"/>
        <v>1</v>
      </c>
      <c r="BC53" s="6">
        <f t="shared" si="1182"/>
        <v>11</v>
      </c>
      <c r="BD53" s="6">
        <f t="shared" si="1076"/>
        <v>0</v>
      </c>
      <c r="BE53" s="6">
        <f t="shared" si="1183"/>
        <v>1</v>
      </c>
      <c r="BF53" s="6">
        <f t="shared" si="1077"/>
        <v>0</v>
      </c>
      <c r="BG53" s="6">
        <f t="shared" si="1184"/>
        <v>6</v>
      </c>
      <c r="BH53" s="6"/>
      <c r="BI53" s="6">
        <f t="shared" ref="BI53:BI55" si="1300">IF($E53=4,AJ53-4,NA())</f>
        <v>0</v>
      </c>
      <c r="BJ53" s="6"/>
      <c r="BK53" s="20">
        <f>AJ53-'Zusammenfassung Tag1-4'!$C$2/18</f>
        <v>3.3333333333333335</v>
      </c>
      <c r="BL53" s="21">
        <f t="shared" si="1186"/>
        <v>157.33333333333334</v>
      </c>
      <c r="BM53" s="18">
        <v>4</v>
      </c>
      <c r="BN53" s="6">
        <f t="shared" si="1187"/>
        <v>222</v>
      </c>
      <c r="BO53" s="19">
        <v>2</v>
      </c>
      <c r="BP53" s="6">
        <f t="shared" si="1188"/>
        <v>83</v>
      </c>
      <c r="BQ53" s="6">
        <f t="shared" si="1078"/>
        <v>1</v>
      </c>
      <c r="BR53" s="6">
        <f t="shared" si="1189"/>
        <v>8</v>
      </c>
      <c r="BS53" s="6">
        <f t="shared" si="1079"/>
        <v>0</v>
      </c>
      <c r="BT53" s="6">
        <f t="shared" si="1190"/>
        <v>3</v>
      </c>
      <c r="BU53" s="6">
        <f t="shared" si="1080"/>
        <v>0</v>
      </c>
      <c r="BV53" s="6">
        <f t="shared" si="1191"/>
        <v>0</v>
      </c>
      <c r="BW53" s="6">
        <f t="shared" si="1081"/>
        <v>1</v>
      </c>
      <c r="BX53" s="6">
        <f t="shared" si="1192"/>
        <v>1</v>
      </c>
      <c r="BY53" s="6">
        <f t="shared" si="1082"/>
        <v>0</v>
      </c>
      <c r="BZ53" s="6">
        <f t="shared" si="1193"/>
        <v>2</v>
      </c>
      <c r="CA53" s="6">
        <f t="shared" si="1083"/>
        <v>0</v>
      </c>
      <c r="CB53" s="6">
        <f t="shared" si="1194"/>
        <v>1</v>
      </c>
      <c r="CC53" s="6">
        <f t="shared" si="1084"/>
        <v>0</v>
      </c>
      <c r="CD53" s="6">
        <f t="shared" si="1195"/>
        <v>0</v>
      </c>
      <c r="CE53" s="6">
        <f t="shared" si="1085"/>
        <v>0</v>
      </c>
      <c r="CF53" s="6">
        <f t="shared" si="1196"/>
        <v>6</v>
      </c>
      <c r="CG53" s="6">
        <f t="shared" si="1086"/>
        <v>1</v>
      </c>
      <c r="CH53" s="6">
        <f t="shared" si="1197"/>
        <v>2</v>
      </c>
      <c r="CI53" s="6">
        <f t="shared" si="1087"/>
        <v>0</v>
      </c>
      <c r="CJ53" s="6">
        <f t="shared" si="1198"/>
        <v>9</v>
      </c>
      <c r="CK53" s="6"/>
      <c r="CL53" s="6">
        <f t="shared" ref="CL53:CL55" si="1301">IF($E53=4,BM53-4,NA())</f>
        <v>0</v>
      </c>
      <c r="CM53" s="6"/>
      <c r="CN53" s="20">
        <f>BM53-'Zusammenfassung Tag1-4'!$D$2/18</f>
        <v>2.666666666666667</v>
      </c>
      <c r="CO53" s="21">
        <f t="shared" si="1200"/>
        <v>168.66666666666663</v>
      </c>
      <c r="CP53" s="18">
        <v>5</v>
      </c>
      <c r="CQ53" s="6">
        <f t="shared" si="1201"/>
        <v>209</v>
      </c>
      <c r="CR53" s="19">
        <v>2</v>
      </c>
      <c r="CS53" s="6">
        <f t="shared" si="1202"/>
        <v>81</v>
      </c>
      <c r="CT53" s="6">
        <f t="shared" si="1088"/>
        <v>0</v>
      </c>
      <c r="CU53" s="6">
        <f t="shared" si="1203"/>
        <v>10</v>
      </c>
      <c r="CV53" s="6">
        <f t="shared" si="1089"/>
        <v>0</v>
      </c>
      <c r="CW53" s="6">
        <f t="shared" si="1204"/>
        <v>3</v>
      </c>
      <c r="CX53" s="6">
        <f t="shared" si="1090"/>
        <v>0</v>
      </c>
      <c r="CY53" s="6">
        <f t="shared" si="1205"/>
        <v>0</v>
      </c>
      <c r="CZ53" s="6">
        <f t="shared" si="1091"/>
        <v>0</v>
      </c>
      <c r="DA53" s="6">
        <f t="shared" si="1206"/>
        <v>1</v>
      </c>
      <c r="DB53" s="6">
        <f t="shared" si="1092"/>
        <v>1</v>
      </c>
      <c r="DC53" s="6">
        <f t="shared" si="1207"/>
        <v>3</v>
      </c>
      <c r="DD53" s="6">
        <f t="shared" si="1093"/>
        <v>0</v>
      </c>
      <c r="DE53" s="6">
        <f t="shared" si="1208"/>
        <v>0</v>
      </c>
      <c r="DF53" s="6">
        <f t="shared" si="1094"/>
        <v>0</v>
      </c>
      <c r="DG53" s="6">
        <f t="shared" si="1209"/>
        <v>0</v>
      </c>
      <c r="DH53" s="6">
        <f t="shared" si="1095"/>
        <v>0</v>
      </c>
      <c r="DI53" s="6">
        <f t="shared" si="1210"/>
        <v>7</v>
      </c>
      <c r="DJ53" s="6">
        <f t="shared" si="1096"/>
        <v>1</v>
      </c>
      <c r="DK53" s="6">
        <f t="shared" si="1211"/>
        <v>2</v>
      </c>
      <c r="DL53" s="6">
        <f t="shared" si="1097"/>
        <v>0</v>
      </c>
      <c r="DM53" s="6">
        <f t="shared" si="1212"/>
        <v>8</v>
      </c>
      <c r="DN53" s="6"/>
      <c r="DO53" s="6">
        <f t="shared" ref="DO53:DO55" si="1302">IF($E53=4,CP53-4,NA())</f>
        <v>1</v>
      </c>
      <c r="DP53" s="6"/>
      <c r="DQ53" s="20">
        <f>CP53-'Zusammenfassung Tag1-4'!$E$2/18</f>
        <v>3.7222222222222223</v>
      </c>
      <c r="DR53" s="22">
        <f t="shared" si="1214"/>
        <v>157.88888888888903</v>
      </c>
      <c r="DS53" s="18">
        <v>8</v>
      </c>
      <c r="DT53" s="6">
        <f t="shared" si="1215"/>
        <v>314</v>
      </c>
      <c r="DU53" s="19">
        <v>3</v>
      </c>
      <c r="DV53" s="6">
        <f t="shared" si="1216"/>
        <v>89</v>
      </c>
      <c r="DW53" s="6">
        <f t="shared" si="1098"/>
        <v>0</v>
      </c>
      <c r="DX53" s="6">
        <f t="shared" si="1217"/>
        <v>1</v>
      </c>
      <c r="DY53" s="6">
        <f t="shared" si="1099"/>
        <v>0</v>
      </c>
      <c r="DZ53" s="6">
        <f t="shared" si="1218"/>
        <v>0</v>
      </c>
      <c r="EA53" s="6">
        <f t="shared" si="1100"/>
        <v>0</v>
      </c>
      <c r="EB53" s="6">
        <f t="shared" si="1219"/>
        <v>0</v>
      </c>
      <c r="EC53" s="6">
        <f t="shared" si="1101"/>
        <v>0</v>
      </c>
      <c r="ED53" s="6">
        <f t="shared" si="1220"/>
        <v>0</v>
      </c>
      <c r="EE53" s="6">
        <f t="shared" si="1102"/>
        <v>0</v>
      </c>
      <c r="EF53" s="6">
        <f t="shared" si="1221"/>
        <v>0</v>
      </c>
      <c r="EG53" s="6">
        <f t="shared" si="1103"/>
        <v>1</v>
      </c>
      <c r="EH53" s="6">
        <f t="shared" si="1222"/>
        <v>4</v>
      </c>
      <c r="EI53" s="6">
        <f t="shared" si="1104"/>
        <v>0</v>
      </c>
      <c r="EJ53" s="6">
        <f t="shared" si="1223"/>
        <v>0</v>
      </c>
      <c r="EK53" s="6">
        <f t="shared" si="1105"/>
        <v>0</v>
      </c>
      <c r="EL53" s="6">
        <f t="shared" si="1224"/>
        <v>2</v>
      </c>
      <c r="EM53" s="6">
        <f t="shared" si="1106"/>
        <v>0</v>
      </c>
      <c r="EN53" s="6">
        <f t="shared" si="1225"/>
        <v>2</v>
      </c>
      <c r="EO53" s="6">
        <f t="shared" si="1107"/>
        <v>1</v>
      </c>
      <c r="EP53" s="6">
        <f t="shared" si="1226"/>
        <v>10</v>
      </c>
      <c r="EQ53" s="6"/>
      <c r="ER53" s="6">
        <f t="shared" ref="ER53:ER55" si="1303">IF($E53=4,DS53-4,NA())</f>
        <v>4</v>
      </c>
      <c r="ES53" s="6"/>
      <c r="ET53" s="20">
        <f>DS53-'Zusammenfassung Tag1-4'!$F$2/18</f>
        <v>5</v>
      </c>
      <c r="EU53" s="22">
        <f t="shared" si="1228"/>
        <v>194</v>
      </c>
      <c r="EV53" s="18">
        <v>5</v>
      </c>
      <c r="EW53" s="6">
        <f t="shared" si="1229"/>
        <v>227</v>
      </c>
      <c r="EX53" s="19">
        <v>2</v>
      </c>
      <c r="EY53" s="6">
        <f t="shared" si="1230"/>
        <v>85</v>
      </c>
      <c r="EZ53" s="6">
        <f t="shared" si="1108"/>
        <v>0</v>
      </c>
      <c r="FA53" s="6">
        <f t="shared" si="1231"/>
        <v>8</v>
      </c>
      <c r="FB53" s="6">
        <f t="shared" si="1109"/>
        <v>0</v>
      </c>
      <c r="FC53" s="6">
        <f t="shared" si="1232"/>
        <v>0</v>
      </c>
      <c r="FD53" s="6">
        <f t="shared" si="1110"/>
        <v>0</v>
      </c>
      <c r="FE53" s="6">
        <f t="shared" si="1233"/>
        <v>0</v>
      </c>
      <c r="FF53" s="6">
        <f t="shared" si="1111"/>
        <v>0</v>
      </c>
      <c r="FG53" s="6">
        <f t="shared" si="1234"/>
        <v>0</v>
      </c>
      <c r="FH53" s="6">
        <f t="shared" si="1112"/>
        <v>1</v>
      </c>
      <c r="FI53" s="6">
        <f t="shared" si="1235"/>
        <v>2</v>
      </c>
      <c r="FJ53" s="6">
        <f t="shared" si="1113"/>
        <v>0</v>
      </c>
      <c r="FK53" s="6">
        <f t="shared" si="1236"/>
        <v>2</v>
      </c>
      <c r="FL53" s="6">
        <f t="shared" si="1114"/>
        <v>0</v>
      </c>
      <c r="FM53" s="6">
        <f t="shared" si="1237"/>
        <v>0</v>
      </c>
      <c r="FN53" s="6">
        <f t="shared" si="1115"/>
        <v>0</v>
      </c>
      <c r="FO53" s="6">
        <f t="shared" si="1238"/>
        <v>4</v>
      </c>
      <c r="FP53" s="6">
        <f t="shared" si="1116"/>
        <v>1</v>
      </c>
      <c r="FQ53" s="6">
        <f t="shared" si="1239"/>
        <v>2</v>
      </c>
      <c r="FR53" s="6">
        <f t="shared" si="1117"/>
        <v>0</v>
      </c>
      <c r="FS53" s="6">
        <f t="shared" si="1240"/>
        <v>9</v>
      </c>
      <c r="FT53" s="6"/>
      <c r="FU53" s="6">
        <f t="shared" ref="FU53:FU55" si="1304">IF($E53=4,EV53-4,NA())</f>
        <v>1</v>
      </c>
      <c r="FV53" s="6"/>
      <c r="FW53" s="20">
        <f>EV53-'Zusammenfassung Tag1-4'!$G$2/18</f>
        <v>3.5</v>
      </c>
      <c r="FX53" s="22">
        <f t="shared" si="1242"/>
        <v>167</v>
      </c>
      <c r="FY53" s="18">
        <v>7</v>
      </c>
      <c r="FZ53" s="6">
        <f t="shared" si="1243"/>
        <v>293</v>
      </c>
      <c r="GA53" s="19">
        <v>3</v>
      </c>
      <c r="GB53" s="6">
        <f t="shared" si="1244"/>
        <v>95</v>
      </c>
      <c r="GC53" s="6">
        <f t="shared" si="1118"/>
        <v>0</v>
      </c>
      <c r="GD53" s="6">
        <f t="shared" si="1245"/>
        <v>2</v>
      </c>
      <c r="GE53" s="6">
        <f t="shared" si="1119"/>
        <v>0</v>
      </c>
      <c r="GF53" s="6">
        <f t="shared" si="1246"/>
        <v>0</v>
      </c>
      <c r="GG53" s="6">
        <f t="shared" si="1120"/>
        <v>0</v>
      </c>
      <c r="GH53" s="6">
        <f t="shared" si="1247"/>
        <v>0</v>
      </c>
      <c r="GI53" s="6">
        <f t="shared" si="1121"/>
        <v>0</v>
      </c>
      <c r="GJ53" s="6">
        <f t="shared" si="1248"/>
        <v>0</v>
      </c>
      <c r="GK53" s="6">
        <f t="shared" si="1122"/>
        <v>0</v>
      </c>
      <c r="GL53" s="6">
        <f t="shared" si="1249"/>
        <v>0</v>
      </c>
      <c r="GM53" s="6">
        <f t="shared" si="1123"/>
        <v>1</v>
      </c>
      <c r="GN53" s="6">
        <f t="shared" si="1250"/>
        <v>4</v>
      </c>
      <c r="GO53" s="6">
        <f t="shared" si="1124"/>
        <v>0</v>
      </c>
      <c r="GP53" s="6">
        <f t="shared" si="1251"/>
        <v>0</v>
      </c>
      <c r="GQ53" s="6">
        <f t="shared" si="1125"/>
        <v>0</v>
      </c>
      <c r="GR53" s="6">
        <f t="shared" si="1252"/>
        <v>2</v>
      </c>
      <c r="GS53" s="6">
        <f t="shared" si="1126"/>
        <v>0</v>
      </c>
      <c r="GT53" s="6">
        <f t="shared" si="1253"/>
        <v>2</v>
      </c>
      <c r="GU53" s="6">
        <f t="shared" si="1127"/>
        <v>1</v>
      </c>
      <c r="GV53" s="6">
        <f t="shared" si="1254"/>
        <v>17</v>
      </c>
      <c r="GW53" s="6"/>
      <c r="GX53" s="6">
        <f t="shared" ref="GX53:GX55" si="1305">IF($E53=4,FY53-4,NA())</f>
        <v>3</v>
      </c>
      <c r="GY53" s="6"/>
      <c r="GZ53" s="20">
        <f>FY53-'Zusammenfassung Tag1-4'!$H$2/18</f>
        <v>4</v>
      </c>
      <c r="HA53" s="22">
        <f t="shared" si="1256"/>
        <v>173</v>
      </c>
      <c r="HB53" s="18">
        <v>5</v>
      </c>
      <c r="HC53" s="6">
        <f t="shared" si="1257"/>
        <v>212</v>
      </c>
      <c r="HD53" s="19">
        <v>3</v>
      </c>
      <c r="HE53" s="6">
        <f t="shared" si="1258"/>
        <v>85</v>
      </c>
      <c r="HF53" s="6">
        <f t="shared" si="1128"/>
        <v>1</v>
      </c>
      <c r="HG53" s="6">
        <f t="shared" si="1259"/>
        <v>14</v>
      </c>
      <c r="HH53" s="6">
        <f t="shared" si="1129"/>
        <v>0</v>
      </c>
      <c r="HI53" s="6">
        <f t="shared" si="1260"/>
        <v>4</v>
      </c>
      <c r="HJ53" s="6">
        <f t="shared" si="1130"/>
        <v>0</v>
      </c>
      <c r="HK53" s="6">
        <f t="shared" si="1261"/>
        <v>0</v>
      </c>
      <c r="HL53" s="6">
        <f t="shared" si="1131"/>
        <v>0</v>
      </c>
      <c r="HM53" s="6">
        <f t="shared" si="1262"/>
        <v>1</v>
      </c>
      <c r="HN53" s="6">
        <f t="shared" si="1132"/>
        <v>1</v>
      </c>
      <c r="HO53" s="6">
        <f t="shared" si="1263"/>
        <v>3</v>
      </c>
      <c r="HP53" s="6">
        <f t="shared" si="1133"/>
        <v>0</v>
      </c>
      <c r="HQ53" s="6">
        <f t="shared" si="1264"/>
        <v>0</v>
      </c>
      <c r="HR53" s="6">
        <f t="shared" si="1134"/>
        <v>0</v>
      </c>
      <c r="HS53" s="6">
        <f t="shared" si="1265"/>
        <v>0</v>
      </c>
      <c r="HT53" s="6">
        <f t="shared" si="1135"/>
        <v>0</v>
      </c>
      <c r="HU53" s="6">
        <f t="shared" si="1266"/>
        <v>5</v>
      </c>
      <c r="HV53" s="6">
        <f t="shared" si="1136"/>
        <v>0</v>
      </c>
      <c r="HW53" s="6">
        <f t="shared" si="1267"/>
        <v>1</v>
      </c>
      <c r="HX53" s="6">
        <f t="shared" si="1137"/>
        <v>1</v>
      </c>
      <c r="HY53" s="6">
        <f t="shared" si="1268"/>
        <v>10</v>
      </c>
      <c r="HZ53" s="6"/>
      <c r="IA53" s="6">
        <f t="shared" ref="IA53:IA55" si="1306">IF($E53=4,HB53-4,NA())</f>
        <v>1</v>
      </c>
      <c r="IB53" s="6"/>
      <c r="IC53" s="20">
        <f>HB53-'Zusammenfassung Tag1-4'!$I$2/18</f>
        <v>4</v>
      </c>
      <c r="ID53" s="22">
        <f t="shared" si="1270"/>
        <v>172</v>
      </c>
      <c r="IE53" s="18">
        <v>10</v>
      </c>
      <c r="IF53" s="6">
        <f t="shared" si="1271"/>
        <v>36</v>
      </c>
      <c r="IG53" s="19">
        <v>3</v>
      </c>
      <c r="IH53" s="6">
        <f t="shared" si="1272"/>
        <v>11</v>
      </c>
      <c r="II53" s="6">
        <f t="shared" si="1138"/>
        <v>0</v>
      </c>
      <c r="IJ53" s="6">
        <f t="shared" si="1273"/>
        <v>36</v>
      </c>
      <c r="IK53" s="6">
        <f t="shared" si="1139"/>
        <v>0</v>
      </c>
      <c r="IL53" s="6">
        <f t="shared" si="1274"/>
        <v>0</v>
      </c>
      <c r="IM53" s="6">
        <f t="shared" si="1140"/>
        <v>0</v>
      </c>
      <c r="IN53" s="6">
        <f t="shared" si="1275"/>
        <v>0</v>
      </c>
      <c r="IO53" s="6">
        <f t="shared" si="1141"/>
        <v>0</v>
      </c>
      <c r="IP53" s="6">
        <f t="shared" si="1276"/>
        <v>0</v>
      </c>
      <c r="IQ53" s="6">
        <f t="shared" si="1142"/>
        <v>0</v>
      </c>
      <c r="IR53" s="6">
        <f t="shared" si="1277"/>
        <v>0</v>
      </c>
      <c r="IS53" s="6">
        <f t="shared" si="1143"/>
        <v>1</v>
      </c>
      <c r="IT53" s="6">
        <f t="shared" si="1278"/>
        <v>4</v>
      </c>
      <c r="IU53" s="6">
        <f t="shared" si="1144"/>
        <v>0</v>
      </c>
      <c r="IV53" s="6">
        <f t="shared" si="1279"/>
        <v>0</v>
      </c>
      <c r="IW53" s="6">
        <f t="shared" si="1145"/>
        <v>0</v>
      </c>
      <c r="IX53" s="6">
        <f t="shared" si="1280"/>
        <v>0</v>
      </c>
      <c r="IY53" s="6">
        <f t="shared" si="1146"/>
        <v>0</v>
      </c>
      <c r="IZ53" s="6">
        <f t="shared" si="1281"/>
        <v>1</v>
      </c>
      <c r="JA53" s="6">
        <f t="shared" si="1147"/>
        <v>1</v>
      </c>
      <c r="JB53" s="6">
        <f t="shared" si="1282"/>
        <v>3</v>
      </c>
      <c r="JC53" s="6"/>
      <c r="JD53" s="6">
        <f t="shared" ref="JD53:JD55" si="1307">IF($E53=4,IE53-4,NA())</f>
        <v>6</v>
      </c>
      <c r="JE53" s="6"/>
      <c r="JF53" s="20">
        <f>IE53-'Zusammenfassung Tag1-4'!$J$2/18</f>
        <v>7</v>
      </c>
      <c r="JG53" s="22">
        <f t="shared" si="1284"/>
        <v>-84</v>
      </c>
      <c r="JH53" s="18">
        <v>7</v>
      </c>
      <c r="JI53" s="6">
        <f t="shared" si="1285"/>
        <v>23</v>
      </c>
      <c r="JJ53" s="19">
        <v>2</v>
      </c>
      <c r="JK53" s="6">
        <f t="shared" si="1286"/>
        <v>8</v>
      </c>
      <c r="JL53" s="6">
        <f t="shared" si="1148"/>
        <v>0</v>
      </c>
      <c r="JM53" s="6">
        <f t="shared" si="1287"/>
        <v>38</v>
      </c>
      <c r="JN53" s="6">
        <f t="shared" si="1149"/>
        <v>0</v>
      </c>
      <c r="JO53" s="6">
        <f t="shared" si="1288"/>
        <v>0</v>
      </c>
      <c r="JP53" s="6">
        <f t="shared" si="1150"/>
        <v>0</v>
      </c>
      <c r="JQ53" s="6">
        <f t="shared" si="1289"/>
        <v>0</v>
      </c>
      <c r="JR53" s="6">
        <f t="shared" si="1151"/>
        <v>0</v>
      </c>
      <c r="JS53" s="6">
        <f t="shared" si="1290"/>
        <v>2</v>
      </c>
      <c r="JT53" s="6">
        <f t="shared" si="1152"/>
        <v>0</v>
      </c>
      <c r="JU53" s="6">
        <f t="shared" si="1291"/>
        <v>0</v>
      </c>
      <c r="JV53" s="6">
        <f t="shared" si="1153"/>
        <v>1</v>
      </c>
      <c r="JW53" s="6">
        <f t="shared" si="1292"/>
        <v>2</v>
      </c>
      <c r="JX53" s="6">
        <f t="shared" si="1154"/>
        <v>0</v>
      </c>
      <c r="JY53" s="6">
        <f t="shared" si="1293"/>
        <v>0</v>
      </c>
      <c r="JZ53" s="6">
        <f t="shared" si="1155"/>
        <v>0</v>
      </c>
      <c r="KA53" s="6">
        <f t="shared" si="1294"/>
        <v>0</v>
      </c>
      <c r="KB53" s="6">
        <f t="shared" si="1156"/>
        <v>1</v>
      </c>
      <c r="KC53" s="6">
        <f t="shared" si="1295"/>
        <v>4</v>
      </c>
      <c r="KD53" s="6">
        <f t="shared" si="1157"/>
        <v>0</v>
      </c>
      <c r="KE53" s="6">
        <f t="shared" si="1296"/>
        <v>0</v>
      </c>
      <c r="KF53" s="6"/>
      <c r="KG53" s="6">
        <f t="shared" ref="KG53:KG55" si="1308">IF($E53=4,JH53-4,NA())</f>
        <v>3</v>
      </c>
      <c r="KH53" s="6"/>
      <c r="KI53" s="20">
        <f>JH53-'Zusammenfassung Tag1-4'!$K$2/18</f>
        <v>6.2222222222222223</v>
      </c>
      <c r="KJ53" s="22">
        <f t="shared" si="1298"/>
        <v>-8.111111111111132</v>
      </c>
      <c r="KK53" s="10"/>
      <c r="KL53" s="10"/>
      <c r="KM53" s="10"/>
      <c r="KN53" s="10"/>
      <c r="KO53" s="10"/>
      <c r="KP53" s="10"/>
      <c r="KQ53" s="10"/>
      <c r="KR53" s="10"/>
      <c r="KS53" s="10"/>
      <c r="KT53" s="10"/>
      <c r="KU53" s="10"/>
      <c r="KV53" s="10"/>
      <c r="KW53" s="10"/>
      <c r="KX53" s="10"/>
      <c r="KY53" s="10"/>
      <c r="KZ53" s="10"/>
      <c r="LA53" s="10"/>
      <c r="LB53" s="10"/>
      <c r="LC53" s="10"/>
      <c r="LD53" s="10"/>
    </row>
    <row r="54" spans="1:316" ht="15.75" customHeight="1" x14ac:dyDescent="0.25">
      <c r="A54" s="106"/>
      <c r="B54" s="103"/>
      <c r="C54" s="6">
        <v>5</v>
      </c>
      <c r="D54" s="6">
        <f t="shared" si="1158"/>
        <v>41</v>
      </c>
      <c r="E54" s="6">
        <v>4</v>
      </c>
      <c r="F54" s="7">
        <f t="shared" si="1159"/>
        <v>166</v>
      </c>
      <c r="G54" s="18"/>
      <c r="H54" s="6"/>
      <c r="I54" s="19"/>
      <c r="J54" s="6">
        <f t="shared" si="1160"/>
        <v>71</v>
      </c>
      <c r="K54" s="6">
        <f t="shared" si="1058"/>
        <v>1</v>
      </c>
      <c r="L54" s="6">
        <f t="shared" si="1161"/>
        <v>20</v>
      </c>
      <c r="M54" s="6">
        <f t="shared" si="1059"/>
        <v>0</v>
      </c>
      <c r="N54" s="6">
        <f t="shared" si="1162"/>
        <v>3</v>
      </c>
      <c r="O54" s="6">
        <f t="shared" si="1060"/>
        <v>0</v>
      </c>
      <c r="P54" s="6">
        <f t="shared" si="1163"/>
        <v>1</v>
      </c>
      <c r="Q54" s="6">
        <f t="shared" si="1061"/>
        <v>0</v>
      </c>
      <c r="R54" s="6">
        <f t="shared" si="1164"/>
        <v>0</v>
      </c>
      <c r="S54" s="6">
        <f t="shared" si="1062"/>
        <v>0</v>
      </c>
      <c r="T54" s="6">
        <f t="shared" si="1165"/>
        <v>0</v>
      </c>
      <c r="U54" s="6">
        <f t="shared" si="1063"/>
        <v>0</v>
      </c>
      <c r="V54" s="6">
        <f t="shared" si="1166"/>
        <v>0</v>
      </c>
      <c r="W54" s="6">
        <f t="shared" si="1064"/>
        <v>1</v>
      </c>
      <c r="X54" s="6">
        <f t="shared" si="1167"/>
        <v>5</v>
      </c>
      <c r="Y54" s="6">
        <f t="shared" si="1065"/>
        <v>0</v>
      </c>
      <c r="Z54" s="6">
        <f t="shared" si="1168"/>
        <v>7</v>
      </c>
      <c r="AA54" s="6">
        <f t="shared" si="1066"/>
        <v>0</v>
      </c>
      <c r="AB54" s="6">
        <f t="shared" si="1169"/>
        <v>0</v>
      </c>
      <c r="AC54" s="6">
        <f t="shared" si="1067"/>
        <v>0</v>
      </c>
      <c r="AD54" s="6">
        <f t="shared" si="1170"/>
        <v>5</v>
      </c>
      <c r="AE54" s="6"/>
      <c r="AF54" s="6">
        <f t="shared" si="1299"/>
        <v>-4</v>
      </c>
      <c r="AG54" s="6"/>
      <c r="AH54" s="20">
        <f>G54-'Zusammenfassung Tag1-4'!$B$2/18</f>
        <v>-1.1111111111111112</v>
      </c>
      <c r="AI54" s="21">
        <f t="shared" si="1172"/>
        <v>131.44444444444434</v>
      </c>
      <c r="AJ54" s="18">
        <v>6</v>
      </c>
      <c r="AK54" s="6">
        <f t="shared" si="1173"/>
        <v>190</v>
      </c>
      <c r="AL54" s="19">
        <v>2</v>
      </c>
      <c r="AM54" s="6">
        <f t="shared" si="1174"/>
        <v>77</v>
      </c>
      <c r="AN54" s="6">
        <f t="shared" si="1068"/>
        <v>0</v>
      </c>
      <c r="AO54" s="6">
        <f t="shared" si="1175"/>
        <v>22</v>
      </c>
      <c r="AP54" s="6">
        <f t="shared" si="1069"/>
        <v>0</v>
      </c>
      <c r="AQ54" s="6">
        <f t="shared" si="1176"/>
        <v>6</v>
      </c>
      <c r="AR54" s="6">
        <f t="shared" si="1070"/>
        <v>0</v>
      </c>
      <c r="AS54" s="6">
        <f t="shared" si="1177"/>
        <v>3</v>
      </c>
      <c r="AT54" s="6">
        <f t="shared" si="1071"/>
        <v>0</v>
      </c>
      <c r="AU54" s="6">
        <f t="shared" si="1178"/>
        <v>2</v>
      </c>
      <c r="AV54" s="6">
        <f t="shared" si="1072"/>
        <v>0</v>
      </c>
      <c r="AW54" s="6">
        <f t="shared" si="1179"/>
        <v>1</v>
      </c>
      <c r="AX54" s="6">
        <f t="shared" si="1073"/>
        <v>1</v>
      </c>
      <c r="AY54" s="6">
        <f t="shared" si="1180"/>
        <v>2</v>
      </c>
      <c r="AZ54" s="6">
        <f t="shared" si="1074"/>
        <v>0</v>
      </c>
      <c r="BA54" s="6">
        <f t="shared" si="1181"/>
        <v>0</v>
      </c>
      <c r="BB54" s="6">
        <f t="shared" si="1075"/>
        <v>0</v>
      </c>
      <c r="BC54" s="6">
        <f t="shared" si="1182"/>
        <v>11</v>
      </c>
      <c r="BD54" s="6">
        <f t="shared" si="1076"/>
        <v>1</v>
      </c>
      <c r="BE54" s="6">
        <f t="shared" si="1183"/>
        <v>2</v>
      </c>
      <c r="BF54" s="6">
        <f t="shared" si="1077"/>
        <v>0</v>
      </c>
      <c r="BG54" s="6">
        <f t="shared" si="1184"/>
        <v>6</v>
      </c>
      <c r="BH54" s="6"/>
      <c r="BI54" s="6">
        <f t="shared" si="1300"/>
        <v>2</v>
      </c>
      <c r="BJ54" s="6"/>
      <c r="BK54" s="20">
        <f>AJ54-'Zusammenfassung Tag1-4'!$C$2/18</f>
        <v>5.333333333333333</v>
      </c>
      <c r="BL54" s="21">
        <f t="shared" si="1186"/>
        <v>162.66666666666669</v>
      </c>
      <c r="BM54" s="18">
        <v>5</v>
      </c>
      <c r="BN54" s="6">
        <f t="shared" si="1187"/>
        <v>227</v>
      </c>
      <c r="BO54" s="19">
        <v>2</v>
      </c>
      <c r="BP54" s="6">
        <f t="shared" si="1188"/>
        <v>85</v>
      </c>
      <c r="BQ54" s="6">
        <f t="shared" si="1078"/>
        <v>0</v>
      </c>
      <c r="BR54" s="6">
        <f t="shared" si="1189"/>
        <v>8</v>
      </c>
      <c r="BS54" s="6">
        <f t="shared" si="1079"/>
        <v>0</v>
      </c>
      <c r="BT54" s="6">
        <f t="shared" si="1190"/>
        <v>3</v>
      </c>
      <c r="BU54" s="6">
        <f t="shared" si="1080"/>
        <v>0</v>
      </c>
      <c r="BV54" s="6">
        <f t="shared" si="1191"/>
        <v>0</v>
      </c>
      <c r="BW54" s="6">
        <f t="shared" si="1081"/>
        <v>0</v>
      </c>
      <c r="BX54" s="6">
        <f t="shared" si="1192"/>
        <v>1</v>
      </c>
      <c r="BY54" s="6">
        <f t="shared" si="1082"/>
        <v>1</v>
      </c>
      <c r="BZ54" s="6">
        <f t="shared" si="1193"/>
        <v>3</v>
      </c>
      <c r="CA54" s="6">
        <f t="shared" si="1083"/>
        <v>0</v>
      </c>
      <c r="CB54" s="6">
        <f t="shared" si="1194"/>
        <v>1</v>
      </c>
      <c r="CC54" s="6">
        <f t="shared" si="1084"/>
        <v>0</v>
      </c>
      <c r="CD54" s="6">
        <f t="shared" si="1195"/>
        <v>0</v>
      </c>
      <c r="CE54" s="6">
        <f t="shared" si="1085"/>
        <v>0</v>
      </c>
      <c r="CF54" s="6">
        <f t="shared" si="1196"/>
        <v>6</v>
      </c>
      <c r="CG54" s="6">
        <f t="shared" si="1086"/>
        <v>1</v>
      </c>
      <c r="CH54" s="6">
        <f t="shared" si="1197"/>
        <v>3</v>
      </c>
      <c r="CI54" s="6">
        <f t="shared" si="1087"/>
        <v>0</v>
      </c>
      <c r="CJ54" s="6">
        <f t="shared" si="1198"/>
        <v>9</v>
      </c>
      <c r="CK54" s="6"/>
      <c r="CL54" s="6">
        <f t="shared" si="1301"/>
        <v>1</v>
      </c>
      <c r="CM54" s="6"/>
      <c r="CN54" s="20">
        <f>BM54-'Zusammenfassung Tag1-4'!$D$2/18</f>
        <v>3.666666666666667</v>
      </c>
      <c r="CO54" s="21">
        <f t="shared" si="1200"/>
        <v>172.33333333333329</v>
      </c>
      <c r="CP54" s="18">
        <v>6</v>
      </c>
      <c r="CQ54" s="6">
        <f t="shared" si="1201"/>
        <v>215</v>
      </c>
      <c r="CR54" s="19">
        <v>2</v>
      </c>
      <c r="CS54" s="6">
        <f t="shared" si="1202"/>
        <v>83</v>
      </c>
      <c r="CT54" s="6">
        <f t="shared" si="1088"/>
        <v>0</v>
      </c>
      <c r="CU54" s="6">
        <f t="shared" si="1203"/>
        <v>10</v>
      </c>
      <c r="CV54" s="6">
        <f t="shared" si="1089"/>
        <v>0</v>
      </c>
      <c r="CW54" s="6">
        <f t="shared" si="1204"/>
        <v>3</v>
      </c>
      <c r="CX54" s="6">
        <f t="shared" si="1090"/>
        <v>0</v>
      </c>
      <c r="CY54" s="6">
        <f t="shared" si="1205"/>
        <v>0</v>
      </c>
      <c r="CZ54" s="6">
        <f t="shared" si="1091"/>
        <v>0</v>
      </c>
      <c r="DA54" s="6">
        <f t="shared" si="1206"/>
        <v>1</v>
      </c>
      <c r="DB54" s="6">
        <f t="shared" si="1092"/>
        <v>0</v>
      </c>
      <c r="DC54" s="6">
        <f t="shared" si="1207"/>
        <v>3</v>
      </c>
      <c r="DD54" s="6">
        <f t="shared" si="1093"/>
        <v>1</v>
      </c>
      <c r="DE54" s="6">
        <f t="shared" si="1208"/>
        <v>1</v>
      </c>
      <c r="DF54" s="6">
        <f t="shared" si="1094"/>
        <v>0</v>
      </c>
      <c r="DG54" s="6">
        <f t="shared" si="1209"/>
        <v>0</v>
      </c>
      <c r="DH54" s="6">
        <f t="shared" si="1095"/>
        <v>0</v>
      </c>
      <c r="DI54" s="6">
        <f t="shared" si="1210"/>
        <v>7</v>
      </c>
      <c r="DJ54" s="6">
        <f t="shared" si="1096"/>
        <v>1</v>
      </c>
      <c r="DK54" s="6">
        <f t="shared" si="1211"/>
        <v>3</v>
      </c>
      <c r="DL54" s="6">
        <f t="shared" si="1097"/>
        <v>0</v>
      </c>
      <c r="DM54" s="6">
        <f t="shared" si="1212"/>
        <v>8</v>
      </c>
      <c r="DN54" s="6"/>
      <c r="DO54" s="6">
        <f t="shared" si="1302"/>
        <v>2</v>
      </c>
      <c r="DP54" s="6"/>
      <c r="DQ54" s="20">
        <f>CP54-'Zusammenfassung Tag1-4'!$E$2/18</f>
        <v>4.7222222222222223</v>
      </c>
      <c r="DR54" s="22">
        <f t="shared" si="1214"/>
        <v>162.61111111111126</v>
      </c>
      <c r="DS54" s="18">
        <v>7</v>
      </c>
      <c r="DT54" s="6">
        <f t="shared" si="1215"/>
        <v>321</v>
      </c>
      <c r="DU54" s="19">
        <v>2</v>
      </c>
      <c r="DV54" s="6">
        <f t="shared" si="1216"/>
        <v>91</v>
      </c>
      <c r="DW54" s="6">
        <f t="shared" si="1098"/>
        <v>0</v>
      </c>
      <c r="DX54" s="6">
        <f t="shared" si="1217"/>
        <v>1</v>
      </c>
      <c r="DY54" s="6">
        <f t="shared" si="1099"/>
        <v>0</v>
      </c>
      <c r="DZ54" s="6">
        <f t="shared" si="1218"/>
        <v>0</v>
      </c>
      <c r="EA54" s="6">
        <f t="shared" si="1100"/>
        <v>0</v>
      </c>
      <c r="EB54" s="6">
        <f t="shared" si="1219"/>
        <v>0</v>
      </c>
      <c r="EC54" s="6">
        <f t="shared" si="1101"/>
        <v>0</v>
      </c>
      <c r="ED54" s="6">
        <f t="shared" si="1220"/>
        <v>0</v>
      </c>
      <c r="EE54" s="6">
        <f t="shared" si="1102"/>
        <v>0</v>
      </c>
      <c r="EF54" s="6">
        <f t="shared" si="1221"/>
        <v>0</v>
      </c>
      <c r="EG54" s="6">
        <f t="shared" si="1103"/>
        <v>1</v>
      </c>
      <c r="EH54" s="6">
        <f t="shared" si="1222"/>
        <v>5</v>
      </c>
      <c r="EI54" s="6">
        <f t="shared" si="1104"/>
        <v>0</v>
      </c>
      <c r="EJ54" s="6">
        <f t="shared" si="1223"/>
        <v>0</v>
      </c>
      <c r="EK54" s="6">
        <f t="shared" si="1105"/>
        <v>0</v>
      </c>
      <c r="EL54" s="6">
        <f t="shared" si="1224"/>
        <v>2</v>
      </c>
      <c r="EM54" s="6">
        <f t="shared" si="1106"/>
        <v>1</v>
      </c>
      <c r="EN54" s="6">
        <f t="shared" si="1225"/>
        <v>3</v>
      </c>
      <c r="EO54" s="6">
        <f t="shared" si="1107"/>
        <v>0</v>
      </c>
      <c r="EP54" s="6">
        <f t="shared" si="1226"/>
        <v>10</v>
      </c>
      <c r="EQ54" s="6"/>
      <c r="ER54" s="6">
        <f t="shared" si="1303"/>
        <v>3</v>
      </c>
      <c r="ES54" s="6"/>
      <c r="ET54" s="20">
        <f>DS54-'Zusammenfassung Tag1-4'!$F$2/18</f>
        <v>4</v>
      </c>
      <c r="EU54" s="22">
        <f t="shared" si="1228"/>
        <v>198</v>
      </c>
      <c r="EV54" s="18">
        <v>5</v>
      </c>
      <c r="EW54" s="6">
        <f t="shared" si="1229"/>
        <v>232</v>
      </c>
      <c r="EX54" s="19">
        <v>2</v>
      </c>
      <c r="EY54" s="6">
        <f t="shared" si="1230"/>
        <v>87</v>
      </c>
      <c r="EZ54" s="6">
        <f t="shared" si="1108"/>
        <v>0</v>
      </c>
      <c r="FA54" s="6">
        <f t="shared" si="1231"/>
        <v>8</v>
      </c>
      <c r="FB54" s="6">
        <f t="shared" si="1109"/>
        <v>0</v>
      </c>
      <c r="FC54" s="6">
        <f t="shared" si="1232"/>
        <v>0</v>
      </c>
      <c r="FD54" s="6">
        <f t="shared" si="1110"/>
        <v>0</v>
      </c>
      <c r="FE54" s="6">
        <f t="shared" si="1233"/>
        <v>0</v>
      </c>
      <c r="FF54" s="6">
        <f t="shared" si="1111"/>
        <v>0</v>
      </c>
      <c r="FG54" s="6">
        <f t="shared" si="1234"/>
        <v>0</v>
      </c>
      <c r="FH54" s="6">
        <f t="shared" si="1112"/>
        <v>1</v>
      </c>
      <c r="FI54" s="6">
        <f t="shared" si="1235"/>
        <v>3</v>
      </c>
      <c r="FJ54" s="6">
        <f t="shared" si="1113"/>
        <v>0</v>
      </c>
      <c r="FK54" s="6">
        <f t="shared" si="1236"/>
        <v>2</v>
      </c>
      <c r="FL54" s="6">
        <f t="shared" si="1114"/>
        <v>0</v>
      </c>
      <c r="FM54" s="6">
        <f t="shared" si="1237"/>
        <v>0</v>
      </c>
      <c r="FN54" s="6">
        <f t="shared" si="1115"/>
        <v>0</v>
      </c>
      <c r="FO54" s="6">
        <f t="shared" si="1238"/>
        <v>4</v>
      </c>
      <c r="FP54" s="6">
        <f t="shared" si="1116"/>
        <v>1</v>
      </c>
      <c r="FQ54" s="6">
        <f t="shared" si="1239"/>
        <v>3</v>
      </c>
      <c r="FR54" s="6">
        <f t="shared" si="1117"/>
        <v>0</v>
      </c>
      <c r="FS54" s="6">
        <f t="shared" si="1240"/>
        <v>9</v>
      </c>
      <c r="FT54" s="6"/>
      <c r="FU54" s="6">
        <f t="shared" si="1304"/>
        <v>1</v>
      </c>
      <c r="FV54" s="6"/>
      <c r="FW54" s="20">
        <f>EV54-'Zusammenfassung Tag1-4'!$G$2/18</f>
        <v>3.5</v>
      </c>
      <c r="FX54" s="22">
        <f t="shared" si="1242"/>
        <v>170.5</v>
      </c>
      <c r="FY54" s="18">
        <v>7</v>
      </c>
      <c r="FZ54" s="6">
        <f t="shared" si="1243"/>
        <v>300</v>
      </c>
      <c r="GA54" s="19">
        <v>3</v>
      </c>
      <c r="GB54" s="6">
        <f t="shared" si="1244"/>
        <v>98</v>
      </c>
      <c r="GC54" s="6">
        <f t="shared" si="1118"/>
        <v>0</v>
      </c>
      <c r="GD54" s="6">
        <f t="shared" si="1245"/>
        <v>2</v>
      </c>
      <c r="GE54" s="6">
        <f t="shared" si="1119"/>
        <v>0</v>
      </c>
      <c r="GF54" s="6">
        <f t="shared" si="1246"/>
        <v>0</v>
      </c>
      <c r="GG54" s="6">
        <f t="shared" si="1120"/>
        <v>0</v>
      </c>
      <c r="GH54" s="6">
        <f t="shared" si="1247"/>
        <v>0</v>
      </c>
      <c r="GI54" s="6">
        <f t="shared" si="1121"/>
        <v>0</v>
      </c>
      <c r="GJ54" s="6">
        <f t="shared" si="1248"/>
        <v>0</v>
      </c>
      <c r="GK54" s="6">
        <f t="shared" si="1122"/>
        <v>0</v>
      </c>
      <c r="GL54" s="6">
        <f t="shared" si="1249"/>
        <v>0</v>
      </c>
      <c r="GM54" s="6">
        <f t="shared" si="1123"/>
        <v>1</v>
      </c>
      <c r="GN54" s="6">
        <f t="shared" si="1250"/>
        <v>5</v>
      </c>
      <c r="GO54" s="6">
        <f t="shared" si="1124"/>
        <v>0</v>
      </c>
      <c r="GP54" s="6">
        <f t="shared" si="1251"/>
        <v>0</v>
      </c>
      <c r="GQ54" s="6">
        <f t="shared" si="1125"/>
        <v>0</v>
      </c>
      <c r="GR54" s="6">
        <f t="shared" si="1252"/>
        <v>2</v>
      </c>
      <c r="GS54" s="6">
        <f t="shared" si="1126"/>
        <v>0</v>
      </c>
      <c r="GT54" s="6">
        <f t="shared" si="1253"/>
        <v>2</v>
      </c>
      <c r="GU54" s="6">
        <f t="shared" si="1127"/>
        <v>1</v>
      </c>
      <c r="GV54" s="6">
        <f t="shared" si="1254"/>
        <v>18</v>
      </c>
      <c r="GW54" s="6"/>
      <c r="GX54" s="6">
        <f t="shared" si="1305"/>
        <v>3</v>
      </c>
      <c r="GY54" s="6"/>
      <c r="GZ54" s="20">
        <f>FY54-'Zusammenfassung Tag1-4'!$H$2/18</f>
        <v>4</v>
      </c>
      <c r="HA54" s="22">
        <f t="shared" si="1256"/>
        <v>177</v>
      </c>
      <c r="HB54" s="18">
        <v>7</v>
      </c>
      <c r="HC54" s="6">
        <f t="shared" si="1257"/>
        <v>219</v>
      </c>
      <c r="HD54" s="19">
        <v>1</v>
      </c>
      <c r="HE54" s="6">
        <f t="shared" si="1258"/>
        <v>86</v>
      </c>
      <c r="HF54" s="6">
        <f t="shared" si="1128"/>
        <v>0</v>
      </c>
      <c r="HG54" s="6">
        <f t="shared" si="1259"/>
        <v>14</v>
      </c>
      <c r="HH54" s="6">
        <f t="shared" si="1129"/>
        <v>0</v>
      </c>
      <c r="HI54" s="6">
        <f t="shared" si="1260"/>
        <v>4</v>
      </c>
      <c r="HJ54" s="6">
        <f t="shared" si="1130"/>
        <v>0</v>
      </c>
      <c r="HK54" s="6">
        <f t="shared" si="1261"/>
        <v>0</v>
      </c>
      <c r="HL54" s="6">
        <f t="shared" si="1131"/>
        <v>0</v>
      </c>
      <c r="HM54" s="6">
        <f t="shared" si="1262"/>
        <v>1</v>
      </c>
      <c r="HN54" s="6">
        <f t="shared" si="1132"/>
        <v>0</v>
      </c>
      <c r="HO54" s="6">
        <f t="shared" si="1263"/>
        <v>3</v>
      </c>
      <c r="HP54" s="6">
        <f t="shared" si="1133"/>
        <v>1</v>
      </c>
      <c r="HQ54" s="6">
        <f t="shared" si="1264"/>
        <v>1</v>
      </c>
      <c r="HR54" s="6">
        <f t="shared" si="1134"/>
        <v>0</v>
      </c>
      <c r="HS54" s="6">
        <f t="shared" si="1265"/>
        <v>0</v>
      </c>
      <c r="HT54" s="6">
        <f t="shared" si="1135"/>
        <v>1</v>
      </c>
      <c r="HU54" s="6">
        <f t="shared" si="1266"/>
        <v>6</v>
      </c>
      <c r="HV54" s="6">
        <f t="shared" si="1136"/>
        <v>0</v>
      </c>
      <c r="HW54" s="6">
        <f t="shared" si="1267"/>
        <v>1</v>
      </c>
      <c r="HX54" s="6">
        <f t="shared" si="1137"/>
        <v>0</v>
      </c>
      <c r="HY54" s="6">
        <f t="shared" si="1268"/>
        <v>10</v>
      </c>
      <c r="HZ54" s="6"/>
      <c r="IA54" s="6">
        <f t="shared" si="1306"/>
        <v>3</v>
      </c>
      <c r="IB54" s="6"/>
      <c r="IC54" s="20">
        <f>HB54-'Zusammenfassung Tag1-4'!$I$2/18</f>
        <v>6</v>
      </c>
      <c r="ID54" s="22">
        <f t="shared" si="1270"/>
        <v>178</v>
      </c>
      <c r="IE54" s="18">
        <v>7</v>
      </c>
      <c r="IF54" s="6">
        <f t="shared" si="1271"/>
        <v>43</v>
      </c>
      <c r="IG54" s="19">
        <v>2</v>
      </c>
      <c r="IH54" s="6">
        <f t="shared" si="1272"/>
        <v>13</v>
      </c>
      <c r="II54" s="6">
        <f t="shared" si="1138"/>
        <v>0</v>
      </c>
      <c r="IJ54" s="6">
        <f t="shared" si="1273"/>
        <v>36</v>
      </c>
      <c r="IK54" s="6">
        <f t="shared" si="1139"/>
        <v>0</v>
      </c>
      <c r="IL54" s="6">
        <f t="shared" si="1274"/>
        <v>0</v>
      </c>
      <c r="IM54" s="6">
        <f t="shared" si="1140"/>
        <v>0</v>
      </c>
      <c r="IN54" s="6">
        <f t="shared" si="1275"/>
        <v>0</v>
      </c>
      <c r="IO54" s="6">
        <f t="shared" si="1141"/>
        <v>0</v>
      </c>
      <c r="IP54" s="6">
        <f t="shared" si="1276"/>
        <v>0</v>
      </c>
      <c r="IQ54" s="6">
        <f t="shared" si="1142"/>
        <v>0</v>
      </c>
      <c r="IR54" s="6">
        <f t="shared" si="1277"/>
        <v>0</v>
      </c>
      <c r="IS54" s="6">
        <f t="shared" si="1143"/>
        <v>1</v>
      </c>
      <c r="IT54" s="6">
        <f t="shared" si="1278"/>
        <v>5</v>
      </c>
      <c r="IU54" s="6">
        <f t="shared" si="1144"/>
        <v>0</v>
      </c>
      <c r="IV54" s="6">
        <f t="shared" si="1279"/>
        <v>0</v>
      </c>
      <c r="IW54" s="6">
        <f t="shared" si="1145"/>
        <v>0</v>
      </c>
      <c r="IX54" s="6">
        <f t="shared" si="1280"/>
        <v>0</v>
      </c>
      <c r="IY54" s="6">
        <f t="shared" si="1146"/>
        <v>1</v>
      </c>
      <c r="IZ54" s="6">
        <f t="shared" si="1281"/>
        <v>2</v>
      </c>
      <c r="JA54" s="6">
        <f t="shared" si="1147"/>
        <v>0</v>
      </c>
      <c r="JB54" s="6">
        <f t="shared" si="1282"/>
        <v>3</v>
      </c>
      <c r="JC54" s="6"/>
      <c r="JD54" s="6">
        <f t="shared" si="1307"/>
        <v>3</v>
      </c>
      <c r="JE54" s="6"/>
      <c r="JF54" s="20">
        <f>IE54-'Zusammenfassung Tag1-4'!$J$2/18</f>
        <v>4</v>
      </c>
      <c r="JG54" s="22">
        <f t="shared" si="1284"/>
        <v>-80</v>
      </c>
      <c r="JH54" s="18">
        <v>6</v>
      </c>
      <c r="JI54" s="6">
        <f t="shared" si="1285"/>
        <v>29</v>
      </c>
      <c r="JJ54" s="19">
        <v>2</v>
      </c>
      <c r="JK54" s="6">
        <f t="shared" si="1286"/>
        <v>10</v>
      </c>
      <c r="JL54" s="6">
        <f t="shared" si="1148"/>
        <v>0</v>
      </c>
      <c r="JM54" s="6">
        <f t="shared" si="1287"/>
        <v>38</v>
      </c>
      <c r="JN54" s="6">
        <f t="shared" si="1149"/>
        <v>0</v>
      </c>
      <c r="JO54" s="6">
        <f t="shared" si="1288"/>
        <v>0</v>
      </c>
      <c r="JP54" s="6">
        <f t="shared" si="1150"/>
        <v>0</v>
      </c>
      <c r="JQ54" s="6">
        <f t="shared" si="1289"/>
        <v>0</v>
      </c>
      <c r="JR54" s="6">
        <f t="shared" si="1151"/>
        <v>0</v>
      </c>
      <c r="JS54" s="6">
        <f t="shared" si="1290"/>
        <v>2</v>
      </c>
      <c r="JT54" s="6">
        <f t="shared" si="1152"/>
        <v>0</v>
      </c>
      <c r="JU54" s="6">
        <f t="shared" si="1291"/>
        <v>0</v>
      </c>
      <c r="JV54" s="6">
        <f t="shared" si="1153"/>
        <v>1</v>
      </c>
      <c r="JW54" s="6">
        <f t="shared" si="1292"/>
        <v>3</v>
      </c>
      <c r="JX54" s="6">
        <f t="shared" si="1154"/>
        <v>0</v>
      </c>
      <c r="JY54" s="6">
        <f t="shared" si="1293"/>
        <v>0</v>
      </c>
      <c r="JZ54" s="6">
        <f t="shared" si="1155"/>
        <v>0</v>
      </c>
      <c r="KA54" s="6">
        <f t="shared" si="1294"/>
        <v>0</v>
      </c>
      <c r="KB54" s="6">
        <f t="shared" si="1156"/>
        <v>1</v>
      </c>
      <c r="KC54" s="6">
        <f t="shared" si="1295"/>
        <v>5</v>
      </c>
      <c r="KD54" s="6">
        <f t="shared" si="1157"/>
        <v>0</v>
      </c>
      <c r="KE54" s="6">
        <f t="shared" si="1296"/>
        <v>0</v>
      </c>
      <c r="KF54" s="6"/>
      <c r="KG54" s="6">
        <f t="shared" si="1308"/>
        <v>2</v>
      </c>
      <c r="KH54" s="6"/>
      <c r="KI54" s="20">
        <f>JH54-'Zusammenfassung Tag1-4'!$K$2/18</f>
        <v>5.2222222222222223</v>
      </c>
      <c r="KJ54" s="22">
        <f t="shared" si="1298"/>
        <v>-2.8888888888889097</v>
      </c>
      <c r="KK54" s="10"/>
      <c r="KL54" s="10"/>
      <c r="KM54" s="10"/>
      <c r="KN54" s="10"/>
      <c r="KO54" s="10"/>
      <c r="KP54" s="10"/>
      <c r="KQ54" s="10"/>
      <c r="KR54" s="10"/>
      <c r="KS54" s="10"/>
      <c r="KT54" s="10"/>
      <c r="KU54" s="10"/>
      <c r="KV54" s="10"/>
      <c r="KW54" s="10"/>
      <c r="KX54" s="10"/>
      <c r="KY54" s="10"/>
      <c r="KZ54" s="10"/>
      <c r="LA54" s="10"/>
      <c r="LB54" s="10"/>
      <c r="LC54" s="10"/>
      <c r="LD54" s="10"/>
    </row>
    <row r="55" spans="1:316" ht="15.75" customHeight="1" x14ac:dyDescent="0.25">
      <c r="A55" s="106"/>
      <c r="B55" s="103"/>
      <c r="C55" s="6">
        <v>6</v>
      </c>
      <c r="D55" s="6">
        <f t="shared" si="1158"/>
        <v>42</v>
      </c>
      <c r="E55" s="6">
        <v>4</v>
      </c>
      <c r="F55" s="7">
        <f t="shared" si="1159"/>
        <v>170</v>
      </c>
      <c r="G55" s="18"/>
      <c r="H55" s="6"/>
      <c r="I55" s="19"/>
      <c r="J55" s="6">
        <f t="shared" si="1160"/>
        <v>71</v>
      </c>
      <c r="K55" s="6">
        <f t="shared" si="1058"/>
        <v>1</v>
      </c>
      <c r="L55" s="6">
        <f t="shared" si="1161"/>
        <v>21</v>
      </c>
      <c r="M55" s="6">
        <f t="shared" si="1059"/>
        <v>0</v>
      </c>
      <c r="N55" s="6">
        <f t="shared" si="1162"/>
        <v>3</v>
      </c>
      <c r="O55" s="6">
        <f t="shared" si="1060"/>
        <v>0</v>
      </c>
      <c r="P55" s="6">
        <f t="shared" si="1163"/>
        <v>1</v>
      </c>
      <c r="Q55" s="6">
        <f t="shared" si="1061"/>
        <v>0</v>
      </c>
      <c r="R55" s="6">
        <f t="shared" si="1164"/>
        <v>0</v>
      </c>
      <c r="S55" s="6">
        <f t="shared" si="1062"/>
        <v>0</v>
      </c>
      <c r="T55" s="6">
        <f t="shared" si="1165"/>
        <v>0</v>
      </c>
      <c r="U55" s="6">
        <f t="shared" si="1063"/>
        <v>0</v>
      </c>
      <c r="V55" s="6">
        <f t="shared" si="1166"/>
        <v>0</v>
      </c>
      <c r="W55" s="6">
        <f t="shared" si="1064"/>
        <v>1</v>
      </c>
      <c r="X55" s="6">
        <f t="shared" si="1167"/>
        <v>6</v>
      </c>
      <c r="Y55" s="6">
        <f t="shared" si="1065"/>
        <v>0</v>
      </c>
      <c r="Z55" s="6">
        <f t="shared" si="1168"/>
        <v>7</v>
      </c>
      <c r="AA55" s="6">
        <f t="shared" si="1066"/>
        <v>0</v>
      </c>
      <c r="AB55" s="6">
        <f t="shared" si="1169"/>
        <v>0</v>
      </c>
      <c r="AC55" s="6">
        <f t="shared" si="1067"/>
        <v>0</v>
      </c>
      <c r="AD55" s="6">
        <f t="shared" si="1170"/>
        <v>5</v>
      </c>
      <c r="AE55" s="6"/>
      <c r="AF55" s="6">
        <f t="shared" si="1299"/>
        <v>-4</v>
      </c>
      <c r="AG55" s="6"/>
      <c r="AH55" s="20">
        <f>G55-'Zusammenfassung Tag1-4'!$B$2/18</f>
        <v>-1.1111111111111112</v>
      </c>
      <c r="AI55" s="21">
        <f t="shared" si="1172"/>
        <v>130.33333333333323</v>
      </c>
      <c r="AJ55" s="18">
        <v>4</v>
      </c>
      <c r="AK55" s="6">
        <f t="shared" si="1173"/>
        <v>194</v>
      </c>
      <c r="AL55" s="19">
        <v>2</v>
      </c>
      <c r="AM55" s="6">
        <f t="shared" si="1174"/>
        <v>79</v>
      </c>
      <c r="AN55" s="6">
        <f t="shared" si="1068"/>
        <v>1</v>
      </c>
      <c r="AO55" s="6">
        <f t="shared" si="1175"/>
        <v>23</v>
      </c>
      <c r="AP55" s="6">
        <f t="shared" si="1069"/>
        <v>0</v>
      </c>
      <c r="AQ55" s="6">
        <f t="shared" si="1176"/>
        <v>6</v>
      </c>
      <c r="AR55" s="6">
        <f t="shared" si="1070"/>
        <v>0</v>
      </c>
      <c r="AS55" s="6">
        <f t="shared" si="1177"/>
        <v>3</v>
      </c>
      <c r="AT55" s="6">
        <f t="shared" si="1071"/>
        <v>1</v>
      </c>
      <c r="AU55" s="6">
        <f t="shared" si="1178"/>
        <v>3</v>
      </c>
      <c r="AV55" s="6">
        <f t="shared" si="1072"/>
        <v>0</v>
      </c>
      <c r="AW55" s="6">
        <f t="shared" si="1179"/>
        <v>1</v>
      </c>
      <c r="AX55" s="6">
        <f t="shared" si="1073"/>
        <v>0</v>
      </c>
      <c r="AY55" s="6">
        <f t="shared" si="1180"/>
        <v>2</v>
      </c>
      <c r="AZ55" s="6">
        <f t="shared" si="1074"/>
        <v>0</v>
      </c>
      <c r="BA55" s="6">
        <f t="shared" si="1181"/>
        <v>0</v>
      </c>
      <c r="BB55" s="6">
        <f t="shared" si="1075"/>
        <v>0</v>
      </c>
      <c r="BC55" s="6">
        <f t="shared" si="1182"/>
        <v>11</v>
      </c>
      <c r="BD55" s="6">
        <f t="shared" si="1076"/>
        <v>1</v>
      </c>
      <c r="BE55" s="6">
        <f t="shared" si="1183"/>
        <v>3</v>
      </c>
      <c r="BF55" s="6">
        <f t="shared" si="1077"/>
        <v>0</v>
      </c>
      <c r="BG55" s="6">
        <f t="shared" si="1184"/>
        <v>6</v>
      </c>
      <c r="BH55" s="6"/>
      <c r="BI55" s="6">
        <f t="shared" si="1300"/>
        <v>0</v>
      </c>
      <c r="BJ55" s="6"/>
      <c r="BK55" s="20">
        <f>AJ55-'Zusammenfassung Tag1-4'!$C$2/18</f>
        <v>3.3333333333333335</v>
      </c>
      <c r="BL55" s="21">
        <f t="shared" si="1186"/>
        <v>166.00000000000003</v>
      </c>
      <c r="BM55" s="18">
        <v>6</v>
      </c>
      <c r="BN55" s="6">
        <f t="shared" si="1187"/>
        <v>233</v>
      </c>
      <c r="BO55" s="19">
        <v>3</v>
      </c>
      <c r="BP55" s="6">
        <f t="shared" si="1188"/>
        <v>88</v>
      </c>
      <c r="BQ55" s="6">
        <f t="shared" si="1078"/>
        <v>0</v>
      </c>
      <c r="BR55" s="6">
        <f t="shared" si="1189"/>
        <v>8</v>
      </c>
      <c r="BS55" s="6">
        <f t="shared" si="1079"/>
        <v>0</v>
      </c>
      <c r="BT55" s="6">
        <f t="shared" si="1190"/>
        <v>3</v>
      </c>
      <c r="BU55" s="6">
        <f t="shared" si="1080"/>
        <v>0</v>
      </c>
      <c r="BV55" s="6">
        <f t="shared" si="1191"/>
        <v>0</v>
      </c>
      <c r="BW55" s="6">
        <f t="shared" si="1081"/>
        <v>0</v>
      </c>
      <c r="BX55" s="6">
        <f t="shared" si="1192"/>
        <v>1</v>
      </c>
      <c r="BY55" s="6">
        <f t="shared" si="1082"/>
        <v>0</v>
      </c>
      <c r="BZ55" s="6">
        <f t="shared" si="1193"/>
        <v>3</v>
      </c>
      <c r="CA55" s="6">
        <f t="shared" si="1083"/>
        <v>1</v>
      </c>
      <c r="CB55" s="6">
        <f t="shared" si="1194"/>
        <v>2</v>
      </c>
      <c r="CC55" s="6">
        <f t="shared" si="1084"/>
        <v>0</v>
      </c>
      <c r="CD55" s="6">
        <f t="shared" si="1195"/>
        <v>0</v>
      </c>
      <c r="CE55" s="6">
        <f t="shared" si="1085"/>
        <v>0</v>
      </c>
      <c r="CF55" s="6">
        <f t="shared" si="1196"/>
        <v>6</v>
      </c>
      <c r="CG55" s="6">
        <f t="shared" si="1086"/>
        <v>0</v>
      </c>
      <c r="CH55" s="6">
        <f t="shared" si="1197"/>
        <v>3</v>
      </c>
      <c r="CI55" s="6">
        <f t="shared" si="1087"/>
        <v>1</v>
      </c>
      <c r="CJ55" s="6">
        <f t="shared" si="1198"/>
        <v>10</v>
      </c>
      <c r="CK55" s="6"/>
      <c r="CL55" s="6">
        <f t="shared" si="1301"/>
        <v>2</v>
      </c>
      <c r="CM55" s="6"/>
      <c r="CN55" s="20">
        <f>BM55-'Zusammenfassung Tag1-4'!$D$2/18</f>
        <v>4.666666666666667</v>
      </c>
      <c r="CO55" s="21">
        <f t="shared" si="1200"/>
        <v>176.99999999999994</v>
      </c>
      <c r="CP55" s="18">
        <v>5</v>
      </c>
      <c r="CQ55" s="6">
        <f t="shared" si="1201"/>
        <v>220</v>
      </c>
      <c r="CR55" s="19">
        <v>2</v>
      </c>
      <c r="CS55" s="6">
        <f t="shared" si="1202"/>
        <v>85</v>
      </c>
      <c r="CT55" s="6">
        <f t="shared" si="1088"/>
        <v>0</v>
      </c>
      <c r="CU55" s="6">
        <f t="shared" si="1203"/>
        <v>10</v>
      </c>
      <c r="CV55" s="6">
        <f t="shared" si="1089"/>
        <v>0</v>
      </c>
      <c r="CW55" s="6">
        <f t="shared" si="1204"/>
        <v>3</v>
      </c>
      <c r="CX55" s="6">
        <f t="shared" si="1090"/>
        <v>0</v>
      </c>
      <c r="CY55" s="6">
        <f t="shared" si="1205"/>
        <v>0</v>
      </c>
      <c r="CZ55" s="6">
        <f t="shared" si="1091"/>
        <v>0</v>
      </c>
      <c r="DA55" s="6">
        <f t="shared" si="1206"/>
        <v>1</v>
      </c>
      <c r="DB55" s="6">
        <f t="shared" si="1092"/>
        <v>1</v>
      </c>
      <c r="DC55" s="6">
        <f t="shared" si="1207"/>
        <v>4</v>
      </c>
      <c r="DD55" s="6">
        <f t="shared" si="1093"/>
        <v>0</v>
      </c>
      <c r="DE55" s="6">
        <f t="shared" si="1208"/>
        <v>1</v>
      </c>
      <c r="DF55" s="6">
        <f t="shared" si="1094"/>
        <v>0</v>
      </c>
      <c r="DG55" s="6">
        <f t="shared" si="1209"/>
        <v>0</v>
      </c>
      <c r="DH55" s="6">
        <f t="shared" si="1095"/>
        <v>0</v>
      </c>
      <c r="DI55" s="6">
        <f t="shared" si="1210"/>
        <v>7</v>
      </c>
      <c r="DJ55" s="6">
        <f t="shared" si="1096"/>
        <v>1</v>
      </c>
      <c r="DK55" s="6">
        <f t="shared" si="1211"/>
        <v>4</v>
      </c>
      <c r="DL55" s="6">
        <f t="shared" si="1097"/>
        <v>0</v>
      </c>
      <c r="DM55" s="6">
        <f t="shared" si="1212"/>
        <v>8</v>
      </c>
      <c r="DN55" s="6"/>
      <c r="DO55" s="6">
        <f t="shared" si="1302"/>
        <v>1</v>
      </c>
      <c r="DP55" s="6"/>
      <c r="DQ55" s="20">
        <f>CP55-'Zusammenfassung Tag1-4'!$E$2/18</f>
        <v>3.7222222222222223</v>
      </c>
      <c r="DR55" s="22">
        <f t="shared" si="1214"/>
        <v>166.33333333333348</v>
      </c>
      <c r="DS55" s="18">
        <v>6</v>
      </c>
      <c r="DT55" s="6">
        <f t="shared" si="1215"/>
        <v>327</v>
      </c>
      <c r="DU55" s="19">
        <v>2</v>
      </c>
      <c r="DV55" s="6">
        <f t="shared" si="1216"/>
        <v>93</v>
      </c>
      <c r="DW55" s="6">
        <f t="shared" si="1098"/>
        <v>0</v>
      </c>
      <c r="DX55" s="6">
        <f t="shared" si="1217"/>
        <v>1</v>
      </c>
      <c r="DY55" s="6">
        <f t="shared" si="1099"/>
        <v>0</v>
      </c>
      <c r="DZ55" s="6">
        <f t="shared" si="1218"/>
        <v>0</v>
      </c>
      <c r="EA55" s="6">
        <f t="shared" si="1100"/>
        <v>0</v>
      </c>
      <c r="EB55" s="6">
        <f t="shared" si="1219"/>
        <v>0</v>
      </c>
      <c r="EC55" s="6">
        <f t="shared" si="1101"/>
        <v>0</v>
      </c>
      <c r="ED55" s="6">
        <f t="shared" si="1220"/>
        <v>0</v>
      </c>
      <c r="EE55" s="6">
        <f t="shared" si="1102"/>
        <v>0</v>
      </c>
      <c r="EF55" s="6">
        <f t="shared" si="1221"/>
        <v>0</v>
      </c>
      <c r="EG55" s="6">
        <f t="shared" si="1103"/>
        <v>1</v>
      </c>
      <c r="EH55" s="6">
        <f t="shared" si="1222"/>
        <v>6</v>
      </c>
      <c r="EI55" s="6">
        <f t="shared" si="1104"/>
        <v>0</v>
      </c>
      <c r="EJ55" s="6">
        <f t="shared" si="1223"/>
        <v>0</v>
      </c>
      <c r="EK55" s="6">
        <f t="shared" si="1105"/>
        <v>0</v>
      </c>
      <c r="EL55" s="6">
        <f t="shared" si="1224"/>
        <v>2</v>
      </c>
      <c r="EM55" s="6">
        <f t="shared" si="1106"/>
        <v>1</v>
      </c>
      <c r="EN55" s="6">
        <f t="shared" si="1225"/>
        <v>4</v>
      </c>
      <c r="EO55" s="6">
        <f t="shared" si="1107"/>
        <v>0</v>
      </c>
      <c r="EP55" s="6">
        <f t="shared" si="1226"/>
        <v>10</v>
      </c>
      <c r="EQ55" s="6"/>
      <c r="ER55" s="6">
        <f t="shared" si="1303"/>
        <v>2</v>
      </c>
      <c r="ES55" s="6"/>
      <c r="ET55" s="20">
        <f>DS55-'Zusammenfassung Tag1-4'!$F$2/18</f>
        <v>3</v>
      </c>
      <c r="EU55" s="22">
        <f t="shared" si="1228"/>
        <v>201</v>
      </c>
      <c r="EV55" s="18">
        <v>5</v>
      </c>
      <c r="EW55" s="6">
        <f t="shared" si="1229"/>
        <v>237</v>
      </c>
      <c r="EX55" s="19">
        <v>1</v>
      </c>
      <c r="EY55" s="6">
        <f t="shared" si="1230"/>
        <v>88</v>
      </c>
      <c r="EZ55" s="6">
        <f t="shared" si="1108"/>
        <v>0</v>
      </c>
      <c r="FA55" s="6">
        <f t="shared" si="1231"/>
        <v>8</v>
      </c>
      <c r="FB55" s="6">
        <f t="shared" si="1109"/>
        <v>0</v>
      </c>
      <c r="FC55" s="6">
        <f t="shared" si="1232"/>
        <v>0</v>
      </c>
      <c r="FD55" s="6">
        <f t="shared" si="1110"/>
        <v>0</v>
      </c>
      <c r="FE55" s="6">
        <f t="shared" si="1233"/>
        <v>0</v>
      </c>
      <c r="FF55" s="6">
        <f t="shared" si="1111"/>
        <v>0</v>
      </c>
      <c r="FG55" s="6">
        <f t="shared" si="1234"/>
        <v>0</v>
      </c>
      <c r="FH55" s="6">
        <f t="shared" si="1112"/>
        <v>1</v>
      </c>
      <c r="FI55" s="6">
        <f t="shared" si="1235"/>
        <v>4</v>
      </c>
      <c r="FJ55" s="6">
        <f t="shared" si="1113"/>
        <v>0</v>
      </c>
      <c r="FK55" s="6">
        <f t="shared" si="1236"/>
        <v>2</v>
      </c>
      <c r="FL55" s="6">
        <f t="shared" si="1114"/>
        <v>0</v>
      </c>
      <c r="FM55" s="6">
        <f t="shared" si="1237"/>
        <v>0</v>
      </c>
      <c r="FN55" s="6">
        <f t="shared" si="1115"/>
        <v>1</v>
      </c>
      <c r="FO55" s="6">
        <f t="shared" si="1238"/>
        <v>5</v>
      </c>
      <c r="FP55" s="6">
        <f t="shared" si="1116"/>
        <v>0</v>
      </c>
      <c r="FQ55" s="6">
        <f t="shared" si="1239"/>
        <v>3</v>
      </c>
      <c r="FR55" s="6">
        <f t="shared" si="1117"/>
        <v>0</v>
      </c>
      <c r="FS55" s="6">
        <f t="shared" si="1240"/>
        <v>9</v>
      </c>
      <c r="FT55" s="6"/>
      <c r="FU55" s="6">
        <f t="shared" si="1304"/>
        <v>1</v>
      </c>
      <c r="FV55" s="6"/>
      <c r="FW55" s="20">
        <f>EV55-'Zusammenfassung Tag1-4'!$G$2/18</f>
        <v>3.5</v>
      </c>
      <c r="FX55" s="22">
        <f t="shared" si="1242"/>
        <v>174</v>
      </c>
      <c r="FY55" s="18">
        <v>7</v>
      </c>
      <c r="FZ55" s="6">
        <f t="shared" si="1243"/>
        <v>307</v>
      </c>
      <c r="GA55" s="19">
        <v>3</v>
      </c>
      <c r="GB55" s="6">
        <f t="shared" si="1244"/>
        <v>101</v>
      </c>
      <c r="GC55" s="6">
        <f t="shared" si="1118"/>
        <v>0</v>
      </c>
      <c r="GD55" s="6">
        <f t="shared" si="1245"/>
        <v>2</v>
      </c>
      <c r="GE55" s="6">
        <f t="shared" si="1119"/>
        <v>0</v>
      </c>
      <c r="GF55" s="6">
        <f t="shared" si="1246"/>
        <v>0</v>
      </c>
      <c r="GG55" s="6">
        <f t="shared" si="1120"/>
        <v>0</v>
      </c>
      <c r="GH55" s="6">
        <f t="shared" si="1247"/>
        <v>0</v>
      </c>
      <c r="GI55" s="6">
        <f t="shared" si="1121"/>
        <v>0</v>
      </c>
      <c r="GJ55" s="6">
        <f t="shared" si="1248"/>
        <v>0</v>
      </c>
      <c r="GK55" s="6">
        <f t="shared" si="1122"/>
        <v>0</v>
      </c>
      <c r="GL55" s="6">
        <f t="shared" si="1249"/>
        <v>0</v>
      </c>
      <c r="GM55" s="6">
        <f t="shared" si="1123"/>
        <v>1</v>
      </c>
      <c r="GN55" s="6">
        <f t="shared" si="1250"/>
        <v>6</v>
      </c>
      <c r="GO55" s="6">
        <f t="shared" si="1124"/>
        <v>0</v>
      </c>
      <c r="GP55" s="6">
        <f t="shared" si="1251"/>
        <v>0</v>
      </c>
      <c r="GQ55" s="6">
        <f t="shared" si="1125"/>
        <v>0</v>
      </c>
      <c r="GR55" s="6">
        <f t="shared" si="1252"/>
        <v>2</v>
      </c>
      <c r="GS55" s="6">
        <f t="shared" si="1126"/>
        <v>0</v>
      </c>
      <c r="GT55" s="6">
        <f t="shared" si="1253"/>
        <v>2</v>
      </c>
      <c r="GU55" s="6">
        <f t="shared" si="1127"/>
        <v>1</v>
      </c>
      <c r="GV55" s="6">
        <f t="shared" si="1254"/>
        <v>19</v>
      </c>
      <c r="GW55" s="6"/>
      <c r="GX55" s="6">
        <f t="shared" si="1305"/>
        <v>3</v>
      </c>
      <c r="GY55" s="6"/>
      <c r="GZ55" s="20">
        <f>FY55-'Zusammenfassung Tag1-4'!$H$2/18</f>
        <v>4</v>
      </c>
      <c r="HA55" s="22">
        <f t="shared" si="1256"/>
        <v>181</v>
      </c>
      <c r="HB55" s="18">
        <v>6</v>
      </c>
      <c r="HC55" s="6">
        <f t="shared" si="1257"/>
        <v>225</v>
      </c>
      <c r="HD55" s="19">
        <v>2</v>
      </c>
      <c r="HE55" s="6">
        <f t="shared" si="1258"/>
        <v>88</v>
      </c>
      <c r="HF55" s="6">
        <f t="shared" si="1128"/>
        <v>0</v>
      </c>
      <c r="HG55" s="6">
        <f t="shared" si="1259"/>
        <v>14</v>
      </c>
      <c r="HH55" s="6">
        <f t="shared" si="1129"/>
        <v>0</v>
      </c>
      <c r="HI55" s="6">
        <f t="shared" si="1260"/>
        <v>4</v>
      </c>
      <c r="HJ55" s="6">
        <f t="shared" si="1130"/>
        <v>0</v>
      </c>
      <c r="HK55" s="6">
        <f t="shared" si="1261"/>
        <v>0</v>
      </c>
      <c r="HL55" s="6">
        <f t="shared" si="1131"/>
        <v>0</v>
      </c>
      <c r="HM55" s="6">
        <f t="shared" si="1262"/>
        <v>1</v>
      </c>
      <c r="HN55" s="6">
        <f t="shared" si="1132"/>
        <v>0</v>
      </c>
      <c r="HO55" s="6">
        <f t="shared" si="1263"/>
        <v>3</v>
      </c>
      <c r="HP55" s="6">
        <f t="shared" si="1133"/>
        <v>1</v>
      </c>
      <c r="HQ55" s="6">
        <f t="shared" si="1264"/>
        <v>2</v>
      </c>
      <c r="HR55" s="6">
        <f t="shared" si="1134"/>
        <v>0</v>
      </c>
      <c r="HS55" s="6">
        <f t="shared" si="1265"/>
        <v>0</v>
      </c>
      <c r="HT55" s="6">
        <f t="shared" si="1135"/>
        <v>0</v>
      </c>
      <c r="HU55" s="6">
        <f t="shared" si="1266"/>
        <v>6</v>
      </c>
      <c r="HV55" s="6">
        <f t="shared" si="1136"/>
        <v>1</v>
      </c>
      <c r="HW55" s="6">
        <f t="shared" si="1267"/>
        <v>2</v>
      </c>
      <c r="HX55" s="6">
        <f t="shared" si="1137"/>
        <v>0</v>
      </c>
      <c r="HY55" s="6">
        <f t="shared" si="1268"/>
        <v>10</v>
      </c>
      <c r="HZ55" s="6"/>
      <c r="IA55" s="6">
        <f t="shared" si="1306"/>
        <v>2</v>
      </c>
      <c r="IB55" s="6"/>
      <c r="IC55" s="20">
        <f>HB55-'Zusammenfassung Tag1-4'!$I$2/18</f>
        <v>5</v>
      </c>
      <c r="ID55" s="22">
        <f t="shared" si="1270"/>
        <v>183</v>
      </c>
      <c r="IE55" s="18">
        <v>9</v>
      </c>
      <c r="IF55" s="6">
        <f t="shared" si="1271"/>
        <v>52</v>
      </c>
      <c r="IG55" s="19">
        <v>3</v>
      </c>
      <c r="IH55" s="6">
        <f t="shared" si="1272"/>
        <v>16</v>
      </c>
      <c r="II55" s="6">
        <f t="shared" si="1138"/>
        <v>0</v>
      </c>
      <c r="IJ55" s="6">
        <f t="shared" si="1273"/>
        <v>36</v>
      </c>
      <c r="IK55" s="6">
        <f t="shared" si="1139"/>
        <v>0</v>
      </c>
      <c r="IL55" s="6">
        <f t="shared" si="1274"/>
        <v>0</v>
      </c>
      <c r="IM55" s="6">
        <f t="shared" si="1140"/>
        <v>0</v>
      </c>
      <c r="IN55" s="6">
        <f t="shared" si="1275"/>
        <v>0</v>
      </c>
      <c r="IO55" s="6">
        <f t="shared" si="1141"/>
        <v>0</v>
      </c>
      <c r="IP55" s="6">
        <f t="shared" si="1276"/>
        <v>0</v>
      </c>
      <c r="IQ55" s="6">
        <f t="shared" si="1142"/>
        <v>0</v>
      </c>
      <c r="IR55" s="6">
        <f t="shared" si="1277"/>
        <v>0</v>
      </c>
      <c r="IS55" s="6">
        <f t="shared" si="1143"/>
        <v>1</v>
      </c>
      <c r="IT55" s="6">
        <f t="shared" si="1278"/>
        <v>6</v>
      </c>
      <c r="IU55" s="6">
        <f t="shared" si="1144"/>
        <v>0</v>
      </c>
      <c r="IV55" s="6">
        <f t="shared" si="1279"/>
        <v>0</v>
      </c>
      <c r="IW55" s="6">
        <f t="shared" si="1145"/>
        <v>0</v>
      </c>
      <c r="IX55" s="6">
        <f t="shared" si="1280"/>
        <v>0</v>
      </c>
      <c r="IY55" s="6">
        <f t="shared" si="1146"/>
        <v>0</v>
      </c>
      <c r="IZ55" s="6">
        <f t="shared" si="1281"/>
        <v>2</v>
      </c>
      <c r="JA55" s="6">
        <f t="shared" si="1147"/>
        <v>1</v>
      </c>
      <c r="JB55" s="6">
        <f t="shared" si="1282"/>
        <v>4</v>
      </c>
      <c r="JC55" s="6"/>
      <c r="JD55" s="6">
        <f t="shared" si="1307"/>
        <v>5</v>
      </c>
      <c r="JE55" s="6"/>
      <c r="JF55" s="20">
        <f>IE55-'Zusammenfassung Tag1-4'!$J$2/18</f>
        <v>6</v>
      </c>
      <c r="JG55" s="22">
        <f t="shared" si="1284"/>
        <v>-74</v>
      </c>
      <c r="JH55" s="18">
        <v>6</v>
      </c>
      <c r="JI55" s="6">
        <f t="shared" si="1285"/>
        <v>35</v>
      </c>
      <c r="JJ55" s="19">
        <v>2</v>
      </c>
      <c r="JK55" s="6">
        <f t="shared" si="1286"/>
        <v>12</v>
      </c>
      <c r="JL55" s="6">
        <f t="shared" si="1148"/>
        <v>0</v>
      </c>
      <c r="JM55" s="6">
        <f t="shared" si="1287"/>
        <v>38</v>
      </c>
      <c r="JN55" s="6">
        <f t="shared" si="1149"/>
        <v>0</v>
      </c>
      <c r="JO55" s="6">
        <f t="shared" si="1288"/>
        <v>0</v>
      </c>
      <c r="JP55" s="6">
        <f t="shared" si="1150"/>
        <v>0</v>
      </c>
      <c r="JQ55" s="6">
        <f t="shared" si="1289"/>
        <v>0</v>
      </c>
      <c r="JR55" s="6">
        <f t="shared" si="1151"/>
        <v>0</v>
      </c>
      <c r="JS55" s="6">
        <f t="shared" si="1290"/>
        <v>2</v>
      </c>
      <c r="JT55" s="6">
        <f t="shared" si="1152"/>
        <v>0</v>
      </c>
      <c r="JU55" s="6">
        <f t="shared" si="1291"/>
        <v>0</v>
      </c>
      <c r="JV55" s="6">
        <f t="shared" si="1153"/>
        <v>1</v>
      </c>
      <c r="JW55" s="6">
        <f t="shared" si="1292"/>
        <v>4</v>
      </c>
      <c r="JX55" s="6">
        <f t="shared" si="1154"/>
        <v>0</v>
      </c>
      <c r="JY55" s="6">
        <f t="shared" si="1293"/>
        <v>0</v>
      </c>
      <c r="JZ55" s="6">
        <f t="shared" si="1155"/>
        <v>0</v>
      </c>
      <c r="KA55" s="6">
        <f t="shared" si="1294"/>
        <v>0</v>
      </c>
      <c r="KB55" s="6">
        <f t="shared" si="1156"/>
        <v>1</v>
      </c>
      <c r="KC55" s="6">
        <f t="shared" si="1295"/>
        <v>6</v>
      </c>
      <c r="KD55" s="6">
        <f t="shared" si="1157"/>
        <v>0</v>
      </c>
      <c r="KE55" s="6">
        <f t="shared" si="1296"/>
        <v>0</v>
      </c>
      <c r="KF55" s="6"/>
      <c r="KG55" s="6">
        <f t="shared" si="1308"/>
        <v>2</v>
      </c>
      <c r="KH55" s="6"/>
      <c r="KI55" s="20">
        <f>JH55-'Zusammenfassung Tag1-4'!$K$2/18</f>
        <v>5.2222222222222223</v>
      </c>
      <c r="KJ55" s="22">
        <f t="shared" si="1298"/>
        <v>2.3333333333333126</v>
      </c>
      <c r="KK55" s="10"/>
      <c r="KL55" s="10"/>
      <c r="KM55" s="10"/>
      <c r="KN55" s="10"/>
      <c r="KO55" s="10"/>
      <c r="KP55" s="10"/>
      <c r="KQ55" s="10"/>
      <c r="KR55" s="10"/>
      <c r="KS55" s="10"/>
      <c r="KT55" s="10"/>
      <c r="KU55" s="10"/>
      <c r="KV55" s="10"/>
      <c r="KW55" s="10"/>
      <c r="KX55" s="10"/>
      <c r="KY55" s="10"/>
      <c r="KZ55" s="10"/>
      <c r="LA55" s="10"/>
      <c r="LB55" s="10"/>
      <c r="LC55" s="10"/>
      <c r="LD55" s="10"/>
    </row>
    <row r="56" spans="1:316" ht="15.75" customHeight="1" x14ac:dyDescent="0.25">
      <c r="A56" s="106"/>
      <c r="B56" s="103"/>
      <c r="C56" s="6">
        <v>7</v>
      </c>
      <c r="D56" s="6">
        <f t="shared" si="1158"/>
        <v>43</v>
      </c>
      <c r="E56" s="6">
        <v>3</v>
      </c>
      <c r="F56" s="7">
        <f t="shared" si="1159"/>
        <v>173</v>
      </c>
      <c r="G56" s="18"/>
      <c r="H56" s="6"/>
      <c r="I56" s="19"/>
      <c r="J56" s="6">
        <f t="shared" si="1160"/>
        <v>71</v>
      </c>
      <c r="K56" s="6">
        <f t="shared" si="1058"/>
        <v>1</v>
      </c>
      <c r="L56" s="6">
        <f t="shared" si="1161"/>
        <v>22</v>
      </c>
      <c r="M56" s="6">
        <f t="shared" si="1059"/>
        <v>0</v>
      </c>
      <c r="N56" s="6">
        <f t="shared" si="1162"/>
        <v>3</v>
      </c>
      <c r="O56" s="6">
        <f t="shared" si="1060"/>
        <v>0</v>
      </c>
      <c r="P56" s="6">
        <f t="shared" si="1163"/>
        <v>1</v>
      </c>
      <c r="Q56" s="6">
        <f t="shared" si="1061"/>
        <v>0</v>
      </c>
      <c r="R56" s="6">
        <f t="shared" si="1164"/>
        <v>0</v>
      </c>
      <c r="S56" s="6">
        <f t="shared" si="1062"/>
        <v>0</v>
      </c>
      <c r="T56" s="6">
        <f t="shared" si="1165"/>
        <v>0</v>
      </c>
      <c r="U56" s="6">
        <f t="shared" si="1063"/>
        <v>0</v>
      </c>
      <c r="V56" s="6">
        <f t="shared" si="1166"/>
        <v>0</v>
      </c>
      <c r="W56" s="6">
        <f t="shared" si="1064"/>
        <v>1</v>
      </c>
      <c r="X56" s="6">
        <f t="shared" si="1167"/>
        <v>7</v>
      </c>
      <c r="Y56" s="6">
        <f t="shared" si="1065"/>
        <v>0</v>
      </c>
      <c r="Z56" s="6">
        <f t="shared" si="1168"/>
        <v>7</v>
      </c>
      <c r="AA56" s="6">
        <f t="shared" si="1066"/>
        <v>0</v>
      </c>
      <c r="AB56" s="6">
        <f t="shared" si="1169"/>
        <v>0</v>
      </c>
      <c r="AC56" s="6">
        <f t="shared" si="1067"/>
        <v>0</v>
      </c>
      <c r="AD56" s="6">
        <f t="shared" si="1170"/>
        <v>5</v>
      </c>
      <c r="AE56" s="6">
        <f>IF($E56=3,G56-3,NA())</f>
        <v>-3</v>
      </c>
      <c r="AF56" s="6"/>
      <c r="AG56" s="6"/>
      <c r="AH56" s="20">
        <f>G56-'Zusammenfassung Tag1-4'!$B$2/18</f>
        <v>-1.1111111111111112</v>
      </c>
      <c r="AI56" s="21">
        <f t="shared" si="1172"/>
        <v>129.22222222222211</v>
      </c>
      <c r="AJ56" s="18">
        <v>2</v>
      </c>
      <c r="AK56" s="6">
        <f t="shared" si="1173"/>
        <v>196</v>
      </c>
      <c r="AL56" s="19">
        <v>1</v>
      </c>
      <c r="AM56" s="6">
        <f t="shared" si="1174"/>
        <v>80</v>
      </c>
      <c r="AN56" s="6">
        <f t="shared" si="1068"/>
        <v>1</v>
      </c>
      <c r="AO56" s="6">
        <f t="shared" si="1175"/>
        <v>24</v>
      </c>
      <c r="AP56" s="6">
        <f t="shared" si="1069"/>
        <v>0</v>
      </c>
      <c r="AQ56" s="6">
        <f t="shared" si="1176"/>
        <v>6</v>
      </c>
      <c r="AR56" s="6">
        <f t="shared" si="1070"/>
        <v>1</v>
      </c>
      <c r="AS56" s="6">
        <f t="shared" si="1177"/>
        <v>4</v>
      </c>
      <c r="AT56" s="6">
        <f t="shared" si="1071"/>
        <v>0</v>
      </c>
      <c r="AU56" s="6">
        <f t="shared" si="1178"/>
        <v>3</v>
      </c>
      <c r="AV56" s="6">
        <f t="shared" si="1072"/>
        <v>0</v>
      </c>
      <c r="AW56" s="6">
        <f t="shared" si="1179"/>
        <v>1</v>
      </c>
      <c r="AX56" s="6">
        <f t="shared" si="1073"/>
        <v>0</v>
      </c>
      <c r="AY56" s="6">
        <f t="shared" si="1180"/>
        <v>2</v>
      </c>
      <c r="AZ56" s="6">
        <f t="shared" si="1074"/>
        <v>0</v>
      </c>
      <c r="BA56" s="6">
        <f t="shared" si="1181"/>
        <v>0</v>
      </c>
      <c r="BB56" s="6">
        <f t="shared" si="1075"/>
        <v>1</v>
      </c>
      <c r="BC56" s="6">
        <f t="shared" si="1182"/>
        <v>12</v>
      </c>
      <c r="BD56" s="6">
        <f t="shared" si="1076"/>
        <v>0</v>
      </c>
      <c r="BE56" s="6">
        <f t="shared" si="1183"/>
        <v>3</v>
      </c>
      <c r="BF56" s="6">
        <f t="shared" si="1077"/>
        <v>0</v>
      </c>
      <c r="BG56" s="6">
        <f t="shared" si="1184"/>
        <v>6</v>
      </c>
      <c r="BH56" s="6">
        <f>IF($E56=3,AJ56-3,NA())</f>
        <v>-1</v>
      </c>
      <c r="BI56" s="6"/>
      <c r="BJ56" s="6"/>
      <c r="BK56" s="20">
        <f>AJ56-'Zusammenfassung Tag1-4'!$C$2/18</f>
        <v>1.3333333333333335</v>
      </c>
      <c r="BL56" s="21">
        <f t="shared" si="1186"/>
        <v>167.33333333333337</v>
      </c>
      <c r="BM56" s="18">
        <v>6</v>
      </c>
      <c r="BN56" s="6">
        <f t="shared" si="1187"/>
        <v>239</v>
      </c>
      <c r="BO56" s="19">
        <v>3</v>
      </c>
      <c r="BP56" s="6">
        <f t="shared" si="1188"/>
        <v>91</v>
      </c>
      <c r="BQ56" s="6">
        <f t="shared" si="1078"/>
        <v>0</v>
      </c>
      <c r="BR56" s="6">
        <f t="shared" si="1189"/>
        <v>8</v>
      </c>
      <c r="BS56" s="6">
        <f t="shared" si="1079"/>
        <v>0</v>
      </c>
      <c r="BT56" s="6">
        <f t="shared" si="1190"/>
        <v>3</v>
      </c>
      <c r="BU56" s="6">
        <f t="shared" si="1080"/>
        <v>0</v>
      </c>
      <c r="BV56" s="6">
        <f t="shared" si="1191"/>
        <v>0</v>
      </c>
      <c r="BW56" s="6">
        <f t="shared" si="1081"/>
        <v>0</v>
      </c>
      <c r="BX56" s="6">
        <f t="shared" si="1192"/>
        <v>1</v>
      </c>
      <c r="BY56" s="6">
        <f t="shared" si="1082"/>
        <v>0</v>
      </c>
      <c r="BZ56" s="6">
        <f t="shared" si="1193"/>
        <v>3</v>
      </c>
      <c r="CA56" s="6">
        <f t="shared" si="1083"/>
        <v>1</v>
      </c>
      <c r="CB56" s="6">
        <f t="shared" si="1194"/>
        <v>3</v>
      </c>
      <c r="CC56" s="6">
        <f t="shared" si="1084"/>
        <v>0</v>
      </c>
      <c r="CD56" s="6">
        <f t="shared" si="1195"/>
        <v>0</v>
      </c>
      <c r="CE56" s="6">
        <f t="shared" si="1085"/>
        <v>0</v>
      </c>
      <c r="CF56" s="6">
        <f t="shared" si="1196"/>
        <v>6</v>
      </c>
      <c r="CG56" s="6">
        <f t="shared" si="1086"/>
        <v>0</v>
      </c>
      <c r="CH56" s="6">
        <f t="shared" si="1197"/>
        <v>3</v>
      </c>
      <c r="CI56" s="6">
        <f t="shared" si="1087"/>
        <v>1</v>
      </c>
      <c r="CJ56" s="6">
        <f t="shared" si="1198"/>
        <v>11</v>
      </c>
      <c r="CK56" s="6">
        <f>IF($E56=3,BM56-3,NA())</f>
        <v>3</v>
      </c>
      <c r="CL56" s="6"/>
      <c r="CM56" s="6"/>
      <c r="CN56" s="20">
        <f>BM56-'Zusammenfassung Tag1-4'!$D$2/18</f>
        <v>4.666666666666667</v>
      </c>
      <c r="CO56" s="21">
        <f t="shared" si="1200"/>
        <v>181.6666666666666</v>
      </c>
      <c r="CP56" s="18">
        <v>5</v>
      </c>
      <c r="CQ56" s="6">
        <f t="shared" si="1201"/>
        <v>225</v>
      </c>
      <c r="CR56" s="19">
        <v>3</v>
      </c>
      <c r="CS56" s="6">
        <f t="shared" si="1202"/>
        <v>88</v>
      </c>
      <c r="CT56" s="6">
        <f t="shared" si="1088"/>
        <v>0</v>
      </c>
      <c r="CU56" s="6">
        <f t="shared" si="1203"/>
        <v>10</v>
      </c>
      <c r="CV56" s="6">
        <f t="shared" si="1089"/>
        <v>0</v>
      </c>
      <c r="CW56" s="6">
        <f t="shared" si="1204"/>
        <v>3</v>
      </c>
      <c r="CX56" s="6">
        <f t="shared" si="1090"/>
        <v>0</v>
      </c>
      <c r="CY56" s="6">
        <f t="shared" si="1205"/>
        <v>0</v>
      </c>
      <c r="CZ56" s="6">
        <f t="shared" si="1091"/>
        <v>0</v>
      </c>
      <c r="DA56" s="6">
        <f t="shared" si="1206"/>
        <v>1</v>
      </c>
      <c r="DB56" s="6">
        <f t="shared" si="1092"/>
        <v>0</v>
      </c>
      <c r="DC56" s="6">
        <f t="shared" si="1207"/>
        <v>4</v>
      </c>
      <c r="DD56" s="6">
        <f t="shared" si="1093"/>
        <v>1</v>
      </c>
      <c r="DE56" s="6">
        <f t="shared" si="1208"/>
        <v>2</v>
      </c>
      <c r="DF56" s="6">
        <f t="shared" si="1094"/>
        <v>0</v>
      </c>
      <c r="DG56" s="6">
        <f t="shared" si="1209"/>
        <v>0</v>
      </c>
      <c r="DH56" s="6">
        <f t="shared" si="1095"/>
        <v>0</v>
      </c>
      <c r="DI56" s="6">
        <f t="shared" si="1210"/>
        <v>7</v>
      </c>
      <c r="DJ56" s="6">
        <f t="shared" si="1096"/>
        <v>0</v>
      </c>
      <c r="DK56" s="6">
        <f t="shared" si="1211"/>
        <v>4</v>
      </c>
      <c r="DL56" s="6">
        <f t="shared" si="1097"/>
        <v>1</v>
      </c>
      <c r="DM56" s="6">
        <f t="shared" si="1212"/>
        <v>9</v>
      </c>
      <c r="DN56" s="6">
        <f>IF($E56=3,CP56-3,NA())</f>
        <v>2</v>
      </c>
      <c r="DO56" s="6"/>
      <c r="DP56" s="6"/>
      <c r="DQ56" s="20">
        <f>CP56-'Zusammenfassung Tag1-4'!$E$2/18</f>
        <v>3.7222222222222223</v>
      </c>
      <c r="DR56" s="22">
        <f t="shared" si="1214"/>
        <v>170.05555555555571</v>
      </c>
      <c r="DS56" s="18">
        <v>6</v>
      </c>
      <c r="DT56" s="6">
        <f t="shared" si="1215"/>
        <v>333</v>
      </c>
      <c r="DU56" s="19">
        <v>3</v>
      </c>
      <c r="DV56" s="6">
        <f t="shared" si="1216"/>
        <v>96</v>
      </c>
      <c r="DW56" s="6">
        <f t="shared" si="1098"/>
        <v>0</v>
      </c>
      <c r="DX56" s="6">
        <f t="shared" si="1217"/>
        <v>1</v>
      </c>
      <c r="DY56" s="6">
        <f t="shared" si="1099"/>
        <v>0</v>
      </c>
      <c r="DZ56" s="6">
        <f t="shared" si="1218"/>
        <v>0</v>
      </c>
      <c r="EA56" s="6">
        <f t="shared" si="1100"/>
        <v>0</v>
      </c>
      <c r="EB56" s="6">
        <f t="shared" si="1219"/>
        <v>0</v>
      </c>
      <c r="EC56" s="6">
        <f t="shared" si="1101"/>
        <v>0</v>
      </c>
      <c r="ED56" s="6">
        <f t="shared" si="1220"/>
        <v>0</v>
      </c>
      <c r="EE56" s="6">
        <f t="shared" si="1102"/>
        <v>0</v>
      </c>
      <c r="EF56" s="6">
        <f t="shared" si="1221"/>
        <v>0</v>
      </c>
      <c r="EG56" s="6">
        <f t="shared" si="1103"/>
        <v>1</v>
      </c>
      <c r="EH56" s="6">
        <f t="shared" si="1222"/>
        <v>7</v>
      </c>
      <c r="EI56" s="6">
        <f t="shared" si="1104"/>
        <v>0</v>
      </c>
      <c r="EJ56" s="6">
        <f t="shared" si="1223"/>
        <v>0</v>
      </c>
      <c r="EK56" s="6">
        <f t="shared" si="1105"/>
        <v>0</v>
      </c>
      <c r="EL56" s="6">
        <f t="shared" si="1224"/>
        <v>2</v>
      </c>
      <c r="EM56" s="6">
        <f t="shared" si="1106"/>
        <v>0</v>
      </c>
      <c r="EN56" s="6">
        <f t="shared" si="1225"/>
        <v>4</v>
      </c>
      <c r="EO56" s="6">
        <f t="shared" si="1107"/>
        <v>1</v>
      </c>
      <c r="EP56" s="6">
        <f t="shared" si="1226"/>
        <v>11</v>
      </c>
      <c r="EQ56" s="6">
        <f>IF($E56=3,DS56-3,NA())</f>
        <v>3</v>
      </c>
      <c r="ER56" s="6"/>
      <c r="ES56" s="6"/>
      <c r="ET56" s="20">
        <f>DS56-'Zusammenfassung Tag1-4'!$F$2/18</f>
        <v>3</v>
      </c>
      <c r="EU56" s="22">
        <f t="shared" si="1228"/>
        <v>204</v>
      </c>
      <c r="EV56" s="18">
        <v>5</v>
      </c>
      <c r="EW56" s="6">
        <f t="shared" si="1229"/>
        <v>242</v>
      </c>
      <c r="EX56" s="19">
        <v>2</v>
      </c>
      <c r="EY56" s="6">
        <f t="shared" si="1230"/>
        <v>90</v>
      </c>
      <c r="EZ56" s="6">
        <f t="shared" si="1108"/>
        <v>0</v>
      </c>
      <c r="FA56" s="6">
        <f t="shared" si="1231"/>
        <v>8</v>
      </c>
      <c r="FB56" s="6">
        <f t="shared" si="1109"/>
        <v>0</v>
      </c>
      <c r="FC56" s="6">
        <f t="shared" si="1232"/>
        <v>0</v>
      </c>
      <c r="FD56" s="6">
        <f t="shared" si="1110"/>
        <v>0</v>
      </c>
      <c r="FE56" s="6">
        <f t="shared" si="1233"/>
        <v>0</v>
      </c>
      <c r="FF56" s="6">
        <f t="shared" si="1111"/>
        <v>0</v>
      </c>
      <c r="FG56" s="6">
        <f t="shared" si="1234"/>
        <v>0</v>
      </c>
      <c r="FH56" s="6">
        <f t="shared" si="1112"/>
        <v>0</v>
      </c>
      <c r="FI56" s="6">
        <f t="shared" si="1235"/>
        <v>4</v>
      </c>
      <c r="FJ56" s="6">
        <f t="shared" si="1113"/>
        <v>1</v>
      </c>
      <c r="FK56" s="6">
        <f t="shared" si="1236"/>
        <v>3</v>
      </c>
      <c r="FL56" s="6">
        <f t="shared" si="1114"/>
        <v>0</v>
      </c>
      <c r="FM56" s="6">
        <f t="shared" si="1237"/>
        <v>0</v>
      </c>
      <c r="FN56" s="6">
        <f t="shared" si="1115"/>
        <v>0</v>
      </c>
      <c r="FO56" s="6">
        <f t="shared" si="1238"/>
        <v>5</v>
      </c>
      <c r="FP56" s="6">
        <f t="shared" si="1116"/>
        <v>1</v>
      </c>
      <c r="FQ56" s="6">
        <f t="shared" si="1239"/>
        <v>4</v>
      </c>
      <c r="FR56" s="6">
        <f t="shared" si="1117"/>
        <v>0</v>
      </c>
      <c r="FS56" s="6">
        <f t="shared" si="1240"/>
        <v>9</v>
      </c>
      <c r="FT56" s="6">
        <f>IF($E56=3,EV56-3,NA())</f>
        <v>2</v>
      </c>
      <c r="FU56" s="6"/>
      <c r="FV56" s="6"/>
      <c r="FW56" s="20">
        <f>EV56-'Zusammenfassung Tag1-4'!$G$2/18</f>
        <v>3.5</v>
      </c>
      <c r="FX56" s="22">
        <f t="shared" si="1242"/>
        <v>177.5</v>
      </c>
      <c r="FY56" s="18">
        <v>5</v>
      </c>
      <c r="FZ56" s="6">
        <f t="shared" si="1243"/>
        <v>312</v>
      </c>
      <c r="GA56" s="19">
        <v>2</v>
      </c>
      <c r="GB56" s="6">
        <f t="shared" si="1244"/>
        <v>103</v>
      </c>
      <c r="GC56" s="6">
        <f t="shared" si="1118"/>
        <v>0</v>
      </c>
      <c r="GD56" s="6">
        <f t="shared" si="1245"/>
        <v>2</v>
      </c>
      <c r="GE56" s="6">
        <f t="shared" si="1119"/>
        <v>0</v>
      </c>
      <c r="GF56" s="6">
        <f t="shared" si="1246"/>
        <v>0</v>
      </c>
      <c r="GG56" s="6">
        <f t="shared" si="1120"/>
        <v>0</v>
      </c>
      <c r="GH56" s="6">
        <f t="shared" si="1247"/>
        <v>0</v>
      </c>
      <c r="GI56" s="6">
        <f t="shared" si="1121"/>
        <v>0</v>
      </c>
      <c r="GJ56" s="6">
        <f t="shared" si="1248"/>
        <v>0</v>
      </c>
      <c r="GK56" s="6">
        <f t="shared" si="1122"/>
        <v>0</v>
      </c>
      <c r="GL56" s="6">
        <f t="shared" si="1249"/>
        <v>0</v>
      </c>
      <c r="GM56" s="6">
        <f t="shared" si="1123"/>
        <v>1</v>
      </c>
      <c r="GN56" s="6">
        <f t="shared" si="1250"/>
        <v>7</v>
      </c>
      <c r="GO56" s="6">
        <f t="shared" si="1124"/>
        <v>0</v>
      </c>
      <c r="GP56" s="6">
        <f t="shared" si="1251"/>
        <v>0</v>
      </c>
      <c r="GQ56" s="6">
        <f t="shared" si="1125"/>
        <v>0</v>
      </c>
      <c r="GR56" s="6">
        <f t="shared" si="1252"/>
        <v>2</v>
      </c>
      <c r="GS56" s="6">
        <f t="shared" si="1126"/>
        <v>1</v>
      </c>
      <c r="GT56" s="6">
        <f t="shared" si="1253"/>
        <v>3</v>
      </c>
      <c r="GU56" s="6">
        <f t="shared" si="1127"/>
        <v>0</v>
      </c>
      <c r="GV56" s="6">
        <f t="shared" si="1254"/>
        <v>19</v>
      </c>
      <c r="GW56" s="6">
        <f>IF($E56=3,FY56-3,NA())</f>
        <v>2</v>
      </c>
      <c r="GX56" s="6"/>
      <c r="GY56" s="6"/>
      <c r="GZ56" s="20">
        <f>FY56-'Zusammenfassung Tag1-4'!$H$2/18</f>
        <v>2</v>
      </c>
      <c r="HA56" s="22">
        <f t="shared" si="1256"/>
        <v>183</v>
      </c>
      <c r="HB56" s="18">
        <v>5</v>
      </c>
      <c r="HC56" s="6">
        <f t="shared" si="1257"/>
        <v>230</v>
      </c>
      <c r="HD56" s="19">
        <v>3</v>
      </c>
      <c r="HE56" s="6">
        <f t="shared" si="1258"/>
        <v>91</v>
      </c>
      <c r="HF56" s="6">
        <f t="shared" si="1128"/>
        <v>0</v>
      </c>
      <c r="HG56" s="6">
        <f t="shared" si="1259"/>
        <v>14</v>
      </c>
      <c r="HH56" s="6">
        <f t="shared" si="1129"/>
        <v>0</v>
      </c>
      <c r="HI56" s="6">
        <f t="shared" si="1260"/>
        <v>4</v>
      </c>
      <c r="HJ56" s="6">
        <f t="shared" si="1130"/>
        <v>0</v>
      </c>
      <c r="HK56" s="6">
        <f t="shared" si="1261"/>
        <v>0</v>
      </c>
      <c r="HL56" s="6">
        <f t="shared" si="1131"/>
        <v>0</v>
      </c>
      <c r="HM56" s="6">
        <f t="shared" si="1262"/>
        <v>1</v>
      </c>
      <c r="HN56" s="6">
        <f t="shared" si="1132"/>
        <v>0</v>
      </c>
      <c r="HO56" s="6">
        <f t="shared" si="1263"/>
        <v>3</v>
      </c>
      <c r="HP56" s="6">
        <f t="shared" si="1133"/>
        <v>1</v>
      </c>
      <c r="HQ56" s="6">
        <f t="shared" si="1264"/>
        <v>3</v>
      </c>
      <c r="HR56" s="6">
        <f t="shared" si="1134"/>
        <v>0</v>
      </c>
      <c r="HS56" s="6">
        <f t="shared" si="1265"/>
        <v>0</v>
      </c>
      <c r="HT56" s="6">
        <f t="shared" si="1135"/>
        <v>0</v>
      </c>
      <c r="HU56" s="6">
        <f t="shared" si="1266"/>
        <v>6</v>
      </c>
      <c r="HV56" s="6">
        <f t="shared" si="1136"/>
        <v>0</v>
      </c>
      <c r="HW56" s="6">
        <f t="shared" si="1267"/>
        <v>2</v>
      </c>
      <c r="HX56" s="6">
        <f t="shared" si="1137"/>
        <v>1</v>
      </c>
      <c r="HY56" s="6">
        <f t="shared" si="1268"/>
        <v>11</v>
      </c>
      <c r="HZ56" s="6">
        <f>IF($E56=3,HB56-3,NA())</f>
        <v>2</v>
      </c>
      <c r="IA56" s="6"/>
      <c r="IB56" s="6"/>
      <c r="IC56" s="20">
        <f>HB56-'Zusammenfassung Tag1-4'!$I$2/18</f>
        <v>4</v>
      </c>
      <c r="ID56" s="22">
        <f t="shared" si="1270"/>
        <v>187</v>
      </c>
      <c r="IE56" s="18">
        <v>5</v>
      </c>
      <c r="IF56" s="6">
        <f t="shared" si="1271"/>
        <v>57</v>
      </c>
      <c r="IG56" s="19">
        <v>4</v>
      </c>
      <c r="IH56" s="6">
        <f t="shared" si="1272"/>
        <v>20</v>
      </c>
      <c r="II56" s="6">
        <f t="shared" si="1138"/>
        <v>1</v>
      </c>
      <c r="IJ56" s="6">
        <f t="shared" si="1273"/>
        <v>37</v>
      </c>
      <c r="IK56" s="6">
        <f t="shared" si="1139"/>
        <v>0</v>
      </c>
      <c r="IL56" s="6">
        <f t="shared" si="1274"/>
        <v>0</v>
      </c>
      <c r="IM56" s="6">
        <f t="shared" si="1140"/>
        <v>0</v>
      </c>
      <c r="IN56" s="6">
        <f t="shared" si="1275"/>
        <v>0</v>
      </c>
      <c r="IO56" s="6">
        <f t="shared" si="1141"/>
        <v>0</v>
      </c>
      <c r="IP56" s="6">
        <f t="shared" si="1276"/>
        <v>0</v>
      </c>
      <c r="IQ56" s="6">
        <f t="shared" si="1142"/>
        <v>0</v>
      </c>
      <c r="IR56" s="6">
        <f t="shared" si="1277"/>
        <v>0</v>
      </c>
      <c r="IS56" s="6">
        <f t="shared" si="1143"/>
        <v>1</v>
      </c>
      <c r="IT56" s="6">
        <f t="shared" si="1278"/>
        <v>7</v>
      </c>
      <c r="IU56" s="6">
        <f t="shared" si="1144"/>
        <v>0</v>
      </c>
      <c r="IV56" s="6">
        <f t="shared" si="1279"/>
        <v>0</v>
      </c>
      <c r="IW56" s="6">
        <f t="shared" si="1145"/>
        <v>0</v>
      </c>
      <c r="IX56" s="6">
        <f t="shared" si="1280"/>
        <v>0</v>
      </c>
      <c r="IY56" s="6">
        <f t="shared" si="1146"/>
        <v>0</v>
      </c>
      <c r="IZ56" s="6">
        <f t="shared" si="1281"/>
        <v>2</v>
      </c>
      <c r="JA56" s="6">
        <f t="shared" si="1147"/>
        <v>1</v>
      </c>
      <c r="JB56" s="6">
        <f t="shared" si="1282"/>
        <v>5</v>
      </c>
      <c r="JC56" s="6">
        <f>IF($E56=3,IE56-3,NA())</f>
        <v>2</v>
      </c>
      <c r="JD56" s="6"/>
      <c r="JE56" s="6"/>
      <c r="JF56" s="20">
        <f>IE56-'Zusammenfassung Tag1-4'!$J$2/18</f>
        <v>2</v>
      </c>
      <c r="JG56" s="22">
        <f t="shared" si="1284"/>
        <v>-72</v>
      </c>
      <c r="JH56" s="18">
        <v>3</v>
      </c>
      <c r="JI56" s="6">
        <f t="shared" si="1285"/>
        <v>38</v>
      </c>
      <c r="JJ56" s="19">
        <v>2</v>
      </c>
      <c r="JK56" s="6">
        <f t="shared" si="1286"/>
        <v>14</v>
      </c>
      <c r="JL56" s="6">
        <f t="shared" si="1148"/>
        <v>1</v>
      </c>
      <c r="JM56" s="6">
        <f t="shared" si="1287"/>
        <v>39</v>
      </c>
      <c r="JN56" s="6">
        <f t="shared" si="1149"/>
        <v>0</v>
      </c>
      <c r="JO56" s="6">
        <f t="shared" si="1288"/>
        <v>0</v>
      </c>
      <c r="JP56" s="6">
        <f t="shared" si="1150"/>
        <v>0</v>
      </c>
      <c r="JQ56" s="6">
        <f t="shared" si="1289"/>
        <v>0</v>
      </c>
      <c r="JR56" s="6">
        <f t="shared" si="1151"/>
        <v>1</v>
      </c>
      <c r="JS56" s="6">
        <f t="shared" si="1290"/>
        <v>3</v>
      </c>
      <c r="JT56" s="6">
        <f t="shared" si="1152"/>
        <v>0</v>
      </c>
      <c r="JU56" s="6">
        <f t="shared" si="1291"/>
        <v>0</v>
      </c>
      <c r="JV56" s="6">
        <f t="shared" si="1153"/>
        <v>0</v>
      </c>
      <c r="JW56" s="6">
        <f t="shared" si="1292"/>
        <v>4</v>
      </c>
      <c r="JX56" s="6">
        <f t="shared" si="1154"/>
        <v>0</v>
      </c>
      <c r="JY56" s="6">
        <f t="shared" si="1293"/>
        <v>0</v>
      </c>
      <c r="JZ56" s="6">
        <f t="shared" si="1155"/>
        <v>0</v>
      </c>
      <c r="KA56" s="6">
        <f t="shared" si="1294"/>
        <v>0</v>
      </c>
      <c r="KB56" s="6">
        <f t="shared" si="1156"/>
        <v>1</v>
      </c>
      <c r="KC56" s="6">
        <f t="shared" si="1295"/>
        <v>7</v>
      </c>
      <c r="KD56" s="6">
        <f t="shared" si="1157"/>
        <v>0</v>
      </c>
      <c r="KE56" s="6">
        <f t="shared" si="1296"/>
        <v>0</v>
      </c>
      <c r="KF56" s="6">
        <f>IF($E56=3,JH56-3,NA())</f>
        <v>0</v>
      </c>
      <c r="KG56" s="6"/>
      <c r="KH56" s="6"/>
      <c r="KI56" s="20">
        <f>JH56-'Zusammenfassung Tag1-4'!$K$2/18</f>
        <v>2.2222222222222223</v>
      </c>
      <c r="KJ56" s="22">
        <f t="shared" si="1298"/>
        <v>4.5555555555555349</v>
      </c>
      <c r="KK56" s="10"/>
      <c r="KL56" s="10"/>
      <c r="KM56" s="10"/>
      <c r="KN56" s="10"/>
      <c r="KO56" s="10"/>
      <c r="KP56" s="10"/>
      <c r="KQ56" s="10"/>
      <c r="KR56" s="10"/>
      <c r="KS56" s="10"/>
      <c r="KT56" s="10"/>
      <c r="KU56" s="10"/>
      <c r="KV56" s="10"/>
      <c r="KW56" s="10"/>
      <c r="KX56" s="10"/>
      <c r="KY56" s="10"/>
      <c r="KZ56" s="10"/>
      <c r="LA56" s="10"/>
      <c r="LB56" s="10"/>
      <c r="LC56" s="10"/>
      <c r="LD56" s="10"/>
    </row>
    <row r="57" spans="1:316" ht="15.75" customHeight="1" x14ac:dyDescent="0.25">
      <c r="A57" s="106"/>
      <c r="B57" s="103"/>
      <c r="C57" s="6">
        <v>8</v>
      </c>
      <c r="D57" s="6">
        <f t="shared" si="1158"/>
        <v>44</v>
      </c>
      <c r="E57" s="6">
        <v>4</v>
      </c>
      <c r="F57" s="7">
        <f t="shared" si="1159"/>
        <v>177</v>
      </c>
      <c r="G57" s="18"/>
      <c r="H57" s="6"/>
      <c r="I57" s="19"/>
      <c r="J57" s="6">
        <f t="shared" si="1160"/>
        <v>71</v>
      </c>
      <c r="K57" s="6">
        <f t="shared" si="1058"/>
        <v>1</v>
      </c>
      <c r="L57" s="6">
        <f t="shared" si="1161"/>
        <v>23</v>
      </c>
      <c r="M57" s="6">
        <f t="shared" si="1059"/>
        <v>0</v>
      </c>
      <c r="N57" s="6">
        <f t="shared" si="1162"/>
        <v>3</v>
      </c>
      <c r="O57" s="6">
        <f t="shared" si="1060"/>
        <v>0</v>
      </c>
      <c r="P57" s="6">
        <f t="shared" si="1163"/>
        <v>1</v>
      </c>
      <c r="Q57" s="6">
        <f t="shared" si="1061"/>
        <v>0</v>
      </c>
      <c r="R57" s="6">
        <f t="shared" si="1164"/>
        <v>0</v>
      </c>
      <c r="S57" s="6">
        <f t="shared" si="1062"/>
        <v>0</v>
      </c>
      <c r="T57" s="6">
        <f t="shared" si="1165"/>
        <v>0</v>
      </c>
      <c r="U57" s="6">
        <f t="shared" si="1063"/>
        <v>0</v>
      </c>
      <c r="V57" s="6">
        <f t="shared" si="1166"/>
        <v>0</v>
      </c>
      <c r="W57" s="6">
        <f t="shared" si="1064"/>
        <v>1</v>
      </c>
      <c r="X57" s="6">
        <f t="shared" si="1167"/>
        <v>8</v>
      </c>
      <c r="Y57" s="6">
        <f t="shared" si="1065"/>
        <v>0</v>
      </c>
      <c r="Z57" s="6">
        <f t="shared" si="1168"/>
        <v>7</v>
      </c>
      <c r="AA57" s="6">
        <f t="shared" si="1066"/>
        <v>0</v>
      </c>
      <c r="AB57" s="6">
        <f t="shared" si="1169"/>
        <v>0</v>
      </c>
      <c r="AC57" s="6">
        <f t="shared" si="1067"/>
        <v>0</v>
      </c>
      <c r="AD57" s="6">
        <f t="shared" si="1170"/>
        <v>5</v>
      </c>
      <c r="AE57" s="6"/>
      <c r="AF57" s="6">
        <f t="shared" ref="AF57:AF58" si="1309">IF($E57=4,G57-4,NA())</f>
        <v>-4</v>
      </c>
      <c r="AG57" s="6"/>
      <c r="AH57" s="20">
        <f>G57-'Zusammenfassung Tag1-4'!$B$2/18</f>
        <v>-1.1111111111111112</v>
      </c>
      <c r="AI57" s="21">
        <f t="shared" si="1172"/>
        <v>128.111111111111</v>
      </c>
      <c r="AJ57" s="18">
        <v>5</v>
      </c>
      <c r="AK57" s="6">
        <f t="shared" si="1173"/>
        <v>201</v>
      </c>
      <c r="AL57" s="19">
        <v>1</v>
      </c>
      <c r="AM57" s="6">
        <f t="shared" si="1174"/>
        <v>81</v>
      </c>
      <c r="AN57" s="6">
        <f t="shared" si="1068"/>
        <v>0</v>
      </c>
      <c r="AO57" s="6">
        <f t="shared" si="1175"/>
        <v>24</v>
      </c>
      <c r="AP57" s="6">
        <f t="shared" si="1069"/>
        <v>0</v>
      </c>
      <c r="AQ57" s="6">
        <f t="shared" si="1176"/>
        <v>6</v>
      </c>
      <c r="AR57" s="6">
        <f t="shared" si="1070"/>
        <v>0</v>
      </c>
      <c r="AS57" s="6">
        <f t="shared" si="1177"/>
        <v>4</v>
      </c>
      <c r="AT57" s="6">
        <f t="shared" si="1071"/>
        <v>0</v>
      </c>
      <c r="AU57" s="6">
        <f t="shared" si="1178"/>
        <v>3</v>
      </c>
      <c r="AV57" s="6">
        <f t="shared" si="1072"/>
        <v>1</v>
      </c>
      <c r="AW57" s="6">
        <f t="shared" si="1179"/>
        <v>2</v>
      </c>
      <c r="AX57" s="6">
        <f t="shared" si="1073"/>
        <v>0</v>
      </c>
      <c r="AY57" s="6">
        <f t="shared" si="1180"/>
        <v>2</v>
      </c>
      <c r="AZ57" s="6">
        <f t="shared" si="1074"/>
        <v>0</v>
      </c>
      <c r="BA57" s="6">
        <f t="shared" si="1181"/>
        <v>0</v>
      </c>
      <c r="BB57" s="6">
        <f t="shared" si="1075"/>
        <v>1</v>
      </c>
      <c r="BC57" s="6">
        <f t="shared" si="1182"/>
        <v>13</v>
      </c>
      <c r="BD57" s="6">
        <f t="shared" si="1076"/>
        <v>0</v>
      </c>
      <c r="BE57" s="6">
        <f t="shared" si="1183"/>
        <v>3</v>
      </c>
      <c r="BF57" s="6">
        <f t="shared" si="1077"/>
        <v>0</v>
      </c>
      <c r="BG57" s="6">
        <f t="shared" si="1184"/>
        <v>6</v>
      </c>
      <c r="BH57" s="6"/>
      <c r="BI57" s="6">
        <f t="shared" ref="BI57:BI58" si="1310">IF($E57=4,AJ57-4,NA())</f>
        <v>1</v>
      </c>
      <c r="BJ57" s="6"/>
      <c r="BK57" s="20">
        <f>AJ57-'Zusammenfassung Tag1-4'!$C$2/18</f>
        <v>4.333333333333333</v>
      </c>
      <c r="BL57" s="21">
        <f t="shared" si="1186"/>
        <v>171.66666666666671</v>
      </c>
      <c r="BM57" s="18">
        <v>5</v>
      </c>
      <c r="BN57" s="6">
        <f t="shared" si="1187"/>
        <v>244</v>
      </c>
      <c r="BO57" s="19">
        <v>1</v>
      </c>
      <c r="BP57" s="6">
        <f t="shared" si="1188"/>
        <v>92</v>
      </c>
      <c r="BQ57" s="6">
        <f t="shared" si="1078"/>
        <v>0</v>
      </c>
      <c r="BR57" s="6">
        <f t="shared" si="1189"/>
        <v>8</v>
      </c>
      <c r="BS57" s="6">
        <f t="shared" si="1079"/>
        <v>0</v>
      </c>
      <c r="BT57" s="6">
        <f t="shared" si="1190"/>
        <v>3</v>
      </c>
      <c r="BU57" s="6">
        <f t="shared" si="1080"/>
        <v>0</v>
      </c>
      <c r="BV57" s="6">
        <f t="shared" si="1191"/>
        <v>0</v>
      </c>
      <c r="BW57" s="6">
        <f t="shared" si="1081"/>
        <v>0</v>
      </c>
      <c r="BX57" s="6">
        <f t="shared" si="1192"/>
        <v>1</v>
      </c>
      <c r="BY57" s="6">
        <f t="shared" si="1082"/>
        <v>1</v>
      </c>
      <c r="BZ57" s="6">
        <f t="shared" si="1193"/>
        <v>4</v>
      </c>
      <c r="CA57" s="6">
        <f t="shared" si="1083"/>
        <v>0</v>
      </c>
      <c r="CB57" s="6">
        <f t="shared" si="1194"/>
        <v>3</v>
      </c>
      <c r="CC57" s="6">
        <f t="shared" si="1084"/>
        <v>0</v>
      </c>
      <c r="CD57" s="6">
        <f t="shared" si="1195"/>
        <v>0</v>
      </c>
      <c r="CE57" s="6">
        <f t="shared" si="1085"/>
        <v>1</v>
      </c>
      <c r="CF57" s="6">
        <f t="shared" si="1196"/>
        <v>7</v>
      </c>
      <c r="CG57" s="6">
        <f t="shared" si="1086"/>
        <v>0</v>
      </c>
      <c r="CH57" s="6">
        <f t="shared" si="1197"/>
        <v>3</v>
      </c>
      <c r="CI57" s="6">
        <f t="shared" si="1087"/>
        <v>0</v>
      </c>
      <c r="CJ57" s="6">
        <f t="shared" si="1198"/>
        <v>11</v>
      </c>
      <c r="CK57" s="6"/>
      <c r="CL57" s="6">
        <f t="shared" ref="CL57:CL58" si="1311">IF($E57=4,BM57-4,NA())</f>
        <v>1</v>
      </c>
      <c r="CM57" s="6"/>
      <c r="CN57" s="20">
        <f>BM57-'Zusammenfassung Tag1-4'!$D$2/18</f>
        <v>3.666666666666667</v>
      </c>
      <c r="CO57" s="21">
        <f t="shared" si="1200"/>
        <v>185.33333333333326</v>
      </c>
      <c r="CP57" s="18">
        <v>6</v>
      </c>
      <c r="CQ57" s="6">
        <f t="shared" si="1201"/>
        <v>231</v>
      </c>
      <c r="CR57" s="19">
        <v>2</v>
      </c>
      <c r="CS57" s="6">
        <f t="shared" si="1202"/>
        <v>90</v>
      </c>
      <c r="CT57" s="6">
        <f t="shared" si="1088"/>
        <v>0</v>
      </c>
      <c r="CU57" s="6">
        <f t="shared" si="1203"/>
        <v>10</v>
      </c>
      <c r="CV57" s="6">
        <f t="shared" si="1089"/>
        <v>0</v>
      </c>
      <c r="CW57" s="6">
        <f t="shared" si="1204"/>
        <v>3</v>
      </c>
      <c r="CX57" s="6">
        <f t="shared" si="1090"/>
        <v>0</v>
      </c>
      <c r="CY57" s="6">
        <f t="shared" si="1205"/>
        <v>0</v>
      </c>
      <c r="CZ57" s="6">
        <f t="shared" si="1091"/>
        <v>0</v>
      </c>
      <c r="DA57" s="6">
        <f t="shared" si="1206"/>
        <v>1</v>
      </c>
      <c r="DB57" s="6">
        <f t="shared" si="1092"/>
        <v>0</v>
      </c>
      <c r="DC57" s="6">
        <f t="shared" si="1207"/>
        <v>4</v>
      </c>
      <c r="DD57" s="6">
        <f t="shared" si="1093"/>
        <v>1</v>
      </c>
      <c r="DE57" s="6">
        <f t="shared" si="1208"/>
        <v>3</v>
      </c>
      <c r="DF57" s="6">
        <f t="shared" si="1094"/>
        <v>0</v>
      </c>
      <c r="DG57" s="6">
        <f t="shared" si="1209"/>
        <v>0</v>
      </c>
      <c r="DH57" s="6">
        <f t="shared" si="1095"/>
        <v>0</v>
      </c>
      <c r="DI57" s="6">
        <f t="shared" si="1210"/>
        <v>7</v>
      </c>
      <c r="DJ57" s="6">
        <f t="shared" si="1096"/>
        <v>1</v>
      </c>
      <c r="DK57" s="6">
        <f t="shared" si="1211"/>
        <v>5</v>
      </c>
      <c r="DL57" s="6">
        <f t="shared" si="1097"/>
        <v>0</v>
      </c>
      <c r="DM57" s="6">
        <f t="shared" si="1212"/>
        <v>9</v>
      </c>
      <c r="DN57" s="6"/>
      <c r="DO57" s="6">
        <f t="shared" ref="DO57:DO58" si="1312">IF($E57=4,CP57-4,NA())</f>
        <v>2</v>
      </c>
      <c r="DP57" s="6"/>
      <c r="DQ57" s="20">
        <f>CP57-'Zusammenfassung Tag1-4'!$E$2/18</f>
        <v>4.7222222222222223</v>
      </c>
      <c r="DR57" s="22">
        <f t="shared" si="1214"/>
        <v>174.77777777777794</v>
      </c>
      <c r="DS57" s="18">
        <v>9</v>
      </c>
      <c r="DT57" s="6">
        <f t="shared" si="1215"/>
        <v>342</v>
      </c>
      <c r="DU57" s="19">
        <v>3</v>
      </c>
      <c r="DV57" s="6">
        <f t="shared" si="1216"/>
        <v>99</v>
      </c>
      <c r="DW57" s="6">
        <f t="shared" si="1098"/>
        <v>0</v>
      </c>
      <c r="DX57" s="6">
        <f t="shared" si="1217"/>
        <v>1</v>
      </c>
      <c r="DY57" s="6">
        <f t="shared" si="1099"/>
        <v>0</v>
      </c>
      <c r="DZ57" s="6">
        <f t="shared" si="1218"/>
        <v>0</v>
      </c>
      <c r="EA57" s="6">
        <f t="shared" si="1100"/>
        <v>0</v>
      </c>
      <c r="EB57" s="6">
        <f t="shared" si="1219"/>
        <v>0</v>
      </c>
      <c r="EC57" s="6">
        <f t="shared" si="1101"/>
        <v>0</v>
      </c>
      <c r="ED57" s="6">
        <f t="shared" si="1220"/>
        <v>0</v>
      </c>
      <c r="EE57" s="6">
        <f t="shared" si="1102"/>
        <v>0</v>
      </c>
      <c r="EF57" s="6">
        <f t="shared" si="1221"/>
        <v>0</v>
      </c>
      <c r="EG57" s="6">
        <f t="shared" si="1103"/>
        <v>1</v>
      </c>
      <c r="EH57" s="6">
        <f t="shared" si="1222"/>
        <v>8</v>
      </c>
      <c r="EI57" s="6">
        <f t="shared" si="1104"/>
        <v>0</v>
      </c>
      <c r="EJ57" s="6">
        <f t="shared" si="1223"/>
        <v>0</v>
      </c>
      <c r="EK57" s="6">
        <f t="shared" si="1105"/>
        <v>0</v>
      </c>
      <c r="EL57" s="6">
        <f t="shared" si="1224"/>
        <v>2</v>
      </c>
      <c r="EM57" s="6">
        <f t="shared" si="1106"/>
        <v>0</v>
      </c>
      <c r="EN57" s="6">
        <f t="shared" si="1225"/>
        <v>4</v>
      </c>
      <c r="EO57" s="6">
        <f t="shared" si="1107"/>
        <v>1</v>
      </c>
      <c r="EP57" s="6">
        <f t="shared" si="1226"/>
        <v>12</v>
      </c>
      <c r="EQ57" s="6"/>
      <c r="ER57" s="6">
        <f t="shared" ref="ER57:ER58" si="1313">IF($E57=4,DS57-4,NA())</f>
        <v>5</v>
      </c>
      <c r="ES57" s="6"/>
      <c r="ET57" s="20">
        <f>DS57-'Zusammenfassung Tag1-4'!$F$2/18</f>
        <v>6</v>
      </c>
      <c r="EU57" s="22">
        <f t="shared" si="1228"/>
        <v>210</v>
      </c>
      <c r="EV57" s="18">
        <v>7</v>
      </c>
      <c r="EW57" s="6">
        <f t="shared" si="1229"/>
        <v>249</v>
      </c>
      <c r="EX57" s="19">
        <v>2</v>
      </c>
      <c r="EY57" s="6">
        <f t="shared" si="1230"/>
        <v>92</v>
      </c>
      <c r="EZ57" s="6">
        <f t="shared" si="1108"/>
        <v>0</v>
      </c>
      <c r="FA57" s="6">
        <f t="shared" si="1231"/>
        <v>8</v>
      </c>
      <c r="FB57" s="6">
        <f t="shared" si="1109"/>
        <v>0</v>
      </c>
      <c r="FC57" s="6">
        <f t="shared" si="1232"/>
        <v>0</v>
      </c>
      <c r="FD57" s="6">
        <f t="shared" si="1110"/>
        <v>0</v>
      </c>
      <c r="FE57" s="6">
        <f t="shared" si="1233"/>
        <v>0</v>
      </c>
      <c r="FF57" s="6">
        <f t="shared" si="1111"/>
        <v>0</v>
      </c>
      <c r="FG57" s="6">
        <f t="shared" si="1234"/>
        <v>0</v>
      </c>
      <c r="FH57" s="6">
        <f t="shared" si="1112"/>
        <v>0</v>
      </c>
      <c r="FI57" s="6">
        <f t="shared" si="1235"/>
        <v>4</v>
      </c>
      <c r="FJ57" s="6">
        <f t="shared" si="1113"/>
        <v>1</v>
      </c>
      <c r="FK57" s="6">
        <f t="shared" si="1236"/>
        <v>4</v>
      </c>
      <c r="FL57" s="6">
        <f t="shared" si="1114"/>
        <v>0</v>
      </c>
      <c r="FM57" s="6">
        <f t="shared" si="1237"/>
        <v>0</v>
      </c>
      <c r="FN57" s="6">
        <f t="shared" si="1115"/>
        <v>0</v>
      </c>
      <c r="FO57" s="6">
        <f t="shared" si="1238"/>
        <v>5</v>
      </c>
      <c r="FP57" s="6">
        <f t="shared" si="1116"/>
        <v>1</v>
      </c>
      <c r="FQ57" s="6">
        <f t="shared" si="1239"/>
        <v>5</v>
      </c>
      <c r="FR57" s="6">
        <f t="shared" si="1117"/>
        <v>0</v>
      </c>
      <c r="FS57" s="6">
        <f t="shared" si="1240"/>
        <v>9</v>
      </c>
      <c r="FT57" s="6"/>
      <c r="FU57" s="6">
        <f t="shared" ref="FU57:FU58" si="1314">IF($E57=4,EV57-4,NA())</f>
        <v>3</v>
      </c>
      <c r="FV57" s="6"/>
      <c r="FW57" s="20">
        <f>EV57-'Zusammenfassung Tag1-4'!$G$2/18</f>
        <v>5.5</v>
      </c>
      <c r="FX57" s="22">
        <f t="shared" si="1242"/>
        <v>183</v>
      </c>
      <c r="FY57" s="18">
        <v>7</v>
      </c>
      <c r="FZ57" s="6">
        <f t="shared" si="1243"/>
        <v>319</v>
      </c>
      <c r="GA57" s="19">
        <v>2</v>
      </c>
      <c r="GB57" s="6">
        <f t="shared" si="1244"/>
        <v>105</v>
      </c>
      <c r="GC57" s="6">
        <f t="shared" si="1118"/>
        <v>0</v>
      </c>
      <c r="GD57" s="6">
        <f t="shared" si="1245"/>
        <v>2</v>
      </c>
      <c r="GE57" s="6">
        <f t="shared" si="1119"/>
        <v>0</v>
      </c>
      <c r="GF57" s="6">
        <f t="shared" si="1246"/>
        <v>0</v>
      </c>
      <c r="GG57" s="6">
        <f t="shared" si="1120"/>
        <v>0</v>
      </c>
      <c r="GH57" s="6">
        <f t="shared" si="1247"/>
        <v>0</v>
      </c>
      <c r="GI57" s="6">
        <f t="shared" si="1121"/>
        <v>0</v>
      </c>
      <c r="GJ57" s="6">
        <f t="shared" si="1248"/>
        <v>0</v>
      </c>
      <c r="GK57" s="6">
        <f t="shared" si="1122"/>
        <v>0</v>
      </c>
      <c r="GL57" s="6">
        <f t="shared" si="1249"/>
        <v>0</v>
      </c>
      <c r="GM57" s="6">
        <f t="shared" si="1123"/>
        <v>1</v>
      </c>
      <c r="GN57" s="6">
        <f t="shared" si="1250"/>
        <v>8</v>
      </c>
      <c r="GO57" s="6">
        <f t="shared" si="1124"/>
        <v>0</v>
      </c>
      <c r="GP57" s="6">
        <f t="shared" si="1251"/>
        <v>0</v>
      </c>
      <c r="GQ57" s="6">
        <f t="shared" si="1125"/>
        <v>0</v>
      </c>
      <c r="GR57" s="6">
        <f t="shared" si="1252"/>
        <v>2</v>
      </c>
      <c r="GS57" s="6">
        <f t="shared" si="1126"/>
        <v>1</v>
      </c>
      <c r="GT57" s="6">
        <f t="shared" si="1253"/>
        <v>4</v>
      </c>
      <c r="GU57" s="6">
        <f t="shared" si="1127"/>
        <v>0</v>
      </c>
      <c r="GV57" s="6">
        <f t="shared" si="1254"/>
        <v>19</v>
      </c>
      <c r="GW57" s="6"/>
      <c r="GX57" s="6">
        <f t="shared" ref="GX57:GX58" si="1315">IF($E57=4,FY57-4,NA())</f>
        <v>3</v>
      </c>
      <c r="GY57" s="6"/>
      <c r="GZ57" s="20">
        <f>FY57-'Zusammenfassung Tag1-4'!$H$2/18</f>
        <v>4</v>
      </c>
      <c r="HA57" s="22">
        <f t="shared" si="1256"/>
        <v>187</v>
      </c>
      <c r="HB57" s="18">
        <v>4</v>
      </c>
      <c r="HC57" s="6">
        <f t="shared" si="1257"/>
        <v>234</v>
      </c>
      <c r="HD57" s="19">
        <v>2</v>
      </c>
      <c r="HE57" s="6">
        <f t="shared" si="1258"/>
        <v>93</v>
      </c>
      <c r="HF57" s="6">
        <f t="shared" si="1128"/>
        <v>1</v>
      </c>
      <c r="HG57" s="6">
        <f t="shared" si="1259"/>
        <v>15</v>
      </c>
      <c r="HH57" s="6">
        <f t="shared" si="1129"/>
        <v>0</v>
      </c>
      <c r="HI57" s="6">
        <f t="shared" si="1260"/>
        <v>4</v>
      </c>
      <c r="HJ57" s="6">
        <f t="shared" si="1130"/>
        <v>0</v>
      </c>
      <c r="HK57" s="6">
        <f t="shared" si="1261"/>
        <v>0</v>
      </c>
      <c r="HL57" s="6">
        <f t="shared" si="1131"/>
        <v>1</v>
      </c>
      <c r="HM57" s="6">
        <f t="shared" si="1262"/>
        <v>2</v>
      </c>
      <c r="HN57" s="6">
        <f t="shared" si="1132"/>
        <v>0</v>
      </c>
      <c r="HO57" s="6">
        <f t="shared" si="1263"/>
        <v>3</v>
      </c>
      <c r="HP57" s="6">
        <f t="shared" si="1133"/>
        <v>0</v>
      </c>
      <c r="HQ57" s="6">
        <f t="shared" si="1264"/>
        <v>3</v>
      </c>
      <c r="HR57" s="6">
        <f t="shared" si="1134"/>
        <v>0</v>
      </c>
      <c r="HS57" s="6">
        <f t="shared" si="1265"/>
        <v>0</v>
      </c>
      <c r="HT57" s="6">
        <f t="shared" si="1135"/>
        <v>0</v>
      </c>
      <c r="HU57" s="6">
        <f t="shared" si="1266"/>
        <v>6</v>
      </c>
      <c r="HV57" s="6">
        <f t="shared" si="1136"/>
        <v>1</v>
      </c>
      <c r="HW57" s="6">
        <f t="shared" si="1267"/>
        <v>3</v>
      </c>
      <c r="HX57" s="6">
        <f t="shared" si="1137"/>
        <v>0</v>
      </c>
      <c r="HY57" s="6">
        <f t="shared" si="1268"/>
        <v>11</v>
      </c>
      <c r="HZ57" s="6"/>
      <c r="IA57" s="6">
        <f t="shared" ref="IA57:IA58" si="1316">IF($E57=4,HB57-4,NA())</f>
        <v>0</v>
      </c>
      <c r="IB57" s="6"/>
      <c r="IC57" s="20">
        <f>HB57-'Zusammenfassung Tag1-4'!$I$2/18</f>
        <v>3</v>
      </c>
      <c r="ID57" s="22">
        <f t="shared" si="1270"/>
        <v>190</v>
      </c>
      <c r="IE57" s="18">
        <v>5</v>
      </c>
      <c r="IF57" s="6">
        <f t="shared" si="1271"/>
        <v>62</v>
      </c>
      <c r="IG57" s="19">
        <v>2</v>
      </c>
      <c r="IH57" s="6">
        <f t="shared" si="1272"/>
        <v>22</v>
      </c>
      <c r="II57" s="6">
        <f t="shared" si="1138"/>
        <v>0</v>
      </c>
      <c r="IJ57" s="6">
        <f t="shared" si="1273"/>
        <v>37</v>
      </c>
      <c r="IK57" s="6">
        <f t="shared" si="1139"/>
        <v>0</v>
      </c>
      <c r="IL57" s="6">
        <f t="shared" si="1274"/>
        <v>0</v>
      </c>
      <c r="IM57" s="6">
        <f t="shared" si="1140"/>
        <v>0</v>
      </c>
      <c r="IN57" s="6">
        <f t="shared" si="1275"/>
        <v>0</v>
      </c>
      <c r="IO57" s="6">
        <f t="shared" si="1141"/>
        <v>0</v>
      </c>
      <c r="IP57" s="6">
        <f t="shared" si="1276"/>
        <v>0</v>
      </c>
      <c r="IQ57" s="6">
        <f t="shared" si="1142"/>
        <v>1</v>
      </c>
      <c r="IR57" s="6">
        <f t="shared" si="1277"/>
        <v>1</v>
      </c>
      <c r="IS57" s="6">
        <f t="shared" si="1143"/>
        <v>0</v>
      </c>
      <c r="IT57" s="6">
        <f t="shared" si="1278"/>
        <v>7</v>
      </c>
      <c r="IU57" s="6">
        <f t="shared" si="1144"/>
        <v>0</v>
      </c>
      <c r="IV57" s="6">
        <f t="shared" si="1279"/>
        <v>0</v>
      </c>
      <c r="IW57" s="6">
        <f t="shared" si="1145"/>
        <v>0</v>
      </c>
      <c r="IX57" s="6">
        <f t="shared" si="1280"/>
        <v>0</v>
      </c>
      <c r="IY57" s="6">
        <f t="shared" si="1146"/>
        <v>1</v>
      </c>
      <c r="IZ57" s="6">
        <f t="shared" si="1281"/>
        <v>3</v>
      </c>
      <c r="JA57" s="6">
        <f t="shared" si="1147"/>
        <v>0</v>
      </c>
      <c r="JB57" s="6">
        <f t="shared" si="1282"/>
        <v>5</v>
      </c>
      <c r="JC57" s="6"/>
      <c r="JD57" s="6">
        <f t="shared" ref="JD57:JD58" si="1317">IF($E57=4,IE57-4,NA())</f>
        <v>1</v>
      </c>
      <c r="JE57" s="6"/>
      <c r="JF57" s="20">
        <f>IE57-'Zusammenfassung Tag1-4'!$J$2/18</f>
        <v>2</v>
      </c>
      <c r="JG57" s="22">
        <f t="shared" si="1284"/>
        <v>-70</v>
      </c>
      <c r="JH57" s="18">
        <v>4</v>
      </c>
      <c r="JI57" s="6">
        <f t="shared" si="1285"/>
        <v>42</v>
      </c>
      <c r="JJ57" s="19">
        <v>2</v>
      </c>
      <c r="JK57" s="6">
        <f t="shared" si="1286"/>
        <v>16</v>
      </c>
      <c r="JL57" s="6">
        <f t="shared" si="1148"/>
        <v>1</v>
      </c>
      <c r="JM57" s="6">
        <f t="shared" si="1287"/>
        <v>40</v>
      </c>
      <c r="JN57" s="6">
        <f t="shared" si="1149"/>
        <v>0</v>
      </c>
      <c r="JO57" s="6">
        <f t="shared" si="1288"/>
        <v>0</v>
      </c>
      <c r="JP57" s="6">
        <f t="shared" si="1150"/>
        <v>0</v>
      </c>
      <c r="JQ57" s="6">
        <f t="shared" si="1289"/>
        <v>0</v>
      </c>
      <c r="JR57" s="6">
        <f t="shared" si="1151"/>
        <v>1</v>
      </c>
      <c r="JS57" s="6">
        <f t="shared" si="1290"/>
        <v>4</v>
      </c>
      <c r="JT57" s="6">
        <f t="shared" si="1152"/>
        <v>0</v>
      </c>
      <c r="JU57" s="6">
        <f t="shared" si="1291"/>
        <v>0</v>
      </c>
      <c r="JV57" s="6">
        <f t="shared" si="1153"/>
        <v>0</v>
      </c>
      <c r="JW57" s="6">
        <f t="shared" si="1292"/>
        <v>4</v>
      </c>
      <c r="JX57" s="6">
        <f t="shared" si="1154"/>
        <v>0</v>
      </c>
      <c r="JY57" s="6">
        <f t="shared" si="1293"/>
        <v>0</v>
      </c>
      <c r="JZ57" s="6">
        <f t="shared" si="1155"/>
        <v>0</v>
      </c>
      <c r="KA57" s="6">
        <f t="shared" si="1294"/>
        <v>0</v>
      </c>
      <c r="KB57" s="6">
        <f t="shared" si="1156"/>
        <v>1</v>
      </c>
      <c r="KC57" s="6">
        <f t="shared" si="1295"/>
        <v>8</v>
      </c>
      <c r="KD57" s="6">
        <f t="shared" si="1157"/>
        <v>0</v>
      </c>
      <c r="KE57" s="6">
        <f t="shared" si="1296"/>
        <v>0</v>
      </c>
      <c r="KF57" s="6"/>
      <c r="KG57" s="6">
        <f t="shared" ref="KG57:KG58" si="1318">IF($E57=4,JH57-4,NA())</f>
        <v>0</v>
      </c>
      <c r="KH57" s="6"/>
      <c r="KI57" s="20">
        <f>JH57-'Zusammenfassung Tag1-4'!$K$2/18</f>
        <v>3.2222222222222223</v>
      </c>
      <c r="KJ57" s="22">
        <f t="shared" si="1298"/>
        <v>7.7777777777777573</v>
      </c>
      <c r="KK57" s="10"/>
      <c r="KL57" s="10"/>
      <c r="KM57" s="10"/>
      <c r="KN57" s="10"/>
      <c r="KO57" s="10"/>
      <c r="KP57" s="10"/>
      <c r="KQ57" s="10"/>
      <c r="KR57" s="10"/>
      <c r="KS57" s="10"/>
      <c r="KT57" s="10"/>
      <c r="KU57" s="10"/>
      <c r="KV57" s="10"/>
      <c r="KW57" s="10"/>
      <c r="KX57" s="10"/>
      <c r="KY57" s="10"/>
      <c r="KZ57" s="10"/>
      <c r="LA57" s="10"/>
      <c r="LB57" s="10"/>
      <c r="LC57" s="10"/>
      <c r="LD57" s="10"/>
    </row>
    <row r="58" spans="1:316" ht="15.75" customHeight="1" x14ac:dyDescent="0.25">
      <c r="A58" s="106"/>
      <c r="B58" s="103"/>
      <c r="C58" s="3">
        <v>9</v>
      </c>
      <c r="D58" s="3">
        <f t="shared" si="1158"/>
        <v>45</v>
      </c>
      <c r="E58" s="3">
        <v>4</v>
      </c>
      <c r="F58" s="23">
        <f t="shared" si="1159"/>
        <v>181</v>
      </c>
      <c r="G58" s="24"/>
      <c r="H58" s="3"/>
      <c r="I58" s="25"/>
      <c r="J58" s="3">
        <f t="shared" si="1160"/>
        <v>71</v>
      </c>
      <c r="K58" s="3">
        <f t="shared" si="1058"/>
        <v>1</v>
      </c>
      <c r="L58" s="3">
        <f t="shared" si="1161"/>
        <v>24</v>
      </c>
      <c r="M58" s="3">
        <f t="shared" si="1059"/>
        <v>0</v>
      </c>
      <c r="N58" s="3">
        <f t="shared" si="1162"/>
        <v>3</v>
      </c>
      <c r="O58" s="3">
        <f t="shared" si="1060"/>
        <v>0</v>
      </c>
      <c r="P58" s="3">
        <f t="shared" si="1163"/>
        <v>1</v>
      </c>
      <c r="Q58" s="3">
        <f t="shared" si="1061"/>
        <v>0</v>
      </c>
      <c r="R58" s="3">
        <f t="shared" si="1164"/>
        <v>0</v>
      </c>
      <c r="S58" s="3">
        <f t="shared" si="1062"/>
        <v>0</v>
      </c>
      <c r="T58" s="3">
        <f t="shared" si="1165"/>
        <v>0</v>
      </c>
      <c r="U58" s="3">
        <f t="shared" si="1063"/>
        <v>0</v>
      </c>
      <c r="V58" s="3">
        <f t="shared" si="1166"/>
        <v>0</v>
      </c>
      <c r="W58" s="3">
        <f t="shared" si="1064"/>
        <v>1</v>
      </c>
      <c r="X58" s="3">
        <f t="shared" si="1167"/>
        <v>9</v>
      </c>
      <c r="Y58" s="3">
        <f t="shared" si="1065"/>
        <v>0</v>
      </c>
      <c r="Z58" s="3">
        <f t="shared" si="1168"/>
        <v>7</v>
      </c>
      <c r="AA58" s="3">
        <f t="shared" si="1066"/>
        <v>0</v>
      </c>
      <c r="AB58" s="3">
        <f t="shared" si="1169"/>
        <v>0</v>
      </c>
      <c r="AC58" s="3">
        <f t="shared" si="1067"/>
        <v>0</v>
      </c>
      <c r="AD58" s="3">
        <f t="shared" si="1170"/>
        <v>5</v>
      </c>
      <c r="AE58" s="3"/>
      <c r="AF58" s="3">
        <f t="shared" si="1309"/>
        <v>-4</v>
      </c>
      <c r="AG58" s="3"/>
      <c r="AH58" s="26">
        <f>G58-'Zusammenfassung Tag1-4'!$B$2/18</f>
        <v>-1.1111111111111112</v>
      </c>
      <c r="AI58" s="27">
        <f t="shared" si="1172"/>
        <v>126.99999999999989</v>
      </c>
      <c r="AJ58" s="24">
        <v>4</v>
      </c>
      <c r="AK58" s="3">
        <f t="shared" si="1173"/>
        <v>205</v>
      </c>
      <c r="AL58" s="25">
        <v>1</v>
      </c>
      <c r="AM58" s="3">
        <f t="shared" si="1174"/>
        <v>82</v>
      </c>
      <c r="AN58" s="3">
        <f t="shared" si="1068"/>
        <v>0</v>
      </c>
      <c r="AO58" s="3">
        <f t="shared" si="1175"/>
        <v>24</v>
      </c>
      <c r="AP58" s="3">
        <f t="shared" si="1069"/>
        <v>1</v>
      </c>
      <c r="AQ58" s="3">
        <f t="shared" si="1176"/>
        <v>7</v>
      </c>
      <c r="AR58" s="3">
        <f t="shared" si="1070"/>
        <v>0</v>
      </c>
      <c r="AS58" s="3">
        <f t="shared" si="1177"/>
        <v>4</v>
      </c>
      <c r="AT58" s="3">
        <f t="shared" si="1071"/>
        <v>1</v>
      </c>
      <c r="AU58" s="3">
        <f t="shared" si="1178"/>
        <v>4</v>
      </c>
      <c r="AV58" s="3">
        <f t="shared" si="1072"/>
        <v>0</v>
      </c>
      <c r="AW58" s="3">
        <f t="shared" si="1179"/>
        <v>2</v>
      </c>
      <c r="AX58" s="3">
        <f t="shared" si="1073"/>
        <v>0</v>
      </c>
      <c r="AY58" s="3">
        <f t="shared" si="1180"/>
        <v>2</v>
      </c>
      <c r="AZ58" s="3">
        <f t="shared" si="1074"/>
        <v>0</v>
      </c>
      <c r="BA58" s="3">
        <f t="shared" si="1181"/>
        <v>0</v>
      </c>
      <c r="BB58" s="3">
        <f t="shared" si="1075"/>
        <v>1</v>
      </c>
      <c r="BC58" s="3">
        <f t="shared" si="1182"/>
        <v>14</v>
      </c>
      <c r="BD58" s="3">
        <f t="shared" si="1076"/>
        <v>0</v>
      </c>
      <c r="BE58" s="3">
        <f t="shared" si="1183"/>
        <v>3</v>
      </c>
      <c r="BF58" s="3">
        <f t="shared" si="1077"/>
        <v>0</v>
      </c>
      <c r="BG58" s="3">
        <f t="shared" si="1184"/>
        <v>6</v>
      </c>
      <c r="BH58" s="3"/>
      <c r="BI58" s="3">
        <f t="shared" si="1310"/>
        <v>0</v>
      </c>
      <c r="BJ58" s="3"/>
      <c r="BK58" s="26">
        <f>AJ58-'Zusammenfassung Tag1-4'!$C$2/18</f>
        <v>3.3333333333333335</v>
      </c>
      <c r="BL58" s="27">
        <f t="shared" si="1186"/>
        <v>175.00000000000006</v>
      </c>
      <c r="BM58" s="24">
        <v>7</v>
      </c>
      <c r="BN58" s="3">
        <f t="shared" si="1187"/>
        <v>251</v>
      </c>
      <c r="BO58" s="25">
        <v>2</v>
      </c>
      <c r="BP58" s="3">
        <f t="shared" si="1188"/>
        <v>94</v>
      </c>
      <c r="BQ58" s="3">
        <f t="shared" si="1078"/>
        <v>0</v>
      </c>
      <c r="BR58" s="3">
        <f t="shared" si="1189"/>
        <v>8</v>
      </c>
      <c r="BS58" s="3">
        <f t="shared" si="1079"/>
        <v>0</v>
      </c>
      <c r="BT58" s="3">
        <f t="shared" si="1190"/>
        <v>3</v>
      </c>
      <c r="BU58" s="3">
        <f t="shared" si="1080"/>
        <v>0</v>
      </c>
      <c r="BV58" s="3">
        <f t="shared" si="1191"/>
        <v>0</v>
      </c>
      <c r="BW58" s="3">
        <f t="shared" si="1081"/>
        <v>0</v>
      </c>
      <c r="BX58" s="3">
        <f t="shared" si="1192"/>
        <v>1</v>
      </c>
      <c r="BY58" s="3">
        <f t="shared" si="1082"/>
        <v>0</v>
      </c>
      <c r="BZ58" s="3">
        <f t="shared" si="1193"/>
        <v>4</v>
      </c>
      <c r="CA58" s="3">
        <f t="shared" si="1083"/>
        <v>1</v>
      </c>
      <c r="CB58" s="3">
        <f t="shared" si="1194"/>
        <v>4</v>
      </c>
      <c r="CC58" s="3">
        <f t="shared" si="1084"/>
        <v>0</v>
      </c>
      <c r="CD58" s="3">
        <f t="shared" si="1195"/>
        <v>0</v>
      </c>
      <c r="CE58" s="3">
        <f t="shared" si="1085"/>
        <v>0</v>
      </c>
      <c r="CF58" s="3">
        <f t="shared" si="1196"/>
        <v>7</v>
      </c>
      <c r="CG58" s="3">
        <f t="shared" si="1086"/>
        <v>1</v>
      </c>
      <c r="CH58" s="3">
        <f t="shared" si="1197"/>
        <v>4</v>
      </c>
      <c r="CI58" s="3">
        <f t="shared" si="1087"/>
        <v>0</v>
      </c>
      <c r="CJ58" s="3">
        <f t="shared" si="1198"/>
        <v>11</v>
      </c>
      <c r="CK58" s="3"/>
      <c r="CL58" s="3">
        <f t="shared" si="1311"/>
        <v>3</v>
      </c>
      <c r="CM58" s="3"/>
      <c r="CN58" s="26">
        <f>BM58-'Zusammenfassung Tag1-4'!$D$2/18</f>
        <v>5.666666666666667</v>
      </c>
      <c r="CO58" s="27">
        <f t="shared" si="1200"/>
        <v>190.99999999999991</v>
      </c>
      <c r="CP58" s="24">
        <v>5</v>
      </c>
      <c r="CQ58" s="3">
        <f t="shared" si="1201"/>
        <v>236</v>
      </c>
      <c r="CR58" s="25">
        <v>2</v>
      </c>
      <c r="CS58" s="3">
        <f t="shared" si="1202"/>
        <v>92</v>
      </c>
      <c r="CT58" s="3">
        <f t="shared" si="1088"/>
        <v>0</v>
      </c>
      <c r="CU58" s="3">
        <f t="shared" si="1203"/>
        <v>10</v>
      </c>
      <c r="CV58" s="3">
        <f t="shared" si="1089"/>
        <v>0</v>
      </c>
      <c r="CW58" s="3">
        <f t="shared" si="1204"/>
        <v>3</v>
      </c>
      <c r="CX58" s="3">
        <f t="shared" si="1090"/>
        <v>0</v>
      </c>
      <c r="CY58" s="3">
        <f t="shared" si="1205"/>
        <v>0</v>
      </c>
      <c r="CZ58" s="3">
        <f t="shared" si="1091"/>
        <v>0</v>
      </c>
      <c r="DA58" s="3">
        <f t="shared" si="1206"/>
        <v>1</v>
      </c>
      <c r="DB58" s="3">
        <f t="shared" si="1092"/>
        <v>1</v>
      </c>
      <c r="DC58" s="3">
        <f t="shared" si="1207"/>
        <v>5</v>
      </c>
      <c r="DD58" s="3">
        <f t="shared" si="1093"/>
        <v>0</v>
      </c>
      <c r="DE58" s="3">
        <f t="shared" si="1208"/>
        <v>3</v>
      </c>
      <c r="DF58" s="3">
        <f t="shared" si="1094"/>
        <v>0</v>
      </c>
      <c r="DG58" s="3">
        <f t="shared" si="1209"/>
        <v>0</v>
      </c>
      <c r="DH58" s="3">
        <f t="shared" si="1095"/>
        <v>0</v>
      </c>
      <c r="DI58" s="3">
        <f t="shared" si="1210"/>
        <v>7</v>
      </c>
      <c r="DJ58" s="3">
        <f t="shared" si="1096"/>
        <v>1</v>
      </c>
      <c r="DK58" s="3">
        <f t="shared" si="1211"/>
        <v>6</v>
      </c>
      <c r="DL58" s="3">
        <f t="shared" si="1097"/>
        <v>0</v>
      </c>
      <c r="DM58" s="3">
        <f t="shared" si="1212"/>
        <v>9</v>
      </c>
      <c r="DN58" s="3"/>
      <c r="DO58" s="3">
        <f t="shared" si="1312"/>
        <v>1</v>
      </c>
      <c r="DP58" s="3"/>
      <c r="DQ58" s="26">
        <f>CP58-'Zusammenfassung Tag1-4'!$E$2/18</f>
        <v>3.7222222222222223</v>
      </c>
      <c r="DR58" s="28">
        <f t="shared" si="1214"/>
        <v>178.50000000000017</v>
      </c>
      <c r="DS58" s="24">
        <v>7</v>
      </c>
      <c r="DT58" s="3">
        <f t="shared" si="1215"/>
        <v>349</v>
      </c>
      <c r="DU58" s="25">
        <v>2</v>
      </c>
      <c r="DV58" s="3">
        <f t="shared" si="1216"/>
        <v>101</v>
      </c>
      <c r="DW58" s="3">
        <f t="shared" si="1098"/>
        <v>0</v>
      </c>
      <c r="DX58" s="3">
        <f t="shared" si="1217"/>
        <v>1</v>
      </c>
      <c r="DY58" s="3">
        <f t="shared" si="1099"/>
        <v>0</v>
      </c>
      <c r="DZ58" s="3">
        <f t="shared" si="1218"/>
        <v>0</v>
      </c>
      <c r="EA58" s="3">
        <f t="shared" si="1100"/>
        <v>0</v>
      </c>
      <c r="EB58" s="3">
        <f t="shared" si="1219"/>
        <v>0</v>
      </c>
      <c r="EC58" s="3">
        <f t="shared" si="1101"/>
        <v>0</v>
      </c>
      <c r="ED58" s="3">
        <f t="shared" si="1220"/>
        <v>0</v>
      </c>
      <c r="EE58" s="3">
        <f t="shared" si="1102"/>
        <v>0</v>
      </c>
      <c r="EF58" s="3">
        <f t="shared" si="1221"/>
        <v>0</v>
      </c>
      <c r="EG58" s="3">
        <f t="shared" si="1103"/>
        <v>1</v>
      </c>
      <c r="EH58" s="3">
        <f t="shared" si="1222"/>
        <v>9</v>
      </c>
      <c r="EI58" s="3">
        <f t="shared" si="1104"/>
        <v>0</v>
      </c>
      <c r="EJ58" s="3">
        <f t="shared" si="1223"/>
        <v>0</v>
      </c>
      <c r="EK58" s="3">
        <f t="shared" si="1105"/>
        <v>0</v>
      </c>
      <c r="EL58" s="3">
        <f t="shared" si="1224"/>
        <v>2</v>
      </c>
      <c r="EM58" s="3">
        <f t="shared" si="1106"/>
        <v>1</v>
      </c>
      <c r="EN58" s="3">
        <f t="shared" si="1225"/>
        <v>5</v>
      </c>
      <c r="EO58" s="3">
        <f t="shared" si="1107"/>
        <v>0</v>
      </c>
      <c r="EP58" s="3">
        <f t="shared" si="1226"/>
        <v>12</v>
      </c>
      <c r="EQ58" s="3"/>
      <c r="ER58" s="3">
        <f t="shared" si="1313"/>
        <v>3</v>
      </c>
      <c r="ES58" s="3"/>
      <c r="ET58" s="26">
        <f>DS58-'Zusammenfassung Tag1-4'!$F$2/18</f>
        <v>4</v>
      </c>
      <c r="EU58" s="28">
        <f t="shared" si="1228"/>
        <v>214</v>
      </c>
      <c r="EV58" s="24">
        <v>5</v>
      </c>
      <c r="EW58" s="3">
        <f t="shared" si="1229"/>
        <v>254</v>
      </c>
      <c r="EX58" s="25">
        <v>1</v>
      </c>
      <c r="EY58" s="3">
        <f t="shared" si="1230"/>
        <v>93</v>
      </c>
      <c r="EZ58" s="3">
        <f t="shared" si="1108"/>
        <v>0</v>
      </c>
      <c r="FA58" s="3">
        <f t="shared" si="1231"/>
        <v>8</v>
      </c>
      <c r="FB58" s="3">
        <f t="shared" si="1109"/>
        <v>0</v>
      </c>
      <c r="FC58" s="3">
        <f t="shared" si="1232"/>
        <v>0</v>
      </c>
      <c r="FD58" s="3">
        <f t="shared" si="1110"/>
        <v>0</v>
      </c>
      <c r="FE58" s="3">
        <f t="shared" si="1233"/>
        <v>0</v>
      </c>
      <c r="FF58" s="3">
        <f t="shared" si="1111"/>
        <v>0</v>
      </c>
      <c r="FG58" s="3">
        <f t="shared" si="1234"/>
        <v>0</v>
      </c>
      <c r="FH58" s="3">
        <f t="shared" si="1112"/>
        <v>1</v>
      </c>
      <c r="FI58" s="3">
        <f t="shared" si="1235"/>
        <v>5</v>
      </c>
      <c r="FJ58" s="3">
        <f t="shared" si="1113"/>
        <v>0</v>
      </c>
      <c r="FK58" s="3">
        <f t="shared" si="1236"/>
        <v>4</v>
      </c>
      <c r="FL58" s="3">
        <f t="shared" si="1114"/>
        <v>0</v>
      </c>
      <c r="FM58" s="3">
        <f t="shared" si="1237"/>
        <v>0</v>
      </c>
      <c r="FN58" s="3">
        <f t="shared" si="1115"/>
        <v>1</v>
      </c>
      <c r="FO58" s="3">
        <f t="shared" si="1238"/>
        <v>6</v>
      </c>
      <c r="FP58" s="3">
        <f t="shared" si="1116"/>
        <v>0</v>
      </c>
      <c r="FQ58" s="3">
        <f t="shared" si="1239"/>
        <v>5</v>
      </c>
      <c r="FR58" s="3">
        <f t="shared" si="1117"/>
        <v>0</v>
      </c>
      <c r="FS58" s="3">
        <f t="shared" si="1240"/>
        <v>9</v>
      </c>
      <c r="FT58" s="3"/>
      <c r="FU58" s="3">
        <f t="shared" si="1314"/>
        <v>1</v>
      </c>
      <c r="FV58" s="3"/>
      <c r="FW58" s="26">
        <f>EV58-'Zusammenfassung Tag1-4'!$G$2/18</f>
        <v>3.5</v>
      </c>
      <c r="FX58" s="28">
        <f t="shared" si="1242"/>
        <v>186.5</v>
      </c>
      <c r="FY58" s="24">
        <v>7</v>
      </c>
      <c r="FZ58" s="3">
        <f t="shared" si="1243"/>
        <v>326</v>
      </c>
      <c r="GA58" s="25">
        <v>3</v>
      </c>
      <c r="GB58" s="3">
        <f t="shared" si="1244"/>
        <v>108</v>
      </c>
      <c r="GC58" s="3">
        <f t="shared" si="1118"/>
        <v>0</v>
      </c>
      <c r="GD58" s="3">
        <f t="shared" si="1245"/>
        <v>2</v>
      </c>
      <c r="GE58" s="3">
        <f t="shared" si="1119"/>
        <v>0</v>
      </c>
      <c r="GF58" s="3">
        <f t="shared" si="1246"/>
        <v>0</v>
      </c>
      <c r="GG58" s="3">
        <f t="shared" si="1120"/>
        <v>0</v>
      </c>
      <c r="GH58" s="3">
        <f t="shared" si="1247"/>
        <v>0</v>
      </c>
      <c r="GI58" s="3">
        <f t="shared" si="1121"/>
        <v>0</v>
      </c>
      <c r="GJ58" s="3">
        <f t="shared" si="1248"/>
        <v>0</v>
      </c>
      <c r="GK58" s="3">
        <f t="shared" si="1122"/>
        <v>0</v>
      </c>
      <c r="GL58" s="3">
        <f t="shared" si="1249"/>
        <v>0</v>
      </c>
      <c r="GM58" s="3">
        <f t="shared" si="1123"/>
        <v>1</v>
      </c>
      <c r="GN58" s="3">
        <f t="shared" si="1250"/>
        <v>9</v>
      </c>
      <c r="GO58" s="3">
        <f t="shared" si="1124"/>
        <v>0</v>
      </c>
      <c r="GP58" s="3">
        <f t="shared" si="1251"/>
        <v>0</v>
      </c>
      <c r="GQ58" s="3">
        <f t="shared" si="1125"/>
        <v>0</v>
      </c>
      <c r="GR58" s="3">
        <f t="shared" si="1252"/>
        <v>2</v>
      </c>
      <c r="GS58" s="3">
        <f t="shared" si="1126"/>
        <v>0</v>
      </c>
      <c r="GT58" s="3">
        <f t="shared" si="1253"/>
        <v>4</v>
      </c>
      <c r="GU58" s="3">
        <f t="shared" si="1127"/>
        <v>1</v>
      </c>
      <c r="GV58" s="3">
        <f t="shared" si="1254"/>
        <v>20</v>
      </c>
      <c r="GW58" s="3"/>
      <c r="GX58" s="3">
        <f t="shared" si="1315"/>
        <v>3</v>
      </c>
      <c r="GY58" s="3"/>
      <c r="GZ58" s="26">
        <f>FY58-'Zusammenfassung Tag1-4'!$H$2/18</f>
        <v>4</v>
      </c>
      <c r="HA58" s="28">
        <f t="shared" si="1256"/>
        <v>191</v>
      </c>
      <c r="HB58" s="24">
        <v>5</v>
      </c>
      <c r="HC58" s="3">
        <f t="shared" si="1257"/>
        <v>239</v>
      </c>
      <c r="HD58" s="25">
        <v>2</v>
      </c>
      <c r="HE58" s="3">
        <f t="shared" si="1258"/>
        <v>95</v>
      </c>
      <c r="HF58" s="3">
        <f t="shared" si="1128"/>
        <v>0</v>
      </c>
      <c r="HG58" s="3">
        <f t="shared" si="1259"/>
        <v>15</v>
      </c>
      <c r="HH58" s="3">
        <f t="shared" si="1129"/>
        <v>0</v>
      </c>
      <c r="HI58" s="3">
        <f t="shared" si="1260"/>
        <v>4</v>
      </c>
      <c r="HJ58" s="3">
        <f t="shared" si="1130"/>
        <v>0</v>
      </c>
      <c r="HK58" s="3">
        <f t="shared" si="1261"/>
        <v>0</v>
      </c>
      <c r="HL58" s="3">
        <f t="shared" si="1131"/>
        <v>0</v>
      </c>
      <c r="HM58" s="3">
        <f t="shared" si="1262"/>
        <v>2</v>
      </c>
      <c r="HN58" s="3">
        <f t="shared" si="1132"/>
        <v>1</v>
      </c>
      <c r="HO58" s="3">
        <f t="shared" si="1263"/>
        <v>4</v>
      </c>
      <c r="HP58" s="3">
        <f t="shared" si="1133"/>
        <v>0</v>
      </c>
      <c r="HQ58" s="3">
        <f t="shared" si="1264"/>
        <v>3</v>
      </c>
      <c r="HR58" s="3">
        <f t="shared" si="1134"/>
        <v>0</v>
      </c>
      <c r="HS58" s="3">
        <f t="shared" si="1265"/>
        <v>0</v>
      </c>
      <c r="HT58" s="3">
        <f t="shared" si="1135"/>
        <v>0</v>
      </c>
      <c r="HU58" s="3">
        <f t="shared" si="1266"/>
        <v>6</v>
      </c>
      <c r="HV58" s="3">
        <f t="shared" si="1136"/>
        <v>1</v>
      </c>
      <c r="HW58" s="3">
        <f t="shared" si="1267"/>
        <v>4</v>
      </c>
      <c r="HX58" s="3">
        <f t="shared" si="1137"/>
        <v>0</v>
      </c>
      <c r="HY58" s="3">
        <f t="shared" si="1268"/>
        <v>11</v>
      </c>
      <c r="HZ58" s="3"/>
      <c r="IA58" s="3">
        <f t="shared" si="1316"/>
        <v>1</v>
      </c>
      <c r="IB58" s="3"/>
      <c r="IC58" s="26">
        <f>HB58-'Zusammenfassung Tag1-4'!$I$2/18</f>
        <v>4</v>
      </c>
      <c r="ID58" s="28">
        <f t="shared" si="1270"/>
        <v>194</v>
      </c>
      <c r="IE58" s="24">
        <v>7</v>
      </c>
      <c r="IF58" s="3">
        <f t="shared" si="1271"/>
        <v>69</v>
      </c>
      <c r="IG58" s="25">
        <v>3</v>
      </c>
      <c r="IH58" s="3">
        <f t="shared" si="1272"/>
        <v>25</v>
      </c>
      <c r="II58" s="3">
        <f t="shared" si="1138"/>
        <v>0</v>
      </c>
      <c r="IJ58" s="3">
        <f t="shared" si="1273"/>
        <v>37</v>
      </c>
      <c r="IK58" s="3">
        <f t="shared" si="1139"/>
        <v>0</v>
      </c>
      <c r="IL58" s="3">
        <f t="shared" si="1274"/>
        <v>0</v>
      </c>
      <c r="IM58" s="3">
        <f t="shared" si="1140"/>
        <v>0</v>
      </c>
      <c r="IN58" s="3">
        <f t="shared" si="1275"/>
        <v>0</v>
      </c>
      <c r="IO58" s="3">
        <f t="shared" si="1141"/>
        <v>0</v>
      </c>
      <c r="IP58" s="3">
        <f t="shared" si="1276"/>
        <v>0</v>
      </c>
      <c r="IQ58" s="3">
        <f t="shared" si="1142"/>
        <v>0</v>
      </c>
      <c r="IR58" s="3">
        <f t="shared" si="1277"/>
        <v>1</v>
      </c>
      <c r="IS58" s="3">
        <f t="shared" si="1143"/>
        <v>1</v>
      </c>
      <c r="IT58" s="3">
        <f t="shared" si="1278"/>
        <v>8</v>
      </c>
      <c r="IU58" s="3">
        <f t="shared" si="1144"/>
        <v>0</v>
      </c>
      <c r="IV58" s="3">
        <f t="shared" si="1279"/>
        <v>0</v>
      </c>
      <c r="IW58" s="3">
        <f t="shared" si="1145"/>
        <v>0</v>
      </c>
      <c r="IX58" s="3">
        <f t="shared" si="1280"/>
        <v>0</v>
      </c>
      <c r="IY58" s="3">
        <f t="shared" si="1146"/>
        <v>0</v>
      </c>
      <c r="IZ58" s="3">
        <f t="shared" si="1281"/>
        <v>3</v>
      </c>
      <c r="JA58" s="3">
        <f t="shared" si="1147"/>
        <v>1</v>
      </c>
      <c r="JB58" s="3">
        <f t="shared" si="1282"/>
        <v>6</v>
      </c>
      <c r="JC58" s="3"/>
      <c r="JD58" s="3">
        <f t="shared" si="1317"/>
        <v>3</v>
      </c>
      <c r="JE58" s="3"/>
      <c r="JF58" s="26">
        <f>IE58-'Zusammenfassung Tag1-4'!$J$2/18</f>
        <v>4</v>
      </c>
      <c r="JG58" s="28">
        <f t="shared" si="1284"/>
        <v>-66</v>
      </c>
      <c r="JH58" s="24">
        <v>4</v>
      </c>
      <c r="JI58" s="3">
        <f t="shared" si="1285"/>
        <v>46</v>
      </c>
      <c r="JJ58" s="25">
        <v>1</v>
      </c>
      <c r="JK58" s="3">
        <f t="shared" si="1286"/>
        <v>17</v>
      </c>
      <c r="JL58" s="3">
        <f t="shared" si="1148"/>
        <v>0</v>
      </c>
      <c r="JM58" s="3">
        <f t="shared" si="1287"/>
        <v>40</v>
      </c>
      <c r="JN58" s="3">
        <f t="shared" si="1149"/>
        <v>1</v>
      </c>
      <c r="JO58" s="3">
        <f t="shared" si="1288"/>
        <v>1</v>
      </c>
      <c r="JP58" s="3">
        <f t="shared" si="1150"/>
        <v>0</v>
      </c>
      <c r="JQ58" s="3">
        <f t="shared" si="1289"/>
        <v>0</v>
      </c>
      <c r="JR58" s="3">
        <f t="shared" si="1151"/>
        <v>1</v>
      </c>
      <c r="JS58" s="3">
        <f t="shared" si="1290"/>
        <v>5</v>
      </c>
      <c r="JT58" s="3">
        <f t="shared" si="1152"/>
        <v>0</v>
      </c>
      <c r="JU58" s="3">
        <f t="shared" si="1291"/>
        <v>0</v>
      </c>
      <c r="JV58" s="3">
        <f t="shared" si="1153"/>
        <v>0</v>
      </c>
      <c r="JW58" s="3">
        <f t="shared" si="1292"/>
        <v>4</v>
      </c>
      <c r="JX58" s="3">
        <f t="shared" si="1154"/>
        <v>0</v>
      </c>
      <c r="JY58" s="3">
        <f t="shared" si="1293"/>
        <v>0</v>
      </c>
      <c r="JZ58" s="3">
        <f t="shared" si="1155"/>
        <v>1</v>
      </c>
      <c r="KA58" s="3">
        <f t="shared" si="1294"/>
        <v>1</v>
      </c>
      <c r="KB58" s="3">
        <f t="shared" si="1156"/>
        <v>0</v>
      </c>
      <c r="KC58" s="3">
        <f t="shared" si="1295"/>
        <v>8</v>
      </c>
      <c r="KD58" s="3">
        <f t="shared" si="1157"/>
        <v>0</v>
      </c>
      <c r="KE58" s="3">
        <f t="shared" si="1296"/>
        <v>0</v>
      </c>
      <c r="KF58" s="3"/>
      <c r="KG58" s="3">
        <f t="shared" si="1318"/>
        <v>0</v>
      </c>
      <c r="KH58" s="3"/>
      <c r="KI58" s="26">
        <f>JH58-'Zusammenfassung Tag1-4'!$K$2/18</f>
        <v>3.2222222222222223</v>
      </c>
      <c r="KJ58" s="28">
        <f t="shared" si="1298"/>
        <v>10.999999999999979</v>
      </c>
      <c r="KK58" s="10"/>
      <c r="KL58" s="10"/>
      <c r="KM58" s="10"/>
      <c r="KN58" s="10"/>
      <c r="KO58" s="10"/>
      <c r="KP58" s="10"/>
      <c r="KQ58" s="10"/>
      <c r="KR58" s="10"/>
      <c r="KS58" s="10"/>
      <c r="KT58" s="10"/>
      <c r="KU58" s="10"/>
      <c r="KV58" s="10"/>
      <c r="KW58" s="10"/>
      <c r="KX58" s="10"/>
      <c r="KY58" s="10"/>
      <c r="KZ58" s="10"/>
      <c r="LA58" s="10"/>
      <c r="LB58" s="10"/>
      <c r="LC58" s="10"/>
      <c r="LD58" s="10"/>
    </row>
    <row r="59" spans="1:316" ht="15.75" customHeight="1" x14ac:dyDescent="0.25">
      <c r="A59" s="106"/>
      <c r="B59" s="104"/>
      <c r="C59" s="3" t="s">
        <v>47</v>
      </c>
      <c r="D59" s="3"/>
      <c r="E59" s="3">
        <f>SUM(E50:E58)</f>
        <v>37</v>
      </c>
      <c r="F59" s="23"/>
      <c r="G59" s="29">
        <f>SUM(G50:G58)</f>
        <v>0</v>
      </c>
      <c r="H59" s="3"/>
      <c r="I59" s="3">
        <f>SUM(I50:I58)</f>
        <v>0</v>
      </c>
      <c r="J59" s="3"/>
      <c r="K59" s="3">
        <f>SUM(K50:K58)</f>
        <v>9</v>
      </c>
      <c r="L59" s="3"/>
      <c r="M59" s="3">
        <f>SUM(M50:M58)</f>
        <v>0</v>
      </c>
      <c r="N59" s="3"/>
      <c r="O59" s="3">
        <f>SUM(O50:O58)</f>
        <v>0</v>
      </c>
      <c r="P59" s="3"/>
      <c r="Q59" s="3">
        <f>SUM(Q50:Q58)</f>
        <v>0</v>
      </c>
      <c r="R59" s="3"/>
      <c r="S59" s="3">
        <f>SUM(S50:S58)</f>
        <v>0</v>
      </c>
      <c r="T59" s="3"/>
      <c r="U59" s="3">
        <f>SUM(U50:U58)</f>
        <v>0</v>
      </c>
      <c r="V59" s="3"/>
      <c r="W59" s="3">
        <f>SUM(W50:W58)</f>
        <v>9</v>
      </c>
      <c r="X59" s="3"/>
      <c r="Y59" s="3">
        <f>SUM(Y50:Y58)</f>
        <v>0</v>
      </c>
      <c r="Z59" s="3"/>
      <c r="AA59" s="3">
        <f>SUM(AA50:AA58)</f>
        <v>0</v>
      </c>
      <c r="AB59" s="3"/>
      <c r="AC59" s="3">
        <f>SUM(AC50:AC58)</f>
        <v>0</v>
      </c>
      <c r="AD59" s="3"/>
      <c r="AE59" s="3">
        <f t="shared" ref="AE59:AG59" si="1319">AVERAGE(AE50:AE58)</f>
        <v>-3</v>
      </c>
      <c r="AF59" s="26">
        <f t="shared" si="1319"/>
        <v>-4</v>
      </c>
      <c r="AG59" s="26">
        <f t="shared" si="1319"/>
        <v>-5</v>
      </c>
      <c r="AH59" s="26">
        <f>SUM(AH50:AH58)</f>
        <v>-9.9999999999999982</v>
      </c>
      <c r="AI59" s="23"/>
      <c r="AJ59" s="29">
        <f>SUM(AJ50:AJ58)</f>
        <v>42</v>
      </c>
      <c r="AK59" s="3"/>
      <c r="AL59" s="3">
        <f>SUM(AL50:AL58)</f>
        <v>16</v>
      </c>
      <c r="AM59" s="3"/>
      <c r="AN59" s="3">
        <f>SUM(AN50:AN58)</f>
        <v>4</v>
      </c>
      <c r="AO59" s="3"/>
      <c r="AP59" s="3">
        <f>SUM(AP50:AP58)</f>
        <v>2</v>
      </c>
      <c r="AQ59" s="3"/>
      <c r="AR59" s="3">
        <f>SUM(AR50:AR58)</f>
        <v>1</v>
      </c>
      <c r="AS59" s="3"/>
      <c r="AT59" s="3">
        <f>SUM(AT50:AT58)</f>
        <v>4</v>
      </c>
      <c r="AU59" s="3"/>
      <c r="AV59" s="3">
        <f>SUM(AV50:AV58)</f>
        <v>2</v>
      </c>
      <c r="AW59" s="3"/>
      <c r="AX59" s="3">
        <f>SUM(AX50:AX58)</f>
        <v>2</v>
      </c>
      <c r="AY59" s="3"/>
      <c r="AZ59" s="3">
        <f>SUM(AZ50:AZ58)</f>
        <v>0</v>
      </c>
      <c r="BA59" s="3"/>
      <c r="BB59" s="3">
        <f>SUM(BB50:BB58)</f>
        <v>4</v>
      </c>
      <c r="BC59" s="3"/>
      <c r="BD59" s="3">
        <f>SUM(BD50:BD58)</f>
        <v>3</v>
      </c>
      <c r="BE59" s="3"/>
      <c r="BF59" s="3">
        <f>SUM(BF50:BF58)</f>
        <v>2</v>
      </c>
      <c r="BG59" s="3"/>
      <c r="BH59" s="3">
        <f t="shared" ref="BH59:BJ59" si="1320">AVERAGE(BH50:BH58)</f>
        <v>-1</v>
      </c>
      <c r="BI59" s="26">
        <f t="shared" si="1320"/>
        <v>0.83333333333333337</v>
      </c>
      <c r="BJ59" s="26">
        <f t="shared" si="1320"/>
        <v>0.5</v>
      </c>
      <c r="BK59" s="26">
        <f>SUM(BK50:BK58)</f>
        <v>36</v>
      </c>
      <c r="BL59" s="23"/>
      <c r="BM59" s="29">
        <f>SUM(BM50:BM58)</f>
        <v>51</v>
      </c>
      <c r="BN59" s="3"/>
      <c r="BO59" s="3">
        <f>SUM(BO50:BO58)</f>
        <v>21</v>
      </c>
      <c r="BP59" s="3"/>
      <c r="BQ59" s="3">
        <f>SUM(BQ50:BQ58)</f>
        <v>2</v>
      </c>
      <c r="BR59" s="3"/>
      <c r="BS59" s="3">
        <f>SUM(BS50:BS58)</f>
        <v>0</v>
      </c>
      <c r="BT59" s="3"/>
      <c r="BU59" s="3">
        <f>SUM(BU50:BU58)</f>
        <v>0</v>
      </c>
      <c r="BV59" s="3"/>
      <c r="BW59" s="3">
        <f>SUM(BW50:BW58)</f>
        <v>1</v>
      </c>
      <c r="BX59" s="3"/>
      <c r="BY59" s="3">
        <f>SUM(BY50:BY58)</f>
        <v>4</v>
      </c>
      <c r="BZ59" s="3"/>
      <c r="CA59" s="3">
        <f>SUM(CA50:CA58)</f>
        <v>4</v>
      </c>
      <c r="CB59" s="3"/>
      <c r="CC59" s="3">
        <f>SUM(CC50:CC58)</f>
        <v>0</v>
      </c>
      <c r="CD59" s="3"/>
      <c r="CE59" s="3">
        <f>SUM(CE50:CE58)</f>
        <v>1</v>
      </c>
      <c r="CF59" s="3"/>
      <c r="CG59" s="3">
        <f>SUM(CG50:CG58)</f>
        <v>4</v>
      </c>
      <c r="CH59" s="3"/>
      <c r="CI59" s="3">
        <f>SUM(CI50:CI58)</f>
        <v>4</v>
      </c>
      <c r="CJ59" s="3"/>
      <c r="CK59" s="3">
        <f t="shared" ref="CK59:CM59" si="1321">AVERAGE(CK50:CK58)</f>
        <v>3</v>
      </c>
      <c r="CL59" s="26">
        <f t="shared" si="1321"/>
        <v>1.3333333333333333</v>
      </c>
      <c r="CM59" s="26">
        <f t="shared" si="1321"/>
        <v>1.5</v>
      </c>
      <c r="CN59" s="26">
        <f>SUM(CN50:CN58)</f>
        <v>39</v>
      </c>
      <c r="CO59" s="23"/>
      <c r="CP59" s="29">
        <f>SUM(CP50:CP58)</f>
        <v>48</v>
      </c>
      <c r="CQ59" s="3"/>
      <c r="CR59" s="3">
        <f>SUM(CR50:CR58)</f>
        <v>19</v>
      </c>
      <c r="CS59" s="3"/>
      <c r="CT59" s="3">
        <f>SUM(CT50:CT58)</f>
        <v>2</v>
      </c>
      <c r="CU59" s="3"/>
      <c r="CV59" s="3">
        <f>SUM(CV50:CV58)</f>
        <v>0</v>
      </c>
      <c r="CW59" s="3"/>
      <c r="CX59" s="3">
        <f>SUM(CX50:CX58)</f>
        <v>0</v>
      </c>
      <c r="CY59" s="3"/>
      <c r="CZ59" s="3">
        <f>SUM(CZ50:CZ58)</f>
        <v>1</v>
      </c>
      <c r="DA59" s="3"/>
      <c r="DB59" s="3">
        <f>SUM(DB50:DB58)</f>
        <v>5</v>
      </c>
      <c r="DC59" s="3"/>
      <c r="DD59" s="3">
        <f>SUM(DD50:DD58)</f>
        <v>3</v>
      </c>
      <c r="DE59" s="3"/>
      <c r="DF59" s="3">
        <f>SUM(DF50:DF58)</f>
        <v>0</v>
      </c>
      <c r="DG59" s="3"/>
      <c r="DH59" s="3">
        <f>SUM(DH50:DH58)</f>
        <v>1</v>
      </c>
      <c r="DI59" s="3"/>
      <c r="DJ59" s="3">
        <f>SUM(DJ50:DJ58)</f>
        <v>6</v>
      </c>
      <c r="DK59" s="3"/>
      <c r="DL59" s="3">
        <f>SUM(DL50:DL58)</f>
        <v>2</v>
      </c>
      <c r="DM59" s="3"/>
      <c r="DN59" s="3">
        <f t="shared" ref="DN59:DP59" si="1322">AVERAGE(DN50:DN58)</f>
        <v>2</v>
      </c>
      <c r="DO59" s="26">
        <f t="shared" si="1322"/>
        <v>1.3333333333333333</v>
      </c>
      <c r="DP59" s="26">
        <f t="shared" si="1322"/>
        <v>0.5</v>
      </c>
      <c r="DQ59" s="26">
        <f>SUM(DQ50:DQ58)</f>
        <v>36.5</v>
      </c>
      <c r="DR59" s="30"/>
      <c r="DS59" s="29">
        <f>SUM(DS50:DS58)</f>
        <v>72</v>
      </c>
      <c r="DT59" s="3"/>
      <c r="DU59" s="3">
        <f>SUM(DU50:DU58)</f>
        <v>22</v>
      </c>
      <c r="DV59" s="3"/>
      <c r="DW59" s="3">
        <f>SUM(DW50:DW58)</f>
        <v>0</v>
      </c>
      <c r="DX59" s="3"/>
      <c r="DY59" s="3">
        <f>SUM(DY50:DY58)</f>
        <v>0</v>
      </c>
      <c r="DZ59" s="3"/>
      <c r="EA59" s="3">
        <f>SUM(EA50:EA58)</f>
        <v>0</v>
      </c>
      <c r="EB59" s="3"/>
      <c r="EC59" s="3">
        <f>SUM(EC50:EC58)</f>
        <v>0</v>
      </c>
      <c r="ED59" s="3"/>
      <c r="EE59" s="3">
        <f>SUM(EE50:EE58)</f>
        <v>0</v>
      </c>
      <c r="EF59" s="3"/>
      <c r="EG59" s="3">
        <f>SUM(EG50:EG58)</f>
        <v>9</v>
      </c>
      <c r="EH59" s="3"/>
      <c r="EI59" s="3">
        <f>SUM(EI50:EI58)</f>
        <v>0</v>
      </c>
      <c r="EJ59" s="3"/>
      <c r="EK59" s="3">
        <f>SUM(EK50:EK58)</f>
        <v>0</v>
      </c>
      <c r="EL59" s="3"/>
      <c r="EM59" s="3">
        <f>SUM(EM50:EM58)</f>
        <v>5</v>
      </c>
      <c r="EN59" s="3"/>
      <c r="EO59" s="3">
        <f>SUM(EO50:EO58)</f>
        <v>4</v>
      </c>
      <c r="EP59" s="3"/>
      <c r="EQ59" s="3">
        <f t="shared" ref="EQ59:ES59" si="1323">AVERAGE(EQ50:EQ58)</f>
        <v>3</v>
      </c>
      <c r="ER59" s="26">
        <f t="shared" si="1323"/>
        <v>3.8333333333333335</v>
      </c>
      <c r="ES59" s="26">
        <f t="shared" si="1323"/>
        <v>4.5</v>
      </c>
      <c r="ET59" s="26">
        <f>SUM(ET50:ET58)</f>
        <v>45</v>
      </c>
      <c r="EU59" s="30"/>
      <c r="EV59" s="29">
        <f>SUM(EV50:EV58)</f>
        <v>53</v>
      </c>
      <c r="EW59" s="3"/>
      <c r="EX59" s="3">
        <f>SUM(EX50:EX58)</f>
        <v>16</v>
      </c>
      <c r="EY59" s="3"/>
      <c r="EZ59" s="3">
        <f>SUM(EZ50:EZ58)</f>
        <v>0</v>
      </c>
      <c r="FA59" s="3"/>
      <c r="FB59" s="3">
        <f>SUM(FB50:FB58)</f>
        <v>0</v>
      </c>
      <c r="FC59" s="3"/>
      <c r="FD59" s="3">
        <f>SUM(FD50:FD58)</f>
        <v>0</v>
      </c>
      <c r="FE59" s="3"/>
      <c r="FF59" s="3">
        <f>SUM(FF50:FF58)</f>
        <v>0</v>
      </c>
      <c r="FG59" s="3"/>
      <c r="FH59" s="3">
        <f>SUM(FH50:FH58)</f>
        <v>5</v>
      </c>
      <c r="FI59" s="3"/>
      <c r="FJ59" s="3">
        <f>SUM(FJ50:FJ58)</f>
        <v>4</v>
      </c>
      <c r="FK59" s="3"/>
      <c r="FL59" s="3">
        <f>SUM(FL50:FL58)</f>
        <v>0</v>
      </c>
      <c r="FM59" s="3"/>
      <c r="FN59" s="3">
        <f>SUM(FN50:FN58)</f>
        <v>3</v>
      </c>
      <c r="FO59" s="3"/>
      <c r="FP59" s="3">
        <f>SUM(FP50:FP58)</f>
        <v>5</v>
      </c>
      <c r="FQ59" s="3"/>
      <c r="FR59" s="3">
        <f>SUM(FR50:FR58)</f>
        <v>1</v>
      </c>
      <c r="FS59" s="3"/>
      <c r="FT59" s="3">
        <f t="shared" ref="FT59:FV59" si="1324">AVERAGE(FT50:FT58)</f>
        <v>2</v>
      </c>
      <c r="FU59" s="26">
        <f t="shared" si="1324"/>
        <v>1.8333333333333333</v>
      </c>
      <c r="FV59" s="26">
        <f t="shared" si="1324"/>
        <v>1.5</v>
      </c>
      <c r="FW59" s="26">
        <f>SUM(FW50:FW58)</f>
        <v>39.5</v>
      </c>
      <c r="FX59" s="30"/>
      <c r="FY59" s="29">
        <f>SUM(FY50:FY58)</f>
        <v>63</v>
      </c>
      <c r="FZ59" s="3"/>
      <c r="GA59" s="3">
        <f>SUM(GA50:GA58)</f>
        <v>23</v>
      </c>
      <c r="GB59" s="3"/>
      <c r="GC59" s="3">
        <f>SUM(GC50:GC58)</f>
        <v>0</v>
      </c>
      <c r="GD59" s="3"/>
      <c r="GE59" s="3">
        <f>SUM(GE50:GE58)</f>
        <v>0</v>
      </c>
      <c r="GF59" s="3"/>
      <c r="GG59" s="3">
        <f>SUM(GG50:GG58)</f>
        <v>0</v>
      </c>
      <c r="GH59" s="3"/>
      <c r="GI59" s="3">
        <f>SUM(GI50:GI58)</f>
        <v>0</v>
      </c>
      <c r="GJ59" s="3"/>
      <c r="GK59" s="3">
        <f>SUM(GK50:GK58)</f>
        <v>0</v>
      </c>
      <c r="GL59" s="3"/>
      <c r="GM59" s="3">
        <f>SUM(GM50:GM58)</f>
        <v>9</v>
      </c>
      <c r="GN59" s="3"/>
      <c r="GO59" s="3">
        <f>SUM(GO50:GO58)</f>
        <v>0</v>
      </c>
      <c r="GP59" s="3"/>
      <c r="GQ59" s="3">
        <f>SUM(GQ50:GQ58)</f>
        <v>0</v>
      </c>
      <c r="GR59" s="3"/>
      <c r="GS59" s="3">
        <f>SUM(GS50:GS58)</f>
        <v>4</v>
      </c>
      <c r="GT59" s="3"/>
      <c r="GU59" s="3">
        <f>SUM(GU50:GU58)</f>
        <v>5</v>
      </c>
      <c r="GV59" s="3"/>
      <c r="GW59" s="3">
        <f t="shared" ref="GW59:GY59" si="1325">AVERAGE(GW50:GW58)</f>
        <v>2</v>
      </c>
      <c r="GX59" s="26">
        <f t="shared" si="1325"/>
        <v>2.8333333333333335</v>
      </c>
      <c r="GY59" s="26">
        <f t="shared" si="1325"/>
        <v>3.5</v>
      </c>
      <c r="GZ59" s="26">
        <f>SUM(GZ50:GZ58)</f>
        <v>36</v>
      </c>
      <c r="HA59" s="30"/>
      <c r="HB59" s="29">
        <f>SUM(HB50:HB58)</f>
        <v>48</v>
      </c>
      <c r="HC59" s="3"/>
      <c r="HD59" s="3">
        <f>SUM(HD50:HD58)</f>
        <v>21</v>
      </c>
      <c r="HE59" s="3"/>
      <c r="HF59" s="3">
        <f>SUM(HF50:HF58)</f>
        <v>5</v>
      </c>
      <c r="HG59" s="3"/>
      <c r="HH59" s="3">
        <f>SUM(HH50:HH58)</f>
        <v>0</v>
      </c>
      <c r="HI59" s="3"/>
      <c r="HJ59" s="3">
        <f>SUM(HJ50:HJ58)</f>
        <v>0</v>
      </c>
      <c r="HK59" s="3"/>
      <c r="HL59" s="3">
        <f>SUM(HL50:HL58)</f>
        <v>2</v>
      </c>
      <c r="HM59" s="3"/>
      <c r="HN59" s="3">
        <f>SUM(HN50:HN58)</f>
        <v>4</v>
      </c>
      <c r="HO59" s="3"/>
      <c r="HP59" s="3">
        <f>SUM(HP50:HP58)</f>
        <v>3</v>
      </c>
      <c r="HQ59" s="3"/>
      <c r="HR59" s="3">
        <f>SUM(HR50:HR58)</f>
        <v>0</v>
      </c>
      <c r="HS59" s="3"/>
      <c r="HT59" s="3">
        <f>SUM(HT50:HT58)</f>
        <v>1</v>
      </c>
      <c r="HU59" s="3"/>
      <c r="HV59" s="3">
        <f>SUM(HV50:HV58)</f>
        <v>4</v>
      </c>
      <c r="HW59" s="3"/>
      <c r="HX59" s="3">
        <f>SUM(HX50:HX58)</f>
        <v>4</v>
      </c>
      <c r="HY59" s="3"/>
      <c r="HZ59" s="3">
        <f t="shared" ref="HZ59:IB59" si="1326">AVERAGE(HZ50:HZ58)</f>
        <v>2</v>
      </c>
      <c r="IA59" s="26">
        <f t="shared" si="1326"/>
        <v>1.1666666666666667</v>
      </c>
      <c r="IB59" s="26">
        <f t="shared" si="1326"/>
        <v>1</v>
      </c>
      <c r="IC59" s="26">
        <f>SUM(IC50:IC58)</f>
        <v>39</v>
      </c>
      <c r="ID59" s="30"/>
      <c r="IE59" s="29">
        <f>SUM(IE50:IE58)</f>
        <v>69</v>
      </c>
      <c r="IF59" s="3"/>
      <c r="IG59" s="3">
        <f>SUM(IG50:IG58)</f>
        <v>25</v>
      </c>
      <c r="IH59" s="3"/>
      <c r="II59" s="3">
        <f>SUM(II50:II58)</f>
        <v>1</v>
      </c>
      <c r="IJ59" s="3"/>
      <c r="IK59" s="3">
        <f>SUM(IK50:IK58)</f>
        <v>0</v>
      </c>
      <c r="IL59" s="3"/>
      <c r="IM59" s="3">
        <f>SUM(IM50:IM58)</f>
        <v>0</v>
      </c>
      <c r="IN59" s="3"/>
      <c r="IO59" s="3">
        <f>SUM(IO50:IO58)</f>
        <v>0</v>
      </c>
      <c r="IP59" s="3"/>
      <c r="IQ59" s="3">
        <f>SUM(IQ50:IQ58)</f>
        <v>1</v>
      </c>
      <c r="IR59" s="3"/>
      <c r="IS59" s="3">
        <f>SUM(IS50:IS58)</f>
        <v>8</v>
      </c>
      <c r="IT59" s="3"/>
      <c r="IU59" s="3">
        <f>SUM(IU50:IU58)</f>
        <v>0</v>
      </c>
      <c r="IV59" s="3"/>
      <c r="IW59" s="3">
        <f>SUM(IW50:IW58)</f>
        <v>0</v>
      </c>
      <c r="IX59" s="3"/>
      <c r="IY59" s="3">
        <f>SUM(IY50:IY58)</f>
        <v>3</v>
      </c>
      <c r="IZ59" s="3"/>
      <c r="JA59" s="3">
        <f>SUM(JA50:JA58)</f>
        <v>6</v>
      </c>
      <c r="JB59" s="3"/>
      <c r="JC59" s="3">
        <f t="shared" ref="JC59:JE59" si="1327">AVERAGE(JC50:JC58)</f>
        <v>2</v>
      </c>
      <c r="JD59" s="26">
        <f t="shared" si="1327"/>
        <v>3.8333333333333335</v>
      </c>
      <c r="JE59" s="26">
        <f t="shared" si="1327"/>
        <v>3.5</v>
      </c>
      <c r="JF59" s="26">
        <f>SUM(JF50:JF58)</f>
        <v>42</v>
      </c>
      <c r="JG59" s="30"/>
      <c r="JH59" s="29">
        <f>SUM(JH50:JH58)</f>
        <v>46</v>
      </c>
      <c r="JI59" s="3"/>
      <c r="JJ59" s="3">
        <f>SUM(JJ50:JJ58)</f>
        <v>17</v>
      </c>
      <c r="JK59" s="3"/>
      <c r="JL59" s="3">
        <f>SUM(JL50:JL58)</f>
        <v>4</v>
      </c>
      <c r="JM59" s="3"/>
      <c r="JN59" s="3">
        <f>SUM(JN50:JN58)</f>
        <v>1</v>
      </c>
      <c r="JO59" s="3"/>
      <c r="JP59" s="3">
        <f>SUM(JP50:JP58)</f>
        <v>0</v>
      </c>
      <c r="JQ59" s="3"/>
      <c r="JR59" s="3">
        <f>SUM(JR50:JR58)</f>
        <v>5</v>
      </c>
      <c r="JS59" s="3"/>
      <c r="JT59" s="3">
        <f>SUM(JT50:JT58)</f>
        <v>0</v>
      </c>
      <c r="JU59" s="3"/>
      <c r="JV59" s="3">
        <f>SUM(JV50:JV58)</f>
        <v>4</v>
      </c>
      <c r="JW59" s="3"/>
      <c r="JX59" s="3">
        <f>SUM(JX50:JX58)</f>
        <v>0</v>
      </c>
      <c r="JY59" s="3"/>
      <c r="JZ59" s="3">
        <f>SUM(JZ50:JZ58)</f>
        <v>1</v>
      </c>
      <c r="KA59" s="3"/>
      <c r="KB59" s="3">
        <f>SUM(KB50:KB58)</f>
        <v>8</v>
      </c>
      <c r="KC59" s="3"/>
      <c r="KD59" s="3">
        <f>SUM(KD50:KD58)</f>
        <v>0</v>
      </c>
      <c r="KE59" s="3"/>
      <c r="KF59" s="3">
        <f t="shared" ref="KF59:KH59" si="1328">AVERAGE(KF50:KF58)</f>
        <v>0</v>
      </c>
      <c r="KG59" s="26">
        <f t="shared" si="1328"/>
        <v>1.1666666666666667</v>
      </c>
      <c r="KH59" s="26">
        <f t="shared" si="1328"/>
        <v>1</v>
      </c>
      <c r="KI59" s="26">
        <f>SUM(KI50:KI58)</f>
        <v>39</v>
      </c>
      <c r="KJ59" s="30"/>
      <c r="KK59" s="10"/>
      <c r="KL59" s="10"/>
      <c r="KM59" s="10"/>
      <c r="KN59" s="10"/>
      <c r="KO59" s="10"/>
      <c r="KP59" s="10"/>
      <c r="KQ59" s="10"/>
      <c r="KR59" s="10"/>
      <c r="KS59" s="10"/>
      <c r="KT59" s="10"/>
      <c r="KU59" s="10"/>
      <c r="KV59" s="10"/>
      <c r="KW59" s="10"/>
      <c r="KX59" s="10"/>
      <c r="KY59" s="10"/>
      <c r="KZ59" s="10"/>
      <c r="LA59" s="10"/>
      <c r="LB59" s="10"/>
      <c r="LC59" s="10"/>
      <c r="LD59" s="10"/>
    </row>
    <row r="60" spans="1:316" ht="15.75" customHeight="1" x14ac:dyDescent="0.25">
      <c r="A60" s="106"/>
      <c r="B60" s="102" t="s">
        <v>48</v>
      </c>
      <c r="C60" s="11">
        <v>10</v>
      </c>
      <c r="D60" s="6">
        <f>D58+1</f>
        <v>46</v>
      </c>
      <c r="E60" s="11">
        <v>3</v>
      </c>
      <c r="F60" s="12">
        <f>E60+F58</f>
        <v>184</v>
      </c>
      <c r="G60" s="13"/>
      <c r="H60" s="11"/>
      <c r="I60" s="14"/>
      <c r="J60" s="11">
        <f>I60+J58</f>
        <v>71</v>
      </c>
      <c r="K60" s="11">
        <f t="shared" ref="K60:K68" si="1329">IF(G60-I60&lt;=$E60-2,1,0)</f>
        <v>1</v>
      </c>
      <c r="L60" s="11">
        <f>K60+L58</f>
        <v>25</v>
      </c>
      <c r="M60" s="11">
        <f t="shared" ref="M60:M68" si="1330">IF(K60=0,IF(G60=$E60,1,0),0)</f>
        <v>0</v>
      </c>
      <c r="N60" s="11">
        <f>M60+N58</f>
        <v>3</v>
      </c>
      <c r="O60" s="11">
        <f t="shared" ref="O60:O68" si="1331">IF($E60-G60=1,1,0)</f>
        <v>0</v>
      </c>
      <c r="P60" s="11">
        <f>O60+P58</f>
        <v>1</v>
      </c>
      <c r="Q60" s="11">
        <f t="shared" ref="Q60:Q68" si="1332">IF(G60=$E60,1,0)</f>
        <v>0</v>
      </c>
      <c r="R60" s="11">
        <f>Q60+R58</f>
        <v>0</v>
      </c>
      <c r="S60" s="11">
        <f t="shared" ref="S60:S68" si="1333">IF(G60-$E60=1,1,0)</f>
        <v>0</v>
      </c>
      <c r="T60" s="11">
        <f>S60+T58</f>
        <v>0</v>
      </c>
      <c r="U60" s="11">
        <f t="shared" ref="U60:U68" si="1334">IF(G60-$E60&gt;=2,1,0)</f>
        <v>0</v>
      </c>
      <c r="V60" s="11">
        <f>U60+V58</f>
        <v>0</v>
      </c>
      <c r="W60" s="11">
        <f t="shared" ref="W60:W68" si="1335">IF(I60=0,1,0)</f>
        <v>1</v>
      </c>
      <c r="X60" s="11">
        <f>W60+X58</f>
        <v>10</v>
      </c>
      <c r="Y60" s="11">
        <f t="shared" ref="Y60:Y68" si="1336">IF(I60=1,1,0)</f>
        <v>0</v>
      </c>
      <c r="Z60" s="11">
        <f>Y60+Z58</f>
        <v>7</v>
      </c>
      <c r="AA60" s="11">
        <f t="shared" ref="AA60:AA68" si="1337">IF(I60=2,1,0)</f>
        <v>0</v>
      </c>
      <c r="AB60" s="11">
        <f>AA60+AB58</f>
        <v>0</v>
      </c>
      <c r="AC60" s="11">
        <f t="shared" ref="AC60:AC68" si="1338">IF(I60&gt;=3,1,0)</f>
        <v>0</v>
      </c>
      <c r="AD60" s="11">
        <f>AC60+AD58</f>
        <v>5</v>
      </c>
      <c r="AE60" s="11">
        <f>IF($E60=3,G60-3,NA())</f>
        <v>-3</v>
      </c>
      <c r="AF60" s="11"/>
      <c r="AG60" s="11"/>
      <c r="AH60" s="15">
        <f>G60-'Zusammenfassung Tag1-4'!$B$2/18</f>
        <v>-1.1111111111111112</v>
      </c>
      <c r="AI60" s="16">
        <f>AH60+AI58</f>
        <v>125.88888888888877</v>
      </c>
      <c r="AJ60" s="13">
        <v>6</v>
      </c>
      <c r="AK60" s="11">
        <f>AJ60+AK58</f>
        <v>211</v>
      </c>
      <c r="AL60" s="14">
        <v>1</v>
      </c>
      <c r="AM60" s="11">
        <f>AL60+AM58</f>
        <v>83</v>
      </c>
      <c r="AN60" s="11">
        <f t="shared" ref="AN60:AN68" si="1339">IF(AJ60-AL60&lt;=$E60-2,1,0)</f>
        <v>0</v>
      </c>
      <c r="AO60" s="11">
        <f>AN60+AO58</f>
        <v>24</v>
      </c>
      <c r="AP60" s="11">
        <f t="shared" ref="AP60:AP68" si="1340">IF(AN60=0,IF(AJ60=$E60,1,0),0)</f>
        <v>0</v>
      </c>
      <c r="AQ60" s="11">
        <f>AP60+AQ58</f>
        <v>7</v>
      </c>
      <c r="AR60" s="11">
        <f t="shared" ref="AR60:AR68" si="1341">IF($E60-AJ60=1,1,0)</f>
        <v>0</v>
      </c>
      <c r="AS60" s="11">
        <f>AR60+AS58</f>
        <v>4</v>
      </c>
      <c r="AT60" s="11">
        <f t="shared" ref="AT60:AT68" si="1342">IF(AJ60=$E60,1,0)</f>
        <v>0</v>
      </c>
      <c r="AU60" s="11">
        <f>AT60+AU58</f>
        <v>4</v>
      </c>
      <c r="AV60" s="11">
        <f t="shared" ref="AV60:AV68" si="1343">IF(AJ60-$E60=1,1,0)</f>
        <v>0</v>
      </c>
      <c r="AW60" s="11">
        <f>AV60+AW58</f>
        <v>2</v>
      </c>
      <c r="AX60" s="11">
        <f t="shared" ref="AX60:AX68" si="1344">IF(AJ60-$E60&gt;=2,1,0)</f>
        <v>1</v>
      </c>
      <c r="AY60" s="11">
        <f>AX60+AY58</f>
        <v>3</v>
      </c>
      <c r="AZ60" s="11">
        <f t="shared" ref="AZ60:AZ68" si="1345">IF(AL60=0,1,0)</f>
        <v>0</v>
      </c>
      <c r="BA60" s="11">
        <f>AZ60+BA58</f>
        <v>0</v>
      </c>
      <c r="BB60" s="11">
        <f t="shared" ref="BB60:BB68" si="1346">IF(AL60=1,1,0)</f>
        <v>1</v>
      </c>
      <c r="BC60" s="11">
        <f>BB60+BC58</f>
        <v>15</v>
      </c>
      <c r="BD60" s="11">
        <f t="shared" ref="BD60:BD68" si="1347">IF(AL60=2,1,0)</f>
        <v>0</v>
      </c>
      <c r="BE60" s="11">
        <f>BD60+BE58</f>
        <v>3</v>
      </c>
      <c r="BF60" s="11">
        <f t="shared" ref="BF60:BF68" si="1348">IF(AL60&gt;=3,1,0)</f>
        <v>0</v>
      </c>
      <c r="BG60" s="11">
        <f>BF60+BG58</f>
        <v>6</v>
      </c>
      <c r="BH60" s="11">
        <f>IF($E60=3,AJ60-3,NA())</f>
        <v>3</v>
      </c>
      <c r="BI60" s="11"/>
      <c r="BJ60" s="11"/>
      <c r="BK60" s="15">
        <f>AJ60-'Zusammenfassung Tag1-4'!$C$2/18</f>
        <v>5.333333333333333</v>
      </c>
      <c r="BL60" s="16">
        <f>BK60+BL58</f>
        <v>180.3333333333334</v>
      </c>
      <c r="BM60" s="13">
        <v>3</v>
      </c>
      <c r="BN60" s="11">
        <f>BM60+BN58</f>
        <v>254</v>
      </c>
      <c r="BO60" s="14">
        <v>1</v>
      </c>
      <c r="BP60" s="11">
        <f>BO60+BP58</f>
        <v>95</v>
      </c>
      <c r="BQ60" s="11">
        <f t="shared" ref="BQ60:BQ68" si="1349">IF(BM60-BO60&lt;=$E60-2,1,0)</f>
        <v>0</v>
      </c>
      <c r="BR60" s="11">
        <f>BQ60+BR58</f>
        <v>8</v>
      </c>
      <c r="BS60" s="11">
        <f t="shared" ref="BS60:BS68" si="1350">IF(BQ60=0,IF(BM60=$E60,1,0),0)</f>
        <v>1</v>
      </c>
      <c r="BT60" s="11">
        <f>BS60+BT58</f>
        <v>4</v>
      </c>
      <c r="BU60" s="11">
        <f t="shared" ref="BU60:BU68" si="1351">IF($E60-BM60=1,1,0)</f>
        <v>0</v>
      </c>
      <c r="BV60" s="11">
        <f>BU60+BV58</f>
        <v>0</v>
      </c>
      <c r="BW60" s="11">
        <f t="shared" ref="BW60:BW68" si="1352">IF(BM60=$E60,1,0)</f>
        <v>1</v>
      </c>
      <c r="BX60" s="11">
        <f>BW60+BX58</f>
        <v>2</v>
      </c>
      <c r="BY60" s="11">
        <f t="shared" ref="BY60:BY68" si="1353">IF(BM60-$E60=1,1,0)</f>
        <v>0</v>
      </c>
      <c r="BZ60" s="11">
        <f>BY60+BZ58</f>
        <v>4</v>
      </c>
      <c r="CA60" s="11">
        <f t="shared" ref="CA60:CA68" si="1354">IF(BM60-$E60&gt;=2,1,0)</f>
        <v>0</v>
      </c>
      <c r="CB60" s="11">
        <f>CA60+CB58</f>
        <v>4</v>
      </c>
      <c r="CC60" s="11">
        <f t="shared" ref="CC60:CC68" si="1355">IF(BO60=0,1,0)</f>
        <v>0</v>
      </c>
      <c r="CD60" s="11">
        <f>CC60+CD58</f>
        <v>0</v>
      </c>
      <c r="CE60" s="11">
        <f t="shared" ref="CE60:CE68" si="1356">IF(BO60=1,1,0)</f>
        <v>1</v>
      </c>
      <c r="CF60" s="11">
        <f>CE60+CF58</f>
        <v>8</v>
      </c>
      <c r="CG60" s="11">
        <f t="shared" ref="CG60:CG68" si="1357">IF(BO60=2,1,0)</f>
        <v>0</v>
      </c>
      <c r="CH60" s="11">
        <f>CG60+CH58</f>
        <v>4</v>
      </c>
      <c r="CI60" s="11">
        <f t="shared" ref="CI60:CI68" si="1358">IF(BO60&gt;=3,1,0)</f>
        <v>0</v>
      </c>
      <c r="CJ60" s="11">
        <f>CI60+CJ58</f>
        <v>11</v>
      </c>
      <c r="CK60" s="11">
        <f>IF($E60=3,BM60-3,NA())</f>
        <v>0</v>
      </c>
      <c r="CL60" s="11"/>
      <c r="CM60" s="11"/>
      <c r="CN60" s="15">
        <f>BM60-'Zusammenfassung Tag1-4'!$D$2/18</f>
        <v>1.6666666666666667</v>
      </c>
      <c r="CO60" s="16">
        <f>CN60+CO58</f>
        <v>192.66666666666657</v>
      </c>
      <c r="CP60" s="13">
        <v>5</v>
      </c>
      <c r="CQ60" s="11">
        <f>CP60+CQ58</f>
        <v>241</v>
      </c>
      <c r="CR60" s="14">
        <v>3</v>
      </c>
      <c r="CS60" s="11">
        <f>CR60+CS58</f>
        <v>95</v>
      </c>
      <c r="CT60" s="11">
        <f t="shared" ref="CT60:CT68" si="1359">IF(CP60-CR60&lt;=$E60-2,1,0)</f>
        <v>0</v>
      </c>
      <c r="CU60" s="11">
        <f>CT60+CU58</f>
        <v>10</v>
      </c>
      <c r="CV60" s="11">
        <f t="shared" ref="CV60:CV68" si="1360">IF(CT60=0,IF(CP60=$E60,1,0),0)</f>
        <v>0</v>
      </c>
      <c r="CW60" s="11">
        <f>CV60+CW58</f>
        <v>3</v>
      </c>
      <c r="CX60" s="11">
        <f t="shared" ref="CX60:CX68" si="1361">IF($E60-CP60=1,1,0)</f>
        <v>0</v>
      </c>
      <c r="CY60" s="11">
        <f>CX60+CY58</f>
        <v>0</v>
      </c>
      <c r="CZ60" s="11">
        <f t="shared" ref="CZ60:CZ68" si="1362">IF(CP60=$E60,1,0)</f>
        <v>0</v>
      </c>
      <c r="DA60" s="11">
        <f>CZ60+DA58</f>
        <v>1</v>
      </c>
      <c r="DB60" s="11">
        <f t="shared" ref="DB60:DB68" si="1363">IF(CP60-$E60=1,1,0)</f>
        <v>0</v>
      </c>
      <c r="DC60" s="11">
        <f>DB60+DC58</f>
        <v>5</v>
      </c>
      <c r="DD60" s="11">
        <f t="shared" ref="DD60:DD68" si="1364">IF(CP60-$E60&gt;=2,1,0)</f>
        <v>1</v>
      </c>
      <c r="DE60" s="11">
        <f>DD60+DE58</f>
        <v>4</v>
      </c>
      <c r="DF60" s="11">
        <f t="shared" ref="DF60:DF68" si="1365">IF(CR60=0,1,0)</f>
        <v>0</v>
      </c>
      <c r="DG60" s="11">
        <f>DF60+DG58</f>
        <v>0</v>
      </c>
      <c r="DH60" s="11">
        <f t="shared" ref="DH60:DH68" si="1366">IF(CR60=1,1,0)</f>
        <v>0</v>
      </c>
      <c r="DI60" s="11">
        <f>DH60+DI58</f>
        <v>7</v>
      </c>
      <c r="DJ60" s="11">
        <f t="shared" ref="DJ60:DJ68" si="1367">IF(CR60=2,1,0)</f>
        <v>0</v>
      </c>
      <c r="DK60" s="11">
        <f>DJ60+DK58</f>
        <v>6</v>
      </c>
      <c r="DL60" s="11">
        <f t="shared" ref="DL60:DL68" si="1368">IF(CR60&gt;=3,1,0)</f>
        <v>1</v>
      </c>
      <c r="DM60" s="11">
        <f>DL60+DM58</f>
        <v>10</v>
      </c>
      <c r="DN60" s="11">
        <f>IF($E60=3,CP60-3,NA())</f>
        <v>2</v>
      </c>
      <c r="DO60" s="11"/>
      <c r="DP60" s="11"/>
      <c r="DQ60" s="15">
        <f>CP60-'Zusammenfassung Tag1-4'!$E$2/18</f>
        <v>3.7222222222222223</v>
      </c>
      <c r="DR60" s="17">
        <f>DQ60+DR58</f>
        <v>182.2222222222224</v>
      </c>
      <c r="DS60" s="13">
        <v>6</v>
      </c>
      <c r="DT60" s="11">
        <f>DS60+DT58</f>
        <v>355</v>
      </c>
      <c r="DU60" s="14">
        <v>4</v>
      </c>
      <c r="DV60" s="11">
        <f>DU60+DV58</f>
        <v>105</v>
      </c>
      <c r="DW60" s="11">
        <f t="shared" ref="DW60:DW68" si="1369">IF(DS60-DU60&lt;=$E60-2,1,0)</f>
        <v>0</v>
      </c>
      <c r="DX60" s="11">
        <f>DW60+DX58</f>
        <v>1</v>
      </c>
      <c r="DY60" s="11">
        <f t="shared" ref="DY60:DY68" si="1370">IF(DW60=0,IF(DS60=$E60,1,0),0)</f>
        <v>0</v>
      </c>
      <c r="DZ60" s="11">
        <f>DY60+DZ58</f>
        <v>0</v>
      </c>
      <c r="EA60" s="11">
        <f t="shared" ref="EA60:EA68" si="1371">IF($E60-DS60=1,1,0)</f>
        <v>0</v>
      </c>
      <c r="EB60" s="11">
        <f>EA60+EB58</f>
        <v>0</v>
      </c>
      <c r="EC60" s="11">
        <f t="shared" ref="EC60:EC68" si="1372">IF(DS60=$E60,1,0)</f>
        <v>0</v>
      </c>
      <c r="ED60" s="11">
        <f>EC60+ED58</f>
        <v>0</v>
      </c>
      <c r="EE60" s="11">
        <f t="shared" ref="EE60:EE68" si="1373">IF(DS60-$E60=1,1,0)</f>
        <v>0</v>
      </c>
      <c r="EF60" s="11">
        <f>EE60+EF58</f>
        <v>0</v>
      </c>
      <c r="EG60" s="11">
        <f t="shared" ref="EG60:EG68" si="1374">IF(DS60-$E60&gt;=2,1,0)</f>
        <v>1</v>
      </c>
      <c r="EH60" s="11">
        <f>EG60+EH58</f>
        <v>10</v>
      </c>
      <c r="EI60" s="11">
        <f t="shared" ref="EI60:EI68" si="1375">IF(DU60=0,1,0)</f>
        <v>0</v>
      </c>
      <c r="EJ60" s="11">
        <f>EI60+EJ58</f>
        <v>0</v>
      </c>
      <c r="EK60" s="11">
        <f t="shared" ref="EK60:EK68" si="1376">IF(DU60=1,1,0)</f>
        <v>0</v>
      </c>
      <c r="EL60" s="11">
        <f>EK60+EL58</f>
        <v>2</v>
      </c>
      <c r="EM60" s="11">
        <f t="shared" ref="EM60:EM68" si="1377">IF(DU60=2,1,0)</f>
        <v>0</v>
      </c>
      <c r="EN60" s="11">
        <f>EM60+EN58</f>
        <v>5</v>
      </c>
      <c r="EO60" s="11">
        <f t="shared" ref="EO60:EO68" si="1378">IF(DU60&gt;=3,1,0)</f>
        <v>1</v>
      </c>
      <c r="EP60" s="11">
        <f>EO60+EP58</f>
        <v>13</v>
      </c>
      <c r="EQ60" s="11">
        <f>IF($E60=3,DS60-3,NA())</f>
        <v>3</v>
      </c>
      <c r="ER60" s="11"/>
      <c r="ES60" s="11"/>
      <c r="ET60" s="15">
        <f>DS60-'Zusammenfassung Tag1-4'!$F$2/18</f>
        <v>3</v>
      </c>
      <c r="EU60" s="17">
        <f>ET60+EU58</f>
        <v>217</v>
      </c>
      <c r="EV60" s="13">
        <v>4</v>
      </c>
      <c r="EW60" s="11">
        <f>EV60+EW58</f>
        <v>258</v>
      </c>
      <c r="EX60" s="14">
        <v>2</v>
      </c>
      <c r="EY60" s="11">
        <f>EX60+EY58</f>
        <v>95</v>
      </c>
      <c r="EZ60" s="11">
        <f t="shared" ref="EZ60:EZ68" si="1379">IF(EV60-EX60&lt;=$E60-2,1,0)</f>
        <v>0</v>
      </c>
      <c r="FA60" s="11">
        <f>EZ60+FA58</f>
        <v>8</v>
      </c>
      <c r="FB60" s="11">
        <f t="shared" ref="FB60:FB68" si="1380">IF(EZ60=0,IF(EV60=$E60,1,0),0)</f>
        <v>0</v>
      </c>
      <c r="FC60" s="11">
        <f>FB60+FC58</f>
        <v>0</v>
      </c>
      <c r="FD60" s="11">
        <f t="shared" ref="FD60:FD68" si="1381">IF($E60-EV60=1,1,0)</f>
        <v>0</v>
      </c>
      <c r="FE60" s="11">
        <f>FD60+FE58</f>
        <v>0</v>
      </c>
      <c r="FF60" s="11">
        <f t="shared" ref="FF60:FF68" si="1382">IF(EV60=$E60,1,0)</f>
        <v>0</v>
      </c>
      <c r="FG60" s="11">
        <f>FF60+FG58</f>
        <v>0</v>
      </c>
      <c r="FH60" s="11">
        <f t="shared" ref="FH60:FH68" si="1383">IF(EV60-$E60=1,1,0)</f>
        <v>1</v>
      </c>
      <c r="FI60" s="11">
        <f>FH60+FI58</f>
        <v>6</v>
      </c>
      <c r="FJ60" s="11">
        <f t="shared" ref="FJ60:FJ68" si="1384">IF(EV60-$E60&gt;=2,1,0)</f>
        <v>0</v>
      </c>
      <c r="FK60" s="11">
        <f>FJ60+FK58</f>
        <v>4</v>
      </c>
      <c r="FL60" s="11">
        <f t="shared" ref="FL60:FL68" si="1385">IF(EX60=0,1,0)</f>
        <v>0</v>
      </c>
      <c r="FM60" s="11">
        <f>FL60+FM58</f>
        <v>0</v>
      </c>
      <c r="FN60" s="11">
        <f t="shared" ref="FN60:FN68" si="1386">IF(EX60=1,1,0)</f>
        <v>0</v>
      </c>
      <c r="FO60" s="11">
        <f>FN60+FO58</f>
        <v>6</v>
      </c>
      <c r="FP60" s="11">
        <f t="shared" ref="FP60:FP68" si="1387">IF(EX60=2,1,0)</f>
        <v>1</v>
      </c>
      <c r="FQ60" s="11">
        <f>FP60+FQ58</f>
        <v>6</v>
      </c>
      <c r="FR60" s="11">
        <f t="shared" ref="FR60:FR68" si="1388">IF(EX60&gt;=3,1,0)</f>
        <v>0</v>
      </c>
      <c r="FS60" s="11">
        <f>FR60+FS58</f>
        <v>9</v>
      </c>
      <c r="FT60" s="11">
        <f>IF($E60=3,EV60-3,NA())</f>
        <v>1</v>
      </c>
      <c r="FU60" s="11"/>
      <c r="FV60" s="11"/>
      <c r="FW60" s="15">
        <f>EV60-'Zusammenfassung Tag1-4'!$G$2/18</f>
        <v>2.5</v>
      </c>
      <c r="FX60" s="17">
        <f>FW60+FX58</f>
        <v>189</v>
      </c>
      <c r="FY60" s="13">
        <v>5</v>
      </c>
      <c r="FZ60" s="11">
        <f>FY60+FZ58</f>
        <v>331</v>
      </c>
      <c r="GA60" s="14">
        <v>2</v>
      </c>
      <c r="GB60" s="11">
        <f>GA60+GB58</f>
        <v>110</v>
      </c>
      <c r="GC60" s="11">
        <f t="shared" ref="GC60:GC68" si="1389">IF(FY60-GA60&lt;=$E60-2,1,0)</f>
        <v>0</v>
      </c>
      <c r="GD60" s="11">
        <f>GC60+GD58</f>
        <v>2</v>
      </c>
      <c r="GE60" s="11">
        <f t="shared" ref="GE60:GE68" si="1390">IF(GC60=0,IF(FY60=$E60,1,0),0)</f>
        <v>0</v>
      </c>
      <c r="GF60" s="11">
        <f>GE60+GF58</f>
        <v>0</v>
      </c>
      <c r="GG60" s="11">
        <f t="shared" ref="GG60:GG68" si="1391">IF($E60-FY60=1,1,0)</f>
        <v>0</v>
      </c>
      <c r="GH60" s="11">
        <f>GG60+GH58</f>
        <v>0</v>
      </c>
      <c r="GI60" s="11">
        <f t="shared" ref="GI60:GI68" si="1392">IF(FY60=$E60,1,0)</f>
        <v>0</v>
      </c>
      <c r="GJ60" s="11">
        <f>GI60+GJ58</f>
        <v>0</v>
      </c>
      <c r="GK60" s="11">
        <f t="shared" ref="GK60:GK68" si="1393">IF(FY60-$E60=1,1,0)</f>
        <v>0</v>
      </c>
      <c r="GL60" s="11">
        <f>GK60+GL58</f>
        <v>0</v>
      </c>
      <c r="GM60" s="11">
        <f t="shared" ref="GM60:GM68" si="1394">IF(FY60-$E60&gt;=2,1,0)</f>
        <v>1</v>
      </c>
      <c r="GN60" s="11">
        <f>GM60+GN58</f>
        <v>10</v>
      </c>
      <c r="GO60" s="11">
        <f t="shared" ref="GO60:GO68" si="1395">IF(GA60=0,1,0)</f>
        <v>0</v>
      </c>
      <c r="GP60" s="11">
        <f>GO60+GP58</f>
        <v>0</v>
      </c>
      <c r="GQ60" s="11">
        <f t="shared" ref="GQ60:GQ68" si="1396">IF(GA60=1,1,0)</f>
        <v>0</v>
      </c>
      <c r="GR60" s="11">
        <f>GQ60+GR58</f>
        <v>2</v>
      </c>
      <c r="GS60" s="11">
        <f t="shared" ref="GS60:GS68" si="1397">IF(GA60=2,1,0)</f>
        <v>1</v>
      </c>
      <c r="GT60" s="11">
        <f>GS60+GT58</f>
        <v>5</v>
      </c>
      <c r="GU60" s="11">
        <f t="shared" ref="GU60:GU68" si="1398">IF(GA60&gt;=3,1,0)</f>
        <v>0</v>
      </c>
      <c r="GV60" s="11">
        <f>GU60+GV58</f>
        <v>20</v>
      </c>
      <c r="GW60" s="11">
        <f>IF($E60=3,FY60-3,NA())</f>
        <v>2</v>
      </c>
      <c r="GX60" s="11"/>
      <c r="GY60" s="11"/>
      <c r="GZ60" s="15">
        <f>FY60-'Zusammenfassung Tag1-4'!$H$2/18</f>
        <v>2</v>
      </c>
      <c r="HA60" s="17">
        <f>GZ60+HA58</f>
        <v>193</v>
      </c>
      <c r="HB60" s="13">
        <v>4</v>
      </c>
      <c r="HC60" s="11">
        <f>HB60+HC58</f>
        <v>243</v>
      </c>
      <c r="HD60" s="14">
        <v>2</v>
      </c>
      <c r="HE60" s="11">
        <f>HD60+HE58</f>
        <v>97</v>
      </c>
      <c r="HF60" s="11">
        <f t="shared" ref="HF60:HF68" si="1399">IF(HB60-HD60&lt;=$E60-2,1,0)</f>
        <v>0</v>
      </c>
      <c r="HG60" s="11">
        <f>HF60+HG58</f>
        <v>15</v>
      </c>
      <c r="HH60" s="11">
        <f t="shared" ref="HH60:HH68" si="1400">IF(HF60=0,IF(HB60=$E60,1,0),0)</f>
        <v>0</v>
      </c>
      <c r="HI60" s="11">
        <f>HH60+HI58</f>
        <v>4</v>
      </c>
      <c r="HJ60" s="11">
        <f t="shared" ref="HJ60:HJ68" si="1401">IF($E60-HB60=1,1,0)</f>
        <v>0</v>
      </c>
      <c r="HK60" s="11">
        <f>HJ60+HK58</f>
        <v>0</v>
      </c>
      <c r="HL60" s="11">
        <f t="shared" ref="HL60:HL68" si="1402">IF(HB60=$E60,1,0)</f>
        <v>0</v>
      </c>
      <c r="HM60" s="11">
        <f>HL60+HM58</f>
        <v>2</v>
      </c>
      <c r="HN60" s="11">
        <f t="shared" ref="HN60:HN68" si="1403">IF(HB60-$E60=1,1,0)</f>
        <v>1</v>
      </c>
      <c r="HO60" s="11">
        <f>HN60+HO58</f>
        <v>5</v>
      </c>
      <c r="HP60" s="11">
        <f t="shared" ref="HP60:HP68" si="1404">IF(HB60-$E60&gt;=2,1,0)</f>
        <v>0</v>
      </c>
      <c r="HQ60" s="11">
        <f>HP60+HQ58</f>
        <v>3</v>
      </c>
      <c r="HR60" s="11">
        <f t="shared" ref="HR60:HR68" si="1405">IF(HD60=0,1,0)</f>
        <v>0</v>
      </c>
      <c r="HS60" s="11">
        <f>HR60+HS58</f>
        <v>0</v>
      </c>
      <c r="HT60" s="11">
        <f t="shared" ref="HT60:HT68" si="1406">IF(HD60=1,1,0)</f>
        <v>0</v>
      </c>
      <c r="HU60" s="11">
        <f>HT60+HU58</f>
        <v>6</v>
      </c>
      <c r="HV60" s="11">
        <f t="shared" ref="HV60:HV68" si="1407">IF(HD60=2,1,0)</f>
        <v>1</v>
      </c>
      <c r="HW60" s="11">
        <f>HV60+HW58</f>
        <v>5</v>
      </c>
      <c r="HX60" s="11">
        <f t="shared" ref="HX60:HX68" si="1408">IF(HD60&gt;=3,1,0)</f>
        <v>0</v>
      </c>
      <c r="HY60" s="11">
        <f>HX60+HY58</f>
        <v>11</v>
      </c>
      <c r="HZ60" s="11">
        <f>IF($E60=3,HB60-3,NA())</f>
        <v>1</v>
      </c>
      <c r="IA60" s="11"/>
      <c r="IB60" s="11"/>
      <c r="IC60" s="15">
        <f>HB60-'Zusammenfassung Tag1-4'!$I$2/18</f>
        <v>3</v>
      </c>
      <c r="ID60" s="17">
        <f>IC60+ID58</f>
        <v>197</v>
      </c>
      <c r="IE60" s="13">
        <v>4</v>
      </c>
      <c r="IF60" s="11">
        <f>IE60+IF58</f>
        <v>73</v>
      </c>
      <c r="IG60" s="14">
        <v>2</v>
      </c>
      <c r="IH60" s="11">
        <f>IG60+IH58</f>
        <v>27</v>
      </c>
      <c r="II60" s="11">
        <f t="shared" ref="II60:II68" si="1409">IF(IE60-IG60&lt;=$E60-2,1,0)</f>
        <v>0</v>
      </c>
      <c r="IJ60" s="11">
        <f>II60+IJ58</f>
        <v>37</v>
      </c>
      <c r="IK60" s="11">
        <f t="shared" ref="IK60:IK68" si="1410">IF(II60=0,IF(IE60=$E60,1,0),0)</f>
        <v>0</v>
      </c>
      <c r="IL60" s="11">
        <f>IK60+IL58</f>
        <v>0</v>
      </c>
      <c r="IM60" s="11">
        <f t="shared" ref="IM60:IM68" si="1411">IF($E60-IE60=1,1,0)</f>
        <v>0</v>
      </c>
      <c r="IN60" s="11">
        <f>IM60+IN58</f>
        <v>0</v>
      </c>
      <c r="IO60" s="11">
        <f t="shared" ref="IO60:IO68" si="1412">IF(IE60=$E60,1,0)</f>
        <v>0</v>
      </c>
      <c r="IP60" s="11">
        <f>IO60+IP58</f>
        <v>0</v>
      </c>
      <c r="IQ60" s="11">
        <f t="shared" ref="IQ60:IQ68" si="1413">IF(IE60-$E60=1,1,0)</f>
        <v>1</v>
      </c>
      <c r="IR60" s="11">
        <f>IQ60+IR58</f>
        <v>2</v>
      </c>
      <c r="IS60" s="11">
        <f t="shared" ref="IS60:IS68" si="1414">IF(IE60-$E60&gt;=2,1,0)</f>
        <v>0</v>
      </c>
      <c r="IT60" s="11">
        <f>IS60+IT58</f>
        <v>8</v>
      </c>
      <c r="IU60" s="11">
        <f t="shared" ref="IU60:IU68" si="1415">IF(IG60=0,1,0)</f>
        <v>0</v>
      </c>
      <c r="IV60" s="11">
        <f>IU60+IV58</f>
        <v>0</v>
      </c>
      <c r="IW60" s="11">
        <f t="shared" ref="IW60:IW68" si="1416">IF(IG60=1,1,0)</f>
        <v>0</v>
      </c>
      <c r="IX60" s="11">
        <f>IW60+IX58</f>
        <v>0</v>
      </c>
      <c r="IY60" s="11">
        <f t="shared" ref="IY60:IY68" si="1417">IF(IG60=2,1,0)</f>
        <v>1</v>
      </c>
      <c r="IZ60" s="11">
        <f>IY60+IZ58</f>
        <v>4</v>
      </c>
      <c r="JA60" s="11">
        <f t="shared" ref="JA60:JA68" si="1418">IF(IG60&gt;=3,1,0)</f>
        <v>0</v>
      </c>
      <c r="JB60" s="11">
        <f>JA60+JB58</f>
        <v>6</v>
      </c>
      <c r="JC60" s="11">
        <f>IF($E60=3,IE60-3,NA())</f>
        <v>1</v>
      </c>
      <c r="JD60" s="11"/>
      <c r="JE60" s="11"/>
      <c r="JF60" s="15">
        <f>IE60-'Zusammenfassung Tag1-4'!$J$2/18</f>
        <v>1</v>
      </c>
      <c r="JG60" s="17">
        <f>JF60+JG58</f>
        <v>-65</v>
      </c>
      <c r="JH60" s="13">
        <v>4</v>
      </c>
      <c r="JI60" s="11">
        <f>JH60+JI58</f>
        <v>50</v>
      </c>
      <c r="JJ60" s="14">
        <v>2</v>
      </c>
      <c r="JK60" s="11">
        <f>JJ60+JK58</f>
        <v>19</v>
      </c>
      <c r="JL60" s="11">
        <f t="shared" ref="JL60:JL68" si="1419">IF(JH60-JJ60&lt;=$E60-2,1,0)</f>
        <v>0</v>
      </c>
      <c r="JM60" s="11">
        <f>JL60+JM58</f>
        <v>40</v>
      </c>
      <c r="JN60" s="11">
        <f t="shared" ref="JN60:JN68" si="1420">IF(JL60=0,IF(JH60=$E60,1,0),0)</f>
        <v>0</v>
      </c>
      <c r="JO60" s="11">
        <f>JN60+JO58</f>
        <v>1</v>
      </c>
      <c r="JP60" s="11">
        <f t="shared" ref="JP60:JP68" si="1421">IF($E60-JH60=1,1,0)</f>
        <v>0</v>
      </c>
      <c r="JQ60" s="11">
        <f>JP60+JQ58</f>
        <v>0</v>
      </c>
      <c r="JR60" s="11">
        <f t="shared" ref="JR60:JR68" si="1422">IF(JH60=$E60,1,0)</f>
        <v>0</v>
      </c>
      <c r="JS60" s="11">
        <f>JR60+JS58</f>
        <v>5</v>
      </c>
      <c r="JT60" s="11">
        <f t="shared" ref="JT60:JT68" si="1423">IF(JH60-$E60=1,1,0)</f>
        <v>1</v>
      </c>
      <c r="JU60" s="11">
        <f>JT60+JU58</f>
        <v>1</v>
      </c>
      <c r="JV60" s="11">
        <f t="shared" ref="JV60:JV68" si="1424">IF(JH60-$E60&gt;=2,1,0)</f>
        <v>0</v>
      </c>
      <c r="JW60" s="11">
        <f>JV60+JW58</f>
        <v>4</v>
      </c>
      <c r="JX60" s="11">
        <f t="shared" ref="JX60:JX68" si="1425">IF(JJ60=0,1,0)</f>
        <v>0</v>
      </c>
      <c r="JY60" s="11">
        <f>JX60+JY58</f>
        <v>0</v>
      </c>
      <c r="JZ60" s="11">
        <f t="shared" ref="JZ60:JZ68" si="1426">IF(JJ60=1,1,0)</f>
        <v>0</v>
      </c>
      <c r="KA60" s="11">
        <f>JZ60+KA58</f>
        <v>1</v>
      </c>
      <c r="KB60" s="11">
        <f t="shared" ref="KB60:KB68" si="1427">IF(JJ60=2,1,0)</f>
        <v>1</v>
      </c>
      <c r="KC60" s="11">
        <f>KB60+KC58</f>
        <v>9</v>
      </c>
      <c r="KD60" s="11">
        <f t="shared" ref="KD60:KD68" si="1428">IF(JJ60&gt;=3,1,0)</f>
        <v>0</v>
      </c>
      <c r="KE60" s="11">
        <f>KD60+KE58</f>
        <v>0</v>
      </c>
      <c r="KF60" s="11">
        <f>IF($E60=3,JH60-3,NA())</f>
        <v>1</v>
      </c>
      <c r="KG60" s="11"/>
      <c r="KH60" s="11"/>
      <c r="KI60" s="15">
        <f>JH60-'Zusammenfassung Tag1-4'!$K$2/18</f>
        <v>3.2222222222222223</v>
      </c>
      <c r="KJ60" s="17">
        <f>KI60+KJ58</f>
        <v>14.2222222222222</v>
      </c>
      <c r="KK60" s="10"/>
      <c r="KL60" s="10"/>
      <c r="KM60" s="10"/>
      <c r="KN60" s="10"/>
      <c r="KO60" s="10"/>
      <c r="KP60" s="10"/>
      <c r="KQ60" s="10"/>
      <c r="KR60" s="10"/>
      <c r="KS60" s="10"/>
      <c r="KT60" s="10"/>
      <c r="KU60" s="10"/>
      <c r="KV60" s="10"/>
      <c r="KW60" s="10"/>
      <c r="KX60" s="10"/>
      <c r="KY60" s="10"/>
      <c r="KZ60" s="10"/>
      <c r="LA60" s="10"/>
      <c r="LB60" s="10"/>
      <c r="LC60" s="10"/>
      <c r="LD60" s="10"/>
    </row>
    <row r="61" spans="1:316" ht="15.75" customHeight="1" x14ac:dyDescent="0.25">
      <c r="A61" s="106"/>
      <c r="B61" s="103"/>
      <c r="C61" s="6">
        <v>11</v>
      </c>
      <c r="D61" s="6">
        <f t="shared" ref="D61:D68" si="1429">D60+1</f>
        <v>47</v>
      </c>
      <c r="E61" s="6">
        <v>4</v>
      </c>
      <c r="F61" s="7">
        <f t="shared" ref="F61:F68" si="1430">E61+F60</f>
        <v>188</v>
      </c>
      <c r="G61" s="18"/>
      <c r="H61" s="6"/>
      <c r="I61" s="19"/>
      <c r="J61" s="6">
        <f t="shared" ref="J61:J68" si="1431">I61+J60</f>
        <v>71</v>
      </c>
      <c r="K61" s="6">
        <f t="shared" si="1329"/>
        <v>1</v>
      </c>
      <c r="L61" s="6">
        <f t="shared" ref="L61:L68" si="1432">K61+L60</f>
        <v>26</v>
      </c>
      <c r="M61" s="6">
        <f t="shared" si="1330"/>
        <v>0</v>
      </c>
      <c r="N61" s="6">
        <f t="shared" ref="N61:N68" si="1433">M61+N60</f>
        <v>3</v>
      </c>
      <c r="O61" s="6">
        <f t="shared" si="1331"/>
        <v>0</v>
      </c>
      <c r="P61" s="6">
        <f t="shared" ref="P61:P68" si="1434">O61+P60</f>
        <v>1</v>
      </c>
      <c r="Q61" s="6">
        <f t="shared" si="1332"/>
        <v>0</v>
      </c>
      <c r="R61" s="6">
        <f t="shared" ref="R61:R68" si="1435">Q61+R60</f>
        <v>0</v>
      </c>
      <c r="S61" s="6">
        <f t="shared" si="1333"/>
        <v>0</v>
      </c>
      <c r="T61" s="6">
        <f t="shared" ref="T61:T68" si="1436">S61+T60</f>
        <v>0</v>
      </c>
      <c r="U61" s="6">
        <f t="shared" si="1334"/>
        <v>0</v>
      </c>
      <c r="V61" s="6">
        <f t="shared" ref="V61:V68" si="1437">U61+V60</f>
        <v>0</v>
      </c>
      <c r="W61" s="6">
        <f t="shared" si="1335"/>
        <v>1</v>
      </c>
      <c r="X61" s="6">
        <f t="shared" ref="X61:X68" si="1438">W61+X60</f>
        <v>11</v>
      </c>
      <c r="Y61" s="6">
        <f t="shared" si="1336"/>
        <v>0</v>
      </c>
      <c r="Z61" s="6">
        <f t="shared" ref="Z61:Z68" si="1439">Y61+Z60</f>
        <v>7</v>
      </c>
      <c r="AA61" s="6">
        <f t="shared" si="1337"/>
        <v>0</v>
      </c>
      <c r="AB61" s="6">
        <f t="shared" ref="AB61:AB68" si="1440">AA61+AB60</f>
        <v>0</v>
      </c>
      <c r="AC61" s="6">
        <f t="shared" si="1338"/>
        <v>0</v>
      </c>
      <c r="AD61" s="6">
        <f t="shared" ref="AD61:AD68" si="1441">AC61+AD60</f>
        <v>5</v>
      </c>
      <c r="AE61" s="6"/>
      <c r="AF61" s="6">
        <f t="shared" ref="AF61:AF62" si="1442">IF($E61=4,G61-4,NA())</f>
        <v>-4</v>
      </c>
      <c r="AG61" s="6"/>
      <c r="AH61" s="20">
        <f>G61-'Zusammenfassung Tag1-4'!$B$2/18</f>
        <v>-1.1111111111111112</v>
      </c>
      <c r="AI61" s="21">
        <f t="shared" ref="AI61:AI68" si="1443">AH61+AI60</f>
        <v>124.77777777777766</v>
      </c>
      <c r="AJ61" s="18">
        <v>4</v>
      </c>
      <c r="AK61" s="6">
        <f t="shared" ref="AK61:AK68" si="1444">AJ61+AK60</f>
        <v>215</v>
      </c>
      <c r="AL61" s="19">
        <v>2</v>
      </c>
      <c r="AM61" s="6">
        <f t="shared" ref="AM61:AM68" si="1445">AL61+AM60</f>
        <v>85</v>
      </c>
      <c r="AN61" s="6">
        <f t="shared" si="1339"/>
        <v>1</v>
      </c>
      <c r="AO61" s="6">
        <f t="shared" ref="AO61:AO68" si="1446">AN61+AO60</f>
        <v>25</v>
      </c>
      <c r="AP61" s="6">
        <f t="shared" si="1340"/>
        <v>0</v>
      </c>
      <c r="AQ61" s="6">
        <f t="shared" ref="AQ61:AQ68" si="1447">AP61+AQ60</f>
        <v>7</v>
      </c>
      <c r="AR61" s="6">
        <f t="shared" si="1341"/>
        <v>0</v>
      </c>
      <c r="AS61" s="6">
        <f t="shared" ref="AS61:AS68" si="1448">AR61+AS60</f>
        <v>4</v>
      </c>
      <c r="AT61" s="6">
        <f t="shared" si="1342"/>
        <v>1</v>
      </c>
      <c r="AU61" s="6">
        <f t="shared" ref="AU61:AU68" si="1449">AT61+AU60</f>
        <v>5</v>
      </c>
      <c r="AV61" s="6">
        <f t="shared" si="1343"/>
        <v>0</v>
      </c>
      <c r="AW61" s="6">
        <f t="shared" ref="AW61:AW68" si="1450">AV61+AW60</f>
        <v>2</v>
      </c>
      <c r="AX61" s="6">
        <f t="shared" si="1344"/>
        <v>0</v>
      </c>
      <c r="AY61" s="6">
        <f t="shared" ref="AY61:AY68" si="1451">AX61+AY60</f>
        <v>3</v>
      </c>
      <c r="AZ61" s="6">
        <f t="shared" si="1345"/>
        <v>0</v>
      </c>
      <c r="BA61" s="6">
        <f t="shared" ref="BA61:BA68" si="1452">AZ61+BA60</f>
        <v>0</v>
      </c>
      <c r="BB61" s="6">
        <f t="shared" si="1346"/>
        <v>0</v>
      </c>
      <c r="BC61" s="6">
        <f t="shared" ref="BC61:BC68" si="1453">BB61+BC60</f>
        <v>15</v>
      </c>
      <c r="BD61" s="6">
        <f t="shared" si="1347"/>
        <v>1</v>
      </c>
      <c r="BE61" s="6">
        <f t="shared" ref="BE61:BE68" si="1454">BD61+BE60</f>
        <v>4</v>
      </c>
      <c r="BF61" s="6">
        <f t="shared" si="1348"/>
        <v>0</v>
      </c>
      <c r="BG61" s="6">
        <f t="shared" ref="BG61:BG68" si="1455">BF61+BG60</f>
        <v>6</v>
      </c>
      <c r="BH61" s="6"/>
      <c r="BI61" s="6">
        <f t="shared" ref="BI61:BI62" si="1456">IF($E61=4,AJ61-4,NA())</f>
        <v>0</v>
      </c>
      <c r="BJ61" s="6"/>
      <c r="BK61" s="20">
        <f>AJ61-'Zusammenfassung Tag1-4'!$C$2/18</f>
        <v>3.3333333333333335</v>
      </c>
      <c r="BL61" s="21">
        <f t="shared" ref="BL61:BL68" si="1457">BK61+BL60</f>
        <v>183.66666666666674</v>
      </c>
      <c r="BM61" s="18">
        <v>6</v>
      </c>
      <c r="BN61" s="6">
        <f t="shared" ref="BN61:BN68" si="1458">BM61+BN60</f>
        <v>260</v>
      </c>
      <c r="BO61" s="19">
        <v>3</v>
      </c>
      <c r="BP61" s="6">
        <f t="shared" ref="BP61:BP68" si="1459">BO61+BP60</f>
        <v>98</v>
      </c>
      <c r="BQ61" s="6">
        <f t="shared" si="1349"/>
        <v>0</v>
      </c>
      <c r="BR61" s="6">
        <f t="shared" ref="BR61:BR68" si="1460">BQ61+BR60</f>
        <v>8</v>
      </c>
      <c r="BS61" s="6">
        <f t="shared" si="1350"/>
        <v>0</v>
      </c>
      <c r="BT61" s="6">
        <f t="shared" ref="BT61:BT68" si="1461">BS61+BT60</f>
        <v>4</v>
      </c>
      <c r="BU61" s="6">
        <f t="shared" si="1351"/>
        <v>0</v>
      </c>
      <c r="BV61" s="6">
        <f t="shared" ref="BV61:BV68" si="1462">BU61+BV60</f>
        <v>0</v>
      </c>
      <c r="BW61" s="6">
        <f t="shared" si="1352"/>
        <v>0</v>
      </c>
      <c r="BX61" s="6">
        <f t="shared" ref="BX61:BX68" si="1463">BW61+BX60</f>
        <v>2</v>
      </c>
      <c r="BY61" s="6">
        <f t="shared" si="1353"/>
        <v>0</v>
      </c>
      <c r="BZ61" s="6">
        <f t="shared" ref="BZ61:BZ68" si="1464">BY61+BZ60</f>
        <v>4</v>
      </c>
      <c r="CA61" s="6">
        <f t="shared" si="1354"/>
        <v>1</v>
      </c>
      <c r="CB61" s="6">
        <f t="shared" ref="CB61:CB68" si="1465">CA61+CB60</f>
        <v>5</v>
      </c>
      <c r="CC61" s="6">
        <f t="shared" si="1355"/>
        <v>0</v>
      </c>
      <c r="CD61" s="6">
        <f t="shared" ref="CD61:CD68" si="1466">CC61+CD60</f>
        <v>0</v>
      </c>
      <c r="CE61" s="6">
        <f t="shared" si="1356"/>
        <v>0</v>
      </c>
      <c r="CF61" s="6">
        <f t="shared" ref="CF61:CF68" si="1467">CE61+CF60</f>
        <v>8</v>
      </c>
      <c r="CG61" s="6">
        <f t="shared" si="1357"/>
        <v>0</v>
      </c>
      <c r="CH61" s="6">
        <f t="shared" ref="CH61:CH68" si="1468">CG61+CH60</f>
        <v>4</v>
      </c>
      <c r="CI61" s="6">
        <f t="shared" si="1358"/>
        <v>1</v>
      </c>
      <c r="CJ61" s="6">
        <f t="shared" ref="CJ61:CJ68" si="1469">CI61+CJ60</f>
        <v>12</v>
      </c>
      <c r="CK61" s="6"/>
      <c r="CL61" s="6">
        <f t="shared" ref="CL61:CL62" si="1470">IF($E61=4,BM61-4,NA())</f>
        <v>2</v>
      </c>
      <c r="CM61" s="6"/>
      <c r="CN61" s="20">
        <f>BM61-'Zusammenfassung Tag1-4'!$D$2/18</f>
        <v>4.666666666666667</v>
      </c>
      <c r="CO61" s="21">
        <f t="shared" ref="CO61:CO68" si="1471">CN61+CO60</f>
        <v>197.33333333333323</v>
      </c>
      <c r="CP61" s="18">
        <v>4</v>
      </c>
      <c r="CQ61" s="6">
        <f t="shared" ref="CQ61:CQ68" si="1472">CP61+CQ60</f>
        <v>245</v>
      </c>
      <c r="CR61" s="19">
        <v>1</v>
      </c>
      <c r="CS61" s="6">
        <f t="shared" ref="CS61:CS68" si="1473">CR61+CS60</f>
        <v>96</v>
      </c>
      <c r="CT61" s="6">
        <f t="shared" si="1359"/>
        <v>0</v>
      </c>
      <c r="CU61" s="6">
        <f t="shared" ref="CU61:CU68" si="1474">CT61+CU60</f>
        <v>10</v>
      </c>
      <c r="CV61" s="6">
        <f t="shared" si="1360"/>
        <v>1</v>
      </c>
      <c r="CW61" s="6">
        <f t="shared" ref="CW61:CW68" si="1475">CV61+CW60</f>
        <v>4</v>
      </c>
      <c r="CX61" s="6">
        <f t="shared" si="1361"/>
        <v>0</v>
      </c>
      <c r="CY61" s="6">
        <f t="shared" ref="CY61:CY68" si="1476">CX61+CY60</f>
        <v>0</v>
      </c>
      <c r="CZ61" s="6">
        <f t="shared" si="1362"/>
        <v>1</v>
      </c>
      <c r="DA61" s="6">
        <f t="shared" ref="DA61:DA68" si="1477">CZ61+DA60</f>
        <v>2</v>
      </c>
      <c r="DB61" s="6">
        <f t="shared" si="1363"/>
        <v>0</v>
      </c>
      <c r="DC61" s="6">
        <f t="shared" ref="DC61:DC68" si="1478">DB61+DC60</f>
        <v>5</v>
      </c>
      <c r="DD61" s="6">
        <f t="shared" si="1364"/>
        <v>0</v>
      </c>
      <c r="DE61" s="6">
        <f t="shared" ref="DE61:DE68" si="1479">DD61+DE60</f>
        <v>4</v>
      </c>
      <c r="DF61" s="6">
        <f t="shared" si="1365"/>
        <v>0</v>
      </c>
      <c r="DG61" s="6">
        <f t="shared" ref="DG61:DG68" si="1480">DF61+DG60</f>
        <v>0</v>
      </c>
      <c r="DH61" s="6">
        <f t="shared" si="1366"/>
        <v>1</v>
      </c>
      <c r="DI61" s="6">
        <f t="shared" ref="DI61:DI68" si="1481">DH61+DI60</f>
        <v>8</v>
      </c>
      <c r="DJ61" s="6">
        <f t="shared" si="1367"/>
        <v>0</v>
      </c>
      <c r="DK61" s="6">
        <f t="shared" ref="DK61:DK68" si="1482">DJ61+DK60</f>
        <v>6</v>
      </c>
      <c r="DL61" s="6">
        <f t="shared" si="1368"/>
        <v>0</v>
      </c>
      <c r="DM61" s="6">
        <f t="shared" ref="DM61:DM68" si="1483">DL61+DM60</f>
        <v>10</v>
      </c>
      <c r="DN61" s="6"/>
      <c r="DO61" s="6">
        <f t="shared" ref="DO61:DO62" si="1484">IF($E61=4,CP61-4,NA())</f>
        <v>0</v>
      </c>
      <c r="DP61" s="6"/>
      <c r="DQ61" s="20">
        <f>CP61-'Zusammenfassung Tag1-4'!$E$2/18</f>
        <v>2.7222222222222223</v>
      </c>
      <c r="DR61" s="22">
        <f t="shared" ref="DR61:DR68" si="1485">DQ61+DR60</f>
        <v>184.94444444444463</v>
      </c>
      <c r="DS61" s="18">
        <v>8</v>
      </c>
      <c r="DT61" s="6">
        <f t="shared" ref="DT61:DT68" si="1486">DS61+DT60</f>
        <v>363</v>
      </c>
      <c r="DU61" s="19">
        <v>2</v>
      </c>
      <c r="DV61" s="6">
        <f t="shared" ref="DV61:DV68" si="1487">DU61+DV60</f>
        <v>107</v>
      </c>
      <c r="DW61" s="6">
        <f t="shared" si="1369"/>
        <v>0</v>
      </c>
      <c r="DX61" s="6">
        <f t="shared" ref="DX61:DX68" si="1488">DW61+DX60</f>
        <v>1</v>
      </c>
      <c r="DY61" s="6">
        <f t="shared" si="1370"/>
        <v>0</v>
      </c>
      <c r="DZ61" s="6">
        <f t="shared" ref="DZ61:DZ68" si="1489">DY61+DZ60</f>
        <v>0</v>
      </c>
      <c r="EA61" s="6">
        <f t="shared" si="1371"/>
        <v>0</v>
      </c>
      <c r="EB61" s="6">
        <f t="shared" ref="EB61:EB68" si="1490">EA61+EB60</f>
        <v>0</v>
      </c>
      <c r="EC61" s="6">
        <f t="shared" si="1372"/>
        <v>0</v>
      </c>
      <c r="ED61" s="6">
        <f t="shared" ref="ED61:ED68" si="1491">EC61+ED60</f>
        <v>0</v>
      </c>
      <c r="EE61" s="6">
        <f t="shared" si="1373"/>
        <v>0</v>
      </c>
      <c r="EF61" s="6">
        <f t="shared" ref="EF61:EF68" si="1492">EE61+EF60</f>
        <v>0</v>
      </c>
      <c r="EG61" s="6">
        <f t="shared" si="1374"/>
        <v>1</v>
      </c>
      <c r="EH61" s="6">
        <f t="shared" ref="EH61:EH68" si="1493">EG61+EH60</f>
        <v>11</v>
      </c>
      <c r="EI61" s="6">
        <f t="shared" si="1375"/>
        <v>0</v>
      </c>
      <c r="EJ61" s="6">
        <f t="shared" ref="EJ61:EJ68" si="1494">EI61+EJ60</f>
        <v>0</v>
      </c>
      <c r="EK61" s="6">
        <f t="shared" si="1376"/>
        <v>0</v>
      </c>
      <c r="EL61" s="6">
        <f t="shared" ref="EL61:EL68" si="1495">EK61+EL60</f>
        <v>2</v>
      </c>
      <c r="EM61" s="6">
        <f t="shared" si="1377"/>
        <v>1</v>
      </c>
      <c r="EN61" s="6">
        <f t="shared" ref="EN61:EN68" si="1496">EM61+EN60</f>
        <v>6</v>
      </c>
      <c r="EO61" s="6">
        <f t="shared" si="1378"/>
        <v>0</v>
      </c>
      <c r="EP61" s="6">
        <f t="shared" ref="EP61:EP68" si="1497">EO61+EP60</f>
        <v>13</v>
      </c>
      <c r="EQ61" s="6"/>
      <c r="ER61" s="6">
        <f t="shared" ref="ER61:ER62" si="1498">IF($E61=4,DS61-4,NA())</f>
        <v>4</v>
      </c>
      <c r="ES61" s="6"/>
      <c r="ET61" s="20">
        <f>DS61-'Zusammenfassung Tag1-4'!$F$2/18</f>
        <v>5</v>
      </c>
      <c r="EU61" s="22">
        <f t="shared" ref="EU61:EU68" si="1499">ET61+EU60</f>
        <v>222</v>
      </c>
      <c r="EV61" s="18">
        <v>5</v>
      </c>
      <c r="EW61" s="6">
        <f t="shared" ref="EW61:EW68" si="1500">EV61+EW60</f>
        <v>263</v>
      </c>
      <c r="EX61" s="19">
        <v>3</v>
      </c>
      <c r="EY61" s="6">
        <f t="shared" ref="EY61:EY68" si="1501">EX61+EY60</f>
        <v>98</v>
      </c>
      <c r="EZ61" s="6">
        <f t="shared" si="1379"/>
        <v>1</v>
      </c>
      <c r="FA61" s="6">
        <f t="shared" ref="FA61:FA68" si="1502">EZ61+FA60</f>
        <v>9</v>
      </c>
      <c r="FB61" s="6">
        <f t="shared" si="1380"/>
        <v>0</v>
      </c>
      <c r="FC61" s="6">
        <f t="shared" ref="FC61:FC68" si="1503">FB61+FC60</f>
        <v>0</v>
      </c>
      <c r="FD61" s="6">
        <f t="shared" si="1381"/>
        <v>0</v>
      </c>
      <c r="FE61" s="6">
        <f t="shared" ref="FE61:FE68" si="1504">FD61+FE60</f>
        <v>0</v>
      </c>
      <c r="FF61" s="6">
        <f t="shared" si="1382"/>
        <v>0</v>
      </c>
      <c r="FG61" s="6">
        <f t="shared" ref="FG61:FG68" si="1505">FF61+FG60</f>
        <v>0</v>
      </c>
      <c r="FH61" s="6">
        <f t="shared" si="1383"/>
        <v>1</v>
      </c>
      <c r="FI61" s="6">
        <f t="shared" ref="FI61:FI68" si="1506">FH61+FI60</f>
        <v>7</v>
      </c>
      <c r="FJ61" s="6">
        <f t="shared" si="1384"/>
        <v>0</v>
      </c>
      <c r="FK61" s="6">
        <f t="shared" ref="FK61:FK68" si="1507">FJ61+FK60</f>
        <v>4</v>
      </c>
      <c r="FL61" s="6">
        <f t="shared" si="1385"/>
        <v>0</v>
      </c>
      <c r="FM61" s="6">
        <f t="shared" ref="FM61:FM68" si="1508">FL61+FM60</f>
        <v>0</v>
      </c>
      <c r="FN61" s="6">
        <f t="shared" si="1386"/>
        <v>0</v>
      </c>
      <c r="FO61" s="6">
        <f t="shared" ref="FO61:FO68" si="1509">FN61+FO60</f>
        <v>6</v>
      </c>
      <c r="FP61" s="6">
        <f t="shared" si="1387"/>
        <v>0</v>
      </c>
      <c r="FQ61" s="6">
        <f t="shared" ref="FQ61:FQ68" si="1510">FP61+FQ60</f>
        <v>6</v>
      </c>
      <c r="FR61" s="6">
        <f t="shared" si="1388"/>
        <v>1</v>
      </c>
      <c r="FS61" s="6">
        <f t="shared" ref="FS61:FS68" si="1511">FR61+FS60</f>
        <v>10</v>
      </c>
      <c r="FT61" s="6"/>
      <c r="FU61" s="6">
        <f t="shared" ref="FU61:FU62" si="1512">IF($E61=4,EV61-4,NA())</f>
        <v>1</v>
      </c>
      <c r="FV61" s="6"/>
      <c r="FW61" s="20">
        <f>EV61-'Zusammenfassung Tag1-4'!$G$2/18</f>
        <v>3.5</v>
      </c>
      <c r="FX61" s="22">
        <f t="shared" ref="FX61:FX68" si="1513">FW61+FX60</f>
        <v>192.5</v>
      </c>
      <c r="FY61" s="18">
        <v>6</v>
      </c>
      <c r="FZ61" s="6">
        <f t="shared" ref="FZ61:FZ68" si="1514">FY61+FZ60</f>
        <v>337</v>
      </c>
      <c r="GA61" s="19">
        <v>3</v>
      </c>
      <c r="GB61" s="6">
        <f t="shared" ref="GB61:GB68" si="1515">GA61+GB60</f>
        <v>113</v>
      </c>
      <c r="GC61" s="6">
        <f t="shared" si="1389"/>
        <v>0</v>
      </c>
      <c r="GD61" s="6">
        <f t="shared" ref="GD61:GD68" si="1516">GC61+GD60</f>
        <v>2</v>
      </c>
      <c r="GE61" s="6">
        <f t="shared" si="1390"/>
        <v>0</v>
      </c>
      <c r="GF61" s="6">
        <f t="shared" ref="GF61:GF68" si="1517">GE61+GF60</f>
        <v>0</v>
      </c>
      <c r="GG61" s="6">
        <f t="shared" si="1391"/>
        <v>0</v>
      </c>
      <c r="GH61" s="6">
        <f t="shared" ref="GH61:GH68" si="1518">GG61+GH60</f>
        <v>0</v>
      </c>
      <c r="GI61" s="6">
        <f t="shared" si="1392"/>
        <v>0</v>
      </c>
      <c r="GJ61" s="6">
        <f t="shared" ref="GJ61:GJ68" si="1519">GI61+GJ60</f>
        <v>0</v>
      </c>
      <c r="GK61" s="6">
        <f t="shared" si="1393"/>
        <v>0</v>
      </c>
      <c r="GL61" s="6">
        <f t="shared" ref="GL61:GL68" si="1520">GK61+GL60</f>
        <v>0</v>
      </c>
      <c r="GM61" s="6">
        <f t="shared" si="1394"/>
        <v>1</v>
      </c>
      <c r="GN61" s="6">
        <f t="shared" ref="GN61:GN68" si="1521">GM61+GN60</f>
        <v>11</v>
      </c>
      <c r="GO61" s="6">
        <f t="shared" si="1395"/>
        <v>0</v>
      </c>
      <c r="GP61" s="6">
        <f t="shared" ref="GP61:GP68" si="1522">GO61+GP60</f>
        <v>0</v>
      </c>
      <c r="GQ61" s="6">
        <f t="shared" si="1396"/>
        <v>0</v>
      </c>
      <c r="GR61" s="6">
        <f t="shared" ref="GR61:GR68" si="1523">GQ61+GR60</f>
        <v>2</v>
      </c>
      <c r="GS61" s="6">
        <f t="shared" si="1397"/>
        <v>0</v>
      </c>
      <c r="GT61" s="6">
        <f t="shared" ref="GT61:GT68" si="1524">GS61+GT60</f>
        <v>5</v>
      </c>
      <c r="GU61" s="6">
        <f t="shared" si="1398"/>
        <v>1</v>
      </c>
      <c r="GV61" s="6">
        <f t="shared" ref="GV61:GV68" si="1525">GU61+GV60</f>
        <v>21</v>
      </c>
      <c r="GW61" s="6"/>
      <c r="GX61" s="6">
        <f t="shared" ref="GX61:GX62" si="1526">IF($E61=4,FY61-4,NA())</f>
        <v>2</v>
      </c>
      <c r="GY61" s="6"/>
      <c r="GZ61" s="20">
        <f>FY61-'Zusammenfassung Tag1-4'!$H$2/18</f>
        <v>3</v>
      </c>
      <c r="HA61" s="22">
        <f t="shared" ref="HA61:HA68" si="1527">GZ61+HA60</f>
        <v>196</v>
      </c>
      <c r="HB61" s="18">
        <v>6</v>
      </c>
      <c r="HC61" s="6">
        <f t="shared" ref="HC61:HC68" si="1528">HB61+HC60</f>
        <v>249</v>
      </c>
      <c r="HD61" s="19">
        <v>3</v>
      </c>
      <c r="HE61" s="6">
        <f t="shared" ref="HE61:HE68" si="1529">HD61+HE60</f>
        <v>100</v>
      </c>
      <c r="HF61" s="6">
        <f t="shared" si="1399"/>
        <v>0</v>
      </c>
      <c r="HG61" s="6">
        <f t="shared" ref="HG61:HG68" si="1530">HF61+HG60</f>
        <v>15</v>
      </c>
      <c r="HH61" s="6">
        <f t="shared" si="1400"/>
        <v>0</v>
      </c>
      <c r="HI61" s="6">
        <f t="shared" ref="HI61:HI68" si="1531">HH61+HI60</f>
        <v>4</v>
      </c>
      <c r="HJ61" s="6">
        <f t="shared" si="1401"/>
        <v>0</v>
      </c>
      <c r="HK61" s="6">
        <f t="shared" ref="HK61:HK68" si="1532">HJ61+HK60</f>
        <v>0</v>
      </c>
      <c r="HL61" s="6">
        <f t="shared" si="1402"/>
        <v>0</v>
      </c>
      <c r="HM61" s="6">
        <f t="shared" ref="HM61:HM68" si="1533">HL61+HM60</f>
        <v>2</v>
      </c>
      <c r="HN61" s="6">
        <f t="shared" si="1403"/>
        <v>0</v>
      </c>
      <c r="HO61" s="6">
        <f t="shared" ref="HO61:HO68" si="1534">HN61+HO60</f>
        <v>5</v>
      </c>
      <c r="HP61" s="6">
        <f t="shared" si="1404"/>
        <v>1</v>
      </c>
      <c r="HQ61" s="6">
        <f t="shared" ref="HQ61:HQ68" si="1535">HP61+HQ60</f>
        <v>4</v>
      </c>
      <c r="HR61" s="6">
        <f t="shared" si="1405"/>
        <v>0</v>
      </c>
      <c r="HS61" s="6">
        <f t="shared" ref="HS61:HS68" si="1536">HR61+HS60</f>
        <v>0</v>
      </c>
      <c r="HT61" s="6">
        <f t="shared" si="1406"/>
        <v>0</v>
      </c>
      <c r="HU61" s="6">
        <f t="shared" ref="HU61:HU68" si="1537">HT61+HU60</f>
        <v>6</v>
      </c>
      <c r="HV61" s="6">
        <f t="shared" si="1407"/>
        <v>0</v>
      </c>
      <c r="HW61" s="6">
        <f t="shared" ref="HW61:HW68" si="1538">HV61+HW60</f>
        <v>5</v>
      </c>
      <c r="HX61" s="6">
        <f t="shared" si="1408"/>
        <v>1</v>
      </c>
      <c r="HY61" s="6">
        <f t="shared" ref="HY61:HY68" si="1539">HX61+HY60</f>
        <v>12</v>
      </c>
      <c r="HZ61" s="6"/>
      <c r="IA61" s="6">
        <f t="shared" ref="IA61:IA62" si="1540">IF($E61=4,HB61-4,NA())</f>
        <v>2</v>
      </c>
      <c r="IB61" s="6"/>
      <c r="IC61" s="20">
        <f>HB61-'Zusammenfassung Tag1-4'!$I$2/18</f>
        <v>5</v>
      </c>
      <c r="ID61" s="22">
        <f t="shared" ref="ID61:ID68" si="1541">IC61+ID60</f>
        <v>202</v>
      </c>
      <c r="IE61" s="18">
        <v>6</v>
      </c>
      <c r="IF61" s="6">
        <f t="shared" ref="IF61:IF68" si="1542">IE61+IF60</f>
        <v>79</v>
      </c>
      <c r="IG61" s="19">
        <v>3</v>
      </c>
      <c r="IH61" s="6">
        <f t="shared" ref="IH61:IH68" si="1543">IG61+IH60</f>
        <v>30</v>
      </c>
      <c r="II61" s="6">
        <f t="shared" si="1409"/>
        <v>0</v>
      </c>
      <c r="IJ61" s="6">
        <f t="shared" ref="IJ61:IJ68" si="1544">II61+IJ60</f>
        <v>37</v>
      </c>
      <c r="IK61" s="6">
        <f t="shared" si="1410"/>
        <v>0</v>
      </c>
      <c r="IL61" s="6">
        <f t="shared" ref="IL61:IL68" si="1545">IK61+IL60</f>
        <v>0</v>
      </c>
      <c r="IM61" s="6">
        <f t="shared" si="1411"/>
        <v>0</v>
      </c>
      <c r="IN61" s="6">
        <f t="shared" ref="IN61:IN68" si="1546">IM61+IN60</f>
        <v>0</v>
      </c>
      <c r="IO61" s="6">
        <f t="shared" si="1412"/>
        <v>0</v>
      </c>
      <c r="IP61" s="6">
        <f t="shared" ref="IP61:IP68" si="1547">IO61+IP60</f>
        <v>0</v>
      </c>
      <c r="IQ61" s="6">
        <f t="shared" si="1413"/>
        <v>0</v>
      </c>
      <c r="IR61" s="6">
        <f t="shared" ref="IR61:IR68" si="1548">IQ61+IR60</f>
        <v>2</v>
      </c>
      <c r="IS61" s="6">
        <f t="shared" si="1414"/>
        <v>1</v>
      </c>
      <c r="IT61" s="6">
        <f t="shared" ref="IT61:IT68" si="1549">IS61+IT60</f>
        <v>9</v>
      </c>
      <c r="IU61" s="6">
        <f t="shared" si="1415"/>
        <v>0</v>
      </c>
      <c r="IV61" s="6">
        <f t="shared" ref="IV61:IV68" si="1550">IU61+IV60</f>
        <v>0</v>
      </c>
      <c r="IW61" s="6">
        <f t="shared" si="1416"/>
        <v>0</v>
      </c>
      <c r="IX61" s="6">
        <f t="shared" ref="IX61:IX68" si="1551">IW61+IX60</f>
        <v>0</v>
      </c>
      <c r="IY61" s="6">
        <f t="shared" si="1417"/>
        <v>0</v>
      </c>
      <c r="IZ61" s="6">
        <f t="shared" ref="IZ61:IZ68" si="1552">IY61+IZ60</f>
        <v>4</v>
      </c>
      <c r="JA61" s="6">
        <f t="shared" si="1418"/>
        <v>1</v>
      </c>
      <c r="JB61" s="6">
        <f t="shared" ref="JB61:JB68" si="1553">JA61+JB60</f>
        <v>7</v>
      </c>
      <c r="JC61" s="6"/>
      <c r="JD61" s="6">
        <f t="shared" ref="JD61:JD62" si="1554">IF($E61=4,IE61-4,NA())</f>
        <v>2</v>
      </c>
      <c r="JE61" s="6"/>
      <c r="JF61" s="20">
        <f>IE61-'Zusammenfassung Tag1-4'!$J$2/18</f>
        <v>3</v>
      </c>
      <c r="JG61" s="22">
        <f t="shared" ref="JG61:JG68" si="1555">JF61+JG60</f>
        <v>-62</v>
      </c>
      <c r="JH61" s="18">
        <v>6</v>
      </c>
      <c r="JI61" s="6">
        <f t="shared" ref="JI61:JI68" si="1556">JH61+JI60</f>
        <v>56</v>
      </c>
      <c r="JJ61" s="19">
        <v>3</v>
      </c>
      <c r="JK61" s="6">
        <f t="shared" ref="JK61:JK68" si="1557">JJ61+JK60</f>
        <v>22</v>
      </c>
      <c r="JL61" s="6">
        <f t="shared" si="1419"/>
        <v>0</v>
      </c>
      <c r="JM61" s="6">
        <f t="shared" ref="JM61:JM68" si="1558">JL61+JM60</f>
        <v>40</v>
      </c>
      <c r="JN61" s="6">
        <f t="shared" si="1420"/>
        <v>0</v>
      </c>
      <c r="JO61" s="6">
        <f t="shared" ref="JO61:JO68" si="1559">JN61+JO60</f>
        <v>1</v>
      </c>
      <c r="JP61" s="6">
        <f t="shared" si="1421"/>
        <v>0</v>
      </c>
      <c r="JQ61" s="6">
        <f t="shared" ref="JQ61:JQ68" si="1560">JP61+JQ60</f>
        <v>0</v>
      </c>
      <c r="JR61" s="6">
        <f t="shared" si="1422"/>
        <v>0</v>
      </c>
      <c r="JS61" s="6">
        <f t="shared" ref="JS61:JS68" si="1561">JR61+JS60</f>
        <v>5</v>
      </c>
      <c r="JT61" s="6">
        <f t="shared" si="1423"/>
        <v>0</v>
      </c>
      <c r="JU61" s="6">
        <f t="shared" ref="JU61:JU68" si="1562">JT61+JU60</f>
        <v>1</v>
      </c>
      <c r="JV61" s="6">
        <f t="shared" si="1424"/>
        <v>1</v>
      </c>
      <c r="JW61" s="6">
        <f t="shared" ref="JW61:JW68" si="1563">JV61+JW60</f>
        <v>5</v>
      </c>
      <c r="JX61" s="6">
        <f t="shared" si="1425"/>
        <v>0</v>
      </c>
      <c r="JY61" s="6">
        <f t="shared" ref="JY61:JY68" si="1564">JX61+JY60</f>
        <v>0</v>
      </c>
      <c r="JZ61" s="6">
        <f t="shared" si="1426"/>
        <v>0</v>
      </c>
      <c r="KA61" s="6">
        <f t="shared" ref="KA61:KA68" si="1565">JZ61+KA60</f>
        <v>1</v>
      </c>
      <c r="KB61" s="6">
        <f t="shared" si="1427"/>
        <v>0</v>
      </c>
      <c r="KC61" s="6">
        <f t="shared" ref="KC61:KC68" si="1566">KB61+KC60</f>
        <v>9</v>
      </c>
      <c r="KD61" s="6">
        <f t="shared" si="1428"/>
        <v>1</v>
      </c>
      <c r="KE61" s="6">
        <f t="shared" ref="KE61:KE68" si="1567">KD61+KE60</f>
        <v>1</v>
      </c>
      <c r="KF61" s="6"/>
      <c r="KG61" s="6">
        <f t="shared" ref="KG61:KG62" si="1568">IF($E61=4,JH61-4,NA())</f>
        <v>2</v>
      </c>
      <c r="KH61" s="6"/>
      <c r="KI61" s="20">
        <f>JH61-'Zusammenfassung Tag1-4'!$K$2/18</f>
        <v>5.2222222222222223</v>
      </c>
      <c r="KJ61" s="22">
        <f t="shared" ref="KJ61:KJ68" si="1569">KI61+KJ60</f>
        <v>19.444444444444422</v>
      </c>
      <c r="KK61" s="10"/>
      <c r="KL61" s="10"/>
      <c r="KM61" s="10"/>
      <c r="KN61" s="10"/>
      <c r="KO61" s="10"/>
      <c r="KP61" s="10"/>
      <c r="KQ61" s="10"/>
      <c r="KR61" s="10"/>
      <c r="KS61" s="10"/>
      <c r="KT61" s="10"/>
      <c r="KU61" s="10"/>
      <c r="KV61" s="10"/>
      <c r="KW61" s="10"/>
      <c r="KX61" s="10"/>
      <c r="KY61" s="10"/>
      <c r="KZ61" s="10"/>
      <c r="LA61" s="10"/>
      <c r="LB61" s="10"/>
      <c r="LC61" s="10"/>
      <c r="LD61" s="10"/>
    </row>
    <row r="62" spans="1:316" ht="15.75" customHeight="1" x14ac:dyDescent="0.25">
      <c r="A62" s="106"/>
      <c r="B62" s="103"/>
      <c r="C62" s="6">
        <v>12</v>
      </c>
      <c r="D62" s="6">
        <f t="shared" si="1429"/>
        <v>48</v>
      </c>
      <c r="E62" s="6">
        <v>4</v>
      </c>
      <c r="F62" s="7">
        <f t="shared" si="1430"/>
        <v>192</v>
      </c>
      <c r="G62" s="18"/>
      <c r="H62" s="6"/>
      <c r="I62" s="19"/>
      <c r="J62" s="6">
        <f t="shared" si="1431"/>
        <v>71</v>
      </c>
      <c r="K62" s="6">
        <f t="shared" si="1329"/>
        <v>1</v>
      </c>
      <c r="L62" s="6">
        <f t="shared" si="1432"/>
        <v>27</v>
      </c>
      <c r="M62" s="6">
        <f t="shared" si="1330"/>
        <v>0</v>
      </c>
      <c r="N62" s="6">
        <f t="shared" si="1433"/>
        <v>3</v>
      </c>
      <c r="O62" s="6">
        <f t="shared" si="1331"/>
        <v>0</v>
      </c>
      <c r="P62" s="6">
        <f t="shared" si="1434"/>
        <v>1</v>
      </c>
      <c r="Q62" s="6">
        <f t="shared" si="1332"/>
        <v>0</v>
      </c>
      <c r="R62" s="6">
        <f t="shared" si="1435"/>
        <v>0</v>
      </c>
      <c r="S62" s="6">
        <f t="shared" si="1333"/>
        <v>0</v>
      </c>
      <c r="T62" s="6">
        <f t="shared" si="1436"/>
        <v>0</v>
      </c>
      <c r="U62" s="6">
        <f t="shared" si="1334"/>
        <v>0</v>
      </c>
      <c r="V62" s="6">
        <f t="shared" si="1437"/>
        <v>0</v>
      </c>
      <c r="W62" s="6">
        <f t="shared" si="1335"/>
        <v>1</v>
      </c>
      <c r="X62" s="6">
        <f t="shared" si="1438"/>
        <v>12</v>
      </c>
      <c r="Y62" s="6">
        <f t="shared" si="1336"/>
        <v>0</v>
      </c>
      <c r="Z62" s="6">
        <f t="shared" si="1439"/>
        <v>7</v>
      </c>
      <c r="AA62" s="6">
        <f t="shared" si="1337"/>
        <v>0</v>
      </c>
      <c r="AB62" s="6">
        <f t="shared" si="1440"/>
        <v>0</v>
      </c>
      <c r="AC62" s="6">
        <f t="shared" si="1338"/>
        <v>0</v>
      </c>
      <c r="AD62" s="6">
        <f t="shared" si="1441"/>
        <v>5</v>
      </c>
      <c r="AE62" s="6"/>
      <c r="AF62" s="6">
        <f t="shared" si="1442"/>
        <v>-4</v>
      </c>
      <c r="AG62" s="6"/>
      <c r="AH62" s="20">
        <f>G62-'Zusammenfassung Tag1-4'!$B$2/18</f>
        <v>-1.1111111111111112</v>
      </c>
      <c r="AI62" s="21">
        <f t="shared" si="1443"/>
        <v>123.66666666666654</v>
      </c>
      <c r="AJ62" s="18">
        <v>4</v>
      </c>
      <c r="AK62" s="6">
        <f t="shared" si="1444"/>
        <v>219</v>
      </c>
      <c r="AL62" s="19">
        <v>2</v>
      </c>
      <c r="AM62" s="6">
        <f t="shared" si="1445"/>
        <v>87</v>
      </c>
      <c r="AN62" s="6">
        <f t="shared" si="1339"/>
        <v>1</v>
      </c>
      <c r="AO62" s="6">
        <f t="shared" si="1446"/>
        <v>26</v>
      </c>
      <c r="AP62" s="6">
        <f t="shared" si="1340"/>
        <v>0</v>
      </c>
      <c r="AQ62" s="6">
        <f t="shared" si="1447"/>
        <v>7</v>
      </c>
      <c r="AR62" s="6">
        <f t="shared" si="1341"/>
        <v>0</v>
      </c>
      <c r="AS62" s="6">
        <f t="shared" si="1448"/>
        <v>4</v>
      </c>
      <c r="AT62" s="6">
        <f t="shared" si="1342"/>
        <v>1</v>
      </c>
      <c r="AU62" s="6">
        <f t="shared" si="1449"/>
        <v>6</v>
      </c>
      <c r="AV62" s="6">
        <f t="shared" si="1343"/>
        <v>0</v>
      </c>
      <c r="AW62" s="6">
        <f t="shared" si="1450"/>
        <v>2</v>
      </c>
      <c r="AX62" s="6">
        <f t="shared" si="1344"/>
        <v>0</v>
      </c>
      <c r="AY62" s="6">
        <f t="shared" si="1451"/>
        <v>3</v>
      </c>
      <c r="AZ62" s="6">
        <f t="shared" si="1345"/>
        <v>0</v>
      </c>
      <c r="BA62" s="6">
        <f t="shared" si="1452"/>
        <v>0</v>
      </c>
      <c r="BB62" s="6">
        <f t="shared" si="1346"/>
        <v>0</v>
      </c>
      <c r="BC62" s="6">
        <f t="shared" si="1453"/>
        <v>15</v>
      </c>
      <c r="BD62" s="6">
        <f t="shared" si="1347"/>
        <v>1</v>
      </c>
      <c r="BE62" s="6">
        <f t="shared" si="1454"/>
        <v>5</v>
      </c>
      <c r="BF62" s="6">
        <f t="shared" si="1348"/>
        <v>0</v>
      </c>
      <c r="BG62" s="6">
        <f t="shared" si="1455"/>
        <v>6</v>
      </c>
      <c r="BH62" s="6"/>
      <c r="BI62" s="6">
        <f t="shared" si="1456"/>
        <v>0</v>
      </c>
      <c r="BJ62" s="6"/>
      <c r="BK62" s="20">
        <f>AJ62-'Zusammenfassung Tag1-4'!$C$2/18</f>
        <v>3.3333333333333335</v>
      </c>
      <c r="BL62" s="21">
        <f t="shared" si="1457"/>
        <v>187.00000000000009</v>
      </c>
      <c r="BM62" s="18">
        <v>7</v>
      </c>
      <c r="BN62" s="6">
        <f t="shared" si="1458"/>
        <v>267</v>
      </c>
      <c r="BO62" s="19">
        <v>3</v>
      </c>
      <c r="BP62" s="6">
        <f t="shared" si="1459"/>
        <v>101</v>
      </c>
      <c r="BQ62" s="6">
        <f t="shared" si="1349"/>
        <v>0</v>
      </c>
      <c r="BR62" s="6">
        <f t="shared" si="1460"/>
        <v>8</v>
      </c>
      <c r="BS62" s="6">
        <f t="shared" si="1350"/>
        <v>0</v>
      </c>
      <c r="BT62" s="6">
        <f t="shared" si="1461"/>
        <v>4</v>
      </c>
      <c r="BU62" s="6">
        <f t="shared" si="1351"/>
        <v>0</v>
      </c>
      <c r="BV62" s="6">
        <f t="shared" si="1462"/>
        <v>0</v>
      </c>
      <c r="BW62" s="6">
        <f t="shared" si="1352"/>
        <v>0</v>
      </c>
      <c r="BX62" s="6">
        <f t="shared" si="1463"/>
        <v>2</v>
      </c>
      <c r="BY62" s="6">
        <f t="shared" si="1353"/>
        <v>0</v>
      </c>
      <c r="BZ62" s="6">
        <f t="shared" si="1464"/>
        <v>4</v>
      </c>
      <c r="CA62" s="6">
        <f t="shared" si="1354"/>
        <v>1</v>
      </c>
      <c r="CB62" s="6">
        <f t="shared" si="1465"/>
        <v>6</v>
      </c>
      <c r="CC62" s="6">
        <f t="shared" si="1355"/>
        <v>0</v>
      </c>
      <c r="CD62" s="6">
        <f t="shared" si="1466"/>
        <v>0</v>
      </c>
      <c r="CE62" s="6">
        <f t="shared" si="1356"/>
        <v>0</v>
      </c>
      <c r="CF62" s="6">
        <f t="shared" si="1467"/>
        <v>8</v>
      </c>
      <c r="CG62" s="6">
        <f t="shared" si="1357"/>
        <v>0</v>
      </c>
      <c r="CH62" s="6">
        <f t="shared" si="1468"/>
        <v>4</v>
      </c>
      <c r="CI62" s="6">
        <f t="shared" si="1358"/>
        <v>1</v>
      </c>
      <c r="CJ62" s="6">
        <f t="shared" si="1469"/>
        <v>13</v>
      </c>
      <c r="CK62" s="6"/>
      <c r="CL62" s="6">
        <f t="shared" si="1470"/>
        <v>3</v>
      </c>
      <c r="CM62" s="6"/>
      <c r="CN62" s="20">
        <f>BM62-'Zusammenfassung Tag1-4'!$D$2/18</f>
        <v>5.666666666666667</v>
      </c>
      <c r="CO62" s="21">
        <f t="shared" si="1471"/>
        <v>202.99999999999989</v>
      </c>
      <c r="CP62" s="18">
        <v>8</v>
      </c>
      <c r="CQ62" s="6">
        <f t="shared" si="1472"/>
        <v>253</v>
      </c>
      <c r="CR62" s="19">
        <v>3</v>
      </c>
      <c r="CS62" s="6">
        <f t="shared" si="1473"/>
        <v>99</v>
      </c>
      <c r="CT62" s="6">
        <f t="shared" si="1359"/>
        <v>0</v>
      </c>
      <c r="CU62" s="6">
        <f t="shared" si="1474"/>
        <v>10</v>
      </c>
      <c r="CV62" s="6">
        <f t="shared" si="1360"/>
        <v>0</v>
      </c>
      <c r="CW62" s="6">
        <f t="shared" si="1475"/>
        <v>4</v>
      </c>
      <c r="CX62" s="6">
        <f t="shared" si="1361"/>
        <v>0</v>
      </c>
      <c r="CY62" s="6">
        <f t="shared" si="1476"/>
        <v>0</v>
      </c>
      <c r="CZ62" s="6">
        <f t="shared" si="1362"/>
        <v>0</v>
      </c>
      <c r="DA62" s="6">
        <f t="shared" si="1477"/>
        <v>2</v>
      </c>
      <c r="DB62" s="6">
        <f t="shared" si="1363"/>
        <v>0</v>
      </c>
      <c r="DC62" s="6">
        <f t="shared" si="1478"/>
        <v>5</v>
      </c>
      <c r="DD62" s="6">
        <f t="shared" si="1364"/>
        <v>1</v>
      </c>
      <c r="DE62" s="6">
        <f t="shared" si="1479"/>
        <v>5</v>
      </c>
      <c r="DF62" s="6">
        <f t="shared" si="1365"/>
        <v>0</v>
      </c>
      <c r="DG62" s="6">
        <f t="shared" si="1480"/>
        <v>0</v>
      </c>
      <c r="DH62" s="6">
        <f t="shared" si="1366"/>
        <v>0</v>
      </c>
      <c r="DI62" s="6">
        <f t="shared" si="1481"/>
        <v>8</v>
      </c>
      <c r="DJ62" s="6">
        <f t="shared" si="1367"/>
        <v>0</v>
      </c>
      <c r="DK62" s="6">
        <f t="shared" si="1482"/>
        <v>6</v>
      </c>
      <c r="DL62" s="6">
        <f t="shared" si="1368"/>
        <v>1</v>
      </c>
      <c r="DM62" s="6">
        <f t="shared" si="1483"/>
        <v>11</v>
      </c>
      <c r="DN62" s="6"/>
      <c r="DO62" s="6">
        <f t="shared" si="1484"/>
        <v>4</v>
      </c>
      <c r="DP62" s="6"/>
      <c r="DQ62" s="20">
        <f>CP62-'Zusammenfassung Tag1-4'!$E$2/18</f>
        <v>6.7222222222222223</v>
      </c>
      <c r="DR62" s="22">
        <f t="shared" si="1485"/>
        <v>191.66666666666686</v>
      </c>
      <c r="DS62" s="18">
        <v>9</v>
      </c>
      <c r="DT62" s="6">
        <f t="shared" si="1486"/>
        <v>372</v>
      </c>
      <c r="DU62" s="19">
        <v>2</v>
      </c>
      <c r="DV62" s="6">
        <f t="shared" si="1487"/>
        <v>109</v>
      </c>
      <c r="DW62" s="6">
        <f t="shared" si="1369"/>
        <v>0</v>
      </c>
      <c r="DX62" s="6">
        <f t="shared" si="1488"/>
        <v>1</v>
      </c>
      <c r="DY62" s="6">
        <f t="shared" si="1370"/>
        <v>0</v>
      </c>
      <c r="DZ62" s="6">
        <f t="shared" si="1489"/>
        <v>0</v>
      </c>
      <c r="EA62" s="6">
        <f t="shared" si="1371"/>
        <v>0</v>
      </c>
      <c r="EB62" s="6">
        <f t="shared" si="1490"/>
        <v>0</v>
      </c>
      <c r="EC62" s="6">
        <f t="shared" si="1372"/>
        <v>0</v>
      </c>
      <c r="ED62" s="6">
        <f t="shared" si="1491"/>
        <v>0</v>
      </c>
      <c r="EE62" s="6">
        <f t="shared" si="1373"/>
        <v>0</v>
      </c>
      <c r="EF62" s="6">
        <f t="shared" si="1492"/>
        <v>0</v>
      </c>
      <c r="EG62" s="6">
        <f t="shared" si="1374"/>
        <v>1</v>
      </c>
      <c r="EH62" s="6">
        <f t="shared" si="1493"/>
        <v>12</v>
      </c>
      <c r="EI62" s="6">
        <f t="shared" si="1375"/>
        <v>0</v>
      </c>
      <c r="EJ62" s="6">
        <f t="shared" si="1494"/>
        <v>0</v>
      </c>
      <c r="EK62" s="6">
        <f t="shared" si="1376"/>
        <v>0</v>
      </c>
      <c r="EL62" s="6">
        <f t="shared" si="1495"/>
        <v>2</v>
      </c>
      <c r="EM62" s="6">
        <f t="shared" si="1377"/>
        <v>1</v>
      </c>
      <c r="EN62" s="6">
        <f t="shared" si="1496"/>
        <v>7</v>
      </c>
      <c r="EO62" s="6">
        <f t="shared" si="1378"/>
        <v>0</v>
      </c>
      <c r="EP62" s="6">
        <f t="shared" si="1497"/>
        <v>13</v>
      </c>
      <c r="EQ62" s="6"/>
      <c r="ER62" s="6">
        <f t="shared" si="1498"/>
        <v>5</v>
      </c>
      <c r="ES62" s="6"/>
      <c r="ET62" s="20">
        <f>DS62-'Zusammenfassung Tag1-4'!$F$2/18</f>
        <v>6</v>
      </c>
      <c r="EU62" s="22">
        <f t="shared" si="1499"/>
        <v>228</v>
      </c>
      <c r="EV62" s="18">
        <v>6</v>
      </c>
      <c r="EW62" s="6">
        <f t="shared" si="1500"/>
        <v>269</v>
      </c>
      <c r="EX62" s="19">
        <v>2</v>
      </c>
      <c r="EY62" s="6">
        <f t="shared" si="1501"/>
        <v>100</v>
      </c>
      <c r="EZ62" s="6">
        <f t="shared" si="1379"/>
        <v>0</v>
      </c>
      <c r="FA62" s="6">
        <f t="shared" si="1502"/>
        <v>9</v>
      </c>
      <c r="FB62" s="6">
        <f t="shared" si="1380"/>
        <v>0</v>
      </c>
      <c r="FC62" s="6">
        <f t="shared" si="1503"/>
        <v>0</v>
      </c>
      <c r="FD62" s="6">
        <f t="shared" si="1381"/>
        <v>0</v>
      </c>
      <c r="FE62" s="6">
        <f t="shared" si="1504"/>
        <v>0</v>
      </c>
      <c r="FF62" s="6">
        <f t="shared" si="1382"/>
        <v>0</v>
      </c>
      <c r="FG62" s="6">
        <f t="shared" si="1505"/>
        <v>0</v>
      </c>
      <c r="FH62" s="6">
        <f t="shared" si="1383"/>
        <v>0</v>
      </c>
      <c r="FI62" s="6">
        <f t="shared" si="1506"/>
        <v>7</v>
      </c>
      <c r="FJ62" s="6">
        <f t="shared" si="1384"/>
        <v>1</v>
      </c>
      <c r="FK62" s="6">
        <f t="shared" si="1507"/>
        <v>5</v>
      </c>
      <c r="FL62" s="6">
        <f t="shared" si="1385"/>
        <v>0</v>
      </c>
      <c r="FM62" s="6">
        <f t="shared" si="1508"/>
        <v>0</v>
      </c>
      <c r="FN62" s="6">
        <f t="shared" si="1386"/>
        <v>0</v>
      </c>
      <c r="FO62" s="6">
        <f t="shared" si="1509"/>
        <v>6</v>
      </c>
      <c r="FP62" s="6">
        <f t="shared" si="1387"/>
        <v>1</v>
      </c>
      <c r="FQ62" s="6">
        <f t="shared" si="1510"/>
        <v>7</v>
      </c>
      <c r="FR62" s="6">
        <f t="shared" si="1388"/>
        <v>0</v>
      </c>
      <c r="FS62" s="6">
        <f t="shared" si="1511"/>
        <v>10</v>
      </c>
      <c r="FT62" s="6"/>
      <c r="FU62" s="6">
        <f t="shared" si="1512"/>
        <v>2</v>
      </c>
      <c r="FV62" s="6"/>
      <c r="FW62" s="20">
        <f>EV62-'Zusammenfassung Tag1-4'!$G$2/18</f>
        <v>4.5</v>
      </c>
      <c r="FX62" s="22">
        <f t="shared" si="1513"/>
        <v>197</v>
      </c>
      <c r="FY62" s="18">
        <v>8</v>
      </c>
      <c r="FZ62" s="6">
        <f t="shared" si="1514"/>
        <v>345</v>
      </c>
      <c r="GA62" s="19">
        <v>2</v>
      </c>
      <c r="GB62" s="6">
        <f t="shared" si="1515"/>
        <v>115</v>
      </c>
      <c r="GC62" s="6">
        <f t="shared" si="1389"/>
        <v>0</v>
      </c>
      <c r="GD62" s="6">
        <f t="shared" si="1516"/>
        <v>2</v>
      </c>
      <c r="GE62" s="6">
        <f t="shared" si="1390"/>
        <v>0</v>
      </c>
      <c r="GF62" s="6">
        <f t="shared" si="1517"/>
        <v>0</v>
      </c>
      <c r="GG62" s="6">
        <f t="shared" si="1391"/>
        <v>0</v>
      </c>
      <c r="GH62" s="6">
        <f t="shared" si="1518"/>
        <v>0</v>
      </c>
      <c r="GI62" s="6">
        <f t="shared" si="1392"/>
        <v>0</v>
      </c>
      <c r="GJ62" s="6">
        <f t="shared" si="1519"/>
        <v>0</v>
      </c>
      <c r="GK62" s="6">
        <f t="shared" si="1393"/>
        <v>0</v>
      </c>
      <c r="GL62" s="6">
        <f t="shared" si="1520"/>
        <v>0</v>
      </c>
      <c r="GM62" s="6">
        <f t="shared" si="1394"/>
        <v>1</v>
      </c>
      <c r="GN62" s="6">
        <f t="shared" si="1521"/>
        <v>12</v>
      </c>
      <c r="GO62" s="6">
        <f t="shared" si="1395"/>
        <v>0</v>
      </c>
      <c r="GP62" s="6">
        <f t="shared" si="1522"/>
        <v>0</v>
      </c>
      <c r="GQ62" s="6">
        <f t="shared" si="1396"/>
        <v>0</v>
      </c>
      <c r="GR62" s="6">
        <f t="shared" si="1523"/>
        <v>2</v>
      </c>
      <c r="GS62" s="6">
        <f t="shared" si="1397"/>
        <v>1</v>
      </c>
      <c r="GT62" s="6">
        <f t="shared" si="1524"/>
        <v>6</v>
      </c>
      <c r="GU62" s="6">
        <f t="shared" si="1398"/>
        <v>0</v>
      </c>
      <c r="GV62" s="6">
        <f t="shared" si="1525"/>
        <v>21</v>
      </c>
      <c r="GW62" s="6"/>
      <c r="GX62" s="6">
        <f t="shared" si="1526"/>
        <v>4</v>
      </c>
      <c r="GY62" s="6"/>
      <c r="GZ62" s="20">
        <f>FY62-'Zusammenfassung Tag1-4'!$H$2/18</f>
        <v>5</v>
      </c>
      <c r="HA62" s="22">
        <f t="shared" si="1527"/>
        <v>201</v>
      </c>
      <c r="HB62" s="18">
        <v>7</v>
      </c>
      <c r="HC62" s="6">
        <f t="shared" si="1528"/>
        <v>256</v>
      </c>
      <c r="HD62" s="19">
        <v>2</v>
      </c>
      <c r="HE62" s="6">
        <f t="shared" si="1529"/>
        <v>102</v>
      </c>
      <c r="HF62" s="6">
        <f t="shared" si="1399"/>
        <v>0</v>
      </c>
      <c r="HG62" s="6">
        <f t="shared" si="1530"/>
        <v>15</v>
      </c>
      <c r="HH62" s="6">
        <f t="shared" si="1400"/>
        <v>0</v>
      </c>
      <c r="HI62" s="6">
        <f t="shared" si="1531"/>
        <v>4</v>
      </c>
      <c r="HJ62" s="6">
        <f t="shared" si="1401"/>
        <v>0</v>
      </c>
      <c r="HK62" s="6">
        <f t="shared" si="1532"/>
        <v>0</v>
      </c>
      <c r="HL62" s="6">
        <f t="shared" si="1402"/>
        <v>0</v>
      </c>
      <c r="HM62" s="6">
        <f t="shared" si="1533"/>
        <v>2</v>
      </c>
      <c r="HN62" s="6">
        <f t="shared" si="1403"/>
        <v>0</v>
      </c>
      <c r="HO62" s="6">
        <f t="shared" si="1534"/>
        <v>5</v>
      </c>
      <c r="HP62" s="6">
        <f t="shared" si="1404"/>
        <v>1</v>
      </c>
      <c r="HQ62" s="6">
        <f t="shared" si="1535"/>
        <v>5</v>
      </c>
      <c r="HR62" s="6">
        <f t="shared" si="1405"/>
        <v>0</v>
      </c>
      <c r="HS62" s="6">
        <f t="shared" si="1536"/>
        <v>0</v>
      </c>
      <c r="HT62" s="6">
        <f t="shared" si="1406"/>
        <v>0</v>
      </c>
      <c r="HU62" s="6">
        <f t="shared" si="1537"/>
        <v>6</v>
      </c>
      <c r="HV62" s="6">
        <f t="shared" si="1407"/>
        <v>1</v>
      </c>
      <c r="HW62" s="6">
        <f t="shared" si="1538"/>
        <v>6</v>
      </c>
      <c r="HX62" s="6">
        <f t="shared" si="1408"/>
        <v>0</v>
      </c>
      <c r="HY62" s="6">
        <f t="shared" si="1539"/>
        <v>12</v>
      </c>
      <c r="HZ62" s="6"/>
      <c r="IA62" s="6">
        <f t="shared" si="1540"/>
        <v>3</v>
      </c>
      <c r="IB62" s="6"/>
      <c r="IC62" s="20">
        <f>HB62-'Zusammenfassung Tag1-4'!$I$2/18</f>
        <v>6</v>
      </c>
      <c r="ID62" s="22">
        <f t="shared" si="1541"/>
        <v>208</v>
      </c>
      <c r="IE62" s="18">
        <v>7</v>
      </c>
      <c r="IF62" s="6">
        <f t="shared" si="1542"/>
        <v>86</v>
      </c>
      <c r="IG62" s="19">
        <v>2</v>
      </c>
      <c r="IH62" s="6">
        <f t="shared" si="1543"/>
        <v>32</v>
      </c>
      <c r="II62" s="6">
        <f t="shared" si="1409"/>
        <v>0</v>
      </c>
      <c r="IJ62" s="6">
        <f t="shared" si="1544"/>
        <v>37</v>
      </c>
      <c r="IK62" s="6">
        <f t="shared" si="1410"/>
        <v>0</v>
      </c>
      <c r="IL62" s="6">
        <f t="shared" si="1545"/>
        <v>0</v>
      </c>
      <c r="IM62" s="6">
        <f t="shared" si="1411"/>
        <v>0</v>
      </c>
      <c r="IN62" s="6">
        <f t="shared" si="1546"/>
        <v>0</v>
      </c>
      <c r="IO62" s="6">
        <f t="shared" si="1412"/>
        <v>0</v>
      </c>
      <c r="IP62" s="6">
        <f t="shared" si="1547"/>
        <v>0</v>
      </c>
      <c r="IQ62" s="6">
        <f t="shared" si="1413"/>
        <v>0</v>
      </c>
      <c r="IR62" s="6">
        <f t="shared" si="1548"/>
        <v>2</v>
      </c>
      <c r="IS62" s="6">
        <f t="shared" si="1414"/>
        <v>1</v>
      </c>
      <c r="IT62" s="6">
        <f t="shared" si="1549"/>
        <v>10</v>
      </c>
      <c r="IU62" s="6">
        <f t="shared" si="1415"/>
        <v>0</v>
      </c>
      <c r="IV62" s="6">
        <f t="shared" si="1550"/>
        <v>0</v>
      </c>
      <c r="IW62" s="6">
        <f t="shared" si="1416"/>
        <v>0</v>
      </c>
      <c r="IX62" s="6">
        <f t="shared" si="1551"/>
        <v>0</v>
      </c>
      <c r="IY62" s="6">
        <f t="shared" si="1417"/>
        <v>1</v>
      </c>
      <c r="IZ62" s="6">
        <f t="shared" si="1552"/>
        <v>5</v>
      </c>
      <c r="JA62" s="6">
        <f t="shared" si="1418"/>
        <v>0</v>
      </c>
      <c r="JB62" s="6">
        <f t="shared" si="1553"/>
        <v>7</v>
      </c>
      <c r="JC62" s="6"/>
      <c r="JD62" s="6">
        <f t="shared" si="1554"/>
        <v>3</v>
      </c>
      <c r="JE62" s="6"/>
      <c r="JF62" s="20">
        <f>IE62-'Zusammenfassung Tag1-4'!$J$2/18</f>
        <v>4</v>
      </c>
      <c r="JG62" s="22">
        <f t="shared" si="1555"/>
        <v>-58</v>
      </c>
      <c r="JH62" s="18">
        <v>4</v>
      </c>
      <c r="JI62" s="6">
        <f t="shared" si="1556"/>
        <v>60</v>
      </c>
      <c r="JJ62" s="19">
        <v>2</v>
      </c>
      <c r="JK62" s="6">
        <f t="shared" si="1557"/>
        <v>24</v>
      </c>
      <c r="JL62" s="6">
        <f t="shared" si="1419"/>
        <v>1</v>
      </c>
      <c r="JM62" s="6">
        <f t="shared" si="1558"/>
        <v>41</v>
      </c>
      <c r="JN62" s="6">
        <f t="shared" si="1420"/>
        <v>0</v>
      </c>
      <c r="JO62" s="6">
        <f t="shared" si="1559"/>
        <v>1</v>
      </c>
      <c r="JP62" s="6">
        <f t="shared" si="1421"/>
        <v>0</v>
      </c>
      <c r="JQ62" s="6">
        <f t="shared" si="1560"/>
        <v>0</v>
      </c>
      <c r="JR62" s="6">
        <f t="shared" si="1422"/>
        <v>1</v>
      </c>
      <c r="JS62" s="6">
        <f t="shared" si="1561"/>
        <v>6</v>
      </c>
      <c r="JT62" s="6">
        <f t="shared" si="1423"/>
        <v>0</v>
      </c>
      <c r="JU62" s="6">
        <f t="shared" si="1562"/>
        <v>1</v>
      </c>
      <c r="JV62" s="6">
        <f t="shared" si="1424"/>
        <v>0</v>
      </c>
      <c r="JW62" s="6">
        <f t="shared" si="1563"/>
        <v>5</v>
      </c>
      <c r="JX62" s="6">
        <f t="shared" si="1425"/>
        <v>0</v>
      </c>
      <c r="JY62" s="6">
        <f t="shared" si="1564"/>
        <v>0</v>
      </c>
      <c r="JZ62" s="6">
        <f t="shared" si="1426"/>
        <v>0</v>
      </c>
      <c r="KA62" s="6">
        <f t="shared" si="1565"/>
        <v>1</v>
      </c>
      <c r="KB62" s="6">
        <f t="shared" si="1427"/>
        <v>1</v>
      </c>
      <c r="KC62" s="6">
        <f t="shared" si="1566"/>
        <v>10</v>
      </c>
      <c r="KD62" s="6">
        <f t="shared" si="1428"/>
        <v>0</v>
      </c>
      <c r="KE62" s="6">
        <f t="shared" si="1567"/>
        <v>1</v>
      </c>
      <c r="KF62" s="6"/>
      <c r="KG62" s="6">
        <f t="shared" si="1568"/>
        <v>0</v>
      </c>
      <c r="KH62" s="6"/>
      <c r="KI62" s="20">
        <f>JH62-'Zusammenfassung Tag1-4'!$K$2/18</f>
        <v>3.2222222222222223</v>
      </c>
      <c r="KJ62" s="22">
        <f t="shared" si="1569"/>
        <v>22.666666666666643</v>
      </c>
      <c r="KK62" s="10"/>
      <c r="KL62" s="10"/>
      <c r="KM62" s="10"/>
      <c r="KN62" s="10"/>
      <c r="KO62" s="10"/>
      <c r="KP62" s="10"/>
      <c r="KQ62" s="10"/>
      <c r="KR62" s="10"/>
      <c r="KS62" s="10"/>
      <c r="KT62" s="10"/>
      <c r="KU62" s="10"/>
      <c r="KV62" s="10"/>
      <c r="KW62" s="10"/>
      <c r="KX62" s="10"/>
      <c r="KY62" s="10"/>
      <c r="KZ62" s="10"/>
      <c r="LA62" s="10"/>
      <c r="LB62" s="10"/>
      <c r="LC62" s="10"/>
      <c r="LD62" s="10"/>
    </row>
    <row r="63" spans="1:316" ht="15.75" customHeight="1" x14ac:dyDescent="0.25">
      <c r="A63" s="106"/>
      <c r="B63" s="103"/>
      <c r="C63" s="6">
        <v>13</v>
      </c>
      <c r="D63" s="6">
        <f t="shared" si="1429"/>
        <v>49</v>
      </c>
      <c r="E63" s="6">
        <v>5</v>
      </c>
      <c r="F63" s="7">
        <f t="shared" si="1430"/>
        <v>197</v>
      </c>
      <c r="G63" s="18"/>
      <c r="H63" s="6"/>
      <c r="I63" s="19"/>
      <c r="J63" s="6">
        <f t="shared" si="1431"/>
        <v>71</v>
      </c>
      <c r="K63" s="6">
        <f t="shared" si="1329"/>
        <v>1</v>
      </c>
      <c r="L63" s="6">
        <f t="shared" si="1432"/>
        <v>28</v>
      </c>
      <c r="M63" s="6">
        <f t="shared" si="1330"/>
        <v>0</v>
      </c>
      <c r="N63" s="6">
        <f t="shared" si="1433"/>
        <v>3</v>
      </c>
      <c r="O63" s="6">
        <f t="shared" si="1331"/>
        <v>0</v>
      </c>
      <c r="P63" s="6">
        <f t="shared" si="1434"/>
        <v>1</v>
      </c>
      <c r="Q63" s="6">
        <f t="shared" si="1332"/>
        <v>0</v>
      </c>
      <c r="R63" s="6">
        <f t="shared" si="1435"/>
        <v>0</v>
      </c>
      <c r="S63" s="6">
        <f t="shared" si="1333"/>
        <v>0</v>
      </c>
      <c r="T63" s="6">
        <f t="shared" si="1436"/>
        <v>0</v>
      </c>
      <c r="U63" s="6">
        <f t="shared" si="1334"/>
        <v>0</v>
      </c>
      <c r="V63" s="6">
        <f t="shared" si="1437"/>
        <v>0</v>
      </c>
      <c r="W63" s="6">
        <f t="shared" si="1335"/>
        <v>1</v>
      </c>
      <c r="X63" s="6">
        <f t="shared" si="1438"/>
        <v>13</v>
      </c>
      <c r="Y63" s="6">
        <f t="shared" si="1336"/>
        <v>0</v>
      </c>
      <c r="Z63" s="6">
        <f t="shared" si="1439"/>
        <v>7</v>
      </c>
      <c r="AA63" s="6">
        <f t="shared" si="1337"/>
        <v>0</v>
      </c>
      <c r="AB63" s="6">
        <f t="shared" si="1440"/>
        <v>0</v>
      </c>
      <c r="AC63" s="6">
        <f t="shared" si="1338"/>
        <v>0</v>
      </c>
      <c r="AD63" s="6">
        <f t="shared" si="1441"/>
        <v>5</v>
      </c>
      <c r="AE63" s="6"/>
      <c r="AF63" s="6"/>
      <c r="AG63" s="6">
        <f>IF($E63=5,G63-5,NA())</f>
        <v>-5</v>
      </c>
      <c r="AH63" s="20">
        <f>G63-'Zusammenfassung Tag1-4'!$B$2/18</f>
        <v>-1.1111111111111112</v>
      </c>
      <c r="AI63" s="21">
        <f t="shared" si="1443"/>
        <v>122.55555555555543</v>
      </c>
      <c r="AJ63" s="18">
        <v>8</v>
      </c>
      <c r="AK63" s="6">
        <f t="shared" si="1444"/>
        <v>227</v>
      </c>
      <c r="AL63" s="19">
        <v>2</v>
      </c>
      <c r="AM63" s="6">
        <f t="shared" si="1445"/>
        <v>89</v>
      </c>
      <c r="AN63" s="6">
        <f t="shared" si="1339"/>
        <v>0</v>
      </c>
      <c r="AO63" s="6">
        <f t="shared" si="1446"/>
        <v>26</v>
      </c>
      <c r="AP63" s="6">
        <f t="shared" si="1340"/>
        <v>0</v>
      </c>
      <c r="AQ63" s="6">
        <f t="shared" si="1447"/>
        <v>7</v>
      </c>
      <c r="AR63" s="6">
        <f t="shared" si="1341"/>
        <v>0</v>
      </c>
      <c r="AS63" s="6">
        <f t="shared" si="1448"/>
        <v>4</v>
      </c>
      <c r="AT63" s="6">
        <f t="shared" si="1342"/>
        <v>0</v>
      </c>
      <c r="AU63" s="6">
        <f t="shared" si="1449"/>
        <v>6</v>
      </c>
      <c r="AV63" s="6">
        <f t="shared" si="1343"/>
        <v>0</v>
      </c>
      <c r="AW63" s="6">
        <f t="shared" si="1450"/>
        <v>2</v>
      </c>
      <c r="AX63" s="6">
        <f t="shared" si="1344"/>
        <v>1</v>
      </c>
      <c r="AY63" s="6">
        <f t="shared" si="1451"/>
        <v>4</v>
      </c>
      <c r="AZ63" s="6">
        <f t="shared" si="1345"/>
        <v>0</v>
      </c>
      <c r="BA63" s="6">
        <f t="shared" si="1452"/>
        <v>0</v>
      </c>
      <c r="BB63" s="6">
        <f t="shared" si="1346"/>
        <v>0</v>
      </c>
      <c r="BC63" s="6">
        <f t="shared" si="1453"/>
        <v>15</v>
      </c>
      <c r="BD63" s="6">
        <f t="shared" si="1347"/>
        <v>1</v>
      </c>
      <c r="BE63" s="6">
        <f t="shared" si="1454"/>
        <v>6</v>
      </c>
      <c r="BF63" s="6">
        <f t="shared" si="1348"/>
        <v>0</v>
      </c>
      <c r="BG63" s="6">
        <f t="shared" si="1455"/>
        <v>6</v>
      </c>
      <c r="BH63" s="6"/>
      <c r="BI63" s="6"/>
      <c r="BJ63" s="6">
        <f>IF($E63=5,AJ63-5,NA())</f>
        <v>3</v>
      </c>
      <c r="BK63" s="20">
        <f>AJ63-'Zusammenfassung Tag1-4'!$C$2/18</f>
        <v>7.333333333333333</v>
      </c>
      <c r="BL63" s="21">
        <f t="shared" si="1457"/>
        <v>194.33333333333343</v>
      </c>
      <c r="BM63" s="18">
        <v>6</v>
      </c>
      <c r="BN63" s="6">
        <f t="shared" si="1458"/>
        <v>273</v>
      </c>
      <c r="BO63" s="19">
        <v>2</v>
      </c>
      <c r="BP63" s="6">
        <f t="shared" si="1459"/>
        <v>103</v>
      </c>
      <c r="BQ63" s="6">
        <f t="shared" si="1349"/>
        <v>0</v>
      </c>
      <c r="BR63" s="6">
        <f t="shared" si="1460"/>
        <v>8</v>
      </c>
      <c r="BS63" s="6">
        <f t="shared" si="1350"/>
        <v>0</v>
      </c>
      <c r="BT63" s="6">
        <f t="shared" si="1461"/>
        <v>4</v>
      </c>
      <c r="BU63" s="6">
        <f t="shared" si="1351"/>
        <v>0</v>
      </c>
      <c r="BV63" s="6">
        <f t="shared" si="1462"/>
        <v>0</v>
      </c>
      <c r="BW63" s="6">
        <f t="shared" si="1352"/>
        <v>0</v>
      </c>
      <c r="BX63" s="6">
        <f t="shared" si="1463"/>
        <v>2</v>
      </c>
      <c r="BY63" s="6">
        <f t="shared" si="1353"/>
        <v>1</v>
      </c>
      <c r="BZ63" s="6">
        <f t="shared" si="1464"/>
        <v>5</v>
      </c>
      <c r="CA63" s="6">
        <f t="shared" si="1354"/>
        <v>0</v>
      </c>
      <c r="CB63" s="6">
        <f t="shared" si="1465"/>
        <v>6</v>
      </c>
      <c r="CC63" s="6">
        <f t="shared" si="1355"/>
        <v>0</v>
      </c>
      <c r="CD63" s="6">
        <f t="shared" si="1466"/>
        <v>0</v>
      </c>
      <c r="CE63" s="6">
        <f t="shared" si="1356"/>
        <v>0</v>
      </c>
      <c r="CF63" s="6">
        <f t="shared" si="1467"/>
        <v>8</v>
      </c>
      <c r="CG63" s="6">
        <f t="shared" si="1357"/>
        <v>1</v>
      </c>
      <c r="CH63" s="6">
        <f t="shared" si="1468"/>
        <v>5</v>
      </c>
      <c r="CI63" s="6">
        <f t="shared" si="1358"/>
        <v>0</v>
      </c>
      <c r="CJ63" s="6">
        <f t="shared" si="1469"/>
        <v>13</v>
      </c>
      <c r="CK63" s="6"/>
      <c r="CL63" s="6"/>
      <c r="CM63" s="6">
        <f>IF($E63=5,BM63-5,NA())</f>
        <v>1</v>
      </c>
      <c r="CN63" s="20">
        <f>BM63-'Zusammenfassung Tag1-4'!$D$2/18</f>
        <v>4.666666666666667</v>
      </c>
      <c r="CO63" s="21">
        <f t="shared" si="1471"/>
        <v>207.66666666666654</v>
      </c>
      <c r="CP63" s="18">
        <v>6</v>
      </c>
      <c r="CQ63" s="6">
        <f t="shared" si="1472"/>
        <v>259</v>
      </c>
      <c r="CR63" s="19">
        <v>1</v>
      </c>
      <c r="CS63" s="6">
        <f t="shared" si="1473"/>
        <v>100</v>
      </c>
      <c r="CT63" s="6">
        <f t="shared" si="1359"/>
        <v>0</v>
      </c>
      <c r="CU63" s="6">
        <f t="shared" si="1474"/>
        <v>10</v>
      </c>
      <c r="CV63" s="6">
        <f t="shared" si="1360"/>
        <v>0</v>
      </c>
      <c r="CW63" s="6">
        <f t="shared" si="1475"/>
        <v>4</v>
      </c>
      <c r="CX63" s="6">
        <f t="shared" si="1361"/>
        <v>0</v>
      </c>
      <c r="CY63" s="6">
        <f t="shared" si="1476"/>
        <v>0</v>
      </c>
      <c r="CZ63" s="6">
        <f t="shared" si="1362"/>
        <v>0</v>
      </c>
      <c r="DA63" s="6">
        <f t="shared" si="1477"/>
        <v>2</v>
      </c>
      <c r="DB63" s="6">
        <f t="shared" si="1363"/>
        <v>1</v>
      </c>
      <c r="DC63" s="6">
        <f t="shared" si="1478"/>
        <v>6</v>
      </c>
      <c r="DD63" s="6">
        <f t="shared" si="1364"/>
        <v>0</v>
      </c>
      <c r="DE63" s="6">
        <f t="shared" si="1479"/>
        <v>5</v>
      </c>
      <c r="DF63" s="6">
        <f t="shared" si="1365"/>
        <v>0</v>
      </c>
      <c r="DG63" s="6">
        <f t="shared" si="1480"/>
        <v>0</v>
      </c>
      <c r="DH63" s="6">
        <f t="shared" si="1366"/>
        <v>1</v>
      </c>
      <c r="DI63" s="6">
        <f t="shared" si="1481"/>
        <v>9</v>
      </c>
      <c r="DJ63" s="6">
        <f t="shared" si="1367"/>
        <v>0</v>
      </c>
      <c r="DK63" s="6">
        <f t="shared" si="1482"/>
        <v>6</v>
      </c>
      <c r="DL63" s="6">
        <f t="shared" si="1368"/>
        <v>0</v>
      </c>
      <c r="DM63" s="6">
        <f t="shared" si="1483"/>
        <v>11</v>
      </c>
      <c r="DN63" s="6"/>
      <c r="DO63" s="6"/>
      <c r="DP63" s="6">
        <f>IF($E63=5,CP63-5,NA())</f>
        <v>1</v>
      </c>
      <c r="DQ63" s="20">
        <f>CP63-'Zusammenfassung Tag1-4'!$E$2/18</f>
        <v>4.7222222222222223</v>
      </c>
      <c r="DR63" s="22">
        <f t="shared" si="1485"/>
        <v>196.38888888888908</v>
      </c>
      <c r="DS63" s="18">
        <v>9</v>
      </c>
      <c r="DT63" s="6">
        <f t="shared" si="1486"/>
        <v>381</v>
      </c>
      <c r="DU63" s="19">
        <v>2</v>
      </c>
      <c r="DV63" s="6">
        <f t="shared" si="1487"/>
        <v>111</v>
      </c>
      <c r="DW63" s="6">
        <f t="shared" si="1369"/>
        <v>0</v>
      </c>
      <c r="DX63" s="6">
        <f t="shared" si="1488"/>
        <v>1</v>
      </c>
      <c r="DY63" s="6">
        <f t="shared" si="1370"/>
        <v>0</v>
      </c>
      <c r="DZ63" s="6">
        <f t="shared" si="1489"/>
        <v>0</v>
      </c>
      <c r="EA63" s="6">
        <f t="shared" si="1371"/>
        <v>0</v>
      </c>
      <c r="EB63" s="6">
        <f t="shared" si="1490"/>
        <v>0</v>
      </c>
      <c r="EC63" s="6">
        <f t="shared" si="1372"/>
        <v>0</v>
      </c>
      <c r="ED63" s="6">
        <f t="shared" si="1491"/>
        <v>0</v>
      </c>
      <c r="EE63" s="6">
        <f t="shared" si="1373"/>
        <v>0</v>
      </c>
      <c r="EF63" s="6">
        <f t="shared" si="1492"/>
        <v>0</v>
      </c>
      <c r="EG63" s="6">
        <f t="shared" si="1374"/>
        <v>1</v>
      </c>
      <c r="EH63" s="6">
        <f t="shared" si="1493"/>
        <v>13</v>
      </c>
      <c r="EI63" s="6">
        <f t="shared" si="1375"/>
        <v>0</v>
      </c>
      <c r="EJ63" s="6">
        <f t="shared" si="1494"/>
        <v>0</v>
      </c>
      <c r="EK63" s="6">
        <f t="shared" si="1376"/>
        <v>0</v>
      </c>
      <c r="EL63" s="6">
        <f t="shared" si="1495"/>
        <v>2</v>
      </c>
      <c r="EM63" s="6">
        <f t="shared" si="1377"/>
        <v>1</v>
      </c>
      <c r="EN63" s="6">
        <f t="shared" si="1496"/>
        <v>8</v>
      </c>
      <c r="EO63" s="6">
        <f t="shared" si="1378"/>
        <v>0</v>
      </c>
      <c r="EP63" s="6">
        <f t="shared" si="1497"/>
        <v>13</v>
      </c>
      <c r="EQ63" s="6"/>
      <c r="ER63" s="6"/>
      <c r="ES63" s="6">
        <f>IF($E63=5,DS63-5,NA())</f>
        <v>4</v>
      </c>
      <c r="ET63" s="20">
        <f>DS63-'Zusammenfassung Tag1-4'!$F$2/18</f>
        <v>6</v>
      </c>
      <c r="EU63" s="22">
        <f t="shared" si="1499"/>
        <v>234</v>
      </c>
      <c r="EV63" s="18">
        <v>5</v>
      </c>
      <c r="EW63" s="6">
        <f t="shared" si="1500"/>
        <v>274</v>
      </c>
      <c r="EX63" s="19">
        <v>1</v>
      </c>
      <c r="EY63" s="6">
        <f t="shared" si="1501"/>
        <v>101</v>
      </c>
      <c r="EZ63" s="6">
        <f t="shared" si="1379"/>
        <v>0</v>
      </c>
      <c r="FA63" s="6">
        <f t="shared" si="1502"/>
        <v>9</v>
      </c>
      <c r="FB63" s="6">
        <f t="shared" si="1380"/>
        <v>1</v>
      </c>
      <c r="FC63" s="6">
        <f t="shared" si="1503"/>
        <v>1</v>
      </c>
      <c r="FD63" s="6">
        <f t="shared" si="1381"/>
        <v>0</v>
      </c>
      <c r="FE63" s="6">
        <f t="shared" si="1504"/>
        <v>0</v>
      </c>
      <c r="FF63" s="6">
        <f t="shared" si="1382"/>
        <v>1</v>
      </c>
      <c r="FG63" s="6">
        <f t="shared" si="1505"/>
        <v>1</v>
      </c>
      <c r="FH63" s="6">
        <f t="shared" si="1383"/>
        <v>0</v>
      </c>
      <c r="FI63" s="6">
        <f t="shared" si="1506"/>
        <v>7</v>
      </c>
      <c r="FJ63" s="6">
        <f t="shared" si="1384"/>
        <v>0</v>
      </c>
      <c r="FK63" s="6">
        <f t="shared" si="1507"/>
        <v>5</v>
      </c>
      <c r="FL63" s="6">
        <f t="shared" si="1385"/>
        <v>0</v>
      </c>
      <c r="FM63" s="6">
        <f t="shared" si="1508"/>
        <v>0</v>
      </c>
      <c r="FN63" s="6">
        <f t="shared" si="1386"/>
        <v>1</v>
      </c>
      <c r="FO63" s="6">
        <f t="shared" si="1509"/>
        <v>7</v>
      </c>
      <c r="FP63" s="6">
        <f t="shared" si="1387"/>
        <v>0</v>
      </c>
      <c r="FQ63" s="6">
        <f t="shared" si="1510"/>
        <v>7</v>
      </c>
      <c r="FR63" s="6">
        <f t="shared" si="1388"/>
        <v>0</v>
      </c>
      <c r="FS63" s="6">
        <f t="shared" si="1511"/>
        <v>10</v>
      </c>
      <c r="FT63" s="6"/>
      <c r="FU63" s="6"/>
      <c r="FV63" s="6">
        <f>IF($E63=5,EV63-5,NA())</f>
        <v>0</v>
      </c>
      <c r="FW63" s="20">
        <f>EV63-'Zusammenfassung Tag1-4'!$G$2/18</f>
        <v>3.5</v>
      </c>
      <c r="FX63" s="22">
        <f t="shared" si="1513"/>
        <v>200.5</v>
      </c>
      <c r="FY63" s="18">
        <v>10</v>
      </c>
      <c r="FZ63" s="6">
        <f t="shared" si="1514"/>
        <v>355</v>
      </c>
      <c r="GA63" s="19">
        <v>2</v>
      </c>
      <c r="GB63" s="6">
        <f t="shared" si="1515"/>
        <v>117</v>
      </c>
      <c r="GC63" s="6">
        <f t="shared" si="1389"/>
        <v>0</v>
      </c>
      <c r="GD63" s="6">
        <f t="shared" si="1516"/>
        <v>2</v>
      </c>
      <c r="GE63" s="6">
        <f t="shared" si="1390"/>
        <v>0</v>
      </c>
      <c r="GF63" s="6">
        <f t="shared" si="1517"/>
        <v>0</v>
      </c>
      <c r="GG63" s="6">
        <f t="shared" si="1391"/>
        <v>0</v>
      </c>
      <c r="GH63" s="6">
        <f t="shared" si="1518"/>
        <v>0</v>
      </c>
      <c r="GI63" s="6">
        <f t="shared" si="1392"/>
        <v>0</v>
      </c>
      <c r="GJ63" s="6">
        <f t="shared" si="1519"/>
        <v>0</v>
      </c>
      <c r="GK63" s="6">
        <f t="shared" si="1393"/>
        <v>0</v>
      </c>
      <c r="GL63" s="6">
        <f t="shared" si="1520"/>
        <v>0</v>
      </c>
      <c r="GM63" s="6">
        <f t="shared" si="1394"/>
        <v>1</v>
      </c>
      <c r="GN63" s="6">
        <f t="shared" si="1521"/>
        <v>13</v>
      </c>
      <c r="GO63" s="6">
        <f t="shared" si="1395"/>
        <v>0</v>
      </c>
      <c r="GP63" s="6">
        <f t="shared" si="1522"/>
        <v>0</v>
      </c>
      <c r="GQ63" s="6">
        <f t="shared" si="1396"/>
        <v>0</v>
      </c>
      <c r="GR63" s="6">
        <f t="shared" si="1523"/>
        <v>2</v>
      </c>
      <c r="GS63" s="6">
        <f t="shared" si="1397"/>
        <v>1</v>
      </c>
      <c r="GT63" s="6">
        <f t="shared" si="1524"/>
        <v>7</v>
      </c>
      <c r="GU63" s="6">
        <f t="shared" si="1398"/>
        <v>0</v>
      </c>
      <c r="GV63" s="6">
        <f t="shared" si="1525"/>
        <v>21</v>
      </c>
      <c r="GW63" s="6"/>
      <c r="GX63" s="6"/>
      <c r="GY63" s="6">
        <f>IF($E63=5,FY63-5,NA())</f>
        <v>5</v>
      </c>
      <c r="GZ63" s="20">
        <f>FY63-'Zusammenfassung Tag1-4'!$H$2/18</f>
        <v>7</v>
      </c>
      <c r="HA63" s="22">
        <f t="shared" si="1527"/>
        <v>208</v>
      </c>
      <c r="HB63" s="18">
        <v>8</v>
      </c>
      <c r="HC63" s="6">
        <f t="shared" si="1528"/>
        <v>264</v>
      </c>
      <c r="HD63" s="19">
        <v>2</v>
      </c>
      <c r="HE63" s="6">
        <f t="shared" si="1529"/>
        <v>104</v>
      </c>
      <c r="HF63" s="6">
        <f t="shared" si="1399"/>
        <v>0</v>
      </c>
      <c r="HG63" s="6">
        <f t="shared" si="1530"/>
        <v>15</v>
      </c>
      <c r="HH63" s="6">
        <f t="shared" si="1400"/>
        <v>0</v>
      </c>
      <c r="HI63" s="6">
        <f t="shared" si="1531"/>
        <v>4</v>
      </c>
      <c r="HJ63" s="6">
        <f t="shared" si="1401"/>
        <v>0</v>
      </c>
      <c r="HK63" s="6">
        <f t="shared" si="1532"/>
        <v>0</v>
      </c>
      <c r="HL63" s="6">
        <f t="shared" si="1402"/>
        <v>0</v>
      </c>
      <c r="HM63" s="6">
        <f t="shared" si="1533"/>
        <v>2</v>
      </c>
      <c r="HN63" s="6">
        <f t="shared" si="1403"/>
        <v>0</v>
      </c>
      <c r="HO63" s="6">
        <f t="shared" si="1534"/>
        <v>5</v>
      </c>
      <c r="HP63" s="6">
        <f t="shared" si="1404"/>
        <v>1</v>
      </c>
      <c r="HQ63" s="6">
        <f t="shared" si="1535"/>
        <v>6</v>
      </c>
      <c r="HR63" s="6">
        <f t="shared" si="1405"/>
        <v>0</v>
      </c>
      <c r="HS63" s="6">
        <f t="shared" si="1536"/>
        <v>0</v>
      </c>
      <c r="HT63" s="6">
        <f t="shared" si="1406"/>
        <v>0</v>
      </c>
      <c r="HU63" s="6">
        <f t="shared" si="1537"/>
        <v>6</v>
      </c>
      <c r="HV63" s="6">
        <f t="shared" si="1407"/>
        <v>1</v>
      </c>
      <c r="HW63" s="6">
        <f t="shared" si="1538"/>
        <v>7</v>
      </c>
      <c r="HX63" s="6">
        <f t="shared" si="1408"/>
        <v>0</v>
      </c>
      <c r="HY63" s="6">
        <f t="shared" si="1539"/>
        <v>12</v>
      </c>
      <c r="HZ63" s="6"/>
      <c r="IA63" s="6"/>
      <c r="IB63" s="6">
        <f>IF($E63=5,HB63-5,NA())</f>
        <v>3</v>
      </c>
      <c r="IC63" s="20">
        <f>HB63-'Zusammenfassung Tag1-4'!$I$2/18</f>
        <v>7</v>
      </c>
      <c r="ID63" s="22">
        <f t="shared" si="1541"/>
        <v>215</v>
      </c>
      <c r="IE63" s="18">
        <v>8</v>
      </c>
      <c r="IF63" s="6">
        <f t="shared" si="1542"/>
        <v>94</v>
      </c>
      <c r="IG63" s="19">
        <v>3</v>
      </c>
      <c r="IH63" s="6">
        <f t="shared" si="1543"/>
        <v>35</v>
      </c>
      <c r="II63" s="6">
        <f t="shared" si="1409"/>
        <v>0</v>
      </c>
      <c r="IJ63" s="6">
        <f t="shared" si="1544"/>
        <v>37</v>
      </c>
      <c r="IK63" s="6">
        <f t="shared" si="1410"/>
        <v>0</v>
      </c>
      <c r="IL63" s="6">
        <f t="shared" si="1545"/>
        <v>0</v>
      </c>
      <c r="IM63" s="6">
        <f t="shared" si="1411"/>
        <v>0</v>
      </c>
      <c r="IN63" s="6">
        <f t="shared" si="1546"/>
        <v>0</v>
      </c>
      <c r="IO63" s="6">
        <f t="shared" si="1412"/>
        <v>0</v>
      </c>
      <c r="IP63" s="6">
        <f t="shared" si="1547"/>
        <v>0</v>
      </c>
      <c r="IQ63" s="6">
        <f t="shared" si="1413"/>
        <v>0</v>
      </c>
      <c r="IR63" s="6">
        <f t="shared" si="1548"/>
        <v>2</v>
      </c>
      <c r="IS63" s="6">
        <f t="shared" si="1414"/>
        <v>1</v>
      </c>
      <c r="IT63" s="6">
        <f t="shared" si="1549"/>
        <v>11</v>
      </c>
      <c r="IU63" s="6">
        <f t="shared" si="1415"/>
        <v>0</v>
      </c>
      <c r="IV63" s="6">
        <f t="shared" si="1550"/>
        <v>0</v>
      </c>
      <c r="IW63" s="6">
        <f t="shared" si="1416"/>
        <v>0</v>
      </c>
      <c r="IX63" s="6">
        <f t="shared" si="1551"/>
        <v>0</v>
      </c>
      <c r="IY63" s="6">
        <f t="shared" si="1417"/>
        <v>0</v>
      </c>
      <c r="IZ63" s="6">
        <f t="shared" si="1552"/>
        <v>5</v>
      </c>
      <c r="JA63" s="6">
        <f t="shared" si="1418"/>
        <v>1</v>
      </c>
      <c r="JB63" s="6">
        <f t="shared" si="1553"/>
        <v>8</v>
      </c>
      <c r="JC63" s="6"/>
      <c r="JD63" s="6"/>
      <c r="JE63" s="6">
        <f>IF($E63=5,IE63-5,NA())</f>
        <v>3</v>
      </c>
      <c r="JF63" s="20">
        <f>IE63-'Zusammenfassung Tag1-4'!$J$2/18</f>
        <v>5</v>
      </c>
      <c r="JG63" s="22">
        <f t="shared" si="1555"/>
        <v>-53</v>
      </c>
      <c r="JH63" s="18">
        <v>4</v>
      </c>
      <c r="JI63" s="6">
        <f t="shared" si="1556"/>
        <v>64</v>
      </c>
      <c r="JJ63" s="19">
        <v>1</v>
      </c>
      <c r="JK63" s="6">
        <f t="shared" si="1557"/>
        <v>25</v>
      </c>
      <c r="JL63" s="6">
        <f t="shared" si="1419"/>
        <v>1</v>
      </c>
      <c r="JM63" s="6">
        <f t="shared" si="1558"/>
        <v>42</v>
      </c>
      <c r="JN63" s="6">
        <f t="shared" si="1420"/>
        <v>0</v>
      </c>
      <c r="JO63" s="6">
        <f t="shared" si="1559"/>
        <v>1</v>
      </c>
      <c r="JP63" s="6">
        <f t="shared" si="1421"/>
        <v>1</v>
      </c>
      <c r="JQ63" s="6">
        <f t="shared" si="1560"/>
        <v>1</v>
      </c>
      <c r="JR63" s="6">
        <f t="shared" si="1422"/>
        <v>0</v>
      </c>
      <c r="JS63" s="6">
        <f t="shared" si="1561"/>
        <v>6</v>
      </c>
      <c r="JT63" s="6">
        <f t="shared" si="1423"/>
        <v>0</v>
      </c>
      <c r="JU63" s="6">
        <f t="shared" si="1562"/>
        <v>1</v>
      </c>
      <c r="JV63" s="6">
        <f t="shared" si="1424"/>
        <v>0</v>
      </c>
      <c r="JW63" s="6">
        <f t="shared" si="1563"/>
        <v>5</v>
      </c>
      <c r="JX63" s="6">
        <f t="shared" si="1425"/>
        <v>0</v>
      </c>
      <c r="JY63" s="6">
        <f t="shared" si="1564"/>
        <v>0</v>
      </c>
      <c r="JZ63" s="6">
        <f t="shared" si="1426"/>
        <v>1</v>
      </c>
      <c r="KA63" s="6">
        <f t="shared" si="1565"/>
        <v>2</v>
      </c>
      <c r="KB63" s="6">
        <f t="shared" si="1427"/>
        <v>0</v>
      </c>
      <c r="KC63" s="6">
        <f t="shared" si="1566"/>
        <v>10</v>
      </c>
      <c r="KD63" s="6">
        <f t="shared" si="1428"/>
        <v>0</v>
      </c>
      <c r="KE63" s="6">
        <f t="shared" si="1567"/>
        <v>1</v>
      </c>
      <c r="KF63" s="6"/>
      <c r="KG63" s="6"/>
      <c r="KH63" s="6">
        <f>IF($E63=5,JH63-5,NA())</f>
        <v>-1</v>
      </c>
      <c r="KI63" s="20">
        <f>JH63-'Zusammenfassung Tag1-4'!$K$2/18</f>
        <v>3.2222222222222223</v>
      </c>
      <c r="KJ63" s="22">
        <f t="shared" si="1569"/>
        <v>25.888888888888864</v>
      </c>
      <c r="KK63" s="10"/>
      <c r="KL63" s="10"/>
      <c r="KM63" s="10"/>
      <c r="KN63" s="10"/>
      <c r="KO63" s="10"/>
      <c r="KP63" s="10"/>
      <c r="KQ63" s="10"/>
      <c r="KR63" s="10"/>
      <c r="KS63" s="10"/>
      <c r="KT63" s="10"/>
      <c r="KU63" s="10"/>
      <c r="KV63" s="10"/>
      <c r="KW63" s="10"/>
      <c r="KX63" s="10"/>
      <c r="KY63" s="10"/>
      <c r="KZ63" s="10"/>
      <c r="LA63" s="10"/>
      <c r="LB63" s="10"/>
      <c r="LC63" s="10"/>
      <c r="LD63" s="10"/>
    </row>
    <row r="64" spans="1:316" ht="15.75" customHeight="1" x14ac:dyDescent="0.25">
      <c r="A64" s="106"/>
      <c r="B64" s="103"/>
      <c r="C64" s="6">
        <v>14</v>
      </c>
      <c r="D64" s="6">
        <f t="shared" si="1429"/>
        <v>50</v>
      </c>
      <c r="E64" s="6">
        <v>4</v>
      </c>
      <c r="F64" s="7">
        <f t="shared" si="1430"/>
        <v>201</v>
      </c>
      <c r="G64" s="18"/>
      <c r="H64" s="6"/>
      <c r="I64" s="19"/>
      <c r="J64" s="6">
        <f t="shared" si="1431"/>
        <v>71</v>
      </c>
      <c r="K64" s="6">
        <f t="shared" si="1329"/>
        <v>1</v>
      </c>
      <c r="L64" s="6">
        <f t="shared" si="1432"/>
        <v>29</v>
      </c>
      <c r="M64" s="6">
        <f t="shared" si="1330"/>
        <v>0</v>
      </c>
      <c r="N64" s="6">
        <f t="shared" si="1433"/>
        <v>3</v>
      </c>
      <c r="O64" s="6">
        <f t="shared" si="1331"/>
        <v>0</v>
      </c>
      <c r="P64" s="6">
        <f t="shared" si="1434"/>
        <v>1</v>
      </c>
      <c r="Q64" s="6">
        <f t="shared" si="1332"/>
        <v>0</v>
      </c>
      <c r="R64" s="6">
        <f t="shared" si="1435"/>
        <v>0</v>
      </c>
      <c r="S64" s="6">
        <f t="shared" si="1333"/>
        <v>0</v>
      </c>
      <c r="T64" s="6">
        <f t="shared" si="1436"/>
        <v>0</v>
      </c>
      <c r="U64" s="6">
        <f t="shared" si="1334"/>
        <v>0</v>
      </c>
      <c r="V64" s="6">
        <f t="shared" si="1437"/>
        <v>0</v>
      </c>
      <c r="W64" s="6">
        <f t="shared" si="1335"/>
        <v>1</v>
      </c>
      <c r="X64" s="6">
        <f t="shared" si="1438"/>
        <v>14</v>
      </c>
      <c r="Y64" s="6">
        <f t="shared" si="1336"/>
        <v>0</v>
      </c>
      <c r="Z64" s="6">
        <f t="shared" si="1439"/>
        <v>7</v>
      </c>
      <c r="AA64" s="6">
        <f t="shared" si="1337"/>
        <v>0</v>
      </c>
      <c r="AB64" s="6">
        <f t="shared" si="1440"/>
        <v>0</v>
      </c>
      <c r="AC64" s="6">
        <f t="shared" si="1338"/>
        <v>0</v>
      </c>
      <c r="AD64" s="6">
        <f t="shared" si="1441"/>
        <v>5</v>
      </c>
      <c r="AE64" s="6"/>
      <c r="AF64" s="6">
        <f>IF($E64=4,G64-4,NA())</f>
        <v>-4</v>
      </c>
      <c r="AG64" s="6"/>
      <c r="AH64" s="20">
        <f>G64-'Zusammenfassung Tag1-4'!$B$2/18</f>
        <v>-1.1111111111111112</v>
      </c>
      <c r="AI64" s="21">
        <f t="shared" si="1443"/>
        <v>121.44444444444431</v>
      </c>
      <c r="AJ64" s="18">
        <v>4</v>
      </c>
      <c r="AK64" s="6">
        <f t="shared" si="1444"/>
        <v>231</v>
      </c>
      <c r="AL64" s="19">
        <v>1</v>
      </c>
      <c r="AM64" s="6">
        <f t="shared" si="1445"/>
        <v>90</v>
      </c>
      <c r="AN64" s="6">
        <f t="shared" si="1339"/>
        <v>0</v>
      </c>
      <c r="AO64" s="6">
        <f t="shared" si="1446"/>
        <v>26</v>
      </c>
      <c r="AP64" s="6">
        <f t="shared" si="1340"/>
        <v>1</v>
      </c>
      <c r="AQ64" s="6">
        <f t="shared" si="1447"/>
        <v>8</v>
      </c>
      <c r="AR64" s="6">
        <f t="shared" si="1341"/>
        <v>0</v>
      </c>
      <c r="AS64" s="6">
        <f t="shared" si="1448"/>
        <v>4</v>
      </c>
      <c r="AT64" s="6">
        <f t="shared" si="1342"/>
        <v>1</v>
      </c>
      <c r="AU64" s="6">
        <f t="shared" si="1449"/>
        <v>7</v>
      </c>
      <c r="AV64" s="6">
        <f t="shared" si="1343"/>
        <v>0</v>
      </c>
      <c r="AW64" s="6">
        <f t="shared" si="1450"/>
        <v>2</v>
      </c>
      <c r="AX64" s="6">
        <f t="shared" si="1344"/>
        <v>0</v>
      </c>
      <c r="AY64" s="6">
        <f t="shared" si="1451"/>
        <v>4</v>
      </c>
      <c r="AZ64" s="6">
        <f t="shared" si="1345"/>
        <v>0</v>
      </c>
      <c r="BA64" s="6">
        <f t="shared" si="1452"/>
        <v>0</v>
      </c>
      <c r="BB64" s="6">
        <f t="shared" si="1346"/>
        <v>1</v>
      </c>
      <c r="BC64" s="6">
        <f t="shared" si="1453"/>
        <v>16</v>
      </c>
      <c r="BD64" s="6">
        <f t="shared" si="1347"/>
        <v>0</v>
      </c>
      <c r="BE64" s="6">
        <f t="shared" si="1454"/>
        <v>6</v>
      </c>
      <c r="BF64" s="6">
        <f t="shared" si="1348"/>
        <v>0</v>
      </c>
      <c r="BG64" s="6">
        <f t="shared" si="1455"/>
        <v>6</v>
      </c>
      <c r="BH64" s="6"/>
      <c r="BI64" s="6">
        <f>IF($E64=4,AJ64-4,NA())</f>
        <v>0</v>
      </c>
      <c r="BJ64" s="6"/>
      <c r="BK64" s="20">
        <f>AJ64-'Zusammenfassung Tag1-4'!$C$2/18</f>
        <v>3.3333333333333335</v>
      </c>
      <c r="BL64" s="21">
        <f t="shared" si="1457"/>
        <v>197.66666666666677</v>
      </c>
      <c r="BM64" s="18">
        <v>7</v>
      </c>
      <c r="BN64" s="6">
        <f t="shared" si="1458"/>
        <v>280</v>
      </c>
      <c r="BO64" s="19">
        <v>1</v>
      </c>
      <c r="BP64" s="6">
        <f t="shared" si="1459"/>
        <v>104</v>
      </c>
      <c r="BQ64" s="6">
        <f t="shared" si="1349"/>
        <v>0</v>
      </c>
      <c r="BR64" s="6">
        <f t="shared" si="1460"/>
        <v>8</v>
      </c>
      <c r="BS64" s="6">
        <f t="shared" si="1350"/>
        <v>0</v>
      </c>
      <c r="BT64" s="6">
        <f t="shared" si="1461"/>
        <v>4</v>
      </c>
      <c r="BU64" s="6">
        <f t="shared" si="1351"/>
        <v>0</v>
      </c>
      <c r="BV64" s="6">
        <f t="shared" si="1462"/>
        <v>0</v>
      </c>
      <c r="BW64" s="6">
        <f t="shared" si="1352"/>
        <v>0</v>
      </c>
      <c r="BX64" s="6">
        <f t="shared" si="1463"/>
        <v>2</v>
      </c>
      <c r="BY64" s="6">
        <f t="shared" si="1353"/>
        <v>0</v>
      </c>
      <c r="BZ64" s="6">
        <f t="shared" si="1464"/>
        <v>5</v>
      </c>
      <c r="CA64" s="6">
        <f t="shared" si="1354"/>
        <v>1</v>
      </c>
      <c r="CB64" s="6">
        <f t="shared" si="1465"/>
        <v>7</v>
      </c>
      <c r="CC64" s="6">
        <f t="shared" si="1355"/>
        <v>0</v>
      </c>
      <c r="CD64" s="6">
        <f t="shared" si="1466"/>
        <v>0</v>
      </c>
      <c r="CE64" s="6">
        <f t="shared" si="1356"/>
        <v>1</v>
      </c>
      <c r="CF64" s="6">
        <f t="shared" si="1467"/>
        <v>9</v>
      </c>
      <c r="CG64" s="6">
        <f t="shared" si="1357"/>
        <v>0</v>
      </c>
      <c r="CH64" s="6">
        <f t="shared" si="1468"/>
        <v>5</v>
      </c>
      <c r="CI64" s="6">
        <f t="shared" si="1358"/>
        <v>0</v>
      </c>
      <c r="CJ64" s="6">
        <f t="shared" si="1469"/>
        <v>13</v>
      </c>
      <c r="CK64" s="6"/>
      <c r="CL64" s="6">
        <f>IF($E64=4,BM64-4,NA())</f>
        <v>3</v>
      </c>
      <c r="CM64" s="6"/>
      <c r="CN64" s="20">
        <f>BM64-'Zusammenfassung Tag1-4'!$D$2/18</f>
        <v>5.666666666666667</v>
      </c>
      <c r="CO64" s="21">
        <f t="shared" si="1471"/>
        <v>213.3333333333332</v>
      </c>
      <c r="CP64" s="18">
        <v>7</v>
      </c>
      <c r="CQ64" s="6">
        <f t="shared" si="1472"/>
        <v>266</v>
      </c>
      <c r="CR64" s="19">
        <v>3</v>
      </c>
      <c r="CS64" s="6">
        <f t="shared" si="1473"/>
        <v>103</v>
      </c>
      <c r="CT64" s="6">
        <f t="shared" si="1359"/>
        <v>0</v>
      </c>
      <c r="CU64" s="6">
        <f t="shared" si="1474"/>
        <v>10</v>
      </c>
      <c r="CV64" s="6">
        <f t="shared" si="1360"/>
        <v>0</v>
      </c>
      <c r="CW64" s="6">
        <f t="shared" si="1475"/>
        <v>4</v>
      </c>
      <c r="CX64" s="6">
        <f t="shared" si="1361"/>
        <v>0</v>
      </c>
      <c r="CY64" s="6">
        <f t="shared" si="1476"/>
        <v>0</v>
      </c>
      <c r="CZ64" s="6">
        <f t="shared" si="1362"/>
        <v>0</v>
      </c>
      <c r="DA64" s="6">
        <f t="shared" si="1477"/>
        <v>2</v>
      </c>
      <c r="DB64" s="6">
        <f t="shared" si="1363"/>
        <v>0</v>
      </c>
      <c r="DC64" s="6">
        <f t="shared" si="1478"/>
        <v>6</v>
      </c>
      <c r="DD64" s="6">
        <f t="shared" si="1364"/>
        <v>1</v>
      </c>
      <c r="DE64" s="6">
        <f t="shared" si="1479"/>
        <v>6</v>
      </c>
      <c r="DF64" s="6">
        <f t="shared" si="1365"/>
        <v>0</v>
      </c>
      <c r="DG64" s="6">
        <f t="shared" si="1480"/>
        <v>0</v>
      </c>
      <c r="DH64" s="6">
        <f t="shared" si="1366"/>
        <v>0</v>
      </c>
      <c r="DI64" s="6">
        <f t="shared" si="1481"/>
        <v>9</v>
      </c>
      <c r="DJ64" s="6">
        <f t="shared" si="1367"/>
        <v>0</v>
      </c>
      <c r="DK64" s="6">
        <f t="shared" si="1482"/>
        <v>6</v>
      </c>
      <c r="DL64" s="6">
        <f t="shared" si="1368"/>
        <v>1</v>
      </c>
      <c r="DM64" s="6">
        <f t="shared" si="1483"/>
        <v>12</v>
      </c>
      <c r="DN64" s="6"/>
      <c r="DO64" s="6">
        <f>IF($E64=4,CP64-4,NA())</f>
        <v>3</v>
      </c>
      <c r="DP64" s="6"/>
      <c r="DQ64" s="20">
        <f>CP64-'Zusammenfassung Tag1-4'!$E$2/18</f>
        <v>5.7222222222222223</v>
      </c>
      <c r="DR64" s="22">
        <f t="shared" si="1485"/>
        <v>202.11111111111131</v>
      </c>
      <c r="DS64" s="18">
        <v>10</v>
      </c>
      <c r="DT64" s="6">
        <f t="shared" si="1486"/>
        <v>391</v>
      </c>
      <c r="DU64" s="19">
        <v>2</v>
      </c>
      <c r="DV64" s="6">
        <f t="shared" si="1487"/>
        <v>113</v>
      </c>
      <c r="DW64" s="6">
        <f t="shared" si="1369"/>
        <v>0</v>
      </c>
      <c r="DX64" s="6">
        <f t="shared" si="1488"/>
        <v>1</v>
      </c>
      <c r="DY64" s="6">
        <f t="shared" si="1370"/>
        <v>0</v>
      </c>
      <c r="DZ64" s="6">
        <f t="shared" si="1489"/>
        <v>0</v>
      </c>
      <c r="EA64" s="6">
        <f t="shared" si="1371"/>
        <v>0</v>
      </c>
      <c r="EB64" s="6">
        <f t="shared" si="1490"/>
        <v>0</v>
      </c>
      <c r="EC64" s="6">
        <f t="shared" si="1372"/>
        <v>0</v>
      </c>
      <c r="ED64" s="6">
        <f t="shared" si="1491"/>
        <v>0</v>
      </c>
      <c r="EE64" s="6">
        <f t="shared" si="1373"/>
        <v>0</v>
      </c>
      <c r="EF64" s="6">
        <f t="shared" si="1492"/>
        <v>0</v>
      </c>
      <c r="EG64" s="6">
        <f t="shared" si="1374"/>
        <v>1</v>
      </c>
      <c r="EH64" s="6">
        <f t="shared" si="1493"/>
        <v>14</v>
      </c>
      <c r="EI64" s="6">
        <f t="shared" si="1375"/>
        <v>0</v>
      </c>
      <c r="EJ64" s="6">
        <f t="shared" si="1494"/>
        <v>0</v>
      </c>
      <c r="EK64" s="6">
        <f t="shared" si="1376"/>
        <v>0</v>
      </c>
      <c r="EL64" s="6">
        <f t="shared" si="1495"/>
        <v>2</v>
      </c>
      <c r="EM64" s="6">
        <f t="shared" si="1377"/>
        <v>1</v>
      </c>
      <c r="EN64" s="6">
        <f t="shared" si="1496"/>
        <v>9</v>
      </c>
      <c r="EO64" s="6">
        <f t="shared" si="1378"/>
        <v>0</v>
      </c>
      <c r="EP64" s="6">
        <f t="shared" si="1497"/>
        <v>13</v>
      </c>
      <c r="EQ64" s="6"/>
      <c r="ER64" s="6">
        <f>IF($E64=4,DS64-4,NA())</f>
        <v>6</v>
      </c>
      <c r="ES64" s="6"/>
      <c r="ET64" s="20">
        <f>DS64-'Zusammenfassung Tag1-4'!$F$2/18</f>
        <v>7</v>
      </c>
      <c r="EU64" s="22">
        <f t="shared" si="1499"/>
        <v>241</v>
      </c>
      <c r="EV64" s="18">
        <v>7</v>
      </c>
      <c r="EW64" s="6">
        <f t="shared" si="1500"/>
        <v>281</v>
      </c>
      <c r="EX64" s="19">
        <v>2</v>
      </c>
      <c r="EY64" s="6">
        <f t="shared" si="1501"/>
        <v>103</v>
      </c>
      <c r="EZ64" s="6">
        <f t="shared" si="1379"/>
        <v>0</v>
      </c>
      <c r="FA64" s="6">
        <f t="shared" si="1502"/>
        <v>9</v>
      </c>
      <c r="FB64" s="6">
        <f t="shared" si="1380"/>
        <v>0</v>
      </c>
      <c r="FC64" s="6">
        <f t="shared" si="1503"/>
        <v>1</v>
      </c>
      <c r="FD64" s="6">
        <f t="shared" si="1381"/>
        <v>0</v>
      </c>
      <c r="FE64" s="6">
        <f t="shared" si="1504"/>
        <v>0</v>
      </c>
      <c r="FF64" s="6">
        <f t="shared" si="1382"/>
        <v>0</v>
      </c>
      <c r="FG64" s="6">
        <f t="shared" si="1505"/>
        <v>1</v>
      </c>
      <c r="FH64" s="6">
        <f t="shared" si="1383"/>
        <v>0</v>
      </c>
      <c r="FI64" s="6">
        <f t="shared" si="1506"/>
        <v>7</v>
      </c>
      <c r="FJ64" s="6">
        <f t="shared" si="1384"/>
        <v>1</v>
      </c>
      <c r="FK64" s="6">
        <f t="shared" si="1507"/>
        <v>6</v>
      </c>
      <c r="FL64" s="6">
        <f t="shared" si="1385"/>
        <v>0</v>
      </c>
      <c r="FM64" s="6">
        <f t="shared" si="1508"/>
        <v>0</v>
      </c>
      <c r="FN64" s="6">
        <f t="shared" si="1386"/>
        <v>0</v>
      </c>
      <c r="FO64" s="6">
        <f t="shared" si="1509"/>
        <v>7</v>
      </c>
      <c r="FP64" s="6">
        <f t="shared" si="1387"/>
        <v>1</v>
      </c>
      <c r="FQ64" s="6">
        <f t="shared" si="1510"/>
        <v>8</v>
      </c>
      <c r="FR64" s="6">
        <f t="shared" si="1388"/>
        <v>0</v>
      </c>
      <c r="FS64" s="6">
        <f t="shared" si="1511"/>
        <v>10</v>
      </c>
      <c r="FT64" s="6"/>
      <c r="FU64" s="6">
        <f>IF($E64=4,EV64-4,NA())</f>
        <v>3</v>
      </c>
      <c r="FV64" s="6"/>
      <c r="FW64" s="20">
        <f>EV64-'Zusammenfassung Tag1-4'!$G$2/18</f>
        <v>5.5</v>
      </c>
      <c r="FX64" s="22">
        <f t="shared" si="1513"/>
        <v>206</v>
      </c>
      <c r="FY64" s="18">
        <v>10</v>
      </c>
      <c r="FZ64" s="6">
        <f t="shared" si="1514"/>
        <v>365</v>
      </c>
      <c r="GA64" s="19">
        <v>2</v>
      </c>
      <c r="GB64" s="6">
        <f t="shared" si="1515"/>
        <v>119</v>
      </c>
      <c r="GC64" s="6">
        <f t="shared" si="1389"/>
        <v>0</v>
      </c>
      <c r="GD64" s="6">
        <f t="shared" si="1516"/>
        <v>2</v>
      </c>
      <c r="GE64" s="6">
        <f t="shared" si="1390"/>
        <v>0</v>
      </c>
      <c r="GF64" s="6">
        <f t="shared" si="1517"/>
        <v>0</v>
      </c>
      <c r="GG64" s="6">
        <f t="shared" si="1391"/>
        <v>0</v>
      </c>
      <c r="GH64" s="6">
        <f t="shared" si="1518"/>
        <v>0</v>
      </c>
      <c r="GI64" s="6">
        <f t="shared" si="1392"/>
        <v>0</v>
      </c>
      <c r="GJ64" s="6">
        <f t="shared" si="1519"/>
        <v>0</v>
      </c>
      <c r="GK64" s="6">
        <f t="shared" si="1393"/>
        <v>0</v>
      </c>
      <c r="GL64" s="6">
        <f t="shared" si="1520"/>
        <v>0</v>
      </c>
      <c r="GM64" s="6">
        <f t="shared" si="1394"/>
        <v>1</v>
      </c>
      <c r="GN64" s="6">
        <f t="shared" si="1521"/>
        <v>14</v>
      </c>
      <c r="GO64" s="6">
        <f t="shared" si="1395"/>
        <v>0</v>
      </c>
      <c r="GP64" s="6">
        <f t="shared" si="1522"/>
        <v>0</v>
      </c>
      <c r="GQ64" s="6">
        <f t="shared" si="1396"/>
        <v>0</v>
      </c>
      <c r="GR64" s="6">
        <f t="shared" si="1523"/>
        <v>2</v>
      </c>
      <c r="GS64" s="6">
        <f t="shared" si="1397"/>
        <v>1</v>
      </c>
      <c r="GT64" s="6">
        <f t="shared" si="1524"/>
        <v>8</v>
      </c>
      <c r="GU64" s="6">
        <f t="shared" si="1398"/>
        <v>0</v>
      </c>
      <c r="GV64" s="6">
        <f t="shared" si="1525"/>
        <v>21</v>
      </c>
      <c r="GW64" s="6"/>
      <c r="GX64" s="6">
        <f>IF($E64=4,FY64-4,NA())</f>
        <v>6</v>
      </c>
      <c r="GY64" s="6"/>
      <c r="GZ64" s="20">
        <f>FY64-'Zusammenfassung Tag1-4'!$H$2/18</f>
        <v>7</v>
      </c>
      <c r="HA64" s="22">
        <f t="shared" si="1527"/>
        <v>215</v>
      </c>
      <c r="HB64" s="18">
        <v>5</v>
      </c>
      <c r="HC64" s="6">
        <f t="shared" si="1528"/>
        <v>269</v>
      </c>
      <c r="HD64" s="19">
        <v>3</v>
      </c>
      <c r="HE64" s="6">
        <f t="shared" si="1529"/>
        <v>107</v>
      </c>
      <c r="HF64" s="6">
        <f t="shared" si="1399"/>
        <v>1</v>
      </c>
      <c r="HG64" s="6">
        <f t="shared" si="1530"/>
        <v>16</v>
      </c>
      <c r="HH64" s="6">
        <f t="shared" si="1400"/>
        <v>0</v>
      </c>
      <c r="HI64" s="6">
        <f t="shared" si="1531"/>
        <v>4</v>
      </c>
      <c r="HJ64" s="6">
        <f t="shared" si="1401"/>
        <v>0</v>
      </c>
      <c r="HK64" s="6">
        <f t="shared" si="1532"/>
        <v>0</v>
      </c>
      <c r="HL64" s="6">
        <f t="shared" si="1402"/>
        <v>0</v>
      </c>
      <c r="HM64" s="6">
        <f t="shared" si="1533"/>
        <v>2</v>
      </c>
      <c r="HN64" s="6">
        <f t="shared" si="1403"/>
        <v>1</v>
      </c>
      <c r="HO64" s="6">
        <f t="shared" si="1534"/>
        <v>6</v>
      </c>
      <c r="HP64" s="6">
        <f t="shared" si="1404"/>
        <v>0</v>
      </c>
      <c r="HQ64" s="6">
        <f t="shared" si="1535"/>
        <v>6</v>
      </c>
      <c r="HR64" s="6">
        <f t="shared" si="1405"/>
        <v>0</v>
      </c>
      <c r="HS64" s="6">
        <f t="shared" si="1536"/>
        <v>0</v>
      </c>
      <c r="HT64" s="6">
        <f t="shared" si="1406"/>
        <v>0</v>
      </c>
      <c r="HU64" s="6">
        <f t="shared" si="1537"/>
        <v>6</v>
      </c>
      <c r="HV64" s="6">
        <f t="shared" si="1407"/>
        <v>0</v>
      </c>
      <c r="HW64" s="6">
        <f t="shared" si="1538"/>
        <v>7</v>
      </c>
      <c r="HX64" s="6">
        <f t="shared" si="1408"/>
        <v>1</v>
      </c>
      <c r="HY64" s="6">
        <f t="shared" si="1539"/>
        <v>13</v>
      </c>
      <c r="HZ64" s="6"/>
      <c r="IA64" s="6">
        <f>IF($E64=4,HB64-4,NA())</f>
        <v>1</v>
      </c>
      <c r="IB64" s="6"/>
      <c r="IC64" s="20">
        <f>HB64-'Zusammenfassung Tag1-4'!$I$2/18</f>
        <v>4</v>
      </c>
      <c r="ID64" s="22">
        <f t="shared" si="1541"/>
        <v>219</v>
      </c>
      <c r="IE64" s="18">
        <v>9</v>
      </c>
      <c r="IF64" s="6">
        <f t="shared" si="1542"/>
        <v>103</v>
      </c>
      <c r="IG64" s="19">
        <v>4</v>
      </c>
      <c r="IH64" s="6">
        <f t="shared" si="1543"/>
        <v>39</v>
      </c>
      <c r="II64" s="6">
        <f t="shared" si="1409"/>
        <v>0</v>
      </c>
      <c r="IJ64" s="6">
        <f t="shared" si="1544"/>
        <v>37</v>
      </c>
      <c r="IK64" s="6">
        <f t="shared" si="1410"/>
        <v>0</v>
      </c>
      <c r="IL64" s="6">
        <f t="shared" si="1545"/>
        <v>0</v>
      </c>
      <c r="IM64" s="6">
        <f t="shared" si="1411"/>
        <v>0</v>
      </c>
      <c r="IN64" s="6">
        <f t="shared" si="1546"/>
        <v>0</v>
      </c>
      <c r="IO64" s="6">
        <f t="shared" si="1412"/>
        <v>0</v>
      </c>
      <c r="IP64" s="6">
        <f t="shared" si="1547"/>
        <v>0</v>
      </c>
      <c r="IQ64" s="6">
        <f t="shared" si="1413"/>
        <v>0</v>
      </c>
      <c r="IR64" s="6">
        <f t="shared" si="1548"/>
        <v>2</v>
      </c>
      <c r="IS64" s="6">
        <f t="shared" si="1414"/>
        <v>1</v>
      </c>
      <c r="IT64" s="6">
        <f t="shared" si="1549"/>
        <v>12</v>
      </c>
      <c r="IU64" s="6">
        <f t="shared" si="1415"/>
        <v>0</v>
      </c>
      <c r="IV64" s="6">
        <f t="shared" si="1550"/>
        <v>0</v>
      </c>
      <c r="IW64" s="6">
        <f t="shared" si="1416"/>
        <v>0</v>
      </c>
      <c r="IX64" s="6">
        <f t="shared" si="1551"/>
        <v>0</v>
      </c>
      <c r="IY64" s="6">
        <f t="shared" si="1417"/>
        <v>0</v>
      </c>
      <c r="IZ64" s="6">
        <f t="shared" si="1552"/>
        <v>5</v>
      </c>
      <c r="JA64" s="6">
        <f t="shared" si="1418"/>
        <v>1</v>
      </c>
      <c r="JB64" s="6">
        <f t="shared" si="1553"/>
        <v>9</v>
      </c>
      <c r="JC64" s="6"/>
      <c r="JD64" s="6">
        <f>IF($E64=4,IE64-4,NA())</f>
        <v>5</v>
      </c>
      <c r="JE64" s="6"/>
      <c r="JF64" s="20">
        <f>IE64-'Zusammenfassung Tag1-4'!$J$2/18</f>
        <v>6</v>
      </c>
      <c r="JG64" s="22">
        <f t="shared" si="1555"/>
        <v>-47</v>
      </c>
      <c r="JH64" s="18">
        <v>3</v>
      </c>
      <c r="JI64" s="6">
        <f t="shared" si="1556"/>
        <v>67</v>
      </c>
      <c r="JJ64" s="19">
        <v>1</v>
      </c>
      <c r="JK64" s="6">
        <f t="shared" si="1557"/>
        <v>26</v>
      </c>
      <c r="JL64" s="6">
        <f t="shared" si="1419"/>
        <v>1</v>
      </c>
      <c r="JM64" s="6">
        <f t="shared" si="1558"/>
        <v>43</v>
      </c>
      <c r="JN64" s="6">
        <f t="shared" si="1420"/>
        <v>0</v>
      </c>
      <c r="JO64" s="6">
        <f t="shared" si="1559"/>
        <v>1</v>
      </c>
      <c r="JP64" s="6">
        <f t="shared" si="1421"/>
        <v>1</v>
      </c>
      <c r="JQ64" s="6">
        <f t="shared" si="1560"/>
        <v>2</v>
      </c>
      <c r="JR64" s="6">
        <f t="shared" si="1422"/>
        <v>0</v>
      </c>
      <c r="JS64" s="6">
        <f t="shared" si="1561"/>
        <v>6</v>
      </c>
      <c r="JT64" s="6">
        <f t="shared" si="1423"/>
        <v>0</v>
      </c>
      <c r="JU64" s="6">
        <f t="shared" si="1562"/>
        <v>1</v>
      </c>
      <c r="JV64" s="6">
        <f t="shared" si="1424"/>
        <v>0</v>
      </c>
      <c r="JW64" s="6">
        <f t="shared" si="1563"/>
        <v>5</v>
      </c>
      <c r="JX64" s="6">
        <f t="shared" si="1425"/>
        <v>0</v>
      </c>
      <c r="JY64" s="6">
        <f t="shared" si="1564"/>
        <v>0</v>
      </c>
      <c r="JZ64" s="6">
        <f t="shared" si="1426"/>
        <v>1</v>
      </c>
      <c r="KA64" s="6">
        <f t="shared" si="1565"/>
        <v>3</v>
      </c>
      <c r="KB64" s="6">
        <f t="shared" si="1427"/>
        <v>0</v>
      </c>
      <c r="KC64" s="6">
        <f t="shared" si="1566"/>
        <v>10</v>
      </c>
      <c r="KD64" s="6">
        <f t="shared" si="1428"/>
        <v>0</v>
      </c>
      <c r="KE64" s="6">
        <f t="shared" si="1567"/>
        <v>1</v>
      </c>
      <c r="KF64" s="6"/>
      <c r="KG64" s="6">
        <f>IF($E64=4,JH64-4,NA())</f>
        <v>-1</v>
      </c>
      <c r="KH64" s="6"/>
      <c r="KI64" s="20">
        <f>JH64-'Zusammenfassung Tag1-4'!$K$2/18</f>
        <v>2.2222222222222223</v>
      </c>
      <c r="KJ64" s="22">
        <f t="shared" si="1569"/>
        <v>28.111111111111086</v>
      </c>
      <c r="KK64" s="10"/>
      <c r="KL64" s="10"/>
      <c r="KM64" s="10"/>
      <c r="KN64" s="10"/>
      <c r="KO64" s="10"/>
      <c r="KP64" s="10"/>
      <c r="KQ64" s="10"/>
      <c r="KR64" s="10"/>
      <c r="KS64" s="10"/>
      <c r="KT64" s="10"/>
      <c r="KU64" s="10"/>
      <c r="KV64" s="10"/>
      <c r="KW64" s="10"/>
      <c r="KX64" s="10"/>
      <c r="KY64" s="10"/>
      <c r="KZ64" s="10"/>
      <c r="LA64" s="10"/>
      <c r="LB64" s="10"/>
      <c r="LC64" s="10"/>
      <c r="LD64" s="10"/>
    </row>
    <row r="65" spans="1:316" ht="15.75" customHeight="1" x14ac:dyDescent="0.25">
      <c r="A65" s="106"/>
      <c r="B65" s="103"/>
      <c r="C65" s="6">
        <v>15</v>
      </c>
      <c r="D65" s="6">
        <f t="shared" si="1429"/>
        <v>51</v>
      </c>
      <c r="E65" s="6">
        <v>3</v>
      </c>
      <c r="F65" s="7">
        <f t="shared" si="1430"/>
        <v>204</v>
      </c>
      <c r="G65" s="18"/>
      <c r="H65" s="6"/>
      <c r="I65" s="19"/>
      <c r="J65" s="6">
        <f t="shared" si="1431"/>
        <v>71</v>
      </c>
      <c r="K65" s="6">
        <f t="shared" si="1329"/>
        <v>1</v>
      </c>
      <c r="L65" s="6">
        <f t="shared" si="1432"/>
        <v>30</v>
      </c>
      <c r="M65" s="6">
        <f t="shared" si="1330"/>
        <v>0</v>
      </c>
      <c r="N65" s="6">
        <f t="shared" si="1433"/>
        <v>3</v>
      </c>
      <c r="O65" s="6">
        <f t="shared" si="1331"/>
        <v>0</v>
      </c>
      <c r="P65" s="6">
        <f t="shared" si="1434"/>
        <v>1</v>
      </c>
      <c r="Q65" s="6">
        <f t="shared" si="1332"/>
        <v>0</v>
      </c>
      <c r="R65" s="6">
        <f t="shared" si="1435"/>
        <v>0</v>
      </c>
      <c r="S65" s="6">
        <f t="shared" si="1333"/>
        <v>0</v>
      </c>
      <c r="T65" s="6">
        <f t="shared" si="1436"/>
        <v>0</v>
      </c>
      <c r="U65" s="6">
        <f t="shared" si="1334"/>
        <v>0</v>
      </c>
      <c r="V65" s="6">
        <f t="shared" si="1437"/>
        <v>0</v>
      </c>
      <c r="W65" s="6">
        <f t="shared" si="1335"/>
        <v>1</v>
      </c>
      <c r="X65" s="6">
        <f t="shared" si="1438"/>
        <v>15</v>
      </c>
      <c r="Y65" s="6">
        <f t="shared" si="1336"/>
        <v>0</v>
      </c>
      <c r="Z65" s="6">
        <f t="shared" si="1439"/>
        <v>7</v>
      </c>
      <c r="AA65" s="6">
        <f t="shared" si="1337"/>
        <v>0</v>
      </c>
      <c r="AB65" s="6">
        <f t="shared" si="1440"/>
        <v>0</v>
      </c>
      <c r="AC65" s="6">
        <f t="shared" si="1338"/>
        <v>0</v>
      </c>
      <c r="AD65" s="6">
        <f t="shared" si="1441"/>
        <v>5</v>
      </c>
      <c r="AE65" s="6">
        <f>IF($E65=3,G65-3,NA())</f>
        <v>-3</v>
      </c>
      <c r="AF65" s="6"/>
      <c r="AG65" s="6"/>
      <c r="AH65" s="20">
        <f>G65-'Zusammenfassung Tag1-4'!$B$2/18</f>
        <v>-1.1111111111111112</v>
      </c>
      <c r="AI65" s="21">
        <f t="shared" si="1443"/>
        <v>120.3333333333332</v>
      </c>
      <c r="AJ65" s="18">
        <v>4</v>
      </c>
      <c r="AK65" s="6">
        <f t="shared" si="1444"/>
        <v>235</v>
      </c>
      <c r="AL65" s="19">
        <v>2</v>
      </c>
      <c r="AM65" s="6">
        <f t="shared" si="1445"/>
        <v>92</v>
      </c>
      <c r="AN65" s="6">
        <f t="shared" si="1339"/>
        <v>0</v>
      </c>
      <c r="AO65" s="6">
        <f t="shared" si="1446"/>
        <v>26</v>
      </c>
      <c r="AP65" s="6">
        <f t="shared" si="1340"/>
        <v>0</v>
      </c>
      <c r="AQ65" s="6">
        <f t="shared" si="1447"/>
        <v>8</v>
      </c>
      <c r="AR65" s="6">
        <f t="shared" si="1341"/>
        <v>0</v>
      </c>
      <c r="AS65" s="6">
        <f t="shared" si="1448"/>
        <v>4</v>
      </c>
      <c r="AT65" s="6">
        <f t="shared" si="1342"/>
        <v>0</v>
      </c>
      <c r="AU65" s="6">
        <f t="shared" si="1449"/>
        <v>7</v>
      </c>
      <c r="AV65" s="6">
        <f t="shared" si="1343"/>
        <v>1</v>
      </c>
      <c r="AW65" s="6">
        <f t="shared" si="1450"/>
        <v>3</v>
      </c>
      <c r="AX65" s="6">
        <f t="shared" si="1344"/>
        <v>0</v>
      </c>
      <c r="AY65" s="6">
        <f t="shared" si="1451"/>
        <v>4</v>
      </c>
      <c r="AZ65" s="6">
        <f t="shared" si="1345"/>
        <v>0</v>
      </c>
      <c r="BA65" s="6">
        <f t="shared" si="1452"/>
        <v>0</v>
      </c>
      <c r="BB65" s="6">
        <f t="shared" si="1346"/>
        <v>0</v>
      </c>
      <c r="BC65" s="6">
        <f t="shared" si="1453"/>
        <v>16</v>
      </c>
      <c r="BD65" s="6">
        <f t="shared" si="1347"/>
        <v>1</v>
      </c>
      <c r="BE65" s="6">
        <f t="shared" si="1454"/>
        <v>7</v>
      </c>
      <c r="BF65" s="6">
        <f t="shared" si="1348"/>
        <v>0</v>
      </c>
      <c r="BG65" s="6">
        <f t="shared" si="1455"/>
        <v>6</v>
      </c>
      <c r="BH65" s="6">
        <f>IF($E65=3,AJ65-3,NA())</f>
        <v>1</v>
      </c>
      <c r="BI65" s="6"/>
      <c r="BJ65" s="6"/>
      <c r="BK65" s="20">
        <f>AJ65-'Zusammenfassung Tag1-4'!$C$2/18</f>
        <v>3.3333333333333335</v>
      </c>
      <c r="BL65" s="21">
        <f t="shared" si="1457"/>
        <v>201.00000000000011</v>
      </c>
      <c r="BM65" s="18">
        <v>4</v>
      </c>
      <c r="BN65" s="6">
        <f t="shared" si="1458"/>
        <v>284</v>
      </c>
      <c r="BO65" s="19">
        <v>2</v>
      </c>
      <c r="BP65" s="6">
        <f t="shared" si="1459"/>
        <v>106</v>
      </c>
      <c r="BQ65" s="6">
        <f t="shared" si="1349"/>
        <v>0</v>
      </c>
      <c r="BR65" s="6">
        <f t="shared" si="1460"/>
        <v>8</v>
      </c>
      <c r="BS65" s="6">
        <f t="shared" si="1350"/>
        <v>0</v>
      </c>
      <c r="BT65" s="6">
        <f t="shared" si="1461"/>
        <v>4</v>
      </c>
      <c r="BU65" s="6">
        <f t="shared" si="1351"/>
        <v>0</v>
      </c>
      <c r="BV65" s="6">
        <f t="shared" si="1462"/>
        <v>0</v>
      </c>
      <c r="BW65" s="6">
        <f t="shared" si="1352"/>
        <v>0</v>
      </c>
      <c r="BX65" s="6">
        <f t="shared" si="1463"/>
        <v>2</v>
      </c>
      <c r="BY65" s="6">
        <f t="shared" si="1353"/>
        <v>1</v>
      </c>
      <c r="BZ65" s="6">
        <f t="shared" si="1464"/>
        <v>6</v>
      </c>
      <c r="CA65" s="6">
        <f t="shared" si="1354"/>
        <v>0</v>
      </c>
      <c r="CB65" s="6">
        <f t="shared" si="1465"/>
        <v>7</v>
      </c>
      <c r="CC65" s="6">
        <f t="shared" si="1355"/>
        <v>0</v>
      </c>
      <c r="CD65" s="6">
        <f t="shared" si="1466"/>
        <v>0</v>
      </c>
      <c r="CE65" s="6">
        <f t="shared" si="1356"/>
        <v>0</v>
      </c>
      <c r="CF65" s="6">
        <f t="shared" si="1467"/>
        <v>9</v>
      </c>
      <c r="CG65" s="6">
        <f t="shared" si="1357"/>
        <v>1</v>
      </c>
      <c r="CH65" s="6">
        <f t="shared" si="1468"/>
        <v>6</v>
      </c>
      <c r="CI65" s="6">
        <f t="shared" si="1358"/>
        <v>0</v>
      </c>
      <c r="CJ65" s="6">
        <f t="shared" si="1469"/>
        <v>13</v>
      </c>
      <c r="CK65" s="6">
        <f>IF($E65=3,BM65-3,NA())</f>
        <v>1</v>
      </c>
      <c r="CL65" s="6"/>
      <c r="CM65" s="6"/>
      <c r="CN65" s="20">
        <f>BM65-'Zusammenfassung Tag1-4'!$D$2/18</f>
        <v>2.666666666666667</v>
      </c>
      <c r="CO65" s="21">
        <f t="shared" si="1471"/>
        <v>215.99999999999986</v>
      </c>
      <c r="CP65" s="18">
        <v>3</v>
      </c>
      <c r="CQ65" s="6">
        <f t="shared" si="1472"/>
        <v>269</v>
      </c>
      <c r="CR65" s="19">
        <v>1</v>
      </c>
      <c r="CS65" s="6">
        <f t="shared" si="1473"/>
        <v>104</v>
      </c>
      <c r="CT65" s="6">
        <f t="shared" si="1359"/>
        <v>0</v>
      </c>
      <c r="CU65" s="6">
        <f t="shared" si="1474"/>
        <v>10</v>
      </c>
      <c r="CV65" s="6">
        <f t="shared" si="1360"/>
        <v>1</v>
      </c>
      <c r="CW65" s="6">
        <f t="shared" si="1475"/>
        <v>5</v>
      </c>
      <c r="CX65" s="6">
        <f t="shared" si="1361"/>
        <v>0</v>
      </c>
      <c r="CY65" s="6">
        <f t="shared" si="1476"/>
        <v>0</v>
      </c>
      <c r="CZ65" s="6">
        <f t="shared" si="1362"/>
        <v>1</v>
      </c>
      <c r="DA65" s="6">
        <f t="shared" si="1477"/>
        <v>3</v>
      </c>
      <c r="DB65" s="6">
        <f t="shared" si="1363"/>
        <v>0</v>
      </c>
      <c r="DC65" s="6">
        <f t="shared" si="1478"/>
        <v>6</v>
      </c>
      <c r="DD65" s="6">
        <f t="shared" si="1364"/>
        <v>0</v>
      </c>
      <c r="DE65" s="6">
        <f t="shared" si="1479"/>
        <v>6</v>
      </c>
      <c r="DF65" s="6">
        <f t="shared" si="1365"/>
        <v>0</v>
      </c>
      <c r="DG65" s="6">
        <f t="shared" si="1480"/>
        <v>0</v>
      </c>
      <c r="DH65" s="6">
        <f t="shared" si="1366"/>
        <v>1</v>
      </c>
      <c r="DI65" s="6">
        <f t="shared" si="1481"/>
        <v>10</v>
      </c>
      <c r="DJ65" s="6">
        <f t="shared" si="1367"/>
        <v>0</v>
      </c>
      <c r="DK65" s="6">
        <f t="shared" si="1482"/>
        <v>6</v>
      </c>
      <c r="DL65" s="6">
        <f t="shared" si="1368"/>
        <v>0</v>
      </c>
      <c r="DM65" s="6">
        <f t="shared" si="1483"/>
        <v>12</v>
      </c>
      <c r="DN65" s="6">
        <f>IF($E65=3,CP65-3,NA())</f>
        <v>0</v>
      </c>
      <c r="DO65" s="6"/>
      <c r="DP65" s="6"/>
      <c r="DQ65" s="20">
        <f>CP65-'Zusammenfassung Tag1-4'!$E$2/18</f>
        <v>1.7222222222222223</v>
      </c>
      <c r="DR65" s="22">
        <f t="shared" si="1485"/>
        <v>203.83333333333354</v>
      </c>
      <c r="DS65" s="18">
        <v>7</v>
      </c>
      <c r="DT65" s="6">
        <f t="shared" si="1486"/>
        <v>398</v>
      </c>
      <c r="DU65" s="19">
        <v>2</v>
      </c>
      <c r="DV65" s="6">
        <f t="shared" si="1487"/>
        <v>115</v>
      </c>
      <c r="DW65" s="6">
        <f t="shared" si="1369"/>
        <v>0</v>
      </c>
      <c r="DX65" s="6">
        <f t="shared" si="1488"/>
        <v>1</v>
      </c>
      <c r="DY65" s="6">
        <f t="shared" si="1370"/>
        <v>0</v>
      </c>
      <c r="DZ65" s="6">
        <f t="shared" si="1489"/>
        <v>0</v>
      </c>
      <c r="EA65" s="6">
        <f t="shared" si="1371"/>
        <v>0</v>
      </c>
      <c r="EB65" s="6">
        <f t="shared" si="1490"/>
        <v>0</v>
      </c>
      <c r="EC65" s="6">
        <f t="shared" si="1372"/>
        <v>0</v>
      </c>
      <c r="ED65" s="6">
        <f t="shared" si="1491"/>
        <v>0</v>
      </c>
      <c r="EE65" s="6">
        <f t="shared" si="1373"/>
        <v>0</v>
      </c>
      <c r="EF65" s="6">
        <f t="shared" si="1492"/>
        <v>0</v>
      </c>
      <c r="EG65" s="6">
        <f t="shared" si="1374"/>
        <v>1</v>
      </c>
      <c r="EH65" s="6">
        <f t="shared" si="1493"/>
        <v>15</v>
      </c>
      <c r="EI65" s="6">
        <f t="shared" si="1375"/>
        <v>0</v>
      </c>
      <c r="EJ65" s="6">
        <f t="shared" si="1494"/>
        <v>0</v>
      </c>
      <c r="EK65" s="6">
        <f t="shared" si="1376"/>
        <v>0</v>
      </c>
      <c r="EL65" s="6">
        <f t="shared" si="1495"/>
        <v>2</v>
      </c>
      <c r="EM65" s="6">
        <f t="shared" si="1377"/>
        <v>1</v>
      </c>
      <c r="EN65" s="6">
        <f t="shared" si="1496"/>
        <v>10</v>
      </c>
      <c r="EO65" s="6">
        <f t="shared" si="1378"/>
        <v>0</v>
      </c>
      <c r="EP65" s="6">
        <f t="shared" si="1497"/>
        <v>13</v>
      </c>
      <c r="EQ65" s="6">
        <f>IF($E65=3,DS65-3,NA())</f>
        <v>4</v>
      </c>
      <c r="ER65" s="6"/>
      <c r="ES65" s="6"/>
      <c r="ET65" s="20">
        <f>DS65-'Zusammenfassung Tag1-4'!$F$2/18</f>
        <v>4</v>
      </c>
      <c r="EU65" s="22">
        <f t="shared" si="1499"/>
        <v>245</v>
      </c>
      <c r="EV65" s="18">
        <v>4</v>
      </c>
      <c r="EW65" s="6">
        <f t="shared" si="1500"/>
        <v>285</v>
      </c>
      <c r="EX65" s="19">
        <v>2</v>
      </c>
      <c r="EY65" s="6">
        <f t="shared" si="1501"/>
        <v>105</v>
      </c>
      <c r="EZ65" s="6">
        <f t="shared" si="1379"/>
        <v>0</v>
      </c>
      <c r="FA65" s="6">
        <f t="shared" si="1502"/>
        <v>9</v>
      </c>
      <c r="FB65" s="6">
        <f t="shared" si="1380"/>
        <v>0</v>
      </c>
      <c r="FC65" s="6">
        <f t="shared" si="1503"/>
        <v>1</v>
      </c>
      <c r="FD65" s="6">
        <f t="shared" si="1381"/>
        <v>0</v>
      </c>
      <c r="FE65" s="6">
        <f t="shared" si="1504"/>
        <v>0</v>
      </c>
      <c r="FF65" s="6">
        <f t="shared" si="1382"/>
        <v>0</v>
      </c>
      <c r="FG65" s="6">
        <f t="shared" si="1505"/>
        <v>1</v>
      </c>
      <c r="FH65" s="6">
        <f t="shared" si="1383"/>
        <v>1</v>
      </c>
      <c r="FI65" s="6">
        <f t="shared" si="1506"/>
        <v>8</v>
      </c>
      <c r="FJ65" s="6">
        <f t="shared" si="1384"/>
        <v>0</v>
      </c>
      <c r="FK65" s="6">
        <f t="shared" si="1507"/>
        <v>6</v>
      </c>
      <c r="FL65" s="6">
        <f t="shared" si="1385"/>
        <v>0</v>
      </c>
      <c r="FM65" s="6">
        <f t="shared" si="1508"/>
        <v>0</v>
      </c>
      <c r="FN65" s="6">
        <f t="shared" si="1386"/>
        <v>0</v>
      </c>
      <c r="FO65" s="6">
        <f t="shared" si="1509"/>
        <v>7</v>
      </c>
      <c r="FP65" s="6">
        <f t="shared" si="1387"/>
        <v>1</v>
      </c>
      <c r="FQ65" s="6">
        <f t="shared" si="1510"/>
        <v>9</v>
      </c>
      <c r="FR65" s="6">
        <f t="shared" si="1388"/>
        <v>0</v>
      </c>
      <c r="FS65" s="6">
        <f t="shared" si="1511"/>
        <v>10</v>
      </c>
      <c r="FT65" s="6">
        <f>IF($E65=3,EV65-3,NA())</f>
        <v>1</v>
      </c>
      <c r="FU65" s="6"/>
      <c r="FV65" s="6"/>
      <c r="FW65" s="20">
        <f>EV65-'Zusammenfassung Tag1-4'!$G$2/18</f>
        <v>2.5</v>
      </c>
      <c r="FX65" s="22">
        <f t="shared" si="1513"/>
        <v>208.5</v>
      </c>
      <c r="FY65" s="18">
        <v>6</v>
      </c>
      <c r="FZ65" s="6">
        <f t="shared" si="1514"/>
        <v>371</v>
      </c>
      <c r="GA65" s="19">
        <v>3</v>
      </c>
      <c r="GB65" s="6">
        <f t="shared" si="1515"/>
        <v>122</v>
      </c>
      <c r="GC65" s="6">
        <f t="shared" si="1389"/>
        <v>0</v>
      </c>
      <c r="GD65" s="6">
        <f t="shared" si="1516"/>
        <v>2</v>
      </c>
      <c r="GE65" s="6">
        <f t="shared" si="1390"/>
        <v>0</v>
      </c>
      <c r="GF65" s="6">
        <f t="shared" si="1517"/>
        <v>0</v>
      </c>
      <c r="GG65" s="6">
        <f t="shared" si="1391"/>
        <v>0</v>
      </c>
      <c r="GH65" s="6">
        <f t="shared" si="1518"/>
        <v>0</v>
      </c>
      <c r="GI65" s="6">
        <f t="shared" si="1392"/>
        <v>0</v>
      </c>
      <c r="GJ65" s="6">
        <f t="shared" si="1519"/>
        <v>0</v>
      </c>
      <c r="GK65" s="6">
        <f t="shared" si="1393"/>
        <v>0</v>
      </c>
      <c r="GL65" s="6">
        <f t="shared" si="1520"/>
        <v>0</v>
      </c>
      <c r="GM65" s="6">
        <f t="shared" si="1394"/>
        <v>1</v>
      </c>
      <c r="GN65" s="6">
        <f t="shared" si="1521"/>
        <v>15</v>
      </c>
      <c r="GO65" s="6">
        <f t="shared" si="1395"/>
        <v>0</v>
      </c>
      <c r="GP65" s="6">
        <f t="shared" si="1522"/>
        <v>0</v>
      </c>
      <c r="GQ65" s="6">
        <f t="shared" si="1396"/>
        <v>0</v>
      </c>
      <c r="GR65" s="6">
        <f t="shared" si="1523"/>
        <v>2</v>
      </c>
      <c r="GS65" s="6">
        <f t="shared" si="1397"/>
        <v>0</v>
      </c>
      <c r="GT65" s="6">
        <f t="shared" si="1524"/>
        <v>8</v>
      </c>
      <c r="GU65" s="6">
        <f t="shared" si="1398"/>
        <v>1</v>
      </c>
      <c r="GV65" s="6">
        <f t="shared" si="1525"/>
        <v>22</v>
      </c>
      <c r="GW65" s="6">
        <f>IF($E65=3,FY65-3,NA())</f>
        <v>3</v>
      </c>
      <c r="GX65" s="6"/>
      <c r="GY65" s="6"/>
      <c r="GZ65" s="20">
        <f>FY65-'Zusammenfassung Tag1-4'!$H$2/18</f>
        <v>3</v>
      </c>
      <c r="HA65" s="22">
        <f t="shared" si="1527"/>
        <v>218</v>
      </c>
      <c r="HB65" s="18">
        <v>3</v>
      </c>
      <c r="HC65" s="6">
        <f t="shared" si="1528"/>
        <v>272</v>
      </c>
      <c r="HD65" s="19">
        <v>2</v>
      </c>
      <c r="HE65" s="6">
        <f t="shared" si="1529"/>
        <v>109</v>
      </c>
      <c r="HF65" s="6">
        <f t="shared" si="1399"/>
        <v>1</v>
      </c>
      <c r="HG65" s="6">
        <f t="shared" si="1530"/>
        <v>17</v>
      </c>
      <c r="HH65" s="6">
        <f t="shared" si="1400"/>
        <v>0</v>
      </c>
      <c r="HI65" s="6">
        <f t="shared" si="1531"/>
        <v>4</v>
      </c>
      <c r="HJ65" s="6">
        <f t="shared" si="1401"/>
        <v>0</v>
      </c>
      <c r="HK65" s="6">
        <f t="shared" si="1532"/>
        <v>0</v>
      </c>
      <c r="HL65" s="6">
        <f t="shared" si="1402"/>
        <v>1</v>
      </c>
      <c r="HM65" s="6">
        <f t="shared" si="1533"/>
        <v>3</v>
      </c>
      <c r="HN65" s="6">
        <f t="shared" si="1403"/>
        <v>0</v>
      </c>
      <c r="HO65" s="6">
        <f t="shared" si="1534"/>
        <v>6</v>
      </c>
      <c r="HP65" s="6">
        <f t="shared" si="1404"/>
        <v>0</v>
      </c>
      <c r="HQ65" s="6">
        <f t="shared" si="1535"/>
        <v>6</v>
      </c>
      <c r="HR65" s="6">
        <f t="shared" si="1405"/>
        <v>0</v>
      </c>
      <c r="HS65" s="6">
        <f t="shared" si="1536"/>
        <v>0</v>
      </c>
      <c r="HT65" s="6">
        <f t="shared" si="1406"/>
        <v>0</v>
      </c>
      <c r="HU65" s="6">
        <f t="shared" si="1537"/>
        <v>6</v>
      </c>
      <c r="HV65" s="6">
        <f t="shared" si="1407"/>
        <v>1</v>
      </c>
      <c r="HW65" s="6">
        <f t="shared" si="1538"/>
        <v>8</v>
      </c>
      <c r="HX65" s="6">
        <f t="shared" si="1408"/>
        <v>0</v>
      </c>
      <c r="HY65" s="6">
        <f t="shared" si="1539"/>
        <v>13</v>
      </c>
      <c r="HZ65" s="6">
        <f>IF($E65=3,HB65-3,NA())</f>
        <v>0</v>
      </c>
      <c r="IA65" s="6"/>
      <c r="IB65" s="6"/>
      <c r="IC65" s="20">
        <f>HB65-'Zusammenfassung Tag1-4'!$I$2/18</f>
        <v>2</v>
      </c>
      <c r="ID65" s="22">
        <f t="shared" si="1541"/>
        <v>221</v>
      </c>
      <c r="IE65" s="18">
        <v>8</v>
      </c>
      <c r="IF65" s="6">
        <f t="shared" si="1542"/>
        <v>111</v>
      </c>
      <c r="IG65" s="19">
        <v>2</v>
      </c>
      <c r="IH65" s="6">
        <f t="shared" si="1543"/>
        <v>41</v>
      </c>
      <c r="II65" s="6">
        <f t="shared" si="1409"/>
        <v>0</v>
      </c>
      <c r="IJ65" s="6">
        <f t="shared" si="1544"/>
        <v>37</v>
      </c>
      <c r="IK65" s="6">
        <f t="shared" si="1410"/>
        <v>0</v>
      </c>
      <c r="IL65" s="6">
        <f t="shared" si="1545"/>
        <v>0</v>
      </c>
      <c r="IM65" s="6">
        <f t="shared" si="1411"/>
        <v>0</v>
      </c>
      <c r="IN65" s="6">
        <f t="shared" si="1546"/>
        <v>0</v>
      </c>
      <c r="IO65" s="6">
        <f t="shared" si="1412"/>
        <v>0</v>
      </c>
      <c r="IP65" s="6">
        <f t="shared" si="1547"/>
        <v>0</v>
      </c>
      <c r="IQ65" s="6">
        <f t="shared" si="1413"/>
        <v>0</v>
      </c>
      <c r="IR65" s="6">
        <f t="shared" si="1548"/>
        <v>2</v>
      </c>
      <c r="IS65" s="6">
        <f t="shared" si="1414"/>
        <v>1</v>
      </c>
      <c r="IT65" s="6">
        <f t="shared" si="1549"/>
        <v>13</v>
      </c>
      <c r="IU65" s="6">
        <f t="shared" si="1415"/>
        <v>0</v>
      </c>
      <c r="IV65" s="6">
        <f t="shared" si="1550"/>
        <v>0</v>
      </c>
      <c r="IW65" s="6">
        <f t="shared" si="1416"/>
        <v>0</v>
      </c>
      <c r="IX65" s="6">
        <f t="shared" si="1551"/>
        <v>0</v>
      </c>
      <c r="IY65" s="6">
        <f t="shared" si="1417"/>
        <v>1</v>
      </c>
      <c r="IZ65" s="6">
        <f t="shared" si="1552"/>
        <v>6</v>
      </c>
      <c r="JA65" s="6">
        <f t="shared" si="1418"/>
        <v>0</v>
      </c>
      <c r="JB65" s="6">
        <f t="shared" si="1553"/>
        <v>9</v>
      </c>
      <c r="JC65" s="6">
        <f>IF($E65=3,IE65-3,NA())</f>
        <v>5</v>
      </c>
      <c r="JD65" s="6"/>
      <c r="JE65" s="6"/>
      <c r="JF65" s="20">
        <f>IE65-'Zusammenfassung Tag1-4'!$J$2/18</f>
        <v>5</v>
      </c>
      <c r="JG65" s="22">
        <f t="shared" si="1555"/>
        <v>-42</v>
      </c>
      <c r="JH65" s="18">
        <v>4</v>
      </c>
      <c r="JI65" s="6">
        <f t="shared" si="1556"/>
        <v>71</v>
      </c>
      <c r="JJ65" s="19">
        <v>2</v>
      </c>
      <c r="JK65" s="6">
        <f t="shared" si="1557"/>
        <v>28</v>
      </c>
      <c r="JL65" s="6">
        <f t="shared" si="1419"/>
        <v>0</v>
      </c>
      <c r="JM65" s="6">
        <f t="shared" si="1558"/>
        <v>43</v>
      </c>
      <c r="JN65" s="6">
        <f t="shared" si="1420"/>
        <v>0</v>
      </c>
      <c r="JO65" s="6">
        <f t="shared" si="1559"/>
        <v>1</v>
      </c>
      <c r="JP65" s="6">
        <f t="shared" si="1421"/>
        <v>0</v>
      </c>
      <c r="JQ65" s="6">
        <f t="shared" si="1560"/>
        <v>2</v>
      </c>
      <c r="JR65" s="6">
        <f t="shared" si="1422"/>
        <v>0</v>
      </c>
      <c r="JS65" s="6">
        <f t="shared" si="1561"/>
        <v>6</v>
      </c>
      <c r="JT65" s="6">
        <f t="shared" si="1423"/>
        <v>1</v>
      </c>
      <c r="JU65" s="6">
        <f t="shared" si="1562"/>
        <v>2</v>
      </c>
      <c r="JV65" s="6">
        <f t="shared" si="1424"/>
        <v>0</v>
      </c>
      <c r="JW65" s="6">
        <f t="shared" si="1563"/>
        <v>5</v>
      </c>
      <c r="JX65" s="6">
        <f t="shared" si="1425"/>
        <v>0</v>
      </c>
      <c r="JY65" s="6">
        <f t="shared" si="1564"/>
        <v>0</v>
      </c>
      <c r="JZ65" s="6">
        <f t="shared" si="1426"/>
        <v>0</v>
      </c>
      <c r="KA65" s="6">
        <f t="shared" si="1565"/>
        <v>3</v>
      </c>
      <c r="KB65" s="6">
        <f t="shared" si="1427"/>
        <v>1</v>
      </c>
      <c r="KC65" s="6">
        <f t="shared" si="1566"/>
        <v>11</v>
      </c>
      <c r="KD65" s="6">
        <f t="shared" si="1428"/>
        <v>0</v>
      </c>
      <c r="KE65" s="6">
        <f t="shared" si="1567"/>
        <v>1</v>
      </c>
      <c r="KF65" s="6">
        <f>IF($E65=3,JH65-3,NA())</f>
        <v>1</v>
      </c>
      <c r="KG65" s="6"/>
      <c r="KH65" s="6"/>
      <c r="KI65" s="20">
        <f>JH65-'Zusammenfassung Tag1-4'!$K$2/18</f>
        <v>3.2222222222222223</v>
      </c>
      <c r="KJ65" s="22">
        <f t="shared" si="1569"/>
        <v>31.333333333333307</v>
      </c>
      <c r="KK65" s="10"/>
      <c r="KL65" s="10"/>
      <c r="KM65" s="10"/>
      <c r="KN65" s="10"/>
      <c r="KO65" s="10"/>
      <c r="KP65" s="10"/>
      <c r="KQ65" s="10"/>
      <c r="KR65" s="10"/>
      <c r="KS65" s="10"/>
      <c r="KT65" s="10"/>
      <c r="KU65" s="10"/>
      <c r="KV65" s="10"/>
      <c r="KW65" s="10"/>
      <c r="KX65" s="10"/>
      <c r="KY65" s="10"/>
      <c r="KZ65" s="10"/>
      <c r="LA65" s="10"/>
      <c r="LB65" s="10"/>
      <c r="LC65" s="10"/>
      <c r="LD65" s="10"/>
    </row>
    <row r="66" spans="1:316" ht="15.75" customHeight="1" x14ac:dyDescent="0.25">
      <c r="A66" s="106"/>
      <c r="B66" s="103"/>
      <c r="C66" s="6">
        <v>16</v>
      </c>
      <c r="D66" s="6">
        <f t="shared" si="1429"/>
        <v>52</v>
      </c>
      <c r="E66" s="6">
        <v>4</v>
      </c>
      <c r="F66" s="7">
        <f t="shared" si="1430"/>
        <v>208</v>
      </c>
      <c r="G66" s="18"/>
      <c r="H66" s="6"/>
      <c r="I66" s="19"/>
      <c r="J66" s="6">
        <f t="shared" si="1431"/>
        <v>71</v>
      </c>
      <c r="K66" s="6">
        <f t="shared" si="1329"/>
        <v>1</v>
      </c>
      <c r="L66" s="6">
        <f t="shared" si="1432"/>
        <v>31</v>
      </c>
      <c r="M66" s="6">
        <f t="shared" si="1330"/>
        <v>0</v>
      </c>
      <c r="N66" s="6">
        <f t="shared" si="1433"/>
        <v>3</v>
      </c>
      <c r="O66" s="6">
        <f t="shared" si="1331"/>
        <v>0</v>
      </c>
      <c r="P66" s="6">
        <f t="shared" si="1434"/>
        <v>1</v>
      </c>
      <c r="Q66" s="6">
        <f t="shared" si="1332"/>
        <v>0</v>
      </c>
      <c r="R66" s="6">
        <f t="shared" si="1435"/>
        <v>0</v>
      </c>
      <c r="S66" s="6">
        <f t="shared" si="1333"/>
        <v>0</v>
      </c>
      <c r="T66" s="6">
        <f t="shared" si="1436"/>
        <v>0</v>
      </c>
      <c r="U66" s="6">
        <f t="shared" si="1334"/>
        <v>0</v>
      </c>
      <c r="V66" s="6">
        <f t="shared" si="1437"/>
        <v>0</v>
      </c>
      <c r="W66" s="6">
        <f t="shared" si="1335"/>
        <v>1</v>
      </c>
      <c r="X66" s="6">
        <f t="shared" si="1438"/>
        <v>16</v>
      </c>
      <c r="Y66" s="6">
        <f t="shared" si="1336"/>
        <v>0</v>
      </c>
      <c r="Z66" s="6">
        <f t="shared" si="1439"/>
        <v>7</v>
      </c>
      <c r="AA66" s="6">
        <f t="shared" si="1337"/>
        <v>0</v>
      </c>
      <c r="AB66" s="6">
        <f t="shared" si="1440"/>
        <v>0</v>
      </c>
      <c r="AC66" s="6">
        <f t="shared" si="1338"/>
        <v>0</v>
      </c>
      <c r="AD66" s="6">
        <f t="shared" si="1441"/>
        <v>5</v>
      </c>
      <c r="AE66" s="6"/>
      <c r="AF66" s="6">
        <f>IF($E66=4,G66-4,NA())</f>
        <v>-4</v>
      </c>
      <c r="AG66" s="6"/>
      <c r="AH66" s="20">
        <f>G66-'Zusammenfassung Tag1-4'!$B$2/18</f>
        <v>-1.1111111111111112</v>
      </c>
      <c r="AI66" s="21">
        <f t="shared" si="1443"/>
        <v>119.22222222222209</v>
      </c>
      <c r="AJ66" s="18">
        <v>4</v>
      </c>
      <c r="AK66" s="6">
        <f t="shared" si="1444"/>
        <v>239</v>
      </c>
      <c r="AL66" s="19">
        <v>2</v>
      </c>
      <c r="AM66" s="6">
        <f t="shared" si="1445"/>
        <v>94</v>
      </c>
      <c r="AN66" s="6">
        <f t="shared" si="1339"/>
        <v>1</v>
      </c>
      <c r="AO66" s="6">
        <f t="shared" si="1446"/>
        <v>27</v>
      </c>
      <c r="AP66" s="6">
        <f t="shared" si="1340"/>
        <v>0</v>
      </c>
      <c r="AQ66" s="6">
        <f t="shared" si="1447"/>
        <v>8</v>
      </c>
      <c r="AR66" s="6">
        <f t="shared" si="1341"/>
        <v>0</v>
      </c>
      <c r="AS66" s="6">
        <f t="shared" si="1448"/>
        <v>4</v>
      </c>
      <c r="AT66" s="6">
        <f t="shared" si="1342"/>
        <v>1</v>
      </c>
      <c r="AU66" s="6">
        <f t="shared" si="1449"/>
        <v>8</v>
      </c>
      <c r="AV66" s="6">
        <f t="shared" si="1343"/>
        <v>0</v>
      </c>
      <c r="AW66" s="6">
        <f t="shared" si="1450"/>
        <v>3</v>
      </c>
      <c r="AX66" s="6">
        <f t="shared" si="1344"/>
        <v>0</v>
      </c>
      <c r="AY66" s="6">
        <f t="shared" si="1451"/>
        <v>4</v>
      </c>
      <c r="AZ66" s="6">
        <f t="shared" si="1345"/>
        <v>0</v>
      </c>
      <c r="BA66" s="6">
        <f t="shared" si="1452"/>
        <v>0</v>
      </c>
      <c r="BB66" s="6">
        <f t="shared" si="1346"/>
        <v>0</v>
      </c>
      <c r="BC66" s="6">
        <f t="shared" si="1453"/>
        <v>16</v>
      </c>
      <c r="BD66" s="6">
        <f t="shared" si="1347"/>
        <v>1</v>
      </c>
      <c r="BE66" s="6">
        <f t="shared" si="1454"/>
        <v>8</v>
      </c>
      <c r="BF66" s="6">
        <f t="shared" si="1348"/>
        <v>0</v>
      </c>
      <c r="BG66" s="6">
        <f t="shared" si="1455"/>
        <v>6</v>
      </c>
      <c r="BH66" s="6"/>
      <c r="BI66" s="6">
        <f>IF($E66=4,AJ66-4,NA())</f>
        <v>0</v>
      </c>
      <c r="BJ66" s="6"/>
      <c r="BK66" s="20">
        <f>AJ66-'Zusammenfassung Tag1-4'!$C$2/18</f>
        <v>3.3333333333333335</v>
      </c>
      <c r="BL66" s="21">
        <f t="shared" si="1457"/>
        <v>204.33333333333346</v>
      </c>
      <c r="BM66" s="18">
        <v>8</v>
      </c>
      <c r="BN66" s="6">
        <f t="shared" si="1458"/>
        <v>292</v>
      </c>
      <c r="BO66" s="19">
        <v>3</v>
      </c>
      <c r="BP66" s="6">
        <f t="shared" si="1459"/>
        <v>109</v>
      </c>
      <c r="BQ66" s="6">
        <f t="shared" si="1349"/>
        <v>0</v>
      </c>
      <c r="BR66" s="6">
        <f t="shared" si="1460"/>
        <v>8</v>
      </c>
      <c r="BS66" s="6">
        <f t="shared" si="1350"/>
        <v>0</v>
      </c>
      <c r="BT66" s="6">
        <f t="shared" si="1461"/>
        <v>4</v>
      </c>
      <c r="BU66" s="6">
        <f t="shared" si="1351"/>
        <v>0</v>
      </c>
      <c r="BV66" s="6">
        <f t="shared" si="1462"/>
        <v>0</v>
      </c>
      <c r="BW66" s="6">
        <f t="shared" si="1352"/>
        <v>0</v>
      </c>
      <c r="BX66" s="6">
        <f t="shared" si="1463"/>
        <v>2</v>
      </c>
      <c r="BY66" s="6">
        <f t="shared" si="1353"/>
        <v>0</v>
      </c>
      <c r="BZ66" s="6">
        <f t="shared" si="1464"/>
        <v>6</v>
      </c>
      <c r="CA66" s="6">
        <f t="shared" si="1354"/>
        <v>1</v>
      </c>
      <c r="CB66" s="6">
        <f t="shared" si="1465"/>
        <v>8</v>
      </c>
      <c r="CC66" s="6">
        <f t="shared" si="1355"/>
        <v>0</v>
      </c>
      <c r="CD66" s="6">
        <f t="shared" si="1466"/>
        <v>0</v>
      </c>
      <c r="CE66" s="6">
        <f t="shared" si="1356"/>
        <v>0</v>
      </c>
      <c r="CF66" s="6">
        <f t="shared" si="1467"/>
        <v>9</v>
      </c>
      <c r="CG66" s="6">
        <f t="shared" si="1357"/>
        <v>0</v>
      </c>
      <c r="CH66" s="6">
        <f t="shared" si="1468"/>
        <v>6</v>
      </c>
      <c r="CI66" s="6">
        <f t="shared" si="1358"/>
        <v>1</v>
      </c>
      <c r="CJ66" s="6">
        <f t="shared" si="1469"/>
        <v>14</v>
      </c>
      <c r="CK66" s="6"/>
      <c r="CL66" s="6">
        <f>IF($E66=4,BM66-4,NA())</f>
        <v>4</v>
      </c>
      <c r="CM66" s="6"/>
      <c r="CN66" s="20">
        <f>BM66-'Zusammenfassung Tag1-4'!$D$2/18</f>
        <v>6.666666666666667</v>
      </c>
      <c r="CO66" s="21">
        <f t="shared" si="1471"/>
        <v>222.66666666666652</v>
      </c>
      <c r="CP66" s="18">
        <v>6</v>
      </c>
      <c r="CQ66" s="6">
        <f t="shared" si="1472"/>
        <v>275</v>
      </c>
      <c r="CR66" s="19">
        <v>3</v>
      </c>
      <c r="CS66" s="6">
        <f t="shared" si="1473"/>
        <v>107</v>
      </c>
      <c r="CT66" s="6">
        <f t="shared" si="1359"/>
        <v>0</v>
      </c>
      <c r="CU66" s="6">
        <f t="shared" si="1474"/>
        <v>10</v>
      </c>
      <c r="CV66" s="6">
        <f t="shared" si="1360"/>
        <v>0</v>
      </c>
      <c r="CW66" s="6">
        <f t="shared" si="1475"/>
        <v>5</v>
      </c>
      <c r="CX66" s="6">
        <f t="shared" si="1361"/>
        <v>0</v>
      </c>
      <c r="CY66" s="6">
        <f t="shared" si="1476"/>
        <v>0</v>
      </c>
      <c r="CZ66" s="6">
        <f t="shared" si="1362"/>
        <v>0</v>
      </c>
      <c r="DA66" s="6">
        <f t="shared" si="1477"/>
        <v>3</v>
      </c>
      <c r="DB66" s="6">
        <f t="shared" si="1363"/>
        <v>0</v>
      </c>
      <c r="DC66" s="6">
        <f t="shared" si="1478"/>
        <v>6</v>
      </c>
      <c r="DD66" s="6">
        <f t="shared" si="1364"/>
        <v>1</v>
      </c>
      <c r="DE66" s="6">
        <f t="shared" si="1479"/>
        <v>7</v>
      </c>
      <c r="DF66" s="6">
        <f t="shared" si="1365"/>
        <v>0</v>
      </c>
      <c r="DG66" s="6">
        <f t="shared" si="1480"/>
        <v>0</v>
      </c>
      <c r="DH66" s="6">
        <f t="shared" si="1366"/>
        <v>0</v>
      </c>
      <c r="DI66" s="6">
        <f t="shared" si="1481"/>
        <v>10</v>
      </c>
      <c r="DJ66" s="6">
        <f t="shared" si="1367"/>
        <v>0</v>
      </c>
      <c r="DK66" s="6">
        <f t="shared" si="1482"/>
        <v>6</v>
      </c>
      <c r="DL66" s="6">
        <f t="shared" si="1368"/>
        <v>1</v>
      </c>
      <c r="DM66" s="6">
        <f t="shared" si="1483"/>
        <v>13</v>
      </c>
      <c r="DN66" s="6"/>
      <c r="DO66" s="6">
        <f>IF($E66=4,CP66-4,NA())</f>
        <v>2</v>
      </c>
      <c r="DP66" s="6"/>
      <c r="DQ66" s="20">
        <f>CP66-'Zusammenfassung Tag1-4'!$E$2/18</f>
        <v>4.7222222222222223</v>
      </c>
      <c r="DR66" s="22">
        <f t="shared" si="1485"/>
        <v>208.55555555555577</v>
      </c>
      <c r="DS66" s="18">
        <v>7</v>
      </c>
      <c r="DT66" s="6">
        <f t="shared" si="1486"/>
        <v>405</v>
      </c>
      <c r="DU66" s="19">
        <v>2</v>
      </c>
      <c r="DV66" s="6">
        <f t="shared" si="1487"/>
        <v>117</v>
      </c>
      <c r="DW66" s="6">
        <f t="shared" si="1369"/>
        <v>0</v>
      </c>
      <c r="DX66" s="6">
        <f t="shared" si="1488"/>
        <v>1</v>
      </c>
      <c r="DY66" s="6">
        <f t="shared" si="1370"/>
        <v>0</v>
      </c>
      <c r="DZ66" s="6">
        <f t="shared" si="1489"/>
        <v>0</v>
      </c>
      <c r="EA66" s="6">
        <f t="shared" si="1371"/>
        <v>0</v>
      </c>
      <c r="EB66" s="6">
        <f t="shared" si="1490"/>
        <v>0</v>
      </c>
      <c r="EC66" s="6">
        <f t="shared" si="1372"/>
        <v>0</v>
      </c>
      <c r="ED66" s="6">
        <f t="shared" si="1491"/>
        <v>0</v>
      </c>
      <c r="EE66" s="6">
        <f t="shared" si="1373"/>
        <v>0</v>
      </c>
      <c r="EF66" s="6">
        <f t="shared" si="1492"/>
        <v>0</v>
      </c>
      <c r="EG66" s="6">
        <f t="shared" si="1374"/>
        <v>1</v>
      </c>
      <c r="EH66" s="6">
        <f t="shared" si="1493"/>
        <v>16</v>
      </c>
      <c r="EI66" s="6">
        <f t="shared" si="1375"/>
        <v>0</v>
      </c>
      <c r="EJ66" s="6">
        <f t="shared" si="1494"/>
        <v>0</v>
      </c>
      <c r="EK66" s="6">
        <f t="shared" si="1376"/>
        <v>0</v>
      </c>
      <c r="EL66" s="6">
        <f t="shared" si="1495"/>
        <v>2</v>
      </c>
      <c r="EM66" s="6">
        <f t="shared" si="1377"/>
        <v>1</v>
      </c>
      <c r="EN66" s="6">
        <f t="shared" si="1496"/>
        <v>11</v>
      </c>
      <c r="EO66" s="6">
        <f t="shared" si="1378"/>
        <v>0</v>
      </c>
      <c r="EP66" s="6">
        <f t="shared" si="1497"/>
        <v>13</v>
      </c>
      <c r="EQ66" s="6"/>
      <c r="ER66" s="6">
        <f>IF($E66=4,DS66-4,NA())</f>
        <v>3</v>
      </c>
      <c r="ES66" s="6"/>
      <c r="ET66" s="20">
        <f>DS66-'Zusammenfassung Tag1-4'!$F$2/18</f>
        <v>4</v>
      </c>
      <c r="EU66" s="22">
        <f t="shared" si="1499"/>
        <v>249</v>
      </c>
      <c r="EV66" s="18">
        <v>7</v>
      </c>
      <c r="EW66" s="6">
        <f t="shared" si="1500"/>
        <v>292</v>
      </c>
      <c r="EX66" s="19">
        <v>2</v>
      </c>
      <c r="EY66" s="6">
        <f t="shared" si="1501"/>
        <v>107</v>
      </c>
      <c r="EZ66" s="6">
        <f t="shared" si="1379"/>
        <v>0</v>
      </c>
      <c r="FA66" s="6">
        <f t="shared" si="1502"/>
        <v>9</v>
      </c>
      <c r="FB66" s="6">
        <f t="shared" si="1380"/>
        <v>0</v>
      </c>
      <c r="FC66" s="6">
        <f t="shared" si="1503"/>
        <v>1</v>
      </c>
      <c r="FD66" s="6">
        <f t="shared" si="1381"/>
        <v>0</v>
      </c>
      <c r="FE66" s="6">
        <f t="shared" si="1504"/>
        <v>0</v>
      </c>
      <c r="FF66" s="6">
        <f t="shared" si="1382"/>
        <v>0</v>
      </c>
      <c r="FG66" s="6">
        <f t="shared" si="1505"/>
        <v>1</v>
      </c>
      <c r="FH66" s="6">
        <f t="shared" si="1383"/>
        <v>0</v>
      </c>
      <c r="FI66" s="6">
        <f t="shared" si="1506"/>
        <v>8</v>
      </c>
      <c r="FJ66" s="6">
        <f t="shared" si="1384"/>
        <v>1</v>
      </c>
      <c r="FK66" s="6">
        <f t="shared" si="1507"/>
        <v>7</v>
      </c>
      <c r="FL66" s="6">
        <f t="shared" si="1385"/>
        <v>0</v>
      </c>
      <c r="FM66" s="6">
        <f t="shared" si="1508"/>
        <v>0</v>
      </c>
      <c r="FN66" s="6">
        <f t="shared" si="1386"/>
        <v>0</v>
      </c>
      <c r="FO66" s="6">
        <f t="shared" si="1509"/>
        <v>7</v>
      </c>
      <c r="FP66" s="6">
        <f t="shared" si="1387"/>
        <v>1</v>
      </c>
      <c r="FQ66" s="6">
        <f t="shared" si="1510"/>
        <v>10</v>
      </c>
      <c r="FR66" s="6">
        <f t="shared" si="1388"/>
        <v>0</v>
      </c>
      <c r="FS66" s="6">
        <f t="shared" si="1511"/>
        <v>10</v>
      </c>
      <c r="FT66" s="6"/>
      <c r="FU66" s="6">
        <f>IF($E66=4,EV66-4,NA())</f>
        <v>3</v>
      </c>
      <c r="FV66" s="6"/>
      <c r="FW66" s="20">
        <f>EV66-'Zusammenfassung Tag1-4'!$G$2/18</f>
        <v>5.5</v>
      </c>
      <c r="FX66" s="22">
        <f t="shared" si="1513"/>
        <v>214</v>
      </c>
      <c r="FY66" s="18">
        <v>5</v>
      </c>
      <c r="FZ66" s="6">
        <f t="shared" si="1514"/>
        <v>376</v>
      </c>
      <c r="GA66" s="19">
        <v>2</v>
      </c>
      <c r="GB66" s="6">
        <f t="shared" si="1515"/>
        <v>124</v>
      </c>
      <c r="GC66" s="6">
        <f t="shared" si="1389"/>
        <v>0</v>
      </c>
      <c r="GD66" s="6">
        <f t="shared" si="1516"/>
        <v>2</v>
      </c>
      <c r="GE66" s="6">
        <f t="shared" si="1390"/>
        <v>0</v>
      </c>
      <c r="GF66" s="6">
        <f t="shared" si="1517"/>
        <v>0</v>
      </c>
      <c r="GG66" s="6">
        <f t="shared" si="1391"/>
        <v>0</v>
      </c>
      <c r="GH66" s="6">
        <f t="shared" si="1518"/>
        <v>0</v>
      </c>
      <c r="GI66" s="6">
        <f t="shared" si="1392"/>
        <v>0</v>
      </c>
      <c r="GJ66" s="6">
        <f t="shared" si="1519"/>
        <v>0</v>
      </c>
      <c r="GK66" s="6">
        <f t="shared" si="1393"/>
        <v>1</v>
      </c>
      <c r="GL66" s="6">
        <f t="shared" si="1520"/>
        <v>1</v>
      </c>
      <c r="GM66" s="6">
        <f t="shared" si="1394"/>
        <v>0</v>
      </c>
      <c r="GN66" s="6">
        <f t="shared" si="1521"/>
        <v>15</v>
      </c>
      <c r="GO66" s="6">
        <f t="shared" si="1395"/>
        <v>0</v>
      </c>
      <c r="GP66" s="6">
        <f t="shared" si="1522"/>
        <v>0</v>
      </c>
      <c r="GQ66" s="6">
        <f t="shared" si="1396"/>
        <v>0</v>
      </c>
      <c r="GR66" s="6">
        <f t="shared" si="1523"/>
        <v>2</v>
      </c>
      <c r="GS66" s="6">
        <f t="shared" si="1397"/>
        <v>1</v>
      </c>
      <c r="GT66" s="6">
        <f t="shared" si="1524"/>
        <v>9</v>
      </c>
      <c r="GU66" s="6">
        <f t="shared" si="1398"/>
        <v>0</v>
      </c>
      <c r="GV66" s="6">
        <f t="shared" si="1525"/>
        <v>22</v>
      </c>
      <c r="GW66" s="6"/>
      <c r="GX66" s="6">
        <f>IF($E66=4,FY66-4,NA())</f>
        <v>1</v>
      </c>
      <c r="GY66" s="6"/>
      <c r="GZ66" s="20">
        <f>FY66-'Zusammenfassung Tag1-4'!$H$2/18</f>
        <v>2</v>
      </c>
      <c r="HA66" s="22">
        <f t="shared" si="1527"/>
        <v>220</v>
      </c>
      <c r="HB66" s="18">
        <v>5</v>
      </c>
      <c r="HC66" s="6">
        <f t="shared" si="1528"/>
        <v>277</v>
      </c>
      <c r="HD66" s="19">
        <v>2</v>
      </c>
      <c r="HE66" s="6">
        <f t="shared" si="1529"/>
        <v>111</v>
      </c>
      <c r="HF66" s="6">
        <f t="shared" si="1399"/>
        <v>0</v>
      </c>
      <c r="HG66" s="6">
        <f t="shared" si="1530"/>
        <v>17</v>
      </c>
      <c r="HH66" s="6">
        <f t="shared" si="1400"/>
        <v>0</v>
      </c>
      <c r="HI66" s="6">
        <f t="shared" si="1531"/>
        <v>4</v>
      </c>
      <c r="HJ66" s="6">
        <f t="shared" si="1401"/>
        <v>0</v>
      </c>
      <c r="HK66" s="6">
        <f t="shared" si="1532"/>
        <v>0</v>
      </c>
      <c r="HL66" s="6">
        <f t="shared" si="1402"/>
        <v>0</v>
      </c>
      <c r="HM66" s="6">
        <f t="shared" si="1533"/>
        <v>3</v>
      </c>
      <c r="HN66" s="6">
        <f t="shared" si="1403"/>
        <v>1</v>
      </c>
      <c r="HO66" s="6">
        <f t="shared" si="1534"/>
        <v>7</v>
      </c>
      <c r="HP66" s="6">
        <f t="shared" si="1404"/>
        <v>0</v>
      </c>
      <c r="HQ66" s="6">
        <f t="shared" si="1535"/>
        <v>6</v>
      </c>
      <c r="HR66" s="6">
        <f t="shared" si="1405"/>
        <v>0</v>
      </c>
      <c r="HS66" s="6">
        <f t="shared" si="1536"/>
        <v>0</v>
      </c>
      <c r="HT66" s="6">
        <f t="shared" si="1406"/>
        <v>0</v>
      </c>
      <c r="HU66" s="6">
        <f t="shared" si="1537"/>
        <v>6</v>
      </c>
      <c r="HV66" s="6">
        <f t="shared" si="1407"/>
        <v>1</v>
      </c>
      <c r="HW66" s="6">
        <f t="shared" si="1538"/>
        <v>9</v>
      </c>
      <c r="HX66" s="6">
        <f t="shared" si="1408"/>
        <v>0</v>
      </c>
      <c r="HY66" s="6">
        <f t="shared" si="1539"/>
        <v>13</v>
      </c>
      <c r="HZ66" s="6"/>
      <c r="IA66" s="6">
        <f>IF($E66=4,HB66-4,NA())</f>
        <v>1</v>
      </c>
      <c r="IB66" s="6"/>
      <c r="IC66" s="20">
        <f>HB66-'Zusammenfassung Tag1-4'!$I$2/18</f>
        <v>4</v>
      </c>
      <c r="ID66" s="22">
        <f t="shared" si="1541"/>
        <v>225</v>
      </c>
      <c r="IE66" s="18">
        <v>7</v>
      </c>
      <c r="IF66" s="6">
        <f t="shared" si="1542"/>
        <v>118</v>
      </c>
      <c r="IG66" s="19">
        <v>4</v>
      </c>
      <c r="IH66" s="6">
        <f t="shared" si="1543"/>
        <v>45</v>
      </c>
      <c r="II66" s="6">
        <f t="shared" si="1409"/>
        <v>0</v>
      </c>
      <c r="IJ66" s="6">
        <f t="shared" si="1544"/>
        <v>37</v>
      </c>
      <c r="IK66" s="6">
        <f t="shared" si="1410"/>
        <v>0</v>
      </c>
      <c r="IL66" s="6">
        <f t="shared" si="1545"/>
        <v>0</v>
      </c>
      <c r="IM66" s="6">
        <f t="shared" si="1411"/>
        <v>0</v>
      </c>
      <c r="IN66" s="6">
        <f t="shared" si="1546"/>
        <v>0</v>
      </c>
      <c r="IO66" s="6">
        <f t="shared" si="1412"/>
        <v>0</v>
      </c>
      <c r="IP66" s="6">
        <f t="shared" si="1547"/>
        <v>0</v>
      </c>
      <c r="IQ66" s="6">
        <f t="shared" si="1413"/>
        <v>0</v>
      </c>
      <c r="IR66" s="6">
        <f t="shared" si="1548"/>
        <v>2</v>
      </c>
      <c r="IS66" s="6">
        <f t="shared" si="1414"/>
        <v>1</v>
      </c>
      <c r="IT66" s="6">
        <f t="shared" si="1549"/>
        <v>14</v>
      </c>
      <c r="IU66" s="6">
        <f t="shared" si="1415"/>
        <v>0</v>
      </c>
      <c r="IV66" s="6">
        <f t="shared" si="1550"/>
        <v>0</v>
      </c>
      <c r="IW66" s="6">
        <f t="shared" si="1416"/>
        <v>0</v>
      </c>
      <c r="IX66" s="6">
        <f t="shared" si="1551"/>
        <v>0</v>
      </c>
      <c r="IY66" s="6">
        <f t="shared" si="1417"/>
        <v>0</v>
      </c>
      <c r="IZ66" s="6">
        <f t="shared" si="1552"/>
        <v>6</v>
      </c>
      <c r="JA66" s="6">
        <f t="shared" si="1418"/>
        <v>1</v>
      </c>
      <c r="JB66" s="6">
        <f t="shared" si="1553"/>
        <v>10</v>
      </c>
      <c r="JC66" s="6"/>
      <c r="JD66" s="6">
        <f>IF($E66=4,IE66-4,NA())</f>
        <v>3</v>
      </c>
      <c r="JE66" s="6"/>
      <c r="JF66" s="20">
        <f>IE66-'Zusammenfassung Tag1-4'!$J$2/18</f>
        <v>4</v>
      </c>
      <c r="JG66" s="22">
        <f t="shared" si="1555"/>
        <v>-38</v>
      </c>
      <c r="JH66" s="18">
        <v>5</v>
      </c>
      <c r="JI66" s="6">
        <f t="shared" si="1556"/>
        <v>76</v>
      </c>
      <c r="JJ66" s="19">
        <v>2</v>
      </c>
      <c r="JK66" s="6">
        <f t="shared" si="1557"/>
        <v>30</v>
      </c>
      <c r="JL66" s="6">
        <f t="shared" si="1419"/>
        <v>0</v>
      </c>
      <c r="JM66" s="6">
        <f t="shared" si="1558"/>
        <v>43</v>
      </c>
      <c r="JN66" s="6">
        <f t="shared" si="1420"/>
        <v>0</v>
      </c>
      <c r="JO66" s="6">
        <f t="shared" si="1559"/>
        <v>1</v>
      </c>
      <c r="JP66" s="6">
        <f t="shared" si="1421"/>
        <v>0</v>
      </c>
      <c r="JQ66" s="6">
        <f t="shared" si="1560"/>
        <v>2</v>
      </c>
      <c r="JR66" s="6">
        <f t="shared" si="1422"/>
        <v>0</v>
      </c>
      <c r="JS66" s="6">
        <f t="shared" si="1561"/>
        <v>6</v>
      </c>
      <c r="JT66" s="6">
        <f t="shared" si="1423"/>
        <v>1</v>
      </c>
      <c r="JU66" s="6">
        <f t="shared" si="1562"/>
        <v>3</v>
      </c>
      <c r="JV66" s="6">
        <f t="shared" si="1424"/>
        <v>0</v>
      </c>
      <c r="JW66" s="6">
        <f t="shared" si="1563"/>
        <v>5</v>
      </c>
      <c r="JX66" s="6">
        <f t="shared" si="1425"/>
        <v>0</v>
      </c>
      <c r="JY66" s="6">
        <f t="shared" si="1564"/>
        <v>0</v>
      </c>
      <c r="JZ66" s="6">
        <f t="shared" si="1426"/>
        <v>0</v>
      </c>
      <c r="KA66" s="6">
        <f t="shared" si="1565"/>
        <v>3</v>
      </c>
      <c r="KB66" s="6">
        <f t="shared" si="1427"/>
        <v>1</v>
      </c>
      <c r="KC66" s="6">
        <f t="shared" si="1566"/>
        <v>12</v>
      </c>
      <c r="KD66" s="6">
        <f t="shared" si="1428"/>
        <v>0</v>
      </c>
      <c r="KE66" s="6">
        <f t="shared" si="1567"/>
        <v>1</v>
      </c>
      <c r="KF66" s="6"/>
      <c r="KG66" s="6">
        <f>IF($E66=4,JH66-4,NA())</f>
        <v>1</v>
      </c>
      <c r="KH66" s="6"/>
      <c r="KI66" s="20">
        <f>JH66-'Zusammenfassung Tag1-4'!$K$2/18</f>
        <v>4.2222222222222223</v>
      </c>
      <c r="KJ66" s="22">
        <f t="shared" si="1569"/>
        <v>35.555555555555529</v>
      </c>
      <c r="KK66" s="10"/>
      <c r="KL66" s="10"/>
      <c r="KM66" s="10"/>
      <c r="KN66" s="10"/>
      <c r="KO66" s="10"/>
      <c r="KP66" s="10"/>
      <c r="KQ66" s="10"/>
      <c r="KR66" s="10"/>
      <c r="KS66" s="10"/>
      <c r="KT66" s="10"/>
      <c r="KU66" s="10"/>
      <c r="KV66" s="10"/>
      <c r="KW66" s="10"/>
      <c r="KX66" s="10"/>
      <c r="KY66" s="10"/>
      <c r="KZ66" s="10"/>
      <c r="LA66" s="10"/>
      <c r="LB66" s="10"/>
      <c r="LC66" s="10"/>
      <c r="LD66" s="10"/>
    </row>
    <row r="67" spans="1:316" ht="15.75" customHeight="1" x14ac:dyDescent="0.25">
      <c r="A67" s="106"/>
      <c r="B67" s="103"/>
      <c r="C67" s="6">
        <v>17</v>
      </c>
      <c r="D67" s="6">
        <f t="shared" si="1429"/>
        <v>53</v>
      </c>
      <c r="E67" s="6">
        <v>3</v>
      </c>
      <c r="F67" s="7">
        <f t="shared" si="1430"/>
        <v>211</v>
      </c>
      <c r="G67" s="18"/>
      <c r="H67" s="6"/>
      <c r="I67" s="19"/>
      <c r="J67" s="6">
        <f t="shared" si="1431"/>
        <v>71</v>
      </c>
      <c r="K67" s="6">
        <f t="shared" si="1329"/>
        <v>1</v>
      </c>
      <c r="L67" s="6">
        <f t="shared" si="1432"/>
        <v>32</v>
      </c>
      <c r="M67" s="6">
        <f t="shared" si="1330"/>
        <v>0</v>
      </c>
      <c r="N67" s="6">
        <f t="shared" si="1433"/>
        <v>3</v>
      </c>
      <c r="O67" s="6">
        <f t="shared" si="1331"/>
        <v>0</v>
      </c>
      <c r="P67" s="6">
        <f t="shared" si="1434"/>
        <v>1</v>
      </c>
      <c r="Q67" s="6">
        <f t="shared" si="1332"/>
        <v>0</v>
      </c>
      <c r="R67" s="6">
        <f t="shared" si="1435"/>
        <v>0</v>
      </c>
      <c r="S67" s="6">
        <f t="shared" si="1333"/>
        <v>0</v>
      </c>
      <c r="T67" s="6">
        <f t="shared" si="1436"/>
        <v>0</v>
      </c>
      <c r="U67" s="6">
        <f t="shared" si="1334"/>
        <v>0</v>
      </c>
      <c r="V67" s="6">
        <f t="shared" si="1437"/>
        <v>0</v>
      </c>
      <c r="W67" s="6">
        <f t="shared" si="1335"/>
        <v>1</v>
      </c>
      <c r="X67" s="6">
        <f t="shared" si="1438"/>
        <v>17</v>
      </c>
      <c r="Y67" s="6">
        <f t="shared" si="1336"/>
        <v>0</v>
      </c>
      <c r="Z67" s="6">
        <f t="shared" si="1439"/>
        <v>7</v>
      </c>
      <c r="AA67" s="6">
        <f t="shared" si="1337"/>
        <v>0</v>
      </c>
      <c r="AB67" s="6">
        <f t="shared" si="1440"/>
        <v>0</v>
      </c>
      <c r="AC67" s="6">
        <f t="shared" si="1338"/>
        <v>0</v>
      </c>
      <c r="AD67" s="6">
        <f t="shared" si="1441"/>
        <v>5</v>
      </c>
      <c r="AE67" s="6">
        <f>IF($E67=3,G67-3,NA())</f>
        <v>-3</v>
      </c>
      <c r="AF67" s="6"/>
      <c r="AG67" s="6"/>
      <c r="AH67" s="20">
        <f>G67-'Zusammenfassung Tag1-4'!$B$2/18</f>
        <v>-1.1111111111111112</v>
      </c>
      <c r="AI67" s="21">
        <f t="shared" si="1443"/>
        <v>118.11111111111097</v>
      </c>
      <c r="AJ67" s="18">
        <v>3</v>
      </c>
      <c r="AK67" s="6">
        <f t="shared" si="1444"/>
        <v>242</v>
      </c>
      <c r="AL67" s="19">
        <v>2</v>
      </c>
      <c r="AM67" s="6">
        <f t="shared" si="1445"/>
        <v>96</v>
      </c>
      <c r="AN67" s="6">
        <f t="shared" si="1339"/>
        <v>1</v>
      </c>
      <c r="AO67" s="6">
        <f t="shared" si="1446"/>
        <v>28</v>
      </c>
      <c r="AP67" s="6">
        <f t="shared" si="1340"/>
        <v>0</v>
      </c>
      <c r="AQ67" s="6">
        <f t="shared" si="1447"/>
        <v>8</v>
      </c>
      <c r="AR67" s="6">
        <f t="shared" si="1341"/>
        <v>0</v>
      </c>
      <c r="AS67" s="6">
        <f t="shared" si="1448"/>
        <v>4</v>
      </c>
      <c r="AT67" s="6">
        <f t="shared" si="1342"/>
        <v>1</v>
      </c>
      <c r="AU67" s="6">
        <f t="shared" si="1449"/>
        <v>9</v>
      </c>
      <c r="AV67" s="6">
        <f t="shared" si="1343"/>
        <v>0</v>
      </c>
      <c r="AW67" s="6">
        <f t="shared" si="1450"/>
        <v>3</v>
      </c>
      <c r="AX67" s="6">
        <f t="shared" si="1344"/>
        <v>0</v>
      </c>
      <c r="AY67" s="6">
        <f t="shared" si="1451"/>
        <v>4</v>
      </c>
      <c r="AZ67" s="6">
        <f t="shared" si="1345"/>
        <v>0</v>
      </c>
      <c r="BA67" s="6">
        <f t="shared" si="1452"/>
        <v>0</v>
      </c>
      <c r="BB67" s="6">
        <f t="shared" si="1346"/>
        <v>0</v>
      </c>
      <c r="BC67" s="6">
        <f t="shared" si="1453"/>
        <v>16</v>
      </c>
      <c r="BD67" s="6">
        <f t="shared" si="1347"/>
        <v>1</v>
      </c>
      <c r="BE67" s="6">
        <f t="shared" si="1454"/>
        <v>9</v>
      </c>
      <c r="BF67" s="6">
        <f t="shared" si="1348"/>
        <v>0</v>
      </c>
      <c r="BG67" s="6">
        <f t="shared" si="1455"/>
        <v>6</v>
      </c>
      <c r="BH67" s="6">
        <f>IF($E67=3,AJ67-3,NA())</f>
        <v>0</v>
      </c>
      <c r="BI67" s="6"/>
      <c r="BJ67" s="6"/>
      <c r="BK67" s="20">
        <f>AJ67-'Zusammenfassung Tag1-4'!$C$2/18</f>
        <v>2.3333333333333335</v>
      </c>
      <c r="BL67" s="21">
        <f t="shared" si="1457"/>
        <v>206.6666666666668</v>
      </c>
      <c r="BM67" s="18">
        <v>4</v>
      </c>
      <c r="BN67" s="6">
        <f t="shared" si="1458"/>
        <v>296</v>
      </c>
      <c r="BO67" s="19">
        <v>2</v>
      </c>
      <c r="BP67" s="6">
        <f t="shared" si="1459"/>
        <v>111</v>
      </c>
      <c r="BQ67" s="6">
        <f t="shared" si="1349"/>
        <v>0</v>
      </c>
      <c r="BR67" s="6">
        <f t="shared" si="1460"/>
        <v>8</v>
      </c>
      <c r="BS67" s="6">
        <f t="shared" si="1350"/>
        <v>0</v>
      </c>
      <c r="BT67" s="6">
        <f t="shared" si="1461"/>
        <v>4</v>
      </c>
      <c r="BU67" s="6">
        <f t="shared" si="1351"/>
        <v>0</v>
      </c>
      <c r="BV67" s="6">
        <f t="shared" si="1462"/>
        <v>0</v>
      </c>
      <c r="BW67" s="6">
        <f t="shared" si="1352"/>
        <v>0</v>
      </c>
      <c r="BX67" s="6">
        <f t="shared" si="1463"/>
        <v>2</v>
      </c>
      <c r="BY67" s="6">
        <f t="shared" si="1353"/>
        <v>1</v>
      </c>
      <c r="BZ67" s="6">
        <f t="shared" si="1464"/>
        <v>7</v>
      </c>
      <c r="CA67" s="6">
        <f t="shared" si="1354"/>
        <v>0</v>
      </c>
      <c r="CB67" s="6">
        <f t="shared" si="1465"/>
        <v>8</v>
      </c>
      <c r="CC67" s="6">
        <f t="shared" si="1355"/>
        <v>0</v>
      </c>
      <c r="CD67" s="6">
        <f t="shared" si="1466"/>
        <v>0</v>
      </c>
      <c r="CE67" s="6">
        <f t="shared" si="1356"/>
        <v>0</v>
      </c>
      <c r="CF67" s="6">
        <f t="shared" si="1467"/>
        <v>9</v>
      </c>
      <c r="CG67" s="6">
        <f t="shared" si="1357"/>
        <v>1</v>
      </c>
      <c r="CH67" s="6">
        <f t="shared" si="1468"/>
        <v>7</v>
      </c>
      <c r="CI67" s="6">
        <f t="shared" si="1358"/>
        <v>0</v>
      </c>
      <c r="CJ67" s="6">
        <f t="shared" si="1469"/>
        <v>14</v>
      </c>
      <c r="CK67" s="6">
        <f>IF($E67=3,BM67-3,NA())</f>
        <v>1</v>
      </c>
      <c r="CL67" s="6"/>
      <c r="CM67" s="6"/>
      <c r="CN67" s="20">
        <f>BM67-'Zusammenfassung Tag1-4'!$D$2/18</f>
        <v>2.666666666666667</v>
      </c>
      <c r="CO67" s="21">
        <f t="shared" si="1471"/>
        <v>225.33333333333317</v>
      </c>
      <c r="CP67" s="18">
        <v>3</v>
      </c>
      <c r="CQ67" s="6">
        <f t="shared" si="1472"/>
        <v>278</v>
      </c>
      <c r="CR67" s="19">
        <v>1</v>
      </c>
      <c r="CS67" s="6">
        <f t="shared" si="1473"/>
        <v>108</v>
      </c>
      <c r="CT67" s="6">
        <f t="shared" si="1359"/>
        <v>0</v>
      </c>
      <c r="CU67" s="6">
        <f t="shared" si="1474"/>
        <v>10</v>
      </c>
      <c r="CV67" s="6">
        <f t="shared" si="1360"/>
        <v>1</v>
      </c>
      <c r="CW67" s="6">
        <f t="shared" si="1475"/>
        <v>6</v>
      </c>
      <c r="CX67" s="6">
        <f t="shared" si="1361"/>
        <v>0</v>
      </c>
      <c r="CY67" s="6">
        <f t="shared" si="1476"/>
        <v>0</v>
      </c>
      <c r="CZ67" s="6">
        <f t="shared" si="1362"/>
        <v>1</v>
      </c>
      <c r="DA67" s="6">
        <f t="shared" si="1477"/>
        <v>4</v>
      </c>
      <c r="DB67" s="6">
        <f t="shared" si="1363"/>
        <v>0</v>
      </c>
      <c r="DC67" s="6">
        <f t="shared" si="1478"/>
        <v>6</v>
      </c>
      <c r="DD67" s="6">
        <f t="shared" si="1364"/>
        <v>0</v>
      </c>
      <c r="DE67" s="6">
        <f t="shared" si="1479"/>
        <v>7</v>
      </c>
      <c r="DF67" s="6">
        <f t="shared" si="1365"/>
        <v>0</v>
      </c>
      <c r="DG67" s="6">
        <f t="shared" si="1480"/>
        <v>0</v>
      </c>
      <c r="DH67" s="6">
        <f t="shared" si="1366"/>
        <v>1</v>
      </c>
      <c r="DI67" s="6">
        <f t="shared" si="1481"/>
        <v>11</v>
      </c>
      <c r="DJ67" s="6">
        <f t="shared" si="1367"/>
        <v>0</v>
      </c>
      <c r="DK67" s="6">
        <f t="shared" si="1482"/>
        <v>6</v>
      </c>
      <c r="DL67" s="6">
        <f t="shared" si="1368"/>
        <v>0</v>
      </c>
      <c r="DM67" s="6">
        <f t="shared" si="1483"/>
        <v>13</v>
      </c>
      <c r="DN67" s="6">
        <f>IF($E67=3,CP67-3,NA())</f>
        <v>0</v>
      </c>
      <c r="DO67" s="6"/>
      <c r="DP67" s="6"/>
      <c r="DQ67" s="20">
        <f>CP67-'Zusammenfassung Tag1-4'!$E$2/18</f>
        <v>1.7222222222222223</v>
      </c>
      <c r="DR67" s="22">
        <f t="shared" si="1485"/>
        <v>210.277777777778</v>
      </c>
      <c r="DS67" s="18">
        <v>5</v>
      </c>
      <c r="DT67" s="6">
        <f t="shared" si="1486"/>
        <v>410</v>
      </c>
      <c r="DU67" s="19">
        <v>2</v>
      </c>
      <c r="DV67" s="6">
        <f t="shared" si="1487"/>
        <v>119</v>
      </c>
      <c r="DW67" s="6">
        <f t="shared" si="1369"/>
        <v>0</v>
      </c>
      <c r="DX67" s="6">
        <f t="shared" si="1488"/>
        <v>1</v>
      </c>
      <c r="DY67" s="6">
        <f t="shared" si="1370"/>
        <v>0</v>
      </c>
      <c r="DZ67" s="6">
        <f t="shared" si="1489"/>
        <v>0</v>
      </c>
      <c r="EA67" s="6">
        <f t="shared" si="1371"/>
        <v>0</v>
      </c>
      <c r="EB67" s="6">
        <f t="shared" si="1490"/>
        <v>0</v>
      </c>
      <c r="EC67" s="6">
        <f t="shared" si="1372"/>
        <v>0</v>
      </c>
      <c r="ED67" s="6">
        <f t="shared" si="1491"/>
        <v>0</v>
      </c>
      <c r="EE67" s="6">
        <f t="shared" si="1373"/>
        <v>0</v>
      </c>
      <c r="EF67" s="6">
        <f t="shared" si="1492"/>
        <v>0</v>
      </c>
      <c r="EG67" s="6">
        <f t="shared" si="1374"/>
        <v>1</v>
      </c>
      <c r="EH67" s="6">
        <f t="shared" si="1493"/>
        <v>17</v>
      </c>
      <c r="EI67" s="6">
        <f t="shared" si="1375"/>
        <v>0</v>
      </c>
      <c r="EJ67" s="6">
        <f t="shared" si="1494"/>
        <v>0</v>
      </c>
      <c r="EK67" s="6">
        <f t="shared" si="1376"/>
        <v>0</v>
      </c>
      <c r="EL67" s="6">
        <f t="shared" si="1495"/>
        <v>2</v>
      </c>
      <c r="EM67" s="6">
        <f t="shared" si="1377"/>
        <v>1</v>
      </c>
      <c r="EN67" s="6">
        <f t="shared" si="1496"/>
        <v>12</v>
      </c>
      <c r="EO67" s="6">
        <f t="shared" si="1378"/>
        <v>0</v>
      </c>
      <c r="EP67" s="6">
        <f t="shared" si="1497"/>
        <v>13</v>
      </c>
      <c r="EQ67" s="6">
        <f>IF($E67=3,DS67-3,NA())</f>
        <v>2</v>
      </c>
      <c r="ER67" s="6"/>
      <c r="ES67" s="6"/>
      <c r="ET67" s="20">
        <f>DS67-'Zusammenfassung Tag1-4'!$F$2/18</f>
        <v>2</v>
      </c>
      <c r="EU67" s="22">
        <f t="shared" si="1499"/>
        <v>251</v>
      </c>
      <c r="EV67" s="18">
        <v>4</v>
      </c>
      <c r="EW67" s="6">
        <f t="shared" si="1500"/>
        <v>296</v>
      </c>
      <c r="EX67" s="19">
        <v>3</v>
      </c>
      <c r="EY67" s="6">
        <f t="shared" si="1501"/>
        <v>110</v>
      </c>
      <c r="EZ67" s="6">
        <f t="shared" si="1379"/>
        <v>1</v>
      </c>
      <c r="FA67" s="6">
        <f t="shared" si="1502"/>
        <v>10</v>
      </c>
      <c r="FB67" s="6">
        <f t="shared" si="1380"/>
        <v>0</v>
      </c>
      <c r="FC67" s="6">
        <f t="shared" si="1503"/>
        <v>1</v>
      </c>
      <c r="FD67" s="6">
        <f t="shared" si="1381"/>
        <v>0</v>
      </c>
      <c r="FE67" s="6">
        <f t="shared" si="1504"/>
        <v>0</v>
      </c>
      <c r="FF67" s="6">
        <f t="shared" si="1382"/>
        <v>0</v>
      </c>
      <c r="FG67" s="6">
        <f t="shared" si="1505"/>
        <v>1</v>
      </c>
      <c r="FH67" s="6">
        <f t="shared" si="1383"/>
        <v>1</v>
      </c>
      <c r="FI67" s="6">
        <f t="shared" si="1506"/>
        <v>9</v>
      </c>
      <c r="FJ67" s="6">
        <f t="shared" si="1384"/>
        <v>0</v>
      </c>
      <c r="FK67" s="6">
        <f t="shared" si="1507"/>
        <v>7</v>
      </c>
      <c r="FL67" s="6">
        <f t="shared" si="1385"/>
        <v>0</v>
      </c>
      <c r="FM67" s="6">
        <f t="shared" si="1508"/>
        <v>0</v>
      </c>
      <c r="FN67" s="6">
        <f t="shared" si="1386"/>
        <v>0</v>
      </c>
      <c r="FO67" s="6">
        <f t="shared" si="1509"/>
        <v>7</v>
      </c>
      <c r="FP67" s="6">
        <f t="shared" si="1387"/>
        <v>0</v>
      </c>
      <c r="FQ67" s="6">
        <f t="shared" si="1510"/>
        <v>10</v>
      </c>
      <c r="FR67" s="6">
        <f t="shared" si="1388"/>
        <v>1</v>
      </c>
      <c r="FS67" s="6">
        <f t="shared" si="1511"/>
        <v>11</v>
      </c>
      <c r="FT67" s="6">
        <f>IF($E67=3,EV67-3,NA())</f>
        <v>1</v>
      </c>
      <c r="FU67" s="6"/>
      <c r="FV67" s="6"/>
      <c r="FW67" s="20">
        <f>EV67-'Zusammenfassung Tag1-4'!$G$2/18</f>
        <v>2.5</v>
      </c>
      <c r="FX67" s="22">
        <f t="shared" si="1513"/>
        <v>216.5</v>
      </c>
      <c r="FY67" s="18">
        <v>6</v>
      </c>
      <c r="FZ67" s="6">
        <f t="shared" si="1514"/>
        <v>382</v>
      </c>
      <c r="GA67" s="19">
        <v>2</v>
      </c>
      <c r="GB67" s="6">
        <f t="shared" si="1515"/>
        <v>126</v>
      </c>
      <c r="GC67" s="6">
        <f t="shared" si="1389"/>
        <v>0</v>
      </c>
      <c r="GD67" s="6">
        <f t="shared" si="1516"/>
        <v>2</v>
      </c>
      <c r="GE67" s="6">
        <f t="shared" si="1390"/>
        <v>0</v>
      </c>
      <c r="GF67" s="6">
        <f t="shared" si="1517"/>
        <v>0</v>
      </c>
      <c r="GG67" s="6">
        <f t="shared" si="1391"/>
        <v>0</v>
      </c>
      <c r="GH67" s="6">
        <f t="shared" si="1518"/>
        <v>0</v>
      </c>
      <c r="GI67" s="6">
        <f t="shared" si="1392"/>
        <v>0</v>
      </c>
      <c r="GJ67" s="6">
        <f t="shared" si="1519"/>
        <v>0</v>
      </c>
      <c r="GK67" s="6">
        <f t="shared" si="1393"/>
        <v>0</v>
      </c>
      <c r="GL67" s="6">
        <f t="shared" si="1520"/>
        <v>1</v>
      </c>
      <c r="GM67" s="6">
        <f t="shared" si="1394"/>
        <v>1</v>
      </c>
      <c r="GN67" s="6">
        <f t="shared" si="1521"/>
        <v>16</v>
      </c>
      <c r="GO67" s="6">
        <f t="shared" si="1395"/>
        <v>0</v>
      </c>
      <c r="GP67" s="6">
        <f t="shared" si="1522"/>
        <v>0</v>
      </c>
      <c r="GQ67" s="6">
        <f t="shared" si="1396"/>
        <v>0</v>
      </c>
      <c r="GR67" s="6">
        <f t="shared" si="1523"/>
        <v>2</v>
      </c>
      <c r="GS67" s="6">
        <f t="shared" si="1397"/>
        <v>1</v>
      </c>
      <c r="GT67" s="6">
        <f t="shared" si="1524"/>
        <v>10</v>
      </c>
      <c r="GU67" s="6">
        <f t="shared" si="1398"/>
        <v>0</v>
      </c>
      <c r="GV67" s="6">
        <f t="shared" si="1525"/>
        <v>22</v>
      </c>
      <c r="GW67" s="6">
        <f>IF($E67=3,FY67-3,NA())</f>
        <v>3</v>
      </c>
      <c r="GX67" s="6"/>
      <c r="GY67" s="6"/>
      <c r="GZ67" s="20">
        <f>FY67-'Zusammenfassung Tag1-4'!$H$2/18</f>
        <v>3</v>
      </c>
      <c r="HA67" s="22">
        <f t="shared" si="1527"/>
        <v>223</v>
      </c>
      <c r="HB67" s="18">
        <v>3</v>
      </c>
      <c r="HC67" s="6">
        <f t="shared" si="1528"/>
        <v>280</v>
      </c>
      <c r="HD67" s="19">
        <v>2</v>
      </c>
      <c r="HE67" s="6">
        <f t="shared" si="1529"/>
        <v>113</v>
      </c>
      <c r="HF67" s="6">
        <f t="shared" si="1399"/>
        <v>1</v>
      </c>
      <c r="HG67" s="6">
        <f t="shared" si="1530"/>
        <v>18</v>
      </c>
      <c r="HH67" s="6">
        <f t="shared" si="1400"/>
        <v>0</v>
      </c>
      <c r="HI67" s="6">
        <f t="shared" si="1531"/>
        <v>4</v>
      </c>
      <c r="HJ67" s="6">
        <f t="shared" si="1401"/>
        <v>0</v>
      </c>
      <c r="HK67" s="6">
        <f t="shared" si="1532"/>
        <v>0</v>
      </c>
      <c r="HL67" s="6">
        <f t="shared" si="1402"/>
        <v>1</v>
      </c>
      <c r="HM67" s="6">
        <f t="shared" si="1533"/>
        <v>4</v>
      </c>
      <c r="HN67" s="6">
        <f t="shared" si="1403"/>
        <v>0</v>
      </c>
      <c r="HO67" s="6">
        <f t="shared" si="1534"/>
        <v>7</v>
      </c>
      <c r="HP67" s="6">
        <f t="shared" si="1404"/>
        <v>0</v>
      </c>
      <c r="HQ67" s="6">
        <f t="shared" si="1535"/>
        <v>6</v>
      </c>
      <c r="HR67" s="6">
        <f t="shared" si="1405"/>
        <v>0</v>
      </c>
      <c r="HS67" s="6">
        <f t="shared" si="1536"/>
        <v>0</v>
      </c>
      <c r="HT67" s="6">
        <f t="shared" si="1406"/>
        <v>0</v>
      </c>
      <c r="HU67" s="6">
        <f t="shared" si="1537"/>
        <v>6</v>
      </c>
      <c r="HV67" s="6">
        <f t="shared" si="1407"/>
        <v>1</v>
      </c>
      <c r="HW67" s="6">
        <f t="shared" si="1538"/>
        <v>10</v>
      </c>
      <c r="HX67" s="6">
        <f t="shared" si="1408"/>
        <v>0</v>
      </c>
      <c r="HY67" s="6">
        <f t="shared" si="1539"/>
        <v>13</v>
      </c>
      <c r="HZ67" s="6">
        <f>IF($E67=3,HB67-3,NA())</f>
        <v>0</v>
      </c>
      <c r="IA67" s="6"/>
      <c r="IB67" s="6"/>
      <c r="IC67" s="20">
        <f>HB67-'Zusammenfassung Tag1-4'!$I$2/18</f>
        <v>2</v>
      </c>
      <c r="ID67" s="22">
        <f t="shared" si="1541"/>
        <v>227</v>
      </c>
      <c r="IE67" s="18">
        <v>4</v>
      </c>
      <c r="IF67" s="6">
        <f t="shared" si="1542"/>
        <v>122</v>
      </c>
      <c r="IG67" s="19">
        <v>2</v>
      </c>
      <c r="IH67" s="6">
        <f t="shared" si="1543"/>
        <v>47</v>
      </c>
      <c r="II67" s="6">
        <f t="shared" si="1409"/>
        <v>0</v>
      </c>
      <c r="IJ67" s="6">
        <f t="shared" si="1544"/>
        <v>37</v>
      </c>
      <c r="IK67" s="6">
        <f t="shared" si="1410"/>
        <v>0</v>
      </c>
      <c r="IL67" s="6">
        <f t="shared" si="1545"/>
        <v>0</v>
      </c>
      <c r="IM67" s="6">
        <f t="shared" si="1411"/>
        <v>0</v>
      </c>
      <c r="IN67" s="6">
        <f t="shared" si="1546"/>
        <v>0</v>
      </c>
      <c r="IO67" s="6">
        <f t="shared" si="1412"/>
        <v>0</v>
      </c>
      <c r="IP67" s="6">
        <f t="shared" si="1547"/>
        <v>0</v>
      </c>
      <c r="IQ67" s="6">
        <f t="shared" si="1413"/>
        <v>1</v>
      </c>
      <c r="IR67" s="6">
        <f t="shared" si="1548"/>
        <v>3</v>
      </c>
      <c r="IS67" s="6">
        <f t="shared" si="1414"/>
        <v>0</v>
      </c>
      <c r="IT67" s="6">
        <f t="shared" si="1549"/>
        <v>14</v>
      </c>
      <c r="IU67" s="6">
        <f t="shared" si="1415"/>
        <v>0</v>
      </c>
      <c r="IV67" s="6">
        <f t="shared" si="1550"/>
        <v>0</v>
      </c>
      <c r="IW67" s="6">
        <f t="shared" si="1416"/>
        <v>0</v>
      </c>
      <c r="IX67" s="6">
        <f t="shared" si="1551"/>
        <v>0</v>
      </c>
      <c r="IY67" s="6">
        <f t="shared" si="1417"/>
        <v>1</v>
      </c>
      <c r="IZ67" s="6">
        <f t="shared" si="1552"/>
        <v>7</v>
      </c>
      <c r="JA67" s="6">
        <f t="shared" si="1418"/>
        <v>0</v>
      </c>
      <c r="JB67" s="6">
        <f t="shared" si="1553"/>
        <v>10</v>
      </c>
      <c r="JC67" s="6">
        <f>IF($E67=3,IE67-3,NA())</f>
        <v>1</v>
      </c>
      <c r="JD67" s="6"/>
      <c r="JE67" s="6"/>
      <c r="JF67" s="20">
        <f>IE67-'Zusammenfassung Tag1-4'!$J$2/18</f>
        <v>1</v>
      </c>
      <c r="JG67" s="22">
        <f t="shared" si="1555"/>
        <v>-37</v>
      </c>
      <c r="JH67" s="18">
        <v>3</v>
      </c>
      <c r="JI67" s="6">
        <f t="shared" si="1556"/>
        <v>79</v>
      </c>
      <c r="JJ67" s="19">
        <v>2</v>
      </c>
      <c r="JK67" s="6">
        <f t="shared" si="1557"/>
        <v>32</v>
      </c>
      <c r="JL67" s="6">
        <f t="shared" si="1419"/>
        <v>1</v>
      </c>
      <c r="JM67" s="6">
        <f t="shared" si="1558"/>
        <v>44</v>
      </c>
      <c r="JN67" s="6">
        <f t="shared" si="1420"/>
        <v>0</v>
      </c>
      <c r="JO67" s="6">
        <f t="shared" si="1559"/>
        <v>1</v>
      </c>
      <c r="JP67" s="6">
        <f t="shared" si="1421"/>
        <v>0</v>
      </c>
      <c r="JQ67" s="6">
        <f t="shared" si="1560"/>
        <v>2</v>
      </c>
      <c r="JR67" s="6">
        <f t="shared" si="1422"/>
        <v>1</v>
      </c>
      <c r="JS67" s="6">
        <f t="shared" si="1561"/>
        <v>7</v>
      </c>
      <c r="JT67" s="6">
        <f t="shared" si="1423"/>
        <v>0</v>
      </c>
      <c r="JU67" s="6">
        <f t="shared" si="1562"/>
        <v>3</v>
      </c>
      <c r="JV67" s="6">
        <f t="shared" si="1424"/>
        <v>0</v>
      </c>
      <c r="JW67" s="6">
        <f t="shared" si="1563"/>
        <v>5</v>
      </c>
      <c r="JX67" s="6">
        <f t="shared" si="1425"/>
        <v>0</v>
      </c>
      <c r="JY67" s="6">
        <f t="shared" si="1564"/>
        <v>0</v>
      </c>
      <c r="JZ67" s="6">
        <f t="shared" si="1426"/>
        <v>0</v>
      </c>
      <c r="KA67" s="6">
        <f t="shared" si="1565"/>
        <v>3</v>
      </c>
      <c r="KB67" s="6">
        <f t="shared" si="1427"/>
        <v>1</v>
      </c>
      <c r="KC67" s="6">
        <f t="shared" si="1566"/>
        <v>13</v>
      </c>
      <c r="KD67" s="6">
        <f t="shared" si="1428"/>
        <v>0</v>
      </c>
      <c r="KE67" s="6">
        <f t="shared" si="1567"/>
        <v>1</v>
      </c>
      <c r="KF67" s="6">
        <f>IF($E67=3,JH67-3,NA())</f>
        <v>0</v>
      </c>
      <c r="KG67" s="6"/>
      <c r="KH67" s="6"/>
      <c r="KI67" s="20">
        <f>JH67-'Zusammenfassung Tag1-4'!$K$2/18</f>
        <v>2.2222222222222223</v>
      </c>
      <c r="KJ67" s="22">
        <f t="shared" si="1569"/>
        <v>37.77777777777775</v>
      </c>
      <c r="KK67" s="10"/>
      <c r="KL67" s="10"/>
      <c r="KM67" s="10"/>
      <c r="KN67" s="10"/>
      <c r="KO67" s="10"/>
      <c r="KP67" s="10"/>
      <c r="KQ67" s="10"/>
      <c r="KR67" s="10"/>
      <c r="KS67" s="10"/>
      <c r="KT67" s="10"/>
      <c r="KU67" s="10"/>
      <c r="KV67" s="10"/>
      <c r="KW67" s="10"/>
      <c r="KX67" s="10"/>
      <c r="KY67" s="10"/>
      <c r="KZ67" s="10"/>
      <c r="LA67" s="10"/>
      <c r="LB67" s="10"/>
      <c r="LC67" s="10"/>
      <c r="LD67" s="10"/>
    </row>
    <row r="68" spans="1:316" ht="15.75" customHeight="1" x14ac:dyDescent="0.25">
      <c r="A68" s="106"/>
      <c r="B68" s="103"/>
      <c r="C68" s="3">
        <v>18</v>
      </c>
      <c r="D68" s="3">
        <f t="shared" si="1429"/>
        <v>54</v>
      </c>
      <c r="E68" s="3">
        <v>5</v>
      </c>
      <c r="F68" s="23">
        <f t="shared" si="1430"/>
        <v>216</v>
      </c>
      <c r="G68" s="24"/>
      <c r="H68" s="3"/>
      <c r="I68" s="25"/>
      <c r="J68" s="3">
        <f t="shared" si="1431"/>
        <v>71</v>
      </c>
      <c r="K68" s="3">
        <f t="shared" si="1329"/>
        <v>1</v>
      </c>
      <c r="L68" s="3">
        <f t="shared" si="1432"/>
        <v>33</v>
      </c>
      <c r="M68" s="3">
        <f t="shared" si="1330"/>
        <v>0</v>
      </c>
      <c r="N68" s="3">
        <f t="shared" si="1433"/>
        <v>3</v>
      </c>
      <c r="O68" s="3">
        <f t="shared" si="1331"/>
        <v>0</v>
      </c>
      <c r="P68" s="3">
        <f t="shared" si="1434"/>
        <v>1</v>
      </c>
      <c r="Q68" s="3">
        <f t="shared" si="1332"/>
        <v>0</v>
      </c>
      <c r="R68" s="3">
        <f t="shared" si="1435"/>
        <v>0</v>
      </c>
      <c r="S68" s="3">
        <f t="shared" si="1333"/>
        <v>0</v>
      </c>
      <c r="T68" s="3">
        <f t="shared" si="1436"/>
        <v>0</v>
      </c>
      <c r="U68" s="3">
        <f t="shared" si="1334"/>
        <v>0</v>
      </c>
      <c r="V68" s="3">
        <f t="shared" si="1437"/>
        <v>0</v>
      </c>
      <c r="W68" s="3">
        <f t="shared" si="1335"/>
        <v>1</v>
      </c>
      <c r="X68" s="3">
        <f t="shared" si="1438"/>
        <v>18</v>
      </c>
      <c r="Y68" s="3">
        <f t="shared" si="1336"/>
        <v>0</v>
      </c>
      <c r="Z68" s="3">
        <f t="shared" si="1439"/>
        <v>7</v>
      </c>
      <c r="AA68" s="3">
        <f t="shared" si="1337"/>
        <v>0</v>
      </c>
      <c r="AB68" s="3">
        <f t="shared" si="1440"/>
        <v>0</v>
      </c>
      <c r="AC68" s="3">
        <f t="shared" si="1338"/>
        <v>0</v>
      </c>
      <c r="AD68" s="3">
        <f t="shared" si="1441"/>
        <v>5</v>
      </c>
      <c r="AE68" s="3"/>
      <c r="AF68" s="3"/>
      <c r="AG68" s="3">
        <f>IF($E68=5,G68-5,NA())</f>
        <v>-5</v>
      </c>
      <c r="AH68" s="26">
        <f>G68-'Zusammenfassung Tag1-4'!$B$2/18</f>
        <v>-1.1111111111111112</v>
      </c>
      <c r="AI68" s="27">
        <f t="shared" si="1443"/>
        <v>116.99999999999986</v>
      </c>
      <c r="AJ68" s="24">
        <v>6</v>
      </c>
      <c r="AK68" s="3">
        <f t="shared" si="1444"/>
        <v>248</v>
      </c>
      <c r="AL68" s="25">
        <v>1</v>
      </c>
      <c r="AM68" s="3">
        <f t="shared" si="1445"/>
        <v>97</v>
      </c>
      <c r="AN68" s="3">
        <f t="shared" si="1339"/>
        <v>0</v>
      </c>
      <c r="AO68" s="3">
        <f t="shared" si="1446"/>
        <v>28</v>
      </c>
      <c r="AP68" s="3">
        <f t="shared" si="1340"/>
        <v>0</v>
      </c>
      <c r="AQ68" s="3">
        <f t="shared" si="1447"/>
        <v>8</v>
      </c>
      <c r="AR68" s="3">
        <f t="shared" si="1341"/>
        <v>0</v>
      </c>
      <c r="AS68" s="3">
        <f t="shared" si="1448"/>
        <v>4</v>
      </c>
      <c r="AT68" s="3">
        <f t="shared" si="1342"/>
        <v>0</v>
      </c>
      <c r="AU68" s="3">
        <f t="shared" si="1449"/>
        <v>9</v>
      </c>
      <c r="AV68" s="3">
        <f t="shared" si="1343"/>
        <v>1</v>
      </c>
      <c r="AW68" s="3">
        <f t="shared" si="1450"/>
        <v>4</v>
      </c>
      <c r="AX68" s="3">
        <f t="shared" si="1344"/>
        <v>0</v>
      </c>
      <c r="AY68" s="3">
        <f t="shared" si="1451"/>
        <v>4</v>
      </c>
      <c r="AZ68" s="3">
        <f t="shared" si="1345"/>
        <v>0</v>
      </c>
      <c r="BA68" s="3">
        <f t="shared" si="1452"/>
        <v>0</v>
      </c>
      <c r="BB68" s="3">
        <f t="shared" si="1346"/>
        <v>1</v>
      </c>
      <c r="BC68" s="3">
        <f t="shared" si="1453"/>
        <v>17</v>
      </c>
      <c r="BD68" s="3">
        <f t="shared" si="1347"/>
        <v>0</v>
      </c>
      <c r="BE68" s="3">
        <f t="shared" si="1454"/>
        <v>9</v>
      </c>
      <c r="BF68" s="3">
        <f t="shared" si="1348"/>
        <v>0</v>
      </c>
      <c r="BG68" s="3">
        <f t="shared" si="1455"/>
        <v>6</v>
      </c>
      <c r="BH68" s="3"/>
      <c r="BI68" s="3"/>
      <c r="BJ68" s="3">
        <f>IF($E68=5,AJ68-5,NA())</f>
        <v>1</v>
      </c>
      <c r="BK68" s="26">
        <f>AJ68-'Zusammenfassung Tag1-4'!$C$2/18</f>
        <v>5.333333333333333</v>
      </c>
      <c r="BL68" s="27">
        <f t="shared" si="1457"/>
        <v>212.00000000000014</v>
      </c>
      <c r="BM68" s="24">
        <v>8</v>
      </c>
      <c r="BN68" s="3">
        <f t="shared" si="1458"/>
        <v>304</v>
      </c>
      <c r="BO68" s="25">
        <v>2</v>
      </c>
      <c r="BP68" s="3">
        <f t="shared" si="1459"/>
        <v>113</v>
      </c>
      <c r="BQ68" s="3">
        <f t="shared" si="1349"/>
        <v>0</v>
      </c>
      <c r="BR68" s="3">
        <f t="shared" si="1460"/>
        <v>8</v>
      </c>
      <c r="BS68" s="3">
        <f t="shared" si="1350"/>
        <v>0</v>
      </c>
      <c r="BT68" s="3">
        <f t="shared" si="1461"/>
        <v>4</v>
      </c>
      <c r="BU68" s="3">
        <f t="shared" si="1351"/>
        <v>0</v>
      </c>
      <c r="BV68" s="3">
        <f t="shared" si="1462"/>
        <v>0</v>
      </c>
      <c r="BW68" s="3">
        <f t="shared" si="1352"/>
        <v>0</v>
      </c>
      <c r="BX68" s="3">
        <f t="shared" si="1463"/>
        <v>2</v>
      </c>
      <c r="BY68" s="3">
        <f t="shared" si="1353"/>
        <v>0</v>
      </c>
      <c r="BZ68" s="3">
        <f t="shared" si="1464"/>
        <v>7</v>
      </c>
      <c r="CA68" s="3">
        <f t="shared" si="1354"/>
        <v>1</v>
      </c>
      <c r="CB68" s="3">
        <f t="shared" si="1465"/>
        <v>9</v>
      </c>
      <c r="CC68" s="3">
        <f t="shared" si="1355"/>
        <v>0</v>
      </c>
      <c r="CD68" s="3">
        <f t="shared" si="1466"/>
        <v>0</v>
      </c>
      <c r="CE68" s="3">
        <f t="shared" si="1356"/>
        <v>0</v>
      </c>
      <c r="CF68" s="3">
        <f t="shared" si="1467"/>
        <v>9</v>
      </c>
      <c r="CG68" s="3">
        <f t="shared" si="1357"/>
        <v>1</v>
      </c>
      <c r="CH68" s="3">
        <f t="shared" si="1468"/>
        <v>8</v>
      </c>
      <c r="CI68" s="3">
        <f t="shared" si="1358"/>
        <v>0</v>
      </c>
      <c r="CJ68" s="3">
        <f t="shared" si="1469"/>
        <v>14</v>
      </c>
      <c r="CK68" s="3"/>
      <c r="CL68" s="3"/>
      <c r="CM68" s="3">
        <f>IF($E68=5,BM68-5,NA())</f>
        <v>3</v>
      </c>
      <c r="CN68" s="26">
        <f>BM68-'Zusammenfassung Tag1-4'!$D$2/18</f>
        <v>6.666666666666667</v>
      </c>
      <c r="CO68" s="27">
        <f t="shared" si="1471"/>
        <v>231.99999999999983</v>
      </c>
      <c r="CP68" s="24">
        <v>7</v>
      </c>
      <c r="CQ68" s="3">
        <f t="shared" si="1472"/>
        <v>285</v>
      </c>
      <c r="CR68" s="25">
        <v>2</v>
      </c>
      <c r="CS68" s="3">
        <f t="shared" si="1473"/>
        <v>110</v>
      </c>
      <c r="CT68" s="3">
        <f t="shared" si="1359"/>
        <v>0</v>
      </c>
      <c r="CU68" s="3">
        <f t="shared" si="1474"/>
        <v>10</v>
      </c>
      <c r="CV68" s="3">
        <f t="shared" si="1360"/>
        <v>0</v>
      </c>
      <c r="CW68" s="3">
        <f t="shared" si="1475"/>
        <v>6</v>
      </c>
      <c r="CX68" s="3">
        <f t="shared" si="1361"/>
        <v>0</v>
      </c>
      <c r="CY68" s="3">
        <f t="shared" si="1476"/>
        <v>0</v>
      </c>
      <c r="CZ68" s="3">
        <f t="shared" si="1362"/>
        <v>0</v>
      </c>
      <c r="DA68" s="3">
        <f t="shared" si="1477"/>
        <v>4</v>
      </c>
      <c r="DB68" s="3">
        <f t="shared" si="1363"/>
        <v>0</v>
      </c>
      <c r="DC68" s="3">
        <f t="shared" si="1478"/>
        <v>6</v>
      </c>
      <c r="DD68" s="3">
        <f t="shared" si="1364"/>
        <v>1</v>
      </c>
      <c r="DE68" s="3">
        <f t="shared" si="1479"/>
        <v>8</v>
      </c>
      <c r="DF68" s="3">
        <f t="shared" si="1365"/>
        <v>0</v>
      </c>
      <c r="DG68" s="3">
        <f t="shared" si="1480"/>
        <v>0</v>
      </c>
      <c r="DH68" s="3">
        <f t="shared" si="1366"/>
        <v>0</v>
      </c>
      <c r="DI68" s="3">
        <f t="shared" si="1481"/>
        <v>11</v>
      </c>
      <c r="DJ68" s="3">
        <f t="shared" si="1367"/>
        <v>1</v>
      </c>
      <c r="DK68" s="3">
        <f t="shared" si="1482"/>
        <v>7</v>
      </c>
      <c r="DL68" s="3">
        <f t="shared" si="1368"/>
        <v>0</v>
      </c>
      <c r="DM68" s="3">
        <f t="shared" si="1483"/>
        <v>13</v>
      </c>
      <c r="DN68" s="3"/>
      <c r="DO68" s="3"/>
      <c r="DP68" s="3">
        <f>IF($E68=5,CP68-5,NA())</f>
        <v>2</v>
      </c>
      <c r="DQ68" s="26">
        <f>CP68-'Zusammenfassung Tag1-4'!$E$2/18</f>
        <v>5.7222222222222223</v>
      </c>
      <c r="DR68" s="28">
        <f t="shared" si="1485"/>
        <v>216.00000000000023</v>
      </c>
      <c r="DS68" s="24">
        <v>8</v>
      </c>
      <c r="DT68" s="3">
        <f t="shared" si="1486"/>
        <v>418</v>
      </c>
      <c r="DU68" s="25">
        <v>2</v>
      </c>
      <c r="DV68" s="3">
        <f t="shared" si="1487"/>
        <v>121</v>
      </c>
      <c r="DW68" s="3">
        <f t="shared" si="1369"/>
        <v>0</v>
      </c>
      <c r="DX68" s="3">
        <f t="shared" si="1488"/>
        <v>1</v>
      </c>
      <c r="DY68" s="3">
        <f t="shared" si="1370"/>
        <v>0</v>
      </c>
      <c r="DZ68" s="3">
        <f t="shared" si="1489"/>
        <v>0</v>
      </c>
      <c r="EA68" s="3">
        <f t="shared" si="1371"/>
        <v>0</v>
      </c>
      <c r="EB68" s="3">
        <f t="shared" si="1490"/>
        <v>0</v>
      </c>
      <c r="EC68" s="3">
        <f t="shared" si="1372"/>
        <v>0</v>
      </c>
      <c r="ED68" s="3">
        <f t="shared" si="1491"/>
        <v>0</v>
      </c>
      <c r="EE68" s="3">
        <f t="shared" si="1373"/>
        <v>0</v>
      </c>
      <c r="EF68" s="3">
        <f t="shared" si="1492"/>
        <v>0</v>
      </c>
      <c r="EG68" s="3">
        <f t="shared" si="1374"/>
        <v>1</v>
      </c>
      <c r="EH68" s="3">
        <f t="shared" si="1493"/>
        <v>18</v>
      </c>
      <c r="EI68" s="3">
        <f t="shared" si="1375"/>
        <v>0</v>
      </c>
      <c r="EJ68" s="3">
        <f t="shared" si="1494"/>
        <v>0</v>
      </c>
      <c r="EK68" s="3">
        <f t="shared" si="1376"/>
        <v>0</v>
      </c>
      <c r="EL68" s="3">
        <f t="shared" si="1495"/>
        <v>2</v>
      </c>
      <c r="EM68" s="3">
        <f t="shared" si="1377"/>
        <v>1</v>
      </c>
      <c r="EN68" s="3">
        <f t="shared" si="1496"/>
        <v>13</v>
      </c>
      <c r="EO68" s="3">
        <f t="shared" si="1378"/>
        <v>0</v>
      </c>
      <c r="EP68" s="3">
        <f t="shared" si="1497"/>
        <v>13</v>
      </c>
      <c r="EQ68" s="3"/>
      <c r="ER68" s="3"/>
      <c r="ES68" s="3">
        <f>IF($E68=5,DS68-5,NA())</f>
        <v>3</v>
      </c>
      <c r="ET68" s="26">
        <f>DS68-'Zusammenfassung Tag1-4'!$F$2/18</f>
        <v>5</v>
      </c>
      <c r="EU68" s="28">
        <f t="shared" si="1499"/>
        <v>256</v>
      </c>
      <c r="EV68" s="24">
        <v>8</v>
      </c>
      <c r="EW68" s="3">
        <f t="shared" si="1500"/>
        <v>304</v>
      </c>
      <c r="EX68" s="25">
        <v>3</v>
      </c>
      <c r="EY68" s="3">
        <f t="shared" si="1501"/>
        <v>113</v>
      </c>
      <c r="EZ68" s="3">
        <f t="shared" si="1379"/>
        <v>0</v>
      </c>
      <c r="FA68" s="3">
        <f t="shared" si="1502"/>
        <v>10</v>
      </c>
      <c r="FB68" s="3">
        <f t="shared" si="1380"/>
        <v>0</v>
      </c>
      <c r="FC68" s="3">
        <f t="shared" si="1503"/>
        <v>1</v>
      </c>
      <c r="FD68" s="3">
        <f t="shared" si="1381"/>
        <v>0</v>
      </c>
      <c r="FE68" s="3">
        <f t="shared" si="1504"/>
        <v>0</v>
      </c>
      <c r="FF68" s="3">
        <f t="shared" si="1382"/>
        <v>0</v>
      </c>
      <c r="FG68" s="3">
        <f t="shared" si="1505"/>
        <v>1</v>
      </c>
      <c r="FH68" s="3">
        <f t="shared" si="1383"/>
        <v>0</v>
      </c>
      <c r="FI68" s="3">
        <f t="shared" si="1506"/>
        <v>9</v>
      </c>
      <c r="FJ68" s="3">
        <f t="shared" si="1384"/>
        <v>1</v>
      </c>
      <c r="FK68" s="3">
        <f t="shared" si="1507"/>
        <v>8</v>
      </c>
      <c r="FL68" s="3">
        <f t="shared" si="1385"/>
        <v>0</v>
      </c>
      <c r="FM68" s="3">
        <f t="shared" si="1508"/>
        <v>0</v>
      </c>
      <c r="FN68" s="3">
        <f t="shared" si="1386"/>
        <v>0</v>
      </c>
      <c r="FO68" s="3">
        <f t="shared" si="1509"/>
        <v>7</v>
      </c>
      <c r="FP68" s="3">
        <f t="shared" si="1387"/>
        <v>0</v>
      </c>
      <c r="FQ68" s="3">
        <f t="shared" si="1510"/>
        <v>10</v>
      </c>
      <c r="FR68" s="3">
        <f t="shared" si="1388"/>
        <v>1</v>
      </c>
      <c r="FS68" s="3">
        <f t="shared" si="1511"/>
        <v>12</v>
      </c>
      <c r="FT68" s="3"/>
      <c r="FU68" s="3"/>
      <c r="FV68" s="3">
        <f>IF($E68=5,EV68-5,NA())</f>
        <v>3</v>
      </c>
      <c r="FW68" s="26">
        <f>EV68-'Zusammenfassung Tag1-4'!$G$2/18</f>
        <v>6.5</v>
      </c>
      <c r="FX68" s="28">
        <f t="shared" si="1513"/>
        <v>223</v>
      </c>
      <c r="FY68" s="24">
        <v>10</v>
      </c>
      <c r="FZ68" s="3">
        <f t="shared" si="1514"/>
        <v>392</v>
      </c>
      <c r="GA68" s="25">
        <v>2</v>
      </c>
      <c r="GB68" s="3">
        <f t="shared" si="1515"/>
        <v>128</v>
      </c>
      <c r="GC68" s="3">
        <f t="shared" si="1389"/>
        <v>0</v>
      </c>
      <c r="GD68" s="3">
        <f t="shared" si="1516"/>
        <v>2</v>
      </c>
      <c r="GE68" s="3">
        <f t="shared" si="1390"/>
        <v>0</v>
      </c>
      <c r="GF68" s="3">
        <f t="shared" si="1517"/>
        <v>0</v>
      </c>
      <c r="GG68" s="3">
        <f t="shared" si="1391"/>
        <v>0</v>
      </c>
      <c r="GH68" s="3">
        <f t="shared" si="1518"/>
        <v>0</v>
      </c>
      <c r="GI68" s="3">
        <f t="shared" si="1392"/>
        <v>0</v>
      </c>
      <c r="GJ68" s="3">
        <f t="shared" si="1519"/>
        <v>0</v>
      </c>
      <c r="GK68" s="3">
        <f t="shared" si="1393"/>
        <v>0</v>
      </c>
      <c r="GL68" s="3">
        <f t="shared" si="1520"/>
        <v>1</v>
      </c>
      <c r="GM68" s="3">
        <f t="shared" si="1394"/>
        <v>1</v>
      </c>
      <c r="GN68" s="3">
        <f t="shared" si="1521"/>
        <v>17</v>
      </c>
      <c r="GO68" s="3">
        <f t="shared" si="1395"/>
        <v>0</v>
      </c>
      <c r="GP68" s="3">
        <f t="shared" si="1522"/>
        <v>0</v>
      </c>
      <c r="GQ68" s="3">
        <f t="shared" si="1396"/>
        <v>0</v>
      </c>
      <c r="GR68" s="3">
        <f t="shared" si="1523"/>
        <v>2</v>
      </c>
      <c r="GS68" s="3">
        <f t="shared" si="1397"/>
        <v>1</v>
      </c>
      <c r="GT68" s="3">
        <f t="shared" si="1524"/>
        <v>11</v>
      </c>
      <c r="GU68" s="3">
        <f t="shared" si="1398"/>
        <v>0</v>
      </c>
      <c r="GV68" s="3">
        <f t="shared" si="1525"/>
        <v>22</v>
      </c>
      <c r="GW68" s="3"/>
      <c r="GX68" s="3"/>
      <c r="GY68" s="3">
        <f>IF($E68=5,FY68-5,NA())</f>
        <v>5</v>
      </c>
      <c r="GZ68" s="26">
        <f>FY68-'Zusammenfassung Tag1-4'!$H$2/18</f>
        <v>7</v>
      </c>
      <c r="HA68" s="28">
        <f t="shared" si="1527"/>
        <v>230</v>
      </c>
      <c r="HB68" s="24">
        <v>8</v>
      </c>
      <c r="HC68" s="3">
        <f t="shared" si="1528"/>
        <v>288</v>
      </c>
      <c r="HD68" s="25">
        <v>2</v>
      </c>
      <c r="HE68" s="3">
        <f t="shared" si="1529"/>
        <v>115</v>
      </c>
      <c r="HF68" s="3">
        <f t="shared" si="1399"/>
        <v>0</v>
      </c>
      <c r="HG68" s="3">
        <f t="shared" si="1530"/>
        <v>18</v>
      </c>
      <c r="HH68" s="3">
        <f t="shared" si="1400"/>
        <v>0</v>
      </c>
      <c r="HI68" s="3">
        <f t="shared" si="1531"/>
        <v>4</v>
      </c>
      <c r="HJ68" s="3">
        <f t="shared" si="1401"/>
        <v>0</v>
      </c>
      <c r="HK68" s="3">
        <f t="shared" si="1532"/>
        <v>0</v>
      </c>
      <c r="HL68" s="3">
        <f t="shared" si="1402"/>
        <v>0</v>
      </c>
      <c r="HM68" s="3">
        <f t="shared" si="1533"/>
        <v>4</v>
      </c>
      <c r="HN68" s="3">
        <f t="shared" si="1403"/>
        <v>0</v>
      </c>
      <c r="HO68" s="3">
        <f t="shared" si="1534"/>
        <v>7</v>
      </c>
      <c r="HP68" s="3">
        <f t="shared" si="1404"/>
        <v>1</v>
      </c>
      <c r="HQ68" s="3">
        <f t="shared" si="1535"/>
        <v>7</v>
      </c>
      <c r="HR68" s="3">
        <f t="shared" si="1405"/>
        <v>0</v>
      </c>
      <c r="HS68" s="3">
        <f t="shared" si="1536"/>
        <v>0</v>
      </c>
      <c r="HT68" s="3">
        <f t="shared" si="1406"/>
        <v>0</v>
      </c>
      <c r="HU68" s="3">
        <f t="shared" si="1537"/>
        <v>6</v>
      </c>
      <c r="HV68" s="3">
        <f t="shared" si="1407"/>
        <v>1</v>
      </c>
      <c r="HW68" s="3">
        <f t="shared" si="1538"/>
        <v>11</v>
      </c>
      <c r="HX68" s="3">
        <f t="shared" si="1408"/>
        <v>0</v>
      </c>
      <c r="HY68" s="3">
        <f t="shared" si="1539"/>
        <v>13</v>
      </c>
      <c r="HZ68" s="3"/>
      <c r="IA68" s="3"/>
      <c r="IB68" s="3">
        <f>IF($E68=5,HB68-5,NA())</f>
        <v>3</v>
      </c>
      <c r="IC68" s="26">
        <f>HB68-'Zusammenfassung Tag1-4'!$I$2/18</f>
        <v>7</v>
      </c>
      <c r="ID68" s="28">
        <f t="shared" si="1541"/>
        <v>234</v>
      </c>
      <c r="IE68" s="24">
        <v>9</v>
      </c>
      <c r="IF68" s="3">
        <f t="shared" si="1542"/>
        <v>131</v>
      </c>
      <c r="IG68" s="25">
        <v>4</v>
      </c>
      <c r="IH68" s="3">
        <f t="shared" si="1543"/>
        <v>51</v>
      </c>
      <c r="II68" s="3">
        <f t="shared" si="1409"/>
        <v>0</v>
      </c>
      <c r="IJ68" s="3">
        <f t="shared" si="1544"/>
        <v>37</v>
      </c>
      <c r="IK68" s="3">
        <f t="shared" si="1410"/>
        <v>0</v>
      </c>
      <c r="IL68" s="3">
        <f t="shared" si="1545"/>
        <v>0</v>
      </c>
      <c r="IM68" s="3">
        <f t="shared" si="1411"/>
        <v>0</v>
      </c>
      <c r="IN68" s="3">
        <f t="shared" si="1546"/>
        <v>0</v>
      </c>
      <c r="IO68" s="3">
        <f t="shared" si="1412"/>
        <v>0</v>
      </c>
      <c r="IP68" s="3">
        <f t="shared" si="1547"/>
        <v>0</v>
      </c>
      <c r="IQ68" s="3">
        <f t="shared" si="1413"/>
        <v>0</v>
      </c>
      <c r="IR68" s="3">
        <f t="shared" si="1548"/>
        <v>3</v>
      </c>
      <c r="IS68" s="3">
        <f t="shared" si="1414"/>
        <v>1</v>
      </c>
      <c r="IT68" s="3">
        <f t="shared" si="1549"/>
        <v>15</v>
      </c>
      <c r="IU68" s="3">
        <f t="shared" si="1415"/>
        <v>0</v>
      </c>
      <c r="IV68" s="3">
        <f t="shared" si="1550"/>
        <v>0</v>
      </c>
      <c r="IW68" s="3">
        <f t="shared" si="1416"/>
        <v>0</v>
      </c>
      <c r="IX68" s="3">
        <f t="shared" si="1551"/>
        <v>0</v>
      </c>
      <c r="IY68" s="3">
        <f t="shared" si="1417"/>
        <v>0</v>
      </c>
      <c r="IZ68" s="3">
        <f t="shared" si="1552"/>
        <v>7</v>
      </c>
      <c r="JA68" s="3">
        <f t="shared" si="1418"/>
        <v>1</v>
      </c>
      <c r="JB68" s="3">
        <f t="shared" si="1553"/>
        <v>11</v>
      </c>
      <c r="JC68" s="3"/>
      <c r="JD68" s="3"/>
      <c r="JE68" s="3">
        <f>IF($E68=5,IE68-5,NA())</f>
        <v>4</v>
      </c>
      <c r="JF68" s="26">
        <f>IE68-'Zusammenfassung Tag1-4'!$J$2/18</f>
        <v>6</v>
      </c>
      <c r="JG68" s="28">
        <f t="shared" si="1555"/>
        <v>-31</v>
      </c>
      <c r="JH68" s="24">
        <v>6</v>
      </c>
      <c r="JI68" s="3">
        <f t="shared" si="1556"/>
        <v>85</v>
      </c>
      <c r="JJ68" s="25">
        <v>2</v>
      </c>
      <c r="JK68" s="3">
        <f t="shared" si="1557"/>
        <v>34</v>
      </c>
      <c r="JL68" s="3">
        <f t="shared" si="1419"/>
        <v>0</v>
      </c>
      <c r="JM68" s="3">
        <f t="shared" si="1558"/>
        <v>44</v>
      </c>
      <c r="JN68" s="3">
        <f t="shared" si="1420"/>
        <v>0</v>
      </c>
      <c r="JO68" s="3">
        <f t="shared" si="1559"/>
        <v>1</v>
      </c>
      <c r="JP68" s="3">
        <f t="shared" si="1421"/>
        <v>0</v>
      </c>
      <c r="JQ68" s="3">
        <f t="shared" si="1560"/>
        <v>2</v>
      </c>
      <c r="JR68" s="3">
        <f t="shared" si="1422"/>
        <v>0</v>
      </c>
      <c r="JS68" s="3">
        <f t="shared" si="1561"/>
        <v>7</v>
      </c>
      <c r="JT68" s="3">
        <f t="shared" si="1423"/>
        <v>1</v>
      </c>
      <c r="JU68" s="3">
        <f t="shared" si="1562"/>
        <v>4</v>
      </c>
      <c r="JV68" s="3">
        <f t="shared" si="1424"/>
        <v>0</v>
      </c>
      <c r="JW68" s="3">
        <f t="shared" si="1563"/>
        <v>5</v>
      </c>
      <c r="JX68" s="3">
        <f t="shared" si="1425"/>
        <v>0</v>
      </c>
      <c r="JY68" s="3">
        <f t="shared" si="1564"/>
        <v>0</v>
      </c>
      <c r="JZ68" s="3">
        <f t="shared" si="1426"/>
        <v>0</v>
      </c>
      <c r="KA68" s="3">
        <f t="shared" si="1565"/>
        <v>3</v>
      </c>
      <c r="KB68" s="3">
        <f t="shared" si="1427"/>
        <v>1</v>
      </c>
      <c r="KC68" s="3">
        <f t="shared" si="1566"/>
        <v>14</v>
      </c>
      <c r="KD68" s="3">
        <f t="shared" si="1428"/>
        <v>0</v>
      </c>
      <c r="KE68" s="3">
        <f t="shared" si="1567"/>
        <v>1</v>
      </c>
      <c r="KF68" s="3"/>
      <c r="KG68" s="3"/>
      <c r="KH68" s="3">
        <f>IF($E68=5,JH68-5,NA())</f>
        <v>1</v>
      </c>
      <c r="KI68" s="26">
        <f>JH68-'Zusammenfassung Tag1-4'!$K$2/18</f>
        <v>5.2222222222222223</v>
      </c>
      <c r="KJ68" s="28">
        <f t="shared" si="1569"/>
        <v>42.999999999999972</v>
      </c>
      <c r="KK68" s="10"/>
      <c r="KL68" s="10"/>
      <c r="KM68" s="10"/>
      <c r="KN68" s="10"/>
      <c r="KO68" s="10"/>
      <c r="KP68" s="10"/>
      <c r="KQ68" s="10"/>
      <c r="KR68" s="10"/>
      <c r="KS68" s="10"/>
      <c r="KT68" s="10"/>
      <c r="KU68" s="10"/>
      <c r="KV68" s="10"/>
      <c r="KW68" s="10"/>
      <c r="KX68" s="10"/>
      <c r="KY68" s="10"/>
      <c r="KZ68" s="10"/>
      <c r="LA68" s="10"/>
      <c r="LB68" s="10"/>
      <c r="LC68" s="10"/>
      <c r="LD68" s="10"/>
    </row>
    <row r="69" spans="1:316" ht="15.75" customHeight="1" x14ac:dyDescent="0.25">
      <c r="A69" s="106"/>
      <c r="B69" s="104"/>
      <c r="C69" s="3" t="s">
        <v>47</v>
      </c>
      <c r="D69" s="3"/>
      <c r="E69" s="4">
        <f>SUM(E60:E68)</f>
        <v>35</v>
      </c>
      <c r="F69" s="5"/>
      <c r="G69" s="3">
        <f>SUM(G60:G68)</f>
        <v>0</v>
      </c>
      <c r="H69" s="3"/>
      <c r="I69" s="3">
        <f>SUM(I60:I68)</f>
        <v>0</v>
      </c>
      <c r="J69" s="3"/>
      <c r="K69" s="3">
        <f>SUM(K60:K68)</f>
        <v>9</v>
      </c>
      <c r="L69" s="3"/>
      <c r="M69" s="3">
        <f>SUM(M60:M68)</f>
        <v>0</v>
      </c>
      <c r="N69" s="3"/>
      <c r="O69" s="3">
        <f>SUM(O60:O68)</f>
        <v>0</v>
      </c>
      <c r="P69" s="3"/>
      <c r="Q69" s="3">
        <f>SUM(Q60:Q68)</f>
        <v>0</v>
      </c>
      <c r="R69" s="3"/>
      <c r="S69" s="3">
        <f>SUM(S60:S68)</f>
        <v>0</v>
      </c>
      <c r="T69" s="3"/>
      <c r="U69" s="3">
        <f>SUM(U60:U68)</f>
        <v>0</v>
      </c>
      <c r="V69" s="3"/>
      <c r="W69" s="3">
        <f>SUM(W60:W68)</f>
        <v>9</v>
      </c>
      <c r="X69" s="3"/>
      <c r="Y69" s="3">
        <f>SUM(Y60:Y68)</f>
        <v>0</v>
      </c>
      <c r="Z69" s="3"/>
      <c r="AA69" s="3">
        <f>SUM(AA60:AA68)</f>
        <v>0</v>
      </c>
      <c r="AB69" s="3"/>
      <c r="AC69" s="3">
        <f>SUM(AC60:AC68)</f>
        <v>0</v>
      </c>
      <c r="AD69" s="3"/>
      <c r="AE69" s="26">
        <f t="shared" ref="AE69:AG69" si="1570">AVERAGE(AE60:AE68)</f>
        <v>-3</v>
      </c>
      <c r="AF69" s="26">
        <f t="shared" si="1570"/>
        <v>-4</v>
      </c>
      <c r="AG69" s="26">
        <f t="shared" si="1570"/>
        <v>-5</v>
      </c>
      <c r="AH69" s="26">
        <f>SUM(AH60:AH68)</f>
        <v>-9.9999999999999982</v>
      </c>
      <c r="AI69" s="23"/>
      <c r="AJ69" s="29">
        <f>SUM(AJ60:AJ68)</f>
        <v>43</v>
      </c>
      <c r="AK69" s="3"/>
      <c r="AL69" s="3">
        <f>SUM(AL60:AL68)</f>
        <v>15</v>
      </c>
      <c r="AM69" s="3"/>
      <c r="AN69" s="3">
        <f>SUM(AN60:AN68)</f>
        <v>4</v>
      </c>
      <c r="AO69" s="3"/>
      <c r="AP69" s="3">
        <f>SUM(AP60:AP68)</f>
        <v>1</v>
      </c>
      <c r="AQ69" s="3"/>
      <c r="AR69" s="3">
        <f>SUM(AR60:AR68)</f>
        <v>0</v>
      </c>
      <c r="AS69" s="3"/>
      <c r="AT69" s="3">
        <f>SUM(AT60:AT68)</f>
        <v>5</v>
      </c>
      <c r="AU69" s="3"/>
      <c r="AV69" s="3">
        <f>SUM(AV60:AV68)</f>
        <v>2</v>
      </c>
      <c r="AW69" s="3"/>
      <c r="AX69" s="3">
        <f>SUM(AX60:AX68)</f>
        <v>2</v>
      </c>
      <c r="AY69" s="3"/>
      <c r="AZ69" s="3">
        <f>SUM(AZ60:AZ68)</f>
        <v>0</v>
      </c>
      <c r="BA69" s="3"/>
      <c r="BB69" s="3">
        <f>SUM(BB60:BB68)</f>
        <v>3</v>
      </c>
      <c r="BC69" s="3"/>
      <c r="BD69" s="3">
        <f>SUM(BD60:BD68)</f>
        <v>6</v>
      </c>
      <c r="BE69" s="3"/>
      <c r="BF69" s="3">
        <f>SUM(BF60:BF68)</f>
        <v>0</v>
      </c>
      <c r="BG69" s="3"/>
      <c r="BH69" s="26">
        <f t="shared" ref="BH69:BJ69" si="1571">AVERAGE(BH60:BH68)</f>
        <v>1.3333333333333333</v>
      </c>
      <c r="BI69" s="26">
        <f t="shared" si="1571"/>
        <v>0</v>
      </c>
      <c r="BJ69" s="26">
        <f t="shared" si="1571"/>
        <v>2</v>
      </c>
      <c r="BK69" s="26">
        <f>SUM(BK60:BK68)</f>
        <v>36.999999999999993</v>
      </c>
      <c r="BL69" s="23"/>
      <c r="BM69" s="29">
        <f>SUM(BM60:BM68)</f>
        <v>53</v>
      </c>
      <c r="BN69" s="3"/>
      <c r="BO69" s="3">
        <f>SUM(BO60:BO68)</f>
        <v>19</v>
      </c>
      <c r="BP69" s="3"/>
      <c r="BQ69" s="3">
        <f>SUM(BQ60:BQ68)</f>
        <v>0</v>
      </c>
      <c r="BR69" s="3"/>
      <c r="BS69" s="3">
        <f>SUM(BS60:BS68)</f>
        <v>1</v>
      </c>
      <c r="BT69" s="3"/>
      <c r="BU69" s="3">
        <f>SUM(BU60:BU68)</f>
        <v>0</v>
      </c>
      <c r="BV69" s="3"/>
      <c r="BW69" s="3">
        <f>SUM(BW60:BW68)</f>
        <v>1</v>
      </c>
      <c r="BX69" s="3"/>
      <c r="BY69" s="3">
        <f>SUM(BY60:BY68)</f>
        <v>3</v>
      </c>
      <c r="BZ69" s="3"/>
      <c r="CA69" s="3">
        <f>SUM(CA60:CA68)</f>
        <v>5</v>
      </c>
      <c r="CB69" s="3"/>
      <c r="CC69" s="3">
        <f>SUM(CC60:CC68)</f>
        <v>0</v>
      </c>
      <c r="CD69" s="3"/>
      <c r="CE69" s="3">
        <f>SUM(CE60:CE68)</f>
        <v>2</v>
      </c>
      <c r="CF69" s="3"/>
      <c r="CG69" s="3">
        <f>SUM(CG60:CG68)</f>
        <v>4</v>
      </c>
      <c r="CH69" s="3"/>
      <c r="CI69" s="3">
        <f>SUM(CI60:CI68)</f>
        <v>3</v>
      </c>
      <c r="CJ69" s="3"/>
      <c r="CK69" s="26">
        <f t="shared" ref="CK69:CM69" si="1572">AVERAGE(CK60:CK68)</f>
        <v>0.66666666666666663</v>
      </c>
      <c r="CL69" s="26">
        <f t="shared" si="1572"/>
        <v>3</v>
      </c>
      <c r="CM69" s="26">
        <f t="shared" si="1572"/>
        <v>2</v>
      </c>
      <c r="CN69" s="26">
        <f>SUM(CN60:CN68)</f>
        <v>41</v>
      </c>
      <c r="CO69" s="23"/>
      <c r="CP69" s="29">
        <f>SUM(CP60:CP68)</f>
        <v>49</v>
      </c>
      <c r="CQ69" s="3"/>
      <c r="CR69" s="3">
        <f>SUM(CR60:CR68)</f>
        <v>18</v>
      </c>
      <c r="CS69" s="3"/>
      <c r="CT69" s="3">
        <f>SUM(CT60:CT68)</f>
        <v>0</v>
      </c>
      <c r="CU69" s="3"/>
      <c r="CV69" s="3">
        <f>SUM(CV60:CV68)</f>
        <v>3</v>
      </c>
      <c r="CW69" s="3"/>
      <c r="CX69" s="3">
        <f>SUM(CX60:CX68)</f>
        <v>0</v>
      </c>
      <c r="CY69" s="3"/>
      <c r="CZ69" s="3">
        <f>SUM(CZ60:CZ68)</f>
        <v>3</v>
      </c>
      <c r="DA69" s="3"/>
      <c r="DB69" s="3">
        <f>SUM(DB60:DB68)</f>
        <v>1</v>
      </c>
      <c r="DC69" s="3"/>
      <c r="DD69" s="3">
        <f>SUM(DD60:DD68)</f>
        <v>5</v>
      </c>
      <c r="DE69" s="3"/>
      <c r="DF69" s="3">
        <f>SUM(DF60:DF68)</f>
        <v>0</v>
      </c>
      <c r="DG69" s="3"/>
      <c r="DH69" s="3">
        <f>SUM(DH60:DH68)</f>
        <v>4</v>
      </c>
      <c r="DI69" s="3"/>
      <c r="DJ69" s="3">
        <f>SUM(DJ60:DJ68)</f>
        <v>1</v>
      </c>
      <c r="DK69" s="3"/>
      <c r="DL69" s="3">
        <f>SUM(DL60:DL68)</f>
        <v>4</v>
      </c>
      <c r="DM69" s="3"/>
      <c r="DN69" s="26">
        <f t="shared" ref="DN69:DP69" si="1573">AVERAGE(DN60:DN68)</f>
        <v>0.66666666666666663</v>
      </c>
      <c r="DO69" s="26">
        <f t="shared" si="1573"/>
        <v>2.25</v>
      </c>
      <c r="DP69" s="26">
        <f t="shared" si="1573"/>
        <v>1.5</v>
      </c>
      <c r="DQ69" s="26">
        <f>SUM(DQ60:DQ68)</f>
        <v>37.5</v>
      </c>
      <c r="DR69" s="30"/>
      <c r="DS69" s="29">
        <f>SUM(DS60:DS68)</f>
        <v>69</v>
      </c>
      <c r="DT69" s="3"/>
      <c r="DU69" s="3">
        <f>SUM(DU60:DU68)</f>
        <v>20</v>
      </c>
      <c r="DV69" s="3"/>
      <c r="DW69" s="3">
        <f>SUM(DW60:DW68)</f>
        <v>0</v>
      </c>
      <c r="DX69" s="3"/>
      <c r="DY69" s="3">
        <f>SUM(DY60:DY68)</f>
        <v>0</v>
      </c>
      <c r="DZ69" s="3"/>
      <c r="EA69" s="3">
        <f>SUM(EA60:EA68)</f>
        <v>0</v>
      </c>
      <c r="EB69" s="3"/>
      <c r="EC69" s="3">
        <f>SUM(EC60:EC68)</f>
        <v>0</v>
      </c>
      <c r="ED69" s="3"/>
      <c r="EE69" s="3">
        <f>SUM(EE60:EE68)</f>
        <v>0</v>
      </c>
      <c r="EF69" s="3"/>
      <c r="EG69" s="3">
        <f>SUM(EG60:EG68)</f>
        <v>9</v>
      </c>
      <c r="EH69" s="3"/>
      <c r="EI69" s="3">
        <f>SUM(EI60:EI68)</f>
        <v>0</v>
      </c>
      <c r="EJ69" s="3"/>
      <c r="EK69" s="3">
        <f>SUM(EK60:EK68)</f>
        <v>0</v>
      </c>
      <c r="EL69" s="3"/>
      <c r="EM69" s="3">
        <f>SUM(EM60:EM68)</f>
        <v>8</v>
      </c>
      <c r="EN69" s="3"/>
      <c r="EO69" s="3">
        <f>SUM(EO60:EO68)</f>
        <v>1</v>
      </c>
      <c r="EP69" s="3"/>
      <c r="EQ69" s="26">
        <f t="shared" ref="EQ69:ES69" si="1574">AVERAGE(EQ60:EQ68)</f>
        <v>3</v>
      </c>
      <c r="ER69" s="26">
        <f t="shared" si="1574"/>
        <v>4.5</v>
      </c>
      <c r="ES69" s="26">
        <f t="shared" si="1574"/>
        <v>3.5</v>
      </c>
      <c r="ET69" s="26">
        <f>SUM(ET60:ET68)</f>
        <v>42</v>
      </c>
      <c r="EU69" s="30"/>
      <c r="EV69" s="29">
        <f>SUM(EV60:EV68)</f>
        <v>50</v>
      </c>
      <c r="EW69" s="3"/>
      <c r="EX69" s="3">
        <f>SUM(EX60:EX68)</f>
        <v>20</v>
      </c>
      <c r="EY69" s="3"/>
      <c r="EZ69" s="3">
        <f>SUM(EZ60:EZ68)</f>
        <v>2</v>
      </c>
      <c r="FA69" s="3"/>
      <c r="FB69" s="3">
        <f>SUM(FB60:FB68)</f>
        <v>1</v>
      </c>
      <c r="FC69" s="3"/>
      <c r="FD69" s="3">
        <f>SUM(FD60:FD68)</f>
        <v>0</v>
      </c>
      <c r="FE69" s="3"/>
      <c r="FF69" s="3">
        <f>SUM(FF60:FF68)</f>
        <v>1</v>
      </c>
      <c r="FG69" s="3"/>
      <c r="FH69" s="3">
        <f>SUM(FH60:FH68)</f>
        <v>4</v>
      </c>
      <c r="FI69" s="3"/>
      <c r="FJ69" s="3">
        <f>SUM(FJ60:FJ68)</f>
        <v>4</v>
      </c>
      <c r="FK69" s="3"/>
      <c r="FL69" s="3">
        <f>SUM(FL60:FL68)</f>
        <v>0</v>
      </c>
      <c r="FM69" s="3"/>
      <c r="FN69" s="3">
        <f>SUM(FN60:FN68)</f>
        <v>1</v>
      </c>
      <c r="FO69" s="3"/>
      <c r="FP69" s="3">
        <f>SUM(FP60:FP68)</f>
        <v>5</v>
      </c>
      <c r="FQ69" s="3"/>
      <c r="FR69" s="3">
        <f>SUM(FR60:FR68)</f>
        <v>3</v>
      </c>
      <c r="FS69" s="3"/>
      <c r="FT69" s="26">
        <f t="shared" ref="FT69:FV69" si="1575">AVERAGE(FT60:FT68)</f>
        <v>1</v>
      </c>
      <c r="FU69" s="26">
        <f t="shared" si="1575"/>
        <v>2.25</v>
      </c>
      <c r="FV69" s="26">
        <f t="shared" si="1575"/>
        <v>1.5</v>
      </c>
      <c r="FW69" s="26">
        <f>SUM(FW60:FW68)</f>
        <v>36.5</v>
      </c>
      <c r="FX69" s="30"/>
      <c r="FY69" s="29">
        <f>SUM(FY60:FY68)</f>
        <v>66</v>
      </c>
      <c r="FZ69" s="3"/>
      <c r="GA69" s="3">
        <f>SUM(GA60:GA68)</f>
        <v>20</v>
      </c>
      <c r="GB69" s="3"/>
      <c r="GC69" s="3">
        <f>SUM(GC60:GC68)</f>
        <v>0</v>
      </c>
      <c r="GD69" s="3"/>
      <c r="GE69" s="3">
        <f>SUM(GE60:GE68)</f>
        <v>0</v>
      </c>
      <c r="GF69" s="3"/>
      <c r="GG69" s="3">
        <f>SUM(GG60:GG68)</f>
        <v>0</v>
      </c>
      <c r="GH69" s="3"/>
      <c r="GI69" s="3">
        <f>SUM(GI60:GI68)</f>
        <v>0</v>
      </c>
      <c r="GJ69" s="3"/>
      <c r="GK69" s="3">
        <f>SUM(GK60:GK68)</f>
        <v>1</v>
      </c>
      <c r="GL69" s="3"/>
      <c r="GM69" s="3">
        <f>SUM(GM60:GM68)</f>
        <v>8</v>
      </c>
      <c r="GN69" s="3"/>
      <c r="GO69" s="3">
        <f>SUM(GO60:GO68)</f>
        <v>0</v>
      </c>
      <c r="GP69" s="3"/>
      <c r="GQ69" s="3">
        <f>SUM(GQ60:GQ68)</f>
        <v>0</v>
      </c>
      <c r="GR69" s="3"/>
      <c r="GS69" s="3">
        <f>SUM(GS60:GS68)</f>
        <v>7</v>
      </c>
      <c r="GT69" s="3"/>
      <c r="GU69" s="3">
        <f>SUM(GU60:GU68)</f>
        <v>2</v>
      </c>
      <c r="GV69" s="3"/>
      <c r="GW69" s="26">
        <f t="shared" ref="GW69:GY69" si="1576">AVERAGE(GW60:GW68)</f>
        <v>2.6666666666666665</v>
      </c>
      <c r="GX69" s="26">
        <f t="shared" si="1576"/>
        <v>3.25</v>
      </c>
      <c r="GY69" s="26">
        <f t="shared" si="1576"/>
        <v>5</v>
      </c>
      <c r="GZ69" s="26">
        <f>SUM(GZ60:GZ68)</f>
        <v>39</v>
      </c>
      <c r="HA69" s="30"/>
      <c r="HB69" s="29">
        <f>SUM(HB60:HB68)</f>
        <v>49</v>
      </c>
      <c r="HC69" s="3"/>
      <c r="HD69" s="3">
        <f>SUM(HD60:HD68)</f>
        <v>20</v>
      </c>
      <c r="HE69" s="3"/>
      <c r="HF69" s="3">
        <f>SUM(HF60:HF68)</f>
        <v>3</v>
      </c>
      <c r="HG69" s="3"/>
      <c r="HH69" s="3">
        <f>SUM(HH60:HH68)</f>
        <v>0</v>
      </c>
      <c r="HI69" s="3"/>
      <c r="HJ69" s="3">
        <f>SUM(HJ60:HJ68)</f>
        <v>0</v>
      </c>
      <c r="HK69" s="3"/>
      <c r="HL69" s="3">
        <f>SUM(HL60:HL68)</f>
        <v>2</v>
      </c>
      <c r="HM69" s="3"/>
      <c r="HN69" s="3">
        <f>SUM(HN60:HN68)</f>
        <v>3</v>
      </c>
      <c r="HO69" s="3"/>
      <c r="HP69" s="3">
        <f>SUM(HP60:HP68)</f>
        <v>4</v>
      </c>
      <c r="HQ69" s="3"/>
      <c r="HR69" s="3">
        <f>SUM(HR60:HR68)</f>
        <v>0</v>
      </c>
      <c r="HS69" s="3"/>
      <c r="HT69" s="3">
        <f>SUM(HT60:HT68)</f>
        <v>0</v>
      </c>
      <c r="HU69" s="3"/>
      <c r="HV69" s="3">
        <f>SUM(HV60:HV68)</f>
        <v>7</v>
      </c>
      <c r="HW69" s="3"/>
      <c r="HX69" s="3">
        <f>SUM(HX60:HX68)</f>
        <v>2</v>
      </c>
      <c r="HY69" s="3"/>
      <c r="HZ69" s="26">
        <f t="shared" ref="HZ69:IB69" si="1577">AVERAGE(HZ60:HZ68)</f>
        <v>0.33333333333333331</v>
      </c>
      <c r="IA69" s="26">
        <f t="shared" si="1577"/>
        <v>1.75</v>
      </c>
      <c r="IB69" s="26">
        <f t="shared" si="1577"/>
        <v>3</v>
      </c>
      <c r="IC69" s="26">
        <f>SUM(IC60:IC68)</f>
        <v>40</v>
      </c>
      <c r="ID69" s="30"/>
      <c r="IE69" s="29">
        <f>SUM(IE60:IE68)</f>
        <v>62</v>
      </c>
      <c r="IF69" s="3"/>
      <c r="IG69" s="3">
        <f>SUM(IG60:IG68)</f>
        <v>26</v>
      </c>
      <c r="IH69" s="3"/>
      <c r="II69" s="3">
        <f>SUM(II60:II68)</f>
        <v>0</v>
      </c>
      <c r="IJ69" s="3"/>
      <c r="IK69" s="3">
        <f>SUM(IK60:IK68)</f>
        <v>0</v>
      </c>
      <c r="IL69" s="3"/>
      <c r="IM69" s="3">
        <f>SUM(IM60:IM68)</f>
        <v>0</v>
      </c>
      <c r="IN69" s="3"/>
      <c r="IO69" s="3">
        <f>SUM(IO60:IO68)</f>
        <v>0</v>
      </c>
      <c r="IP69" s="3"/>
      <c r="IQ69" s="3">
        <f>SUM(IQ60:IQ68)</f>
        <v>2</v>
      </c>
      <c r="IR69" s="3"/>
      <c r="IS69" s="3">
        <f>SUM(IS60:IS68)</f>
        <v>7</v>
      </c>
      <c r="IT69" s="3"/>
      <c r="IU69" s="3">
        <f>SUM(IU60:IU68)</f>
        <v>0</v>
      </c>
      <c r="IV69" s="3"/>
      <c r="IW69" s="3">
        <f>SUM(IW60:IW68)</f>
        <v>0</v>
      </c>
      <c r="IX69" s="3"/>
      <c r="IY69" s="3">
        <f>SUM(IY60:IY68)</f>
        <v>4</v>
      </c>
      <c r="IZ69" s="3"/>
      <c r="JA69" s="3">
        <f>SUM(JA60:JA68)</f>
        <v>5</v>
      </c>
      <c r="JB69" s="3"/>
      <c r="JC69" s="26">
        <f t="shared" ref="JC69:JE69" si="1578">AVERAGE(JC60:JC68)</f>
        <v>2.3333333333333335</v>
      </c>
      <c r="JD69" s="26">
        <f t="shared" si="1578"/>
        <v>3.25</v>
      </c>
      <c r="JE69" s="26">
        <f t="shared" si="1578"/>
        <v>3.5</v>
      </c>
      <c r="JF69" s="26">
        <f>SUM(JF60:JF68)</f>
        <v>35</v>
      </c>
      <c r="JG69" s="30"/>
      <c r="JH69" s="29">
        <f>SUM(JH60:JH68)</f>
        <v>39</v>
      </c>
      <c r="JI69" s="3"/>
      <c r="JJ69" s="3">
        <f>SUM(JJ60:JJ68)</f>
        <v>17</v>
      </c>
      <c r="JK69" s="3"/>
      <c r="JL69" s="3">
        <f>SUM(JL60:JL68)</f>
        <v>4</v>
      </c>
      <c r="JM69" s="3"/>
      <c r="JN69" s="3">
        <f>SUM(JN60:JN68)</f>
        <v>0</v>
      </c>
      <c r="JO69" s="3"/>
      <c r="JP69" s="3">
        <f>SUM(JP60:JP68)</f>
        <v>2</v>
      </c>
      <c r="JQ69" s="3"/>
      <c r="JR69" s="3">
        <f>SUM(JR60:JR68)</f>
        <v>2</v>
      </c>
      <c r="JS69" s="3"/>
      <c r="JT69" s="3">
        <f>SUM(JT60:JT68)</f>
        <v>4</v>
      </c>
      <c r="JU69" s="3"/>
      <c r="JV69" s="3">
        <f>SUM(JV60:JV68)</f>
        <v>1</v>
      </c>
      <c r="JW69" s="3"/>
      <c r="JX69" s="3">
        <f>SUM(JX60:JX68)</f>
        <v>0</v>
      </c>
      <c r="JY69" s="3"/>
      <c r="JZ69" s="3">
        <f>SUM(JZ60:JZ68)</f>
        <v>2</v>
      </c>
      <c r="KA69" s="3"/>
      <c r="KB69" s="3">
        <f>SUM(KB60:KB68)</f>
        <v>6</v>
      </c>
      <c r="KC69" s="3"/>
      <c r="KD69" s="3">
        <f>SUM(KD60:KD68)</f>
        <v>1</v>
      </c>
      <c r="KE69" s="3"/>
      <c r="KF69" s="26">
        <f t="shared" ref="KF69:KH69" si="1579">AVERAGE(KF60:KF68)</f>
        <v>0.66666666666666663</v>
      </c>
      <c r="KG69" s="26">
        <f t="shared" si="1579"/>
        <v>0.5</v>
      </c>
      <c r="KH69" s="26">
        <f t="shared" si="1579"/>
        <v>0</v>
      </c>
      <c r="KI69" s="26">
        <f>SUM(KI60:KI68)</f>
        <v>31.999999999999996</v>
      </c>
      <c r="KJ69" s="30"/>
      <c r="KK69" s="10"/>
      <c r="KL69" s="10"/>
      <c r="KM69" s="10"/>
      <c r="KN69" s="10"/>
      <c r="KO69" s="10"/>
      <c r="KP69" s="10"/>
      <c r="KQ69" s="10"/>
      <c r="KR69" s="10"/>
      <c r="KS69" s="10"/>
      <c r="KT69" s="10"/>
      <c r="KU69" s="10"/>
      <c r="KV69" s="10"/>
      <c r="KW69" s="10"/>
      <c r="KX69" s="10"/>
      <c r="KY69" s="10"/>
      <c r="KZ69" s="10"/>
      <c r="LA69" s="10"/>
      <c r="LB69" s="10"/>
      <c r="LC69" s="10"/>
      <c r="LD69" s="10"/>
    </row>
    <row r="70" spans="1:316" ht="15.75" customHeight="1" x14ac:dyDescent="0.25">
      <c r="A70" s="107"/>
      <c r="B70" s="40" t="s">
        <v>49</v>
      </c>
      <c r="C70" s="41" t="s">
        <v>47</v>
      </c>
      <c r="D70" s="41"/>
      <c r="E70" s="6">
        <f>E59+E69</f>
        <v>72</v>
      </c>
      <c r="F70" s="7"/>
      <c r="G70" s="36">
        <f>G59+G69</f>
        <v>0</v>
      </c>
      <c r="H70" s="36"/>
      <c r="I70" s="36">
        <f>I59+I69</f>
        <v>0</v>
      </c>
      <c r="J70" s="36"/>
      <c r="K70" s="36">
        <f>K59+K69</f>
        <v>18</v>
      </c>
      <c r="L70" s="36"/>
      <c r="M70" s="36">
        <f>M59+M69</f>
        <v>0</v>
      </c>
      <c r="N70" s="36"/>
      <c r="O70" s="36">
        <f>O59+O69</f>
        <v>0</v>
      </c>
      <c r="P70" s="36"/>
      <c r="Q70" s="36">
        <f>Q59+Q69</f>
        <v>0</v>
      </c>
      <c r="R70" s="36"/>
      <c r="S70" s="36">
        <f>S59+S69</f>
        <v>0</v>
      </c>
      <c r="T70" s="36"/>
      <c r="U70" s="36">
        <f>U59+U69</f>
        <v>0</v>
      </c>
      <c r="V70" s="36"/>
      <c r="W70" s="36">
        <f>W59+W69</f>
        <v>18</v>
      </c>
      <c r="X70" s="36"/>
      <c r="Y70" s="36">
        <f>Y59+Y69</f>
        <v>0</v>
      </c>
      <c r="Z70" s="36"/>
      <c r="AA70" s="36">
        <f>AA59+AA69</f>
        <v>0</v>
      </c>
      <c r="AB70" s="36"/>
      <c r="AC70" s="36">
        <f>AC59+AC69</f>
        <v>0</v>
      </c>
      <c r="AD70" s="36"/>
      <c r="AE70" s="37">
        <f t="shared" ref="AE70:AG70" si="1580">AVERAGE(AE50:AE58,AE60:AE68)</f>
        <v>-3</v>
      </c>
      <c r="AF70" s="37">
        <f t="shared" si="1580"/>
        <v>-4</v>
      </c>
      <c r="AG70" s="37">
        <f t="shared" si="1580"/>
        <v>-5</v>
      </c>
      <c r="AH70" s="37">
        <f>AH59+AH69</f>
        <v>-19.999999999999996</v>
      </c>
      <c r="AI70" s="35"/>
      <c r="AJ70" s="38">
        <f>AJ59+AJ69</f>
        <v>85</v>
      </c>
      <c r="AK70" s="36"/>
      <c r="AL70" s="36">
        <f>AL59+AL69</f>
        <v>31</v>
      </c>
      <c r="AM70" s="36"/>
      <c r="AN70" s="36">
        <f>AN59+AN69</f>
        <v>8</v>
      </c>
      <c r="AO70" s="36"/>
      <c r="AP70" s="36">
        <f>AP59+AP69</f>
        <v>3</v>
      </c>
      <c r="AQ70" s="36"/>
      <c r="AR70" s="36">
        <f>AR59+AR69</f>
        <v>1</v>
      </c>
      <c r="AS70" s="36"/>
      <c r="AT70" s="36">
        <f>AT59+AT69</f>
        <v>9</v>
      </c>
      <c r="AU70" s="36"/>
      <c r="AV70" s="36">
        <f>AV59+AV69</f>
        <v>4</v>
      </c>
      <c r="AW70" s="36"/>
      <c r="AX70" s="36">
        <f>AX59+AX69</f>
        <v>4</v>
      </c>
      <c r="AY70" s="36"/>
      <c r="AZ70" s="36">
        <f>AZ59+AZ69</f>
        <v>0</v>
      </c>
      <c r="BA70" s="36"/>
      <c r="BB70" s="36">
        <f>BB59+BB69</f>
        <v>7</v>
      </c>
      <c r="BC70" s="36"/>
      <c r="BD70" s="36">
        <f>BD59+BD69</f>
        <v>9</v>
      </c>
      <c r="BE70" s="36"/>
      <c r="BF70" s="36">
        <f>BF59+BF69</f>
        <v>2</v>
      </c>
      <c r="BG70" s="36"/>
      <c r="BH70" s="37">
        <f t="shared" ref="BH70:BJ70" si="1581">AVERAGE(BH50:BH58,BH60:BH68)</f>
        <v>0.75</v>
      </c>
      <c r="BI70" s="37">
        <f t="shared" si="1581"/>
        <v>0.5</v>
      </c>
      <c r="BJ70" s="37">
        <f t="shared" si="1581"/>
        <v>1.25</v>
      </c>
      <c r="BK70" s="37">
        <f>BK59+BK69</f>
        <v>73</v>
      </c>
      <c r="BL70" s="35"/>
      <c r="BM70" s="38">
        <f>BM59+BM69</f>
        <v>104</v>
      </c>
      <c r="BN70" s="36"/>
      <c r="BO70" s="36">
        <f>BO59+BO69</f>
        <v>40</v>
      </c>
      <c r="BP70" s="36"/>
      <c r="BQ70" s="36">
        <f>BQ59+BQ69</f>
        <v>2</v>
      </c>
      <c r="BR70" s="36"/>
      <c r="BS70" s="36">
        <f>BS59+BS69</f>
        <v>1</v>
      </c>
      <c r="BT70" s="36"/>
      <c r="BU70" s="36">
        <f>BU59+BU69</f>
        <v>0</v>
      </c>
      <c r="BV70" s="36"/>
      <c r="BW70" s="36">
        <f>BW59+BW69</f>
        <v>2</v>
      </c>
      <c r="BX70" s="36"/>
      <c r="BY70" s="36">
        <f>BY59+BY69</f>
        <v>7</v>
      </c>
      <c r="BZ70" s="36"/>
      <c r="CA70" s="36">
        <f>CA59+CA69</f>
        <v>9</v>
      </c>
      <c r="CB70" s="36"/>
      <c r="CC70" s="36">
        <f>CC59+CC69</f>
        <v>0</v>
      </c>
      <c r="CD70" s="36"/>
      <c r="CE70" s="36">
        <f>CE59+CE69</f>
        <v>3</v>
      </c>
      <c r="CF70" s="36"/>
      <c r="CG70" s="36">
        <f>CG59+CG69</f>
        <v>8</v>
      </c>
      <c r="CH70" s="36"/>
      <c r="CI70" s="36">
        <f>CI59+CI69</f>
        <v>7</v>
      </c>
      <c r="CJ70" s="36"/>
      <c r="CK70" s="37">
        <f t="shared" ref="CK70:CM70" si="1582">AVERAGE(CK50:CK58,CK60:CK68)</f>
        <v>1.25</v>
      </c>
      <c r="CL70" s="37">
        <f t="shared" si="1582"/>
        <v>2</v>
      </c>
      <c r="CM70" s="37">
        <f t="shared" si="1582"/>
        <v>1.75</v>
      </c>
      <c r="CN70" s="37">
        <f>CN59+CN69</f>
        <v>80</v>
      </c>
      <c r="CO70" s="35"/>
      <c r="CP70" s="38">
        <f>CP59+CP69</f>
        <v>97</v>
      </c>
      <c r="CQ70" s="36"/>
      <c r="CR70" s="36">
        <f>CR59+CR69</f>
        <v>37</v>
      </c>
      <c r="CS70" s="36"/>
      <c r="CT70" s="36">
        <f>CT59+CT69</f>
        <v>2</v>
      </c>
      <c r="CU70" s="36"/>
      <c r="CV70" s="36">
        <f>CV59+CV69</f>
        <v>3</v>
      </c>
      <c r="CW70" s="36"/>
      <c r="CX70" s="36">
        <f>CX59+CX69</f>
        <v>0</v>
      </c>
      <c r="CY70" s="36"/>
      <c r="CZ70" s="36">
        <f>CZ59+CZ69</f>
        <v>4</v>
      </c>
      <c r="DA70" s="36"/>
      <c r="DB70" s="36">
        <f>DB59+DB69</f>
        <v>6</v>
      </c>
      <c r="DC70" s="36"/>
      <c r="DD70" s="36">
        <f>DD59+DD69</f>
        <v>8</v>
      </c>
      <c r="DE70" s="36"/>
      <c r="DF70" s="36">
        <f>DF59+DF69</f>
        <v>0</v>
      </c>
      <c r="DG70" s="36"/>
      <c r="DH70" s="36">
        <f>DH59+DH69</f>
        <v>5</v>
      </c>
      <c r="DI70" s="36"/>
      <c r="DJ70" s="36">
        <f>DJ59+DJ69</f>
        <v>7</v>
      </c>
      <c r="DK70" s="36"/>
      <c r="DL70" s="36">
        <f>DL59+DL69</f>
        <v>6</v>
      </c>
      <c r="DM70" s="36"/>
      <c r="DN70" s="37">
        <f t="shared" ref="DN70:DP70" si="1583">AVERAGE(DN50:DN58,DN60:DN68)</f>
        <v>1</v>
      </c>
      <c r="DO70" s="37">
        <f t="shared" si="1583"/>
        <v>1.7</v>
      </c>
      <c r="DP70" s="37">
        <f t="shared" si="1583"/>
        <v>1</v>
      </c>
      <c r="DQ70" s="37">
        <f>DQ59+DQ69</f>
        <v>74</v>
      </c>
      <c r="DR70" s="39"/>
      <c r="DS70" s="38">
        <f>DS59+DS69</f>
        <v>141</v>
      </c>
      <c r="DT70" s="36"/>
      <c r="DU70" s="36">
        <f>DU59+DU69</f>
        <v>42</v>
      </c>
      <c r="DV70" s="36"/>
      <c r="DW70" s="36">
        <f>DW59+DW69</f>
        <v>0</v>
      </c>
      <c r="DX70" s="36"/>
      <c r="DY70" s="36">
        <f>DY59+DY69</f>
        <v>0</v>
      </c>
      <c r="DZ70" s="36"/>
      <c r="EA70" s="36">
        <f>EA59+EA69</f>
        <v>0</v>
      </c>
      <c r="EB70" s="36"/>
      <c r="EC70" s="36">
        <f>EC59+EC69</f>
        <v>0</v>
      </c>
      <c r="ED70" s="36"/>
      <c r="EE70" s="36">
        <f>EE59+EE69</f>
        <v>0</v>
      </c>
      <c r="EF70" s="36"/>
      <c r="EG70" s="36">
        <f>EG59+EG69</f>
        <v>18</v>
      </c>
      <c r="EH70" s="36"/>
      <c r="EI70" s="36">
        <f>EI59+EI69</f>
        <v>0</v>
      </c>
      <c r="EJ70" s="36"/>
      <c r="EK70" s="36">
        <f>EK59+EK69</f>
        <v>0</v>
      </c>
      <c r="EL70" s="36"/>
      <c r="EM70" s="36">
        <f>EM59+EM69</f>
        <v>13</v>
      </c>
      <c r="EN70" s="36"/>
      <c r="EO70" s="36">
        <f>EO59+EO69</f>
        <v>5</v>
      </c>
      <c r="EP70" s="36"/>
      <c r="EQ70" s="37">
        <f t="shared" ref="EQ70:ES70" si="1584">AVERAGE(EQ50:EQ58,EQ60:EQ68)</f>
        <v>3</v>
      </c>
      <c r="ER70" s="37">
        <f t="shared" si="1584"/>
        <v>4.0999999999999996</v>
      </c>
      <c r="ES70" s="37">
        <f t="shared" si="1584"/>
        <v>4</v>
      </c>
      <c r="ET70" s="37">
        <f>ET59+ET69</f>
        <v>87</v>
      </c>
      <c r="EU70" s="39"/>
      <c r="EV70" s="38">
        <f>EV59+EV69</f>
        <v>103</v>
      </c>
      <c r="EW70" s="36"/>
      <c r="EX70" s="36">
        <f>EX59+EX69</f>
        <v>36</v>
      </c>
      <c r="EY70" s="36"/>
      <c r="EZ70" s="36">
        <f>EZ59+EZ69</f>
        <v>2</v>
      </c>
      <c r="FA70" s="36"/>
      <c r="FB70" s="36">
        <f>FB59+FB69</f>
        <v>1</v>
      </c>
      <c r="FC70" s="36"/>
      <c r="FD70" s="36">
        <f>FD59+FD69</f>
        <v>0</v>
      </c>
      <c r="FE70" s="36"/>
      <c r="FF70" s="36">
        <f>FF59+FF69</f>
        <v>1</v>
      </c>
      <c r="FG70" s="36"/>
      <c r="FH70" s="36">
        <f>FH59+FH69</f>
        <v>9</v>
      </c>
      <c r="FI70" s="36"/>
      <c r="FJ70" s="36">
        <f>FJ59+FJ69</f>
        <v>8</v>
      </c>
      <c r="FK70" s="36"/>
      <c r="FL70" s="36">
        <f>FL59+FL69</f>
        <v>0</v>
      </c>
      <c r="FM70" s="36"/>
      <c r="FN70" s="36">
        <f>FN59+FN69</f>
        <v>4</v>
      </c>
      <c r="FO70" s="36"/>
      <c r="FP70" s="36">
        <f>FP59+FP69</f>
        <v>10</v>
      </c>
      <c r="FQ70" s="36"/>
      <c r="FR70" s="36">
        <f>FR59+FR69</f>
        <v>4</v>
      </c>
      <c r="FS70" s="36"/>
      <c r="FT70" s="37">
        <f t="shared" ref="FT70:FV70" si="1585">AVERAGE(FT50:FT58,FT60:FT68)</f>
        <v>1.25</v>
      </c>
      <c r="FU70" s="37">
        <f t="shared" si="1585"/>
        <v>2</v>
      </c>
      <c r="FV70" s="37">
        <f t="shared" si="1585"/>
        <v>1.5</v>
      </c>
      <c r="FW70" s="37">
        <f>FW59+FW69</f>
        <v>76</v>
      </c>
      <c r="FX70" s="39"/>
      <c r="FY70" s="38">
        <f>FY59+FY69</f>
        <v>129</v>
      </c>
      <c r="FZ70" s="36"/>
      <c r="GA70" s="36">
        <f>GA59+GA69</f>
        <v>43</v>
      </c>
      <c r="GB70" s="36"/>
      <c r="GC70" s="36">
        <f>GC59+GC69</f>
        <v>0</v>
      </c>
      <c r="GD70" s="36"/>
      <c r="GE70" s="36">
        <f>GE59+GE69</f>
        <v>0</v>
      </c>
      <c r="GF70" s="36"/>
      <c r="GG70" s="36">
        <f>GG59+GG69</f>
        <v>0</v>
      </c>
      <c r="GH70" s="36"/>
      <c r="GI70" s="36">
        <f>GI59+GI69</f>
        <v>0</v>
      </c>
      <c r="GJ70" s="36"/>
      <c r="GK70" s="36">
        <f>GK59+GK69</f>
        <v>1</v>
      </c>
      <c r="GL70" s="36"/>
      <c r="GM70" s="36">
        <f>GM59+GM69</f>
        <v>17</v>
      </c>
      <c r="GN70" s="36"/>
      <c r="GO70" s="36">
        <f>GO59+GO69</f>
        <v>0</v>
      </c>
      <c r="GP70" s="36"/>
      <c r="GQ70" s="36">
        <f>GQ59+GQ69</f>
        <v>0</v>
      </c>
      <c r="GR70" s="36"/>
      <c r="GS70" s="36">
        <f>GS59+GS69</f>
        <v>11</v>
      </c>
      <c r="GT70" s="36"/>
      <c r="GU70" s="36">
        <f>GU59+GU69</f>
        <v>7</v>
      </c>
      <c r="GV70" s="36"/>
      <c r="GW70" s="37">
        <f t="shared" ref="GW70:GY70" si="1586">AVERAGE(GW50:GW58,GW60:GW68)</f>
        <v>2.5</v>
      </c>
      <c r="GX70" s="37">
        <f t="shared" si="1586"/>
        <v>3</v>
      </c>
      <c r="GY70" s="37">
        <f t="shared" si="1586"/>
        <v>4.25</v>
      </c>
      <c r="GZ70" s="37">
        <f>GZ59+GZ69</f>
        <v>75</v>
      </c>
      <c r="HA70" s="39"/>
      <c r="HB70" s="38">
        <f>HB59+HB69</f>
        <v>97</v>
      </c>
      <c r="HC70" s="36"/>
      <c r="HD70" s="36">
        <f>HD59+HD69</f>
        <v>41</v>
      </c>
      <c r="HE70" s="36"/>
      <c r="HF70" s="36">
        <f>HF59+HF69</f>
        <v>8</v>
      </c>
      <c r="HG70" s="36"/>
      <c r="HH70" s="36">
        <f>HH59+HH69</f>
        <v>0</v>
      </c>
      <c r="HI70" s="36"/>
      <c r="HJ70" s="36">
        <f>HJ59+HJ69</f>
        <v>0</v>
      </c>
      <c r="HK70" s="36"/>
      <c r="HL70" s="36">
        <f>HL59+HL69</f>
        <v>4</v>
      </c>
      <c r="HM70" s="36"/>
      <c r="HN70" s="36">
        <f>HN59+HN69</f>
        <v>7</v>
      </c>
      <c r="HO70" s="36"/>
      <c r="HP70" s="36">
        <f>HP59+HP69</f>
        <v>7</v>
      </c>
      <c r="HQ70" s="36"/>
      <c r="HR70" s="36">
        <f>HR59+HR69</f>
        <v>0</v>
      </c>
      <c r="HS70" s="36"/>
      <c r="HT70" s="36">
        <f>HT59+HT69</f>
        <v>1</v>
      </c>
      <c r="HU70" s="36"/>
      <c r="HV70" s="36">
        <f>HV59+HV69</f>
        <v>11</v>
      </c>
      <c r="HW70" s="36"/>
      <c r="HX70" s="36">
        <f>HX59+HX69</f>
        <v>6</v>
      </c>
      <c r="HY70" s="36"/>
      <c r="HZ70" s="37">
        <f t="shared" ref="HZ70:IB70" si="1587">AVERAGE(HZ50:HZ58,HZ60:HZ68)</f>
        <v>0.75</v>
      </c>
      <c r="IA70" s="37">
        <f t="shared" si="1587"/>
        <v>1.4</v>
      </c>
      <c r="IB70" s="37">
        <f t="shared" si="1587"/>
        <v>2</v>
      </c>
      <c r="IC70" s="37">
        <f>IC59+IC69</f>
        <v>79</v>
      </c>
      <c r="ID70" s="39"/>
      <c r="IE70" s="38">
        <f>IE59+IE69</f>
        <v>131</v>
      </c>
      <c r="IF70" s="36"/>
      <c r="IG70" s="36">
        <f>IG59+IG69</f>
        <v>51</v>
      </c>
      <c r="IH70" s="36"/>
      <c r="II70" s="36">
        <f>II59+II69</f>
        <v>1</v>
      </c>
      <c r="IJ70" s="36"/>
      <c r="IK70" s="36">
        <f>IK59+IK69</f>
        <v>0</v>
      </c>
      <c r="IL70" s="36"/>
      <c r="IM70" s="36">
        <f>IM59+IM69</f>
        <v>0</v>
      </c>
      <c r="IN70" s="36"/>
      <c r="IO70" s="36">
        <f>IO59+IO69</f>
        <v>0</v>
      </c>
      <c r="IP70" s="36"/>
      <c r="IQ70" s="36">
        <f>IQ59+IQ69</f>
        <v>3</v>
      </c>
      <c r="IR70" s="36"/>
      <c r="IS70" s="36">
        <f>IS59+IS69</f>
        <v>15</v>
      </c>
      <c r="IT70" s="36"/>
      <c r="IU70" s="36">
        <f>IU59+IU69</f>
        <v>0</v>
      </c>
      <c r="IV70" s="36"/>
      <c r="IW70" s="36">
        <f>IW59+IW69</f>
        <v>0</v>
      </c>
      <c r="IX70" s="36"/>
      <c r="IY70" s="36">
        <f>IY59+IY69</f>
        <v>7</v>
      </c>
      <c r="IZ70" s="36"/>
      <c r="JA70" s="36">
        <f>JA59+JA69</f>
        <v>11</v>
      </c>
      <c r="JB70" s="36"/>
      <c r="JC70" s="37">
        <f t="shared" ref="JC70:JE70" si="1588">AVERAGE(JC50:JC58,JC60:JC68)</f>
        <v>2.25</v>
      </c>
      <c r="JD70" s="37">
        <f t="shared" si="1588"/>
        <v>3.6</v>
      </c>
      <c r="JE70" s="37">
        <f t="shared" si="1588"/>
        <v>3.5</v>
      </c>
      <c r="JF70" s="37">
        <f>JF59+JF69</f>
        <v>77</v>
      </c>
      <c r="JG70" s="39"/>
      <c r="JH70" s="38">
        <f>JH59+JH69</f>
        <v>85</v>
      </c>
      <c r="JI70" s="36"/>
      <c r="JJ70" s="36">
        <f>JJ59+JJ69</f>
        <v>34</v>
      </c>
      <c r="JK70" s="36"/>
      <c r="JL70" s="36">
        <f>JL59+JL69</f>
        <v>8</v>
      </c>
      <c r="JM70" s="36"/>
      <c r="JN70" s="36">
        <f>JN59+JN69</f>
        <v>1</v>
      </c>
      <c r="JO70" s="36"/>
      <c r="JP70" s="36">
        <f>JP59+JP69</f>
        <v>2</v>
      </c>
      <c r="JQ70" s="36"/>
      <c r="JR70" s="36">
        <f>JR59+JR69</f>
        <v>7</v>
      </c>
      <c r="JS70" s="36"/>
      <c r="JT70" s="36">
        <f>JT59+JT69</f>
        <v>4</v>
      </c>
      <c r="JU70" s="36"/>
      <c r="JV70" s="36">
        <f>JV59+JV69</f>
        <v>5</v>
      </c>
      <c r="JW70" s="36"/>
      <c r="JX70" s="36">
        <f>JX59+JX69</f>
        <v>0</v>
      </c>
      <c r="JY70" s="36"/>
      <c r="JZ70" s="36">
        <f>JZ59+JZ69</f>
        <v>3</v>
      </c>
      <c r="KA70" s="36"/>
      <c r="KB70" s="36">
        <f>KB59+KB69</f>
        <v>14</v>
      </c>
      <c r="KC70" s="36"/>
      <c r="KD70" s="36">
        <f>KD59+KD69</f>
        <v>1</v>
      </c>
      <c r="KE70" s="36"/>
      <c r="KF70" s="37">
        <f t="shared" ref="KF70:KH70" si="1589">AVERAGE(KF50:KF58,KF60:KF68)</f>
        <v>0.5</v>
      </c>
      <c r="KG70" s="37">
        <f t="shared" si="1589"/>
        <v>0.9</v>
      </c>
      <c r="KH70" s="37">
        <f t="shared" si="1589"/>
        <v>0.5</v>
      </c>
      <c r="KI70" s="37">
        <f>KI59+KI69</f>
        <v>71</v>
      </c>
      <c r="KJ70" s="39"/>
      <c r="KK70" s="10"/>
      <c r="KL70" s="10"/>
      <c r="KM70" s="10"/>
      <c r="KN70" s="10"/>
      <c r="KO70" s="10"/>
      <c r="KP70" s="10"/>
      <c r="KQ70" s="10"/>
      <c r="KR70" s="10"/>
      <c r="KS70" s="10"/>
      <c r="KT70" s="10"/>
      <c r="KU70" s="10"/>
      <c r="KV70" s="10"/>
      <c r="KW70" s="10"/>
      <c r="KX70" s="10"/>
      <c r="KY70" s="10"/>
      <c r="KZ70" s="10"/>
      <c r="LA70" s="10"/>
      <c r="LB70" s="10"/>
      <c r="LC70" s="10"/>
      <c r="LD70" s="10"/>
    </row>
    <row r="71" spans="1:316" ht="15.75" customHeight="1" x14ac:dyDescent="0.25">
      <c r="A71" s="50" t="s">
        <v>55</v>
      </c>
      <c r="B71" s="43" t="s">
        <v>56</v>
      </c>
      <c r="C71" s="44" t="s">
        <v>53</v>
      </c>
      <c r="D71" s="44"/>
      <c r="E71" s="45">
        <f>E47+E70</f>
        <v>216</v>
      </c>
      <c r="F71" s="46"/>
      <c r="G71" s="51">
        <f>G47+G70</f>
        <v>177</v>
      </c>
      <c r="H71" s="51"/>
      <c r="I71" s="51">
        <f>I47+I70</f>
        <v>71</v>
      </c>
      <c r="J71" s="51"/>
      <c r="K71" s="51">
        <f>K47+K70</f>
        <v>33</v>
      </c>
      <c r="L71" s="51"/>
      <c r="M71" s="51">
        <f>M47+M70</f>
        <v>3</v>
      </c>
      <c r="N71" s="51"/>
      <c r="O71" s="51">
        <f>O47+O70</f>
        <v>1</v>
      </c>
      <c r="P71" s="51"/>
      <c r="Q71" s="45">
        <f>Q47+Q70</f>
        <v>14</v>
      </c>
      <c r="R71" s="45"/>
      <c r="S71" s="45">
        <f>S47+S70</f>
        <v>12</v>
      </c>
      <c r="T71" s="45"/>
      <c r="U71" s="45">
        <f>U47+U70</f>
        <v>9</v>
      </c>
      <c r="V71" s="45"/>
      <c r="W71" s="51">
        <f>W47+W70</f>
        <v>18</v>
      </c>
      <c r="X71" s="51"/>
      <c r="Y71" s="51">
        <f>Y47+Y70</f>
        <v>7</v>
      </c>
      <c r="Z71" s="51"/>
      <c r="AA71" s="51">
        <f>AA47+AA70</f>
        <v>24</v>
      </c>
      <c r="AB71" s="51"/>
      <c r="AC71" s="51">
        <f>AC47+AC70</f>
        <v>5</v>
      </c>
      <c r="AD71" s="51"/>
      <c r="AE71" s="47">
        <f t="shared" ref="AE71:AG71" si="1590">AVERAGE(AE3:AE11,AE13:AE21,AE26:AE34,AE36:AE44,AE50:AE58,AE60:AE68)</f>
        <v>-0.5</v>
      </c>
      <c r="AF71" s="47">
        <f t="shared" si="1590"/>
        <v>-0.6</v>
      </c>
      <c r="AG71" s="47">
        <f t="shared" si="1590"/>
        <v>-1.25</v>
      </c>
      <c r="AH71" s="52">
        <f>AH47+AH70</f>
        <v>117</v>
      </c>
      <c r="AI71" s="53"/>
      <c r="AJ71" s="54">
        <f>AJ47+AJ70</f>
        <v>248</v>
      </c>
      <c r="AK71" s="51"/>
      <c r="AL71" s="51">
        <f>AL47+AL70</f>
        <v>97</v>
      </c>
      <c r="AM71" s="51"/>
      <c r="AN71" s="51">
        <f>AN47+AN70</f>
        <v>28</v>
      </c>
      <c r="AO71" s="51"/>
      <c r="AP71" s="51">
        <f>AP47+AP70</f>
        <v>8</v>
      </c>
      <c r="AQ71" s="51"/>
      <c r="AR71" s="51">
        <f>AR47+AR70</f>
        <v>4</v>
      </c>
      <c r="AS71" s="51"/>
      <c r="AT71" s="45">
        <f>AT47+AT70</f>
        <v>28</v>
      </c>
      <c r="AU71" s="45"/>
      <c r="AV71" s="45">
        <f>AV47+AV70</f>
        <v>12</v>
      </c>
      <c r="AW71" s="45"/>
      <c r="AX71" s="45">
        <f>AX47+AX70</f>
        <v>10</v>
      </c>
      <c r="AY71" s="45"/>
      <c r="AZ71" s="51">
        <f>AZ47+AZ70</f>
        <v>0</v>
      </c>
      <c r="BA71" s="51"/>
      <c r="BB71" s="51">
        <f>BB47+BB70</f>
        <v>17</v>
      </c>
      <c r="BC71" s="51"/>
      <c r="BD71" s="51">
        <f>BD47+BD70</f>
        <v>31</v>
      </c>
      <c r="BE71" s="51"/>
      <c r="BF71" s="51">
        <f>BF47+BF70</f>
        <v>6</v>
      </c>
      <c r="BG71" s="51"/>
      <c r="BH71" s="47">
        <f t="shared" ref="BH71:BJ71" si="1591">AVERAGE(BH3:BH11,BH13:BH21,BH26:BH34,BH36:BH44,BH50:BH58,BH60:BH68)</f>
        <v>0.5</v>
      </c>
      <c r="BI71" s="47">
        <f t="shared" si="1591"/>
        <v>0.6333333333333333</v>
      </c>
      <c r="BJ71" s="47">
        <f t="shared" si="1591"/>
        <v>0.58333333333333337</v>
      </c>
      <c r="BK71" s="52">
        <f>BK47+BK70</f>
        <v>212</v>
      </c>
      <c r="BL71" s="53"/>
      <c r="BM71" s="54">
        <f>BM47+BM70</f>
        <v>304</v>
      </c>
      <c r="BN71" s="51"/>
      <c r="BO71" s="51">
        <f>BO47+BO70</f>
        <v>113</v>
      </c>
      <c r="BP71" s="51"/>
      <c r="BQ71" s="51">
        <f>BQ47+BQ70</f>
        <v>8</v>
      </c>
      <c r="BR71" s="51"/>
      <c r="BS71" s="51">
        <f>BS47+BS70</f>
        <v>4</v>
      </c>
      <c r="BT71" s="51"/>
      <c r="BU71" s="51">
        <f>BU47+BU70</f>
        <v>1</v>
      </c>
      <c r="BV71" s="51"/>
      <c r="BW71" s="45">
        <f>BW47+BW70</f>
        <v>10</v>
      </c>
      <c r="BX71" s="45"/>
      <c r="BY71" s="45">
        <f>BY47+BY70</f>
        <v>16</v>
      </c>
      <c r="BZ71" s="45"/>
      <c r="CA71" s="45">
        <f>CA47+CA70</f>
        <v>27</v>
      </c>
      <c r="CB71" s="45"/>
      <c r="CC71" s="51">
        <f>CC47+CC70</f>
        <v>0</v>
      </c>
      <c r="CD71" s="51"/>
      <c r="CE71" s="51">
        <f>CE47+CE70</f>
        <v>9</v>
      </c>
      <c r="CF71" s="51"/>
      <c r="CG71" s="51">
        <f>CG47+CG70</f>
        <v>31</v>
      </c>
      <c r="CH71" s="51"/>
      <c r="CI71" s="51">
        <f>CI47+CI70</f>
        <v>14</v>
      </c>
      <c r="CJ71" s="51"/>
      <c r="CK71" s="47">
        <f t="shared" ref="CK71:CM71" si="1592">AVERAGE(CK3:CK11,CK13:CK21,CK26:CK34,CK36:CK44,CK50:CK58,CK60:CK68)</f>
        <v>1.1666666666666667</v>
      </c>
      <c r="CL71" s="47">
        <f t="shared" si="1592"/>
        <v>1.8</v>
      </c>
      <c r="CM71" s="47">
        <f t="shared" si="1592"/>
        <v>1.6666666666666667</v>
      </c>
      <c r="CN71" s="52">
        <f>CN47+CN70</f>
        <v>232</v>
      </c>
      <c r="CO71" s="53"/>
      <c r="CP71" s="54">
        <f>CP47+CP70</f>
        <v>285</v>
      </c>
      <c r="CQ71" s="51"/>
      <c r="CR71" s="51">
        <f>CR47+CR70</f>
        <v>110</v>
      </c>
      <c r="CS71" s="51"/>
      <c r="CT71" s="51">
        <f>CT47+CT70</f>
        <v>10</v>
      </c>
      <c r="CU71" s="51"/>
      <c r="CV71" s="51">
        <f>CV47+CV70</f>
        <v>6</v>
      </c>
      <c r="CW71" s="51"/>
      <c r="CX71" s="51">
        <f>CX47+CX70</f>
        <v>0</v>
      </c>
      <c r="CY71" s="51"/>
      <c r="CZ71" s="45">
        <f>CZ47+CZ70</f>
        <v>12</v>
      </c>
      <c r="DA71" s="45"/>
      <c r="DB71" s="45">
        <f>DB47+DB70</f>
        <v>22</v>
      </c>
      <c r="DC71" s="45"/>
      <c r="DD71" s="45">
        <f>DD47+DD70</f>
        <v>20</v>
      </c>
      <c r="DE71" s="45"/>
      <c r="DF71" s="51">
        <f>DF47+DF70</f>
        <v>0</v>
      </c>
      <c r="DG71" s="51"/>
      <c r="DH71" s="51">
        <f>DH47+DH70</f>
        <v>11</v>
      </c>
      <c r="DI71" s="51"/>
      <c r="DJ71" s="51">
        <f>DJ47+DJ70</f>
        <v>30</v>
      </c>
      <c r="DK71" s="51"/>
      <c r="DL71" s="51">
        <f>DL47+DL70</f>
        <v>13</v>
      </c>
      <c r="DM71" s="51"/>
      <c r="DN71" s="47">
        <f t="shared" ref="DN71:DP71" si="1593">AVERAGE(DN3:DN11,DN13:DN21,DN26:DN34,DN36:DN44,DN50:DN58,DN60:DN68)</f>
        <v>1.25</v>
      </c>
      <c r="DO71" s="47">
        <f t="shared" si="1593"/>
        <v>1.2666666666666666</v>
      </c>
      <c r="DP71" s="47">
        <f t="shared" si="1593"/>
        <v>1.3333333333333333</v>
      </c>
      <c r="DQ71" s="52">
        <f>DQ47+DQ70</f>
        <v>216</v>
      </c>
      <c r="DR71" s="55"/>
      <c r="DS71" s="54">
        <f>DS47+DS70</f>
        <v>418</v>
      </c>
      <c r="DT71" s="51"/>
      <c r="DU71" s="51">
        <f>DU47+DU70</f>
        <v>102</v>
      </c>
      <c r="DV71" s="51"/>
      <c r="DW71" s="51">
        <f>DW47+DW70</f>
        <v>1</v>
      </c>
      <c r="DX71" s="51"/>
      <c r="DY71" s="51">
        <f>DY47+DY70</f>
        <v>0</v>
      </c>
      <c r="DZ71" s="51"/>
      <c r="EA71" s="51">
        <f>EA47+EA70</f>
        <v>0</v>
      </c>
      <c r="EB71" s="51"/>
      <c r="EC71" s="45">
        <f>EC47+EC70</f>
        <v>1</v>
      </c>
      <c r="ED71" s="45"/>
      <c r="EE71" s="45">
        <f>EE47+EE70</f>
        <v>2</v>
      </c>
      <c r="EF71" s="45"/>
      <c r="EG71" s="45">
        <f>EG47+EG70</f>
        <v>51</v>
      </c>
      <c r="EH71" s="45"/>
      <c r="EI71" s="51">
        <f>EI47+EI70</f>
        <v>0</v>
      </c>
      <c r="EJ71" s="51"/>
      <c r="EK71" s="51">
        <f>EK47+EK70</f>
        <v>2</v>
      </c>
      <c r="EL71" s="51"/>
      <c r="EM71" s="51">
        <f>EM47+EM70</f>
        <v>39</v>
      </c>
      <c r="EN71" s="51"/>
      <c r="EO71" s="51">
        <f>EO47+EO70</f>
        <v>13</v>
      </c>
      <c r="EP71" s="51"/>
      <c r="EQ71" s="47">
        <f t="shared" ref="EQ71:ES71" si="1594">AVERAGE(EQ3:EQ11,EQ13:EQ21,EQ26:EQ34,EQ36:EQ44,EQ50:EQ58,EQ60:EQ68)</f>
        <v>2.75</v>
      </c>
      <c r="ER71" s="47">
        <f t="shared" si="1594"/>
        <v>3.9666666666666668</v>
      </c>
      <c r="ES71" s="47">
        <f t="shared" si="1594"/>
        <v>4.166666666666667</v>
      </c>
      <c r="ET71" s="52">
        <f>ET47+ET70</f>
        <v>256</v>
      </c>
      <c r="EU71" s="55"/>
      <c r="EV71" s="54">
        <f>EV47+EV70</f>
        <v>304</v>
      </c>
      <c r="EW71" s="51"/>
      <c r="EX71" s="51">
        <f>EX47+EX70</f>
        <v>113</v>
      </c>
      <c r="EY71" s="51"/>
      <c r="EZ71" s="51">
        <f>EZ47+EZ70</f>
        <v>10</v>
      </c>
      <c r="FA71" s="51"/>
      <c r="FB71" s="51">
        <f>FB47+FB70</f>
        <v>1</v>
      </c>
      <c r="FC71" s="51"/>
      <c r="FD71" s="51">
        <f>FD47+FD70</f>
        <v>2</v>
      </c>
      <c r="FE71" s="51"/>
      <c r="FF71" s="45">
        <f>FF47+FF70</f>
        <v>5</v>
      </c>
      <c r="FG71" s="45"/>
      <c r="FH71" s="45">
        <f>FH47+FH70</f>
        <v>19</v>
      </c>
      <c r="FI71" s="45"/>
      <c r="FJ71" s="45">
        <f>FJ47+FJ70</f>
        <v>28</v>
      </c>
      <c r="FK71" s="45"/>
      <c r="FL71" s="51">
        <f>FL47+FL70</f>
        <v>0</v>
      </c>
      <c r="FM71" s="51"/>
      <c r="FN71" s="51">
        <f>FN47+FN70</f>
        <v>7</v>
      </c>
      <c r="FO71" s="51"/>
      <c r="FP71" s="51">
        <f>FP47+FP70</f>
        <v>35</v>
      </c>
      <c r="FQ71" s="51"/>
      <c r="FR71" s="51">
        <f>FR47+FR70</f>
        <v>12</v>
      </c>
      <c r="FS71" s="51"/>
      <c r="FT71" s="47">
        <f t="shared" ref="FT71:FV71" si="1595">AVERAGE(FT3:FT11,FT13:FT21,FT26:FT34,FT36:FT44,FT50:FT58,FT60:FT68)</f>
        <v>1.75</v>
      </c>
      <c r="FU71" s="47">
        <f t="shared" si="1595"/>
        <v>1.6666666666666667</v>
      </c>
      <c r="FV71" s="47">
        <f t="shared" si="1595"/>
        <v>1.4166666666666667</v>
      </c>
      <c r="FW71" s="52">
        <f>FW47+FW70</f>
        <v>223</v>
      </c>
      <c r="FX71" s="55"/>
      <c r="FY71" s="54">
        <f>FY47+FY70</f>
        <v>392</v>
      </c>
      <c r="FZ71" s="51"/>
      <c r="GA71" s="51">
        <f>GA47+GA70</f>
        <v>128</v>
      </c>
      <c r="GB71" s="51"/>
      <c r="GC71" s="51">
        <f>GC47+GC70</f>
        <v>2</v>
      </c>
      <c r="GD71" s="51"/>
      <c r="GE71" s="51">
        <f>GE47+GE70</f>
        <v>0</v>
      </c>
      <c r="GF71" s="51"/>
      <c r="GG71" s="51">
        <f>GG47+GG70</f>
        <v>0</v>
      </c>
      <c r="GH71" s="51"/>
      <c r="GI71" s="45">
        <f>GI47+GI70</f>
        <v>0</v>
      </c>
      <c r="GJ71" s="45"/>
      <c r="GK71" s="45">
        <f>GK47+GK70</f>
        <v>6</v>
      </c>
      <c r="GL71" s="45"/>
      <c r="GM71" s="45">
        <f>GM47+GM70</f>
        <v>48</v>
      </c>
      <c r="GN71" s="45"/>
      <c r="GO71" s="51">
        <f>GO47+GO70</f>
        <v>0</v>
      </c>
      <c r="GP71" s="51"/>
      <c r="GQ71" s="51">
        <f>GQ47+GQ70</f>
        <v>2</v>
      </c>
      <c r="GR71" s="51"/>
      <c r="GS71" s="51">
        <f>GS47+GS70</f>
        <v>30</v>
      </c>
      <c r="GT71" s="51"/>
      <c r="GU71" s="51">
        <f>GU47+GU70</f>
        <v>22</v>
      </c>
      <c r="GV71" s="51"/>
      <c r="GW71" s="47">
        <f t="shared" ref="GW71:GY71" si="1596">AVERAGE(GW3:GW11,GW13:GW21,GW26:GW34,GW36:GW44,GW50:GW58,GW60:GW68)</f>
        <v>2.3333333333333335</v>
      </c>
      <c r="GX71" s="47">
        <f t="shared" si="1596"/>
        <v>3.6333333333333333</v>
      </c>
      <c r="GY71" s="47">
        <f t="shared" si="1596"/>
        <v>3.25</v>
      </c>
      <c r="GZ71" s="52">
        <f>GZ47+GZ70</f>
        <v>230</v>
      </c>
      <c r="HA71" s="55"/>
      <c r="HB71" s="54">
        <f>HB47+HB70</f>
        <v>288</v>
      </c>
      <c r="HC71" s="51"/>
      <c r="HD71" s="51">
        <f>HD47+HD70</f>
        <v>115</v>
      </c>
      <c r="HE71" s="51"/>
      <c r="HF71" s="51">
        <f>HF47+HF70</f>
        <v>18</v>
      </c>
      <c r="HG71" s="51"/>
      <c r="HH71" s="51">
        <f>HH47+HH70</f>
        <v>4</v>
      </c>
      <c r="HI71" s="51"/>
      <c r="HJ71" s="51">
        <f>HJ47+HJ70</f>
        <v>0</v>
      </c>
      <c r="HK71" s="51"/>
      <c r="HL71" s="45">
        <f>HL47+HL70</f>
        <v>13</v>
      </c>
      <c r="HM71" s="45"/>
      <c r="HN71" s="45">
        <f>HN47+HN70</f>
        <v>24</v>
      </c>
      <c r="HO71" s="45"/>
      <c r="HP71" s="45">
        <f>HP47+HP70</f>
        <v>17</v>
      </c>
      <c r="HQ71" s="45"/>
      <c r="HR71" s="51">
        <f>HR47+HR70</f>
        <v>0</v>
      </c>
      <c r="HS71" s="51"/>
      <c r="HT71" s="51">
        <f>HT47+HT70</f>
        <v>6</v>
      </c>
      <c r="HU71" s="51"/>
      <c r="HV71" s="51">
        <f>HV47+HV70</f>
        <v>35</v>
      </c>
      <c r="HW71" s="51"/>
      <c r="HX71" s="51">
        <f>HX47+HX70</f>
        <v>13</v>
      </c>
      <c r="HY71" s="51"/>
      <c r="HZ71" s="47">
        <f t="shared" ref="HZ71:IB71" si="1597">AVERAGE(HZ3:HZ11,HZ13:HZ21,HZ26:HZ34,HZ36:HZ44,HZ50:HZ58,HZ60:HZ68)</f>
        <v>0.91666666666666663</v>
      </c>
      <c r="IA71" s="47">
        <f t="shared" si="1597"/>
        <v>1.3666666666666667</v>
      </c>
      <c r="IB71" s="47">
        <f t="shared" si="1597"/>
        <v>1.6666666666666667</v>
      </c>
      <c r="IC71" s="52">
        <f>IC47+IC70</f>
        <v>234</v>
      </c>
      <c r="ID71" s="55"/>
      <c r="IE71" s="54">
        <f>IE70</f>
        <v>131</v>
      </c>
      <c r="IF71" s="51"/>
      <c r="IG71" s="51">
        <f>IG70</f>
        <v>51</v>
      </c>
      <c r="IH71" s="51"/>
      <c r="II71" s="51">
        <f>II70</f>
        <v>1</v>
      </c>
      <c r="IJ71" s="51"/>
      <c r="IK71" s="51">
        <f>IK70</f>
        <v>0</v>
      </c>
      <c r="IL71" s="51"/>
      <c r="IM71" s="51">
        <f>IM70</f>
        <v>0</v>
      </c>
      <c r="IN71" s="51"/>
      <c r="IO71" s="51">
        <f>IO70</f>
        <v>0</v>
      </c>
      <c r="IP71" s="45"/>
      <c r="IQ71" s="51">
        <f>IQ70</f>
        <v>3</v>
      </c>
      <c r="IR71" s="45"/>
      <c r="IS71" s="51">
        <f>IS70</f>
        <v>15</v>
      </c>
      <c r="IT71" s="45"/>
      <c r="IU71" s="51">
        <f>IU70</f>
        <v>0</v>
      </c>
      <c r="IV71" s="51"/>
      <c r="IW71" s="51">
        <f>IW70</f>
        <v>0</v>
      </c>
      <c r="IX71" s="51"/>
      <c r="IY71" s="51">
        <f>IY70</f>
        <v>7</v>
      </c>
      <c r="IZ71" s="51"/>
      <c r="JA71" s="51">
        <f>JA70</f>
        <v>11</v>
      </c>
      <c r="JB71" s="51"/>
      <c r="JC71" s="47">
        <f t="shared" ref="JC71:JE71" si="1598">AVERAGE(JC50:JC58,JC60:JC68)</f>
        <v>2.25</v>
      </c>
      <c r="JD71" s="47">
        <f t="shared" si="1598"/>
        <v>3.6</v>
      </c>
      <c r="JE71" s="47">
        <f t="shared" si="1598"/>
        <v>3.5</v>
      </c>
      <c r="JF71" s="52">
        <f>JF70</f>
        <v>77</v>
      </c>
      <c r="JG71" s="55"/>
      <c r="JH71" s="54">
        <f>JH70</f>
        <v>85</v>
      </c>
      <c r="JI71" s="51"/>
      <c r="JJ71" s="51">
        <f>JJ70</f>
        <v>34</v>
      </c>
      <c r="JK71" s="51"/>
      <c r="JL71" s="51">
        <f>JL70</f>
        <v>8</v>
      </c>
      <c r="JM71" s="51"/>
      <c r="JN71" s="51">
        <f>JN70</f>
        <v>1</v>
      </c>
      <c r="JO71" s="51"/>
      <c r="JP71" s="51">
        <f>JP70</f>
        <v>2</v>
      </c>
      <c r="JQ71" s="51"/>
      <c r="JR71" s="51">
        <f>JR70</f>
        <v>7</v>
      </c>
      <c r="JS71" s="45"/>
      <c r="JT71" s="51">
        <f>JT70</f>
        <v>4</v>
      </c>
      <c r="JU71" s="45"/>
      <c r="JV71" s="51">
        <f>JV70</f>
        <v>5</v>
      </c>
      <c r="JW71" s="45"/>
      <c r="JX71" s="51">
        <f>JX70</f>
        <v>0</v>
      </c>
      <c r="JY71" s="51"/>
      <c r="JZ71" s="51">
        <f>JZ70</f>
        <v>3</v>
      </c>
      <c r="KA71" s="51"/>
      <c r="KB71" s="51">
        <f>KB70</f>
        <v>14</v>
      </c>
      <c r="KC71" s="51"/>
      <c r="KD71" s="51">
        <f>KD70</f>
        <v>1</v>
      </c>
      <c r="KE71" s="51"/>
      <c r="KF71" s="47">
        <f t="shared" ref="KF71:KH71" si="1599">AVERAGE(KF50:KF58,KF60:KF68)</f>
        <v>0.5</v>
      </c>
      <c r="KG71" s="47">
        <f t="shared" si="1599"/>
        <v>0.9</v>
      </c>
      <c r="KH71" s="47">
        <f t="shared" si="1599"/>
        <v>0.5</v>
      </c>
      <c r="KI71" s="52">
        <f>KI70</f>
        <v>71</v>
      </c>
      <c r="KJ71" s="55"/>
      <c r="KK71" s="6"/>
      <c r="KL71" s="6"/>
      <c r="KM71" s="6"/>
      <c r="KN71" s="6"/>
      <c r="KO71" s="6"/>
      <c r="KP71" s="6"/>
      <c r="KQ71" s="6"/>
      <c r="KR71" s="6"/>
      <c r="KS71" s="6"/>
      <c r="KT71" s="6"/>
      <c r="KU71" s="6"/>
      <c r="KV71" s="6"/>
      <c r="KW71" s="6"/>
      <c r="KX71" s="6"/>
      <c r="KY71" s="6"/>
      <c r="KZ71" s="6"/>
      <c r="LA71" s="6"/>
      <c r="LB71" s="6"/>
      <c r="LC71" s="6"/>
      <c r="LD71" s="6"/>
    </row>
    <row r="72" spans="1:316" ht="15.75" customHeight="1" x14ac:dyDescent="0.25">
      <c r="A72" s="110" t="s">
        <v>57</v>
      </c>
      <c r="B72" s="99" t="s">
        <v>1</v>
      </c>
      <c r="C72" s="100"/>
      <c r="D72" s="100"/>
      <c r="E72" s="100"/>
      <c r="F72" s="111"/>
      <c r="G72" s="99" t="s">
        <v>2</v>
      </c>
      <c r="H72" s="100"/>
      <c r="I72" s="100"/>
      <c r="J72" s="100"/>
      <c r="K72" s="100"/>
      <c r="L72" s="100"/>
      <c r="M72" s="100"/>
      <c r="N72" s="100"/>
      <c r="O72" s="100"/>
      <c r="P72" s="100"/>
      <c r="Q72" s="100"/>
      <c r="R72" s="100"/>
      <c r="S72" s="100"/>
      <c r="T72" s="100"/>
      <c r="U72" s="100"/>
      <c r="V72" s="100"/>
      <c r="W72" s="100"/>
      <c r="X72" s="100"/>
      <c r="Y72" s="100"/>
      <c r="Z72" s="100"/>
      <c r="AA72" s="100"/>
      <c r="AB72" s="100"/>
      <c r="AC72" s="100"/>
      <c r="AD72" s="100"/>
      <c r="AE72" s="100"/>
      <c r="AF72" s="100"/>
      <c r="AG72" s="100"/>
      <c r="AH72" s="100"/>
      <c r="AI72" s="111"/>
      <c r="AJ72" s="99" t="s">
        <v>3</v>
      </c>
      <c r="AK72" s="100"/>
      <c r="AL72" s="100"/>
      <c r="AM72" s="100"/>
      <c r="AN72" s="100"/>
      <c r="AO72" s="100"/>
      <c r="AP72" s="100"/>
      <c r="AQ72" s="100"/>
      <c r="AR72" s="100"/>
      <c r="AS72" s="100"/>
      <c r="AT72" s="100"/>
      <c r="AU72" s="100"/>
      <c r="AV72" s="100"/>
      <c r="AW72" s="100"/>
      <c r="AX72" s="100"/>
      <c r="AY72" s="100"/>
      <c r="AZ72" s="100"/>
      <c r="BA72" s="100"/>
      <c r="BB72" s="100"/>
      <c r="BC72" s="100"/>
      <c r="BD72" s="100"/>
      <c r="BE72" s="100"/>
      <c r="BF72" s="100"/>
      <c r="BG72" s="100"/>
      <c r="BH72" s="100"/>
      <c r="BI72" s="100"/>
      <c r="BJ72" s="100"/>
      <c r="BK72" s="100"/>
      <c r="BL72" s="111"/>
      <c r="BM72" s="99" t="s">
        <v>4</v>
      </c>
      <c r="BN72" s="100"/>
      <c r="BO72" s="100"/>
      <c r="BP72" s="100"/>
      <c r="BQ72" s="100"/>
      <c r="BR72" s="100"/>
      <c r="BS72" s="100"/>
      <c r="BT72" s="100"/>
      <c r="BU72" s="100"/>
      <c r="BV72" s="100"/>
      <c r="BW72" s="100"/>
      <c r="BX72" s="100"/>
      <c r="BY72" s="100"/>
      <c r="BZ72" s="100"/>
      <c r="CA72" s="100"/>
      <c r="CB72" s="100"/>
      <c r="CC72" s="100"/>
      <c r="CD72" s="100"/>
      <c r="CE72" s="100"/>
      <c r="CF72" s="100"/>
      <c r="CG72" s="100"/>
      <c r="CH72" s="100"/>
      <c r="CI72" s="100"/>
      <c r="CJ72" s="100"/>
      <c r="CK72" s="100"/>
      <c r="CL72" s="100"/>
      <c r="CM72" s="100"/>
      <c r="CN72" s="100"/>
      <c r="CO72" s="111"/>
      <c r="CP72" s="99" t="s">
        <v>5</v>
      </c>
      <c r="CQ72" s="100"/>
      <c r="CR72" s="100"/>
      <c r="CS72" s="100"/>
      <c r="CT72" s="100"/>
      <c r="CU72" s="100"/>
      <c r="CV72" s="100"/>
      <c r="CW72" s="100"/>
      <c r="CX72" s="100"/>
      <c r="CY72" s="100"/>
      <c r="CZ72" s="100"/>
      <c r="DA72" s="100"/>
      <c r="DB72" s="100"/>
      <c r="DC72" s="100"/>
      <c r="DD72" s="100"/>
      <c r="DE72" s="100"/>
      <c r="DF72" s="100"/>
      <c r="DG72" s="100"/>
      <c r="DH72" s="100"/>
      <c r="DI72" s="100"/>
      <c r="DJ72" s="100"/>
      <c r="DK72" s="100"/>
      <c r="DL72" s="100"/>
      <c r="DM72" s="100"/>
      <c r="DN72" s="100"/>
      <c r="DO72" s="100"/>
      <c r="DP72" s="100"/>
      <c r="DQ72" s="100"/>
      <c r="DR72" s="101"/>
      <c r="DS72" s="99" t="s">
        <v>6</v>
      </c>
      <c r="DT72" s="100"/>
      <c r="DU72" s="100"/>
      <c r="DV72" s="100"/>
      <c r="DW72" s="100"/>
      <c r="DX72" s="100"/>
      <c r="DY72" s="100"/>
      <c r="DZ72" s="100"/>
      <c r="EA72" s="100"/>
      <c r="EB72" s="100"/>
      <c r="EC72" s="100"/>
      <c r="ED72" s="100"/>
      <c r="EE72" s="100"/>
      <c r="EF72" s="100"/>
      <c r="EG72" s="100"/>
      <c r="EH72" s="100"/>
      <c r="EI72" s="100"/>
      <c r="EJ72" s="100"/>
      <c r="EK72" s="100"/>
      <c r="EL72" s="100"/>
      <c r="EM72" s="100"/>
      <c r="EN72" s="100"/>
      <c r="EO72" s="100"/>
      <c r="EP72" s="100"/>
      <c r="EQ72" s="100"/>
      <c r="ER72" s="100"/>
      <c r="ES72" s="100"/>
      <c r="ET72" s="100"/>
      <c r="EU72" s="101"/>
      <c r="EV72" s="99" t="s">
        <v>7</v>
      </c>
      <c r="EW72" s="100"/>
      <c r="EX72" s="100"/>
      <c r="EY72" s="100"/>
      <c r="EZ72" s="100"/>
      <c r="FA72" s="100"/>
      <c r="FB72" s="100"/>
      <c r="FC72" s="100"/>
      <c r="FD72" s="100"/>
      <c r="FE72" s="100"/>
      <c r="FF72" s="100"/>
      <c r="FG72" s="100"/>
      <c r="FH72" s="100"/>
      <c r="FI72" s="100"/>
      <c r="FJ72" s="100"/>
      <c r="FK72" s="100"/>
      <c r="FL72" s="100"/>
      <c r="FM72" s="100"/>
      <c r="FN72" s="100"/>
      <c r="FO72" s="100"/>
      <c r="FP72" s="100"/>
      <c r="FQ72" s="100"/>
      <c r="FR72" s="100"/>
      <c r="FS72" s="100"/>
      <c r="FT72" s="100"/>
      <c r="FU72" s="100"/>
      <c r="FV72" s="100"/>
      <c r="FW72" s="100"/>
      <c r="FX72" s="101"/>
      <c r="FY72" s="99" t="s">
        <v>8</v>
      </c>
      <c r="FZ72" s="100"/>
      <c r="GA72" s="100"/>
      <c r="GB72" s="100"/>
      <c r="GC72" s="100"/>
      <c r="GD72" s="100"/>
      <c r="GE72" s="100"/>
      <c r="GF72" s="100"/>
      <c r="GG72" s="100"/>
      <c r="GH72" s="100"/>
      <c r="GI72" s="100"/>
      <c r="GJ72" s="100"/>
      <c r="GK72" s="100"/>
      <c r="GL72" s="100"/>
      <c r="GM72" s="100"/>
      <c r="GN72" s="100"/>
      <c r="GO72" s="100"/>
      <c r="GP72" s="100"/>
      <c r="GQ72" s="100"/>
      <c r="GR72" s="100"/>
      <c r="GS72" s="100"/>
      <c r="GT72" s="100"/>
      <c r="GU72" s="100"/>
      <c r="GV72" s="100"/>
      <c r="GW72" s="100"/>
      <c r="GX72" s="100"/>
      <c r="GY72" s="100"/>
      <c r="GZ72" s="100"/>
      <c r="HA72" s="101"/>
      <c r="HB72" s="99" t="s">
        <v>9</v>
      </c>
      <c r="HC72" s="100"/>
      <c r="HD72" s="100"/>
      <c r="HE72" s="100"/>
      <c r="HF72" s="100"/>
      <c r="HG72" s="100"/>
      <c r="HH72" s="100"/>
      <c r="HI72" s="100"/>
      <c r="HJ72" s="100"/>
      <c r="HK72" s="100"/>
      <c r="HL72" s="100"/>
      <c r="HM72" s="100"/>
      <c r="HN72" s="100"/>
      <c r="HO72" s="100"/>
      <c r="HP72" s="100"/>
      <c r="HQ72" s="100"/>
      <c r="HR72" s="100"/>
      <c r="HS72" s="100"/>
      <c r="HT72" s="100"/>
      <c r="HU72" s="100"/>
      <c r="HV72" s="100"/>
      <c r="HW72" s="100"/>
      <c r="HX72" s="100"/>
      <c r="HY72" s="100"/>
      <c r="HZ72" s="100"/>
      <c r="IA72" s="100"/>
      <c r="IB72" s="100"/>
      <c r="IC72" s="100"/>
      <c r="ID72" s="101"/>
      <c r="IE72" s="99" t="s">
        <v>10</v>
      </c>
      <c r="IF72" s="100"/>
      <c r="IG72" s="100"/>
      <c r="IH72" s="100"/>
      <c r="II72" s="100"/>
      <c r="IJ72" s="100"/>
      <c r="IK72" s="100"/>
      <c r="IL72" s="100"/>
      <c r="IM72" s="100"/>
      <c r="IN72" s="100"/>
      <c r="IO72" s="100"/>
      <c r="IP72" s="100"/>
      <c r="IQ72" s="100"/>
      <c r="IR72" s="100"/>
      <c r="IS72" s="100"/>
      <c r="IT72" s="100"/>
      <c r="IU72" s="100"/>
      <c r="IV72" s="100"/>
      <c r="IW72" s="100"/>
      <c r="IX72" s="100"/>
      <c r="IY72" s="100"/>
      <c r="IZ72" s="100"/>
      <c r="JA72" s="100"/>
      <c r="JB72" s="100"/>
      <c r="JC72" s="100"/>
      <c r="JD72" s="100"/>
      <c r="JE72" s="100"/>
      <c r="JF72" s="100"/>
      <c r="JG72" s="101"/>
      <c r="JH72" s="99" t="s">
        <v>11</v>
      </c>
      <c r="JI72" s="100"/>
      <c r="JJ72" s="100"/>
      <c r="JK72" s="100"/>
      <c r="JL72" s="100"/>
      <c r="JM72" s="100"/>
      <c r="JN72" s="100"/>
      <c r="JO72" s="100"/>
      <c r="JP72" s="100"/>
      <c r="JQ72" s="100"/>
      <c r="JR72" s="100"/>
      <c r="JS72" s="100"/>
      <c r="JT72" s="100"/>
      <c r="JU72" s="100"/>
      <c r="JV72" s="100"/>
      <c r="JW72" s="100"/>
      <c r="JX72" s="100"/>
      <c r="JY72" s="100"/>
      <c r="JZ72" s="100"/>
      <c r="KA72" s="100"/>
      <c r="KB72" s="100"/>
      <c r="KC72" s="100"/>
      <c r="KD72" s="100"/>
      <c r="KE72" s="100"/>
      <c r="KF72" s="100"/>
      <c r="KG72" s="100"/>
      <c r="KH72" s="100"/>
      <c r="KI72" s="100"/>
      <c r="KJ72" s="101"/>
      <c r="KK72" s="2"/>
      <c r="KL72" s="2"/>
      <c r="KM72" s="2"/>
      <c r="KN72" s="2"/>
      <c r="KO72" s="2"/>
      <c r="KP72" s="2"/>
      <c r="KQ72" s="2"/>
      <c r="KR72" s="2"/>
      <c r="KS72" s="2"/>
      <c r="KT72" s="2"/>
      <c r="KU72" s="2"/>
      <c r="KV72" s="2"/>
      <c r="KW72" s="2"/>
      <c r="KX72" s="2"/>
      <c r="KY72" s="2"/>
      <c r="KZ72" s="2"/>
      <c r="LA72" s="2"/>
      <c r="LB72" s="2"/>
      <c r="LC72" s="2"/>
      <c r="LD72" s="2"/>
    </row>
    <row r="73" spans="1:316" ht="15.75" customHeight="1" x14ac:dyDescent="0.25">
      <c r="A73" s="106"/>
      <c r="B73" s="1" t="s">
        <v>12</v>
      </c>
      <c r="C73" s="3" t="s">
        <v>13</v>
      </c>
      <c r="D73" s="3"/>
      <c r="E73" s="3" t="s">
        <v>15</v>
      </c>
      <c r="F73" s="23"/>
      <c r="G73" s="29" t="s">
        <v>17</v>
      </c>
      <c r="H73" s="3" t="s">
        <v>18</v>
      </c>
      <c r="I73" s="3" t="s">
        <v>19</v>
      </c>
      <c r="J73" s="3" t="s">
        <v>20</v>
      </c>
      <c r="K73" s="3" t="s">
        <v>21</v>
      </c>
      <c r="L73" s="3" t="s">
        <v>22</v>
      </c>
      <c r="M73" s="3" t="s">
        <v>23</v>
      </c>
      <c r="N73" s="3" t="s">
        <v>24</v>
      </c>
      <c r="O73" s="3" t="s">
        <v>25</v>
      </c>
      <c r="P73" s="3" t="s">
        <v>26</v>
      </c>
      <c r="Q73" s="6" t="s">
        <v>27</v>
      </c>
      <c r="R73" s="6" t="s">
        <v>28</v>
      </c>
      <c r="S73" s="6" t="s">
        <v>29</v>
      </c>
      <c r="T73" s="6" t="s">
        <v>30</v>
      </c>
      <c r="U73" s="6" t="s">
        <v>31</v>
      </c>
      <c r="V73" s="6" t="s">
        <v>32</v>
      </c>
      <c r="W73" s="6" t="s">
        <v>33</v>
      </c>
      <c r="X73" s="6" t="s">
        <v>34</v>
      </c>
      <c r="Y73" s="3" t="s">
        <v>35</v>
      </c>
      <c r="Z73" s="3" t="s">
        <v>36</v>
      </c>
      <c r="AA73" s="6" t="s">
        <v>37</v>
      </c>
      <c r="AB73" s="6" t="s">
        <v>38</v>
      </c>
      <c r="AC73" s="3" t="s">
        <v>39</v>
      </c>
      <c r="AD73" s="3" t="s">
        <v>40</v>
      </c>
      <c r="AE73" s="3" t="s">
        <v>41</v>
      </c>
      <c r="AF73" s="3" t="s">
        <v>42</v>
      </c>
      <c r="AG73" s="3" t="s">
        <v>43</v>
      </c>
      <c r="AH73" s="3" t="s">
        <v>44</v>
      </c>
      <c r="AI73" s="23" t="s">
        <v>45</v>
      </c>
      <c r="AJ73" s="29" t="s">
        <v>17</v>
      </c>
      <c r="AK73" s="3" t="s">
        <v>18</v>
      </c>
      <c r="AL73" s="3" t="s">
        <v>19</v>
      </c>
      <c r="AM73" s="3" t="s">
        <v>20</v>
      </c>
      <c r="AN73" s="3" t="s">
        <v>21</v>
      </c>
      <c r="AO73" s="3" t="s">
        <v>22</v>
      </c>
      <c r="AP73" s="3" t="s">
        <v>23</v>
      </c>
      <c r="AQ73" s="3" t="s">
        <v>24</v>
      </c>
      <c r="AR73" s="3" t="s">
        <v>25</v>
      </c>
      <c r="AS73" s="3" t="s">
        <v>26</v>
      </c>
      <c r="AT73" s="6" t="s">
        <v>27</v>
      </c>
      <c r="AU73" s="6" t="s">
        <v>28</v>
      </c>
      <c r="AV73" s="6" t="s">
        <v>29</v>
      </c>
      <c r="AW73" s="6" t="s">
        <v>30</v>
      </c>
      <c r="AX73" s="6" t="s">
        <v>31</v>
      </c>
      <c r="AY73" s="6" t="s">
        <v>32</v>
      </c>
      <c r="AZ73" s="6" t="s">
        <v>33</v>
      </c>
      <c r="BA73" s="6" t="s">
        <v>34</v>
      </c>
      <c r="BB73" s="3" t="s">
        <v>35</v>
      </c>
      <c r="BC73" s="3" t="s">
        <v>36</v>
      </c>
      <c r="BD73" s="6" t="s">
        <v>37</v>
      </c>
      <c r="BE73" s="6" t="s">
        <v>38</v>
      </c>
      <c r="BF73" s="3" t="s">
        <v>39</v>
      </c>
      <c r="BG73" s="3" t="s">
        <v>40</v>
      </c>
      <c r="BH73" s="3" t="s">
        <v>41</v>
      </c>
      <c r="BI73" s="3" t="s">
        <v>42</v>
      </c>
      <c r="BJ73" s="3" t="s">
        <v>43</v>
      </c>
      <c r="BK73" s="3" t="s">
        <v>44</v>
      </c>
      <c r="BL73" s="23" t="s">
        <v>45</v>
      </c>
      <c r="BM73" s="29" t="s">
        <v>17</v>
      </c>
      <c r="BN73" s="3" t="s">
        <v>18</v>
      </c>
      <c r="BO73" s="3" t="s">
        <v>19</v>
      </c>
      <c r="BP73" s="3" t="s">
        <v>20</v>
      </c>
      <c r="BQ73" s="3" t="s">
        <v>21</v>
      </c>
      <c r="BR73" s="3" t="s">
        <v>22</v>
      </c>
      <c r="BS73" s="3" t="s">
        <v>23</v>
      </c>
      <c r="BT73" s="3" t="s">
        <v>24</v>
      </c>
      <c r="BU73" s="3" t="s">
        <v>25</v>
      </c>
      <c r="BV73" s="3" t="s">
        <v>26</v>
      </c>
      <c r="BW73" s="6" t="s">
        <v>27</v>
      </c>
      <c r="BX73" s="6" t="s">
        <v>28</v>
      </c>
      <c r="BY73" s="6" t="s">
        <v>29</v>
      </c>
      <c r="BZ73" s="6" t="s">
        <v>30</v>
      </c>
      <c r="CA73" s="6" t="s">
        <v>31</v>
      </c>
      <c r="CB73" s="6" t="s">
        <v>32</v>
      </c>
      <c r="CC73" s="6" t="s">
        <v>33</v>
      </c>
      <c r="CD73" s="6" t="s">
        <v>34</v>
      </c>
      <c r="CE73" s="3" t="s">
        <v>35</v>
      </c>
      <c r="CF73" s="3" t="s">
        <v>36</v>
      </c>
      <c r="CG73" s="6" t="s">
        <v>37</v>
      </c>
      <c r="CH73" s="6" t="s">
        <v>38</v>
      </c>
      <c r="CI73" s="3" t="s">
        <v>39</v>
      </c>
      <c r="CJ73" s="3" t="s">
        <v>40</v>
      </c>
      <c r="CK73" s="3" t="s">
        <v>41</v>
      </c>
      <c r="CL73" s="3" t="s">
        <v>42</v>
      </c>
      <c r="CM73" s="3" t="s">
        <v>43</v>
      </c>
      <c r="CN73" s="3" t="s">
        <v>44</v>
      </c>
      <c r="CO73" s="23" t="s">
        <v>45</v>
      </c>
      <c r="CP73" s="29" t="s">
        <v>17</v>
      </c>
      <c r="CQ73" s="3" t="s">
        <v>18</v>
      </c>
      <c r="CR73" s="3" t="s">
        <v>19</v>
      </c>
      <c r="CS73" s="3" t="s">
        <v>20</v>
      </c>
      <c r="CT73" s="3" t="s">
        <v>21</v>
      </c>
      <c r="CU73" s="3" t="s">
        <v>22</v>
      </c>
      <c r="CV73" s="3" t="s">
        <v>23</v>
      </c>
      <c r="CW73" s="3" t="s">
        <v>24</v>
      </c>
      <c r="CX73" s="3" t="s">
        <v>25</v>
      </c>
      <c r="CY73" s="3" t="s">
        <v>26</v>
      </c>
      <c r="CZ73" s="6" t="s">
        <v>27</v>
      </c>
      <c r="DA73" s="6" t="s">
        <v>28</v>
      </c>
      <c r="DB73" s="6" t="s">
        <v>29</v>
      </c>
      <c r="DC73" s="6" t="s">
        <v>30</v>
      </c>
      <c r="DD73" s="6" t="s">
        <v>31</v>
      </c>
      <c r="DE73" s="6" t="s">
        <v>32</v>
      </c>
      <c r="DF73" s="6" t="s">
        <v>33</v>
      </c>
      <c r="DG73" s="6" t="s">
        <v>34</v>
      </c>
      <c r="DH73" s="3" t="s">
        <v>35</v>
      </c>
      <c r="DI73" s="3" t="s">
        <v>36</v>
      </c>
      <c r="DJ73" s="6" t="s">
        <v>37</v>
      </c>
      <c r="DK73" s="6" t="s">
        <v>38</v>
      </c>
      <c r="DL73" s="3" t="s">
        <v>39</v>
      </c>
      <c r="DM73" s="3" t="s">
        <v>40</v>
      </c>
      <c r="DN73" s="3" t="s">
        <v>41</v>
      </c>
      <c r="DO73" s="3" t="s">
        <v>42</v>
      </c>
      <c r="DP73" s="3" t="s">
        <v>43</v>
      </c>
      <c r="DQ73" s="3" t="s">
        <v>44</v>
      </c>
      <c r="DR73" s="30" t="s">
        <v>45</v>
      </c>
      <c r="DS73" s="29" t="s">
        <v>17</v>
      </c>
      <c r="DT73" s="3" t="s">
        <v>18</v>
      </c>
      <c r="DU73" s="3" t="s">
        <v>19</v>
      </c>
      <c r="DV73" s="3" t="s">
        <v>20</v>
      </c>
      <c r="DW73" s="3" t="s">
        <v>21</v>
      </c>
      <c r="DX73" s="3" t="s">
        <v>22</v>
      </c>
      <c r="DY73" s="3" t="s">
        <v>23</v>
      </c>
      <c r="DZ73" s="3" t="s">
        <v>24</v>
      </c>
      <c r="EA73" s="3" t="s">
        <v>25</v>
      </c>
      <c r="EB73" s="3" t="s">
        <v>26</v>
      </c>
      <c r="EC73" s="6" t="s">
        <v>27</v>
      </c>
      <c r="ED73" s="6" t="s">
        <v>28</v>
      </c>
      <c r="EE73" s="6" t="s">
        <v>29</v>
      </c>
      <c r="EF73" s="6" t="s">
        <v>30</v>
      </c>
      <c r="EG73" s="6" t="s">
        <v>31</v>
      </c>
      <c r="EH73" s="6" t="s">
        <v>32</v>
      </c>
      <c r="EI73" s="6" t="s">
        <v>33</v>
      </c>
      <c r="EJ73" s="6" t="s">
        <v>34</v>
      </c>
      <c r="EK73" s="3" t="s">
        <v>35</v>
      </c>
      <c r="EL73" s="3" t="s">
        <v>36</v>
      </c>
      <c r="EM73" s="6" t="s">
        <v>37</v>
      </c>
      <c r="EN73" s="6" t="s">
        <v>38</v>
      </c>
      <c r="EO73" s="3" t="s">
        <v>39</v>
      </c>
      <c r="EP73" s="3" t="s">
        <v>40</v>
      </c>
      <c r="EQ73" s="3" t="s">
        <v>41</v>
      </c>
      <c r="ER73" s="3" t="s">
        <v>42</v>
      </c>
      <c r="ES73" s="3" t="s">
        <v>43</v>
      </c>
      <c r="ET73" s="3" t="s">
        <v>44</v>
      </c>
      <c r="EU73" s="30" t="s">
        <v>45</v>
      </c>
      <c r="EV73" s="29" t="s">
        <v>17</v>
      </c>
      <c r="EW73" s="3" t="s">
        <v>18</v>
      </c>
      <c r="EX73" s="3" t="s">
        <v>19</v>
      </c>
      <c r="EY73" s="3" t="s">
        <v>20</v>
      </c>
      <c r="EZ73" s="3" t="s">
        <v>21</v>
      </c>
      <c r="FA73" s="3" t="s">
        <v>22</v>
      </c>
      <c r="FB73" s="3" t="s">
        <v>23</v>
      </c>
      <c r="FC73" s="3" t="s">
        <v>24</v>
      </c>
      <c r="FD73" s="3" t="s">
        <v>25</v>
      </c>
      <c r="FE73" s="3" t="s">
        <v>26</v>
      </c>
      <c r="FF73" s="6" t="s">
        <v>27</v>
      </c>
      <c r="FG73" s="6" t="s">
        <v>28</v>
      </c>
      <c r="FH73" s="6" t="s">
        <v>29</v>
      </c>
      <c r="FI73" s="6" t="s">
        <v>30</v>
      </c>
      <c r="FJ73" s="6" t="s">
        <v>31</v>
      </c>
      <c r="FK73" s="6" t="s">
        <v>32</v>
      </c>
      <c r="FL73" s="6" t="s">
        <v>33</v>
      </c>
      <c r="FM73" s="6" t="s">
        <v>34</v>
      </c>
      <c r="FN73" s="3" t="s">
        <v>35</v>
      </c>
      <c r="FO73" s="3" t="s">
        <v>36</v>
      </c>
      <c r="FP73" s="6" t="s">
        <v>37</v>
      </c>
      <c r="FQ73" s="6" t="s">
        <v>38</v>
      </c>
      <c r="FR73" s="3" t="s">
        <v>39</v>
      </c>
      <c r="FS73" s="3" t="s">
        <v>40</v>
      </c>
      <c r="FT73" s="3" t="s">
        <v>41</v>
      </c>
      <c r="FU73" s="3" t="s">
        <v>42</v>
      </c>
      <c r="FV73" s="3" t="s">
        <v>43</v>
      </c>
      <c r="FW73" s="3" t="s">
        <v>44</v>
      </c>
      <c r="FX73" s="30" t="s">
        <v>45</v>
      </c>
      <c r="FY73" s="29" t="s">
        <v>17</v>
      </c>
      <c r="FZ73" s="3" t="s">
        <v>18</v>
      </c>
      <c r="GA73" s="3" t="s">
        <v>19</v>
      </c>
      <c r="GB73" s="3" t="s">
        <v>20</v>
      </c>
      <c r="GC73" s="3" t="s">
        <v>21</v>
      </c>
      <c r="GD73" s="3" t="s">
        <v>22</v>
      </c>
      <c r="GE73" s="3" t="s">
        <v>23</v>
      </c>
      <c r="GF73" s="3" t="s">
        <v>24</v>
      </c>
      <c r="GG73" s="3" t="s">
        <v>25</v>
      </c>
      <c r="GH73" s="3" t="s">
        <v>26</v>
      </c>
      <c r="GI73" s="6" t="s">
        <v>27</v>
      </c>
      <c r="GJ73" s="6" t="s">
        <v>28</v>
      </c>
      <c r="GK73" s="6" t="s">
        <v>29</v>
      </c>
      <c r="GL73" s="6" t="s">
        <v>30</v>
      </c>
      <c r="GM73" s="6" t="s">
        <v>31</v>
      </c>
      <c r="GN73" s="6" t="s">
        <v>32</v>
      </c>
      <c r="GO73" s="6" t="s">
        <v>33</v>
      </c>
      <c r="GP73" s="6" t="s">
        <v>34</v>
      </c>
      <c r="GQ73" s="3" t="s">
        <v>35</v>
      </c>
      <c r="GR73" s="3" t="s">
        <v>36</v>
      </c>
      <c r="GS73" s="6" t="s">
        <v>37</v>
      </c>
      <c r="GT73" s="6" t="s">
        <v>38</v>
      </c>
      <c r="GU73" s="3" t="s">
        <v>39</v>
      </c>
      <c r="GV73" s="3" t="s">
        <v>40</v>
      </c>
      <c r="GW73" s="3" t="s">
        <v>41</v>
      </c>
      <c r="GX73" s="3" t="s">
        <v>42</v>
      </c>
      <c r="GY73" s="3" t="s">
        <v>43</v>
      </c>
      <c r="GZ73" s="3" t="s">
        <v>44</v>
      </c>
      <c r="HA73" s="30" t="s">
        <v>45</v>
      </c>
      <c r="HB73" s="29" t="s">
        <v>17</v>
      </c>
      <c r="HC73" s="3" t="s">
        <v>18</v>
      </c>
      <c r="HD73" s="3" t="s">
        <v>19</v>
      </c>
      <c r="HE73" s="3" t="s">
        <v>20</v>
      </c>
      <c r="HF73" s="3" t="s">
        <v>21</v>
      </c>
      <c r="HG73" s="3" t="s">
        <v>22</v>
      </c>
      <c r="HH73" s="3" t="s">
        <v>23</v>
      </c>
      <c r="HI73" s="3" t="s">
        <v>24</v>
      </c>
      <c r="HJ73" s="3" t="s">
        <v>25</v>
      </c>
      <c r="HK73" s="3" t="s">
        <v>26</v>
      </c>
      <c r="HL73" s="6" t="s">
        <v>27</v>
      </c>
      <c r="HM73" s="6" t="s">
        <v>28</v>
      </c>
      <c r="HN73" s="6" t="s">
        <v>29</v>
      </c>
      <c r="HO73" s="6" t="s">
        <v>30</v>
      </c>
      <c r="HP73" s="6" t="s">
        <v>31</v>
      </c>
      <c r="HQ73" s="6" t="s">
        <v>32</v>
      </c>
      <c r="HR73" s="6" t="s">
        <v>33</v>
      </c>
      <c r="HS73" s="6" t="s">
        <v>34</v>
      </c>
      <c r="HT73" s="3" t="s">
        <v>35</v>
      </c>
      <c r="HU73" s="3" t="s">
        <v>36</v>
      </c>
      <c r="HV73" s="6" t="s">
        <v>37</v>
      </c>
      <c r="HW73" s="6" t="s">
        <v>38</v>
      </c>
      <c r="HX73" s="3" t="s">
        <v>39</v>
      </c>
      <c r="HY73" s="3" t="s">
        <v>40</v>
      </c>
      <c r="HZ73" s="3" t="s">
        <v>41</v>
      </c>
      <c r="IA73" s="3" t="s">
        <v>42</v>
      </c>
      <c r="IB73" s="3" t="s">
        <v>43</v>
      </c>
      <c r="IC73" s="3" t="s">
        <v>44</v>
      </c>
      <c r="ID73" s="30" t="s">
        <v>45</v>
      </c>
      <c r="IE73" s="29" t="s">
        <v>17</v>
      </c>
      <c r="IF73" s="3" t="s">
        <v>18</v>
      </c>
      <c r="IG73" s="3" t="s">
        <v>19</v>
      </c>
      <c r="IH73" s="3" t="s">
        <v>20</v>
      </c>
      <c r="II73" s="3" t="s">
        <v>21</v>
      </c>
      <c r="IJ73" s="3" t="s">
        <v>22</v>
      </c>
      <c r="IK73" s="3" t="s">
        <v>23</v>
      </c>
      <c r="IL73" s="3" t="s">
        <v>24</v>
      </c>
      <c r="IM73" s="3" t="s">
        <v>25</v>
      </c>
      <c r="IN73" s="3" t="s">
        <v>26</v>
      </c>
      <c r="IO73" s="6" t="s">
        <v>27</v>
      </c>
      <c r="IP73" s="6" t="s">
        <v>28</v>
      </c>
      <c r="IQ73" s="6" t="s">
        <v>29</v>
      </c>
      <c r="IR73" s="6" t="s">
        <v>30</v>
      </c>
      <c r="IS73" s="6" t="s">
        <v>31</v>
      </c>
      <c r="IT73" s="6" t="s">
        <v>32</v>
      </c>
      <c r="IU73" s="6" t="s">
        <v>33</v>
      </c>
      <c r="IV73" s="6" t="s">
        <v>34</v>
      </c>
      <c r="IW73" s="3" t="s">
        <v>35</v>
      </c>
      <c r="IX73" s="3" t="s">
        <v>36</v>
      </c>
      <c r="IY73" s="6" t="s">
        <v>37</v>
      </c>
      <c r="IZ73" s="6" t="s">
        <v>38</v>
      </c>
      <c r="JA73" s="3" t="s">
        <v>39</v>
      </c>
      <c r="JB73" s="3" t="s">
        <v>40</v>
      </c>
      <c r="JC73" s="3" t="s">
        <v>41</v>
      </c>
      <c r="JD73" s="3" t="s">
        <v>42</v>
      </c>
      <c r="JE73" s="3" t="s">
        <v>43</v>
      </c>
      <c r="JF73" s="3" t="s">
        <v>44</v>
      </c>
      <c r="JG73" s="30" t="s">
        <v>45</v>
      </c>
      <c r="JH73" s="29" t="s">
        <v>17</v>
      </c>
      <c r="JI73" s="3" t="s">
        <v>18</v>
      </c>
      <c r="JJ73" s="3" t="s">
        <v>19</v>
      </c>
      <c r="JK73" s="3" t="s">
        <v>20</v>
      </c>
      <c r="JL73" s="3" t="s">
        <v>21</v>
      </c>
      <c r="JM73" s="3" t="s">
        <v>22</v>
      </c>
      <c r="JN73" s="3" t="s">
        <v>23</v>
      </c>
      <c r="JO73" s="3" t="s">
        <v>24</v>
      </c>
      <c r="JP73" s="3" t="s">
        <v>25</v>
      </c>
      <c r="JQ73" s="3" t="s">
        <v>26</v>
      </c>
      <c r="JR73" s="6" t="s">
        <v>27</v>
      </c>
      <c r="JS73" s="6" t="s">
        <v>28</v>
      </c>
      <c r="JT73" s="6" t="s">
        <v>29</v>
      </c>
      <c r="JU73" s="6" t="s">
        <v>30</v>
      </c>
      <c r="JV73" s="6" t="s">
        <v>31</v>
      </c>
      <c r="JW73" s="6" t="s">
        <v>32</v>
      </c>
      <c r="JX73" s="6" t="s">
        <v>33</v>
      </c>
      <c r="JY73" s="6" t="s">
        <v>34</v>
      </c>
      <c r="JZ73" s="3" t="s">
        <v>35</v>
      </c>
      <c r="KA73" s="3" t="s">
        <v>36</v>
      </c>
      <c r="KB73" s="6" t="s">
        <v>37</v>
      </c>
      <c r="KC73" s="6" t="s">
        <v>38</v>
      </c>
      <c r="KD73" s="3" t="s">
        <v>39</v>
      </c>
      <c r="KE73" s="3" t="s">
        <v>40</v>
      </c>
      <c r="KF73" s="3" t="s">
        <v>41</v>
      </c>
      <c r="KG73" s="3" t="s">
        <v>42</v>
      </c>
      <c r="KH73" s="3" t="s">
        <v>43</v>
      </c>
      <c r="KI73" s="3" t="s">
        <v>44</v>
      </c>
      <c r="KJ73" s="30" t="s">
        <v>45</v>
      </c>
      <c r="KK73" s="10"/>
      <c r="KL73" s="10"/>
      <c r="KM73" s="10"/>
      <c r="KN73" s="10"/>
      <c r="KO73" s="10"/>
      <c r="KP73" s="10"/>
      <c r="KQ73" s="10"/>
      <c r="KR73" s="10"/>
      <c r="KS73" s="10"/>
      <c r="KT73" s="10"/>
      <c r="KU73" s="10"/>
      <c r="KV73" s="10"/>
      <c r="KW73" s="10"/>
      <c r="KX73" s="10"/>
      <c r="KY73" s="10"/>
      <c r="KZ73" s="10"/>
      <c r="LA73" s="10"/>
      <c r="LB73" s="10"/>
      <c r="LC73" s="10"/>
      <c r="LD73" s="10"/>
    </row>
    <row r="74" spans="1:316" ht="15.75" customHeight="1" x14ac:dyDescent="0.25">
      <c r="A74" s="106"/>
      <c r="B74" s="102" t="s">
        <v>46</v>
      </c>
      <c r="C74" s="11">
        <v>1</v>
      </c>
      <c r="D74" s="11">
        <f>D68+1</f>
        <v>55</v>
      </c>
      <c r="E74" s="11">
        <v>4</v>
      </c>
      <c r="F74" s="12">
        <f>E74+F68</f>
        <v>220</v>
      </c>
      <c r="G74" s="13"/>
      <c r="H74" s="11"/>
      <c r="I74" s="14"/>
      <c r="J74" s="11">
        <f>I74+J68</f>
        <v>71</v>
      </c>
      <c r="K74" s="11">
        <f t="shared" ref="K74:K82" si="1600">IF(G74-I74&lt;=$E74-2,1,0)</f>
        <v>1</v>
      </c>
      <c r="L74" s="11">
        <f>K74+L68</f>
        <v>34</v>
      </c>
      <c r="M74" s="11">
        <f t="shared" ref="M74:M82" si="1601">IF(K74=0,IF(G74=$E74,1,0),0)</f>
        <v>0</v>
      </c>
      <c r="N74" s="11">
        <f>M74+N68</f>
        <v>3</v>
      </c>
      <c r="O74" s="11">
        <f t="shared" ref="O74:O82" si="1602">IF($E74-G74=1,1,0)</f>
        <v>0</v>
      </c>
      <c r="P74" s="11">
        <f>O74+P68</f>
        <v>1</v>
      </c>
      <c r="Q74" s="11">
        <f t="shared" ref="Q74:Q82" si="1603">IF(G74=$E74,1,0)</f>
        <v>0</v>
      </c>
      <c r="R74" s="11">
        <f>Q74</f>
        <v>0</v>
      </c>
      <c r="S74" s="11">
        <f t="shared" ref="S74:S82" si="1604">IF(G74-$E74=1,1,0)</f>
        <v>0</v>
      </c>
      <c r="T74" s="11">
        <f>S74</f>
        <v>0</v>
      </c>
      <c r="U74" s="11">
        <f t="shared" ref="U74:U82" si="1605">IF(G74-$E74&gt;=2,1,0)</f>
        <v>0</v>
      </c>
      <c r="V74" s="11">
        <f>U74</f>
        <v>0</v>
      </c>
      <c r="W74" s="11">
        <f t="shared" ref="W74:W82" si="1606">IF(I74=0,1,0)</f>
        <v>1</v>
      </c>
      <c r="X74" s="11">
        <f>W74</f>
        <v>1</v>
      </c>
      <c r="Y74" s="11">
        <f t="shared" ref="Y74:Y82" si="1607">IF(I74=1,1,0)</f>
        <v>0</v>
      </c>
      <c r="Z74" s="11">
        <f>Y74+Z68</f>
        <v>7</v>
      </c>
      <c r="AA74" s="11">
        <f t="shared" ref="AA74:AA82" si="1608">IF(I74=2,1,0)</f>
        <v>0</v>
      </c>
      <c r="AB74" s="11">
        <f>AA74</f>
        <v>0</v>
      </c>
      <c r="AC74" s="11">
        <f t="shared" ref="AC74:AC82" si="1609">IF(I74&gt;=3,1,0)</f>
        <v>0</v>
      </c>
      <c r="AD74" s="11">
        <f>AC74+AD68</f>
        <v>5</v>
      </c>
      <c r="AE74" s="6"/>
      <c r="AF74" s="6">
        <f>IF($E74=4,G74-4,NA())</f>
        <v>-4</v>
      </c>
      <c r="AG74" s="6"/>
      <c r="AH74" s="15">
        <f>G74-'Zusammenfassung Tag1-4'!$B$2/18</f>
        <v>-1.1111111111111112</v>
      </c>
      <c r="AI74" s="16">
        <f>AH74+AI68</f>
        <v>115.88888888888874</v>
      </c>
      <c r="AJ74" s="13">
        <v>4</v>
      </c>
      <c r="AK74" s="11">
        <f>AJ74+AK68</f>
        <v>252</v>
      </c>
      <c r="AL74" s="14">
        <v>2</v>
      </c>
      <c r="AM74" s="11">
        <f>AL74+AM68</f>
        <v>99</v>
      </c>
      <c r="AN74" s="11">
        <f t="shared" ref="AN74:AN82" si="1610">IF(AJ74-AL74&lt;=$E74-2,1,0)</f>
        <v>1</v>
      </c>
      <c r="AO74" s="11">
        <f>AN74+AO68</f>
        <v>29</v>
      </c>
      <c r="AP74" s="11">
        <f t="shared" ref="AP74:AP82" si="1611">IF(AN74=0,IF(AJ74=$E74,1,0),0)</f>
        <v>0</v>
      </c>
      <c r="AQ74" s="11">
        <f>AP74+AQ68</f>
        <v>8</v>
      </c>
      <c r="AR74" s="11">
        <f t="shared" ref="AR74:AR82" si="1612">IF($E74-AJ74=1,1,0)</f>
        <v>0</v>
      </c>
      <c r="AS74" s="11">
        <f>AR74+AS68</f>
        <v>4</v>
      </c>
      <c r="AT74" s="11">
        <f t="shared" ref="AT74:AT82" si="1613">IF(AJ74=$E74,1,0)</f>
        <v>1</v>
      </c>
      <c r="AU74" s="11">
        <f>AT74</f>
        <v>1</v>
      </c>
      <c r="AV74" s="11">
        <f t="shared" ref="AV74:AV82" si="1614">IF(AJ74-$E74=1,1,0)</f>
        <v>0</v>
      </c>
      <c r="AW74" s="11">
        <f>AV74</f>
        <v>0</v>
      </c>
      <c r="AX74" s="11">
        <f t="shared" ref="AX74:AX82" si="1615">IF(AJ74-$E74&gt;=2,1,0)</f>
        <v>0</v>
      </c>
      <c r="AY74" s="11">
        <f>AX74</f>
        <v>0</v>
      </c>
      <c r="AZ74" s="11">
        <f t="shared" ref="AZ74:AZ82" si="1616">IF(AL74=0,1,0)</f>
        <v>0</v>
      </c>
      <c r="BA74" s="11">
        <f>AZ74</f>
        <v>0</v>
      </c>
      <c r="BB74" s="11">
        <f t="shared" ref="BB74:BB82" si="1617">IF(AL74=1,1,0)</f>
        <v>0</v>
      </c>
      <c r="BC74" s="11">
        <f>BB74+BC68</f>
        <v>17</v>
      </c>
      <c r="BD74" s="11">
        <f t="shared" ref="BD74:BD82" si="1618">IF(AL74=2,1,0)</f>
        <v>1</v>
      </c>
      <c r="BE74" s="11">
        <f>BD74</f>
        <v>1</v>
      </c>
      <c r="BF74" s="11">
        <f t="shared" ref="BF74:BF82" si="1619">IF(AL74&gt;=3,1,0)</f>
        <v>0</v>
      </c>
      <c r="BG74" s="11">
        <f>BF74+BG68</f>
        <v>6</v>
      </c>
      <c r="BH74" s="6"/>
      <c r="BI74" s="6">
        <f>IF($E74=4,AJ74-4,NA())</f>
        <v>0</v>
      </c>
      <c r="BJ74" s="6"/>
      <c r="BK74" s="15">
        <f>AJ74-'Zusammenfassung Tag1-4'!$C$2/18</f>
        <v>3.3333333333333335</v>
      </c>
      <c r="BL74" s="16">
        <f>BK74+BL68</f>
        <v>215.33333333333348</v>
      </c>
      <c r="BM74" s="13">
        <v>7</v>
      </c>
      <c r="BN74" s="11">
        <f>BM74+BN68</f>
        <v>311</v>
      </c>
      <c r="BO74" s="14">
        <v>2</v>
      </c>
      <c r="BP74" s="11">
        <f>BO74+BP68</f>
        <v>115</v>
      </c>
      <c r="BQ74" s="11">
        <f t="shared" ref="BQ74:BQ82" si="1620">IF(BM74-BO74&lt;=$E74-2,1,0)</f>
        <v>0</v>
      </c>
      <c r="BR74" s="11">
        <f>BQ74+BR68</f>
        <v>8</v>
      </c>
      <c r="BS74" s="11">
        <f t="shared" ref="BS74:BS82" si="1621">IF(BQ74=0,IF(BM74=$E74,1,0),0)</f>
        <v>0</v>
      </c>
      <c r="BT74" s="11">
        <f>BS74+BT68</f>
        <v>4</v>
      </c>
      <c r="BU74" s="11">
        <f t="shared" ref="BU74:BU82" si="1622">IF($E74-BM74=1,1,0)</f>
        <v>0</v>
      </c>
      <c r="BV74" s="11">
        <f>BU74</f>
        <v>0</v>
      </c>
      <c r="BW74" s="11">
        <f t="shared" ref="BW74:BW82" si="1623">IF(BM74=$E74,1,0)</f>
        <v>0</v>
      </c>
      <c r="BX74" s="11">
        <f>BW74</f>
        <v>0</v>
      </c>
      <c r="BY74" s="11">
        <f t="shared" ref="BY74:BY82" si="1624">IF(BM74-$E74=1,1,0)</f>
        <v>0</v>
      </c>
      <c r="BZ74" s="11">
        <f>BY74</f>
        <v>0</v>
      </c>
      <c r="CA74" s="11">
        <f t="shared" ref="CA74:CA82" si="1625">IF(BM74-$E74&gt;=2,1,0)</f>
        <v>1</v>
      </c>
      <c r="CB74" s="11">
        <f>CA74</f>
        <v>1</v>
      </c>
      <c r="CC74" s="11">
        <f t="shared" ref="CC74:CC82" si="1626">IF(BO74=0,1,0)</f>
        <v>0</v>
      </c>
      <c r="CD74" s="11">
        <f>CC74</f>
        <v>0</v>
      </c>
      <c r="CE74" s="11">
        <f t="shared" ref="CE74:CE82" si="1627">IF(BO74=1,1,0)</f>
        <v>0</v>
      </c>
      <c r="CF74" s="11">
        <f>CE74+CF68</f>
        <v>9</v>
      </c>
      <c r="CG74" s="11">
        <f t="shared" ref="CG74:CG82" si="1628">IF(BO74=2,1,0)</f>
        <v>1</v>
      </c>
      <c r="CH74" s="11">
        <f>CG74</f>
        <v>1</v>
      </c>
      <c r="CI74" s="11">
        <f t="shared" ref="CI74:CI82" si="1629">IF(BO74&gt;=3,1,0)</f>
        <v>0</v>
      </c>
      <c r="CJ74" s="11">
        <f>CI74+CJ68</f>
        <v>14</v>
      </c>
      <c r="CK74" s="6"/>
      <c r="CL74" s="6">
        <f>IF($E74=4,BM74-4,NA())</f>
        <v>3</v>
      </c>
      <c r="CM74" s="6"/>
      <c r="CN74" s="15">
        <f>BM74-'Zusammenfassung Tag1-4'!$D$2/18</f>
        <v>5.666666666666667</v>
      </c>
      <c r="CO74" s="16">
        <f>CN74+CO68</f>
        <v>237.66666666666649</v>
      </c>
      <c r="CP74" s="13">
        <v>4</v>
      </c>
      <c r="CQ74" s="11">
        <f>CP74+CQ68</f>
        <v>289</v>
      </c>
      <c r="CR74" s="14">
        <v>2</v>
      </c>
      <c r="CS74" s="11">
        <f>CR74+CS68</f>
        <v>112</v>
      </c>
      <c r="CT74" s="11">
        <f t="shared" ref="CT74:CT82" si="1630">IF(CP74-CR74&lt;=$E74-2,1,0)</f>
        <v>1</v>
      </c>
      <c r="CU74" s="11">
        <f>CT74+CU68</f>
        <v>11</v>
      </c>
      <c r="CV74" s="11">
        <f t="shared" ref="CV74:CV82" si="1631">IF(CT74=0,IF(CP74=$E74,1,0),0)</f>
        <v>0</v>
      </c>
      <c r="CW74" s="11">
        <f>CV74+CW68</f>
        <v>6</v>
      </c>
      <c r="CX74" s="11">
        <f t="shared" ref="CX74:CX82" si="1632">IF($E74-CP74=1,1,0)</f>
        <v>0</v>
      </c>
      <c r="CY74" s="11">
        <f>CX74</f>
        <v>0</v>
      </c>
      <c r="CZ74" s="11">
        <f t="shared" ref="CZ74:CZ82" si="1633">IF(CP74=$E74,1,0)</f>
        <v>1</v>
      </c>
      <c r="DA74" s="11">
        <f>CZ74</f>
        <v>1</v>
      </c>
      <c r="DB74" s="11">
        <f t="shared" ref="DB74:DB82" si="1634">IF(CP74-$E74=1,1,0)</f>
        <v>0</v>
      </c>
      <c r="DC74" s="11">
        <f>DB74</f>
        <v>0</v>
      </c>
      <c r="DD74" s="11">
        <f t="shared" ref="DD74:DD82" si="1635">IF(CP74-$E74&gt;=2,1,0)</f>
        <v>0</v>
      </c>
      <c r="DE74" s="11">
        <f>DD74</f>
        <v>0</v>
      </c>
      <c r="DF74" s="11">
        <f t="shared" ref="DF74:DF82" si="1636">IF(CR74=0,1,0)</f>
        <v>0</v>
      </c>
      <c r="DG74" s="11">
        <f>DF74</f>
        <v>0</v>
      </c>
      <c r="DH74" s="11">
        <f t="shared" ref="DH74:DH82" si="1637">IF(CR74=1,1,0)</f>
        <v>0</v>
      </c>
      <c r="DI74" s="11">
        <f>DH74+DI68</f>
        <v>11</v>
      </c>
      <c r="DJ74" s="11">
        <f t="shared" ref="DJ74:DJ82" si="1638">IF(CR74=2,1,0)</f>
        <v>1</v>
      </c>
      <c r="DK74" s="11">
        <f>DJ74</f>
        <v>1</v>
      </c>
      <c r="DL74" s="11">
        <f t="shared" ref="DL74:DL82" si="1639">IF(CR74&gt;=3,1,0)</f>
        <v>0</v>
      </c>
      <c r="DM74" s="11">
        <f>DL74+DM68</f>
        <v>13</v>
      </c>
      <c r="DN74" s="6"/>
      <c r="DO74" s="6">
        <f>IF($E74=4,CP74-4,NA())</f>
        <v>0</v>
      </c>
      <c r="DP74" s="6"/>
      <c r="DQ74" s="15">
        <f>CP74-'Zusammenfassung Tag1-4'!$E$2/18</f>
        <v>2.7222222222222223</v>
      </c>
      <c r="DR74" s="17">
        <f>DQ74+DR68</f>
        <v>218.72222222222246</v>
      </c>
      <c r="DS74" s="13">
        <v>6</v>
      </c>
      <c r="DT74" s="11">
        <f>DS74+DT68</f>
        <v>424</v>
      </c>
      <c r="DU74" s="14">
        <v>2</v>
      </c>
      <c r="DV74" s="11">
        <f>DU74+DV68</f>
        <v>123</v>
      </c>
      <c r="DW74" s="11">
        <f t="shared" ref="DW74:DW82" si="1640">IF(DS74-DU74&lt;=$E74-2,1,0)</f>
        <v>0</v>
      </c>
      <c r="DX74" s="11">
        <f>DW74+DX68</f>
        <v>1</v>
      </c>
      <c r="DY74" s="11">
        <f t="shared" ref="DY74:DY82" si="1641">IF(DW74=0,IF(DS74=$E74,1,0),0)</f>
        <v>0</v>
      </c>
      <c r="DZ74" s="11">
        <f>DY74+DZ68</f>
        <v>0</v>
      </c>
      <c r="EA74" s="11">
        <f t="shared" ref="EA74:EA82" si="1642">IF($E74-DS74=1,1,0)</f>
        <v>0</v>
      </c>
      <c r="EB74" s="11">
        <f>EA74</f>
        <v>0</v>
      </c>
      <c r="EC74" s="11">
        <f t="shared" ref="EC74:EC82" si="1643">IF(DS74=$E74,1,0)</f>
        <v>0</v>
      </c>
      <c r="ED74" s="11">
        <f>EC74</f>
        <v>0</v>
      </c>
      <c r="EE74" s="11">
        <f t="shared" ref="EE74:EE82" si="1644">IF(DS74-$E74=1,1,0)</f>
        <v>0</v>
      </c>
      <c r="EF74" s="11">
        <f>EE74</f>
        <v>0</v>
      </c>
      <c r="EG74" s="11">
        <f t="shared" ref="EG74:EG82" si="1645">IF(DS74-$E74&gt;=2,1,0)</f>
        <v>1</v>
      </c>
      <c r="EH74" s="11">
        <f>EG74</f>
        <v>1</v>
      </c>
      <c r="EI74" s="11">
        <f t="shared" ref="EI74:EI82" si="1646">IF(DU74=0,1,0)</f>
        <v>0</v>
      </c>
      <c r="EJ74" s="11">
        <f>EI74</f>
        <v>0</v>
      </c>
      <c r="EK74" s="11">
        <f t="shared" ref="EK74:EK82" si="1647">IF(DU74=1,1,0)</f>
        <v>0</v>
      </c>
      <c r="EL74" s="11">
        <f>EK74+EL68</f>
        <v>2</v>
      </c>
      <c r="EM74" s="11">
        <f t="shared" ref="EM74:EM82" si="1648">IF(DU74=2,1,0)</f>
        <v>1</v>
      </c>
      <c r="EN74" s="11">
        <f>EM74</f>
        <v>1</v>
      </c>
      <c r="EO74" s="11">
        <f t="shared" ref="EO74:EO82" si="1649">IF(DU74&gt;=3,1,0)</f>
        <v>0</v>
      </c>
      <c r="EP74" s="11">
        <f>EO74+EP68</f>
        <v>13</v>
      </c>
      <c r="EQ74" s="6"/>
      <c r="ER74" s="6">
        <f>IF($E74=4,DS74-4,NA())</f>
        <v>2</v>
      </c>
      <c r="ES74" s="6"/>
      <c r="ET74" s="15">
        <f>DS74-'Zusammenfassung Tag1-4'!$F$2/18</f>
        <v>3</v>
      </c>
      <c r="EU74" s="17">
        <f>ET74+EU68</f>
        <v>259</v>
      </c>
      <c r="EV74" s="13">
        <v>5</v>
      </c>
      <c r="EW74" s="11">
        <f>EV74+EW68</f>
        <v>309</v>
      </c>
      <c r="EX74" s="14">
        <v>2</v>
      </c>
      <c r="EY74" s="11">
        <f>EX74+EY68</f>
        <v>115</v>
      </c>
      <c r="EZ74" s="11">
        <f t="shared" ref="EZ74:EZ82" si="1650">IF(EV74-EX74&lt;=$E74-2,1,0)</f>
        <v>0</v>
      </c>
      <c r="FA74" s="11">
        <f>EZ74+FA68</f>
        <v>10</v>
      </c>
      <c r="FB74" s="11">
        <f t="shared" ref="FB74:FB82" si="1651">IF(EZ74=0,IF(EV74=$E74,1,0),0)</f>
        <v>0</v>
      </c>
      <c r="FC74" s="11">
        <f>FB74+FC68</f>
        <v>1</v>
      </c>
      <c r="FD74" s="11">
        <f t="shared" ref="FD74:FD82" si="1652">IF($E74-EV74=1,1,0)</f>
        <v>0</v>
      </c>
      <c r="FE74" s="11">
        <f>FD74</f>
        <v>0</v>
      </c>
      <c r="FF74" s="11">
        <f t="shared" ref="FF74:FF82" si="1653">IF(EV74=$E74,1,0)</f>
        <v>0</v>
      </c>
      <c r="FG74" s="11">
        <f>FF74</f>
        <v>0</v>
      </c>
      <c r="FH74" s="11">
        <f t="shared" ref="FH74:FH82" si="1654">IF(EV74-$E74=1,1,0)</f>
        <v>1</v>
      </c>
      <c r="FI74" s="11">
        <f>FH74</f>
        <v>1</v>
      </c>
      <c r="FJ74" s="11">
        <f t="shared" ref="FJ74:FJ82" si="1655">IF(EV74-$E74&gt;=2,1,0)</f>
        <v>0</v>
      </c>
      <c r="FK74" s="11">
        <f>FJ74</f>
        <v>0</v>
      </c>
      <c r="FL74" s="11">
        <f t="shared" ref="FL74:FL82" si="1656">IF(EX74=0,1,0)</f>
        <v>0</v>
      </c>
      <c r="FM74" s="11">
        <f>FL74</f>
        <v>0</v>
      </c>
      <c r="FN74" s="11">
        <f t="shared" ref="FN74:FN82" si="1657">IF(EX74=1,1,0)</f>
        <v>0</v>
      </c>
      <c r="FO74" s="11">
        <f>FN74+FO68</f>
        <v>7</v>
      </c>
      <c r="FP74" s="11">
        <f t="shared" ref="FP74:FP82" si="1658">IF(EX74=2,1,0)</f>
        <v>1</v>
      </c>
      <c r="FQ74" s="11">
        <f>FP74</f>
        <v>1</v>
      </c>
      <c r="FR74" s="11">
        <f t="shared" ref="FR74:FR82" si="1659">IF(EX74&gt;=3,1,0)</f>
        <v>0</v>
      </c>
      <c r="FS74" s="11">
        <f>FR74+FS68</f>
        <v>12</v>
      </c>
      <c r="FT74" s="6"/>
      <c r="FU74" s="6">
        <f>IF($E74=4,EV74-4,NA())</f>
        <v>1</v>
      </c>
      <c r="FV74" s="6"/>
      <c r="FW74" s="15">
        <f>EV74-'Zusammenfassung Tag1-4'!$G$2/18</f>
        <v>3.5</v>
      </c>
      <c r="FX74" s="17">
        <f>FW74+FX68</f>
        <v>226.5</v>
      </c>
      <c r="FY74" s="13">
        <v>7</v>
      </c>
      <c r="FZ74" s="11">
        <f>FY74+FZ68</f>
        <v>399</v>
      </c>
      <c r="GA74" s="14">
        <v>1</v>
      </c>
      <c r="GB74" s="11">
        <f>GA74+GB68</f>
        <v>129</v>
      </c>
      <c r="GC74" s="11">
        <f t="shared" ref="GC74:GC82" si="1660">IF(FY74-GA74&lt;=$E74-2,1,0)</f>
        <v>0</v>
      </c>
      <c r="GD74" s="11">
        <f>GC74+GD68</f>
        <v>2</v>
      </c>
      <c r="GE74" s="11">
        <f t="shared" ref="GE74:GE82" si="1661">IF(GC74=0,IF(FY74=$E74,1,0),0)</f>
        <v>0</v>
      </c>
      <c r="GF74" s="11">
        <f>GE74+GF68</f>
        <v>0</v>
      </c>
      <c r="GG74" s="11">
        <f t="shared" ref="GG74:GG82" si="1662">IF($E74-FY74=1,1,0)</f>
        <v>0</v>
      </c>
      <c r="GH74" s="11">
        <f>GG74</f>
        <v>0</v>
      </c>
      <c r="GI74" s="11">
        <f t="shared" ref="GI74:GI82" si="1663">IF(FY74=$E74,1,0)</f>
        <v>0</v>
      </c>
      <c r="GJ74" s="11">
        <f>GI74</f>
        <v>0</v>
      </c>
      <c r="GK74" s="11">
        <f t="shared" ref="GK74:GK82" si="1664">IF(FY74-$E74=1,1,0)</f>
        <v>0</v>
      </c>
      <c r="GL74" s="11">
        <f>GK74</f>
        <v>0</v>
      </c>
      <c r="GM74" s="11">
        <f t="shared" ref="GM74:GM82" si="1665">IF(FY74-$E74&gt;=2,1,0)</f>
        <v>1</v>
      </c>
      <c r="GN74" s="11">
        <f>GM74</f>
        <v>1</v>
      </c>
      <c r="GO74" s="11">
        <f t="shared" ref="GO74:GO82" si="1666">IF(GA74=0,1,0)</f>
        <v>0</v>
      </c>
      <c r="GP74" s="11">
        <f>GO74</f>
        <v>0</v>
      </c>
      <c r="GQ74" s="11">
        <f t="shared" ref="GQ74:GQ82" si="1667">IF(GA74=1,1,0)</f>
        <v>1</v>
      </c>
      <c r="GR74" s="11">
        <f>GQ74+GR68</f>
        <v>3</v>
      </c>
      <c r="GS74" s="11">
        <f t="shared" ref="GS74:GS82" si="1668">IF(GA74=2,1,0)</f>
        <v>0</v>
      </c>
      <c r="GT74" s="11">
        <f>GS74</f>
        <v>0</v>
      </c>
      <c r="GU74" s="11">
        <f t="shared" ref="GU74:GU82" si="1669">IF(GA74&gt;=3,1,0)</f>
        <v>0</v>
      </c>
      <c r="GV74" s="11">
        <f>GU74+GV68</f>
        <v>22</v>
      </c>
      <c r="GW74" s="6"/>
      <c r="GX74" s="6">
        <f>IF($E74=4,FY74-4,NA())</f>
        <v>3</v>
      </c>
      <c r="GY74" s="6"/>
      <c r="GZ74" s="15">
        <f>FY74-'Zusammenfassung Tag1-4'!$H$2/18</f>
        <v>4</v>
      </c>
      <c r="HA74" s="17">
        <f>GZ74+HA68</f>
        <v>234</v>
      </c>
      <c r="HB74" s="13">
        <v>5</v>
      </c>
      <c r="HC74" s="11">
        <f>HB74+HC68</f>
        <v>293</v>
      </c>
      <c r="HD74" s="14">
        <v>1</v>
      </c>
      <c r="HE74" s="11">
        <f>HD74+HE68</f>
        <v>116</v>
      </c>
      <c r="HF74" s="11">
        <f t="shared" ref="HF74:HF82" si="1670">IF(HB74-HD74&lt;=$E74-2,1,0)</f>
        <v>0</v>
      </c>
      <c r="HG74" s="11">
        <f>HF74+HG68</f>
        <v>18</v>
      </c>
      <c r="HH74" s="11">
        <f t="shared" ref="HH74:HH82" si="1671">IF(HF74=0,IF(HB74=$E74,1,0),0)</f>
        <v>0</v>
      </c>
      <c r="HI74" s="11">
        <f>HH74+HI68</f>
        <v>4</v>
      </c>
      <c r="HJ74" s="11">
        <f t="shared" ref="HJ74:HJ82" si="1672">IF($E74-HB74=1,1,0)</f>
        <v>0</v>
      </c>
      <c r="HK74" s="11">
        <f>HJ74</f>
        <v>0</v>
      </c>
      <c r="HL74" s="11">
        <f t="shared" ref="HL74:HL82" si="1673">IF(HB74=$E74,1,0)</f>
        <v>0</v>
      </c>
      <c r="HM74" s="11">
        <f>HL74</f>
        <v>0</v>
      </c>
      <c r="HN74" s="11">
        <f t="shared" ref="HN74:HN82" si="1674">IF(HB74-$E74=1,1,0)</f>
        <v>1</v>
      </c>
      <c r="HO74" s="11">
        <f>HN74</f>
        <v>1</v>
      </c>
      <c r="HP74" s="11">
        <f t="shared" ref="HP74:HP82" si="1675">IF(HB74-$E74&gt;=2,1,0)</f>
        <v>0</v>
      </c>
      <c r="HQ74" s="11">
        <f>HP74</f>
        <v>0</v>
      </c>
      <c r="HR74" s="11">
        <f t="shared" ref="HR74:HR82" si="1676">IF(HD74=0,1,0)</f>
        <v>0</v>
      </c>
      <c r="HS74" s="11">
        <f>HR74</f>
        <v>0</v>
      </c>
      <c r="HT74" s="11">
        <f t="shared" ref="HT74:HT82" si="1677">IF(HD74=1,1,0)</f>
        <v>1</v>
      </c>
      <c r="HU74" s="11">
        <f>HT74+HU68</f>
        <v>7</v>
      </c>
      <c r="HV74" s="11">
        <f t="shared" ref="HV74:HV82" si="1678">IF(HD74=2,1,0)</f>
        <v>0</v>
      </c>
      <c r="HW74" s="11">
        <f>HV74</f>
        <v>0</v>
      </c>
      <c r="HX74" s="11">
        <f t="shared" ref="HX74:HX82" si="1679">IF(HD74&gt;=3,1,0)</f>
        <v>0</v>
      </c>
      <c r="HY74" s="11">
        <f>HX74+HY68</f>
        <v>13</v>
      </c>
      <c r="HZ74" s="6"/>
      <c r="IA74" s="6">
        <f>IF($E74=4,HB74-4,NA())</f>
        <v>1</v>
      </c>
      <c r="IB74" s="6"/>
      <c r="IC74" s="15">
        <f>HB74-'Zusammenfassung Tag1-4'!$I$2/18</f>
        <v>4</v>
      </c>
      <c r="ID74" s="17">
        <f>IC74+ID68</f>
        <v>238</v>
      </c>
      <c r="IE74" s="13">
        <v>9</v>
      </c>
      <c r="IF74" s="11">
        <f>IE74+IF68</f>
        <v>140</v>
      </c>
      <c r="IG74" s="14">
        <v>3</v>
      </c>
      <c r="IH74" s="11">
        <f>IG74+IH68</f>
        <v>54</v>
      </c>
      <c r="II74" s="11">
        <f t="shared" ref="II74:II82" si="1680">IF(IE74-IG74&lt;=$E74-2,1,0)</f>
        <v>0</v>
      </c>
      <c r="IJ74" s="11">
        <f>II74+IJ68</f>
        <v>37</v>
      </c>
      <c r="IK74" s="11">
        <f t="shared" ref="IK74:IK82" si="1681">IF(II74=0,IF(IE74=$E74,1,0),0)</f>
        <v>0</v>
      </c>
      <c r="IL74" s="11">
        <f>IK74+IL68</f>
        <v>0</v>
      </c>
      <c r="IM74" s="11">
        <f t="shared" ref="IM74:IM82" si="1682">IF($E74-IE74=1,1,0)</f>
        <v>0</v>
      </c>
      <c r="IN74" s="11">
        <f>IM74</f>
        <v>0</v>
      </c>
      <c r="IO74" s="11">
        <f t="shared" ref="IO74:IO82" si="1683">IF(IE74=$E74,1,0)</f>
        <v>0</v>
      </c>
      <c r="IP74" s="11">
        <f>IO74</f>
        <v>0</v>
      </c>
      <c r="IQ74" s="11">
        <f t="shared" ref="IQ74:IQ82" si="1684">IF(IE74-$E74=1,1,0)</f>
        <v>0</v>
      </c>
      <c r="IR74" s="11">
        <f>IQ74</f>
        <v>0</v>
      </c>
      <c r="IS74" s="11">
        <f t="shared" ref="IS74:IS82" si="1685">IF(IE74-$E74&gt;=2,1,0)</f>
        <v>1</v>
      </c>
      <c r="IT74" s="11">
        <f>IS74</f>
        <v>1</v>
      </c>
      <c r="IU74" s="11">
        <f t="shared" ref="IU74:IU82" si="1686">IF(IG74=0,1,0)</f>
        <v>0</v>
      </c>
      <c r="IV74" s="11">
        <f>IU74</f>
        <v>0</v>
      </c>
      <c r="IW74" s="11">
        <f t="shared" ref="IW74:IW82" si="1687">IF(IG74=1,1,0)</f>
        <v>0</v>
      </c>
      <c r="IX74" s="11">
        <f>IW74+IX68</f>
        <v>0</v>
      </c>
      <c r="IY74" s="11">
        <f t="shared" ref="IY74:IY82" si="1688">IF(IG74=2,1,0)</f>
        <v>0</v>
      </c>
      <c r="IZ74" s="11">
        <f>IY74</f>
        <v>0</v>
      </c>
      <c r="JA74" s="11">
        <f t="shared" ref="JA74:JA82" si="1689">IF(IG74&gt;=3,1,0)</f>
        <v>1</v>
      </c>
      <c r="JB74" s="11">
        <f>JA74+JB68</f>
        <v>12</v>
      </c>
      <c r="JC74" s="6"/>
      <c r="JD74" s="6">
        <f>IF($E74=4,IE74-4,NA())</f>
        <v>5</v>
      </c>
      <c r="JE74" s="6"/>
      <c r="JF74" s="15">
        <f>IE74-'Zusammenfassung Tag1-4'!$J$2/18</f>
        <v>6</v>
      </c>
      <c r="JG74" s="17">
        <f>JF74+JG68</f>
        <v>-25</v>
      </c>
      <c r="JH74" s="13">
        <v>4</v>
      </c>
      <c r="JI74" s="11">
        <f>JH74+JI68</f>
        <v>89</v>
      </c>
      <c r="JJ74" s="14">
        <v>2</v>
      </c>
      <c r="JK74" s="11">
        <f>JJ74+JK68</f>
        <v>36</v>
      </c>
      <c r="JL74" s="11">
        <f t="shared" ref="JL74:JL82" si="1690">IF(JH74-JJ74&lt;=$E74-2,1,0)</f>
        <v>1</v>
      </c>
      <c r="JM74" s="11">
        <f>JL74+JM68</f>
        <v>45</v>
      </c>
      <c r="JN74" s="11">
        <f t="shared" ref="JN74:JN82" si="1691">IF(JL74=0,IF(JH74=$E74,1,0),0)</f>
        <v>0</v>
      </c>
      <c r="JO74" s="11">
        <f>JN74+JO68</f>
        <v>1</v>
      </c>
      <c r="JP74" s="11">
        <f t="shared" ref="JP74:JP82" si="1692">IF($E74-JH74=1,1,0)</f>
        <v>0</v>
      </c>
      <c r="JQ74" s="11">
        <f>JP74</f>
        <v>0</v>
      </c>
      <c r="JR74" s="11">
        <f t="shared" ref="JR74:JR82" si="1693">IF(JH74=$E74,1,0)</f>
        <v>1</v>
      </c>
      <c r="JS74" s="11">
        <f>JR74</f>
        <v>1</v>
      </c>
      <c r="JT74" s="11">
        <f t="shared" ref="JT74:JT82" si="1694">IF(JH74-$E74=1,1,0)</f>
        <v>0</v>
      </c>
      <c r="JU74" s="11">
        <f>JT74</f>
        <v>0</v>
      </c>
      <c r="JV74" s="11">
        <f t="shared" ref="JV74:JV82" si="1695">IF(JH74-$E74&gt;=2,1,0)</f>
        <v>0</v>
      </c>
      <c r="JW74" s="11">
        <f>JV74</f>
        <v>0</v>
      </c>
      <c r="JX74" s="11">
        <f t="shared" ref="JX74:JX82" si="1696">IF(JJ74=0,1,0)</f>
        <v>0</v>
      </c>
      <c r="JY74" s="11">
        <f>JX74</f>
        <v>0</v>
      </c>
      <c r="JZ74" s="11">
        <f t="shared" ref="JZ74:JZ82" si="1697">IF(JJ74=1,1,0)</f>
        <v>0</v>
      </c>
      <c r="KA74" s="11">
        <f>JZ74+KA68</f>
        <v>3</v>
      </c>
      <c r="KB74" s="11">
        <f t="shared" ref="KB74:KB82" si="1698">IF(JJ74=2,1,0)</f>
        <v>1</v>
      </c>
      <c r="KC74" s="11">
        <f>KB74</f>
        <v>1</v>
      </c>
      <c r="KD74" s="11">
        <f t="shared" ref="KD74:KD82" si="1699">IF(JJ74&gt;=3,1,0)</f>
        <v>0</v>
      </c>
      <c r="KE74" s="11">
        <f>KD74+KE68</f>
        <v>1</v>
      </c>
      <c r="KF74" s="6"/>
      <c r="KG74" s="6">
        <f>IF($E74=4,JH74-4,NA())</f>
        <v>0</v>
      </c>
      <c r="KH74" s="6"/>
      <c r="KI74" s="15">
        <f>JH74-'Zusammenfassung Tag1-4'!$K$2/18</f>
        <v>3.2222222222222223</v>
      </c>
      <c r="KJ74" s="17">
        <f>KI74+KJ68</f>
        <v>46.222222222222193</v>
      </c>
      <c r="KK74" s="10"/>
      <c r="KL74" s="10"/>
      <c r="KM74" s="10"/>
      <c r="KN74" s="10"/>
      <c r="KO74" s="10"/>
      <c r="KP74" s="10"/>
      <c r="KQ74" s="10"/>
      <c r="KR74" s="10"/>
      <c r="KS74" s="10"/>
      <c r="KT74" s="10"/>
      <c r="KU74" s="10"/>
      <c r="KV74" s="10"/>
      <c r="KW74" s="10"/>
      <c r="KX74" s="10"/>
      <c r="KY74" s="10"/>
      <c r="KZ74" s="10"/>
      <c r="LA74" s="10"/>
      <c r="LB74" s="10"/>
      <c r="LC74" s="10"/>
      <c r="LD74" s="10"/>
    </row>
    <row r="75" spans="1:316" ht="15.75" customHeight="1" x14ac:dyDescent="0.25">
      <c r="A75" s="106"/>
      <c r="B75" s="103"/>
      <c r="C75" s="6">
        <v>2</v>
      </c>
      <c r="D75" s="6">
        <f t="shared" ref="D75:D82" si="1700">D74+1</f>
        <v>56</v>
      </c>
      <c r="E75" s="6">
        <v>5</v>
      </c>
      <c r="F75" s="7">
        <f t="shared" ref="F75:F82" si="1701">E75+F74</f>
        <v>225</v>
      </c>
      <c r="G75" s="18"/>
      <c r="H75" s="6"/>
      <c r="I75" s="19"/>
      <c r="J75" s="6">
        <f t="shared" ref="J75:J82" si="1702">I75+J74</f>
        <v>71</v>
      </c>
      <c r="K75" s="6">
        <f t="shared" si="1600"/>
        <v>1</v>
      </c>
      <c r="L75" s="6">
        <f t="shared" ref="L75:L82" si="1703">K75+L74</f>
        <v>35</v>
      </c>
      <c r="M75" s="6">
        <f t="shared" si="1601"/>
        <v>0</v>
      </c>
      <c r="N75" s="6">
        <f t="shared" ref="N75:N82" si="1704">M75+N74</f>
        <v>3</v>
      </c>
      <c r="O75" s="6">
        <f t="shared" si="1602"/>
        <v>0</v>
      </c>
      <c r="P75" s="6">
        <f t="shared" ref="P75:P82" si="1705">O75+P74</f>
        <v>1</v>
      </c>
      <c r="Q75" s="6">
        <f t="shared" si="1603"/>
        <v>0</v>
      </c>
      <c r="R75" s="6">
        <f t="shared" ref="R75:R82" si="1706">Q75+R74</f>
        <v>0</v>
      </c>
      <c r="S75" s="6">
        <f t="shared" si="1604"/>
        <v>0</v>
      </c>
      <c r="T75" s="6">
        <f t="shared" ref="T75:T82" si="1707">S75+T74</f>
        <v>0</v>
      </c>
      <c r="U75" s="6">
        <f t="shared" si="1605"/>
        <v>0</v>
      </c>
      <c r="V75" s="6">
        <f t="shared" ref="V75:V82" si="1708">U75+V74</f>
        <v>0</v>
      </c>
      <c r="W75" s="6">
        <f t="shared" si="1606"/>
        <v>1</v>
      </c>
      <c r="X75" s="6">
        <f t="shared" ref="X75:X82" si="1709">W75+X74</f>
        <v>2</v>
      </c>
      <c r="Y75" s="6">
        <f t="shared" si="1607"/>
        <v>0</v>
      </c>
      <c r="Z75" s="6">
        <f t="shared" ref="Z75:Z82" si="1710">Y75+Z74</f>
        <v>7</v>
      </c>
      <c r="AA75" s="6">
        <f t="shared" si="1608"/>
        <v>0</v>
      </c>
      <c r="AB75" s="6">
        <f t="shared" ref="AB75:AB82" si="1711">AA75+AB74</f>
        <v>0</v>
      </c>
      <c r="AC75" s="6">
        <f t="shared" si="1609"/>
        <v>0</v>
      </c>
      <c r="AD75" s="6">
        <f t="shared" ref="AD75:AD82" si="1712">AC75+AD74</f>
        <v>5</v>
      </c>
      <c r="AE75" s="6"/>
      <c r="AF75" s="6"/>
      <c r="AG75" s="6">
        <f>IF($E75=5,G75-5,NA())</f>
        <v>-5</v>
      </c>
      <c r="AH75" s="20">
        <f>G75-'Zusammenfassung Tag1-4'!$B$2/18</f>
        <v>-1.1111111111111112</v>
      </c>
      <c r="AI75" s="21">
        <f t="shared" ref="AI75:AI82" si="1713">AH75+AI74</f>
        <v>114.77777777777763</v>
      </c>
      <c r="AJ75" s="18">
        <v>6</v>
      </c>
      <c r="AK75" s="6">
        <f t="shared" ref="AK75:AK82" si="1714">AJ75+AK74</f>
        <v>258</v>
      </c>
      <c r="AL75" s="19">
        <v>2</v>
      </c>
      <c r="AM75" s="6">
        <f t="shared" ref="AM75:AM82" si="1715">AL75+AM74</f>
        <v>101</v>
      </c>
      <c r="AN75" s="6">
        <f t="shared" si="1610"/>
        <v>0</v>
      </c>
      <c r="AO75" s="6">
        <f t="shared" ref="AO75:AO82" si="1716">AN75+AO74</f>
        <v>29</v>
      </c>
      <c r="AP75" s="6">
        <f t="shared" si="1611"/>
        <v>0</v>
      </c>
      <c r="AQ75" s="6">
        <f t="shared" ref="AQ75:AQ82" si="1717">AP75+AQ74</f>
        <v>8</v>
      </c>
      <c r="AR75" s="6">
        <f t="shared" si="1612"/>
        <v>0</v>
      </c>
      <c r="AS75" s="6">
        <f t="shared" ref="AS75:AS82" si="1718">AR75+AS74</f>
        <v>4</v>
      </c>
      <c r="AT75" s="6">
        <f t="shared" si="1613"/>
        <v>0</v>
      </c>
      <c r="AU75" s="6">
        <f t="shared" ref="AU75:AU82" si="1719">AT75+AU74</f>
        <v>1</v>
      </c>
      <c r="AV75" s="6">
        <f t="shared" si="1614"/>
        <v>1</v>
      </c>
      <c r="AW75" s="6">
        <f t="shared" ref="AW75:AW82" si="1720">AV75+AW74</f>
        <v>1</v>
      </c>
      <c r="AX75" s="6">
        <f t="shared" si="1615"/>
        <v>0</v>
      </c>
      <c r="AY75" s="6">
        <f t="shared" ref="AY75:AY82" si="1721">AX75+AY74</f>
        <v>0</v>
      </c>
      <c r="AZ75" s="6">
        <f t="shared" si="1616"/>
        <v>0</v>
      </c>
      <c r="BA75" s="6">
        <f t="shared" ref="BA75:BA82" si="1722">AZ75+BA74</f>
        <v>0</v>
      </c>
      <c r="BB75" s="6">
        <f t="shared" si="1617"/>
        <v>0</v>
      </c>
      <c r="BC75" s="6">
        <f t="shared" ref="BC75:BC82" si="1723">BB75+BC74</f>
        <v>17</v>
      </c>
      <c r="BD75" s="6">
        <f t="shared" si="1618"/>
        <v>1</v>
      </c>
      <c r="BE75" s="6">
        <f t="shared" ref="BE75:BE82" si="1724">BD75+BE74</f>
        <v>2</v>
      </c>
      <c r="BF75" s="6">
        <f t="shared" si="1619"/>
        <v>0</v>
      </c>
      <c r="BG75" s="6">
        <f t="shared" ref="BG75:BG82" si="1725">BF75+BG74</f>
        <v>6</v>
      </c>
      <c r="BH75" s="6"/>
      <c r="BI75" s="6"/>
      <c r="BJ75" s="6">
        <f>IF($E75=5,AJ75-5,NA())</f>
        <v>1</v>
      </c>
      <c r="BK75" s="20">
        <f>AJ75-'Zusammenfassung Tag1-4'!$C$2/18</f>
        <v>5.333333333333333</v>
      </c>
      <c r="BL75" s="21">
        <f t="shared" ref="BL75:BL82" si="1726">BK75+BL74</f>
        <v>220.66666666666683</v>
      </c>
      <c r="BM75" s="18">
        <v>6</v>
      </c>
      <c r="BN75" s="6">
        <f t="shared" ref="BN75:BN82" si="1727">BM75+BN74</f>
        <v>317</v>
      </c>
      <c r="BO75" s="19">
        <v>2</v>
      </c>
      <c r="BP75" s="6">
        <f t="shared" ref="BP75:BP82" si="1728">BO75+BP74</f>
        <v>117</v>
      </c>
      <c r="BQ75" s="6">
        <f t="shared" si="1620"/>
        <v>0</v>
      </c>
      <c r="BR75" s="6">
        <f t="shared" ref="BR75:BR82" si="1729">BQ75+BR74</f>
        <v>8</v>
      </c>
      <c r="BS75" s="6">
        <f t="shared" si="1621"/>
        <v>0</v>
      </c>
      <c r="BT75" s="6">
        <f t="shared" ref="BT75:BT82" si="1730">BS75+BT74</f>
        <v>4</v>
      </c>
      <c r="BU75" s="6">
        <f t="shared" si="1622"/>
        <v>0</v>
      </c>
      <c r="BV75" s="6">
        <f t="shared" ref="BV75:BV82" si="1731">BU75+BV74</f>
        <v>0</v>
      </c>
      <c r="BW75" s="6">
        <f t="shared" si="1623"/>
        <v>0</v>
      </c>
      <c r="BX75" s="6">
        <f t="shared" ref="BX75:BX82" si="1732">BW75+BX74</f>
        <v>0</v>
      </c>
      <c r="BY75" s="6">
        <f t="shared" si="1624"/>
        <v>1</v>
      </c>
      <c r="BZ75" s="6">
        <f t="shared" ref="BZ75:BZ82" si="1733">BY75+BZ74</f>
        <v>1</v>
      </c>
      <c r="CA75" s="6">
        <f t="shared" si="1625"/>
        <v>0</v>
      </c>
      <c r="CB75" s="6">
        <f t="shared" ref="CB75:CB82" si="1734">CA75+CB74</f>
        <v>1</v>
      </c>
      <c r="CC75" s="6">
        <f t="shared" si="1626"/>
        <v>0</v>
      </c>
      <c r="CD75" s="6">
        <f t="shared" ref="CD75:CD82" si="1735">CC75+CD74</f>
        <v>0</v>
      </c>
      <c r="CE75" s="6">
        <f t="shared" si="1627"/>
        <v>0</v>
      </c>
      <c r="CF75" s="6">
        <f t="shared" ref="CF75:CF82" si="1736">CE75+CF74</f>
        <v>9</v>
      </c>
      <c r="CG75" s="6">
        <f t="shared" si="1628"/>
        <v>1</v>
      </c>
      <c r="CH75" s="6">
        <f t="shared" ref="CH75:CH82" si="1737">CG75+CH74</f>
        <v>2</v>
      </c>
      <c r="CI75" s="6">
        <f t="shared" si="1629"/>
        <v>0</v>
      </c>
      <c r="CJ75" s="6">
        <f t="shared" ref="CJ75:CJ82" si="1738">CI75+CJ74</f>
        <v>14</v>
      </c>
      <c r="CK75" s="6"/>
      <c r="CL75" s="6"/>
      <c r="CM75" s="6">
        <f>IF($E75=5,BM75-5,NA())</f>
        <v>1</v>
      </c>
      <c r="CN75" s="20">
        <f>BM75-'Zusammenfassung Tag1-4'!$D$2/18</f>
        <v>4.666666666666667</v>
      </c>
      <c r="CO75" s="21">
        <f t="shared" ref="CO75:CO82" si="1739">CN75+CO74</f>
        <v>242.33333333333314</v>
      </c>
      <c r="CP75" s="18">
        <v>5</v>
      </c>
      <c r="CQ75" s="6">
        <f t="shared" ref="CQ75:CQ82" si="1740">CP75+CQ74</f>
        <v>294</v>
      </c>
      <c r="CR75" s="19">
        <v>1</v>
      </c>
      <c r="CS75" s="6">
        <f t="shared" ref="CS75:CS82" si="1741">CR75+CS74</f>
        <v>113</v>
      </c>
      <c r="CT75" s="6">
        <f t="shared" si="1630"/>
        <v>0</v>
      </c>
      <c r="CU75" s="6">
        <f t="shared" ref="CU75:CU82" si="1742">CT75+CU74</f>
        <v>11</v>
      </c>
      <c r="CV75" s="6">
        <f t="shared" si="1631"/>
        <v>1</v>
      </c>
      <c r="CW75" s="6">
        <f t="shared" ref="CW75:CW82" si="1743">CV75+CW74</f>
        <v>7</v>
      </c>
      <c r="CX75" s="6">
        <f t="shared" si="1632"/>
        <v>0</v>
      </c>
      <c r="CY75" s="6">
        <f t="shared" ref="CY75:CY82" si="1744">CX75+CY74</f>
        <v>0</v>
      </c>
      <c r="CZ75" s="6">
        <f t="shared" si="1633"/>
        <v>1</v>
      </c>
      <c r="DA75" s="6">
        <f t="shared" ref="DA75:DA82" si="1745">CZ75+DA74</f>
        <v>2</v>
      </c>
      <c r="DB75" s="6">
        <f t="shared" si="1634"/>
        <v>0</v>
      </c>
      <c r="DC75" s="6">
        <f t="shared" ref="DC75:DC82" si="1746">DB75+DC74</f>
        <v>0</v>
      </c>
      <c r="DD75" s="6">
        <f t="shared" si="1635"/>
        <v>0</v>
      </c>
      <c r="DE75" s="6">
        <f t="shared" ref="DE75:DE82" si="1747">DD75+DE74</f>
        <v>0</v>
      </c>
      <c r="DF75" s="6">
        <f t="shared" si="1636"/>
        <v>0</v>
      </c>
      <c r="DG75" s="6">
        <f t="shared" ref="DG75:DG82" si="1748">DF75+DG74</f>
        <v>0</v>
      </c>
      <c r="DH75" s="6">
        <f t="shared" si="1637"/>
        <v>1</v>
      </c>
      <c r="DI75" s="6">
        <f t="shared" ref="DI75:DI82" si="1749">DH75+DI74</f>
        <v>12</v>
      </c>
      <c r="DJ75" s="6">
        <f t="shared" si="1638"/>
        <v>0</v>
      </c>
      <c r="DK75" s="6">
        <f t="shared" ref="DK75:DK82" si="1750">DJ75+DK74</f>
        <v>1</v>
      </c>
      <c r="DL75" s="6">
        <f t="shared" si="1639"/>
        <v>0</v>
      </c>
      <c r="DM75" s="6">
        <f t="shared" ref="DM75:DM82" si="1751">DL75+DM74</f>
        <v>13</v>
      </c>
      <c r="DN75" s="6"/>
      <c r="DO75" s="6"/>
      <c r="DP75" s="6">
        <f>IF($E75=5,CP75-5,NA())</f>
        <v>0</v>
      </c>
      <c r="DQ75" s="20">
        <f>CP75-'Zusammenfassung Tag1-4'!$E$2/18</f>
        <v>3.7222222222222223</v>
      </c>
      <c r="DR75" s="22">
        <f t="shared" ref="DR75:DR82" si="1752">DQ75+DR74</f>
        <v>222.44444444444468</v>
      </c>
      <c r="DS75" s="18">
        <v>8</v>
      </c>
      <c r="DT75" s="6">
        <f t="shared" ref="DT75:DT82" si="1753">DS75+DT74</f>
        <v>432</v>
      </c>
      <c r="DU75" s="19">
        <v>3</v>
      </c>
      <c r="DV75" s="6">
        <f t="shared" ref="DV75:DV82" si="1754">DU75+DV74</f>
        <v>126</v>
      </c>
      <c r="DW75" s="6">
        <f t="shared" si="1640"/>
        <v>0</v>
      </c>
      <c r="DX75" s="6">
        <f t="shared" ref="DX75:DX82" si="1755">DW75+DX74</f>
        <v>1</v>
      </c>
      <c r="DY75" s="6">
        <f t="shared" si="1641"/>
        <v>0</v>
      </c>
      <c r="DZ75" s="6">
        <f t="shared" ref="DZ75:DZ82" si="1756">DY75+DZ74</f>
        <v>0</v>
      </c>
      <c r="EA75" s="6">
        <f t="shared" si="1642"/>
        <v>0</v>
      </c>
      <c r="EB75" s="6">
        <f t="shared" ref="EB75:EB82" si="1757">EA75+EB74</f>
        <v>0</v>
      </c>
      <c r="EC75" s="6">
        <f t="shared" si="1643"/>
        <v>0</v>
      </c>
      <c r="ED75" s="6">
        <f t="shared" ref="ED75:ED82" si="1758">EC75+ED74</f>
        <v>0</v>
      </c>
      <c r="EE75" s="6">
        <f t="shared" si="1644"/>
        <v>0</v>
      </c>
      <c r="EF75" s="6">
        <f t="shared" ref="EF75:EF82" si="1759">EE75+EF74</f>
        <v>0</v>
      </c>
      <c r="EG75" s="6">
        <f t="shared" si="1645"/>
        <v>1</v>
      </c>
      <c r="EH75" s="6">
        <f t="shared" ref="EH75:EH82" si="1760">EG75+EH74</f>
        <v>2</v>
      </c>
      <c r="EI75" s="6">
        <f t="shared" si="1646"/>
        <v>0</v>
      </c>
      <c r="EJ75" s="6">
        <f t="shared" ref="EJ75:EJ82" si="1761">EI75+EJ74</f>
        <v>0</v>
      </c>
      <c r="EK75" s="6">
        <f t="shared" si="1647"/>
        <v>0</v>
      </c>
      <c r="EL75" s="6">
        <f t="shared" ref="EL75:EL82" si="1762">EK75+EL74</f>
        <v>2</v>
      </c>
      <c r="EM75" s="6">
        <f t="shared" si="1648"/>
        <v>0</v>
      </c>
      <c r="EN75" s="6">
        <f t="shared" ref="EN75:EN82" si="1763">EM75+EN74</f>
        <v>1</v>
      </c>
      <c r="EO75" s="6">
        <f t="shared" si="1649"/>
        <v>1</v>
      </c>
      <c r="EP75" s="6">
        <f t="shared" ref="EP75:EP82" si="1764">EO75+EP74</f>
        <v>14</v>
      </c>
      <c r="EQ75" s="6"/>
      <c r="ER75" s="6"/>
      <c r="ES75" s="6">
        <f>IF($E75=5,DS75-5,NA())</f>
        <v>3</v>
      </c>
      <c r="ET75" s="20">
        <f>DS75-'Zusammenfassung Tag1-4'!$F$2/18</f>
        <v>5</v>
      </c>
      <c r="EU75" s="22">
        <f t="shared" ref="EU75:EU82" si="1765">ET75+EU74</f>
        <v>264</v>
      </c>
      <c r="EV75" s="18">
        <v>6</v>
      </c>
      <c r="EW75" s="6">
        <f t="shared" ref="EW75:EW82" si="1766">EV75+EW74</f>
        <v>315</v>
      </c>
      <c r="EX75" s="19">
        <v>2</v>
      </c>
      <c r="EY75" s="6">
        <f t="shared" ref="EY75:EY82" si="1767">EX75+EY74</f>
        <v>117</v>
      </c>
      <c r="EZ75" s="6">
        <f t="shared" si="1650"/>
        <v>0</v>
      </c>
      <c r="FA75" s="6">
        <f t="shared" ref="FA75:FA82" si="1768">EZ75+FA74</f>
        <v>10</v>
      </c>
      <c r="FB75" s="6">
        <f t="shared" si="1651"/>
        <v>0</v>
      </c>
      <c r="FC75" s="6">
        <f t="shared" ref="FC75:FC82" si="1769">FB75+FC74</f>
        <v>1</v>
      </c>
      <c r="FD75" s="6">
        <f t="shared" si="1652"/>
        <v>0</v>
      </c>
      <c r="FE75" s="6">
        <f t="shared" ref="FE75:FE82" si="1770">FD75+FE74</f>
        <v>0</v>
      </c>
      <c r="FF75" s="6">
        <f t="shared" si="1653"/>
        <v>0</v>
      </c>
      <c r="FG75" s="6">
        <f t="shared" ref="FG75:FG82" si="1771">FF75+FG74</f>
        <v>0</v>
      </c>
      <c r="FH75" s="6">
        <f t="shared" si="1654"/>
        <v>1</v>
      </c>
      <c r="FI75" s="6">
        <f t="shared" ref="FI75:FI82" si="1772">FH75+FI74</f>
        <v>2</v>
      </c>
      <c r="FJ75" s="6">
        <f t="shared" si="1655"/>
        <v>0</v>
      </c>
      <c r="FK75" s="6">
        <f t="shared" ref="FK75:FK82" si="1773">FJ75+FK74</f>
        <v>0</v>
      </c>
      <c r="FL75" s="6">
        <f t="shared" si="1656"/>
        <v>0</v>
      </c>
      <c r="FM75" s="6">
        <f t="shared" ref="FM75:FM82" si="1774">FL75+FM74</f>
        <v>0</v>
      </c>
      <c r="FN75" s="6">
        <f t="shared" si="1657"/>
        <v>0</v>
      </c>
      <c r="FO75" s="6">
        <f t="shared" ref="FO75:FO82" si="1775">FN75+FO74</f>
        <v>7</v>
      </c>
      <c r="FP75" s="6">
        <f t="shared" si="1658"/>
        <v>1</v>
      </c>
      <c r="FQ75" s="6">
        <f t="shared" ref="FQ75:FQ82" si="1776">FP75+FQ74</f>
        <v>2</v>
      </c>
      <c r="FR75" s="6">
        <f t="shared" si="1659"/>
        <v>0</v>
      </c>
      <c r="FS75" s="6">
        <f t="shared" ref="FS75:FS82" si="1777">FR75+FS74</f>
        <v>12</v>
      </c>
      <c r="FT75" s="6"/>
      <c r="FU75" s="6"/>
      <c r="FV75" s="6">
        <f>IF($E75=5,EV75-5,NA())</f>
        <v>1</v>
      </c>
      <c r="FW75" s="20">
        <f>EV75-'Zusammenfassung Tag1-4'!$G$2/18</f>
        <v>4.5</v>
      </c>
      <c r="FX75" s="22">
        <f t="shared" ref="FX75:FX82" si="1778">FW75+FX74</f>
        <v>231</v>
      </c>
      <c r="FY75" s="18">
        <v>7</v>
      </c>
      <c r="FZ75" s="6">
        <f t="shared" ref="FZ75:FZ82" si="1779">FY75+FZ74</f>
        <v>406</v>
      </c>
      <c r="GA75" s="19">
        <v>2</v>
      </c>
      <c r="GB75" s="6">
        <f t="shared" ref="GB75:GB82" si="1780">GA75+GB74</f>
        <v>131</v>
      </c>
      <c r="GC75" s="6">
        <f t="shared" si="1660"/>
        <v>0</v>
      </c>
      <c r="GD75" s="6">
        <f t="shared" ref="GD75:GD82" si="1781">GC75+GD74</f>
        <v>2</v>
      </c>
      <c r="GE75" s="6">
        <f t="shared" si="1661"/>
        <v>0</v>
      </c>
      <c r="GF75" s="6">
        <f t="shared" ref="GF75:GF82" si="1782">GE75+GF74</f>
        <v>0</v>
      </c>
      <c r="GG75" s="6">
        <f t="shared" si="1662"/>
        <v>0</v>
      </c>
      <c r="GH75" s="6">
        <f t="shared" ref="GH75:GH82" si="1783">GG75+GH74</f>
        <v>0</v>
      </c>
      <c r="GI75" s="6">
        <f t="shared" si="1663"/>
        <v>0</v>
      </c>
      <c r="GJ75" s="6">
        <f t="shared" ref="GJ75:GJ82" si="1784">GI75+GJ74</f>
        <v>0</v>
      </c>
      <c r="GK75" s="6">
        <f t="shared" si="1664"/>
        <v>0</v>
      </c>
      <c r="GL75" s="6">
        <f t="shared" ref="GL75:GL82" si="1785">GK75+GL74</f>
        <v>0</v>
      </c>
      <c r="GM75" s="6">
        <f t="shared" si="1665"/>
        <v>1</v>
      </c>
      <c r="GN75" s="6">
        <f t="shared" ref="GN75:GN82" si="1786">GM75+GN74</f>
        <v>2</v>
      </c>
      <c r="GO75" s="6">
        <f t="shared" si="1666"/>
        <v>0</v>
      </c>
      <c r="GP75" s="6">
        <f t="shared" ref="GP75:GP82" si="1787">GO75+GP74</f>
        <v>0</v>
      </c>
      <c r="GQ75" s="6">
        <f t="shared" si="1667"/>
        <v>0</v>
      </c>
      <c r="GR75" s="6">
        <f t="shared" ref="GR75:GR82" si="1788">GQ75+GR74</f>
        <v>3</v>
      </c>
      <c r="GS75" s="6">
        <f t="shared" si="1668"/>
        <v>1</v>
      </c>
      <c r="GT75" s="6">
        <f t="shared" ref="GT75:GT82" si="1789">GS75+GT74</f>
        <v>1</v>
      </c>
      <c r="GU75" s="6">
        <f t="shared" si="1669"/>
        <v>0</v>
      </c>
      <c r="GV75" s="6">
        <f t="shared" ref="GV75:GV82" si="1790">GU75+GV74</f>
        <v>22</v>
      </c>
      <c r="GW75" s="6"/>
      <c r="GX75" s="6"/>
      <c r="GY75" s="6">
        <f>IF($E75=5,FY75-5,NA())</f>
        <v>2</v>
      </c>
      <c r="GZ75" s="20">
        <f>FY75-'Zusammenfassung Tag1-4'!$H$2/18</f>
        <v>4</v>
      </c>
      <c r="HA75" s="22">
        <f t="shared" ref="HA75:HA82" si="1791">GZ75+HA74</f>
        <v>238</v>
      </c>
      <c r="HB75" s="18">
        <v>5</v>
      </c>
      <c r="HC75" s="6">
        <f t="shared" ref="HC75:HC82" si="1792">HB75+HC74</f>
        <v>298</v>
      </c>
      <c r="HD75" s="19">
        <v>1</v>
      </c>
      <c r="HE75" s="6">
        <f t="shared" ref="HE75:HE82" si="1793">HD75+HE74</f>
        <v>117</v>
      </c>
      <c r="HF75" s="6">
        <f t="shared" si="1670"/>
        <v>0</v>
      </c>
      <c r="HG75" s="6">
        <f t="shared" ref="HG75:HG82" si="1794">HF75+HG74</f>
        <v>18</v>
      </c>
      <c r="HH75" s="6">
        <f t="shared" si="1671"/>
        <v>1</v>
      </c>
      <c r="HI75" s="6">
        <f t="shared" ref="HI75:HI82" si="1795">HH75+HI74</f>
        <v>5</v>
      </c>
      <c r="HJ75" s="6">
        <f t="shared" si="1672"/>
        <v>0</v>
      </c>
      <c r="HK75" s="6">
        <f t="shared" ref="HK75:HK82" si="1796">HJ75+HK74</f>
        <v>0</v>
      </c>
      <c r="HL75" s="6">
        <f t="shared" si="1673"/>
        <v>1</v>
      </c>
      <c r="HM75" s="6">
        <f t="shared" ref="HM75:HM82" si="1797">HL75+HM74</f>
        <v>1</v>
      </c>
      <c r="HN75" s="6">
        <f t="shared" si="1674"/>
        <v>0</v>
      </c>
      <c r="HO75" s="6">
        <f t="shared" ref="HO75:HO82" si="1798">HN75+HO74</f>
        <v>1</v>
      </c>
      <c r="HP75" s="6">
        <f t="shared" si="1675"/>
        <v>0</v>
      </c>
      <c r="HQ75" s="6">
        <f t="shared" ref="HQ75:HQ82" si="1799">HP75+HQ74</f>
        <v>0</v>
      </c>
      <c r="HR75" s="6">
        <f t="shared" si="1676"/>
        <v>0</v>
      </c>
      <c r="HS75" s="6">
        <f t="shared" ref="HS75:HS82" si="1800">HR75+HS74</f>
        <v>0</v>
      </c>
      <c r="HT75" s="6">
        <f t="shared" si="1677"/>
        <v>1</v>
      </c>
      <c r="HU75" s="6">
        <f t="shared" ref="HU75:HU82" si="1801">HT75+HU74</f>
        <v>8</v>
      </c>
      <c r="HV75" s="6">
        <f t="shared" si="1678"/>
        <v>0</v>
      </c>
      <c r="HW75" s="6">
        <f t="shared" ref="HW75:HW82" si="1802">HV75+HW74</f>
        <v>0</v>
      </c>
      <c r="HX75" s="6">
        <f t="shared" si="1679"/>
        <v>0</v>
      </c>
      <c r="HY75" s="6">
        <f t="shared" ref="HY75:HY82" si="1803">HX75+HY74</f>
        <v>13</v>
      </c>
      <c r="HZ75" s="6"/>
      <c r="IA75" s="6"/>
      <c r="IB75" s="6">
        <f>IF($E75=5,HB75-5,NA())</f>
        <v>0</v>
      </c>
      <c r="IC75" s="20">
        <f>HB75-'Zusammenfassung Tag1-4'!$I$2/18</f>
        <v>4</v>
      </c>
      <c r="ID75" s="22">
        <f t="shared" ref="ID75:ID82" si="1804">IC75+ID74</f>
        <v>242</v>
      </c>
      <c r="IE75" s="18">
        <v>8</v>
      </c>
      <c r="IF75" s="6">
        <f t="shared" ref="IF75:IF82" si="1805">IE75+IF74</f>
        <v>148</v>
      </c>
      <c r="IG75" s="19">
        <v>3</v>
      </c>
      <c r="IH75" s="6">
        <f t="shared" ref="IH75:IH82" si="1806">IG75+IH74</f>
        <v>57</v>
      </c>
      <c r="II75" s="6">
        <f t="shared" si="1680"/>
        <v>0</v>
      </c>
      <c r="IJ75" s="6">
        <f t="shared" ref="IJ75:IJ82" si="1807">II75+IJ74</f>
        <v>37</v>
      </c>
      <c r="IK75" s="6">
        <f t="shared" si="1681"/>
        <v>0</v>
      </c>
      <c r="IL75" s="6">
        <f t="shared" ref="IL75:IL82" si="1808">IK75+IL74</f>
        <v>0</v>
      </c>
      <c r="IM75" s="6">
        <f t="shared" si="1682"/>
        <v>0</v>
      </c>
      <c r="IN75" s="6">
        <f t="shared" ref="IN75:IN82" si="1809">IM75+IN74</f>
        <v>0</v>
      </c>
      <c r="IO75" s="6">
        <f t="shared" si="1683"/>
        <v>0</v>
      </c>
      <c r="IP75" s="6">
        <f t="shared" ref="IP75:IP82" si="1810">IO75+IP74</f>
        <v>0</v>
      </c>
      <c r="IQ75" s="6">
        <f t="shared" si="1684"/>
        <v>0</v>
      </c>
      <c r="IR75" s="6">
        <f t="shared" ref="IR75:IR82" si="1811">IQ75+IR74</f>
        <v>0</v>
      </c>
      <c r="IS75" s="6">
        <f t="shared" si="1685"/>
        <v>1</v>
      </c>
      <c r="IT75" s="6">
        <f t="shared" ref="IT75:IT82" si="1812">IS75+IT74</f>
        <v>2</v>
      </c>
      <c r="IU75" s="6">
        <f t="shared" si="1686"/>
        <v>0</v>
      </c>
      <c r="IV75" s="6">
        <f t="shared" ref="IV75:IV82" si="1813">IU75+IV74</f>
        <v>0</v>
      </c>
      <c r="IW75" s="6">
        <f t="shared" si="1687"/>
        <v>0</v>
      </c>
      <c r="IX75" s="6">
        <f t="shared" ref="IX75:IX82" si="1814">IW75+IX74</f>
        <v>0</v>
      </c>
      <c r="IY75" s="6">
        <f t="shared" si="1688"/>
        <v>0</v>
      </c>
      <c r="IZ75" s="6">
        <f t="shared" ref="IZ75:IZ82" si="1815">IY75+IZ74</f>
        <v>0</v>
      </c>
      <c r="JA75" s="6">
        <f t="shared" si="1689"/>
        <v>1</v>
      </c>
      <c r="JB75" s="6">
        <f t="shared" ref="JB75:JB82" si="1816">JA75+JB74</f>
        <v>13</v>
      </c>
      <c r="JC75" s="6"/>
      <c r="JD75" s="6"/>
      <c r="JE75" s="6">
        <f>IF($E75=5,IE75-5,NA())</f>
        <v>3</v>
      </c>
      <c r="JF75" s="20">
        <f>IE75-'Zusammenfassung Tag1-4'!$J$2/18</f>
        <v>5</v>
      </c>
      <c r="JG75" s="22">
        <f t="shared" ref="JG75:JG82" si="1817">JF75+JG74</f>
        <v>-20</v>
      </c>
      <c r="JH75" s="18">
        <v>5</v>
      </c>
      <c r="JI75" s="6">
        <f t="shared" ref="JI75:JI82" si="1818">JH75+JI74</f>
        <v>94</v>
      </c>
      <c r="JJ75" s="19">
        <v>2</v>
      </c>
      <c r="JK75" s="6">
        <f t="shared" ref="JK75:JK82" si="1819">JJ75+JK74</f>
        <v>38</v>
      </c>
      <c r="JL75" s="6">
        <f t="shared" si="1690"/>
        <v>1</v>
      </c>
      <c r="JM75" s="6">
        <f t="shared" ref="JM75:JM82" si="1820">JL75+JM74</f>
        <v>46</v>
      </c>
      <c r="JN75" s="6">
        <f t="shared" si="1691"/>
        <v>0</v>
      </c>
      <c r="JO75" s="6">
        <f t="shared" ref="JO75:JO82" si="1821">JN75+JO74</f>
        <v>1</v>
      </c>
      <c r="JP75" s="6">
        <f t="shared" si="1692"/>
        <v>0</v>
      </c>
      <c r="JQ75" s="6">
        <f t="shared" ref="JQ75:JQ82" si="1822">JP75+JQ74</f>
        <v>0</v>
      </c>
      <c r="JR75" s="6">
        <f t="shared" si="1693"/>
        <v>1</v>
      </c>
      <c r="JS75" s="6">
        <f t="shared" ref="JS75:JS82" si="1823">JR75+JS74</f>
        <v>2</v>
      </c>
      <c r="JT75" s="6">
        <f t="shared" si="1694"/>
        <v>0</v>
      </c>
      <c r="JU75" s="6">
        <f t="shared" ref="JU75:JU82" si="1824">JT75+JU74</f>
        <v>0</v>
      </c>
      <c r="JV75" s="6">
        <f t="shared" si="1695"/>
        <v>0</v>
      </c>
      <c r="JW75" s="6">
        <f t="shared" ref="JW75:JW82" si="1825">JV75+JW74</f>
        <v>0</v>
      </c>
      <c r="JX75" s="6">
        <f t="shared" si="1696"/>
        <v>0</v>
      </c>
      <c r="JY75" s="6">
        <f t="shared" ref="JY75:JY82" si="1826">JX75+JY74</f>
        <v>0</v>
      </c>
      <c r="JZ75" s="6">
        <f t="shared" si="1697"/>
        <v>0</v>
      </c>
      <c r="KA75" s="6">
        <f t="shared" ref="KA75:KA82" si="1827">JZ75+KA74</f>
        <v>3</v>
      </c>
      <c r="KB75" s="6">
        <f t="shared" si="1698"/>
        <v>1</v>
      </c>
      <c r="KC75" s="6">
        <f t="shared" ref="KC75:KC82" si="1828">KB75+KC74</f>
        <v>2</v>
      </c>
      <c r="KD75" s="6">
        <f t="shared" si="1699"/>
        <v>0</v>
      </c>
      <c r="KE75" s="6">
        <f t="shared" ref="KE75:KE82" si="1829">KD75+KE74</f>
        <v>1</v>
      </c>
      <c r="KF75" s="6"/>
      <c r="KG75" s="6"/>
      <c r="KH75" s="6">
        <f>IF($E75=5,JH75-5,NA())</f>
        <v>0</v>
      </c>
      <c r="KI75" s="20">
        <f>JH75-'Zusammenfassung Tag1-4'!$K$2/18</f>
        <v>4.2222222222222223</v>
      </c>
      <c r="KJ75" s="22">
        <f t="shared" ref="KJ75:KJ82" si="1830">KI75+KJ74</f>
        <v>50.444444444444414</v>
      </c>
      <c r="KK75" s="10"/>
      <c r="KL75" s="10"/>
      <c r="KM75" s="10"/>
      <c r="KN75" s="10"/>
      <c r="KO75" s="10"/>
      <c r="KP75" s="10"/>
      <c r="KQ75" s="10"/>
      <c r="KR75" s="10"/>
      <c r="KS75" s="10"/>
      <c r="KT75" s="10"/>
      <c r="KU75" s="10"/>
      <c r="KV75" s="10"/>
      <c r="KW75" s="10"/>
      <c r="KX75" s="10"/>
      <c r="KY75" s="10"/>
      <c r="KZ75" s="10"/>
      <c r="LA75" s="10"/>
      <c r="LB75" s="10"/>
      <c r="LC75" s="10"/>
      <c r="LD75" s="10"/>
    </row>
    <row r="76" spans="1:316" ht="15.75" customHeight="1" x14ac:dyDescent="0.25">
      <c r="A76" s="106"/>
      <c r="B76" s="103"/>
      <c r="C76" s="6">
        <v>3</v>
      </c>
      <c r="D76" s="6">
        <f t="shared" si="1700"/>
        <v>57</v>
      </c>
      <c r="E76" s="6">
        <v>4</v>
      </c>
      <c r="F76" s="7">
        <f t="shared" si="1701"/>
        <v>229</v>
      </c>
      <c r="G76" s="18"/>
      <c r="H76" s="6"/>
      <c r="I76" s="19"/>
      <c r="J76" s="6">
        <f t="shared" si="1702"/>
        <v>71</v>
      </c>
      <c r="K76" s="6">
        <f t="shared" si="1600"/>
        <v>1</v>
      </c>
      <c r="L76" s="6">
        <f t="shared" si="1703"/>
        <v>36</v>
      </c>
      <c r="M76" s="6">
        <f t="shared" si="1601"/>
        <v>0</v>
      </c>
      <c r="N76" s="6">
        <f t="shared" si="1704"/>
        <v>3</v>
      </c>
      <c r="O76" s="6">
        <f t="shared" si="1602"/>
        <v>0</v>
      </c>
      <c r="P76" s="6">
        <f t="shared" si="1705"/>
        <v>1</v>
      </c>
      <c r="Q76" s="6">
        <f t="shared" si="1603"/>
        <v>0</v>
      </c>
      <c r="R76" s="6">
        <f t="shared" si="1706"/>
        <v>0</v>
      </c>
      <c r="S76" s="6">
        <f t="shared" si="1604"/>
        <v>0</v>
      </c>
      <c r="T76" s="6">
        <f t="shared" si="1707"/>
        <v>0</v>
      </c>
      <c r="U76" s="6">
        <f t="shared" si="1605"/>
        <v>0</v>
      </c>
      <c r="V76" s="6">
        <f t="shared" si="1708"/>
        <v>0</v>
      </c>
      <c r="W76" s="6">
        <f t="shared" si="1606"/>
        <v>1</v>
      </c>
      <c r="X76" s="6">
        <f t="shared" si="1709"/>
        <v>3</v>
      </c>
      <c r="Y76" s="6">
        <f t="shared" si="1607"/>
        <v>0</v>
      </c>
      <c r="Z76" s="6">
        <f t="shared" si="1710"/>
        <v>7</v>
      </c>
      <c r="AA76" s="6">
        <f t="shared" si="1608"/>
        <v>0</v>
      </c>
      <c r="AB76" s="6">
        <f t="shared" si="1711"/>
        <v>0</v>
      </c>
      <c r="AC76" s="6">
        <f t="shared" si="1609"/>
        <v>0</v>
      </c>
      <c r="AD76" s="6">
        <f t="shared" si="1712"/>
        <v>5</v>
      </c>
      <c r="AE76" s="6"/>
      <c r="AF76" s="6">
        <f>IF($E76=4,G76-4,NA())</f>
        <v>-4</v>
      </c>
      <c r="AG76" s="6"/>
      <c r="AH76" s="20">
        <f>G76-'Zusammenfassung Tag1-4'!$B$2/18</f>
        <v>-1.1111111111111112</v>
      </c>
      <c r="AI76" s="21">
        <f t="shared" si="1713"/>
        <v>113.66666666666652</v>
      </c>
      <c r="AJ76" s="18">
        <v>4</v>
      </c>
      <c r="AK76" s="6">
        <f t="shared" si="1714"/>
        <v>262</v>
      </c>
      <c r="AL76" s="19">
        <v>2</v>
      </c>
      <c r="AM76" s="6">
        <f t="shared" si="1715"/>
        <v>103</v>
      </c>
      <c r="AN76" s="6">
        <f t="shared" si="1610"/>
        <v>1</v>
      </c>
      <c r="AO76" s="6">
        <f t="shared" si="1716"/>
        <v>30</v>
      </c>
      <c r="AP76" s="6">
        <f t="shared" si="1611"/>
        <v>0</v>
      </c>
      <c r="AQ76" s="6">
        <f t="shared" si="1717"/>
        <v>8</v>
      </c>
      <c r="AR76" s="6">
        <f t="shared" si="1612"/>
        <v>0</v>
      </c>
      <c r="AS76" s="6">
        <f t="shared" si="1718"/>
        <v>4</v>
      </c>
      <c r="AT76" s="6">
        <f t="shared" si="1613"/>
        <v>1</v>
      </c>
      <c r="AU76" s="6">
        <f t="shared" si="1719"/>
        <v>2</v>
      </c>
      <c r="AV76" s="6">
        <f t="shared" si="1614"/>
        <v>0</v>
      </c>
      <c r="AW76" s="6">
        <f t="shared" si="1720"/>
        <v>1</v>
      </c>
      <c r="AX76" s="6">
        <f t="shared" si="1615"/>
        <v>0</v>
      </c>
      <c r="AY76" s="6">
        <f t="shared" si="1721"/>
        <v>0</v>
      </c>
      <c r="AZ76" s="6">
        <f t="shared" si="1616"/>
        <v>0</v>
      </c>
      <c r="BA76" s="6">
        <f t="shared" si="1722"/>
        <v>0</v>
      </c>
      <c r="BB76" s="6">
        <f t="shared" si="1617"/>
        <v>0</v>
      </c>
      <c r="BC76" s="6">
        <f t="shared" si="1723"/>
        <v>17</v>
      </c>
      <c r="BD76" s="6">
        <f t="shared" si="1618"/>
        <v>1</v>
      </c>
      <c r="BE76" s="6">
        <f t="shared" si="1724"/>
        <v>3</v>
      </c>
      <c r="BF76" s="6">
        <f t="shared" si="1619"/>
        <v>0</v>
      </c>
      <c r="BG76" s="6">
        <f t="shared" si="1725"/>
        <v>6</v>
      </c>
      <c r="BH76" s="6"/>
      <c r="BI76" s="6">
        <f>IF($E76=4,AJ76-4,NA())</f>
        <v>0</v>
      </c>
      <c r="BJ76" s="6"/>
      <c r="BK76" s="20">
        <f>AJ76-'Zusammenfassung Tag1-4'!$C$2/18</f>
        <v>3.3333333333333335</v>
      </c>
      <c r="BL76" s="21">
        <f t="shared" si="1726"/>
        <v>224.00000000000017</v>
      </c>
      <c r="BM76" s="18">
        <v>5</v>
      </c>
      <c r="BN76" s="6">
        <f t="shared" si="1727"/>
        <v>322</v>
      </c>
      <c r="BO76" s="19">
        <v>2</v>
      </c>
      <c r="BP76" s="6">
        <f t="shared" si="1728"/>
        <v>119</v>
      </c>
      <c r="BQ76" s="6">
        <f t="shared" si="1620"/>
        <v>0</v>
      </c>
      <c r="BR76" s="6">
        <f t="shared" si="1729"/>
        <v>8</v>
      </c>
      <c r="BS76" s="6">
        <f t="shared" si="1621"/>
        <v>0</v>
      </c>
      <c r="BT76" s="6">
        <f t="shared" si="1730"/>
        <v>4</v>
      </c>
      <c r="BU76" s="6">
        <f t="shared" si="1622"/>
        <v>0</v>
      </c>
      <c r="BV76" s="6">
        <f t="shared" si="1731"/>
        <v>0</v>
      </c>
      <c r="BW76" s="6">
        <f t="shared" si="1623"/>
        <v>0</v>
      </c>
      <c r="BX76" s="6">
        <f t="shared" si="1732"/>
        <v>0</v>
      </c>
      <c r="BY76" s="6">
        <f t="shared" si="1624"/>
        <v>1</v>
      </c>
      <c r="BZ76" s="6">
        <f t="shared" si="1733"/>
        <v>2</v>
      </c>
      <c r="CA76" s="6">
        <f t="shared" si="1625"/>
        <v>0</v>
      </c>
      <c r="CB76" s="6">
        <f t="shared" si="1734"/>
        <v>1</v>
      </c>
      <c r="CC76" s="6">
        <f t="shared" si="1626"/>
        <v>0</v>
      </c>
      <c r="CD76" s="6">
        <f t="shared" si="1735"/>
        <v>0</v>
      </c>
      <c r="CE76" s="6">
        <f t="shared" si="1627"/>
        <v>0</v>
      </c>
      <c r="CF76" s="6">
        <f t="shared" si="1736"/>
        <v>9</v>
      </c>
      <c r="CG76" s="6">
        <f t="shared" si="1628"/>
        <v>1</v>
      </c>
      <c r="CH76" s="6">
        <f t="shared" si="1737"/>
        <v>3</v>
      </c>
      <c r="CI76" s="6">
        <f t="shared" si="1629"/>
        <v>0</v>
      </c>
      <c r="CJ76" s="6">
        <f t="shared" si="1738"/>
        <v>14</v>
      </c>
      <c r="CK76" s="6"/>
      <c r="CL76" s="6">
        <f>IF($E76=4,BM76-4,NA())</f>
        <v>1</v>
      </c>
      <c r="CM76" s="6"/>
      <c r="CN76" s="20">
        <f>BM76-'Zusammenfassung Tag1-4'!$D$2/18</f>
        <v>3.666666666666667</v>
      </c>
      <c r="CO76" s="21">
        <f t="shared" si="1739"/>
        <v>245.9999999999998</v>
      </c>
      <c r="CP76" s="18">
        <v>4</v>
      </c>
      <c r="CQ76" s="6">
        <f t="shared" si="1740"/>
        <v>298</v>
      </c>
      <c r="CR76" s="19">
        <v>1</v>
      </c>
      <c r="CS76" s="6">
        <f t="shared" si="1741"/>
        <v>114</v>
      </c>
      <c r="CT76" s="6">
        <f t="shared" si="1630"/>
        <v>0</v>
      </c>
      <c r="CU76" s="6">
        <f t="shared" si="1742"/>
        <v>11</v>
      </c>
      <c r="CV76" s="6">
        <f t="shared" si="1631"/>
        <v>1</v>
      </c>
      <c r="CW76" s="6">
        <f t="shared" si="1743"/>
        <v>8</v>
      </c>
      <c r="CX76" s="6">
        <f t="shared" si="1632"/>
        <v>0</v>
      </c>
      <c r="CY76" s="6">
        <f t="shared" si="1744"/>
        <v>0</v>
      </c>
      <c r="CZ76" s="6">
        <f t="shared" si="1633"/>
        <v>1</v>
      </c>
      <c r="DA76" s="6">
        <f t="shared" si="1745"/>
        <v>3</v>
      </c>
      <c r="DB76" s="6">
        <f t="shared" si="1634"/>
        <v>0</v>
      </c>
      <c r="DC76" s="6">
        <f t="shared" si="1746"/>
        <v>0</v>
      </c>
      <c r="DD76" s="6">
        <f t="shared" si="1635"/>
        <v>0</v>
      </c>
      <c r="DE76" s="6">
        <f t="shared" si="1747"/>
        <v>0</v>
      </c>
      <c r="DF76" s="6">
        <f t="shared" si="1636"/>
        <v>0</v>
      </c>
      <c r="DG76" s="6">
        <f t="shared" si="1748"/>
        <v>0</v>
      </c>
      <c r="DH76" s="6">
        <f t="shared" si="1637"/>
        <v>1</v>
      </c>
      <c r="DI76" s="6">
        <f t="shared" si="1749"/>
        <v>13</v>
      </c>
      <c r="DJ76" s="6">
        <f t="shared" si="1638"/>
        <v>0</v>
      </c>
      <c r="DK76" s="6">
        <f t="shared" si="1750"/>
        <v>1</v>
      </c>
      <c r="DL76" s="6">
        <f t="shared" si="1639"/>
        <v>0</v>
      </c>
      <c r="DM76" s="6">
        <f t="shared" si="1751"/>
        <v>13</v>
      </c>
      <c r="DN76" s="6"/>
      <c r="DO76" s="6">
        <f>IF($E76=4,CP76-4,NA())</f>
        <v>0</v>
      </c>
      <c r="DP76" s="6"/>
      <c r="DQ76" s="20">
        <f>CP76-'Zusammenfassung Tag1-4'!$E$2/18</f>
        <v>2.7222222222222223</v>
      </c>
      <c r="DR76" s="22">
        <f t="shared" si="1752"/>
        <v>225.16666666666691</v>
      </c>
      <c r="DS76" s="18">
        <v>6</v>
      </c>
      <c r="DT76" s="6">
        <f t="shared" si="1753"/>
        <v>438</v>
      </c>
      <c r="DU76" s="19">
        <v>2</v>
      </c>
      <c r="DV76" s="6">
        <f t="shared" si="1754"/>
        <v>128</v>
      </c>
      <c r="DW76" s="6">
        <f t="shared" si="1640"/>
        <v>0</v>
      </c>
      <c r="DX76" s="6">
        <f t="shared" si="1755"/>
        <v>1</v>
      </c>
      <c r="DY76" s="6">
        <f t="shared" si="1641"/>
        <v>0</v>
      </c>
      <c r="DZ76" s="6">
        <f t="shared" si="1756"/>
        <v>0</v>
      </c>
      <c r="EA76" s="6">
        <f t="shared" si="1642"/>
        <v>0</v>
      </c>
      <c r="EB76" s="6">
        <f t="shared" si="1757"/>
        <v>0</v>
      </c>
      <c r="EC76" s="6">
        <f t="shared" si="1643"/>
        <v>0</v>
      </c>
      <c r="ED76" s="6">
        <f t="shared" si="1758"/>
        <v>0</v>
      </c>
      <c r="EE76" s="6">
        <f t="shared" si="1644"/>
        <v>0</v>
      </c>
      <c r="EF76" s="6">
        <f t="shared" si="1759"/>
        <v>0</v>
      </c>
      <c r="EG76" s="6">
        <f t="shared" si="1645"/>
        <v>1</v>
      </c>
      <c r="EH76" s="6">
        <f t="shared" si="1760"/>
        <v>3</v>
      </c>
      <c r="EI76" s="6">
        <f t="shared" si="1646"/>
        <v>0</v>
      </c>
      <c r="EJ76" s="6">
        <f t="shared" si="1761"/>
        <v>0</v>
      </c>
      <c r="EK76" s="6">
        <f t="shared" si="1647"/>
        <v>0</v>
      </c>
      <c r="EL76" s="6">
        <f t="shared" si="1762"/>
        <v>2</v>
      </c>
      <c r="EM76" s="6">
        <f t="shared" si="1648"/>
        <v>1</v>
      </c>
      <c r="EN76" s="6">
        <f t="shared" si="1763"/>
        <v>2</v>
      </c>
      <c r="EO76" s="6">
        <f t="shared" si="1649"/>
        <v>0</v>
      </c>
      <c r="EP76" s="6">
        <f t="shared" si="1764"/>
        <v>14</v>
      </c>
      <c r="EQ76" s="6"/>
      <c r="ER76" s="6">
        <f>IF($E76=4,DS76-4,NA())</f>
        <v>2</v>
      </c>
      <c r="ES76" s="6"/>
      <c r="ET76" s="20">
        <f>DS76-'Zusammenfassung Tag1-4'!$F$2/18</f>
        <v>3</v>
      </c>
      <c r="EU76" s="22">
        <f t="shared" si="1765"/>
        <v>267</v>
      </c>
      <c r="EV76" s="18">
        <v>6</v>
      </c>
      <c r="EW76" s="6">
        <f t="shared" si="1766"/>
        <v>321</v>
      </c>
      <c r="EX76" s="19">
        <v>2</v>
      </c>
      <c r="EY76" s="6">
        <f t="shared" si="1767"/>
        <v>119</v>
      </c>
      <c r="EZ76" s="6">
        <f t="shared" si="1650"/>
        <v>0</v>
      </c>
      <c r="FA76" s="6">
        <f t="shared" si="1768"/>
        <v>10</v>
      </c>
      <c r="FB76" s="6">
        <f t="shared" si="1651"/>
        <v>0</v>
      </c>
      <c r="FC76" s="6">
        <f t="shared" si="1769"/>
        <v>1</v>
      </c>
      <c r="FD76" s="6">
        <f t="shared" si="1652"/>
        <v>0</v>
      </c>
      <c r="FE76" s="6">
        <f t="shared" si="1770"/>
        <v>0</v>
      </c>
      <c r="FF76" s="6">
        <f t="shared" si="1653"/>
        <v>0</v>
      </c>
      <c r="FG76" s="6">
        <f t="shared" si="1771"/>
        <v>0</v>
      </c>
      <c r="FH76" s="6">
        <f t="shared" si="1654"/>
        <v>0</v>
      </c>
      <c r="FI76" s="6">
        <f t="shared" si="1772"/>
        <v>2</v>
      </c>
      <c r="FJ76" s="6">
        <f t="shared" si="1655"/>
        <v>1</v>
      </c>
      <c r="FK76" s="6">
        <f t="shared" si="1773"/>
        <v>1</v>
      </c>
      <c r="FL76" s="6">
        <f t="shared" si="1656"/>
        <v>0</v>
      </c>
      <c r="FM76" s="6">
        <f t="shared" si="1774"/>
        <v>0</v>
      </c>
      <c r="FN76" s="6">
        <f t="shared" si="1657"/>
        <v>0</v>
      </c>
      <c r="FO76" s="6">
        <f t="shared" si="1775"/>
        <v>7</v>
      </c>
      <c r="FP76" s="6">
        <f t="shared" si="1658"/>
        <v>1</v>
      </c>
      <c r="FQ76" s="6">
        <f t="shared" si="1776"/>
        <v>3</v>
      </c>
      <c r="FR76" s="6">
        <f t="shared" si="1659"/>
        <v>0</v>
      </c>
      <c r="FS76" s="6">
        <f t="shared" si="1777"/>
        <v>12</v>
      </c>
      <c r="FT76" s="6"/>
      <c r="FU76" s="6">
        <f>IF($E76=4,EV76-4,NA())</f>
        <v>2</v>
      </c>
      <c r="FV76" s="6"/>
      <c r="FW76" s="20">
        <f>EV76-'Zusammenfassung Tag1-4'!$G$2/18</f>
        <v>4.5</v>
      </c>
      <c r="FX76" s="22">
        <f t="shared" si="1778"/>
        <v>235.5</v>
      </c>
      <c r="FY76" s="18">
        <v>7</v>
      </c>
      <c r="FZ76" s="6">
        <f t="shared" si="1779"/>
        <v>413</v>
      </c>
      <c r="GA76" s="19">
        <v>2</v>
      </c>
      <c r="GB76" s="6">
        <f t="shared" si="1780"/>
        <v>133</v>
      </c>
      <c r="GC76" s="6">
        <f t="shared" si="1660"/>
        <v>0</v>
      </c>
      <c r="GD76" s="6">
        <f t="shared" si="1781"/>
        <v>2</v>
      </c>
      <c r="GE76" s="6">
        <f t="shared" si="1661"/>
        <v>0</v>
      </c>
      <c r="GF76" s="6">
        <f t="shared" si="1782"/>
        <v>0</v>
      </c>
      <c r="GG76" s="6">
        <f t="shared" si="1662"/>
        <v>0</v>
      </c>
      <c r="GH76" s="6">
        <f t="shared" si="1783"/>
        <v>0</v>
      </c>
      <c r="GI76" s="6">
        <f t="shared" si="1663"/>
        <v>0</v>
      </c>
      <c r="GJ76" s="6">
        <f t="shared" si="1784"/>
        <v>0</v>
      </c>
      <c r="GK76" s="6">
        <f t="shared" si="1664"/>
        <v>0</v>
      </c>
      <c r="GL76" s="6">
        <f t="shared" si="1785"/>
        <v>0</v>
      </c>
      <c r="GM76" s="6">
        <f t="shared" si="1665"/>
        <v>1</v>
      </c>
      <c r="GN76" s="6">
        <f t="shared" si="1786"/>
        <v>3</v>
      </c>
      <c r="GO76" s="6">
        <f t="shared" si="1666"/>
        <v>0</v>
      </c>
      <c r="GP76" s="6">
        <f t="shared" si="1787"/>
        <v>0</v>
      </c>
      <c r="GQ76" s="6">
        <f t="shared" si="1667"/>
        <v>0</v>
      </c>
      <c r="GR76" s="6">
        <f t="shared" si="1788"/>
        <v>3</v>
      </c>
      <c r="GS76" s="6">
        <f t="shared" si="1668"/>
        <v>1</v>
      </c>
      <c r="GT76" s="6">
        <f t="shared" si="1789"/>
        <v>2</v>
      </c>
      <c r="GU76" s="6">
        <f t="shared" si="1669"/>
        <v>0</v>
      </c>
      <c r="GV76" s="6">
        <f t="shared" si="1790"/>
        <v>22</v>
      </c>
      <c r="GW76" s="6"/>
      <c r="GX76" s="6">
        <f>IF($E76=4,FY76-4,NA())</f>
        <v>3</v>
      </c>
      <c r="GY76" s="6"/>
      <c r="GZ76" s="20">
        <f>FY76-'Zusammenfassung Tag1-4'!$H$2/18</f>
        <v>4</v>
      </c>
      <c r="HA76" s="22">
        <f t="shared" si="1791"/>
        <v>242</v>
      </c>
      <c r="HB76" s="18">
        <v>4</v>
      </c>
      <c r="HC76" s="6">
        <f t="shared" si="1792"/>
        <v>302</v>
      </c>
      <c r="HD76" s="19">
        <v>1</v>
      </c>
      <c r="HE76" s="6">
        <f t="shared" si="1793"/>
        <v>118</v>
      </c>
      <c r="HF76" s="6">
        <f t="shared" si="1670"/>
        <v>0</v>
      </c>
      <c r="HG76" s="6">
        <f t="shared" si="1794"/>
        <v>18</v>
      </c>
      <c r="HH76" s="6">
        <f t="shared" si="1671"/>
        <v>1</v>
      </c>
      <c r="HI76" s="6">
        <f t="shared" si="1795"/>
        <v>6</v>
      </c>
      <c r="HJ76" s="6">
        <f t="shared" si="1672"/>
        <v>0</v>
      </c>
      <c r="HK76" s="6">
        <f t="shared" si="1796"/>
        <v>0</v>
      </c>
      <c r="HL76" s="6">
        <f t="shared" si="1673"/>
        <v>1</v>
      </c>
      <c r="HM76" s="6">
        <f t="shared" si="1797"/>
        <v>2</v>
      </c>
      <c r="HN76" s="6">
        <f t="shared" si="1674"/>
        <v>0</v>
      </c>
      <c r="HO76" s="6">
        <f t="shared" si="1798"/>
        <v>1</v>
      </c>
      <c r="HP76" s="6">
        <f t="shared" si="1675"/>
        <v>0</v>
      </c>
      <c r="HQ76" s="6">
        <f t="shared" si="1799"/>
        <v>0</v>
      </c>
      <c r="HR76" s="6">
        <f t="shared" si="1676"/>
        <v>0</v>
      </c>
      <c r="HS76" s="6">
        <f t="shared" si="1800"/>
        <v>0</v>
      </c>
      <c r="HT76" s="6">
        <f t="shared" si="1677"/>
        <v>1</v>
      </c>
      <c r="HU76" s="6">
        <f t="shared" si="1801"/>
        <v>9</v>
      </c>
      <c r="HV76" s="6">
        <f t="shared" si="1678"/>
        <v>0</v>
      </c>
      <c r="HW76" s="6">
        <f t="shared" si="1802"/>
        <v>0</v>
      </c>
      <c r="HX76" s="6">
        <f t="shared" si="1679"/>
        <v>0</v>
      </c>
      <c r="HY76" s="6">
        <f t="shared" si="1803"/>
        <v>13</v>
      </c>
      <c r="HZ76" s="6"/>
      <c r="IA76" s="6">
        <f>IF($E76=4,HB76-4,NA())</f>
        <v>0</v>
      </c>
      <c r="IB76" s="6"/>
      <c r="IC76" s="20">
        <f>HB76-'Zusammenfassung Tag1-4'!$I$2/18</f>
        <v>3</v>
      </c>
      <c r="ID76" s="22">
        <f t="shared" si="1804"/>
        <v>245</v>
      </c>
      <c r="IE76" s="18">
        <v>7</v>
      </c>
      <c r="IF76" s="6">
        <f t="shared" si="1805"/>
        <v>155</v>
      </c>
      <c r="IG76" s="19">
        <v>2</v>
      </c>
      <c r="IH76" s="6">
        <f t="shared" si="1806"/>
        <v>59</v>
      </c>
      <c r="II76" s="6">
        <f t="shared" si="1680"/>
        <v>0</v>
      </c>
      <c r="IJ76" s="6">
        <f t="shared" si="1807"/>
        <v>37</v>
      </c>
      <c r="IK76" s="6">
        <f t="shared" si="1681"/>
        <v>0</v>
      </c>
      <c r="IL76" s="6">
        <f t="shared" si="1808"/>
        <v>0</v>
      </c>
      <c r="IM76" s="6">
        <f t="shared" si="1682"/>
        <v>0</v>
      </c>
      <c r="IN76" s="6">
        <f t="shared" si="1809"/>
        <v>0</v>
      </c>
      <c r="IO76" s="6">
        <f t="shared" si="1683"/>
        <v>0</v>
      </c>
      <c r="IP76" s="6">
        <f t="shared" si="1810"/>
        <v>0</v>
      </c>
      <c r="IQ76" s="6">
        <f t="shared" si="1684"/>
        <v>0</v>
      </c>
      <c r="IR76" s="6">
        <f t="shared" si="1811"/>
        <v>0</v>
      </c>
      <c r="IS76" s="6">
        <f t="shared" si="1685"/>
        <v>1</v>
      </c>
      <c r="IT76" s="6">
        <f t="shared" si="1812"/>
        <v>3</v>
      </c>
      <c r="IU76" s="6">
        <f t="shared" si="1686"/>
        <v>0</v>
      </c>
      <c r="IV76" s="6">
        <f t="shared" si="1813"/>
        <v>0</v>
      </c>
      <c r="IW76" s="6">
        <f t="shared" si="1687"/>
        <v>0</v>
      </c>
      <c r="IX76" s="6">
        <f t="shared" si="1814"/>
        <v>0</v>
      </c>
      <c r="IY76" s="6">
        <f t="shared" si="1688"/>
        <v>1</v>
      </c>
      <c r="IZ76" s="6">
        <f t="shared" si="1815"/>
        <v>1</v>
      </c>
      <c r="JA76" s="6">
        <f t="shared" si="1689"/>
        <v>0</v>
      </c>
      <c r="JB76" s="6">
        <f t="shared" si="1816"/>
        <v>13</v>
      </c>
      <c r="JC76" s="6"/>
      <c r="JD76" s="6">
        <f>IF($E76=4,IE76-4,NA())</f>
        <v>3</v>
      </c>
      <c r="JE76" s="6"/>
      <c r="JF76" s="20">
        <f>IE76-'Zusammenfassung Tag1-4'!$J$2/18</f>
        <v>4</v>
      </c>
      <c r="JG76" s="22">
        <f t="shared" si="1817"/>
        <v>-16</v>
      </c>
      <c r="JH76" s="18">
        <v>4</v>
      </c>
      <c r="JI76" s="6">
        <f t="shared" si="1818"/>
        <v>98</v>
      </c>
      <c r="JJ76" s="19">
        <v>2</v>
      </c>
      <c r="JK76" s="6">
        <f t="shared" si="1819"/>
        <v>40</v>
      </c>
      <c r="JL76" s="6">
        <f t="shared" si="1690"/>
        <v>1</v>
      </c>
      <c r="JM76" s="6">
        <f t="shared" si="1820"/>
        <v>47</v>
      </c>
      <c r="JN76" s="6">
        <f t="shared" si="1691"/>
        <v>0</v>
      </c>
      <c r="JO76" s="6">
        <f t="shared" si="1821"/>
        <v>1</v>
      </c>
      <c r="JP76" s="6">
        <f t="shared" si="1692"/>
        <v>0</v>
      </c>
      <c r="JQ76" s="6">
        <f t="shared" si="1822"/>
        <v>0</v>
      </c>
      <c r="JR76" s="6">
        <f t="shared" si="1693"/>
        <v>1</v>
      </c>
      <c r="JS76" s="6">
        <f t="shared" si="1823"/>
        <v>3</v>
      </c>
      <c r="JT76" s="6">
        <f t="shared" si="1694"/>
        <v>0</v>
      </c>
      <c r="JU76" s="6">
        <f t="shared" si="1824"/>
        <v>0</v>
      </c>
      <c r="JV76" s="6">
        <f t="shared" si="1695"/>
        <v>0</v>
      </c>
      <c r="JW76" s="6">
        <f t="shared" si="1825"/>
        <v>0</v>
      </c>
      <c r="JX76" s="6">
        <f t="shared" si="1696"/>
        <v>0</v>
      </c>
      <c r="JY76" s="6">
        <f t="shared" si="1826"/>
        <v>0</v>
      </c>
      <c r="JZ76" s="6">
        <f t="shared" si="1697"/>
        <v>0</v>
      </c>
      <c r="KA76" s="6">
        <f t="shared" si="1827"/>
        <v>3</v>
      </c>
      <c r="KB76" s="6">
        <f t="shared" si="1698"/>
        <v>1</v>
      </c>
      <c r="KC76" s="6">
        <f t="shared" si="1828"/>
        <v>3</v>
      </c>
      <c r="KD76" s="6">
        <f t="shared" si="1699"/>
        <v>0</v>
      </c>
      <c r="KE76" s="6">
        <f t="shared" si="1829"/>
        <v>1</v>
      </c>
      <c r="KF76" s="6"/>
      <c r="KG76" s="6">
        <f>IF($E76=4,JH76-4,NA())</f>
        <v>0</v>
      </c>
      <c r="KH76" s="6"/>
      <c r="KI76" s="20">
        <f>JH76-'Zusammenfassung Tag1-4'!$K$2/18</f>
        <v>3.2222222222222223</v>
      </c>
      <c r="KJ76" s="22">
        <f t="shared" si="1830"/>
        <v>53.666666666666636</v>
      </c>
      <c r="KK76" s="10"/>
      <c r="KL76" s="10"/>
      <c r="KM76" s="10"/>
      <c r="KN76" s="10"/>
      <c r="KO76" s="10"/>
      <c r="KP76" s="10"/>
      <c r="KQ76" s="10"/>
      <c r="KR76" s="10"/>
      <c r="KS76" s="10"/>
      <c r="KT76" s="10"/>
      <c r="KU76" s="10"/>
      <c r="KV76" s="10"/>
      <c r="KW76" s="10"/>
      <c r="KX76" s="10"/>
      <c r="KY76" s="10"/>
      <c r="KZ76" s="10"/>
      <c r="LA76" s="10"/>
      <c r="LB76" s="10"/>
      <c r="LC76" s="10"/>
      <c r="LD76" s="10"/>
    </row>
    <row r="77" spans="1:316" ht="15.75" customHeight="1" x14ac:dyDescent="0.25">
      <c r="A77" s="106"/>
      <c r="B77" s="103"/>
      <c r="C77" s="6">
        <v>4</v>
      </c>
      <c r="D77" s="6">
        <f t="shared" si="1700"/>
        <v>58</v>
      </c>
      <c r="E77" s="6">
        <v>3</v>
      </c>
      <c r="F77" s="7">
        <f t="shared" si="1701"/>
        <v>232</v>
      </c>
      <c r="G77" s="18"/>
      <c r="H77" s="6"/>
      <c r="I77" s="19"/>
      <c r="J77" s="6">
        <f t="shared" si="1702"/>
        <v>71</v>
      </c>
      <c r="K77" s="6">
        <f t="shared" si="1600"/>
        <v>1</v>
      </c>
      <c r="L77" s="6">
        <f t="shared" si="1703"/>
        <v>37</v>
      </c>
      <c r="M77" s="6">
        <f t="shared" si="1601"/>
        <v>0</v>
      </c>
      <c r="N77" s="6">
        <f t="shared" si="1704"/>
        <v>3</v>
      </c>
      <c r="O77" s="6">
        <f t="shared" si="1602"/>
        <v>0</v>
      </c>
      <c r="P77" s="6">
        <f t="shared" si="1705"/>
        <v>1</v>
      </c>
      <c r="Q77" s="6">
        <f t="shared" si="1603"/>
        <v>0</v>
      </c>
      <c r="R77" s="6">
        <f t="shared" si="1706"/>
        <v>0</v>
      </c>
      <c r="S77" s="6">
        <f t="shared" si="1604"/>
        <v>0</v>
      </c>
      <c r="T77" s="6">
        <f t="shared" si="1707"/>
        <v>0</v>
      </c>
      <c r="U77" s="6">
        <f t="shared" si="1605"/>
        <v>0</v>
      </c>
      <c r="V77" s="6">
        <f t="shared" si="1708"/>
        <v>0</v>
      </c>
      <c r="W77" s="6">
        <f t="shared" si="1606"/>
        <v>1</v>
      </c>
      <c r="X77" s="6">
        <f t="shared" si="1709"/>
        <v>4</v>
      </c>
      <c r="Y77" s="6">
        <f t="shared" si="1607"/>
        <v>0</v>
      </c>
      <c r="Z77" s="6">
        <f t="shared" si="1710"/>
        <v>7</v>
      </c>
      <c r="AA77" s="6">
        <f t="shared" si="1608"/>
        <v>0</v>
      </c>
      <c r="AB77" s="6">
        <f t="shared" si="1711"/>
        <v>0</v>
      </c>
      <c r="AC77" s="6">
        <f t="shared" si="1609"/>
        <v>0</v>
      </c>
      <c r="AD77" s="6">
        <f t="shared" si="1712"/>
        <v>5</v>
      </c>
      <c r="AE77" s="6">
        <f>IF($E77=3,G77-3,NA())</f>
        <v>-3</v>
      </c>
      <c r="AF77" s="6"/>
      <c r="AG77" s="6"/>
      <c r="AH77" s="20">
        <f>G77-'Zusammenfassung Tag1-4'!$B$2/18</f>
        <v>-1.1111111111111112</v>
      </c>
      <c r="AI77" s="21">
        <f t="shared" si="1713"/>
        <v>112.5555555555554</v>
      </c>
      <c r="AJ77" s="18">
        <v>3</v>
      </c>
      <c r="AK77" s="6">
        <f t="shared" si="1714"/>
        <v>265</v>
      </c>
      <c r="AL77" s="19">
        <v>1</v>
      </c>
      <c r="AM77" s="6">
        <f t="shared" si="1715"/>
        <v>104</v>
      </c>
      <c r="AN77" s="6">
        <f t="shared" si="1610"/>
        <v>0</v>
      </c>
      <c r="AO77" s="6">
        <f t="shared" si="1716"/>
        <v>30</v>
      </c>
      <c r="AP77" s="6">
        <f t="shared" si="1611"/>
        <v>1</v>
      </c>
      <c r="AQ77" s="6">
        <f t="shared" si="1717"/>
        <v>9</v>
      </c>
      <c r="AR77" s="6">
        <f t="shared" si="1612"/>
        <v>0</v>
      </c>
      <c r="AS77" s="6">
        <f t="shared" si="1718"/>
        <v>4</v>
      </c>
      <c r="AT77" s="6">
        <f t="shared" si="1613"/>
        <v>1</v>
      </c>
      <c r="AU77" s="6">
        <f t="shared" si="1719"/>
        <v>3</v>
      </c>
      <c r="AV77" s="6">
        <f t="shared" si="1614"/>
        <v>0</v>
      </c>
      <c r="AW77" s="6">
        <f t="shared" si="1720"/>
        <v>1</v>
      </c>
      <c r="AX77" s="6">
        <f t="shared" si="1615"/>
        <v>0</v>
      </c>
      <c r="AY77" s="6">
        <f t="shared" si="1721"/>
        <v>0</v>
      </c>
      <c r="AZ77" s="6">
        <f t="shared" si="1616"/>
        <v>0</v>
      </c>
      <c r="BA77" s="6">
        <f t="shared" si="1722"/>
        <v>0</v>
      </c>
      <c r="BB77" s="6">
        <f t="shared" si="1617"/>
        <v>1</v>
      </c>
      <c r="BC77" s="6">
        <f t="shared" si="1723"/>
        <v>18</v>
      </c>
      <c r="BD77" s="6">
        <f t="shared" si="1618"/>
        <v>0</v>
      </c>
      <c r="BE77" s="6">
        <f t="shared" si="1724"/>
        <v>3</v>
      </c>
      <c r="BF77" s="6">
        <f t="shared" si="1619"/>
        <v>0</v>
      </c>
      <c r="BG77" s="6">
        <f t="shared" si="1725"/>
        <v>6</v>
      </c>
      <c r="BH77" s="6">
        <f>IF($E77=3,AJ77-3,NA())</f>
        <v>0</v>
      </c>
      <c r="BI77" s="6"/>
      <c r="BJ77" s="6"/>
      <c r="BK77" s="20">
        <f>AJ77-'Zusammenfassung Tag1-4'!$C$2/18</f>
        <v>2.3333333333333335</v>
      </c>
      <c r="BL77" s="21">
        <f t="shared" si="1726"/>
        <v>226.33333333333351</v>
      </c>
      <c r="BM77" s="18">
        <v>3</v>
      </c>
      <c r="BN77" s="6">
        <f t="shared" si="1727"/>
        <v>325</v>
      </c>
      <c r="BO77" s="19">
        <v>2</v>
      </c>
      <c r="BP77" s="6">
        <f t="shared" si="1728"/>
        <v>121</v>
      </c>
      <c r="BQ77" s="6">
        <f t="shared" si="1620"/>
        <v>1</v>
      </c>
      <c r="BR77" s="6">
        <f t="shared" si="1729"/>
        <v>9</v>
      </c>
      <c r="BS77" s="6">
        <f t="shared" si="1621"/>
        <v>0</v>
      </c>
      <c r="BT77" s="6">
        <f t="shared" si="1730"/>
        <v>4</v>
      </c>
      <c r="BU77" s="6">
        <f t="shared" si="1622"/>
        <v>0</v>
      </c>
      <c r="BV77" s="6">
        <f t="shared" si="1731"/>
        <v>0</v>
      </c>
      <c r="BW77" s="6">
        <f t="shared" si="1623"/>
        <v>1</v>
      </c>
      <c r="BX77" s="6">
        <f t="shared" si="1732"/>
        <v>1</v>
      </c>
      <c r="BY77" s="6">
        <f t="shared" si="1624"/>
        <v>0</v>
      </c>
      <c r="BZ77" s="6">
        <f t="shared" si="1733"/>
        <v>2</v>
      </c>
      <c r="CA77" s="6">
        <f t="shared" si="1625"/>
        <v>0</v>
      </c>
      <c r="CB77" s="6">
        <f t="shared" si="1734"/>
        <v>1</v>
      </c>
      <c r="CC77" s="6">
        <f t="shared" si="1626"/>
        <v>0</v>
      </c>
      <c r="CD77" s="6">
        <f t="shared" si="1735"/>
        <v>0</v>
      </c>
      <c r="CE77" s="6">
        <f t="shared" si="1627"/>
        <v>0</v>
      </c>
      <c r="CF77" s="6">
        <f t="shared" si="1736"/>
        <v>9</v>
      </c>
      <c r="CG77" s="6">
        <f t="shared" si="1628"/>
        <v>1</v>
      </c>
      <c r="CH77" s="6">
        <f t="shared" si="1737"/>
        <v>4</v>
      </c>
      <c r="CI77" s="6">
        <f t="shared" si="1629"/>
        <v>0</v>
      </c>
      <c r="CJ77" s="6">
        <f t="shared" si="1738"/>
        <v>14</v>
      </c>
      <c r="CK77" s="6">
        <f>IF($E77=3,BM77-3,NA())</f>
        <v>0</v>
      </c>
      <c r="CL77" s="6"/>
      <c r="CM77" s="6"/>
      <c r="CN77" s="20">
        <f>BM77-'Zusammenfassung Tag1-4'!$D$2/18</f>
        <v>1.6666666666666667</v>
      </c>
      <c r="CO77" s="21">
        <f t="shared" si="1739"/>
        <v>247.66666666666646</v>
      </c>
      <c r="CP77" s="18">
        <v>2</v>
      </c>
      <c r="CQ77" s="6">
        <f t="shared" si="1740"/>
        <v>300</v>
      </c>
      <c r="CR77" s="19">
        <v>1</v>
      </c>
      <c r="CS77" s="6">
        <f t="shared" si="1741"/>
        <v>115</v>
      </c>
      <c r="CT77" s="6">
        <f t="shared" si="1630"/>
        <v>1</v>
      </c>
      <c r="CU77" s="6">
        <f t="shared" si="1742"/>
        <v>12</v>
      </c>
      <c r="CV77" s="6">
        <f t="shared" si="1631"/>
        <v>0</v>
      </c>
      <c r="CW77" s="6">
        <f t="shared" si="1743"/>
        <v>8</v>
      </c>
      <c r="CX77" s="6">
        <f t="shared" si="1632"/>
        <v>1</v>
      </c>
      <c r="CY77" s="6">
        <f t="shared" si="1744"/>
        <v>1</v>
      </c>
      <c r="CZ77" s="6">
        <f t="shared" si="1633"/>
        <v>0</v>
      </c>
      <c r="DA77" s="6">
        <f t="shared" si="1745"/>
        <v>3</v>
      </c>
      <c r="DB77" s="6">
        <f t="shared" si="1634"/>
        <v>0</v>
      </c>
      <c r="DC77" s="6">
        <f t="shared" si="1746"/>
        <v>0</v>
      </c>
      <c r="DD77" s="6">
        <f t="shared" si="1635"/>
        <v>0</v>
      </c>
      <c r="DE77" s="6">
        <f t="shared" si="1747"/>
        <v>0</v>
      </c>
      <c r="DF77" s="6">
        <f t="shared" si="1636"/>
        <v>0</v>
      </c>
      <c r="DG77" s="6">
        <f t="shared" si="1748"/>
        <v>0</v>
      </c>
      <c r="DH77" s="6">
        <f t="shared" si="1637"/>
        <v>1</v>
      </c>
      <c r="DI77" s="6">
        <f t="shared" si="1749"/>
        <v>14</v>
      </c>
      <c r="DJ77" s="6">
        <f t="shared" si="1638"/>
        <v>0</v>
      </c>
      <c r="DK77" s="6">
        <f t="shared" si="1750"/>
        <v>1</v>
      </c>
      <c r="DL77" s="6">
        <f t="shared" si="1639"/>
        <v>0</v>
      </c>
      <c r="DM77" s="6">
        <f t="shared" si="1751"/>
        <v>13</v>
      </c>
      <c r="DN77" s="6">
        <f>IF($E77=3,CP77-3,NA())</f>
        <v>-1</v>
      </c>
      <c r="DO77" s="6"/>
      <c r="DP77" s="6"/>
      <c r="DQ77" s="20">
        <f>CP77-'Zusammenfassung Tag1-4'!$E$2/18</f>
        <v>0.72222222222222232</v>
      </c>
      <c r="DR77" s="22">
        <f t="shared" si="1752"/>
        <v>225.88888888888914</v>
      </c>
      <c r="DS77" s="18">
        <v>5</v>
      </c>
      <c r="DT77" s="6">
        <f t="shared" si="1753"/>
        <v>443</v>
      </c>
      <c r="DU77" s="19">
        <v>2</v>
      </c>
      <c r="DV77" s="6">
        <f t="shared" si="1754"/>
        <v>130</v>
      </c>
      <c r="DW77" s="6">
        <f t="shared" si="1640"/>
        <v>0</v>
      </c>
      <c r="DX77" s="6">
        <f t="shared" si="1755"/>
        <v>1</v>
      </c>
      <c r="DY77" s="6">
        <f t="shared" si="1641"/>
        <v>0</v>
      </c>
      <c r="DZ77" s="6">
        <f t="shared" si="1756"/>
        <v>0</v>
      </c>
      <c r="EA77" s="6">
        <f t="shared" si="1642"/>
        <v>0</v>
      </c>
      <c r="EB77" s="6">
        <f t="shared" si="1757"/>
        <v>0</v>
      </c>
      <c r="EC77" s="6">
        <f t="shared" si="1643"/>
        <v>0</v>
      </c>
      <c r="ED77" s="6">
        <f t="shared" si="1758"/>
        <v>0</v>
      </c>
      <c r="EE77" s="6">
        <f t="shared" si="1644"/>
        <v>0</v>
      </c>
      <c r="EF77" s="6">
        <f t="shared" si="1759"/>
        <v>0</v>
      </c>
      <c r="EG77" s="6">
        <f t="shared" si="1645"/>
        <v>1</v>
      </c>
      <c r="EH77" s="6">
        <f t="shared" si="1760"/>
        <v>4</v>
      </c>
      <c r="EI77" s="6">
        <f t="shared" si="1646"/>
        <v>0</v>
      </c>
      <c r="EJ77" s="6">
        <f t="shared" si="1761"/>
        <v>0</v>
      </c>
      <c r="EK77" s="6">
        <f t="shared" si="1647"/>
        <v>0</v>
      </c>
      <c r="EL77" s="6">
        <f t="shared" si="1762"/>
        <v>2</v>
      </c>
      <c r="EM77" s="6">
        <f t="shared" si="1648"/>
        <v>1</v>
      </c>
      <c r="EN77" s="6">
        <f t="shared" si="1763"/>
        <v>3</v>
      </c>
      <c r="EO77" s="6">
        <f t="shared" si="1649"/>
        <v>0</v>
      </c>
      <c r="EP77" s="6">
        <f t="shared" si="1764"/>
        <v>14</v>
      </c>
      <c r="EQ77" s="6">
        <f>IF($E77=3,DS77-3,NA())</f>
        <v>2</v>
      </c>
      <c r="ER77" s="6"/>
      <c r="ES77" s="6"/>
      <c r="ET77" s="20">
        <f>DS77-'Zusammenfassung Tag1-4'!$F$2/18</f>
        <v>2</v>
      </c>
      <c r="EU77" s="22">
        <f t="shared" si="1765"/>
        <v>269</v>
      </c>
      <c r="EV77" s="18">
        <v>4</v>
      </c>
      <c r="EW77" s="6">
        <f t="shared" si="1766"/>
        <v>325</v>
      </c>
      <c r="EX77" s="19">
        <v>2</v>
      </c>
      <c r="EY77" s="6">
        <f t="shared" si="1767"/>
        <v>121</v>
      </c>
      <c r="EZ77" s="6">
        <f t="shared" si="1650"/>
        <v>0</v>
      </c>
      <c r="FA77" s="6">
        <f t="shared" si="1768"/>
        <v>10</v>
      </c>
      <c r="FB77" s="6">
        <f t="shared" si="1651"/>
        <v>0</v>
      </c>
      <c r="FC77" s="6">
        <f t="shared" si="1769"/>
        <v>1</v>
      </c>
      <c r="FD77" s="6">
        <f t="shared" si="1652"/>
        <v>0</v>
      </c>
      <c r="FE77" s="6">
        <f t="shared" si="1770"/>
        <v>0</v>
      </c>
      <c r="FF77" s="6">
        <f t="shared" si="1653"/>
        <v>0</v>
      </c>
      <c r="FG77" s="6">
        <f t="shared" si="1771"/>
        <v>0</v>
      </c>
      <c r="FH77" s="6">
        <f t="shared" si="1654"/>
        <v>1</v>
      </c>
      <c r="FI77" s="6">
        <f t="shared" si="1772"/>
        <v>3</v>
      </c>
      <c r="FJ77" s="6">
        <f t="shared" si="1655"/>
        <v>0</v>
      </c>
      <c r="FK77" s="6">
        <f t="shared" si="1773"/>
        <v>1</v>
      </c>
      <c r="FL77" s="6">
        <f t="shared" si="1656"/>
        <v>0</v>
      </c>
      <c r="FM77" s="6">
        <f t="shared" si="1774"/>
        <v>0</v>
      </c>
      <c r="FN77" s="6">
        <f t="shared" si="1657"/>
        <v>0</v>
      </c>
      <c r="FO77" s="6">
        <f t="shared" si="1775"/>
        <v>7</v>
      </c>
      <c r="FP77" s="6">
        <f t="shared" si="1658"/>
        <v>1</v>
      </c>
      <c r="FQ77" s="6">
        <f t="shared" si="1776"/>
        <v>4</v>
      </c>
      <c r="FR77" s="6">
        <f t="shared" si="1659"/>
        <v>0</v>
      </c>
      <c r="FS77" s="6">
        <f t="shared" si="1777"/>
        <v>12</v>
      </c>
      <c r="FT77" s="6">
        <f>IF($E77=3,EV77-3,NA())</f>
        <v>1</v>
      </c>
      <c r="FU77" s="6"/>
      <c r="FV77" s="6"/>
      <c r="FW77" s="20">
        <f>EV77-'Zusammenfassung Tag1-4'!$G$2/18</f>
        <v>2.5</v>
      </c>
      <c r="FX77" s="22">
        <f t="shared" si="1778"/>
        <v>238</v>
      </c>
      <c r="FY77" s="18">
        <v>4</v>
      </c>
      <c r="FZ77" s="6">
        <f t="shared" si="1779"/>
        <v>417</v>
      </c>
      <c r="GA77" s="19">
        <v>2</v>
      </c>
      <c r="GB77" s="6">
        <f t="shared" si="1780"/>
        <v>135</v>
      </c>
      <c r="GC77" s="6">
        <f t="shared" si="1660"/>
        <v>0</v>
      </c>
      <c r="GD77" s="6">
        <f t="shared" si="1781"/>
        <v>2</v>
      </c>
      <c r="GE77" s="6">
        <f t="shared" si="1661"/>
        <v>0</v>
      </c>
      <c r="GF77" s="6">
        <f t="shared" si="1782"/>
        <v>0</v>
      </c>
      <c r="GG77" s="6">
        <f t="shared" si="1662"/>
        <v>0</v>
      </c>
      <c r="GH77" s="6">
        <f t="shared" si="1783"/>
        <v>0</v>
      </c>
      <c r="GI77" s="6">
        <f t="shared" si="1663"/>
        <v>0</v>
      </c>
      <c r="GJ77" s="6">
        <f t="shared" si="1784"/>
        <v>0</v>
      </c>
      <c r="GK77" s="6">
        <f t="shared" si="1664"/>
        <v>1</v>
      </c>
      <c r="GL77" s="6">
        <f t="shared" si="1785"/>
        <v>1</v>
      </c>
      <c r="GM77" s="6">
        <f t="shared" si="1665"/>
        <v>0</v>
      </c>
      <c r="GN77" s="6">
        <f t="shared" si="1786"/>
        <v>3</v>
      </c>
      <c r="GO77" s="6">
        <f t="shared" si="1666"/>
        <v>0</v>
      </c>
      <c r="GP77" s="6">
        <f t="shared" si="1787"/>
        <v>0</v>
      </c>
      <c r="GQ77" s="6">
        <f t="shared" si="1667"/>
        <v>0</v>
      </c>
      <c r="GR77" s="6">
        <f t="shared" si="1788"/>
        <v>3</v>
      </c>
      <c r="GS77" s="6">
        <f t="shared" si="1668"/>
        <v>1</v>
      </c>
      <c r="GT77" s="6">
        <f t="shared" si="1789"/>
        <v>3</v>
      </c>
      <c r="GU77" s="6">
        <f t="shared" si="1669"/>
        <v>0</v>
      </c>
      <c r="GV77" s="6">
        <f t="shared" si="1790"/>
        <v>22</v>
      </c>
      <c r="GW77" s="6">
        <f>IF($E77=3,FY77-3,NA())</f>
        <v>1</v>
      </c>
      <c r="GX77" s="6"/>
      <c r="GY77" s="6"/>
      <c r="GZ77" s="20">
        <f>FY77-'Zusammenfassung Tag1-4'!$H$2/18</f>
        <v>1</v>
      </c>
      <c r="HA77" s="22">
        <f t="shared" si="1791"/>
        <v>243</v>
      </c>
      <c r="HB77" s="18">
        <v>4</v>
      </c>
      <c r="HC77" s="6">
        <f t="shared" si="1792"/>
        <v>306</v>
      </c>
      <c r="HD77" s="19">
        <v>1</v>
      </c>
      <c r="HE77" s="6">
        <f t="shared" si="1793"/>
        <v>119</v>
      </c>
      <c r="HF77" s="6">
        <f t="shared" si="1670"/>
        <v>0</v>
      </c>
      <c r="HG77" s="6">
        <f t="shared" si="1794"/>
        <v>18</v>
      </c>
      <c r="HH77" s="6">
        <f t="shared" si="1671"/>
        <v>0</v>
      </c>
      <c r="HI77" s="6">
        <f t="shared" si="1795"/>
        <v>6</v>
      </c>
      <c r="HJ77" s="6">
        <f t="shared" si="1672"/>
        <v>0</v>
      </c>
      <c r="HK77" s="6">
        <f t="shared" si="1796"/>
        <v>0</v>
      </c>
      <c r="HL77" s="6">
        <f t="shared" si="1673"/>
        <v>0</v>
      </c>
      <c r="HM77" s="6">
        <f t="shared" si="1797"/>
        <v>2</v>
      </c>
      <c r="HN77" s="6">
        <f t="shared" si="1674"/>
        <v>1</v>
      </c>
      <c r="HO77" s="6">
        <f t="shared" si="1798"/>
        <v>2</v>
      </c>
      <c r="HP77" s="6">
        <f t="shared" si="1675"/>
        <v>0</v>
      </c>
      <c r="HQ77" s="6">
        <f t="shared" si="1799"/>
        <v>0</v>
      </c>
      <c r="HR77" s="6">
        <f t="shared" si="1676"/>
        <v>0</v>
      </c>
      <c r="HS77" s="6">
        <f t="shared" si="1800"/>
        <v>0</v>
      </c>
      <c r="HT77" s="6">
        <f t="shared" si="1677"/>
        <v>1</v>
      </c>
      <c r="HU77" s="6">
        <f t="shared" si="1801"/>
        <v>10</v>
      </c>
      <c r="HV77" s="6">
        <f t="shared" si="1678"/>
        <v>0</v>
      </c>
      <c r="HW77" s="6">
        <f t="shared" si="1802"/>
        <v>0</v>
      </c>
      <c r="HX77" s="6">
        <f t="shared" si="1679"/>
        <v>0</v>
      </c>
      <c r="HY77" s="6">
        <f t="shared" si="1803"/>
        <v>13</v>
      </c>
      <c r="HZ77" s="6">
        <f>IF($E77=3,HB77-3,NA())</f>
        <v>1</v>
      </c>
      <c r="IA77" s="6"/>
      <c r="IB77" s="6"/>
      <c r="IC77" s="20">
        <f>HB77-'Zusammenfassung Tag1-4'!$I$2/18</f>
        <v>3</v>
      </c>
      <c r="ID77" s="22">
        <f t="shared" si="1804"/>
        <v>248</v>
      </c>
      <c r="IE77" s="18">
        <v>10</v>
      </c>
      <c r="IF77" s="6">
        <f t="shared" si="1805"/>
        <v>165</v>
      </c>
      <c r="IG77" s="19">
        <v>2</v>
      </c>
      <c r="IH77" s="6">
        <f t="shared" si="1806"/>
        <v>61</v>
      </c>
      <c r="II77" s="6">
        <f t="shared" si="1680"/>
        <v>0</v>
      </c>
      <c r="IJ77" s="6">
        <f t="shared" si="1807"/>
        <v>37</v>
      </c>
      <c r="IK77" s="6">
        <f t="shared" si="1681"/>
        <v>0</v>
      </c>
      <c r="IL77" s="6">
        <f t="shared" si="1808"/>
        <v>0</v>
      </c>
      <c r="IM77" s="6">
        <f t="shared" si="1682"/>
        <v>0</v>
      </c>
      <c r="IN77" s="6">
        <f t="shared" si="1809"/>
        <v>0</v>
      </c>
      <c r="IO77" s="6">
        <f t="shared" si="1683"/>
        <v>0</v>
      </c>
      <c r="IP77" s="6">
        <f t="shared" si="1810"/>
        <v>0</v>
      </c>
      <c r="IQ77" s="6">
        <f t="shared" si="1684"/>
        <v>0</v>
      </c>
      <c r="IR77" s="6">
        <f t="shared" si="1811"/>
        <v>0</v>
      </c>
      <c r="IS77" s="6">
        <f t="shared" si="1685"/>
        <v>1</v>
      </c>
      <c r="IT77" s="6">
        <f t="shared" si="1812"/>
        <v>4</v>
      </c>
      <c r="IU77" s="6">
        <f t="shared" si="1686"/>
        <v>0</v>
      </c>
      <c r="IV77" s="6">
        <f t="shared" si="1813"/>
        <v>0</v>
      </c>
      <c r="IW77" s="6">
        <f t="shared" si="1687"/>
        <v>0</v>
      </c>
      <c r="IX77" s="6">
        <f t="shared" si="1814"/>
        <v>0</v>
      </c>
      <c r="IY77" s="6">
        <f t="shared" si="1688"/>
        <v>1</v>
      </c>
      <c r="IZ77" s="6">
        <f t="shared" si="1815"/>
        <v>2</v>
      </c>
      <c r="JA77" s="6">
        <f t="shared" si="1689"/>
        <v>0</v>
      </c>
      <c r="JB77" s="6">
        <f t="shared" si="1816"/>
        <v>13</v>
      </c>
      <c r="JC77" s="6">
        <f>IF($E77=3,IE77-3,NA())</f>
        <v>7</v>
      </c>
      <c r="JD77" s="6"/>
      <c r="JE77" s="6"/>
      <c r="JF77" s="20">
        <f>IE77-'Zusammenfassung Tag1-4'!$J$2/18</f>
        <v>7</v>
      </c>
      <c r="JG77" s="22">
        <f t="shared" si="1817"/>
        <v>-9</v>
      </c>
      <c r="JH77" s="18">
        <v>5</v>
      </c>
      <c r="JI77" s="6">
        <f t="shared" si="1818"/>
        <v>103</v>
      </c>
      <c r="JJ77" s="19">
        <v>2</v>
      </c>
      <c r="JK77" s="6">
        <f t="shared" si="1819"/>
        <v>42</v>
      </c>
      <c r="JL77" s="6">
        <f t="shared" si="1690"/>
        <v>0</v>
      </c>
      <c r="JM77" s="6">
        <f t="shared" si="1820"/>
        <v>47</v>
      </c>
      <c r="JN77" s="6">
        <f t="shared" si="1691"/>
        <v>0</v>
      </c>
      <c r="JO77" s="6">
        <f t="shared" si="1821"/>
        <v>1</v>
      </c>
      <c r="JP77" s="6">
        <f t="shared" si="1692"/>
        <v>0</v>
      </c>
      <c r="JQ77" s="6">
        <f t="shared" si="1822"/>
        <v>0</v>
      </c>
      <c r="JR77" s="6">
        <f t="shared" si="1693"/>
        <v>0</v>
      </c>
      <c r="JS77" s="6">
        <f t="shared" si="1823"/>
        <v>3</v>
      </c>
      <c r="JT77" s="6">
        <f t="shared" si="1694"/>
        <v>0</v>
      </c>
      <c r="JU77" s="6">
        <f t="shared" si="1824"/>
        <v>0</v>
      </c>
      <c r="JV77" s="6">
        <f t="shared" si="1695"/>
        <v>1</v>
      </c>
      <c r="JW77" s="6">
        <f t="shared" si="1825"/>
        <v>1</v>
      </c>
      <c r="JX77" s="6">
        <f t="shared" si="1696"/>
        <v>0</v>
      </c>
      <c r="JY77" s="6">
        <f t="shared" si="1826"/>
        <v>0</v>
      </c>
      <c r="JZ77" s="6">
        <f t="shared" si="1697"/>
        <v>0</v>
      </c>
      <c r="KA77" s="6">
        <f t="shared" si="1827"/>
        <v>3</v>
      </c>
      <c r="KB77" s="6">
        <f t="shared" si="1698"/>
        <v>1</v>
      </c>
      <c r="KC77" s="6">
        <f t="shared" si="1828"/>
        <v>4</v>
      </c>
      <c r="KD77" s="6">
        <f t="shared" si="1699"/>
        <v>0</v>
      </c>
      <c r="KE77" s="6">
        <f t="shared" si="1829"/>
        <v>1</v>
      </c>
      <c r="KF77" s="6">
        <f>IF($E77=3,JH77-3,NA())</f>
        <v>2</v>
      </c>
      <c r="KG77" s="6"/>
      <c r="KH77" s="6"/>
      <c r="KI77" s="20">
        <f>JH77-'Zusammenfassung Tag1-4'!$K$2/18</f>
        <v>4.2222222222222223</v>
      </c>
      <c r="KJ77" s="22">
        <f t="shared" si="1830"/>
        <v>57.888888888888857</v>
      </c>
      <c r="KK77" s="10"/>
      <c r="KL77" s="10"/>
      <c r="KM77" s="10"/>
      <c r="KN77" s="10"/>
      <c r="KO77" s="10"/>
      <c r="KP77" s="10"/>
      <c r="KQ77" s="10"/>
      <c r="KR77" s="10"/>
      <c r="KS77" s="10"/>
      <c r="KT77" s="10"/>
      <c r="KU77" s="10"/>
      <c r="KV77" s="10"/>
      <c r="KW77" s="10"/>
      <c r="KX77" s="10"/>
      <c r="KY77" s="10"/>
      <c r="KZ77" s="10"/>
      <c r="LA77" s="10"/>
      <c r="LB77" s="10"/>
      <c r="LC77" s="10"/>
      <c r="LD77" s="10"/>
    </row>
    <row r="78" spans="1:316" ht="15.75" customHeight="1" x14ac:dyDescent="0.25">
      <c r="A78" s="106"/>
      <c r="B78" s="103"/>
      <c r="C78" s="6">
        <v>5</v>
      </c>
      <c r="D78" s="6">
        <f t="shared" si="1700"/>
        <v>59</v>
      </c>
      <c r="E78" s="6">
        <v>4</v>
      </c>
      <c r="F78" s="7">
        <f t="shared" si="1701"/>
        <v>236</v>
      </c>
      <c r="G78" s="18"/>
      <c r="H78" s="6"/>
      <c r="I78" s="19"/>
      <c r="J78" s="6">
        <f t="shared" si="1702"/>
        <v>71</v>
      </c>
      <c r="K78" s="6">
        <f t="shared" si="1600"/>
        <v>1</v>
      </c>
      <c r="L78" s="6">
        <f t="shared" si="1703"/>
        <v>38</v>
      </c>
      <c r="M78" s="6">
        <f t="shared" si="1601"/>
        <v>0</v>
      </c>
      <c r="N78" s="6">
        <f t="shared" si="1704"/>
        <v>3</v>
      </c>
      <c r="O78" s="6">
        <f t="shared" si="1602"/>
        <v>0</v>
      </c>
      <c r="P78" s="6">
        <f t="shared" si="1705"/>
        <v>1</v>
      </c>
      <c r="Q78" s="6">
        <f t="shared" si="1603"/>
        <v>0</v>
      </c>
      <c r="R78" s="6">
        <f t="shared" si="1706"/>
        <v>0</v>
      </c>
      <c r="S78" s="6">
        <f t="shared" si="1604"/>
        <v>0</v>
      </c>
      <c r="T78" s="6">
        <f t="shared" si="1707"/>
        <v>0</v>
      </c>
      <c r="U78" s="6">
        <f t="shared" si="1605"/>
        <v>0</v>
      </c>
      <c r="V78" s="6">
        <f t="shared" si="1708"/>
        <v>0</v>
      </c>
      <c r="W78" s="6">
        <f t="shared" si="1606"/>
        <v>1</v>
      </c>
      <c r="X78" s="6">
        <f t="shared" si="1709"/>
        <v>5</v>
      </c>
      <c r="Y78" s="6">
        <f t="shared" si="1607"/>
        <v>0</v>
      </c>
      <c r="Z78" s="6">
        <f t="shared" si="1710"/>
        <v>7</v>
      </c>
      <c r="AA78" s="6">
        <f t="shared" si="1608"/>
        <v>0</v>
      </c>
      <c r="AB78" s="6">
        <f t="shared" si="1711"/>
        <v>0</v>
      </c>
      <c r="AC78" s="6">
        <f t="shared" si="1609"/>
        <v>0</v>
      </c>
      <c r="AD78" s="6">
        <f t="shared" si="1712"/>
        <v>5</v>
      </c>
      <c r="AE78" s="6"/>
      <c r="AF78" s="6">
        <f t="shared" ref="AF78:AF79" si="1831">IF($E78=4,G78-4,NA())</f>
        <v>-4</v>
      </c>
      <c r="AG78" s="6"/>
      <c r="AH78" s="20">
        <f>G78-'Zusammenfassung Tag1-4'!$B$2/18</f>
        <v>-1.1111111111111112</v>
      </c>
      <c r="AI78" s="21">
        <f t="shared" si="1713"/>
        <v>111.44444444444429</v>
      </c>
      <c r="AJ78" s="18">
        <v>5</v>
      </c>
      <c r="AK78" s="6">
        <f t="shared" si="1714"/>
        <v>270</v>
      </c>
      <c r="AL78" s="19">
        <v>1</v>
      </c>
      <c r="AM78" s="6">
        <f t="shared" si="1715"/>
        <v>105</v>
      </c>
      <c r="AN78" s="6">
        <f t="shared" si="1610"/>
        <v>0</v>
      </c>
      <c r="AO78" s="6">
        <f t="shared" si="1716"/>
        <v>30</v>
      </c>
      <c r="AP78" s="6">
        <f t="shared" si="1611"/>
        <v>0</v>
      </c>
      <c r="AQ78" s="6">
        <f t="shared" si="1717"/>
        <v>9</v>
      </c>
      <c r="AR78" s="6">
        <f t="shared" si="1612"/>
        <v>0</v>
      </c>
      <c r="AS78" s="6">
        <f t="shared" si="1718"/>
        <v>4</v>
      </c>
      <c r="AT78" s="6">
        <f t="shared" si="1613"/>
        <v>0</v>
      </c>
      <c r="AU78" s="6">
        <f t="shared" si="1719"/>
        <v>3</v>
      </c>
      <c r="AV78" s="6">
        <f t="shared" si="1614"/>
        <v>1</v>
      </c>
      <c r="AW78" s="6">
        <f t="shared" si="1720"/>
        <v>2</v>
      </c>
      <c r="AX78" s="6">
        <f t="shared" si="1615"/>
        <v>0</v>
      </c>
      <c r="AY78" s="6">
        <f t="shared" si="1721"/>
        <v>0</v>
      </c>
      <c r="AZ78" s="6">
        <f t="shared" si="1616"/>
        <v>0</v>
      </c>
      <c r="BA78" s="6">
        <f t="shared" si="1722"/>
        <v>0</v>
      </c>
      <c r="BB78" s="6">
        <f t="shared" si="1617"/>
        <v>1</v>
      </c>
      <c r="BC78" s="6">
        <f t="shared" si="1723"/>
        <v>19</v>
      </c>
      <c r="BD78" s="6">
        <f t="shared" si="1618"/>
        <v>0</v>
      </c>
      <c r="BE78" s="6">
        <f t="shared" si="1724"/>
        <v>3</v>
      </c>
      <c r="BF78" s="6">
        <f t="shared" si="1619"/>
        <v>0</v>
      </c>
      <c r="BG78" s="6">
        <f t="shared" si="1725"/>
        <v>6</v>
      </c>
      <c r="BH78" s="6"/>
      <c r="BI78" s="6">
        <f t="shared" ref="BI78:BI79" si="1832">IF($E78=4,AJ78-4,NA())</f>
        <v>1</v>
      </c>
      <c r="BJ78" s="6"/>
      <c r="BK78" s="20">
        <f>AJ78-'Zusammenfassung Tag1-4'!$C$2/18</f>
        <v>4.333333333333333</v>
      </c>
      <c r="BL78" s="21">
        <f t="shared" si="1726"/>
        <v>230.66666666666686</v>
      </c>
      <c r="BM78" s="18">
        <v>5</v>
      </c>
      <c r="BN78" s="6">
        <f t="shared" si="1727"/>
        <v>330</v>
      </c>
      <c r="BO78" s="19">
        <v>2</v>
      </c>
      <c r="BP78" s="6">
        <f t="shared" si="1728"/>
        <v>123</v>
      </c>
      <c r="BQ78" s="6">
        <f t="shared" si="1620"/>
        <v>0</v>
      </c>
      <c r="BR78" s="6">
        <f t="shared" si="1729"/>
        <v>9</v>
      </c>
      <c r="BS78" s="6">
        <f t="shared" si="1621"/>
        <v>0</v>
      </c>
      <c r="BT78" s="6">
        <f t="shared" si="1730"/>
        <v>4</v>
      </c>
      <c r="BU78" s="6">
        <f t="shared" si="1622"/>
        <v>0</v>
      </c>
      <c r="BV78" s="6">
        <f t="shared" si="1731"/>
        <v>0</v>
      </c>
      <c r="BW78" s="6">
        <f t="shared" si="1623"/>
        <v>0</v>
      </c>
      <c r="BX78" s="6">
        <f t="shared" si="1732"/>
        <v>1</v>
      </c>
      <c r="BY78" s="6">
        <f t="shared" si="1624"/>
        <v>1</v>
      </c>
      <c r="BZ78" s="6">
        <f t="shared" si="1733"/>
        <v>3</v>
      </c>
      <c r="CA78" s="6">
        <f t="shared" si="1625"/>
        <v>0</v>
      </c>
      <c r="CB78" s="6">
        <f t="shared" si="1734"/>
        <v>1</v>
      </c>
      <c r="CC78" s="6">
        <f t="shared" si="1626"/>
        <v>0</v>
      </c>
      <c r="CD78" s="6">
        <f t="shared" si="1735"/>
        <v>0</v>
      </c>
      <c r="CE78" s="6">
        <f t="shared" si="1627"/>
        <v>0</v>
      </c>
      <c r="CF78" s="6">
        <f t="shared" si="1736"/>
        <v>9</v>
      </c>
      <c r="CG78" s="6">
        <f t="shared" si="1628"/>
        <v>1</v>
      </c>
      <c r="CH78" s="6">
        <f t="shared" si="1737"/>
        <v>5</v>
      </c>
      <c r="CI78" s="6">
        <f t="shared" si="1629"/>
        <v>0</v>
      </c>
      <c r="CJ78" s="6">
        <f t="shared" si="1738"/>
        <v>14</v>
      </c>
      <c r="CK78" s="6"/>
      <c r="CL78" s="6">
        <f t="shared" ref="CL78:CL79" si="1833">IF($E78=4,BM78-4,NA())</f>
        <v>1</v>
      </c>
      <c r="CM78" s="6"/>
      <c r="CN78" s="20">
        <f>BM78-'Zusammenfassung Tag1-4'!$D$2/18</f>
        <v>3.666666666666667</v>
      </c>
      <c r="CO78" s="21">
        <f t="shared" si="1739"/>
        <v>251.33333333333312</v>
      </c>
      <c r="CP78" s="18">
        <v>5</v>
      </c>
      <c r="CQ78" s="6">
        <f t="shared" si="1740"/>
        <v>305</v>
      </c>
      <c r="CR78" s="19">
        <v>2</v>
      </c>
      <c r="CS78" s="6">
        <f t="shared" si="1741"/>
        <v>117</v>
      </c>
      <c r="CT78" s="6">
        <f t="shared" si="1630"/>
        <v>0</v>
      </c>
      <c r="CU78" s="6">
        <f t="shared" si="1742"/>
        <v>12</v>
      </c>
      <c r="CV78" s="6">
        <f t="shared" si="1631"/>
        <v>0</v>
      </c>
      <c r="CW78" s="6">
        <f t="shared" si="1743"/>
        <v>8</v>
      </c>
      <c r="CX78" s="6">
        <f t="shared" si="1632"/>
        <v>0</v>
      </c>
      <c r="CY78" s="6">
        <f t="shared" si="1744"/>
        <v>1</v>
      </c>
      <c r="CZ78" s="6">
        <f t="shared" si="1633"/>
        <v>0</v>
      </c>
      <c r="DA78" s="6">
        <f t="shared" si="1745"/>
        <v>3</v>
      </c>
      <c r="DB78" s="6">
        <f t="shared" si="1634"/>
        <v>1</v>
      </c>
      <c r="DC78" s="6">
        <f t="shared" si="1746"/>
        <v>1</v>
      </c>
      <c r="DD78" s="6">
        <f t="shared" si="1635"/>
        <v>0</v>
      </c>
      <c r="DE78" s="6">
        <f t="shared" si="1747"/>
        <v>0</v>
      </c>
      <c r="DF78" s="6">
        <f t="shared" si="1636"/>
        <v>0</v>
      </c>
      <c r="DG78" s="6">
        <f t="shared" si="1748"/>
        <v>0</v>
      </c>
      <c r="DH78" s="6">
        <f t="shared" si="1637"/>
        <v>0</v>
      </c>
      <c r="DI78" s="6">
        <f t="shared" si="1749"/>
        <v>14</v>
      </c>
      <c r="DJ78" s="6">
        <f t="shared" si="1638"/>
        <v>1</v>
      </c>
      <c r="DK78" s="6">
        <f t="shared" si="1750"/>
        <v>2</v>
      </c>
      <c r="DL78" s="6">
        <f t="shared" si="1639"/>
        <v>0</v>
      </c>
      <c r="DM78" s="6">
        <f t="shared" si="1751"/>
        <v>13</v>
      </c>
      <c r="DN78" s="6"/>
      <c r="DO78" s="6">
        <f t="shared" ref="DO78:DO79" si="1834">IF($E78=4,CP78-4,NA())</f>
        <v>1</v>
      </c>
      <c r="DP78" s="6"/>
      <c r="DQ78" s="20">
        <f>CP78-'Zusammenfassung Tag1-4'!$E$2/18</f>
        <v>3.7222222222222223</v>
      </c>
      <c r="DR78" s="22">
        <f t="shared" si="1752"/>
        <v>229.61111111111137</v>
      </c>
      <c r="DS78" s="18">
        <v>7</v>
      </c>
      <c r="DT78" s="6">
        <f t="shared" si="1753"/>
        <v>450</v>
      </c>
      <c r="DU78" s="19">
        <v>2</v>
      </c>
      <c r="DV78" s="6">
        <f t="shared" si="1754"/>
        <v>132</v>
      </c>
      <c r="DW78" s="6">
        <f t="shared" si="1640"/>
        <v>0</v>
      </c>
      <c r="DX78" s="6">
        <f t="shared" si="1755"/>
        <v>1</v>
      </c>
      <c r="DY78" s="6">
        <f t="shared" si="1641"/>
        <v>0</v>
      </c>
      <c r="DZ78" s="6">
        <f t="shared" si="1756"/>
        <v>0</v>
      </c>
      <c r="EA78" s="6">
        <f t="shared" si="1642"/>
        <v>0</v>
      </c>
      <c r="EB78" s="6">
        <f t="shared" si="1757"/>
        <v>0</v>
      </c>
      <c r="EC78" s="6">
        <f t="shared" si="1643"/>
        <v>0</v>
      </c>
      <c r="ED78" s="6">
        <f t="shared" si="1758"/>
        <v>0</v>
      </c>
      <c r="EE78" s="6">
        <f t="shared" si="1644"/>
        <v>0</v>
      </c>
      <c r="EF78" s="6">
        <f t="shared" si="1759"/>
        <v>0</v>
      </c>
      <c r="EG78" s="6">
        <f t="shared" si="1645"/>
        <v>1</v>
      </c>
      <c r="EH78" s="6">
        <f t="shared" si="1760"/>
        <v>5</v>
      </c>
      <c r="EI78" s="6">
        <f t="shared" si="1646"/>
        <v>0</v>
      </c>
      <c r="EJ78" s="6">
        <f t="shared" si="1761"/>
        <v>0</v>
      </c>
      <c r="EK78" s="6">
        <f t="shared" si="1647"/>
        <v>0</v>
      </c>
      <c r="EL78" s="6">
        <f t="shared" si="1762"/>
        <v>2</v>
      </c>
      <c r="EM78" s="6">
        <f t="shared" si="1648"/>
        <v>1</v>
      </c>
      <c r="EN78" s="6">
        <f t="shared" si="1763"/>
        <v>4</v>
      </c>
      <c r="EO78" s="6">
        <f t="shared" si="1649"/>
        <v>0</v>
      </c>
      <c r="EP78" s="6">
        <f t="shared" si="1764"/>
        <v>14</v>
      </c>
      <c r="EQ78" s="6"/>
      <c r="ER78" s="6">
        <f t="shared" ref="ER78:ER79" si="1835">IF($E78=4,DS78-4,NA())</f>
        <v>3</v>
      </c>
      <c r="ES78" s="6"/>
      <c r="ET78" s="20">
        <f>DS78-'Zusammenfassung Tag1-4'!$F$2/18</f>
        <v>4</v>
      </c>
      <c r="EU78" s="22">
        <f t="shared" si="1765"/>
        <v>273</v>
      </c>
      <c r="EV78" s="18">
        <v>5</v>
      </c>
      <c r="EW78" s="6">
        <f t="shared" si="1766"/>
        <v>330</v>
      </c>
      <c r="EX78" s="19">
        <v>2</v>
      </c>
      <c r="EY78" s="6">
        <f t="shared" si="1767"/>
        <v>123</v>
      </c>
      <c r="EZ78" s="6">
        <f t="shared" si="1650"/>
        <v>0</v>
      </c>
      <c r="FA78" s="6">
        <f t="shared" si="1768"/>
        <v>10</v>
      </c>
      <c r="FB78" s="6">
        <f t="shared" si="1651"/>
        <v>0</v>
      </c>
      <c r="FC78" s="6">
        <f t="shared" si="1769"/>
        <v>1</v>
      </c>
      <c r="FD78" s="6">
        <f t="shared" si="1652"/>
        <v>0</v>
      </c>
      <c r="FE78" s="6">
        <f t="shared" si="1770"/>
        <v>0</v>
      </c>
      <c r="FF78" s="6">
        <f t="shared" si="1653"/>
        <v>0</v>
      </c>
      <c r="FG78" s="6">
        <f t="shared" si="1771"/>
        <v>0</v>
      </c>
      <c r="FH78" s="6">
        <f t="shared" si="1654"/>
        <v>1</v>
      </c>
      <c r="FI78" s="6">
        <f t="shared" si="1772"/>
        <v>4</v>
      </c>
      <c r="FJ78" s="6">
        <f t="shared" si="1655"/>
        <v>0</v>
      </c>
      <c r="FK78" s="6">
        <f t="shared" si="1773"/>
        <v>1</v>
      </c>
      <c r="FL78" s="6">
        <f t="shared" si="1656"/>
        <v>0</v>
      </c>
      <c r="FM78" s="6">
        <f t="shared" si="1774"/>
        <v>0</v>
      </c>
      <c r="FN78" s="6">
        <f t="shared" si="1657"/>
        <v>0</v>
      </c>
      <c r="FO78" s="6">
        <f t="shared" si="1775"/>
        <v>7</v>
      </c>
      <c r="FP78" s="6">
        <f t="shared" si="1658"/>
        <v>1</v>
      </c>
      <c r="FQ78" s="6">
        <f t="shared" si="1776"/>
        <v>5</v>
      </c>
      <c r="FR78" s="6">
        <f t="shared" si="1659"/>
        <v>0</v>
      </c>
      <c r="FS78" s="6">
        <f t="shared" si="1777"/>
        <v>12</v>
      </c>
      <c r="FT78" s="6"/>
      <c r="FU78" s="6">
        <f t="shared" ref="FU78:FU79" si="1836">IF($E78=4,EV78-4,NA())</f>
        <v>1</v>
      </c>
      <c r="FV78" s="6"/>
      <c r="FW78" s="20">
        <f>EV78-'Zusammenfassung Tag1-4'!$G$2/18</f>
        <v>3.5</v>
      </c>
      <c r="FX78" s="22">
        <f t="shared" si="1778"/>
        <v>241.5</v>
      </c>
      <c r="FY78" s="18">
        <v>10</v>
      </c>
      <c r="FZ78" s="6">
        <f t="shared" si="1779"/>
        <v>427</v>
      </c>
      <c r="GA78" s="19">
        <v>2</v>
      </c>
      <c r="GB78" s="6">
        <f t="shared" si="1780"/>
        <v>137</v>
      </c>
      <c r="GC78" s="6">
        <f t="shared" si="1660"/>
        <v>0</v>
      </c>
      <c r="GD78" s="6">
        <f t="shared" si="1781"/>
        <v>2</v>
      </c>
      <c r="GE78" s="6">
        <f t="shared" si="1661"/>
        <v>0</v>
      </c>
      <c r="GF78" s="6">
        <f t="shared" si="1782"/>
        <v>0</v>
      </c>
      <c r="GG78" s="6">
        <f t="shared" si="1662"/>
        <v>0</v>
      </c>
      <c r="GH78" s="6">
        <f t="shared" si="1783"/>
        <v>0</v>
      </c>
      <c r="GI78" s="6">
        <f t="shared" si="1663"/>
        <v>0</v>
      </c>
      <c r="GJ78" s="6">
        <f t="shared" si="1784"/>
        <v>0</v>
      </c>
      <c r="GK78" s="6">
        <f t="shared" si="1664"/>
        <v>0</v>
      </c>
      <c r="GL78" s="6">
        <f t="shared" si="1785"/>
        <v>1</v>
      </c>
      <c r="GM78" s="6">
        <f t="shared" si="1665"/>
        <v>1</v>
      </c>
      <c r="GN78" s="6">
        <f t="shared" si="1786"/>
        <v>4</v>
      </c>
      <c r="GO78" s="6">
        <f t="shared" si="1666"/>
        <v>0</v>
      </c>
      <c r="GP78" s="6">
        <f t="shared" si="1787"/>
        <v>0</v>
      </c>
      <c r="GQ78" s="6">
        <f t="shared" si="1667"/>
        <v>0</v>
      </c>
      <c r="GR78" s="6">
        <f t="shared" si="1788"/>
        <v>3</v>
      </c>
      <c r="GS78" s="6">
        <f t="shared" si="1668"/>
        <v>1</v>
      </c>
      <c r="GT78" s="6">
        <f t="shared" si="1789"/>
        <v>4</v>
      </c>
      <c r="GU78" s="6">
        <f t="shared" si="1669"/>
        <v>0</v>
      </c>
      <c r="GV78" s="6">
        <f t="shared" si="1790"/>
        <v>22</v>
      </c>
      <c r="GW78" s="6"/>
      <c r="GX78" s="6">
        <f t="shared" ref="GX78:GX79" si="1837">IF($E78=4,FY78-4,NA())</f>
        <v>6</v>
      </c>
      <c r="GY78" s="6"/>
      <c r="GZ78" s="20">
        <f>FY78-'Zusammenfassung Tag1-4'!$H$2/18</f>
        <v>7</v>
      </c>
      <c r="HA78" s="22">
        <f t="shared" si="1791"/>
        <v>250</v>
      </c>
      <c r="HB78" s="18">
        <v>7</v>
      </c>
      <c r="HC78" s="6">
        <f t="shared" si="1792"/>
        <v>313</v>
      </c>
      <c r="HD78" s="19">
        <v>2</v>
      </c>
      <c r="HE78" s="6">
        <f t="shared" si="1793"/>
        <v>121</v>
      </c>
      <c r="HF78" s="6">
        <f t="shared" si="1670"/>
        <v>0</v>
      </c>
      <c r="HG78" s="6">
        <f t="shared" si="1794"/>
        <v>18</v>
      </c>
      <c r="HH78" s="6">
        <f t="shared" si="1671"/>
        <v>0</v>
      </c>
      <c r="HI78" s="6">
        <f t="shared" si="1795"/>
        <v>6</v>
      </c>
      <c r="HJ78" s="6">
        <f t="shared" si="1672"/>
        <v>0</v>
      </c>
      <c r="HK78" s="6">
        <f t="shared" si="1796"/>
        <v>0</v>
      </c>
      <c r="HL78" s="6">
        <f t="shared" si="1673"/>
        <v>0</v>
      </c>
      <c r="HM78" s="6">
        <f t="shared" si="1797"/>
        <v>2</v>
      </c>
      <c r="HN78" s="6">
        <f t="shared" si="1674"/>
        <v>0</v>
      </c>
      <c r="HO78" s="6">
        <f t="shared" si="1798"/>
        <v>2</v>
      </c>
      <c r="HP78" s="6">
        <f t="shared" si="1675"/>
        <v>1</v>
      </c>
      <c r="HQ78" s="6">
        <f t="shared" si="1799"/>
        <v>1</v>
      </c>
      <c r="HR78" s="6">
        <f t="shared" si="1676"/>
        <v>0</v>
      </c>
      <c r="HS78" s="6">
        <f t="shared" si="1800"/>
        <v>0</v>
      </c>
      <c r="HT78" s="6">
        <f t="shared" si="1677"/>
        <v>0</v>
      </c>
      <c r="HU78" s="6">
        <f t="shared" si="1801"/>
        <v>10</v>
      </c>
      <c r="HV78" s="6">
        <f t="shared" si="1678"/>
        <v>1</v>
      </c>
      <c r="HW78" s="6">
        <f t="shared" si="1802"/>
        <v>1</v>
      </c>
      <c r="HX78" s="6">
        <f t="shared" si="1679"/>
        <v>0</v>
      </c>
      <c r="HY78" s="6">
        <f t="shared" si="1803"/>
        <v>13</v>
      </c>
      <c r="HZ78" s="6"/>
      <c r="IA78" s="6">
        <f t="shared" ref="IA78:IA79" si="1838">IF($E78=4,HB78-4,NA())</f>
        <v>3</v>
      </c>
      <c r="IB78" s="6"/>
      <c r="IC78" s="20">
        <f>HB78-'Zusammenfassung Tag1-4'!$I$2/18</f>
        <v>6</v>
      </c>
      <c r="ID78" s="22">
        <f t="shared" si="1804"/>
        <v>254</v>
      </c>
      <c r="IE78" s="18">
        <v>7</v>
      </c>
      <c r="IF78" s="6">
        <f t="shared" si="1805"/>
        <v>172</v>
      </c>
      <c r="IG78" s="19">
        <v>1</v>
      </c>
      <c r="IH78" s="6">
        <f t="shared" si="1806"/>
        <v>62</v>
      </c>
      <c r="II78" s="6">
        <f t="shared" si="1680"/>
        <v>0</v>
      </c>
      <c r="IJ78" s="6">
        <f t="shared" si="1807"/>
        <v>37</v>
      </c>
      <c r="IK78" s="6">
        <f t="shared" si="1681"/>
        <v>0</v>
      </c>
      <c r="IL78" s="6">
        <f t="shared" si="1808"/>
        <v>0</v>
      </c>
      <c r="IM78" s="6">
        <f t="shared" si="1682"/>
        <v>0</v>
      </c>
      <c r="IN78" s="6">
        <f t="shared" si="1809"/>
        <v>0</v>
      </c>
      <c r="IO78" s="6">
        <f t="shared" si="1683"/>
        <v>0</v>
      </c>
      <c r="IP78" s="6">
        <f t="shared" si="1810"/>
        <v>0</v>
      </c>
      <c r="IQ78" s="6">
        <f t="shared" si="1684"/>
        <v>0</v>
      </c>
      <c r="IR78" s="6">
        <f t="shared" si="1811"/>
        <v>0</v>
      </c>
      <c r="IS78" s="6">
        <f t="shared" si="1685"/>
        <v>1</v>
      </c>
      <c r="IT78" s="6">
        <f t="shared" si="1812"/>
        <v>5</v>
      </c>
      <c r="IU78" s="6">
        <f t="shared" si="1686"/>
        <v>0</v>
      </c>
      <c r="IV78" s="6">
        <f t="shared" si="1813"/>
        <v>0</v>
      </c>
      <c r="IW78" s="6">
        <f t="shared" si="1687"/>
        <v>1</v>
      </c>
      <c r="IX78" s="6">
        <f t="shared" si="1814"/>
        <v>1</v>
      </c>
      <c r="IY78" s="6">
        <f t="shared" si="1688"/>
        <v>0</v>
      </c>
      <c r="IZ78" s="6">
        <f t="shared" si="1815"/>
        <v>2</v>
      </c>
      <c r="JA78" s="6">
        <f t="shared" si="1689"/>
        <v>0</v>
      </c>
      <c r="JB78" s="6">
        <f t="shared" si="1816"/>
        <v>13</v>
      </c>
      <c r="JC78" s="6"/>
      <c r="JD78" s="6">
        <f t="shared" ref="JD78:JD79" si="1839">IF($E78=4,IE78-4,NA())</f>
        <v>3</v>
      </c>
      <c r="JE78" s="6"/>
      <c r="JF78" s="20">
        <f>IE78-'Zusammenfassung Tag1-4'!$J$2/18</f>
        <v>4</v>
      </c>
      <c r="JG78" s="22">
        <f t="shared" si="1817"/>
        <v>-5</v>
      </c>
      <c r="JH78" s="18">
        <v>5</v>
      </c>
      <c r="JI78" s="6">
        <f t="shared" si="1818"/>
        <v>108</v>
      </c>
      <c r="JJ78" s="19">
        <v>2</v>
      </c>
      <c r="JK78" s="6">
        <f t="shared" si="1819"/>
        <v>44</v>
      </c>
      <c r="JL78" s="6">
        <f t="shared" si="1690"/>
        <v>0</v>
      </c>
      <c r="JM78" s="6">
        <f t="shared" si="1820"/>
        <v>47</v>
      </c>
      <c r="JN78" s="6">
        <f t="shared" si="1691"/>
        <v>0</v>
      </c>
      <c r="JO78" s="6">
        <f t="shared" si="1821"/>
        <v>1</v>
      </c>
      <c r="JP78" s="6">
        <f t="shared" si="1692"/>
        <v>0</v>
      </c>
      <c r="JQ78" s="6">
        <f t="shared" si="1822"/>
        <v>0</v>
      </c>
      <c r="JR78" s="6">
        <f t="shared" si="1693"/>
        <v>0</v>
      </c>
      <c r="JS78" s="6">
        <f t="shared" si="1823"/>
        <v>3</v>
      </c>
      <c r="JT78" s="6">
        <f t="shared" si="1694"/>
        <v>1</v>
      </c>
      <c r="JU78" s="6">
        <f t="shared" si="1824"/>
        <v>1</v>
      </c>
      <c r="JV78" s="6">
        <f t="shared" si="1695"/>
        <v>0</v>
      </c>
      <c r="JW78" s="6">
        <f t="shared" si="1825"/>
        <v>1</v>
      </c>
      <c r="JX78" s="6">
        <f t="shared" si="1696"/>
        <v>0</v>
      </c>
      <c r="JY78" s="6">
        <f t="shared" si="1826"/>
        <v>0</v>
      </c>
      <c r="JZ78" s="6">
        <f t="shared" si="1697"/>
        <v>0</v>
      </c>
      <c r="KA78" s="6">
        <f t="shared" si="1827"/>
        <v>3</v>
      </c>
      <c r="KB78" s="6">
        <f t="shared" si="1698"/>
        <v>1</v>
      </c>
      <c r="KC78" s="6">
        <f t="shared" si="1828"/>
        <v>5</v>
      </c>
      <c r="KD78" s="6">
        <f t="shared" si="1699"/>
        <v>0</v>
      </c>
      <c r="KE78" s="6">
        <f t="shared" si="1829"/>
        <v>1</v>
      </c>
      <c r="KF78" s="6"/>
      <c r="KG78" s="6">
        <f t="shared" ref="KG78:KG79" si="1840">IF($E78=4,JH78-4,NA())</f>
        <v>1</v>
      </c>
      <c r="KH78" s="6"/>
      <c r="KI78" s="20">
        <f>JH78-'Zusammenfassung Tag1-4'!$K$2/18</f>
        <v>4.2222222222222223</v>
      </c>
      <c r="KJ78" s="22">
        <f t="shared" si="1830"/>
        <v>62.111111111111079</v>
      </c>
      <c r="KK78" s="10"/>
      <c r="KL78" s="10"/>
      <c r="KM78" s="10"/>
      <c r="KN78" s="10"/>
      <c r="KO78" s="10"/>
      <c r="KP78" s="10"/>
      <c r="KQ78" s="10"/>
      <c r="KR78" s="10"/>
      <c r="KS78" s="10"/>
      <c r="KT78" s="10"/>
      <c r="KU78" s="10"/>
      <c r="KV78" s="10"/>
      <c r="KW78" s="10"/>
      <c r="KX78" s="10"/>
      <c r="KY78" s="10"/>
      <c r="KZ78" s="10"/>
      <c r="LA78" s="10"/>
      <c r="LB78" s="10"/>
      <c r="LC78" s="10"/>
      <c r="LD78" s="10"/>
    </row>
    <row r="79" spans="1:316" ht="15.75" customHeight="1" x14ac:dyDescent="0.25">
      <c r="A79" s="106"/>
      <c r="B79" s="103"/>
      <c r="C79" s="6">
        <v>6</v>
      </c>
      <c r="D79" s="6">
        <f t="shared" si="1700"/>
        <v>60</v>
      </c>
      <c r="E79" s="6">
        <v>4</v>
      </c>
      <c r="F79" s="7">
        <f t="shared" si="1701"/>
        <v>240</v>
      </c>
      <c r="G79" s="18"/>
      <c r="H79" s="6"/>
      <c r="I79" s="19"/>
      <c r="J79" s="6">
        <f t="shared" si="1702"/>
        <v>71</v>
      </c>
      <c r="K79" s="6">
        <f t="shared" si="1600"/>
        <v>1</v>
      </c>
      <c r="L79" s="6">
        <f t="shared" si="1703"/>
        <v>39</v>
      </c>
      <c r="M79" s="6">
        <f t="shared" si="1601"/>
        <v>0</v>
      </c>
      <c r="N79" s="6">
        <f t="shared" si="1704"/>
        <v>3</v>
      </c>
      <c r="O79" s="6">
        <f t="shared" si="1602"/>
        <v>0</v>
      </c>
      <c r="P79" s="6">
        <f t="shared" si="1705"/>
        <v>1</v>
      </c>
      <c r="Q79" s="6">
        <f t="shared" si="1603"/>
        <v>0</v>
      </c>
      <c r="R79" s="6">
        <f t="shared" si="1706"/>
        <v>0</v>
      </c>
      <c r="S79" s="6">
        <f t="shared" si="1604"/>
        <v>0</v>
      </c>
      <c r="T79" s="6">
        <f t="shared" si="1707"/>
        <v>0</v>
      </c>
      <c r="U79" s="6">
        <f t="shared" si="1605"/>
        <v>0</v>
      </c>
      <c r="V79" s="6">
        <f t="shared" si="1708"/>
        <v>0</v>
      </c>
      <c r="W79" s="6">
        <f t="shared" si="1606"/>
        <v>1</v>
      </c>
      <c r="X79" s="6">
        <f t="shared" si="1709"/>
        <v>6</v>
      </c>
      <c r="Y79" s="6">
        <f t="shared" si="1607"/>
        <v>0</v>
      </c>
      <c r="Z79" s="6">
        <f t="shared" si="1710"/>
        <v>7</v>
      </c>
      <c r="AA79" s="6">
        <f t="shared" si="1608"/>
        <v>0</v>
      </c>
      <c r="AB79" s="6">
        <f t="shared" si="1711"/>
        <v>0</v>
      </c>
      <c r="AC79" s="6">
        <f t="shared" si="1609"/>
        <v>0</v>
      </c>
      <c r="AD79" s="6">
        <f t="shared" si="1712"/>
        <v>5</v>
      </c>
      <c r="AE79" s="6"/>
      <c r="AF79" s="6">
        <f t="shared" si="1831"/>
        <v>-4</v>
      </c>
      <c r="AG79" s="6"/>
      <c r="AH79" s="20">
        <f>G79-'Zusammenfassung Tag1-4'!$B$2/18</f>
        <v>-1.1111111111111112</v>
      </c>
      <c r="AI79" s="21">
        <f t="shared" si="1713"/>
        <v>110.33333333333317</v>
      </c>
      <c r="AJ79" s="18">
        <v>4</v>
      </c>
      <c r="AK79" s="6">
        <f t="shared" si="1714"/>
        <v>274</v>
      </c>
      <c r="AL79" s="19">
        <v>2</v>
      </c>
      <c r="AM79" s="6">
        <f t="shared" si="1715"/>
        <v>107</v>
      </c>
      <c r="AN79" s="6">
        <f t="shared" si="1610"/>
        <v>1</v>
      </c>
      <c r="AO79" s="6">
        <f t="shared" si="1716"/>
        <v>31</v>
      </c>
      <c r="AP79" s="6">
        <f t="shared" si="1611"/>
        <v>0</v>
      </c>
      <c r="AQ79" s="6">
        <f t="shared" si="1717"/>
        <v>9</v>
      </c>
      <c r="AR79" s="6">
        <f t="shared" si="1612"/>
        <v>0</v>
      </c>
      <c r="AS79" s="6">
        <f t="shared" si="1718"/>
        <v>4</v>
      </c>
      <c r="AT79" s="6">
        <f t="shared" si="1613"/>
        <v>1</v>
      </c>
      <c r="AU79" s="6">
        <f t="shared" si="1719"/>
        <v>4</v>
      </c>
      <c r="AV79" s="6">
        <f t="shared" si="1614"/>
        <v>0</v>
      </c>
      <c r="AW79" s="6">
        <f t="shared" si="1720"/>
        <v>2</v>
      </c>
      <c r="AX79" s="6">
        <f t="shared" si="1615"/>
        <v>0</v>
      </c>
      <c r="AY79" s="6">
        <f t="shared" si="1721"/>
        <v>0</v>
      </c>
      <c r="AZ79" s="6">
        <f t="shared" si="1616"/>
        <v>0</v>
      </c>
      <c r="BA79" s="6">
        <f t="shared" si="1722"/>
        <v>0</v>
      </c>
      <c r="BB79" s="6">
        <f t="shared" si="1617"/>
        <v>0</v>
      </c>
      <c r="BC79" s="6">
        <f t="shared" si="1723"/>
        <v>19</v>
      </c>
      <c r="BD79" s="6">
        <f t="shared" si="1618"/>
        <v>1</v>
      </c>
      <c r="BE79" s="6">
        <f t="shared" si="1724"/>
        <v>4</v>
      </c>
      <c r="BF79" s="6">
        <f t="shared" si="1619"/>
        <v>0</v>
      </c>
      <c r="BG79" s="6">
        <f t="shared" si="1725"/>
        <v>6</v>
      </c>
      <c r="BH79" s="6"/>
      <c r="BI79" s="6">
        <f t="shared" si="1832"/>
        <v>0</v>
      </c>
      <c r="BJ79" s="6"/>
      <c r="BK79" s="20">
        <f>AJ79-'Zusammenfassung Tag1-4'!$C$2/18</f>
        <v>3.3333333333333335</v>
      </c>
      <c r="BL79" s="21">
        <f t="shared" si="1726"/>
        <v>234.0000000000002</v>
      </c>
      <c r="BM79" s="18">
        <v>8</v>
      </c>
      <c r="BN79" s="6">
        <f t="shared" si="1727"/>
        <v>338</v>
      </c>
      <c r="BO79" s="19">
        <v>3</v>
      </c>
      <c r="BP79" s="6">
        <f t="shared" si="1728"/>
        <v>126</v>
      </c>
      <c r="BQ79" s="6">
        <f t="shared" si="1620"/>
        <v>0</v>
      </c>
      <c r="BR79" s="6">
        <f t="shared" si="1729"/>
        <v>9</v>
      </c>
      <c r="BS79" s="6">
        <f t="shared" si="1621"/>
        <v>0</v>
      </c>
      <c r="BT79" s="6">
        <f t="shared" si="1730"/>
        <v>4</v>
      </c>
      <c r="BU79" s="6">
        <f t="shared" si="1622"/>
        <v>0</v>
      </c>
      <c r="BV79" s="6">
        <f t="shared" si="1731"/>
        <v>0</v>
      </c>
      <c r="BW79" s="6">
        <f t="shared" si="1623"/>
        <v>0</v>
      </c>
      <c r="BX79" s="6">
        <f t="shared" si="1732"/>
        <v>1</v>
      </c>
      <c r="BY79" s="6">
        <f t="shared" si="1624"/>
        <v>0</v>
      </c>
      <c r="BZ79" s="6">
        <f t="shared" si="1733"/>
        <v>3</v>
      </c>
      <c r="CA79" s="6">
        <f t="shared" si="1625"/>
        <v>1</v>
      </c>
      <c r="CB79" s="6">
        <f t="shared" si="1734"/>
        <v>2</v>
      </c>
      <c r="CC79" s="6">
        <f t="shared" si="1626"/>
        <v>0</v>
      </c>
      <c r="CD79" s="6">
        <f t="shared" si="1735"/>
        <v>0</v>
      </c>
      <c r="CE79" s="6">
        <f t="shared" si="1627"/>
        <v>0</v>
      </c>
      <c r="CF79" s="6">
        <f t="shared" si="1736"/>
        <v>9</v>
      </c>
      <c r="CG79" s="6">
        <f t="shared" si="1628"/>
        <v>0</v>
      </c>
      <c r="CH79" s="6">
        <f t="shared" si="1737"/>
        <v>5</v>
      </c>
      <c r="CI79" s="6">
        <f t="shared" si="1629"/>
        <v>1</v>
      </c>
      <c r="CJ79" s="6">
        <f t="shared" si="1738"/>
        <v>15</v>
      </c>
      <c r="CK79" s="6"/>
      <c r="CL79" s="6">
        <f t="shared" si="1833"/>
        <v>4</v>
      </c>
      <c r="CM79" s="6"/>
      <c r="CN79" s="20">
        <f>BM79-'Zusammenfassung Tag1-4'!$D$2/18</f>
        <v>6.666666666666667</v>
      </c>
      <c r="CO79" s="21">
        <f t="shared" si="1739"/>
        <v>257.99999999999977</v>
      </c>
      <c r="CP79" s="18">
        <v>5</v>
      </c>
      <c r="CQ79" s="6">
        <f t="shared" si="1740"/>
        <v>310</v>
      </c>
      <c r="CR79" s="19">
        <v>1</v>
      </c>
      <c r="CS79" s="6">
        <f t="shared" si="1741"/>
        <v>118</v>
      </c>
      <c r="CT79" s="6">
        <f t="shared" si="1630"/>
        <v>0</v>
      </c>
      <c r="CU79" s="6">
        <f t="shared" si="1742"/>
        <v>12</v>
      </c>
      <c r="CV79" s="6">
        <f t="shared" si="1631"/>
        <v>0</v>
      </c>
      <c r="CW79" s="6">
        <f t="shared" si="1743"/>
        <v>8</v>
      </c>
      <c r="CX79" s="6">
        <f t="shared" si="1632"/>
        <v>0</v>
      </c>
      <c r="CY79" s="6">
        <f t="shared" si="1744"/>
        <v>1</v>
      </c>
      <c r="CZ79" s="6">
        <f t="shared" si="1633"/>
        <v>0</v>
      </c>
      <c r="DA79" s="6">
        <f t="shared" si="1745"/>
        <v>3</v>
      </c>
      <c r="DB79" s="6">
        <f t="shared" si="1634"/>
        <v>1</v>
      </c>
      <c r="DC79" s="6">
        <f t="shared" si="1746"/>
        <v>2</v>
      </c>
      <c r="DD79" s="6">
        <f t="shared" si="1635"/>
        <v>0</v>
      </c>
      <c r="DE79" s="6">
        <f t="shared" si="1747"/>
        <v>0</v>
      </c>
      <c r="DF79" s="6">
        <f t="shared" si="1636"/>
        <v>0</v>
      </c>
      <c r="DG79" s="6">
        <f t="shared" si="1748"/>
        <v>0</v>
      </c>
      <c r="DH79" s="6">
        <f t="shared" si="1637"/>
        <v>1</v>
      </c>
      <c r="DI79" s="6">
        <f t="shared" si="1749"/>
        <v>15</v>
      </c>
      <c r="DJ79" s="6">
        <f t="shared" si="1638"/>
        <v>0</v>
      </c>
      <c r="DK79" s="6">
        <f t="shared" si="1750"/>
        <v>2</v>
      </c>
      <c r="DL79" s="6">
        <f t="shared" si="1639"/>
        <v>0</v>
      </c>
      <c r="DM79" s="6">
        <f t="shared" si="1751"/>
        <v>13</v>
      </c>
      <c r="DN79" s="6"/>
      <c r="DO79" s="6">
        <f t="shared" si="1834"/>
        <v>1</v>
      </c>
      <c r="DP79" s="6"/>
      <c r="DQ79" s="20">
        <f>CP79-'Zusammenfassung Tag1-4'!$E$2/18</f>
        <v>3.7222222222222223</v>
      </c>
      <c r="DR79" s="22">
        <f t="shared" si="1752"/>
        <v>233.3333333333336</v>
      </c>
      <c r="DS79" s="18">
        <v>8</v>
      </c>
      <c r="DT79" s="6">
        <f t="shared" si="1753"/>
        <v>458</v>
      </c>
      <c r="DU79" s="19">
        <v>3</v>
      </c>
      <c r="DV79" s="6">
        <f t="shared" si="1754"/>
        <v>135</v>
      </c>
      <c r="DW79" s="6">
        <f t="shared" si="1640"/>
        <v>0</v>
      </c>
      <c r="DX79" s="6">
        <f t="shared" si="1755"/>
        <v>1</v>
      </c>
      <c r="DY79" s="6">
        <f t="shared" si="1641"/>
        <v>0</v>
      </c>
      <c r="DZ79" s="6">
        <f t="shared" si="1756"/>
        <v>0</v>
      </c>
      <c r="EA79" s="6">
        <f t="shared" si="1642"/>
        <v>0</v>
      </c>
      <c r="EB79" s="6">
        <f t="shared" si="1757"/>
        <v>0</v>
      </c>
      <c r="EC79" s="6">
        <f t="shared" si="1643"/>
        <v>0</v>
      </c>
      <c r="ED79" s="6">
        <f t="shared" si="1758"/>
        <v>0</v>
      </c>
      <c r="EE79" s="6">
        <f t="shared" si="1644"/>
        <v>0</v>
      </c>
      <c r="EF79" s="6">
        <f t="shared" si="1759"/>
        <v>0</v>
      </c>
      <c r="EG79" s="6">
        <f t="shared" si="1645"/>
        <v>1</v>
      </c>
      <c r="EH79" s="6">
        <f t="shared" si="1760"/>
        <v>6</v>
      </c>
      <c r="EI79" s="6">
        <f t="shared" si="1646"/>
        <v>0</v>
      </c>
      <c r="EJ79" s="6">
        <f t="shared" si="1761"/>
        <v>0</v>
      </c>
      <c r="EK79" s="6">
        <f t="shared" si="1647"/>
        <v>0</v>
      </c>
      <c r="EL79" s="6">
        <f t="shared" si="1762"/>
        <v>2</v>
      </c>
      <c r="EM79" s="6">
        <f t="shared" si="1648"/>
        <v>0</v>
      </c>
      <c r="EN79" s="6">
        <f t="shared" si="1763"/>
        <v>4</v>
      </c>
      <c r="EO79" s="6">
        <f t="shared" si="1649"/>
        <v>1</v>
      </c>
      <c r="EP79" s="6">
        <f t="shared" si="1764"/>
        <v>15</v>
      </c>
      <c r="EQ79" s="6"/>
      <c r="ER79" s="6">
        <f t="shared" si="1835"/>
        <v>4</v>
      </c>
      <c r="ES79" s="6"/>
      <c r="ET79" s="20">
        <f>DS79-'Zusammenfassung Tag1-4'!$F$2/18</f>
        <v>5</v>
      </c>
      <c r="EU79" s="22">
        <f t="shared" si="1765"/>
        <v>278</v>
      </c>
      <c r="EV79" s="18">
        <v>7</v>
      </c>
      <c r="EW79" s="6">
        <f t="shared" si="1766"/>
        <v>337</v>
      </c>
      <c r="EX79" s="19">
        <v>1</v>
      </c>
      <c r="EY79" s="6">
        <f t="shared" si="1767"/>
        <v>124</v>
      </c>
      <c r="EZ79" s="6">
        <f t="shared" si="1650"/>
        <v>0</v>
      </c>
      <c r="FA79" s="6">
        <f t="shared" si="1768"/>
        <v>10</v>
      </c>
      <c r="FB79" s="6">
        <f t="shared" si="1651"/>
        <v>0</v>
      </c>
      <c r="FC79" s="6">
        <f t="shared" si="1769"/>
        <v>1</v>
      </c>
      <c r="FD79" s="6">
        <f t="shared" si="1652"/>
        <v>0</v>
      </c>
      <c r="FE79" s="6">
        <f t="shared" si="1770"/>
        <v>0</v>
      </c>
      <c r="FF79" s="6">
        <f t="shared" si="1653"/>
        <v>0</v>
      </c>
      <c r="FG79" s="6">
        <f t="shared" si="1771"/>
        <v>0</v>
      </c>
      <c r="FH79" s="6">
        <f t="shared" si="1654"/>
        <v>0</v>
      </c>
      <c r="FI79" s="6">
        <f t="shared" si="1772"/>
        <v>4</v>
      </c>
      <c r="FJ79" s="6">
        <f t="shared" si="1655"/>
        <v>1</v>
      </c>
      <c r="FK79" s="6">
        <f t="shared" si="1773"/>
        <v>2</v>
      </c>
      <c r="FL79" s="6">
        <f t="shared" si="1656"/>
        <v>0</v>
      </c>
      <c r="FM79" s="6">
        <f t="shared" si="1774"/>
        <v>0</v>
      </c>
      <c r="FN79" s="6">
        <f t="shared" si="1657"/>
        <v>1</v>
      </c>
      <c r="FO79" s="6">
        <f t="shared" si="1775"/>
        <v>8</v>
      </c>
      <c r="FP79" s="6">
        <f t="shared" si="1658"/>
        <v>0</v>
      </c>
      <c r="FQ79" s="6">
        <f t="shared" si="1776"/>
        <v>5</v>
      </c>
      <c r="FR79" s="6">
        <f t="shared" si="1659"/>
        <v>0</v>
      </c>
      <c r="FS79" s="6">
        <f t="shared" si="1777"/>
        <v>12</v>
      </c>
      <c r="FT79" s="6"/>
      <c r="FU79" s="6">
        <f t="shared" si="1836"/>
        <v>3</v>
      </c>
      <c r="FV79" s="6"/>
      <c r="FW79" s="20">
        <f>EV79-'Zusammenfassung Tag1-4'!$G$2/18</f>
        <v>5.5</v>
      </c>
      <c r="FX79" s="22">
        <f t="shared" si="1778"/>
        <v>247</v>
      </c>
      <c r="FY79" s="18">
        <v>7</v>
      </c>
      <c r="FZ79" s="6">
        <f t="shared" si="1779"/>
        <v>434</v>
      </c>
      <c r="GA79" s="19">
        <v>1</v>
      </c>
      <c r="GB79" s="6">
        <f t="shared" si="1780"/>
        <v>138</v>
      </c>
      <c r="GC79" s="6">
        <f t="shared" si="1660"/>
        <v>0</v>
      </c>
      <c r="GD79" s="6">
        <f t="shared" si="1781"/>
        <v>2</v>
      </c>
      <c r="GE79" s="6">
        <f t="shared" si="1661"/>
        <v>0</v>
      </c>
      <c r="GF79" s="6">
        <f t="shared" si="1782"/>
        <v>0</v>
      </c>
      <c r="GG79" s="6">
        <f t="shared" si="1662"/>
        <v>0</v>
      </c>
      <c r="GH79" s="6">
        <f t="shared" si="1783"/>
        <v>0</v>
      </c>
      <c r="GI79" s="6">
        <f t="shared" si="1663"/>
        <v>0</v>
      </c>
      <c r="GJ79" s="6">
        <f t="shared" si="1784"/>
        <v>0</v>
      </c>
      <c r="GK79" s="6">
        <f t="shared" si="1664"/>
        <v>0</v>
      </c>
      <c r="GL79" s="6">
        <f t="shared" si="1785"/>
        <v>1</v>
      </c>
      <c r="GM79" s="6">
        <f t="shared" si="1665"/>
        <v>1</v>
      </c>
      <c r="GN79" s="6">
        <f t="shared" si="1786"/>
        <v>5</v>
      </c>
      <c r="GO79" s="6">
        <f t="shared" si="1666"/>
        <v>0</v>
      </c>
      <c r="GP79" s="6">
        <f t="shared" si="1787"/>
        <v>0</v>
      </c>
      <c r="GQ79" s="6">
        <f t="shared" si="1667"/>
        <v>1</v>
      </c>
      <c r="GR79" s="6">
        <f t="shared" si="1788"/>
        <v>4</v>
      </c>
      <c r="GS79" s="6">
        <f t="shared" si="1668"/>
        <v>0</v>
      </c>
      <c r="GT79" s="6">
        <f t="shared" si="1789"/>
        <v>4</v>
      </c>
      <c r="GU79" s="6">
        <f t="shared" si="1669"/>
        <v>0</v>
      </c>
      <c r="GV79" s="6">
        <f t="shared" si="1790"/>
        <v>22</v>
      </c>
      <c r="GW79" s="6"/>
      <c r="GX79" s="6">
        <f t="shared" si="1837"/>
        <v>3</v>
      </c>
      <c r="GY79" s="6"/>
      <c r="GZ79" s="20">
        <f>FY79-'Zusammenfassung Tag1-4'!$H$2/18</f>
        <v>4</v>
      </c>
      <c r="HA79" s="22">
        <f t="shared" si="1791"/>
        <v>254</v>
      </c>
      <c r="HB79" s="18">
        <v>4</v>
      </c>
      <c r="HC79" s="6">
        <f t="shared" si="1792"/>
        <v>317</v>
      </c>
      <c r="HD79" s="19">
        <v>2</v>
      </c>
      <c r="HE79" s="6">
        <f t="shared" si="1793"/>
        <v>123</v>
      </c>
      <c r="HF79" s="6">
        <f t="shared" si="1670"/>
        <v>1</v>
      </c>
      <c r="HG79" s="6">
        <f t="shared" si="1794"/>
        <v>19</v>
      </c>
      <c r="HH79" s="6">
        <f t="shared" si="1671"/>
        <v>0</v>
      </c>
      <c r="HI79" s="6">
        <f t="shared" si="1795"/>
        <v>6</v>
      </c>
      <c r="HJ79" s="6">
        <f t="shared" si="1672"/>
        <v>0</v>
      </c>
      <c r="HK79" s="6">
        <f t="shared" si="1796"/>
        <v>0</v>
      </c>
      <c r="HL79" s="6">
        <f t="shared" si="1673"/>
        <v>1</v>
      </c>
      <c r="HM79" s="6">
        <f t="shared" si="1797"/>
        <v>3</v>
      </c>
      <c r="HN79" s="6">
        <f t="shared" si="1674"/>
        <v>0</v>
      </c>
      <c r="HO79" s="6">
        <f t="shared" si="1798"/>
        <v>2</v>
      </c>
      <c r="HP79" s="6">
        <f t="shared" si="1675"/>
        <v>0</v>
      </c>
      <c r="HQ79" s="6">
        <f t="shared" si="1799"/>
        <v>1</v>
      </c>
      <c r="HR79" s="6">
        <f t="shared" si="1676"/>
        <v>0</v>
      </c>
      <c r="HS79" s="6">
        <f t="shared" si="1800"/>
        <v>0</v>
      </c>
      <c r="HT79" s="6">
        <f t="shared" si="1677"/>
        <v>0</v>
      </c>
      <c r="HU79" s="6">
        <f t="shared" si="1801"/>
        <v>10</v>
      </c>
      <c r="HV79" s="6">
        <f t="shared" si="1678"/>
        <v>1</v>
      </c>
      <c r="HW79" s="6">
        <f t="shared" si="1802"/>
        <v>2</v>
      </c>
      <c r="HX79" s="6">
        <f t="shared" si="1679"/>
        <v>0</v>
      </c>
      <c r="HY79" s="6">
        <f t="shared" si="1803"/>
        <v>13</v>
      </c>
      <c r="HZ79" s="6"/>
      <c r="IA79" s="6">
        <f t="shared" si="1838"/>
        <v>0</v>
      </c>
      <c r="IB79" s="6"/>
      <c r="IC79" s="20">
        <f>HB79-'Zusammenfassung Tag1-4'!$I$2/18</f>
        <v>3</v>
      </c>
      <c r="ID79" s="22">
        <f t="shared" si="1804"/>
        <v>257</v>
      </c>
      <c r="IE79" s="18">
        <v>10</v>
      </c>
      <c r="IF79" s="6">
        <f t="shared" si="1805"/>
        <v>182</v>
      </c>
      <c r="IG79" s="19">
        <v>3</v>
      </c>
      <c r="IH79" s="6">
        <f t="shared" si="1806"/>
        <v>65</v>
      </c>
      <c r="II79" s="6">
        <f t="shared" si="1680"/>
        <v>0</v>
      </c>
      <c r="IJ79" s="6">
        <f t="shared" si="1807"/>
        <v>37</v>
      </c>
      <c r="IK79" s="6">
        <f t="shared" si="1681"/>
        <v>0</v>
      </c>
      <c r="IL79" s="6">
        <f t="shared" si="1808"/>
        <v>0</v>
      </c>
      <c r="IM79" s="6">
        <f t="shared" si="1682"/>
        <v>0</v>
      </c>
      <c r="IN79" s="6">
        <f t="shared" si="1809"/>
        <v>0</v>
      </c>
      <c r="IO79" s="6">
        <f t="shared" si="1683"/>
        <v>0</v>
      </c>
      <c r="IP79" s="6">
        <f t="shared" si="1810"/>
        <v>0</v>
      </c>
      <c r="IQ79" s="6">
        <f t="shared" si="1684"/>
        <v>0</v>
      </c>
      <c r="IR79" s="6">
        <f t="shared" si="1811"/>
        <v>0</v>
      </c>
      <c r="IS79" s="6">
        <f t="shared" si="1685"/>
        <v>1</v>
      </c>
      <c r="IT79" s="6">
        <f t="shared" si="1812"/>
        <v>6</v>
      </c>
      <c r="IU79" s="6">
        <f t="shared" si="1686"/>
        <v>0</v>
      </c>
      <c r="IV79" s="6">
        <f t="shared" si="1813"/>
        <v>0</v>
      </c>
      <c r="IW79" s="6">
        <f t="shared" si="1687"/>
        <v>0</v>
      </c>
      <c r="IX79" s="6">
        <f t="shared" si="1814"/>
        <v>1</v>
      </c>
      <c r="IY79" s="6">
        <f t="shared" si="1688"/>
        <v>0</v>
      </c>
      <c r="IZ79" s="6">
        <f t="shared" si="1815"/>
        <v>2</v>
      </c>
      <c r="JA79" s="6">
        <f t="shared" si="1689"/>
        <v>1</v>
      </c>
      <c r="JB79" s="6">
        <f t="shared" si="1816"/>
        <v>14</v>
      </c>
      <c r="JC79" s="6"/>
      <c r="JD79" s="6">
        <f t="shared" si="1839"/>
        <v>6</v>
      </c>
      <c r="JE79" s="6"/>
      <c r="JF79" s="20">
        <f>IE79-'Zusammenfassung Tag1-4'!$J$2/18</f>
        <v>7</v>
      </c>
      <c r="JG79" s="22">
        <f t="shared" si="1817"/>
        <v>2</v>
      </c>
      <c r="JH79" s="18">
        <v>4</v>
      </c>
      <c r="JI79" s="6">
        <f t="shared" si="1818"/>
        <v>112</v>
      </c>
      <c r="JJ79" s="19">
        <v>2</v>
      </c>
      <c r="JK79" s="6">
        <f t="shared" si="1819"/>
        <v>46</v>
      </c>
      <c r="JL79" s="6">
        <f t="shared" si="1690"/>
        <v>1</v>
      </c>
      <c r="JM79" s="6">
        <f t="shared" si="1820"/>
        <v>48</v>
      </c>
      <c r="JN79" s="6">
        <f t="shared" si="1691"/>
        <v>0</v>
      </c>
      <c r="JO79" s="6">
        <f t="shared" si="1821"/>
        <v>1</v>
      </c>
      <c r="JP79" s="6">
        <f t="shared" si="1692"/>
        <v>0</v>
      </c>
      <c r="JQ79" s="6">
        <f t="shared" si="1822"/>
        <v>0</v>
      </c>
      <c r="JR79" s="6">
        <f t="shared" si="1693"/>
        <v>1</v>
      </c>
      <c r="JS79" s="6">
        <f t="shared" si="1823"/>
        <v>4</v>
      </c>
      <c r="JT79" s="6">
        <f t="shared" si="1694"/>
        <v>0</v>
      </c>
      <c r="JU79" s="6">
        <f t="shared" si="1824"/>
        <v>1</v>
      </c>
      <c r="JV79" s="6">
        <f t="shared" si="1695"/>
        <v>0</v>
      </c>
      <c r="JW79" s="6">
        <f t="shared" si="1825"/>
        <v>1</v>
      </c>
      <c r="JX79" s="6">
        <f t="shared" si="1696"/>
        <v>0</v>
      </c>
      <c r="JY79" s="6">
        <f t="shared" si="1826"/>
        <v>0</v>
      </c>
      <c r="JZ79" s="6">
        <f t="shared" si="1697"/>
        <v>0</v>
      </c>
      <c r="KA79" s="6">
        <f t="shared" si="1827"/>
        <v>3</v>
      </c>
      <c r="KB79" s="6">
        <f t="shared" si="1698"/>
        <v>1</v>
      </c>
      <c r="KC79" s="6">
        <f t="shared" si="1828"/>
        <v>6</v>
      </c>
      <c r="KD79" s="6">
        <f t="shared" si="1699"/>
        <v>0</v>
      </c>
      <c r="KE79" s="6">
        <f t="shared" si="1829"/>
        <v>1</v>
      </c>
      <c r="KF79" s="6"/>
      <c r="KG79" s="6">
        <f t="shared" si="1840"/>
        <v>0</v>
      </c>
      <c r="KH79" s="6"/>
      <c r="KI79" s="20">
        <f>JH79-'Zusammenfassung Tag1-4'!$K$2/18</f>
        <v>3.2222222222222223</v>
      </c>
      <c r="KJ79" s="22">
        <f t="shared" si="1830"/>
        <v>65.3333333333333</v>
      </c>
      <c r="KK79" s="10"/>
      <c r="KL79" s="10"/>
      <c r="KM79" s="10"/>
      <c r="KN79" s="10"/>
      <c r="KO79" s="10"/>
      <c r="KP79" s="10"/>
      <c r="KQ79" s="10"/>
      <c r="KR79" s="10"/>
      <c r="KS79" s="10"/>
      <c r="KT79" s="10"/>
      <c r="KU79" s="10"/>
      <c r="KV79" s="10"/>
      <c r="KW79" s="10"/>
      <c r="KX79" s="10"/>
      <c r="KY79" s="10"/>
      <c r="KZ79" s="10"/>
      <c r="LA79" s="10"/>
      <c r="LB79" s="10"/>
      <c r="LC79" s="10"/>
      <c r="LD79" s="10"/>
    </row>
    <row r="80" spans="1:316" ht="15.75" customHeight="1" x14ac:dyDescent="0.25">
      <c r="A80" s="106"/>
      <c r="B80" s="103"/>
      <c r="C80" s="6">
        <v>7</v>
      </c>
      <c r="D80" s="6">
        <f t="shared" si="1700"/>
        <v>61</v>
      </c>
      <c r="E80" s="6">
        <v>5</v>
      </c>
      <c r="F80" s="7">
        <f t="shared" si="1701"/>
        <v>245</v>
      </c>
      <c r="G80" s="18"/>
      <c r="H80" s="6"/>
      <c r="I80" s="19"/>
      <c r="J80" s="6">
        <f t="shared" si="1702"/>
        <v>71</v>
      </c>
      <c r="K80" s="6">
        <f t="shared" si="1600"/>
        <v>1</v>
      </c>
      <c r="L80" s="6">
        <f t="shared" si="1703"/>
        <v>40</v>
      </c>
      <c r="M80" s="6">
        <f t="shared" si="1601"/>
        <v>0</v>
      </c>
      <c r="N80" s="6">
        <f t="shared" si="1704"/>
        <v>3</v>
      </c>
      <c r="O80" s="6">
        <f t="shared" si="1602"/>
        <v>0</v>
      </c>
      <c r="P80" s="6">
        <f t="shared" si="1705"/>
        <v>1</v>
      </c>
      <c r="Q80" s="6">
        <f t="shared" si="1603"/>
        <v>0</v>
      </c>
      <c r="R80" s="6">
        <f t="shared" si="1706"/>
        <v>0</v>
      </c>
      <c r="S80" s="6">
        <f t="shared" si="1604"/>
        <v>0</v>
      </c>
      <c r="T80" s="6">
        <f t="shared" si="1707"/>
        <v>0</v>
      </c>
      <c r="U80" s="6">
        <f t="shared" si="1605"/>
        <v>0</v>
      </c>
      <c r="V80" s="6">
        <f t="shared" si="1708"/>
        <v>0</v>
      </c>
      <c r="W80" s="6">
        <f t="shared" si="1606"/>
        <v>1</v>
      </c>
      <c r="X80" s="6">
        <f t="shared" si="1709"/>
        <v>7</v>
      </c>
      <c r="Y80" s="6">
        <f t="shared" si="1607"/>
        <v>0</v>
      </c>
      <c r="Z80" s="6">
        <f t="shared" si="1710"/>
        <v>7</v>
      </c>
      <c r="AA80" s="6">
        <f t="shared" si="1608"/>
        <v>0</v>
      </c>
      <c r="AB80" s="6">
        <f t="shared" si="1711"/>
        <v>0</v>
      </c>
      <c r="AC80" s="6">
        <f t="shared" si="1609"/>
        <v>0</v>
      </c>
      <c r="AD80" s="6">
        <f t="shared" si="1712"/>
        <v>5</v>
      </c>
      <c r="AE80" s="6"/>
      <c r="AF80" s="6"/>
      <c r="AG80" s="6">
        <f>IF($E80=5,G80-5,NA())</f>
        <v>-5</v>
      </c>
      <c r="AH80" s="20">
        <f>G80-'Zusammenfassung Tag1-4'!$B$2/18</f>
        <v>-1.1111111111111112</v>
      </c>
      <c r="AI80" s="21">
        <f t="shared" si="1713"/>
        <v>109.22222222222206</v>
      </c>
      <c r="AJ80" s="18">
        <v>4</v>
      </c>
      <c r="AK80" s="6">
        <f t="shared" si="1714"/>
        <v>278</v>
      </c>
      <c r="AL80" s="19">
        <v>1</v>
      </c>
      <c r="AM80" s="6">
        <f t="shared" si="1715"/>
        <v>108</v>
      </c>
      <c r="AN80" s="6">
        <f t="shared" si="1610"/>
        <v>1</v>
      </c>
      <c r="AO80" s="6">
        <f t="shared" si="1716"/>
        <v>32</v>
      </c>
      <c r="AP80" s="6">
        <f t="shared" si="1611"/>
        <v>0</v>
      </c>
      <c r="AQ80" s="6">
        <f t="shared" si="1717"/>
        <v>9</v>
      </c>
      <c r="AR80" s="6">
        <f t="shared" si="1612"/>
        <v>1</v>
      </c>
      <c r="AS80" s="6">
        <f t="shared" si="1718"/>
        <v>5</v>
      </c>
      <c r="AT80" s="6">
        <f t="shared" si="1613"/>
        <v>0</v>
      </c>
      <c r="AU80" s="6">
        <f t="shared" si="1719"/>
        <v>4</v>
      </c>
      <c r="AV80" s="6">
        <f t="shared" si="1614"/>
        <v>0</v>
      </c>
      <c r="AW80" s="6">
        <f t="shared" si="1720"/>
        <v>2</v>
      </c>
      <c r="AX80" s="6">
        <f t="shared" si="1615"/>
        <v>0</v>
      </c>
      <c r="AY80" s="6">
        <f t="shared" si="1721"/>
        <v>0</v>
      </c>
      <c r="AZ80" s="6">
        <f t="shared" si="1616"/>
        <v>0</v>
      </c>
      <c r="BA80" s="6">
        <f t="shared" si="1722"/>
        <v>0</v>
      </c>
      <c r="BB80" s="6">
        <f t="shared" si="1617"/>
        <v>1</v>
      </c>
      <c r="BC80" s="6">
        <f t="shared" si="1723"/>
        <v>20</v>
      </c>
      <c r="BD80" s="6">
        <f t="shared" si="1618"/>
        <v>0</v>
      </c>
      <c r="BE80" s="6">
        <f t="shared" si="1724"/>
        <v>4</v>
      </c>
      <c r="BF80" s="6">
        <f t="shared" si="1619"/>
        <v>0</v>
      </c>
      <c r="BG80" s="6">
        <f t="shared" si="1725"/>
        <v>6</v>
      </c>
      <c r="BH80" s="6"/>
      <c r="BI80" s="6"/>
      <c r="BJ80" s="6">
        <f>IF($E80=5,AJ80-5,NA())</f>
        <v>-1</v>
      </c>
      <c r="BK80" s="20">
        <f>AJ80-'Zusammenfassung Tag1-4'!$C$2/18</f>
        <v>3.3333333333333335</v>
      </c>
      <c r="BL80" s="21">
        <f t="shared" si="1726"/>
        <v>237.33333333333354</v>
      </c>
      <c r="BM80" s="18">
        <v>6</v>
      </c>
      <c r="BN80" s="6">
        <f t="shared" si="1727"/>
        <v>344</v>
      </c>
      <c r="BO80" s="19">
        <v>2</v>
      </c>
      <c r="BP80" s="6">
        <f t="shared" si="1728"/>
        <v>128</v>
      </c>
      <c r="BQ80" s="6">
        <f t="shared" si="1620"/>
        <v>0</v>
      </c>
      <c r="BR80" s="6">
        <f t="shared" si="1729"/>
        <v>9</v>
      </c>
      <c r="BS80" s="6">
        <f t="shared" si="1621"/>
        <v>0</v>
      </c>
      <c r="BT80" s="6">
        <f t="shared" si="1730"/>
        <v>4</v>
      </c>
      <c r="BU80" s="6">
        <f t="shared" si="1622"/>
        <v>0</v>
      </c>
      <c r="BV80" s="6">
        <f t="shared" si="1731"/>
        <v>0</v>
      </c>
      <c r="BW80" s="6">
        <f t="shared" si="1623"/>
        <v>0</v>
      </c>
      <c r="BX80" s="6">
        <f t="shared" si="1732"/>
        <v>1</v>
      </c>
      <c r="BY80" s="6">
        <f t="shared" si="1624"/>
        <v>1</v>
      </c>
      <c r="BZ80" s="6">
        <f t="shared" si="1733"/>
        <v>4</v>
      </c>
      <c r="CA80" s="6">
        <f t="shared" si="1625"/>
        <v>0</v>
      </c>
      <c r="CB80" s="6">
        <f t="shared" si="1734"/>
        <v>2</v>
      </c>
      <c r="CC80" s="6">
        <f t="shared" si="1626"/>
        <v>0</v>
      </c>
      <c r="CD80" s="6">
        <f t="shared" si="1735"/>
        <v>0</v>
      </c>
      <c r="CE80" s="6">
        <f t="shared" si="1627"/>
        <v>0</v>
      </c>
      <c r="CF80" s="6">
        <f t="shared" si="1736"/>
        <v>9</v>
      </c>
      <c r="CG80" s="6">
        <f t="shared" si="1628"/>
        <v>1</v>
      </c>
      <c r="CH80" s="6">
        <f t="shared" si="1737"/>
        <v>6</v>
      </c>
      <c r="CI80" s="6">
        <f t="shared" si="1629"/>
        <v>0</v>
      </c>
      <c r="CJ80" s="6">
        <f t="shared" si="1738"/>
        <v>15</v>
      </c>
      <c r="CK80" s="6"/>
      <c r="CL80" s="6"/>
      <c r="CM80" s="6">
        <f>IF($E80=5,BM80-5,NA())</f>
        <v>1</v>
      </c>
      <c r="CN80" s="20">
        <f>BM80-'Zusammenfassung Tag1-4'!$D$2/18</f>
        <v>4.666666666666667</v>
      </c>
      <c r="CO80" s="21">
        <f t="shared" si="1739"/>
        <v>262.66666666666646</v>
      </c>
      <c r="CP80" s="18">
        <v>8</v>
      </c>
      <c r="CQ80" s="6">
        <f t="shared" si="1740"/>
        <v>318</v>
      </c>
      <c r="CR80" s="19">
        <v>2</v>
      </c>
      <c r="CS80" s="6">
        <f t="shared" si="1741"/>
        <v>120</v>
      </c>
      <c r="CT80" s="6">
        <f t="shared" si="1630"/>
        <v>0</v>
      </c>
      <c r="CU80" s="6">
        <f t="shared" si="1742"/>
        <v>12</v>
      </c>
      <c r="CV80" s="6">
        <f t="shared" si="1631"/>
        <v>0</v>
      </c>
      <c r="CW80" s="6">
        <f t="shared" si="1743"/>
        <v>8</v>
      </c>
      <c r="CX80" s="6">
        <f t="shared" si="1632"/>
        <v>0</v>
      </c>
      <c r="CY80" s="6">
        <f t="shared" si="1744"/>
        <v>1</v>
      </c>
      <c r="CZ80" s="6">
        <f t="shared" si="1633"/>
        <v>0</v>
      </c>
      <c r="DA80" s="6">
        <f t="shared" si="1745"/>
        <v>3</v>
      </c>
      <c r="DB80" s="6">
        <f t="shared" si="1634"/>
        <v>0</v>
      </c>
      <c r="DC80" s="6">
        <f t="shared" si="1746"/>
        <v>2</v>
      </c>
      <c r="DD80" s="6">
        <f t="shared" si="1635"/>
        <v>1</v>
      </c>
      <c r="DE80" s="6">
        <f t="shared" si="1747"/>
        <v>1</v>
      </c>
      <c r="DF80" s="6">
        <f t="shared" si="1636"/>
        <v>0</v>
      </c>
      <c r="DG80" s="6">
        <f t="shared" si="1748"/>
        <v>0</v>
      </c>
      <c r="DH80" s="6">
        <f t="shared" si="1637"/>
        <v>0</v>
      </c>
      <c r="DI80" s="6">
        <f t="shared" si="1749"/>
        <v>15</v>
      </c>
      <c r="DJ80" s="6">
        <f t="shared" si="1638"/>
        <v>1</v>
      </c>
      <c r="DK80" s="6">
        <f t="shared" si="1750"/>
        <v>3</v>
      </c>
      <c r="DL80" s="6">
        <f t="shared" si="1639"/>
        <v>0</v>
      </c>
      <c r="DM80" s="6">
        <f t="shared" si="1751"/>
        <v>13</v>
      </c>
      <c r="DN80" s="6"/>
      <c r="DO80" s="6"/>
      <c r="DP80" s="6">
        <f>IF($E80=5,CP80-5,NA())</f>
        <v>3</v>
      </c>
      <c r="DQ80" s="20">
        <f>CP80-'Zusammenfassung Tag1-4'!$E$2/18</f>
        <v>6.7222222222222223</v>
      </c>
      <c r="DR80" s="22">
        <f t="shared" si="1752"/>
        <v>240.05555555555583</v>
      </c>
      <c r="DS80" s="18">
        <v>8</v>
      </c>
      <c r="DT80" s="6">
        <f t="shared" si="1753"/>
        <v>466</v>
      </c>
      <c r="DU80" s="19">
        <v>2</v>
      </c>
      <c r="DV80" s="6">
        <f t="shared" si="1754"/>
        <v>137</v>
      </c>
      <c r="DW80" s="6">
        <f t="shared" si="1640"/>
        <v>0</v>
      </c>
      <c r="DX80" s="6">
        <f t="shared" si="1755"/>
        <v>1</v>
      </c>
      <c r="DY80" s="6">
        <f t="shared" si="1641"/>
        <v>0</v>
      </c>
      <c r="DZ80" s="6">
        <f t="shared" si="1756"/>
        <v>0</v>
      </c>
      <c r="EA80" s="6">
        <f t="shared" si="1642"/>
        <v>0</v>
      </c>
      <c r="EB80" s="6">
        <f t="shared" si="1757"/>
        <v>0</v>
      </c>
      <c r="EC80" s="6">
        <f t="shared" si="1643"/>
        <v>0</v>
      </c>
      <c r="ED80" s="6">
        <f t="shared" si="1758"/>
        <v>0</v>
      </c>
      <c r="EE80" s="6">
        <f t="shared" si="1644"/>
        <v>0</v>
      </c>
      <c r="EF80" s="6">
        <f t="shared" si="1759"/>
        <v>0</v>
      </c>
      <c r="EG80" s="6">
        <f t="shared" si="1645"/>
        <v>1</v>
      </c>
      <c r="EH80" s="6">
        <f t="shared" si="1760"/>
        <v>7</v>
      </c>
      <c r="EI80" s="6">
        <f t="shared" si="1646"/>
        <v>0</v>
      </c>
      <c r="EJ80" s="6">
        <f t="shared" si="1761"/>
        <v>0</v>
      </c>
      <c r="EK80" s="6">
        <f t="shared" si="1647"/>
        <v>0</v>
      </c>
      <c r="EL80" s="6">
        <f t="shared" si="1762"/>
        <v>2</v>
      </c>
      <c r="EM80" s="6">
        <f t="shared" si="1648"/>
        <v>1</v>
      </c>
      <c r="EN80" s="6">
        <f t="shared" si="1763"/>
        <v>5</v>
      </c>
      <c r="EO80" s="6">
        <f t="shared" si="1649"/>
        <v>0</v>
      </c>
      <c r="EP80" s="6">
        <f t="shared" si="1764"/>
        <v>15</v>
      </c>
      <c r="EQ80" s="6"/>
      <c r="ER80" s="6"/>
      <c r="ES80" s="6">
        <f>IF($E80=5,DS80-5,NA())</f>
        <v>3</v>
      </c>
      <c r="ET80" s="20">
        <f>DS80-'Zusammenfassung Tag1-4'!$F$2/18</f>
        <v>5</v>
      </c>
      <c r="EU80" s="22">
        <f t="shared" si="1765"/>
        <v>283</v>
      </c>
      <c r="EV80" s="18">
        <v>6</v>
      </c>
      <c r="EW80" s="6">
        <f t="shared" si="1766"/>
        <v>343</v>
      </c>
      <c r="EX80" s="19">
        <v>2</v>
      </c>
      <c r="EY80" s="6">
        <f t="shared" si="1767"/>
        <v>126</v>
      </c>
      <c r="EZ80" s="6">
        <f t="shared" si="1650"/>
        <v>0</v>
      </c>
      <c r="FA80" s="6">
        <f t="shared" si="1768"/>
        <v>10</v>
      </c>
      <c r="FB80" s="6">
        <f t="shared" si="1651"/>
        <v>0</v>
      </c>
      <c r="FC80" s="6">
        <f t="shared" si="1769"/>
        <v>1</v>
      </c>
      <c r="FD80" s="6">
        <f t="shared" si="1652"/>
        <v>0</v>
      </c>
      <c r="FE80" s="6">
        <f t="shared" si="1770"/>
        <v>0</v>
      </c>
      <c r="FF80" s="6">
        <f t="shared" si="1653"/>
        <v>0</v>
      </c>
      <c r="FG80" s="6">
        <f t="shared" si="1771"/>
        <v>0</v>
      </c>
      <c r="FH80" s="6">
        <f t="shared" si="1654"/>
        <v>1</v>
      </c>
      <c r="FI80" s="6">
        <f t="shared" si="1772"/>
        <v>5</v>
      </c>
      <c r="FJ80" s="6">
        <f t="shared" si="1655"/>
        <v>0</v>
      </c>
      <c r="FK80" s="6">
        <f t="shared" si="1773"/>
        <v>2</v>
      </c>
      <c r="FL80" s="6">
        <f t="shared" si="1656"/>
        <v>0</v>
      </c>
      <c r="FM80" s="6">
        <f t="shared" si="1774"/>
        <v>0</v>
      </c>
      <c r="FN80" s="6">
        <f t="shared" si="1657"/>
        <v>0</v>
      </c>
      <c r="FO80" s="6">
        <f t="shared" si="1775"/>
        <v>8</v>
      </c>
      <c r="FP80" s="6">
        <f t="shared" si="1658"/>
        <v>1</v>
      </c>
      <c r="FQ80" s="6">
        <f t="shared" si="1776"/>
        <v>6</v>
      </c>
      <c r="FR80" s="6">
        <f t="shared" si="1659"/>
        <v>0</v>
      </c>
      <c r="FS80" s="6">
        <f t="shared" si="1777"/>
        <v>12</v>
      </c>
      <c r="FT80" s="6"/>
      <c r="FU80" s="6"/>
      <c r="FV80" s="6">
        <f>IF($E80=5,EV80-5,NA())</f>
        <v>1</v>
      </c>
      <c r="FW80" s="20">
        <f>EV80-'Zusammenfassung Tag1-4'!$G$2/18</f>
        <v>4.5</v>
      </c>
      <c r="FX80" s="22">
        <f t="shared" si="1778"/>
        <v>251.5</v>
      </c>
      <c r="FY80" s="18">
        <v>8</v>
      </c>
      <c r="FZ80" s="6">
        <f t="shared" si="1779"/>
        <v>442</v>
      </c>
      <c r="GA80" s="19">
        <v>2</v>
      </c>
      <c r="GB80" s="6">
        <f t="shared" si="1780"/>
        <v>140</v>
      </c>
      <c r="GC80" s="6">
        <f t="shared" si="1660"/>
        <v>0</v>
      </c>
      <c r="GD80" s="6">
        <f t="shared" si="1781"/>
        <v>2</v>
      </c>
      <c r="GE80" s="6">
        <f t="shared" si="1661"/>
        <v>0</v>
      </c>
      <c r="GF80" s="6">
        <f t="shared" si="1782"/>
        <v>0</v>
      </c>
      <c r="GG80" s="6">
        <f t="shared" si="1662"/>
        <v>0</v>
      </c>
      <c r="GH80" s="6">
        <f t="shared" si="1783"/>
        <v>0</v>
      </c>
      <c r="GI80" s="6">
        <f t="shared" si="1663"/>
        <v>0</v>
      </c>
      <c r="GJ80" s="6">
        <f t="shared" si="1784"/>
        <v>0</v>
      </c>
      <c r="GK80" s="6">
        <f t="shared" si="1664"/>
        <v>0</v>
      </c>
      <c r="GL80" s="6">
        <f t="shared" si="1785"/>
        <v>1</v>
      </c>
      <c r="GM80" s="6">
        <f t="shared" si="1665"/>
        <v>1</v>
      </c>
      <c r="GN80" s="6">
        <f t="shared" si="1786"/>
        <v>6</v>
      </c>
      <c r="GO80" s="6">
        <f t="shared" si="1666"/>
        <v>0</v>
      </c>
      <c r="GP80" s="6">
        <f t="shared" si="1787"/>
        <v>0</v>
      </c>
      <c r="GQ80" s="6">
        <f t="shared" si="1667"/>
        <v>0</v>
      </c>
      <c r="GR80" s="6">
        <f t="shared" si="1788"/>
        <v>4</v>
      </c>
      <c r="GS80" s="6">
        <f t="shared" si="1668"/>
        <v>1</v>
      </c>
      <c r="GT80" s="6">
        <f t="shared" si="1789"/>
        <v>5</v>
      </c>
      <c r="GU80" s="6">
        <f t="shared" si="1669"/>
        <v>0</v>
      </c>
      <c r="GV80" s="6">
        <f t="shared" si="1790"/>
        <v>22</v>
      </c>
      <c r="GW80" s="6"/>
      <c r="GX80" s="6"/>
      <c r="GY80" s="6">
        <f>IF($E80=5,FY80-5,NA())</f>
        <v>3</v>
      </c>
      <c r="GZ80" s="20">
        <f>FY80-'Zusammenfassung Tag1-4'!$H$2/18</f>
        <v>5</v>
      </c>
      <c r="HA80" s="22">
        <f t="shared" si="1791"/>
        <v>259</v>
      </c>
      <c r="HB80" s="18">
        <v>10</v>
      </c>
      <c r="HC80" s="6">
        <f t="shared" si="1792"/>
        <v>327</v>
      </c>
      <c r="HD80" s="19">
        <v>2</v>
      </c>
      <c r="HE80" s="6">
        <f t="shared" si="1793"/>
        <v>125</v>
      </c>
      <c r="HF80" s="6">
        <f t="shared" si="1670"/>
        <v>0</v>
      </c>
      <c r="HG80" s="6">
        <f t="shared" si="1794"/>
        <v>19</v>
      </c>
      <c r="HH80" s="6">
        <f t="shared" si="1671"/>
        <v>0</v>
      </c>
      <c r="HI80" s="6">
        <f t="shared" si="1795"/>
        <v>6</v>
      </c>
      <c r="HJ80" s="6">
        <f t="shared" si="1672"/>
        <v>0</v>
      </c>
      <c r="HK80" s="6">
        <f t="shared" si="1796"/>
        <v>0</v>
      </c>
      <c r="HL80" s="6">
        <f t="shared" si="1673"/>
        <v>0</v>
      </c>
      <c r="HM80" s="6">
        <f t="shared" si="1797"/>
        <v>3</v>
      </c>
      <c r="HN80" s="6">
        <f t="shared" si="1674"/>
        <v>0</v>
      </c>
      <c r="HO80" s="6">
        <f t="shared" si="1798"/>
        <v>2</v>
      </c>
      <c r="HP80" s="6">
        <f t="shared" si="1675"/>
        <v>1</v>
      </c>
      <c r="HQ80" s="6">
        <f t="shared" si="1799"/>
        <v>2</v>
      </c>
      <c r="HR80" s="6">
        <f t="shared" si="1676"/>
        <v>0</v>
      </c>
      <c r="HS80" s="6">
        <f t="shared" si="1800"/>
        <v>0</v>
      </c>
      <c r="HT80" s="6">
        <f t="shared" si="1677"/>
        <v>0</v>
      </c>
      <c r="HU80" s="6">
        <f t="shared" si="1801"/>
        <v>10</v>
      </c>
      <c r="HV80" s="6">
        <f t="shared" si="1678"/>
        <v>1</v>
      </c>
      <c r="HW80" s="6">
        <f t="shared" si="1802"/>
        <v>3</v>
      </c>
      <c r="HX80" s="6">
        <f t="shared" si="1679"/>
        <v>0</v>
      </c>
      <c r="HY80" s="6">
        <f t="shared" si="1803"/>
        <v>13</v>
      </c>
      <c r="HZ80" s="6"/>
      <c r="IA80" s="6"/>
      <c r="IB80" s="6">
        <f>IF($E80=5,HB80-5,NA())</f>
        <v>5</v>
      </c>
      <c r="IC80" s="20">
        <f>HB80-'Zusammenfassung Tag1-4'!$I$2/18</f>
        <v>9</v>
      </c>
      <c r="ID80" s="22">
        <f t="shared" si="1804"/>
        <v>266</v>
      </c>
      <c r="IE80" s="18">
        <v>7</v>
      </c>
      <c r="IF80" s="6">
        <f t="shared" si="1805"/>
        <v>189</v>
      </c>
      <c r="IG80" s="19">
        <v>2</v>
      </c>
      <c r="IH80" s="6">
        <f t="shared" si="1806"/>
        <v>67</v>
      </c>
      <c r="II80" s="6">
        <f t="shared" si="1680"/>
        <v>0</v>
      </c>
      <c r="IJ80" s="6">
        <f t="shared" si="1807"/>
        <v>37</v>
      </c>
      <c r="IK80" s="6">
        <f t="shared" si="1681"/>
        <v>0</v>
      </c>
      <c r="IL80" s="6">
        <f t="shared" si="1808"/>
        <v>0</v>
      </c>
      <c r="IM80" s="6">
        <f t="shared" si="1682"/>
        <v>0</v>
      </c>
      <c r="IN80" s="6">
        <f t="shared" si="1809"/>
        <v>0</v>
      </c>
      <c r="IO80" s="6">
        <f t="shared" si="1683"/>
        <v>0</v>
      </c>
      <c r="IP80" s="6">
        <f t="shared" si="1810"/>
        <v>0</v>
      </c>
      <c r="IQ80" s="6">
        <f t="shared" si="1684"/>
        <v>0</v>
      </c>
      <c r="IR80" s="6">
        <f t="shared" si="1811"/>
        <v>0</v>
      </c>
      <c r="IS80" s="6">
        <f t="shared" si="1685"/>
        <v>1</v>
      </c>
      <c r="IT80" s="6">
        <f t="shared" si="1812"/>
        <v>7</v>
      </c>
      <c r="IU80" s="6">
        <f t="shared" si="1686"/>
        <v>0</v>
      </c>
      <c r="IV80" s="6">
        <f t="shared" si="1813"/>
        <v>0</v>
      </c>
      <c r="IW80" s="6">
        <f t="shared" si="1687"/>
        <v>0</v>
      </c>
      <c r="IX80" s="6">
        <f t="shared" si="1814"/>
        <v>1</v>
      </c>
      <c r="IY80" s="6">
        <f t="shared" si="1688"/>
        <v>1</v>
      </c>
      <c r="IZ80" s="6">
        <f t="shared" si="1815"/>
        <v>3</v>
      </c>
      <c r="JA80" s="6">
        <f t="shared" si="1689"/>
        <v>0</v>
      </c>
      <c r="JB80" s="6">
        <f t="shared" si="1816"/>
        <v>14</v>
      </c>
      <c r="JC80" s="6"/>
      <c r="JD80" s="6"/>
      <c r="JE80" s="6">
        <f>IF($E80=5,IE80-5,NA())</f>
        <v>2</v>
      </c>
      <c r="JF80" s="20">
        <f>IE80-'Zusammenfassung Tag1-4'!$J$2/18</f>
        <v>4</v>
      </c>
      <c r="JG80" s="22">
        <f t="shared" si="1817"/>
        <v>6</v>
      </c>
      <c r="JH80" s="18">
        <v>6</v>
      </c>
      <c r="JI80" s="6">
        <f t="shared" si="1818"/>
        <v>118</v>
      </c>
      <c r="JJ80" s="19">
        <v>3</v>
      </c>
      <c r="JK80" s="6">
        <f t="shared" si="1819"/>
        <v>49</v>
      </c>
      <c r="JL80" s="6">
        <f t="shared" si="1690"/>
        <v>1</v>
      </c>
      <c r="JM80" s="6">
        <f t="shared" si="1820"/>
        <v>49</v>
      </c>
      <c r="JN80" s="6">
        <f t="shared" si="1691"/>
        <v>0</v>
      </c>
      <c r="JO80" s="6">
        <f t="shared" si="1821"/>
        <v>1</v>
      </c>
      <c r="JP80" s="6">
        <f t="shared" si="1692"/>
        <v>0</v>
      </c>
      <c r="JQ80" s="6">
        <f t="shared" si="1822"/>
        <v>0</v>
      </c>
      <c r="JR80" s="6">
        <f t="shared" si="1693"/>
        <v>0</v>
      </c>
      <c r="JS80" s="6">
        <f t="shared" si="1823"/>
        <v>4</v>
      </c>
      <c r="JT80" s="6">
        <f t="shared" si="1694"/>
        <v>1</v>
      </c>
      <c r="JU80" s="6">
        <f t="shared" si="1824"/>
        <v>2</v>
      </c>
      <c r="JV80" s="6">
        <f t="shared" si="1695"/>
        <v>0</v>
      </c>
      <c r="JW80" s="6">
        <f t="shared" si="1825"/>
        <v>1</v>
      </c>
      <c r="JX80" s="6">
        <f t="shared" si="1696"/>
        <v>0</v>
      </c>
      <c r="JY80" s="6">
        <f t="shared" si="1826"/>
        <v>0</v>
      </c>
      <c r="JZ80" s="6">
        <f t="shared" si="1697"/>
        <v>0</v>
      </c>
      <c r="KA80" s="6">
        <f t="shared" si="1827"/>
        <v>3</v>
      </c>
      <c r="KB80" s="6">
        <f t="shared" si="1698"/>
        <v>0</v>
      </c>
      <c r="KC80" s="6">
        <f t="shared" si="1828"/>
        <v>6</v>
      </c>
      <c r="KD80" s="6">
        <f t="shared" si="1699"/>
        <v>1</v>
      </c>
      <c r="KE80" s="6">
        <f t="shared" si="1829"/>
        <v>2</v>
      </c>
      <c r="KF80" s="6"/>
      <c r="KG80" s="6"/>
      <c r="KH80" s="6">
        <f>IF($E80=5,JH80-5,NA())</f>
        <v>1</v>
      </c>
      <c r="KI80" s="20">
        <f>JH80-'Zusammenfassung Tag1-4'!$K$2/18</f>
        <v>5.2222222222222223</v>
      </c>
      <c r="KJ80" s="22">
        <f t="shared" si="1830"/>
        <v>70.555555555555529</v>
      </c>
      <c r="KK80" s="10"/>
      <c r="KL80" s="10"/>
      <c r="KM80" s="10"/>
      <c r="KN80" s="10"/>
      <c r="KO80" s="10"/>
      <c r="KP80" s="10"/>
      <c r="KQ80" s="10"/>
      <c r="KR80" s="10"/>
      <c r="KS80" s="10"/>
      <c r="KT80" s="10"/>
      <c r="KU80" s="10"/>
      <c r="KV80" s="10"/>
      <c r="KW80" s="10"/>
      <c r="KX80" s="10"/>
      <c r="KY80" s="10"/>
      <c r="KZ80" s="10"/>
      <c r="LA80" s="10"/>
      <c r="LB80" s="10"/>
      <c r="LC80" s="10"/>
      <c r="LD80" s="10"/>
    </row>
    <row r="81" spans="1:316" ht="15.75" customHeight="1" x14ac:dyDescent="0.25">
      <c r="A81" s="106"/>
      <c r="B81" s="103"/>
      <c r="C81" s="6">
        <v>8</v>
      </c>
      <c r="D81" s="6">
        <f t="shared" si="1700"/>
        <v>62</v>
      </c>
      <c r="E81" s="6">
        <v>3</v>
      </c>
      <c r="F81" s="7">
        <f t="shared" si="1701"/>
        <v>248</v>
      </c>
      <c r="G81" s="18"/>
      <c r="H81" s="6"/>
      <c r="I81" s="19"/>
      <c r="J81" s="6">
        <f t="shared" si="1702"/>
        <v>71</v>
      </c>
      <c r="K81" s="6">
        <f t="shared" si="1600"/>
        <v>1</v>
      </c>
      <c r="L81" s="6">
        <f t="shared" si="1703"/>
        <v>41</v>
      </c>
      <c r="M81" s="6">
        <f t="shared" si="1601"/>
        <v>0</v>
      </c>
      <c r="N81" s="6">
        <f t="shared" si="1704"/>
        <v>3</v>
      </c>
      <c r="O81" s="6">
        <f t="shared" si="1602"/>
        <v>0</v>
      </c>
      <c r="P81" s="6">
        <f t="shared" si="1705"/>
        <v>1</v>
      </c>
      <c r="Q81" s="6">
        <f t="shared" si="1603"/>
        <v>0</v>
      </c>
      <c r="R81" s="6">
        <f t="shared" si="1706"/>
        <v>0</v>
      </c>
      <c r="S81" s="6">
        <f t="shared" si="1604"/>
        <v>0</v>
      </c>
      <c r="T81" s="6">
        <f t="shared" si="1707"/>
        <v>0</v>
      </c>
      <c r="U81" s="6">
        <f t="shared" si="1605"/>
        <v>0</v>
      </c>
      <c r="V81" s="6">
        <f t="shared" si="1708"/>
        <v>0</v>
      </c>
      <c r="W81" s="6">
        <f t="shared" si="1606"/>
        <v>1</v>
      </c>
      <c r="X81" s="6">
        <f t="shared" si="1709"/>
        <v>8</v>
      </c>
      <c r="Y81" s="6">
        <f t="shared" si="1607"/>
        <v>0</v>
      </c>
      <c r="Z81" s="6">
        <f t="shared" si="1710"/>
        <v>7</v>
      </c>
      <c r="AA81" s="6">
        <f t="shared" si="1608"/>
        <v>0</v>
      </c>
      <c r="AB81" s="6">
        <f t="shared" si="1711"/>
        <v>0</v>
      </c>
      <c r="AC81" s="6">
        <f t="shared" si="1609"/>
        <v>0</v>
      </c>
      <c r="AD81" s="6">
        <f t="shared" si="1712"/>
        <v>5</v>
      </c>
      <c r="AE81" s="6">
        <f>IF($E81=3,G81-3,NA())</f>
        <v>-3</v>
      </c>
      <c r="AF81" s="6"/>
      <c r="AG81" s="6"/>
      <c r="AH81" s="20">
        <f>G81-'Zusammenfassung Tag1-4'!$B$2/18</f>
        <v>-1.1111111111111112</v>
      </c>
      <c r="AI81" s="21">
        <f t="shared" si="1713"/>
        <v>108.11111111111094</v>
      </c>
      <c r="AJ81" s="18">
        <v>3</v>
      </c>
      <c r="AK81" s="6">
        <f t="shared" si="1714"/>
        <v>281</v>
      </c>
      <c r="AL81" s="19">
        <v>1</v>
      </c>
      <c r="AM81" s="6">
        <f t="shared" si="1715"/>
        <v>109</v>
      </c>
      <c r="AN81" s="6">
        <f t="shared" si="1610"/>
        <v>0</v>
      </c>
      <c r="AO81" s="6">
        <f t="shared" si="1716"/>
        <v>32</v>
      </c>
      <c r="AP81" s="6">
        <f t="shared" si="1611"/>
        <v>1</v>
      </c>
      <c r="AQ81" s="6">
        <f t="shared" si="1717"/>
        <v>10</v>
      </c>
      <c r="AR81" s="6">
        <f t="shared" si="1612"/>
        <v>0</v>
      </c>
      <c r="AS81" s="6">
        <f t="shared" si="1718"/>
        <v>5</v>
      </c>
      <c r="AT81" s="6">
        <f t="shared" si="1613"/>
        <v>1</v>
      </c>
      <c r="AU81" s="6">
        <f t="shared" si="1719"/>
        <v>5</v>
      </c>
      <c r="AV81" s="6">
        <f t="shared" si="1614"/>
        <v>0</v>
      </c>
      <c r="AW81" s="6">
        <f t="shared" si="1720"/>
        <v>2</v>
      </c>
      <c r="AX81" s="6">
        <f t="shared" si="1615"/>
        <v>0</v>
      </c>
      <c r="AY81" s="6">
        <f t="shared" si="1721"/>
        <v>0</v>
      </c>
      <c r="AZ81" s="6">
        <f t="shared" si="1616"/>
        <v>0</v>
      </c>
      <c r="BA81" s="6">
        <f t="shared" si="1722"/>
        <v>0</v>
      </c>
      <c r="BB81" s="6">
        <f t="shared" si="1617"/>
        <v>1</v>
      </c>
      <c r="BC81" s="6">
        <f t="shared" si="1723"/>
        <v>21</v>
      </c>
      <c r="BD81" s="6">
        <f t="shared" si="1618"/>
        <v>0</v>
      </c>
      <c r="BE81" s="6">
        <f t="shared" si="1724"/>
        <v>4</v>
      </c>
      <c r="BF81" s="6">
        <f t="shared" si="1619"/>
        <v>0</v>
      </c>
      <c r="BG81" s="6">
        <f t="shared" si="1725"/>
        <v>6</v>
      </c>
      <c r="BH81" s="6">
        <f>IF($E81=3,AJ81-3,NA())</f>
        <v>0</v>
      </c>
      <c r="BI81" s="6"/>
      <c r="BJ81" s="6"/>
      <c r="BK81" s="20">
        <f>AJ81-'Zusammenfassung Tag1-4'!$C$2/18</f>
        <v>2.3333333333333335</v>
      </c>
      <c r="BL81" s="21">
        <f t="shared" si="1726"/>
        <v>239.66666666666688</v>
      </c>
      <c r="BM81" s="18">
        <v>3</v>
      </c>
      <c r="BN81" s="6">
        <f t="shared" si="1727"/>
        <v>347</v>
      </c>
      <c r="BO81" s="19">
        <v>1</v>
      </c>
      <c r="BP81" s="6">
        <f t="shared" si="1728"/>
        <v>129</v>
      </c>
      <c r="BQ81" s="6">
        <f t="shared" si="1620"/>
        <v>0</v>
      </c>
      <c r="BR81" s="6">
        <f t="shared" si="1729"/>
        <v>9</v>
      </c>
      <c r="BS81" s="6">
        <f t="shared" si="1621"/>
        <v>1</v>
      </c>
      <c r="BT81" s="6">
        <f t="shared" si="1730"/>
        <v>5</v>
      </c>
      <c r="BU81" s="6">
        <f t="shared" si="1622"/>
        <v>0</v>
      </c>
      <c r="BV81" s="6">
        <f t="shared" si="1731"/>
        <v>0</v>
      </c>
      <c r="BW81" s="6">
        <f t="shared" si="1623"/>
        <v>1</v>
      </c>
      <c r="BX81" s="6">
        <f t="shared" si="1732"/>
        <v>2</v>
      </c>
      <c r="BY81" s="6">
        <f t="shared" si="1624"/>
        <v>0</v>
      </c>
      <c r="BZ81" s="6">
        <f t="shared" si="1733"/>
        <v>4</v>
      </c>
      <c r="CA81" s="6">
        <f t="shared" si="1625"/>
        <v>0</v>
      </c>
      <c r="CB81" s="6">
        <f t="shared" si="1734"/>
        <v>2</v>
      </c>
      <c r="CC81" s="6">
        <f t="shared" si="1626"/>
        <v>0</v>
      </c>
      <c r="CD81" s="6">
        <f t="shared" si="1735"/>
        <v>0</v>
      </c>
      <c r="CE81" s="6">
        <f t="shared" si="1627"/>
        <v>1</v>
      </c>
      <c r="CF81" s="6">
        <f t="shared" si="1736"/>
        <v>10</v>
      </c>
      <c r="CG81" s="6">
        <f t="shared" si="1628"/>
        <v>0</v>
      </c>
      <c r="CH81" s="6">
        <f t="shared" si="1737"/>
        <v>6</v>
      </c>
      <c r="CI81" s="6">
        <f t="shared" si="1629"/>
        <v>0</v>
      </c>
      <c r="CJ81" s="6">
        <f t="shared" si="1738"/>
        <v>15</v>
      </c>
      <c r="CK81" s="6">
        <f>IF($E81=3,BM81-3,NA())</f>
        <v>0</v>
      </c>
      <c r="CL81" s="6"/>
      <c r="CM81" s="6"/>
      <c r="CN81" s="20">
        <f>BM81-'Zusammenfassung Tag1-4'!$D$2/18</f>
        <v>1.6666666666666667</v>
      </c>
      <c r="CO81" s="21">
        <f t="shared" si="1739"/>
        <v>264.33333333333314</v>
      </c>
      <c r="CP81" s="18">
        <v>4</v>
      </c>
      <c r="CQ81" s="6">
        <f t="shared" si="1740"/>
        <v>322</v>
      </c>
      <c r="CR81" s="19">
        <v>2</v>
      </c>
      <c r="CS81" s="6">
        <f t="shared" si="1741"/>
        <v>122</v>
      </c>
      <c r="CT81" s="6">
        <f t="shared" si="1630"/>
        <v>0</v>
      </c>
      <c r="CU81" s="6">
        <f t="shared" si="1742"/>
        <v>12</v>
      </c>
      <c r="CV81" s="6">
        <f t="shared" si="1631"/>
        <v>0</v>
      </c>
      <c r="CW81" s="6">
        <f t="shared" si="1743"/>
        <v>8</v>
      </c>
      <c r="CX81" s="6">
        <f t="shared" si="1632"/>
        <v>0</v>
      </c>
      <c r="CY81" s="6">
        <f t="shared" si="1744"/>
        <v>1</v>
      </c>
      <c r="CZ81" s="6">
        <f t="shared" si="1633"/>
        <v>0</v>
      </c>
      <c r="DA81" s="6">
        <f t="shared" si="1745"/>
        <v>3</v>
      </c>
      <c r="DB81" s="6">
        <f t="shared" si="1634"/>
        <v>1</v>
      </c>
      <c r="DC81" s="6">
        <f t="shared" si="1746"/>
        <v>3</v>
      </c>
      <c r="DD81" s="6">
        <f t="shared" si="1635"/>
        <v>0</v>
      </c>
      <c r="DE81" s="6">
        <f t="shared" si="1747"/>
        <v>1</v>
      </c>
      <c r="DF81" s="6">
        <f t="shared" si="1636"/>
        <v>0</v>
      </c>
      <c r="DG81" s="6">
        <f t="shared" si="1748"/>
        <v>0</v>
      </c>
      <c r="DH81" s="6">
        <f t="shared" si="1637"/>
        <v>0</v>
      </c>
      <c r="DI81" s="6">
        <f t="shared" si="1749"/>
        <v>15</v>
      </c>
      <c r="DJ81" s="6">
        <f t="shared" si="1638"/>
        <v>1</v>
      </c>
      <c r="DK81" s="6">
        <f t="shared" si="1750"/>
        <v>4</v>
      </c>
      <c r="DL81" s="6">
        <f t="shared" si="1639"/>
        <v>0</v>
      </c>
      <c r="DM81" s="6">
        <f t="shared" si="1751"/>
        <v>13</v>
      </c>
      <c r="DN81" s="6">
        <f>IF($E81=3,CP81-3,NA())</f>
        <v>1</v>
      </c>
      <c r="DO81" s="6"/>
      <c r="DP81" s="6"/>
      <c r="DQ81" s="20">
        <f>CP81-'Zusammenfassung Tag1-4'!$E$2/18</f>
        <v>2.7222222222222223</v>
      </c>
      <c r="DR81" s="22">
        <f t="shared" si="1752"/>
        <v>242.77777777777806</v>
      </c>
      <c r="DS81" s="18">
        <v>6</v>
      </c>
      <c r="DT81" s="6">
        <f t="shared" si="1753"/>
        <v>472</v>
      </c>
      <c r="DU81" s="19">
        <v>3</v>
      </c>
      <c r="DV81" s="6">
        <f t="shared" si="1754"/>
        <v>140</v>
      </c>
      <c r="DW81" s="6">
        <f t="shared" si="1640"/>
        <v>0</v>
      </c>
      <c r="DX81" s="6">
        <f t="shared" si="1755"/>
        <v>1</v>
      </c>
      <c r="DY81" s="6">
        <f t="shared" si="1641"/>
        <v>0</v>
      </c>
      <c r="DZ81" s="6">
        <f t="shared" si="1756"/>
        <v>0</v>
      </c>
      <c r="EA81" s="6">
        <f t="shared" si="1642"/>
        <v>0</v>
      </c>
      <c r="EB81" s="6">
        <f t="shared" si="1757"/>
        <v>0</v>
      </c>
      <c r="EC81" s="6">
        <f t="shared" si="1643"/>
        <v>0</v>
      </c>
      <c r="ED81" s="6">
        <f t="shared" si="1758"/>
        <v>0</v>
      </c>
      <c r="EE81" s="6">
        <f t="shared" si="1644"/>
        <v>0</v>
      </c>
      <c r="EF81" s="6">
        <f t="shared" si="1759"/>
        <v>0</v>
      </c>
      <c r="EG81" s="6">
        <f t="shared" si="1645"/>
        <v>1</v>
      </c>
      <c r="EH81" s="6">
        <f t="shared" si="1760"/>
        <v>8</v>
      </c>
      <c r="EI81" s="6">
        <f t="shared" si="1646"/>
        <v>0</v>
      </c>
      <c r="EJ81" s="6">
        <f t="shared" si="1761"/>
        <v>0</v>
      </c>
      <c r="EK81" s="6">
        <f t="shared" si="1647"/>
        <v>0</v>
      </c>
      <c r="EL81" s="6">
        <f t="shared" si="1762"/>
        <v>2</v>
      </c>
      <c r="EM81" s="6">
        <f t="shared" si="1648"/>
        <v>0</v>
      </c>
      <c r="EN81" s="6">
        <f t="shared" si="1763"/>
        <v>5</v>
      </c>
      <c r="EO81" s="6">
        <f t="shared" si="1649"/>
        <v>1</v>
      </c>
      <c r="EP81" s="6">
        <f t="shared" si="1764"/>
        <v>16</v>
      </c>
      <c r="EQ81" s="6">
        <f>IF($E81=3,DS81-3,NA())</f>
        <v>3</v>
      </c>
      <c r="ER81" s="6"/>
      <c r="ES81" s="6"/>
      <c r="ET81" s="20">
        <f>DS81-'Zusammenfassung Tag1-4'!$F$2/18</f>
        <v>3</v>
      </c>
      <c r="EU81" s="22">
        <f t="shared" si="1765"/>
        <v>286</v>
      </c>
      <c r="EV81" s="18">
        <v>5</v>
      </c>
      <c r="EW81" s="6">
        <f t="shared" si="1766"/>
        <v>348</v>
      </c>
      <c r="EX81" s="19">
        <v>2</v>
      </c>
      <c r="EY81" s="6">
        <f t="shared" si="1767"/>
        <v>128</v>
      </c>
      <c r="EZ81" s="6">
        <f t="shared" si="1650"/>
        <v>0</v>
      </c>
      <c r="FA81" s="6">
        <f t="shared" si="1768"/>
        <v>10</v>
      </c>
      <c r="FB81" s="6">
        <f t="shared" si="1651"/>
        <v>0</v>
      </c>
      <c r="FC81" s="6">
        <f t="shared" si="1769"/>
        <v>1</v>
      </c>
      <c r="FD81" s="6">
        <f t="shared" si="1652"/>
        <v>0</v>
      </c>
      <c r="FE81" s="6">
        <f t="shared" si="1770"/>
        <v>0</v>
      </c>
      <c r="FF81" s="6">
        <f t="shared" si="1653"/>
        <v>0</v>
      </c>
      <c r="FG81" s="6">
        <f t="shared" si="1771"/>
        <v>0</v>
      </c>
      <c r="FH81" s="6">
        <f t="shared" si="1654"/>
        <v>0</v>
      </c>
      <c r="FI81" s="6">
        <f t="shared" si="1772"/>
        <v>5</v>
      </c>
      <c r="FJ81" s="6">
        <f t="shared" si="1655"/>
        <v>1</v>
      </c>
      <c r="FK81" s="6">
        <f t="shared" si="1773"/>
        <v>3</v>
      </c>
      <c r="FL81" s="6">
        <f t="shared" si="1656"/>
        <v>0</v>
      </c>
      <c r="FM81" s="6">
        <f t="shared" si="1774"/>
        <v>0</v>
      </c>
      <c r="FN81" s="6">
        <f t="shared" si="1657"/>
        <v>0</v>
      </c>
      <c r="FO81" s="6">
        <f t="shared" si="1775"/>
        <v>8</v>
      </c>
      <c r="FP81" s="6">
        <f t="shared" si="1658"/>
        <v>1</v>
      </c>
      <c r="FQ81" s="6">
        <f t="shared" si="1776"/>
        <v>7</v>
      </c>
      <c r="FR81" s="6">
        <f t="shared" si="1659"/>
        <v>0</v>
      </c>
      <c r="FS81" s="6">
        <f t="shared" si="1777"/>
        <v>12</v>
      </c>
      <c r="FT81" s="6">
        <f>IF($E81=3,EV81-3,NA())</f>
        <v>2</v>
      </c>
      <c r="FU81" s="6"/>
      <c r="FV81" s="6"/>
      <c r="FW81" s="20">
        <f>EV81-'Zusammenfassung Tag1-4'!$G$2/18</f>
        <v>3.5</v>
      </c>
      <c r="FX81" s="22">
        <f t="shared" si="1778"/>
        <v>255</v>
      </c>
      <c r="FY81" s="18">
        <v>5</v>
      </c>
      <c r="FZ81" s="6">
        <f t="shared" si="1779"/>
        <v>447</v>
      </c>
      <c r="GA81" s="19">
        <v>2</v>
      </c>
      <c r="GB81" s="6">
        <f t="shared" si="1780"/>
        <v>142</v>
      </c>
      <c r="GC81" s="6">
        <f t="shared" si="1660"/>
        <v>0</v>
      </c>
      <c r="GD81" s="6">
        <f t="shared" si="1781"/>
        <v>2</v>
      </c>
      <c r="GE81" s="6">
        <f t="shared" si="1661"/>
        <v>0</v>
      </c>
      <c r="GF81" s="6">
        <f t="shared" si="1782"/>
        <v>0</v>
      </c>
      <c r="GG81" s="6">
        <f t="shared" si="1662"/>
        <v>0</v>
      </c>
      <c r="GH81" s="6">
        <f t="shared" si="1783"/>
        <v>0</v>
      </c>
      <c r="GI81" s="6">
        <f t="shared" si="1663"/>
        <v>0</v>
      </c>
      <c r="GJ81" s="6">
        <f t="shared" si="1784"/>
        <v>0</v>
      </c>
      <c r="GK81" s="6">
        <f t="shared" si="1664"/>
        <v>0</v>
      </c>
      <c r="GL81" s="6">
        <f t="shared" si="1785"/>
        <v>1</v>
      </c>
      <c r="GM81" s="6">
        <f t="shared" si="1665"/>
        <v>1</v>
      </c>
      <c r="GN81" s="6">
        <f t="shared" si="1786"/>
        <v>7</v>
      </c>
      <c r="GO81" s="6">
        <f t="shared" si="1666"/>
        <v>0</v>
      </c>
      <c r="GP81" s="6">
        <f t="shared" si="1787"/>
        <v>0</v>
      </c>
      <c r="GQ81" s="6">
        <f t="shared" si="1667"/>
        <v>0</v>
      </c>
      <c r="GR81" s="6">
        <f t="shared" si="1788"/>
        <v>4</v>
      </c>
      <c r="GS81" s="6">
        <f t="shared" si="1668"/>
        <v>1</v>
      </c>
      <c r="GT81" s="6">
        <f t="shared" si="1789"/>
        <v>6</v>
      </c>
      <c r="GU81" s="6">
        <f t="shared" si="1669"/>
        <v>0</v>
      </c>
      <c r="GV81" s="6">
        <f t="shared" si="1790"/>
        <v>22</v>
      </c>
      <c r="GW81" s="6">
        <f>IF($E81=3,FY81-3,NA())</f>
        <v>2</v>
      </c>
      <c r="GX81" s="6"/>
      <c r="GY81" s="6"/>
      <c r="GZ81" s="20">
        <f>FY81-'Zusammenfassung Tag1-4'!$H$2/18</f>
        <v>2</v>
      </c>
      <c r="HA81" s="22">
        <f t="shared" si="1791"/>
        <v>261</v>
      </c>
      <c r="HB81" s="18">
        <v>5</v>
      </c>
      <c r="HC81" s="6">
        <f t="shared" si="1792"/>
        <v>332</v>
      </c>
      <c r="HD81" s="19">
        <v>1</v>
      </c>
      <c r="HE81" s="6">
        <f t="shared" si="1793"/>
        <v>126</v>
      </c>
      <c r="HF81" s="6">
        <f t="shared" si="1670"/>
        <v>0</v>
      </c>
      <c r="HG81" s="6">
        <f t="shared" si="1794"/>
        <v>19</v>
      </c>
      <c r="HH81" s="6">
        <f t="shared" si="1671"/>
        <v>0</v>
      </c>
      <c r="HI81" s="6">
        <f t="shared" si="1795"/>
        <v>6</v>
      </c>
      <c r="HJ81" s="6">
        <f t="shared" si="1672"/>
        <v>0</v>
      </c>
      <c r="HK81" s="6">
        <f t="shared" si="1796"/>
        <v>0</v>
      </c>
      <c r="HL81" s="6">
        <f t="shared" si="1673"/>
        <v>0</v>
      </c>
      <c r="HM81" s="6">
        <f t="shared" si="1797"/>
        <v>3</v>
      </c>
      <c r="HN81" s="6">
        <f t="shared" si="1674"/>
        <v>0</v>
      </c>
      <c r="HO81" s="6">
        <f t="shared" si="1798"/>
        <v>2</v>
      </c>
      <c r="HP81" s="6">
        <f t="shared" si="1675"/>
        <v>1</v>
      </c>
      <c r="HQ81" s="6">
        <f t="shared" si="1799"/>
        <v>3</v>
      </c>
      <c r="HR81" s="6">
        <f t="shared" si="1676"/>
        <v>0</v>
      </c>
      <c r="HS81" s="6">
        <f t="shared" si="1800"/>
        <v>0</v>
      </c>
      <c r="HT81" s="6">
        <f t="shared" si="1677"/>
        <v>1</v>
      </c>
      <c r="HU81" s="6">
        <f t="shared" si="1801"/>
        <v>11</v>
      </c>
      <c r="HV81" s="6">
        <f t="shared" si="1678"/>
        <v>0</v>
      </c>
      <c r="HW81" s="6">
        <f t="shared" si="1802"/>
        <v>3</v>
      </c>
      <c r="HX81" s="6">
        <f t="shared" si="1679"/>
        <v>0</v>
      </c>
      <c r="HY81" s="6">
        <f t="shared" si="1803"/>
        <v>13</v>
      </c>
      <c r="HZ81" s="6">
        <f>IF($E81=3,HB81-3,NA())</f>
        <v>2</v>
      </c>
      <c r="IA81" s="6"/>
      <c r="IB81" s="6"/>
      <c r="IC81" s="20">
        <f>HB81-'Zusammenfassung Tag1-4'!$I$2/18</f>
        <v>4</v>
      </c>
      <c r="ID81" s="22">
        <f t="shared" si="1804"/>
        <v>270</v>
      </c>
      <c r="IE81" s="18">
        <v>5</v>
      </c>
      <c r="IF81" s="6">
        <f t="shared" si="1805"/>
        <v>194</v>
      </c>
      <c r="IG81" s="19">
        <v>2</v>
      </c>
      <c r="IH81" s="6">
        <f t="shared" si="1806"/>
        <v>69</v>
      </c>
      <c r="II81" s="6">
        <f t="shared" si="1680"/>
        <v>0</v>
      </c>
      <c r="IJ81" s="6">
        <f t="shared" si="1807"/>
        <v>37</v>
      </c>
      <c r="IK81" s="6">
        <f t="shared" si="1681"/>
        <v>0</v>
      </c>
      <c r="IL81" s="6">
        <f t="shared" si="1808"/>
        <v>0</v>
      </c>
      <c r="IM81" s="6">
        <f t="shared" si="1682"/>
        <v>0</v>
      </c>
      <c r="IN81" s="6">
        <f t="shared" si="1809"/>
        <v>0</v>
      </c>
      <c r="IO81" s="6">
        <f t="shared" si="1683"/>
        <v>0</v>
      </c>
      <c r="IP81" s="6">
        <f t="shared" si="1810"/>
        <v>0</v>
      </c>
      <c r="IQ81" s="6">
        <f t="shared" si="1684"/>
        <v>0</v>
      </c>
      <c r="IR81" s="6">
        <f t="shared" si="1811"/>
        <v>0</v>
      </c>
      <c r="IS81" s="6">
        <f t="shared" si="1685"/>
        <v>1</v>
      </c>
      <c r="IT81" s="6">
        <f t="shared" si="1812"/>
        <v>8</v>
      </c>
      <c r="IU81" s="6">
        <f t="shared" si="1686"/>
        <v>0</v>
      </c>
      <c r="IV81" s="6">
        <f t="shared" si="1813"/>
        <v>0</v>
      </c>
      <c r="IW81" s="6">
        <f t="shared" si="1687"/>
        <v>0</v>
      </c>
      <c r="IX81" s="6">
        <f t="shared" si="1814"/>
        <v>1</v>
      </c>
      <c r="IY81" s="6">
        <f t="shared" si="1688"/>
        <v>1</v>
      </c>
      <c r="IZ81" s="6">
        <f t="shared" si="1815"/>
        <v>4</v>
      </c>
      <c r="JA81" s="6">
        <f t="shared" si="1689"/>
        <v>0</v>
      </c>
      <c r="JB81" s="6">
        <f t="shared" si="1816"/>
        <v>14</v>
      </c>
      <c r="JC81" s="6">
        <f>IF($E81=3,IE81-3,NA())</f>
        <v>2</v>
      </c>
      <c r="JD81" s="6"/>
      <c r="JE81" s="6"/>
      <c r="JF81" s="20">
        <f>IE81-'Zusammenfassung Tag1-4'!$J$2/18</f>
        <v>2</v>
      </c>
      <c r="JG81" s="22">
        <f t="shared" si="1817"/>
        <v>8</v>
      </c>
      <c r="JH81" s="18">
        <v>3</v>
      </c>
      <c r="JI81" s="6">
        <f t="shared" si="1818"/>
        <v>121</v>
      </c>
      <c r="JJ81" s="19">
        <v>2</v>
      </c>
      <c r="JK81" s="6">
        <f t="shared" si="1819"/>
        <v>51</v>
      </c>
      <c r="JL81" s="6">
        <f t="shared" si="1690"/>
        <v>1</v>
      </c>
      <c r="JM81" s="6">
        <f t="shared" si="1820"/>
        <v>50</v>
      </c>
      <c r="JN81" s="6">
        <f t="shared" si="1691"/>
        <v>0</v>
      </c>
      <c r="JO81" s="6">
        <f t="shared" si="1821"/>
        <v>1</v>
      </c>
      <c r="JP81" s="6">
        <f t="shared" si="1692"/>
        <v>0</v>
      </c>
      <c r="JQ81" s="6">
        <f t="shared" si="1822"/>
        <v>0</v>
      </c>
      <c r="JR81" s="6">
        <f t="shared" si="1693"/>
        <v>1</v>
      </c>
      <c r="JS81" s="6">
        <f t="shared" si="1823"/>
        <v>5</v>
      </c>
      <c r="JT81" s="6">
        <f t="shared" si="1694"/>
        <v>0</v>
      </c>
      <c r="JU81" s="6">
        <f t="shared" si="1824"/>
        <v>2</v>
      </c>
      <c r="JV81" s="6">
        <f t="shared" si="1695"/>
        <v>0</v>
      </c>
      <c r="JW81" s="6">
        <f t="shared" si="1825"/>
        <v>1</v>
      </c>
      <c r="JX81" s="6">
        <f t="shared" si="1696"/>
        <v>0</v>
      </c>
      <c r="JY81" s="6">
        <f t="shared" si="1826"/>
        <v>0</v>
      </c>
      <c r="JZ81" s="6">
        <f t="shared" si="1697"/>
        <v>0</v>
      </c>
      <c r="KA81" s="6">
        <f t="shared" si="1827"/>
        <v>3</v>
      </c>
      <c r="KB81" s="6">
        <f t="shared" si="1698"/>
        <v>1</v>
      </c>
      <c r="KC81" s="6">
        <f t="shared" si="1828"/>
        <v>7</v>
      </c>
      <c r="KD81" s="6">
        <f t="shared" si="1699"/>
        <v>0</v>
      </c>
      <c r="KE81" s="6">
        <f t="shared" si="1829"/>
        <v>2</v>
      </c>
      <c r="KF81" s="6">
        <f>IF($E81=3,JH81-3,NA())</f>
        <v>0</v>
      </c>
      <c r="KG81" s="6"/>
      <c r="KH81" s="6"/>
      <c r="KI81" s="20">
        <f>JH81-'Zusammenfassung Tag1-4'!$K$2/18</f>
        <v>2.2222222222222223</v>
      </c>
      <c r="KJ81" s="22">
        <f t="shared" si="1830"/>
        <v>72.777777777777757</v>
      </c>
      <c r="KK81" s="10"/>
      <c r="KL81" s="10"/>
      <c r="KM81" s="10"/>
      <c r="KN81" s="10"/>
      <c r="KO81" s="10"/>
      <c r="KP81" s="10"/>
      <c r="KQ81" s="10"/>
      <c r="KR81" s="10"/>
      <c r="KS81" s="10"/>
      <c r="KT81" s="10"/>
      <c r="KU81" s="10"/>
      <c r="KV81" s="10"/>
      <c r="KW81" s="10"/>
      <c r="KX81" s="10"/>
      <c r="KY81" s="10"/>
      <c r="KZ81" s="10"/>
      <c r="LA81" s="10"/>
      <c r="LB81" s="10"/>
      <c r="LC81" s="10"/>
      <c r="LD81" s="10"/>
    </row>
    <row r="82" spans="1:316" ht="15.75" customHeight="1" x14ac:dyDescent="0.25">
      <c r="A82" s="106"/>
      <c r="B82" s="103"/>
      <c r="C82" s="3">
        <v>9</v>
      </c>
      <c r="D82" s="3">
        <f t="shared" si="1700"/>
        <v>63</v>
      </c>
      <c r="E82" s="3">
        <v>4</v>
      </c>
      <c r="F82" s="23">
        <f t="shared" si="1701"/>
        <v>252</v>
      </c>
      <c r="G82" s="24"/>
      <c r="H82" s="3"/>
      <c r="I82" s="25"/>
      <c r="J82" s="3">
        <f t="shared" si="1702"/>
        <v>71</v>
      </c>
      <c r="K82" s="3">
        <f t="shared" si="1600"/>
        <v>1</v>
      </c>
      <c r="L82" s="3">
        <f t="shared" si="1703"/>
        <v>42</v>
      </c>
      <c r="M82" s="3">
        <f t="shared" si="1601"/>
        <v>0</v>
      </c>
      <c r="N82" s="3">
        <f t="shared" si="1704"/>
        <v>3</v>
      </c>
      <c r="O82" s="3">
        <f t="shared" si="1602"/>
        <v>0</v>
      </c>
      <c r="P82" s="3">
        <f t="shared" si="1705"/>
        <v>1</v>
      </c>
      <c r="Q82" s="3">
        <f t="shared" si="1603"/>
        <v>0</v>
      </c>
      <c r="R82" s="3">
        <f t="shared" si="1706"/>
        <v>0</v>
      </c>
      <c r="S82" s="3">
        <f t="shared" si="1604"/>
        <v>0</v>
      </c>
      <c r="T82" s="3">
        <f t="shared" si="1707"/>
        <v>0</v>
      </c>
      <c r="U82" s="3">
        <f t="shared" si="1605"/>
        <v>0</v>
      </c>
      <c r="V82" s="3">
        <f t="shared" si="1708"/>
        <v>0</v>
      </c>
      <c r="W82" s="3">
        <f t="shared" si="1606"/>
        <v>1</v>
      </c>
      <c r="X82" s="3">
        <f t="shared" si="1709"/>
        <v>9</v>
      </c>
      <c r="Y82" s="3">
        <f t="shared" si="1607"/>
        <v>0</v>
      </c>
      <c r="Z82" s="3">
        <f t="shared" si="1710"/>
        <v>7</v>
      </c>
      <c r="AA82" s="3">
        <f t="shared" si="1608"/>
        <v>0</v>
      </c>
      <c r="AB82" s="3">
        <f t="shared" si="1711"/>
        <v>0</v>
      </c>
      <c r="AC82" s="3">
        <f t="shared" si="1609"/>
        <v>0</v>
      </c>
      <c r="AD82" s="3">
        <f t="shared" si="1712"/>
        <v>5</v>
      </c>
      <c r="AE82" s="6"/>
      <c r="AF82" s="6">
        <f>IF($E82=4,G82-4,NA())</f>
        <v>-4</v>
      </c>
      <c r="AG82" s="6"/>
      <c r="AH82" s="26">
        <f>G82-'Zusammenfassung Tag1-4'!$B$2/18</f>
        <v>-1.1111111111111112</v>
      </c>
      <c r="AI82" s="27">
        <f t="shared" si="1713"/>
        <v>106.99999999999983</v>
      </c>
      <c r="AJ82" s="24">
        <v>4</v>
      </c>
      <c r="AK82" s="3">
        <f t="shared" si="1714"/>
        <v>285</v>
      </c>
      <c r="AL82" s="25">
        <v>2</v>
      </c>
      <c r="AM82" s="3">
        <f t="shared" si="1715"/>
        <v>111</v>
      </c>
      <c r="AN82" s="3">
        <f t="shared" si="1610"/>
        <v>1</v>
      </c>
      <c r="AO82" s="3">
        <f t="shared" si="1716"/>
        <v>33</v>
      </c>
      <c r="AP82" s="3">
        <f t="shared" si="1611"/>
        <v>0</v>
      </c>
      <c r="AQ82" s="3">
        <f t="shared" si="1717"/>
        <v>10</v>
      </c>
      <c r="AR82" s="3">
        <f t="shared" si="1612"/>
        <v>0</v>
      </c>
      <c r="AS82" s="3">
        <f t="shared" si="1718"/>
        <v>5</v>
      </c>
      <c r="AT82" s="3">
        <f t="shared" si="1613"/>
        <v>1</v>
      </c>
      <c r="AU82" s="3">
        <f t="shared" si="1719"/>
        <v>6</v>
      </c>
      <c r="AV82" s="3">
        <f t="shared" si="1614"/>
        <v>0</v>
      </c>
      <c r="AW82" s="3">
        <f t="shared" si="1720"/>
        <v>2</v>
      </c>
      <c r="AX82" s="3">
        <f t="shared" si="1615"/>
        <v>0</v>
      </c>
      <c r="AY82" s="3">
        <f t="shared" si="1721"/>
        <v>0</v>
      </c>
      <c r="AZ82" s="3">
        <f t="shared" si="1616"/>
        <v>0</v>
      </c>
      <c r="BA82" s="3">
        <f t="shared" si="1722"/>
        <v>0</v>
      </c>
      <c r="BB82" s="3">
        <f t="shared" si="1617"/>
        <v>0</v>
      </c>
      <c r="BC82" s="3">
        <f t="shared" si="1723"/>
        <v>21</v>
      </c>
      <c r="BD82" s="3">
        <f t="shared" si="1618"/>
        <v>1</v>
      </c>
      <c r="BE82" s="3">
        <f t="shared" si="1724"/>
        <v>5</v>
      </c>
      <c r="BF82" s="3">
        <f t="shared" si="1619"/>
        <v>0</v>
      </c>
      <c r="BG82" s="3">
        <f t="shared" si="1725"/>
        <v>6</v>
      </c>
      <c r="BH82" s="6"/>
      <c r="BI82" s="6">
        <f>IF($E82=4,AJ82-4,NA())</f>
        <v>0</v>
      </c>
      <c r="BJ82" s="6"/>
      <c r="BK82" s="26">
        <f>AJ82-'Zusammenfassung Tag1-4'!$C$2/18</f>
        <v>3.3333333333333335</v>
      </c>
      <c r="BL82" s="27">
        <f t="shared" si="1726"/>
        <v>243.00000000000023</v>
      </c>
      <c r="BM82" s="24">
        <v>5</v>
      </c>
      <c r="BN82" s="3">
        <f t="shared" si="1727"/>
        <v>352</v>
      </c>
      <c r="BO82" s="25">
        <v>1</v>
      </c>
      <c r="BP82" s="3">
        <f t="shared" si="1728"/>
        <v>130</v>
      </c>
      <c r="BQ82" s="3">
        <f t="shared" si="1620"/>
        <v>0</v>
      </c>
      <c r="BR82" s="3">
        <f t="shared" si="1729"/>
        <v>9</v>
      </c>
      <c r="BS82" s="3">
        <f t="shared" si="1621"/>
        <v>0</v>
      </c>
      <c r="BT82" s="3">
        <f t="shared" si="1730"/>
        <v>5</v>
      </c>
      <c r="BU82" s="3">
        <f t="shared" si="1622"/>
        <v>0</v>
      </c>
      <c r="BV82" s="3">
        <f t="shared" si="1731"/>
        <v>0</v>
      </c>
      <c r="BW82" s="3">
        <f t="shared" si="1623"/>
        <v>0</v>
      </c>
      <c r="BX82" s="3">
        <f t="shared" si="1732"/>
        <v>2</v>
      </c>
      <c r="BY82" s="3">
        <f t="shared" si="1624"/>
        <v>1</v>
      </c>
      <c r="BZ82" s="3">
        <f t="shared" si="1733"/>
        <v>5</v>
      </c>
      <c r="CA82" s="3">
        <f t="shared" si="1625"/>
        <v>0</v>
      </c>
      <c r="CB82" s="3">
        <f t="shared" si="1734"/>
        <v>2</v>
      </c>
      <c r="CC82" s="3">
        <f t="shared" si="1626"/>
        <v>0</v>
      </c>
      <c r="CD82" s="3">
        <f t="shared" si="1735"/>
        <v>0</v>
      </c>
      <c r="CE82" s="3">
        <f t="shared" si="1627"/>
        <v>1</v>
      </c>
      <c r="CF82" s="3">
        <f t="shared" si="1736"/>
        <v>11</v>
      </c>
      <c r="CG82" s="3">
        <f t="shared" si="1628"/>
        <v>0</v>
      </c>
      <c r="CH82" s="3">
        <f t="shared" si="1737"/>
        <v>6</v>
      </c>
      <c r="CI82" s="3">
        <f t="shared" si="1629"/>
        <v>0</v>
      </c>
      <c r="CJ82" s="3">
        <f t="shared" si="1738"/>
        <v>15</v>
      </c>
      <c r="CK82" s="6"/>
      <c r="CL82" s="6">
        <f>IF($E82=4,BM82-4,NA())</f>
        <v>1</v>
      </c>
      <c r="CM82" s="6"/>
      <c r="CN82" s="26">
        <f>BM82-'Zusammenfassung Tag1-4'!$D$2/18</f>
        <v>3.666666666666667</v>
      </c>
      <c r="CO82" s="27">
        <f t="shared" si="1739"/>
        <v>267.99999999999983</v>
      </c>
      <c r="CP82" s="24">
        <v>4</v>
      </c>
      <c r="CQ82" s="3">
        <f t="shared" si="1740"/>
        <v>326</v>
      </c>
      <c r="CR82" s="25">
        <v>2</v>
      </c>
      <c r="CS82" s="3">
        <f t="shared" si="1741"/>
        <v>124</v>
      </c>
      <c r="CT82" s="3">
        <f t="shared" si="1630"/>
        <v>1</v>
      </c>
      <c r="CU82" s="3">
        <f t="shared" si="1742"/>
        <v>13</v>
      </c>
      <c r="CV82" s="3">
        <f t="shared" si="1631"/>
        <v>0</v>
      </c>
      <c r="CW82" s="3">
        <f t="shared" si="1743"/>
        <v>8</v>
      </c>
      <c r="CX82" s="3">
        <f t="shared" si="1632"/>
        <v>0</v>
      </c>
      <c r="CY82" s="3">
        <f t="shared" si="1744"/>
        <v>1</v>
      </c>
      <c r="CZ82" s="3">
        <f t="shared" si="1633"/>
        <v>1</v>
      </c>
      <c r="DA82" s="3">
        <f t="shared" si="1745"/>
        <v>4</v>
      </c>
      <c r="DB82" s="3">
        <f t="shared" si="1634"/>
        <v>0</v>
      </c>
      <c r="DC82" s="3">
        <f t="shared" si="1746"/>
        <v>3</v>
      </c>
      <c r="DD82" s="3">
        <f t="shared" si="1635"/>
        <v>0</v>
      </c>
      <c r="DE82" s="3">
        <f t="shared" si="1747"/>
        <v>1</v>
      </c>
      <c r="DF82" s="3">
        <f t="shared" si="1636"/>
        <v>0</v>
      </c>
      <c r="DG82" s="3">
        <f t="shared" si="1748"/>
        <v>0</v>
      </c>
      <c r="DH82" s="3">
        <f t="shared" si="1637"/>
        <v>0</v>
      </c>
      <c r="DI82" s="3">
        <f t="shared" si="1749"/>
        <v>15</v>
      </c>
      <c r="DJ82" s="3">
        <f t="shared" si="1638"/>
        <v>1</v>
      </c>
      <c r="DK82" s="3">
        <f t="shared" si="1750"/>
        <v>5</v>
      </c>
      <c r="DL82" s="3">
        <f t="shared" si="1639"/>
        <v>0</v>
      </c>
      <c r="DM82" s="3">
        <f t="shared" si="1751"/>
        <v>13</v>
      </c>
      <c r="DN82" s="6"/>
      <c r="DO82" s="6">
        <f>IF($E82=4,CP82-4,NA())</f>
        <v>0</v>
      </c>
      <c r="DP82" s="6"/>
      <c r="DQ82" s="26">
        <f>CP82-'Zusammenfassung Tag1-4'!$E$2/18</f>
        <v>2.7222222222222223</v>
      </c>
      <c r="DR82" s="28">
        <f t="shared" si="1752"/>
        <v>245.50000000000028</v>
      </c>
      <c r="DS82" s="24">
        <v>5</v>
      </c>
      <c r="DT82" s="3">
        <f t="shared" si="1753"/>
        <v>477</v>
      </c>
      <c r="DU82" s="25">
        <v>2</v>
      </c>
      <c r="DV82" s="3">
        <f t="shared" si="1754"/>
        <v>142</v>
      </c>
      <c r="DW82" s="3">
        <f t="shared" si="1640"/>
        <v>0</v>
      </c>
      <c r="DX82" s="3">
        <f t="shared" si="1755"/>
        <v>1</v>
      </c>
      <c r="DY82" s="3">
        <f t="shared" si="1641"/>
        <v>0</v>
      </c>
      <c r="DZ82" s="3">
        <f t="shared" si="1756"/>
        <v>0</v>
      </c>
      <c r="EA82" s="3">
        <f t="shared" si="1642"/>
        <v>0</v>
      </c>
      <c r="EB82" s="3">
        <f t="shared" si="1757"/>
        <v>0</v>
      </c>
      <c r="EC82" s="3">
        <f t="shared" si="1643"/>
        <v>0</v>
      </c>
      <c r="ED82" s="3">
        <f t="shared" si="1758"/>
        <v>0</v>
      </c>
      <c r="EE82" s="3">
        <f t="shared" si="1644"/>
        <v>1</v>
      </c>
      <c r="EF82" s="3">
        <f t="shared" si="1759"/>
        <v>1</v>
      </c>
      <c r="EG82" s="3">
        <f t="shared" si="1645"/>
        <v>0</v>
      </c>
      <c r="EH82" s="3">
        <f t="shared" si="1760"/>
        <v>8</v>
      </c>
      <c r="EI82" s="3">
        <f t="shared" si="1646"/>
        <v>0</v>
      </c>
      <c r="EJ82" s="3">
        <f t="shared" si="1761"/>
        <v>0</v>
      </c>
      <c r="EK82" s="3">
        <f t="shared" si="1647"/>
        <v>0</v>
      </c>
      <c r="EL82" s="3">
        <f t="shared" si="1762"/>
        <v>2</v>
      </c>
      <c r="EM82" s="3">
        <f t="shared" si="1648"/>
        <v>1</v>
      </c>
      <c r="EN82" s="3">
        <f t="shared" si="1763"/>
        <v>6</v>
      </c>
      <c r="EO82" s="3">
        <f t="shared" si="1649"/>
        <v>0</v>
      </c>
      <c r="EP82" s="3">
        <f t="shared" si="1764"/>
        <v>16</v>
      </c>
      <c r="EQ82" s="6"/>
      <c r="ER82" s="6">
        <f>IF($E82=4,DS82-4,NA())</f>
        <v>1</v>
      </c>
      <c r="ES82" s="6"/>
      <c r="ET82" s="26">
        <f>DS82-'Zusammenfassung Tag1-4'!$F$2/18</f>
        <v>2</v>
      </c>
      <c r="EU82" s="28">
        <f t="shared" si="1765"/>
        <v>288</v>
      </c>
      <c r="EV82" s="24">
        <v>7</v>
      </c>
      <c r="EW82" s="3">
        <f t="shared" si="1766"/>
        <v>355</v>
      </c>
      <c r="EX82" s="25">
        <v>2</v>
      </c>
      <c r="EY82" s="3">
        <f t="shared" si="1767"/>
        <v>130</v>
      </c>
      <c r="EZ82" s="3">
        <f t="shared" si="1650"/>
        <v>0</v>
      </c>
      <c r="FA82" s="3">
        <f t="shared" si="1768"/>
        <v>10</v>
      </c>
      <c r="FB82" s="3">
        <f t="shared" si="1651"/>
        <v>0</v>
      </c>
      <c r="FC82" s="3">
        <f t="shared" si="1769"/>
        <v>1</v>
      </c>
      <c r="FD82" s="3">
        <f t="shared" si="1652"/>
        <v>0</v>
      </c>
      <c r="FE82" s="3">
        <f t="shared" si="1770"/>
        <v>0</v>
      </c>
      <c r="FF82" s="3">
        <f t="shared" si="1653"/>
        <v>0</v>
      </c>
      <c r="FG82" s="3">
        <f t="shared" si="1771"/>
        <v>0</v>
      </c>
      <c r="FH82" s="3">
        <f t="shared" si="1654"/>
        <v>0</v>
      </c>
      <c r="FI82" s="3">
        <f t="shared" si="1772"/>
        <v>5</v>
      </c>
      <c r="FJ82" s="3">
        <f t="shared" si="1655"/>
        <v>1</v>
      </c>
      <c r="FK82" s="3">
        <f t="shared" si="1773"/>
        <v>4</v>
      </c>
      <c r="FL82" s="3">
        <f t="shared" si="1656"/>
        <v>0</v>
      </c>
      <c r="FM82" s="3">
        <f t="shared" si="1774"/>
        <v>0</v>
      </c>
      <c r="FN82" s="3">
        <f t="shared" si="1657"/>
        <v>0</v>
      </c>
      <c r="FO82" s="3">
        <f t="shared" si="1775"/>
        <v>8</v>
      </c>
      <c r="FP82" s="3">
        <f t="shared" si="1658"/>
        <v>1</v>
      </c>
      <c r="FQ82" s="3">
        <f t="shared" si="1776"/>
        <v>8</v>
      </c>
      <c r="FR82" s="3">
        <f t="shared" si="1659"/>
        <v>0</v>
      </c>
      <c r="FS82" s="3">
        <f t="shared" si="1777"/>
        <v>12</v>
      </c>
      <c r="FT82" s="6"/>
      <c r="FU82" s="6">
        <f>IF($E82=4,EV82-4,NA())</f>
        <v>3</v>
      </c>
      <c r="FV82" s="6"/>
      <c r="FW82" s="26">
        <f>EV82-'Zusammenfassung Tag1-4'!$G$2/18</f>
        <v>5.5</v>
      </c>
      <c r="FX82" s="28">
        <f t="shared" si="1778"/>
        <v>260.5</v>
      </c>
      <c r="FY82" s="24">
        <v>6</v>
      </c>
      <c r="FZ82" s="3">
        <f t="shared" si="1779"/>
        <v>453</v>
      </c>
      <c r="GA82" s="25">
        <v>2</v>
      </c>
      <c r="GB82" s="3">
        <f t="shared" si="1780"/>
        <v>144</v>
      </c>
      <c r="GC82" s="3">
        <f t="shared" si="1660"/>
        <v>0</v>
      </c>
      <c r="GD82" s="3">
        <f t="shared" si="1781"/>
        <v>2</v>
      </c>
      <c r="GE82" s="3">
        <f t="shared" si="1661"/>
        <v>0</v>
      </c>
      <c r="GF82" s="3">
        <f t="shared" si="1782"/>
        <v>0</v>
      </c>
      <c r="GG82" s="3">
        <f t="shared" si="1662"/>
        <v>0</v>
      </c>
      <c r="GH82" s="3">
        <f t="shared" si="1783"/>
        <v>0</v>
      </c>
      <c r="GI82" s="3">
        <f t="shared" si="1663"/>
        <v>0</v>
      </c>
      <c r="GJ82" s="3">
        <f t="shared" si="1784"/>
        <v>0</v>
      </c>
      <c r="GK82" s="3">
        <f t="shared" si="1664"/>
        <v>0</v>
      </c>
      <c r="GL82" s="3">
        <f t="shared" si="1785"/>
        <v>1</v>
      </c>
      <c r="GM82" s="3">
        <f t="shared" si="1665"/>
        <v>1</v>
      </c>
      <c r="GN82" s="3">
        <f t="shared" si="1786"/>
        <v>8</v>
      </c>
      <c r="GO82" s="3">
        <f t="shared" si="1666"/>
        <v>0</v>
      </c>
      <c r="GP82" s="3">
        <f t="shared" si="1787"/>
        <v>0</v>
      </c>
      <c r="GQ82" s="3">
        <f t="shared" si="1667"/>
        <v>0</v>
      </c>
      <c r="GR82" s="3">
        <f t="shared" si="1788"/>
        <v>4</v>
      </c>
      <c r="GS82" s="3">
        <f t="shared" si="1668"/>
        <v>1</v>
      </c>
      <c r="GT82" s="3">
        <f t="shared" si="1789"/>
        <v>7</v>
      </c>
      <c r="GU82" s="3">
        <f t="shared" si="1669"/>
        <v>0</v>
      </c>
      <c r="GV82" s="3">
        <f t="shared" si="1790"/>
        <v>22</v>
      </c>
      <c r="GW82" s="6"/>
      <c r="GX82" s="6">
        <f>IF($E82=4,FY82-4,NA())</f>
        <v>2</v>
      </c>
      <c r="GY82" s="6"/>
      <c r="GZ82" s="26">
        <f>FY82-'Zusammenfassung Tag1-4'!$H$2/18</f>
        <v>3</v>
      </c>
      <c r="HA82" s="28">
        <f t="shared" si="1791"/>
        <v>264</v>
      </c>
      <c r="HB82" s="24">
        <v>3</v>
      </c>
      <c r="HC82" s="3">
        <f t="shared" si="1792"/>
        <v>335</v>
      </c>
      <c r="HD82" s="25">
        <v>1</v>
      </c>
      <c r="HE82" s="3">
        <f t="shared" si="1793"/>
        <v>127</v>
      </c>
      <c r="HF82" s="3">
        <f t="shared" si="1670"/>
        <v>1</v>
      </c>
      <c r="HG82" s="3">
        <f t="shared" si="1794"/>
        <v>20</v>
      </c>
      <c r="HH82" s="3">
        <f t="shared" si="1671"/>
        <v>0</v>
      </c>
      <c r="HI82" s="3">
        <f t="shared" si="1795"/>
        <v>6</v>
      </c>
      <c r="HJ82" s="3">
        <f t="shared" si="1672"/>
        <v>1</v>
      </c>
      <c r="HK82" s="3">
        <f t="shared" si="1796"/>
        <v>1</v>
      </c>
      <c r="HL82" s="3">
        <f t="shared" si="1673"/>
        <v>0</v>
      </c>
      <c r="HM82" s="3">
        <f t="shared" si="1797"/>
        <v>3</v>
      </c>
      <c r="HN82" s="3">
        <f t="shared" si="1674"/>
        <v>0</v>
      </c>
      <c r="HO82" s="3">
        <f t="shared" si="1798"/>
        <v>2</v>
      </c>
      <c r="HP82" s="3">
        <f t="shared" si="1675"/>
        <v>0</v>
      </c>
      <c r="HQ82" s="3">
        <f t="shared" si="1799"/>
        <v>3</v>
      </c>
      <c r="HR82" s="3">
        <f t="shared" si="1676"/>
        <v>0</v>
      </c>
      <c r="HS82" s="3">
        <f t="shared" si="1800"/>
        <v>0</v>
      </c>
      <c r="HT82" s="3">
        <f t="shared" si="1677"/>
        <v>1</v>
      </c>
      <c r="HU82" s="3">
        <f t="shared" si="1801"/>
        <v>12</v>
      </c>
      <c r="HV82" s="3">
        <f t="shared" si="1678"/>
        <v>0</v>
      </c>
      <c r="HW82" s="3">
        <f t="shared" si="1802"/>
        <v>3</v>
      </c>
      <c r="HX82" s="3">
        <f t="shared" si="1679"/>
        <v>0</v>
      </c>
      <c r="HY82" s="3">
        <f t="shared" si="1803"/>
        <v>13</v>
      </c>
      <c r="HZ82" s="6"/>
      <c r="IA82" s="6">
        <f>IF($E82=4,HB82-4,NA())</f>
        <v>-1</v>
      </c>
      <c r="IB82" s="6"/>
      <c r="IC82" s="26">
        <f>HB82-'Zusammenfassung Tag1-4'!$I$2/18</f>
        <v>2</v>
      </c>
      <c r="ID82" s="28">
        <f t="shared" si="1804"/>
        <v>272</v>
      </c>
      <c r="IE82" s="24">
        <v>6</v>
      </c>
      <c r="IF82" s="3">
        <f t="shared" si="1805"/>
        <v>200</v>
      </c>
      <c r="IG82" s="25">
        <v>2</v>
      </c>
      <c r="IH82" s="3">
        <f t="shared" si="1806"/>
        <v>71</v>
      </c>
      <c r="II82" s="3">
        <f t="shared" si="1680"/>
        <v>0</v>
      </c>
      <c r="IJ82" s="3">
        <f t="shared" si="1807"/>
        <v>37</v>
      </c>
      <c r="IK82" s="3">
        <f t="shared" si="1681"/>
        <v>0</v>
      </c>
      <c r="IL82" s="3">
        <f t="shared" si="1808"/>
        <v>0</v>
      </c>
      <c r="IM82" s="3">
        <f t="shared" si="1682"/>
        <v>0</v>
      </c>
      <c r="IN82" s="3">
        <f t="shared" si="1809"/>
        <v>0</v>
      </c>
      <c r="IO82" s="3">
        <f t="shared" si="1683"/>
        <v>0</v>
      </c>
      <c r="IP82" s="3">
        <f t="shared" si="1810"/>
        <v>0</v>
      </c>
      <c r="IQ82" s="3">
        <f t="shared" si="1684"/>
        <v>0</v>
      </c>
      <c r="IR82" s="3">
        <f t="shared" si="1811"/>
        <v>0</v>
      </c>
      <c r="IS82" s="3">
        <f t="shared" si="1685"/>
        <v>1</v>
      </c>
      <c r="IT82" s="3">
        <f t="shared" si="1812"/>
        <v>9</v>
      </c>
      <c r="IU82" s="3">
        <f t="shared" si="1686"/>
        <v>0</v>
      </c>
      <c r="IV82" s="3">
        <f t="shared" si="1813"/>
        <v>0</v>
      </c>
      <c r="IW82" s="3">
        <f t="shared" si="1687"/>
        <v>0</v>
      </c>
      <c r="IX82" s="3">
        <f t="shared" si="1814"/>
        <v>1</v>
      </c>
      <c r="IY82" s="3">
        <f t="shared" si="1688"/>
        <v>1</v>
      </c>
      <c r="IZ82" s="3">
        <f t="shared" si="1815"/>
        <v>5</v>
      </c>
      <c r="JA82" s="3">
        <f t="shared" si="1689"/>
        <v>0</v>
      </c>
      <c r="JB82" s="3">
        <f t="shared" si="1816"/>
        <v>14</v>
      </c>
      <c r="JC82" s="6"/>
      <c r="JD82" s="6">
        <f>IF($E82=4,IE82-4,NA())</f>
        <v>2</v>
      </c>
      <c r="JE82" s="6"/>
      <c r="JF82" s="26">
        <f>IE82-'Zusammenfassung Tag1-4'!$J$2/18</f>
        <v>3</v>
      </c>
      <c r="JG82" s="28">
        <f t="shared" si="1817"/>
        <v>11</v>
      </c>
      <c r="JH82" s="24">
        <v>5</v>
      </c>
      <c r="JI82" s="3">
        <f t="shared" si="1818"/>
        <v>126</v>
      </c>
      <c r="JJ82" s="25">
        <v>1</v>
      </c>
      <c r="JK82" s="3">
        <f t="shared" si="1819"/>
        <v>52</v>
      </c>
      <c r="JL82" s="3">
        <f t="shared" si="1690"/>
        <v>0</v>
      </c>
      <c r="JM82" s="3">
        <f t="shared" si="1820"/>
        <v>50</v>
      </c>
      <c r="JN82" s="3">
        <f t="shared" si="1691"/>
        <v>0</v>
      </c>
      <c r="JO82" s="3">
        <f t="shared" si="1821"/>
        <v>1</v>
      </c>
      <c r="JP82" s="3">
        <f t="shared" si="1692"/>
        <v>0</v>
      </c>
      <c r="JQ82" s="3">
        <f t="shared" si="1822"/>
        <v>0</v>
      </c>
      <c r="JR82" s="3">
        <f t="shared" si="1693"/>
        <v>0</v>
      </c>
      <c r="JS82" s="3">
        <f t="shared" si="1823"/>
        <v>5</v>
      </c>
      <c r="JT82" s="3">
        <f t="shared" si="1694"/>
        <v>1</v>
      </c>
      <c r="JU82" s="3">
        <f t="shared" si="1824"/>
        <v>3</v>
      </c>
      <c r="JV82" s="3">
        <f t="shared" si="1695"/>
        <v>0</v>
      </c>
      <c r="JW82" s="3">
        <f t="shared" si="1825"/>
        <v>1</v>
      </c>
      <c r="JX82" s="3">
        <f t="shared" si="1696"/>
        <v>0</v>
      </c>
      <c r="JY82" s="3">
        <f t="shared" si="1826"/>
        <v>0</v>
      </c>
      <c r="JZ82" s="3">
        <f t="shared" si="1697"/>
        <v>1</v>
      </c>
      <c r="KA82" s="3">
        <f t="shared" si="1827"/>
        <v>4</v>
      </c>
      <c r="KB82" s="3">
        <f t="shared" si="1698"/>
        <v>0</v>
      </c>
      <c r="KC82" s="3">
        <f t="shared" si="1828"/>
        <v>7</v>
      </c>
      <c r="KD82" s="3">
        <f t="shared" si="1699"/>
        <v>0</v>
      </c>
      <c r="KE82" s="3">
        <f t="shared" si="1829"/>
        <v>2</v>
      </c>
      <c r="KF82" s="6"/>
      <c r="KG82" s="6">
        <f>IF($E82=4,JH82-4,NA())</f>
        <v>1</v>
      </c>
      <c r="KH82" s="6"/>
      <c r="KI82" s="26">
        <f>JH82-'Zusammenfassung Tag1-4'!$K$2/18</f>
        <v>4.2222222222222223</v>
      </c>
      <c r="KJ82" s="28">
        <f t="shared" si="1830"/>
        <v>76.999999999999986</v>
      </c>
      <c r="KK82" s="10"/>
      <c r="KL82" s="10"/>
      <c r="KM82" s="10"/>
      <c r="KN82" s="10"/>
      <c r="KO82" s="10"/>
      <c r="KP82" s="10"/>
      <c r="KQ82" s="10"/>
      <c r="KR82" s="10"/>
      <c r="KS82" s="10"/>
      <c r="KT82" s="10"/>
      <c r="KU82" s="10"/>
      <c r="KV82" s="10"/>
      <c r="KW82" s="10"/>
      <c r="KX82" s="10"/>
      <c r="KY82" s="10"/>
      <c r="KZ82" s="10"/>
      <c r="LA82" s="10"/>
      <c r="LB82" s="10"/>
      <c r="LC82" s="10"/>
      <c r="LD82" s="10"/>
    </row>
    <row r="83" spans="1:316" ht="15.75" customHeight="1" x14ac:dyDescent="0.25">
      <c r="A83" s="106"/>
      <c r="B83" s="104"/>
      <c r="C83" s="3" t="s">
        <v>47</v>
      </c>
      <c r="D83" s="3"/>
      <c r="E83" s="3">
        <f>SUM(E74:E82)</f>
        <v>36</v>
      </c>
      <c r="F83" s="23"/>
      <c r="G83" s="29">
        <f>SUM(G74:G82)</f>
        <v>0</v>
      </c>
      <c r="H83" s="3"/>
      <c r="I83" s="3">
        <f>SUM(I74:I82)</f>
        <v>0</v>
      </c>
      <c r="J83" s="3"/>
      <c r="K83" s="3">
        <f>SUM(K74:K82)</f>
        <v>9</v>
      </c>
      <c r="L83" s="3"/>
      <c r="M83" s="3">
        <f>SUM(M74:M82)</f>
        <v>0</v>
      </c>
      <c r="N83" s="3"/>
      <c r="O83" s="3">
        <f>SUM(O74:O82)</f>
        <v>0</v>
      </c>
      <c r="P83" s="3"/>
      <c r="Q83" s="3">
        <f>SUM(Q74:Q82)</f>
        <v>0</v>
      </c>
      <c r="R83" s="3"/>
      <c r="S83" s="3">
        <f>SUM(S74:S82)</f>
        <v>0</v>
      </c>
      <c r="T83" s="3"/>
      <c r="U83" s="3">
        <f>SUM(U74:U82)</f>
        <v>0</v>
      </c>
      <c r="V83" s="3"/>
      <c r="W83" s="3">
        <f>SUM(W74:W82)</f>
        <v>9</v>
      </c>
      <c r="X83" s="3"/>
      <c r="Y83" s="3">
        <f>SUM(Y74:Y82)</f>
        <v>0</v>
      </c>
      <c r="Z83" s="3"/>
      <c r="AA83" s="3">
        <f>SUM(AA74:AA82)</f>
        <v>0</v>
      </c>
      <c r="AB83" s="3"/>
      <c r="AC83" s="3">
        <f>SUM(AC74:AC82)</f>
        <v>0</v>
      </c>
      <c r="AD83" s="3"/>
      <c r="AE83" s="4">
        <f t="shared" ref="AE83:AG83" si="1841">AVERAGE(AE74:AE82)</f>
        <v>-3</v>
      </c>
      <c r="AF83" s="4">
        <f t="shared" si="1841"/>
        <v>-4</v>
      </c>
      <c r="AG83" s="4">
        <f t="shared" si="1841"/>
        <v>-5</v>
      </c>
      <c r="AH83" s="26">
        <f>SUM(AH74:AH82)</f>
        <v>-9.9999999999999982</v>
      </c>
      <c r="AI83" s="23"/>
      <c r="AJ83" s="29">
        <f>SUM(AJ74:AJ82)</f>
        <v>37</v>
      </c>
      <c r="AK83" s="3"/>
      <c r="AL83" s="3">
        <f>SUM(AL74:AL82)</f>
        <v>14</v>
      </c>
      <c r="AM83" s="3"/>
      <c r="AN83" s="3">
        <f>SUM(AN74:AN82)</f>
        <v>5</v>
      </c>
      <c r="AO83" s="3"/>
      <c r="AP83" s="3">
        <f>SUM(AP74:AP82)</f>
        <v>2</v>
      </c>
      <c r="AQ83" s="3"/>
      <c r="AR83" s="3">
        <f>SUM(AR74:AR82)</f>
        <v>1</v>
      </c>
      <c r="AS83" s="3"/>
      <c r="AT83" s="3">
        <f>SUM(AT74:AT82)</f>
        <v>6</v>
      </c>
      <c r="AU83" s="3"/>
      <c r="AV83" s="3">
        <f>SUM(AV74:AV82)</f>
        <v>2</v>
      </c>
      <c r="AW83" s="3"/>
      <c r="AX83" s="3">
        <f>SUM(AX74:AX82)</f>
        <v>0</v>
      </c>
      <c r="AY83" s="3"/>
      <c r="AZ83" s="3">
        <f>SUM(AZ74:AZ82)</f>
        <v>0</v>
      </c>
      <c r="BA83" s="3"/>
      <c r="BB83" s="3">
        <f>SUM(BB74:BB82)</f>
        <v>4</v>
      </c>
      <c r="BC83" s="3"/>
      <c r="BD83" s="3">
        <f>SUM(BD74:BD82)</f>
        <v>5</v>
      </c>
      <c r="BE83" s="3"/>
      <c r="BF83" s="3">
        <f>SUM(BF74:BF82)</f>
        <v>0</v>
      </c>
      <c r="BG83" s="3"/>
      <c r="BH83" s="4">
        <f t="shared" ref="BH83:BJ83" si="1842">AVERAGE(BH74:BH82)</f>
        <v>0</v>
      </c>
      <c r="BI83" s="4">
        <f t="shared" si="1842"/>
        <v>0.2</v>
      </c>
      <c r="BJ83" s="4">
        <f t="shared" si="1842"/>
        <v>0</v>
      </c>
      <c r="BK83" s="26">
        <f>SUM(BK74:BK82)</f>
        <v>30.999999999999996</v>
      </c>
      <c r="BL83" s="23"/>
      <c r="BM83" s="29">
        <f>SUM(BM74:BM82)</f>
        <v>48</v>
      </c>
      <c r="BN83" s="3"/>
      <c r="BO83" s="3">
        <f>SUM(BO74:BO82)</f>
        <v>17</v>
      </c>
      <c r="BP83" s="3"/>
      <c r="BQ83" s="3">
        <f>SUM(BQ74:BQ82)</f>
        <v>1</v>
      </c>
      <c r="BR83" s="3"/>
      <c r="BS83" s="3">
        <f>SUM(BS74:BS82)</f>
        <v>1</v>
      </c>
      <c r="BT83" s="3"/>
      <c r="BU83" s="3">
        <f>SUM(BU74:BU82)</f>
        <v>0</v>
      </c>
      <c r="BV83" s="3"/>
      <c r="BW83" s="3">
        <f>SUM(BW74:BW82)</f>
        <v>2</v>
      </c>
      <c r="BX83" s="3"/>
      <c r="BY83" s="3">
        <f>SUM(BY74:BY82)</f>
        <v>5</v>
      </c>
      <c r="BZ83" s="3"/>
      <c r="CA83" s="3">
        <f>SUM(CA74:CA82)</f>
        <v>2</v>
      </c>
      <c r="CB83" s="3"/>
      <c r="CC83" s="3">
        <f>SUM(CC74:CC82)</f>
        <v>0</v>
      </c>
      <c r="CD83" s="3"/>
      <c r="CE83" s="3">
        <f>SUM(CE74:CE82)</f>
        <v>2</v>
      </c>
      <c r="CF83" s="3"/>
      <c r="CG83" s="3">
        <f>SUM(CG74:CG82)</f>
        <v>6</v>
      </c>
      <c r="CH83" s="3"/>
      <c r="CI83" s="3">
        <f>SUM(CI74:CI82)</f>
        <v>1</v>
      </c>
      <c r="CJ83" s="3"/>
      <c r="CK83" s="4">
        <f t="shared" ref="CK83:CM83" si="1843">AVERAGE(CK74:CK82)</f>
        <v>0</v>
      </c>
      <c r="CL83" s="4">
        <f t="shared" si="1843"/>
        <v>2</v>
      </c>
      <c r="CM83" s="4">
        <f t="shared" si="1843"/>
        <v>1</v>
      </c>
      <c r="CN83" s="26">
        <f>SUM(CN74:CN82)</f>
        <v>36</v>
      </c>
      <c r="CO83" s="23"/>
      <c r="CP83" s="29">
        <f>SUM(CP74:CP82)</f>
        <v>41</v>
      </c>
      <c r="CQ83" s="3"/>
      <c r="CR83" s="3">
        <f>SUM(CR74:CR82)</f>
        <v>14</v>
      </c>
      <c r="CS83" s="3"/>
      <c r="CT83" s="3">
        <f>SUM(CT74:CT82)</f>
        <v>3</v>
      </c>
      <c r="CU83" s="3"/>
      <c r="CV83" s="3">
        <f>SUM(CV74:CV82)</f>
        <v>2</v>
      </c>
      <c r="CW83" s="3"/>
      <c r="CX83" s="3">
        <f>SUM(CX74:CX82)</f>
        <v>1</v>
      </c>
      <c r="CY83" s="3"/>
      <c r="CZ83" s="3">
        <f>SUM(CZ74:CZ82)</f>
        <v>4</v>
      </c>
      <c r="DA83" s="3"/>
      <c r="DB83" s="3">
        <f>SUM(DB74:DB82)</f>
        <v>3</v>
      </c>
      <c r="DC83" s="3"/>
      <c r="DD83" s="3">
        <f>SUM(DD74:DD82)</f>
        <v>1</v>
      </c>
      <c r="DE83" s="3"/>
      <c r="DF83" s="3">
        <f>SUM(DF74:DF82)</f>
        <v>0</v>
      </c>
      <c r="DG83" s="3"/>
      <c r="DH83" s="3">
        <f>SUM(DH74:DH82)</f>
        <v>4</v>
      </c>
      <c r="DI83" s="3"/>
      <c r="DJ83" s="3">
        <f>SUM(DJ74:DJ82)</f>
        <v>5</v>
      </c>
      <c r="DK83" s="3"/>
      <c r="DL83" s="3">
        <f>SUM(DL74:DL82)</f>
        <v>0</v>
      </c>
      <c r="DM83" s="3"/>
      <c r="DN83" s="4">
        <f t="shared" ref="DN83:DP83" si="1844">AVERAGE(DN74:DN82)</f>
        <v>0</v>
      </c>
      <c r="DO83" s="4">
        <f t="shared" si="1844"/>
        <v>0.4</v>
      </c>
      <c r="DP83" s="4">
        <f t="shared" si="1844"/>
        <v>1.5</v>
      </c>
      <c r="DQ83" s="26">
        <f>SUM(DQ74:DQ82)</f>
        <v>29.499999999999996</v>
      </c>
      <c r="DR83" s="30"/>
      <c r="DS83" s="29">
        <f>SUM(DS74:DS82)</f>
        <v>59</v>
      </c>
      <c r="DT83" s="3"/>
      <c r="DU83" s="3">
        <f>SUM(DU74:DU82)</f>
        <v>21</v>
      </c>
      <c r="DV83" s="3"/>
      <c r="DW83" s="3">
        <f>SUM(DW74:DW82)</f>
        <v>0</v>
      </c>
      <c r="DX83" s="3"/>
      <c r="DY83" s="3">
        <f>SUM(DY74:DY82)</f>
        <v>0</v>
      </c>
      <c r="DZ83" s="3"/>
      <c r="EA83" s="3">
        <f>SUM(EA74:EA82)</f>
        <v>0</v>
      </c>
      <c r="EB83" s="3"/>
      <c r="EC83" s="3">
        <f>SUM(EC74:EC82)</f>
        <v>0</v>
      </c>
      <c r="ED83" s="3"/>
      <c r="EE83" s="3">
        <f>SUM(EE74:EE82)</f>
        <v>1</v>
      </c>
      <c r="EF83" s="3"/>
      <c r="EG83" s="3">
        <f>SUM(EG74:EG82)</f>
        <v>8</v>
      </c>
      <c r="EH83" s="3"/>
      <c r="EI83" s="3">
        <f>SUM(EI74:EI82)</f>
        <v>0</v>
      </c>
      <c r="EJ83" s="3"/>
      <c r="EK83" s="3">
        <f>SUM(EK74:EK82)</f>
        <v>0</v>
      </c>
      <c r="EL83" s="3"/>
      <c r="EM83" s="3">
        <f>SUM(EM74:EM82)</f>
        <v>6</v>
      </c>
      <c r="EN83" s="3"/>
      <c r="EO83" s="3">
        <f>SUM(EO74:EO82)</f>
        <v>3</v>
      </c>
      <c r="EP83" s="3"/>
      <c r="EQ83" s="4">
        <f t="shared" ref="EQ83:ES83" si="1845">AVERAGE(EQ74:EQ82)</f>
        <v>2.5</v>
      </c>
      <c r="ER83" s="4">
        <f t="shared" si="1845"/>
        <v>2.4</v>
      </c>
      <c r="ES83" s="4">
        <f t="shared" si="1845"/>
        <v>3</v>
      </c>
      <c r="ET83" s="26">
        <f>SUM(ET74:ET82)</f>
        <v>32</v>
      </c>
      <c r="EU83" s="30"/>
      <c r="EV83" s="29">
        <f>SUM(EV74:EV82)</f>
        <v>51</v>
      </c>
      <c r="EW83" s="3"/>
      <c r="EX83" s="3">
        <f>SUM(EX74:EX82)</f>
        <v>17</v>
      </c>
      <c r="EY83" s="3"/>
      <c r="EZ83" s="3">
        <f>SUM(EZ74:EZ82)</f>
        <v>0</v>
      </c>
      <c r="FA83" s="3"/>
      <c r="FB83" s="3">
        <f>SUM(FB74:FB82)</f>
        <v>0</v>
      </c>
      <c r="FC83" s="3"/>
      <c r="FD83" s="3">
        <f>SUM(FD74:FD82)</f>
        <v>0</v>
      </c>
      <c r="FE83" s="3"/>
      <c r="FF83" s="3">
        <f>SUM(FF74:FF82)</f>
        <v>0</v>
      </c>
      <c r="FG83" s="3"/>
      <c r="FH83" s="3">
        <f>SUM(FH74:FH82)</f>
        <v>5</v>
      </c>
      <c r="FI83" s="3"/>
      <c r="FJ83" s="3">
        <f>SUM(FJ74:FJ82)</f>
        <v>4</v>
      </c>
      <c r="FK83" s="3"/>
      <c r="FL83" s="3">
        <f>SUM(FL74:FL82)</f>
        <v>0</v>
      </c>
      <c r="FM83" s="3"/>
      <c r="FN83" s="3">
        <f>SUM(FN74:FN82)</f>
        <v>1</v>
      </c>
      <c r="FO83" s="3"/>
      <c r="FP83" s="3">
        <f>SUM(FP74:FP82)</f>
        <v>8</v>
      </c>
      <c r="FQ83" s="3"/>
      <c r="FR83" s="3">
        <f>SUM(FR74:FR82)</f>
        <v>0</v>
      </c>
      <c r="FS83" s="3"/>
      <c r="FT83" s="4">
        <f t="shared" ref="FT83:FV83" si="1846">AVERAGE(FT74:FT82)</f>
        <v>1.5</v>
      </c>
      <c r="FU83" s="4">
        <f t="shared" si="1846"/>
        <v>2</v>
      </c>
      <c r="FV83" s="4">
        <f t="shared" si="1846"/>
        <v>1</v>
      </c>
      <c r="FW83" s="26">
        <f>SUM(FW74:FW82)</f>
        <v>37.5</v>
      </c>
      <c r="FX83" s="30"/>
      <c r="FY83" s="29">
        <f>SUM(FY74:FY82)</f>
        <v>61</v>
      </c>
      <c r="FZ83" s="3"/>
      <c r="GA83" s="3">
        <f>SUM(GA74:GA82)</f>
        <v>16</v>
      </c>
      <c r="GB83" s="3"/>
      <c r="GC83" s="3">
        <f>SUM(GC74:GC82)</f>
        <v>0</v>
      </c>
      <c r="GD83" s="3"/>
      <c r="GE83" s="3">
        <f>SUM(GE74:GE82)</f>
        <v>0</v>
      </c>
      <c r="GF83" s="3"/>
      <c r="GG83" s="3">
        <f>SUM(GG74:GG82)</f>
        <v>0</v>
      </c>
      <c r="GH83" s="3"/>
      <c r="GI83" s="3">
        <f>SUM(GI74:GI82)</f>
        <v>0</v>
      </c>
      <c r="GJ83" s="3"/>
      <c r="GK83" s="3">
        <f>SUM(GK74:GK82)</f>
        <v>1</v>
      </c>
      <c r="GL83" s="3"/>
      <c r="GM83" s="3">
        <f>SUM(GM74:GM82)</f>
        <v>8</v>
      </c>
      <c r="GN83" s="3"/>
      <c r="GO83" s="3">
        <f>SUM(GO74:GO82)</f>
        <v>0</v>
      </c>
      <c r="GP83" s="3"/>
      <c r="GQ83" s="3">
        <f>SUM(GQ74:GQ82)</f>
        <v>2</v>
      </c>
      <c r="GR83" s="3"/>
      <c r="GS83" s="3">
        <f>SUM(GS74:GS82)</f>
        <v>7</v>
      </c>
      <c r="GT83" s="3"/>
      <c r="GU83" s="3">
        <f>SUM(GU74:GU82)</f>
        <v>0</v>
      </c>
      <c r="GV83" s="3"/>
      <c r="GW83" s="4">
        <f t="shared" ref="GW83:GY83" si="1847">AVERAGE(GW74:GW82)</f>
        <v>1.5</v>
      </c>
      <c r="GX83" s="4">
        <f t="shared" si="1847"/>
        <v>3.4</v>
      </c>
      <c r="GY83" s="4">
        <f t="shared" si="1847"/>
        <v>2.5</v>
      </c>
      <c r="GZ83" s="26">
        <f>SUM(GZ74:GZ82)</f>
        <v>34</v>
      </c>
      <c r="HA83" s="30"/>
      <c r="HB83" s="29">
        <f>SUM(HB74:HB82)</f>
        <v>47</v>
      </c>
      <c r="HC83" s="3"/>
      <c r="HD83" s="3">
        <f>SUM(HD74:HD82)</f>
        <v>12</v>
      </c>
      <c r="HE83" s="3"/>
      <c r="HF83" s="3">
        <f>SUM(HF74:HF82)</f>
        <v>2</v>
      </c>
      <c r="HG83" s="3"/>
      <c r="HH83" s="3">
        <f>SUM(HH74:HH82)</f>
        <v>2</v>
      </c>
      <c r="HI83" s="3"/>
      <c r="HJ83" s="3">
        <f>SUM(HJ74:HJ82)</f>
        <v>1</v>
      </c>
      <c r="HK83" s="3"/>
      <c r="HL83" s="3">
        <f>SUM(HL74:HL82)</f>
        <v>3</v>
      </c>
      <c r="HM83" s="3"/>
      <c r="HN83" s="3">
        <f>SUM(HN74:HN82)</f>
        <v>2</v>
      </c>
      <c r="HO83" s="3"/>
      <c r="HP83" s="3">
        <f>SUM(HP74:HP82)</f>
        <v>3</v>
      </c>
      <c r="HQ83" s="3"/>
      <c r="HR83" s="3">
        <f>SUM(HR74:HR82)</f>
        <v>0</v>
      </c>
      <c r="HS83" s="3"/>
      <c r="HT83" s="3">
        <f>SUM(HT74:HT82)</f>
        <v>6</v>
      </c>
      <c r="HU83" s="3"/>
      <c r="HV83" s="3">
        <f>SUM(HV74:HV82)</f>
        <v>3</v>
      </c>
      <c r="HW83" s="3"/>
      <c r="HX83" s="3">
        <f>SUM(HX74:HX82)</f>
        <v>0</v>
      </c>
      <c r="HY83" s="3"/>
      <c r="HZ83" s="4">
        <f t="shared" ref="HZ83:IB83" si="1848">AVERAGE(HZ74:HZ82)</f>
        <v>1.5</v>
      </c>
      <c r="IA83" s="4">
        <f t="shared" si="1848"/>
        <v>0.6</v>
      </c>
      <c r="IB83" s="4">
        <f t="shared" si="1848"/>
        <v>2.5</v>
      </c>
      <c r="IC83" s="26">
        <f>SUM(IC74:IC82)</f>
        <v>38</v>
      </c>
      <c r="ID83" s="30"/>
      <c r="IE83" s="29">
        <f>SUM(IE74:IE82)</f>
        <v>69</v>
      </c>
      <c r="IF83" s="3"/>
      <c r="IG83" s="3">
        <f>SUM(IG74:IG82)</f>
        <v>20</v>
      </c>
      <c r="IH83" s="3"/>
      <c r="II83" s="3">
        <f>SUM(II74:II82)</f>
        <v>0</v>
      </c>
      <c r="IJ83" s="3"/>
      <c r="IK83" s="3">
        <f>SUM(IK74:IK82)</f>
        <v>0</v>
      </c>
      <c r="IL83" s="3"/>
      <c r="IM83" s="3">
        <f>SUM(IM74:IM82)</f>
        <v>0</v>
      </c>
      <c r="IN83" s="3"/>
      <c r="IO83" s="3">
        <f>SUM(IO74:IO82)</f>
        <v>0</v>
      </c>
      <c r="IP83" s="3"/>
      <c r="IQ83" s="3">
        <f>SUM(IQ74:IQ82)</f>
        <v>0</v>
      </c>
      <c r="IR83" s="3"/>
      <c r="IS83" s="3">
        <f>SUM(IS74:IS82)</f>
        <v>9</v>
      </c>
      <c r="IT83" s="3"/>
      <c r="IU83" s="3">
        <f>SUM(IU74:IU82)</f>
        <v>0</v>
      </c>
      <c r="IV83" s="3"/>
      <c r="IW83" s="3">
        <f>SUM(IW74:IW82)</f>
        <v>1</v>
      </c>
      <c r="IX83" s="3"/>
      <c r="IY83" s="3">
        <f>SUM(IY74:IY82)</f>
        <v>5</v>
      </c>
      <c r="IZ83" s="3"/>
      <c r="JA83" s="3">
        <f>SUM(JA74:JA82)</f>
        <v>3</v>
      </c>
      <c r="JB83" s="3"/>
      <c r="JC83" s="4">
        <f t="shared" ref="JC83:JE83" si="1849">AVERAGE(JC74:JC82)</f>
        <v>4.5</v>
      </c>
      <c r="JD83" s="4">
        <f t="shared" si="1849"/>
        <v>3.8</v>
      </c>
      <c r="JE83" s="4">
        <f t="shared" si="1849"/>
        <v>2.5</v>
      </c>
      <c r="JF83" s="26">
        <f>SUM(JF74:JF82)</f>
        <v>42</v>
      </c>
      <c r="JG83" s="30"/>
      <c r="JH83" s="29">
        <f>SUM(JH74:JH82)</f>
        <v>41</v>
      </c>
      <c r="JI83" s="3"/>
      <c r="JJ83" s="3">
        <f>SUM(JJ74:JJ82)</f>
        <v>18</v>
      </c>
      <c r="JK83" s="3"/>
      <c r="JL83" s="3">
        <f>SUM(JL74:JL82)</f>
        <v>6</v>
      </c>
      <c r="JM83" s="3"/>
      <c r="JN83" s="3">
        <f>SUM(JN74:JN82)</f>
        <v>0</v>
      </c>
      <c r="JO83" s="3"/>
      <c r="JP83" s="3">
        <f>SUM(JP74:JP82)</f>
        <v>0</v>
      </c>
      <c r="JQ83" s="3"/>
      <c r="JR83" s="3">
        <f>SUM(JR74:JR82)</f>
        <v>5</v>
      </c>
      <c r="JS83" s="3"/>
      <c r="JT83" s="3">
        <f>SUM(JT74:JT82)</f>
        <v>3</v>
      </c>
      <c r="JU83" s="3"/>
      <c r="JV83" s="3">
        <f>SUM(JV74:JV82)</f>
        <v>1</v>
      </c>
      <c r="JW83" s="3"/>
      <c r="JX83" s="3">
        <f>SUM(JX74:JX82)</f>
        <v>0</v>
      </c>
      <c r="JY83" s="3"/>
      <c r="JZ83" s="3">
        <f>SUM(JZ74:JZ82)</f>
        <v>1</v>
      </c>
      <c r="KA83" s="3"/>
      <c r="KB83" s="3">
        <f>SUM(KB74:KB82)</f>
        <v>7</v>
      </c>
      <c r="KC83" s="3"/>
      <c r="KD83" s="3">
        <f>SUM(KD74:KD82)</f>
        <v>1</v>
      </c>
      <c r="KE83" s="3"/>
      <c r="KF83" s="4">
        <f t="shared" ref="KF83:KH83" si="1850">AVERAGE(KF74:KF82)</f>
        <v>1</v>
      </c>
      <c r="KG83" s="4">
        <f t="shared" si="1850"/>
        <v>0.4</v>
      </c>
      <c r="KH83" s="4">
        <f t="shared" si="1850"/>
        <v>0.5</v>
      </c>
      <c r="KI83" s="26">
        <f>SUM(KI74:KI82)</f>
        <v>34</v>
      </c>
      <c r="KJ83" s="30"/>
      <c r="KK83" s="10"/>
      <c r="KL83" s="10"/>
      <c r="KM83" s="10"/>
      <c r="KN83" s="10"/>
      <c r="KO83" s="10"/>
      <c r="KP83" s="10"/>
      <c r="KQ83" s="10"/>
      <c r="KR83" s="10"/>
      <c r="KS83" s="10"/>
      <c r="KT83" s="10"/>
      <c r="KU83" s="10"/>
      <c r="KV83" s="10"/>
      <c r="KW83" s="10"/>
      <c r="KX83" s="10"/>
      <c r="KY83" s="10"/>
      <c r="KZ83" s="10"/>
      <c r="LA83" s="10"/>
      <c r="LB83" s="10"/>
      <c r="LC83" s="10"/>
      <c r="LD83" s="10"/>
    </row>
    <row r="84" spans="1:316" ht="15.75" customHeight="1" x14ac:dyDescent="0.25">
      <c r="A84" s="106"/>
      <c r="B84" s="102" t="s">
        <v>48</v>
      </c>
      <c r="C84" s="11">
        <v>10</v>
      </c>
      <c r="D84" s="6">
        <f>D82+1</f>
        <v>64</v>
      </c>
      <c r="E84" s="11">
        <v>4</v>
      </c>
      <c r="F84" s="12">
        <f>E84+F82</f>
        <v>256</v>
      </c>
      <c r="G84" s="13"/>
      <c r="H84" s="11"/>
      <c r="I84" s="14"/>
      <c r="J84" s="11">
        <f>I84+J82</f>
        <v>71</v>
      </c>
      <c r="K84" s="11">
        <f t="shared" ref="K84:K92" si="1851">IF(G84-I84&lt;=$E84-2,1,0)</f>
        <v>1</v>
      </c>
      <c r="L84" s="11">
        <f>K84+L82</f>
        <v>43</v>
      </c>
      <c r="M84" s="11">
        <f t="shared" ref="M84:M92" si="1852">IF(K84=0,IF(G84=$E84,1,0),0)</f>
        <v>0</v>
      </c>
      <c r="N84" s="11">
        <f>M84+N82</f>
        <v>3</v>
      </c>
      <c r="O84" s="11">
        <f t="shared" ref="O84:O92" si="1853">IF($E84-G84=1,1,0)</f>
        <v>0</v>
      </c>
      <c r="P84" s="11">
        <f>O84+P82</f>
        <v>1</v>
      </c>
      <c r="Q84" s="11">
        <f t="shared" ref="Q84:Q92" si="1854">IF(G84=$E84,1,0)</f>
        <v>0</v>
      </c>
      <c r="R84" s="11">
        <f>Q84+R82</f>
        <v>0</v>
      </c>
      <c r="S84" s="11">
        <f t="shared" ref="S84:S92" si="1855">IF(G84-$E84=1,1,0)</f>
        <v>0</v>
      </c>
      <c r="T84" s="11">
        <f>S84+T82</f>
        <v>0</v>
      </c>
      <c r="U84" s="11">
        <f t="shared" ref="U84:U92" si="1856">IF(G84-$E84&gt;=2,1,0)</f>
        <v>0</v>
      </c>
      <c r="V84" s="11">
        <f>U84+V82</f>
        <v>0</v>
      </c>
      <c r="W84" s="11">
        <f t="shared" ref="W84:W92" si="1857">IF(I84=0,1,0)</f>
        <v>1</v>
      </c>
      <c r="X84" s="11">
        <f>W84+X82</f>
        <v>10</v>
      </c>
      <c r="Y84" s="11">
        <f t="shared" ref="Y84:Y92" si="1858">IF(I84=1,1,0)</f>
        <v>0</v>
      </c>
      <c r="Z84" s="11">
        <f>Y84+Z82</f>
        <v>7</v>
      </c>
      <c r="AA84" s="11">
        <f t="shared" ref="AA84:AA92" si="1859">IF(I84=2,1,0)</f>
        <v>0</v>
      </c>
      <c r="AB84" s="11">
        <f>AA84+AB82</f>
        <v>0</v>
      </c>
      <c r="AC84" s="11">
        <f t="shared" ref="AC84:AC92" si="1860">IF(I84&gt;=3,1,0)</f>
        <v>0</v>
      </c>
      <c r="AD84" s="11">
        <f>AC84+AD82</f>
        <v>5</v>
      </c>
      <c r="AE84" s="6"/>
      <c r="AF84" s="6">
        <f t="shared" ref="AF84:AF86" si="1861">IF($E84=4,G84-4,NA())</f>
        <v>-4</v>
      </c>
      <c r="AG84" s="11"/>
      <c r="AH84" s="15">
        <f>G84-'Zusammenfassung Tag1-4'!$B$2/18</f>
        <v>-1.1111111111111112</v>
      </c>
      <c r="AI84" s="16">
        <f>AH84+AI82</f>
        <v>105.88888888888872</v>
      </c>
      <c r="AJ84" s="13">
        <v>4</v>
      </c>
      <c r="AK84" s="11">
        <f>AJ84+AK82</f>
        <v>289</v>
      </c>
      <c r="AL84" s="14">
        <v>1</v>
      </c>
      <c r="AM84" s="11">
        <f>AL84+AM82</f>
        <v>112</v>
      </c>
      <c r="AN84" s="11">
        <f t="shared" ref="AN84:AN92" si="1862">IF(AJ84-AL84&lt;=$E84-2,1,0)</f>
        <v>0</v>
      </c>
      <c r="AO84" s="11">
        <f>AN84+AO82</f>
        <v>33</v>
      </c>
      <c r="AP84" s="11">
        <f t="shared" ref="AP84:AP92" si="1863">IF(AN84=0,IF(AJ84=$E84,1,0),0)</f>
        <v>1</v>
      </c>
      <c r="AQ84" s="11">
        <f>AP84+AQ82</f>
        <v>11</v>
      </c>
      <c r="AR84" s="11">
        <f t="shared" ref="AR84:AR92" si="1864">IF($E84-AJ84=1,1,0)</f>
        <v>0</v>
      </c>
      <c r="AS84" s="11">
        <f>AR84+AS82</f>
        <v>5</v>
      </c>
      <c r="AT84" s="11">
        <f t="shared" ref="AT84:AT92" si="1865">IF(AJ84=$E84,1,0)</f>
        <v>1</v>
      </c>
      <c r="AU84" s="11">
        <f>AT84+AU82</f>
        <v>7</v>
      </c>
      <c r="AV84" s="11">
        <f t="shared" ref="AV84:AV92" si="1866">IF(AJ84-$E84=1,1,0)</f>
        <v>0</v>
      </c>
      <c r="AW84" s="11">
        <f>AV84+AW82</f>
        <v>2</v>
      </c>
      <c r="AX84" s="11">
        <f t="shared" ref="AX84:AX92" si="1867">IF(AJ84-$E84&gt;=2,1,0)</f>
        <v>0</v>
      </c>
      <c r="AY84" s="11">
        <f>AX84+AY82</f>
        <v>0</v>
      </c>
      <c r="AZ84" s="11">
        <f t="shared" ref="AZ84:AZ92" si="1868">IF(AL84=0,1,0)</f>
        <v>0</v>
      </c>
      <c r="BA84" s="11">
        <f>AZ84+BA82</f>
        <v>0</v>
      </c>
      <c r="BB84" s="11">
        <f t="shared" ref="BB84:BB92" si="1869">IF(AL84=1,1,0)</f>
        <v>1</v>
      </c>
      <c r="BC84" s="11">
        <f>BB84+BC82</f>
        <v>22</v>
      </c>
      <c r="BD84" s="11">
        <f t="shared" ref="BD84:BD92" si="1870">IF(AL84=2,1,0)</f>
        <v>0</v>
      </c>
      <c r="BE84" s="11">
        <f>BD84+BE82</f>
        <v>5</v>
      </c>
      <c r="BF84" s="11">
        <f t="shared" ref="BF84:BF92" si="1871">IF(AL84&gt;=3,1,0)</f>
        <v>0</v>
      </c>
      <c r="BG84" s="11">
        <f>BF84+BG82</f>
        <v>6</v>
      </c>
      <c r="BH84" s="6"/>
      <c r="BI84" s="6">
        <f t="shared" ref="BI84:BI86" si="1872">IF($E84=4,AJ84-4,NA())</f>
        <v>0</v>
      </c>
      <c r="BJ84" s="11"/>
      <c r="BK84" s="15">
        <f>AJ84-'Zusammenfassung Tag1-4'!$C$2/18</f>
        <v>3.3333333333333335</v>
      </c>
      <c r="BL84" s="16">
        <f>BK84+BL82</f>
        <v>246.33333333333357</v>
      </c>
      <c r="BM84" s="13">
        <v>7</v>
      </c>
      <c r="BN84" s="11">
        <f>BM84+BN82</f>
        <v>359</v>
      </c>
      <c r="BO84" s="14">
        <v>2</v>
      </c>
      <c r="BP84" s="11">
        <f>BO84+BP82</f>
        <v>132</v>
      </c>
      <c r="BQ84" s="11">
        <f t="shared" ref="BQ84:BQ92" si="1873">IF(BM84-BO84&lt;=$E84-2,1,0)</f>
        <v>0</v>
      </c>
      <c r="BR84" s="11">
        <f>BQ84+BR82</f>
        <v>9</v>
      </c>
      <c r="BS84" s="11">
        <f t="shared" ref="BS84:BS92" si="1874">IF(BQ84=0,IF(BM84=$E84,1,0),0)</f>
        <v>0</v>
      </c>
      <c r="BT84" s="11">
        <f>BS84+BT82</f>
        <v>5</v>
      </c>
      <c r="BU84" s="11">
        <f t="shared" ref="BU84:BU92" si="1875">IF($E84-BM84=1,1,0)</f>
        <v>0</v>
      </c>
      <c r="BV84" s="11">
        <f>BU84+BV82</f>
        <v>0</v>
      </c>
      <c r="BW84" s="11">
        <f t="shared" ref="BW84:BW92" si="1876">IF(BM84=$E84,1,0)</f>
        <v>0</v>
      </c>
      <c r="BX84" s="11">
        <f>BW84+BX82</f>
        <v>2</v>
      </c>
      <c r="BY84" s="11">
        <f t="shared" ref="BY84:BY92" si="1877">IF(BM84-$E84=1,1,0)</f>
        <v>0</v>
      </c>
      <c r="BZ84" s="11">
        <f>BY84+BZ82</f>
        <v>5</v>
      </c>
      <c r="CA84" s="11">
        <f t="shared" ref="CA84:CA92" si="1878">IF(BM84-$E84&gt;=2,1,0)</f>
        <v>1</v>
      </c>
      <c r="CB84" s="11">
        <f>CA84+CB82</f>
        <v>3</v>
      </c>
      <c r="CC84" s="11">
        <f t="shared" ref="CC84:CC92" si="1879">IF(BO84=0,1,0)</f>
        <v>0</v>
      </c>
      <c r="CD84" s="11">
        <f>CC84+CD82</f>
        <v>0</v>
      </c>
      <c r="CE84" s="11">
        <f t="shared" ref="CE84:CE92" si="1880">IF(BO84=1,1,0)</f>
        <v>0</v>
      </c>
      <c r="CF84" s="11">
        <f>CE84+CF82</f>
        <v>11</v>
      </c>
      <c r="CG84" s="11">
        <f t="shared" ref="CG84:CG92" si="1881">IF(BO84=2,1,0)</f>
        <v>1</v>
      </c>
      <c r="CH84" s="11">
        <f>CG84+CH82</f>
        <v>7</v>
      </c>
      <c r="CI84" s="11">
        <f t="shared" ref="CI84:CI92" si="1882">IF(BO84&gt;=3,1,0)</f>
        <v>0</v>
      </c>
      <c r="CJ84" s="11">
        <f>CI84+CJ82</f>
        <v>15</v>
      </c>
      <c r="CK84" s="6"/>
      <c r="CL84" s="6">
        <f t="shared" ref="CL84:CL86" si="1883">IF($E84=4,BM84-4,NA())</f>
        <v>3</v>
      </c>
      <c r="CM84" s="11"/>
      <c r="CN84" s="15">
        <f>BM84-'Zusammenfassung Tag1-4'!$D$2/18</f>
        <v>5.666666666666667</v>
      </c>
      <c r="CO84" s="16">
        <f>CN84+CO82</f>
        <v>273.66666666666652</v>
      </c>
      <c r="CP84" s="13">
        <v>4</v>
      </c>
      <c r="CQ84" s="11">
        <f>CP84+CQ82</f>
        <v>330</v>
      </c>
      <c r="CR84" s="14">
        <v>2</v>
      </c>
      <c r="CS84" s="11">
        <f>CR84+CS82</f>
        <v>126</v>
      </c>
      <c r="CT84" s="11">
        <f t="shared" ref="CT84:CT92" si="1884">IF(CP84-CR84&lt;=$E84-2,1,0)</f>
        <v>1</v>
      </c>
      <c r="CU84" s="11">
        <f>CT84+CU82</f>
        <v>14</v>
      </c>
      <c r="CV84" s="11">
        <f t="shared" ref="CV84:CV92" si="1885">IF(CT84=0,IF(CP84=$E84,1,0),0)</f>
        <v>0</v>
      </c>
      <c r="CW84" s="11">
        <f>CV84+CW82</f>
        <v>8</v>
      </c>
      <c r="CX84" s="11">
        <f t="shared" ref="CX84:CX92" si="1886">IF($E84-CP84=1,1,0)</f>
        <v>0</v>
      </c>
      <c r="CY84" s="11">
        <f>CX84+CY82</f>
        <v>1</v>
      </c>
      <c r="CZ84" s="11">
        <f t="shared" ref="CZ84:CZ92" si="1887">IF(CP84=$E84,1,0)</f>
        <v>1</v>
      </c>
      <c r="DA84" s="11">
        <f>CZ84+DA82</f>
        <v>5</v>
      </c>
      <c r="DB84" s="11">
        <f t="shared" ref="DB84:DB92" si="1888">IF(CP84-$E84=1,1,0)</f>
        <v>0</v>
      </c>
      <c r="DC84" s="11">
        <f>DB84+DC82</f>
        <v>3</v>
      </c>
      <c r="DD84" s="11">
        <f t="shared" ref="DD84:DD92" si="1889">IF(CP84-$E84&gt;=2,1,0)</f>
        <v>0</v>
      </c>
      <c r="DE84" s="11">
        <f>DD84+DE82</f>
        <v>1</v>
      </c>
      <c r="DF84" s="11">
        <f t="shared" ref="DF84:DF92" si="1890">IF(CR84=0,1,0)</f>
        <v>0</v>
      </c>
      <c r="DG84" s="11">
        <f>DF84+DG82</f>
        <v>0</v>
      </c>
      <c r="DH84" s="11">
        <f t="shared" ref="DH84:DH92" si="1891">IF(CR84=1,1,0)</f>
        <v>0</v>
      </c>
      <c r="DI84" s="11">
        <f>DH84+DI82</f>
        <v>15</v>
      </c>
      <c r="DJ84" s="11">
        <f t="shared" ref="DJ84:DJ92" si="1892">IF(CR84=2,1,0)</f>
        <v>1</v>
      </c>
      <c r="DK84" s="11">
        <f>DJ84+DK82</f>
        <v>6</v>
      </c>
      <c r="DL84" s="11">
        <f t="shared" ref="DL84:DL92" si="1893">IF(CR84&gt;=3,1,0)</f>
        <v>0</v>
      </c>
      <c r="DM84" s="11">
        <f>DL84+DM82</f>
        <v>13</v>
      </c>
      <c r="DN84" s="6"/>
      <c r="DO84" s="6">
        <f t="shared" ref="DO84:DO86" si="1894">IF($E84=4,CP84-4,NA())</f>
        <v>0</v>
      </c>
      <c r="DP84" s="11"/>
      <c r="DQ84" s="15">
        <f>CP84-'Zusammenfassung Tag1-4'!$E$2/18</f>
        <v>2.7222222222222223</v>
      </c>
      <c r="DR84" s="17">
        <f>DQ84+DR82</f>
        <v>248.22222222222251</v>
      </c>
      <c r="DS84" s="13">
        <v>6</v>
      </c>
      <c r="DT84" s="11">
        <f>DS84+DT82</f>
        <v>483</v>
      </c>
      <c r="DU84" s="14">
        <v>3</v>
      </c>
      <c r="DV84" s="11">
        <f>DU84+DV82</f>
        <v>145</v>
      </c>
      <c r="DW84" s="11">
        <f t="shared" ref="DW84:DW92" si="1895">IF(DS84-DU84&lt;=$E84-2,1,0)</f>
        <v>0</v>
      </c>
      <c r="DX84" s="11">
        <f>DW84+DX82</f>
        <v>1</v>
      </c>
      <c r="DY84" s="11">
        <f t="shared" ref="DY84:DY92" si="1896">IF(DW84=0,IF(DS84=$E84,1,0),0)</f>
        <v>0</v>
      </c>
      <c r="DZ84" s="11">
        <f>DY84+DZ82</f>
        <v>0</v>
      </c>
      <c r="EA84" s="11">
        <f t="shared" ref="EA84:EA92" si="1897">IF($E84-DS84=1,1,0)</f>
        <v>0</v>
      </c>
      <c r="EB84" s="11">
        <f>EA84+EB82</f>
        <v>0</v>
      </c>
      <c r="EC84" s="11">
        <f t="shared" ref="EC84:EC92" si="1898">IF(DS84=$E84,1,0)</f>
        <v>0</v>
      </c>
      <c r="ED84" s="11">
        <f>EC84+ED82</f>
        <v>0</v>
      </c>
      <c r="EE84" s="11">
        <f t="shared" ref="EE84:EE92" si="1899">IF(DS84-$E84=1,1,0)</f>
        <v>0</v>
      </c>
      <c r="EF84" s="11">
        <f>EE84+EF82</f>
        <v>1</v>
      </c>
      <c r="EG84" s="11">
        <f t="shared" ref="EG84:EG92" si="1900">IF(DS84-$E84&gt;=2,1,0)</f>
        <v>1</v>
      </c>
      <c r="EH84" s="11">
        <f>EG84+EH82</f>
        <v>9</v>
      </c>
      <c r="EI84" s="11">
        <f t="shared" ref="EI84:EI92" si="1901">IF(DU84=0,1,0)</f>
        <v>0</v>
      </c>
      <c r="EJ84" s="11">
        <f>EI84+EJ82</f>
        <v>0</v>
      </c>
      <c r="EK84" s="11">
        <f t="shared" ref="EK84:EK92" si="1902">IF(DU84=1,1,0)</f>
        <v>0</v>
      </c>
      <c r="EL84" s="11">
        <f>EK84+EL82</f>
        <v>2</v>
      </c>
      <c r="EM84" s="11">
        <f t="shared" ref="EM84:EM92" si="1903">IF(DU84=2,1,0)</f>
        <v>0</v>
      </c>
      <c r="EN84" s="11">
        <f>EM84+EN82</f>
        <v>6</v>
      </c>
      <c r="EO84" s="11">
        <f t="shared" ref="EO84:EO92" si="1904">IF(DU84&gt;=3,1,0)</f>
        <v>1</v>
      </c>
      <c r="EP84" s="11">
        <f>EO84+EP82</f>
        <v>17</v>
      </c>
      <c r="EQ84" s="6"/>
      <c r="ER84" s="6">
        <f t="shared" ref="ER84:ER86" si="1905">IF($E84=4,DS84-4,NA())</f>
        <v>2</v>
      </c>
      <c r="ES84" s="11"/>
      <c r="ET84" s="15">
        <f>DS84-'Zusammenfassung Tag1-4'!$F$2/18</f>
        <v>3</v>
      </c>
      <c r="EU84" s="17">
        <f>ET84+EU82</f>
        <v>291</v>
      </c>
      <c r="EV84" s="13">
        <v>4</v>
      </c>
      <c r="EW84" s="11">
        <f>EV84+EW82</f>
        <v>359</v>
      </c>
      <c r="EX84" s="14">
        <v>2</v>
      </c>
      <c r="EY84" s="11">
        <f>EX84+EY82</f>
        <v>132</v>
      </c>
      <c r="EZ84" s="11">
        <f t="shared" ref="EZ84:EZ92" si="1906">IF(EV84-EX84&lt;=$E84-2,1,0)</f>
        <v>1</v>
      </c>
      <c r="FA84" s="11">
        <f>EZ84+FA82</f>
        <v>11</v>
      </c>
      <c r="FB84" s="11">
        <f t="shared" ref="FB84:FB92" si="1907">IF(EZ84=0,IF(EV84=$E84,1,0),0)</f>
        <v>0</v>
      </c>
      <c r="FC84" s="11">
        <f>FB84+FC82</f>
        <v>1</v>
      </c>
      <c r="FD84" s="11">
        <f t="shared" ref="FD84:FD92" si="1908">IF($E84-EV84=1,1,0)</f>
        <v>0</v>
      </c>
      <c r="FE84" s="11">
        <f>FD84+FE82</f>
        <v>0</v>
      </c>
      <c r="FF84" s="11">
        <f t="shared" ref="FF84:FF92" si="1909">IF(EV84=$E84,1,0)</f>
        <v>1</v>
      </c>
      <c r="FG84" s="11">
        <f>FF84+FG82</f>
        <v>1</v>
      </c>
      <c r="FH84" s="11">
        <f t="shared" ref="FH84:FH92" si="1910">IF(EV84-$E84=1,1,0)</f>
        <v>0</v>
      </c>
      <c r="FI84" s="11">
        <f>FH84+FI82</f>
        <v>5</v>
      </c>
      <c r="FJ84" s="11">
        <f t="shared" ref="FJ84:FJ92" si="1911">IF(EV84-$E84&gt;=2,1,0)</f>
        <v>0</v>
      </c>
      <c r="FK84" s="11">
        <f>FJ84+FK82</f>
        <v>4</v>
      </c>
      <c r="FL84" s="11">
        <f t="shared" ref="FL84:FL92" si="1912">IF(EX84=0,1,0)</f>
        <v>0</v>
      </c>
      <c r="FM84" s="11">
        <f>FL84+FM82</f>
        <v>0</v>
      </c>
      <c r="FN84" s="11">
        <f t="shared" ref="FN84:FN92" si="1913">IF(EX84=1,1,0)</f>
        <v>0</v>
      </c>
      <c r="FO84" s="11">
        <f>FN84+FO82</f>
        <v>8</v>
      </c>
      <c r="FP84" s="11">
        <f t="shared" ref="FP84:FP92" si="1914">IF(EX84=2,1,0)</f>
        <v>1</v>
      </c>
      <c r="FQ84" s="11">
        <f>FP84+FQ82</f>
        <v>9</v>
      </c>
      <c r="FR84" s="11">
        <f t="shared" ref="FR84:FR92" si="1915">IF(EX84&gt;=3,1,0)</f>
        <v>0</v>
      </c>
      <c r="FS84" s="11">
        <f>FR84+FS82</f>
        <v>12</v>
      </c>
      <c r="FT84" s="6"/>
      <c r="FU84" s="6">
        <f t="shared" ref="FU84:FU86" si="1916">IF($E84=4,EV84-4,NA())</f>
        <v>0</v>
      </c>
      <c r="FV84" s="11"/>
      <c r="FW84" s="15">
        <f>EV84-'Zusammenfassung Tag1-4'!$G$2/18</f>
        <v>2.5</v>
      </c>
      <c r="FX84" s="17">
        <f>FW84+FX82</f>
        <v>263</v>
      </c>
      <c r="FY84" s="13">
        <v>5</v>
      </c>
      <c r="FZ84" s="11">
        <f>FY84+FZ82</f>
        <v>458</v>
      </c>
      <c r="GA84" s="14">
        <v>2</v>
      </c>
      <c r="GB84" s="11">
        <f>GA84+GB82</f>
        <v>146</v>
      </c>
      <c r="GC84" s="11">
        <f t="shared" ref="GC84:GC92" si="1917">IF(FY84-GA84&lt;=$E84-2,1,0)</f>
        <v>0</v>
      </c>
      <c r="GD84" s="11">
        <f>GC84+GD82</f>
        <v>2</v>
      </c>
      <c r="GE84" s="11">
        <f t="shared" ref="GE84:GE92" si="1918">IF(GC84=0,IF(FY84=$E84,1,0),0)</f>
        <v>0</v>
      </c>
      <c r="GF84" s="11">
        <f>GE84+GF82</f>
        <v>0</v>
      </c>
      <c r="GG84" s="11">
        <f t="shared" ref="GG84:GG92" si="1919">IF($E84-FY84=1,1,0)</f>
        <v>0</v>
      </c>
      <c r="GH84" s="11">
        <f>GG84+GH82</f>
        <v>0</v>
      </c>
      <c r="GI84" s="11">
        <f t="shared" ref="GI84:GI92" si="1920">IF(FY84=$E84,1,0)</f>
        <v>0</v>
      </c>
      <c r="GJ84" s="11">
        <f>GI84+GJ82</f>
        <v>0</v>
      </c>
      <c r="GK84" s="11">
        <f t="shared" ref="GK84:GK92" si="1921">IF(FY84-$E84=1,1,0)</f>
        <v>1</v>
      </c>
      <c r="GL84" s="11">
        <f>GK84+GL82</f>
        <v>2</v>
      </c>
      <c r="GM84" s="11">
        <f t="shared" ref="GM84:GM92" si="1922">IF(FY84-$E84&gt;=2,1,0)</f>
        <v>0</v>
      </c>
      <c r="GN84" s="11">
        <f>GM84+GN82</f>
        <v>8</v>
      </c>
      <c r="GO84" s="11">
        <f t="shared" ref="GO84:GO92" si="1923">IF(GA84=0,1,0)</f>
        <v>0</v>
      </c>
      <c r="GP84" s="11">
        <f>GO84+GP82</f>
        <v>0</v>
      </c>
      <c r="GQ84" s="11">
        <f t="shared" ref="GQ84:GQ92" si="1924">IF(GA84=1,1,0)</f>
        <v>0</v>
      </c>
      <c r="GR84" s="11">
        <f>GQ84+GR82</f>
        <v>4</v>
      </c>
      <c r="GS84" s="11">
        <f t="shared" ref="GS84:GS92" si="1925">IF(GA84=2,1,0)</f>
        <v>1</v>
      </c>
      <c r="GT84" s="11">
        <f>GS84+GT82</f>
        <v>8</v>
      </c>
      <c r="GU84" s="11">
        <f t="shared" ref="GU84:GU92" si="1926">IF(GA84&gt;=3,1,0)</f>
        <v>0</v>
      </c>
      <c r="GV84" s="11">
        <f>GU84+GV82</f>
        <v>22</v>
      </c>
      <c r="GW84" s="6"/>
      <c r="GX84" s="6">
        <f t="shared" ref="GX84:GX86" si="1927">IF($E84=4,FY84-4,NA())</f>
        <v>1</v>
      </c>
      <c r="GY84" s="11"/>
      <c r="GZ84" s="15">
        <f>FY84-'Zusammenfassung Tag1-4'!$H$2/18</f>
        <v>2</v>
      </c>
      <c r="HA84" s="17">
        <f>GZ84+HA82</f>
        <v>266</v>
      </c>
      <c r="HB84" s="13">
        <v>4</v>
      </c>
      <c r="HC84" s="11">
        <f>HB84+HC82</f>
        <v>339</v>
      </c>
      <c r="HD84" s="14">
        <v>2</v>
      </c>
      <c r="HE84" s="11">
        <f>HD84+HE82</f>
        <v>129</v>
      </c>
      <c r="HF84" s="11">
        <f t="shared" ref="HF84:HF92" si="1928">IF(HB84-HD84&lt;=$E84-2,1,0)</f>
        <v>1</v>
      </c>
      <c r="HG84" s="11">
        <f>HF84+HG82</f>
        <v>21</v>
      </c>
      <c r="HH84" s="11">
        <f t="shared" ref="HH84:HH92" si="1929">IF(HF84=0,IF(HB84=$E84,1,0),0)</f>
        <v>0</v>
      </c>
      <c r="HI84" s="11">
        <f>HH84+HI82</f>
        <v>6</v>
      </c>
      <c r="HJ84" s="11">
        <f t="shared" ref="HJ84:HJ92" si="1930">IF($E84-HB84=1,1,0)</f>
        <v>0</v>
      </c>
      <c r="HK84" s="11">
        <f>HJ84+HK82</f>
        <v>1</v>
      </c>
      <c r="HL84" s="11">
        <f t="shared" ref="HL84:HL92" si="1931">IF(HB84=$E84,1,0)</f>
        <v>1</v>
      </c>
      <c r="HM84" s="11">
        <f>HL84+HM82</f>
        <v>4</v>
      </c>
      <c r="HN84" s="11">
        <f t="shared" ref="HN84:HN92" si="1932">IF(HB84-$E84=1,1,0)</f>
        <v>0</v>
      </c>
      <c r="HO84" s="11">
        <f>HN84+HO82</f>
        <v>2</v>
      </c>
      <c r="HP84" s="11">
        <f t="shared" ref="HP84:HP92" si="1933">IF(HB84-$E84&gt;=2,1,0)</f>
        <v>0</v>
      </c>
      <c r="HQ84" s="11">
        <f>HP84+HQ82</f>
        <v>3</v>
      </c>
      <c r="HR84" s="11">
        <f t="shared" ref="HR84:HR92" si="1934">IF(HD84=0,1,0)</f>
        <v>0</v>
      </c>
      <c r="HS84" s="11">
        <f>HR84+HS82</f>
        <v>0</v>
      </c>
      <c r="HT84" s="11">
        <f t="shared" ref="HT84:HT92" si="1935">IF(HD84=1,1,0)</f>
        <v>0</v>
      </c>
      <c r="HU84" s="11">
        <f>HT84+HU82</f>
        <v>12</v>
      </c>
      <c r="HV84" s="11">
        <f t="shared" ref="HV84:HV92" si="1936">IF(HD84=2,1,0)</f>
        <v>1</v>
      </c>
      <c r="HW84" s="11">
        <f>HV84+HW82</f>
        <v>4</v>
      </c>
      <c r="HX84" s="11">
        <f t="shared" ref="HX84:HX92" si="1937">IF(HD84&gt;=3,1,0)</f>
        <v>0</v>
      </c>
      <c r="HY84" s="11">
        <f>HX84+HY82</f>
        <v>13</v>
      </c>
      <c r="HZ84" s="6"/>
      <c r="IA84" s="6">
        <f t="shared" ref="IA84:IA86" si="1938">IF($E84=4,HB84-4,NA())</f>
        <v>0</v>
      </c>
      <c r="IB84" s="11"/>
      <c r="IC84" s="15">
        <f>HB84-'Zusammenfassung Tag1-4'!$I$2/18</f>
        <v>3</v>
      </c>
      <c r="ID84" s="17">
        <f>IC84+ID82</f>
        <v>275</v>
      </c>
      <c r="IE84" s="13">
        <v>7</v>
      </c>
      <c r="IF84" s="11">
        <f>IE84+IF82</f>
        <v>207</v>
      </c>
      <c r="IG84" s="14">
        <v>2</v>
      </c>
      <c r="IH84" s="11">
        <f>IG84+IH82</f>
        <v>73</v>
      </c>
      <c r="II84" s="11">
        <f t="shared" ref="II84:II92" si="1939">IF(IE84-IG84&lt;=$E84-2,1,0)</f>
        <v>0</v>
      </c>
      <c r="IJ84" s="11">
        <f>II84+IJ82</f>
        <v>37</v>
      </c>
      <c r="IK84" s="11">
        <f t="shared" ref="IK84:IK92" si="1940">IF(II84=0,IF(IE84=$E84,1,0),0)</f>
        <v>0</v>
      </c>
      <c r="IL84" s="11">
        <f>IK84+IL82</f>
        <v>0</v>
      </c>
      <c r="IM84" s="11">
        <f t="shared" ref="IM84:IM92" si="1941">IF($E84-IE84=1,1,0)</f>
        <v>0</v>
      </c>
      <c r="IN84" s="11">
        <f>IM84+IN82</f>
        <v>0</v>
      </c>
      <c r="IO84" s="11">
        <f t="shared" ref="IO84:IO92" si="1942">IF(IE84=$E84,1,0)</f>
        <v>0</v>
      </c>
      <c r="IP84" s="11">
        <f>IO84+IP82</f>
        <v>0</v>
      </c>
      <c r="IQ84" s="11">
        <f t="shared" ref="IQ84:IQ92" si="1943">IF(IE84-$E84=1,1,0)</f>
        <v>0</v>
      </c>
      <c r="IR84" s="11">
        <f>IQ84+IR82</f>
        <v>0</v>
      </c>
      <c r="IS84" s="11">
        <f t="shared" ref="IS84:IS92" si="1944">IF(IE84-$E84&gt;=2,1,0)</f>
        <v>1</v>
      </c>
      <c r="IT84" s="11">
        <f>IS84+IT82</f>
        <v>10</v>
      </c>
      <c r="IU84" s="11">
        <f t="shared" ref="IU84:IU92" si="1945">IF(IG84=0,1,0)</f>
        <v>0</v>
      </c>
      <c r="IV84" s="11">
        <f>IU84+IV82</f>
        <v>0</v>
      </c>
      <c r="IW84" s="11">
        <f t="shared" ref="IW84:IW92" si="1946">IF(IG84=1,1,0)</f>
        <v>0</v>
      </c>
      <c r="IX84" s="11">
        <f>IW84+IX82</f>
        <v>1</v>
      </c>
      <c r="IY84" s="11">
        <f t="shared" ref="IY84:IY92" si="1947">IF(IG84=2,1,0)</f>
        <v>1</v>
      </c>
      <c r="IZ84" s="11">
        <f>IY84+IZ82</f>
        <v>6</v>
      </c>
      <c r="JA84" s="11">
        <f t="shared" ref="JA84:JA92" si="1948">IF(IG84&gt;=3,1,0)</f>
        <v>0</v>
      </c>
      <c r="JB84" s="11">
        <f>JA84+JB82</f>
        <v>14</v>
      </c>
      <c r="JC84" s="6"/>
      <c r="JD84" s="6">
        <f t="shared" ref="JD84:JD86" si="1949">IF($E84=4,IE84-4,NA())</f>
        <v>3</v>
      </c>
      <c r="JE84" s="11"/>
      <c r="JF84" s="15">
        <f>IE84-'Zusammenfassung Tag1-4'!$J$2/18</f>
        <v>4</v>
      </c>
      <c r="JG84" s="17">
        <f>JF84+JG82</f>
        <v>15</v>
      </c>
      <c r="JH84" s="13">
        <v>6</v>
      </c>
      <c r="JI84" s="11">
        <f>JH84+JI82</f>
        <v>132</v>
      </c>
      <c r="JJ84" s="14">
        <v>2</v>
      </c>
      <c r="JK84" s="11">
        <f>JJ84+JK82</f>
        <v>54</v>
      </c>
      <c r="JL84" s="11">
        <f t="shared" ref="JL84:JL92" si="1950">IF(JH84-JJ84&lt;=$E84-2,1,0)</f>
        <v>0</v>
      </c>
      <c r="JM84" s="11">
        <f>JL84+JM82</f>
        <v>50</v>
      </c>
      <c r="JN84" s="11">
        <f t="shared" ref="JN84:JN92" si="1951">IF(JL84=0,IF(JH84=$E84,1,0),0)</f>
        <v>0</v>
      </c>
      <c r="JO84" s="11">
        <f>JN84+JO82</f>
        <v>1</v>
      </c>
      <c r="JP84" s="11">
        <f t="shared" ref="JP84:JP92" si="1952">IF($E84-JH84=1,1,0)</f>
        <v>0</v>
      </c>
      <c r="JQ84" s="11">
        <f>JP84+JQ82</f>
        <v>0</v>
      </c>
      <c r="JR84" s="11">
        <f t="shared" ref="JR84:JR92" si="1953">IF(JH84=$E84,1,0)</f>
        <v>0</v>
      </c>
      <c r="JS84" s="11">
        <f>JR84+JS82</f>
        <v>5</v>
      </c>
      <c r="JT84" s="11">
        <f t="shared" ref="JT84:JT92" si="1954">IF(JH84-$E84=1,1,0)</f>
        <v>0</v>
      </c>
      <c r="JU84" s="11">
        <f>JT84+JU82</f>
        <v>3</v>
      </c>
      <c r="JV84" s="11">
        <f t="shared" ref="JV84:JV92" si="1955">IF(JH84-$E84&gt;=2,1,0)</f>
        <v>1</v>
      </c>
      <c r="JW84" s="11">
        <f>JV84+JW82</f>
        <v>2</v>
      </c>
      <c r="JX84" s="11">
        <f t="shared" ref="JX84:JX92" si="1956">IF(JJ84=0,1,0)</f>
        <v>0</v>
      </c>
      <c r="JY84" s="11">
        <f>JX84+JY82</f>
        <v>0</v>
      </c>
      <c r="JZ84" s="11">
        <f t="shared" ref="JZ84:JZ92" si="1957">IF(JJ84=1,1,0)</f>
        <v>0</v>
      </c>
      <c r="KA84" s="11">
        <f>JZ84+KA82</f>
        <v>4</v>
      </c>
      <c r="KB84" s="11">
        <f t="shared" ref="KB84:KB92" si="1958">IF(JJ84=2,1,0)</f>
        <v>1</v>
      </c>
      <c r="KC84" s="11">
        <f>KB84+KC82</f>
        <v>8</v>
      </c>
      <c r="KD84" s="11">
        <f t="shared" ref="KD84:KD92" si="1959">IF(JJ84&gt;=3,1,0)</f>
        <v>0</v>
      </c>
      <c r="KE84" s="11">
        <f>KD84+KE82</f>
        <v>2</v>
      </c>
      <c r="KF84" s="6"/>
      <c r="KG84" s="6">
        <f t="shared" ref="KG84:KG86" si="1960">IF($E84=4,JH84-4,NA())</f>
        <v>2</v>
      </c>
      <c r="KH84" s="11"/>
      <c r="KI84" s="15">
        <f>JH84-'Zusammenfassung Tag1-4'!$K$2/18</f>
        <v>5.2222222222222223</v>
      </c>
      <c r="KJ84" s="17">
        <f>KI84+KJ82</f>
        <v>82.222222222222214</v>
      </c>
      <c r="KK84" s="10"/>
      <c r="KL84" s="10"/>
      <c r="KM84" s="10"/>
      <c r="KN84" s="10"/>
      <c r="KO84" s="10"/>
      <c r="KP84" s="10"/>
      <c r="KQ84" s="10"/>
      <c r="KR84" s="10"/>
      <c r="KS84" s="10"/>
      <c r="KT84" s="10"/>
      <c r="KU84" s="10"/>
      <c r="KV84" s="10"/>
      <c r="KW84" s="10"/>
      <c r="KX84" s="10"/>
      <c r="KY84" s="10"/>
      <c r="KZ84" s="10"/>
      <c r="LA84" s="10"/>
      <c r="LB84" s="10"/>
      <c r="LC84" s="10"/>
      <c r="LD84" s="10"/>
    </row>
    <row r="85" spans="1:316" ht="15.75" customHeight="1" x14ac:dyDescent="0.25">
      <c r="A85" s="106"/>
      <c r="B85" s="103"/>
      <c r="C85" s="6">
        <v>11</v>
      </c>
      <c r="D85" s="6">
        <f t="shared" ref="D85:D92" si="1961">D84+1</f>
        <v>65</v>
      </c>
      <c r="E85" s="6">
        <v>4</v>
      </c>
      <c r="F85" s="7">
        <f t="shared" ref="F85:F92" si="1962">E85+F84</f>
        <v>260</v>
      </c>
      <c r="G85" s="18"/>
      <c r="H85" s="6"/>
      <c r="I85" s="19"/>
      <c r="J85" s="6">
        <f t="shared" ref="J85:J92" si="1963">I85+J84</f>
        <v>71</v>
      </c>
      <c r="K85" s="6">
        <f t="shared" si="1851"/>
        <v>1</v>
      </c>
      <c r="L85" s="6">
        <f t="shared" ref="L85:L92" si="1964">K85+L84</f>
        <v>44</v>
      </c>
      <c r="M85" s="6">
        <f t="shared" si="1852"/>
        <v>0</v>
      </c>
      <c r="N85" s="6">
        <f t="shared" ref="N85:N92" si="1965">M85+N84</f>
        <v>3</v>
      </c>
      <c r="O85" s="6">
        <f t="shared" si="1853"/>
        <v>0</v>
      </c>
      <c r="P85" s="6">
        <f t="shared" ref="P85:P92" si="1966">O85+P84</f>
        <v>1</v>
      </c>
      <c r="Q85" s="6">
        <f t="shared" si="1854"/>
        <v>0</v>
      </c>
      <c r="R85" s="6">
        <f t="shared" ref="R85:R92" si="1967">Q85+R84</f>
        <v>0</v>
      </c>
      <c r="S85" s="6">
        <f t="shared" si="1855"/>
        <v>0</v>
      </c>
      <c r="T85" s="6">
        <f t="shared" ref="T85:T92" si="1968">S85+T84</f>
        <v>0</v>
      </c>
      <c r="U85" s="6">
        <f t="shared" si="1856"/>
        <v>0</v>
      </c>
      <c r="V85" s="6">
        <f t="shared" ref="V85:V92" si="1969">U85+V84</f>
        <v>0</v>
      </c>
      <c r="W85" s="6">
        <f t="shared" si="1857"/>
        <v>1</v>
      </c>
      <c r="X85" s="6">
        <f t="shared" ref="X85:X92" si="1970">W85+X84</f>
        <v>11</v>
      </c>
      <c r="Y85" s="6">
        <f t="shared" si="1858"/>
        <v>0</v>
      </c>
      <c r="Z85" s="6">
        <f t="shared" ref="Z85:Z92" si="1971">Y85+Z84</f>
        <v>7</v>
      </c>
      <c r="AA85" s="6">
        <f t="shared" si="1859"/>
        <v>0</v>
      </c>
      <c r="AB85" s="6">
        <f t="shared" ref="AB85:AB92" si="1972">AA85+AB84</f>
        <v>0</v>
      </c>
      <c r="AC85" s="6">
        <f t="shared" si="1860"/>
        <v>0</v>
      </c>
      <c r="AD85" s="6">
        <f t="shared" ref="AD85:AD92" si="1973">AC85+AD84</f>
        <v>5</v>
      </c>
      <c r="AE85" s="6"/>
      <c r="AF85" s="6">
        <f t="shared" si="1861"/>
        <v>-4</v>
      </c>
      <c r="AG85" s="6"/>
      <c r="AH85" s="20">
        <f>G85-'Zusammenfassung Tag1-4'!$B$2/18</f>
        <v>-1.1111111111111112</v>
      </c>
      <c r="AI85" s="21">
        <f t="shared" ref="AI85:AI92" si="1974">AH85+AI84</f>
        <v>104.7777777777776</v>
      </c>
      <c r="AJ85" s="18">
        <v>4</v>
      </c>
      <c r="AK85" s="6">
        <f t="shared" ref="AK85:AK92" si="1975">AJ85+AK84</f>
        <v>293</v>
      </c>
      <c r="AL85" s="19">
        <v>2</v>
      </c>
      <c r="AM85" s="6">
        <f t="shared" ref="AM85:AM92" si="1976">AL85+AM84</f>
        <v>114</v>
      </c>
      <c r="AN85" s="6">
        <f t="shared" si="1862"/>
        <v>1</v>
      </c>
      <c r="AO85" s="6">
        <f t="shared" ref="AO85:AO92" si="1977">AN85+AO84</f>
        <v>34</v>
      </c>
      <c r="AP85" s="6">
        <f t="shared" si="1863"/>
        <v>0</v>
      </c>
      <c r="AQ85" s="6">
        <f t="shared" ref="AQ85:AQ92" si="1978">AP85+AQ84</f>
        <v>11</v>
      </c>
      <c r="AR85" s="6">
        <f t="shared" si="1864"/>
        <v>0</v>
      </c>
      <c r="AS85" s="6">
        <f t="shared" ref="AS85:AS92" si="1979">AR85+AS84</f>
        <v>5</v>
      </c>
      <c r="AT85" s="6">
        <f t="shared" si="1865"/>
        <v>1</v>
      </c>
      <c r="AU85" s="6">
        <f t="shared" ref="AU85:AU92" si="1980">AT85+AU84</f>
        <v>8</v>
      </c>
      <c r="AV85" s="6">
        <f t="shared" si="1866"/>
        <v>0</v>
      </c>
      <c r="AW85" s="6">
        <f t="shared" ref="AW85:AW92" si="1981">AV85+AW84</f>
        <v>2</v>
      </c>
      <c r="AX85" s="6">
        <f t="shared" si="1867"/>
        <v>0</v>
      </c>
      <c r="AY85" s="6">
        <f t="shared" ref="AY85:AY92" si="1982">AX85+AY84</f>
        <v>0</v>
      </c>
      <c r="AZ85" s="6">
        <f t="shared" si="1868"/>
        <v>0</v>
      </c>
      <c r="BA85" s="6">
        <f t="shared" ref="BA85:BA92" si="1983">AZ85+BA84</f>
        <v>0</v>
      </c>
      <c r="BB85" s="6">
        <f t="shared" si="1869"/>
        <v>0</v>
      </c>
      <c r="BC85" s="6">
        <f t="shared" ref="BC85:BC92" si="1984">BB85+BC84</f>
        <v>22</v>
      </c>
      <c r="BD85" s="6">
        <f t="shared" si="1870"/>
        <v>1</v>
      </c>
      <c r="BE85" s="6">
        <f t="shared" ref="BE85:BE92" si="1985">BD85+BE84</f>
        <v>6</v>
      </c>
      <c r="BF85" s="6">
        <f t="shared" si="1871"/>
        <v>0</v>
      </c>
      <c r="BG85" s="6">
        <f t="shared" ref="BG85:BG92" si="1986">BF85+BG84</f>
        <v>6</v>
      </c>
      <c r="BH85" s="6"/>
      <c r="BI85" s="6">
        <f t="shared" si="1872"/>
        <v>0</v>
      </c>
      <c r="BJ85" s="6"/>
      <c r="BK85" s="20">
        <f>AJ85-'Zusammenfassung Tag1-4'!$C$2/18</f>
        <v>3.3333333333333335</v>
      </c>
      <c r="BL85" s="21">
        <f t="shared" ref="BL85:BL92" si="1987">BK85+BL84</f>
        <v>249.66666666666691</v>
      </c>
      <c r="BM85" s="18">
        <v>6</v>
      </c>
      <c r="BN85" s="6">
        <f t="shared" ref="BN85:BN92" si="1988">BM85+BN84</f>
        <v>365</v>
      </c>
      <c r="BO85" s="19">
        <v>3</v>
      </c>
      <c r="BP85" s="6">
        <f t="shared" ref="BP85:BP92" si="1989">BO85+BP84</f>
        <v>135</v>
      </c>
      <c r="BQ85" s="6">
        <f t="shared" si="1873"/>
        <v>0</v>
      </c>
      <c r="BR85" s="6">
        <f t="shared" ref="BR85:BR92" si="1990">BQ85+BR84</f>
        <v>9</v>
      </c>
      <c r="BS85" s="6">
        <f t="shared" si="1874"/>
        <v>0</v>
      </c>
      <c r="BT85" s="6">
        <f t="shared" ref="BT85:BT92" si="1991">BS85+BT84</f>
        <v>5</v>
      </c>
      <c r="BU85" s="6">
        <f t="shared" si="1875"/>
        <v>0</v>
      </c>
      <c r="BV85" s="6">
        <f t="shared" ref="BV85:BV92" si="1992">BU85+BV84</f>
        <v>0</v>
      </c>
      <c r="BW85" s="6">
        <f t="shared" si="1876"/>
        <v>0</v>
      </c>
      <c r="BX85" s="6">
        <f t="shared" ref="BX85:BX92" si="1993">BW85+BX84</f>
        <v>2</v>
      </c>
      <c r="BY85" s="6">
        <f t="shared" si="1877"/>
        <v>0</v>
      </c>
      <c r="BZ85" s="6">
        <f t="shared" ref="BZ85:BZ92" si="1994">BY85+BZ84</f>
        <v>5</v>
      </c>
      <c r="CA85" s="6">
        <f t="shared" si="1878"/>
        <v>1</v>
      </c>
      <c r="CB85" s="6">
        <f t="shared" ref="CB85:CB92" si="1995">CA85+CB84</f>
        <v>4</v>
      </c>
      <c r="CC85" s="6">
        <f t="shared" si="1879"/>
        <v>0</v>
      </c>
      <c r="CD85" s="6">
        <f t="shared" ref="CD85:CD92" si="1996">CC85+CD84</f>
        <v>0</v>
      </c>
      <c r="CE85" s="6">
        <f t="shared" si="1880"/>
        <v>0</v>
      </c>
      <c r="CF85" s="6">
        <f t="shared" ref="CF85:CF92" si="1997">CE85+CF84</f>
        <v>11</v>
      </c>
      <c r="CG85" s="6">
        <f t="shared" si="1881"/>
        <v>0</v>
      </c>
      <c r="CH85" s="6">
        <f t="shared" ref="CH85:CH92" si="1998">CG85+CH84</f>
        <v>7</v>
      </c>
      <c r="CI85" s="6">
        <f t="shared" si="1882"/>
        <v>1</v>
      </c>
      <c r="CJ85" s="6">
        <f t="shared" ref="CJ85:CJ92" si="1999">CI85+CJ84</f>
        <v>16</v>
      </c>
      <c r="CK85" s="6"/>
      <c r="CL85" s="6">
        <f t="shared" si="1883"/>
        <v>2</v>
      </c>
      <c r="CM85" s="6"/>
      <c r="CN85" s="20">
        <f>BM85-'Zusammenfassung Tag1-4'!$D$2/18</f>
        <v>4.666666666666667</v>
      </c>
      <c r="CO85" s="21">
        <f t="shared" ref="CO85:CO92" si="2000">CN85+CO84</f>
        <v>278.3333333333332</v>
      </c>
      <c r="CP85" s="18">
        <v>5</v>
      </c>
      <c r="CQ85" s="6">
        <f t="shared" ref="CQ85:CQ92" si="2001">CP85+CQ84</f>
        <v>335</v>
      </c>
      <c r="CR85" s="19">
        <v>2</v>
      </c>
      <c r="CS85" s="6">
        <f t="shared" ref="CS85:CS92" si="2002">CR85+CS84</f>
        <v>128</v>
      </c>
      <c r="CT85" s="6">
        <f t="shared" si="1884"/>
        <v>0</v>
      </c>
      <c r="CU85" s="6">
        <f t="shared" ref="CU85:CU92" si="2003">CT85+CU84</f>
        <v>14</v>
      </c>
      <c r="CV85" s="6">
        <f t="shared" si="1885"/>
        <v>0</v>
      </c>
      <c r="CW85" s="6">
        <f t="shared" ref="CW85:CW92" si="2004">CV85+CW84</f>
        <v>8</v>
      </c>
      <c r="CX85" s="6">
        <f t="shared" si="1886"/>
        <v>0</v>
      </c>
      <c r="CY85" s="6">
        <f t="shared" ref="CY85:CY92" si="2005">CX85+CY84</f>
        <v>1</v>
      </c>
      <c r="CZ85" s="6">
        <f t="shared" si="1887"/>
        <v>0</v>
      </c>
      <c r="DA85" s="6">
        <f t="shared" ref="DA85:DA92" si="2006">CZ85+DA84</f>
        <v>5</v>
      </c>
      <c r="DB85" s="6">
        <f t="shared" si="1888"/>
        <v>1</v>
      </c>
      <c r="DC85" s="6">
        <f t="shared" ref="DC85:DC92" si="2007">DB85+DC84</f>
        <v>4</v>
      </c>
      <c r="DD85" s="6">
        <f t="shared" si="1889"/>
        <v>0</v>
      </c>
      <c r="DE85" s="6">
        <f t="shared" ref="DE85:DE92" si="2008">DD85+DE84</f>
        <v>1</v>
      </c>
      <c r="DF85" s="6">
        <f t="shared" si="1890"/>
        <v>0</v>
      </c>
      <c r="DG85" s="6">
        <f t="shared" ref="DG85:DG92" si="2009">DF85+DG84</f>
        <v>0</v>
      </c>
      <c r="DH85" s="6">
        <f t="shared" si="1891"/>
        <v>0</v>
      </c>
      <c r="DI85" s="6">
        <f t="shared" ref="DI85:DI92" si="2010">DH85+DI84</f>
        <v>15</v>
      </c>
      <c r="DJ85" s="6">
        <f t="shared" si="1892"/>
        <v>1</v>
      </c>
      <c r="DK85" s="6">
        <f t="shared" ref="DK85:DK92" si="2011">DJ85+DK84</f>
        <v>7</v>
      </c>
      <c r="DL85" s="6">
        <f t="shared" si="1893"/>
        <v>0</v>
      </c>
      <c r="DM85" s="6">
        <f t="shared" ref="DM85:DM92" si="2012">DL85+DM84</f>
        <v>13</v>
      </c>
      <c r="DN85" s="6"/>
      <c r="DO85" s="6">
        <f t="shared" si="1894"/>
        <v>1</v>
      </c>
      <c r="DP85" s="6"/>
      <c r="DQ85" s="20">
        <f>CP85-'Zusammenfassung Tag1-4'!$E$2/18</f>
        <v>3.7222222222222223</v>
      </c>
      <c r="DR85" s="22">
        <f t="shared" ref="DR85:DR92" si="2013">DQ85+DR84</f>
        <v>251.94444444444474</v>
      </c>
      <c r="DS85" s="18">
        <v>8</v>
      </c>
      <c r="DT85" s="6">
        <f t="shared" ref="DT85:DT92" si="2014">DS85+DT84</f>
        <v>491</v>
      </c>
      <c r="DU85" s="19">
        <v>2</v>
      </c>
      <c r="DV85" s="6">
        <f t="shared" ref="DV85:DV92" si="2015">DU85+DV84</f>
        <v>147</v>
      </c>
      <c r="DW85" s="6">
        <f t="shared" si="1895"/>
        <v>0</v>
      </c>
      <c r="DX85" s="6">
        <f t="shared" ref="DX85:DX92" si="2016">DW85+DX84</f>
        <v>1</v>
      </c>
      <c r="DY85" s="6">
        <f t="shared" si="1896"/>
        <v>0</v>
      </c>
      <c r="DZ85" s="6">
        <f t="shared" ref="DZ85:DZ92" si="2017">DY85+DZ84</f>
        <v>0</v>
      </c>
      <c r="EA85" s="6">
        <f t="shared" si="1897"/>
        <v>0</v>
      </c>
      <c r="EB85" s="6">
        <f t="shared" ref="EB85:EB92" si="2018">EA85+EB84</f>
        <v>0</v>
      </c>
      <c r="EC85" s="6">
        <f t="shared" si="1898"/>
        <v>0</v>
      </c>
      <c r="ED85" s="6">
        <f t="shared" ref="ED85:ED92" si="2019">EC85+ED84</f>
        <v>0</v>
      </c>
      <c r="EE85" s="6">
        <f t="shared" si="1899"/>
        <v>0</v>
      </c>
      <c r="EF85" s="6">
        <f t="shared" ref="EF85:EF92" si="2020">EE85+EF84</f>
        <v>1</v>
      </c>
      <c r="EG85" s="6">
        <f t="shared" si="1900"/>
        <v>1</v>
      </c>
      <c r="EH85" s="6">
        <f t="shared" ref="EH85:EH92" si="2021">EG85+EH84</f>
        <v>10</v>
      </c>
      <c r="EI85" s="6">
        <f t="shared" si="1901"/>
        <v>0</v>
      </c>
      <c r="EJ85" s="6">
        <f t="shared" ref="EJ85:EJ92" si="2022">EI85+EJ84</f>
        <v>0</v>
      </c>
      <c r="EK85" s="6">
        <f t="shared" si="1902"/>
        <v>0</v>
      </c>
      <c r="EL85" s="6">
        <f t="shared" ref="EL85:EL92" si="2023">EK85+EL84</f>
        <v>2</v>
      </c>
      <c r="EM85" s="6">
        <f t="shared" si="1903"/>
        <v>1</v>
      </c>
      <c r="EN85" s="6">
        <f t="shared" ref="EN85:EN92" si="2024">EM85+EN84</f>
        <v>7</v>
      </c>
      <c r="EO85" s="6">
        <f t="shared" si="1904"/>
        <v>0</v>
      </c>
      <c r="EP85" s="6">
        <f t="shared" ref="EP85:EP92" si="2025">EO85+EP84</f>
        <v>17</v>
      </c>
      <c r="EQ85" s="6"/>
      <c r="ER85" s="6">
        <f t="shared" si="1905"/>
        <v>4</v>
      </c>
      <c r="ES85" s="6"/>
      <c r="ET85" s="20">
        <f>DS85-'Zusammenfassung Tag1-4'!$F$2/18</f>
        <v>5</v>
      </c>
      <c r="EU85" s="22">
        <f t="shared" ref="EU85:EU92" si="2026">ET85+EU84</f>
        <v>296</v>
      </c>
      <c r="EV85" s="18">
        <v>7</v>
      </c>
      <c r="EW85" s="6">
        <f t="shared" ref="EW85:EW92" si="2027">EV85+EW84</f>
        <v>366</v>
      </c>
      <c r="EX85" s="19">
        <v>2</v>
      </c>
      <c r="EY85" s="6">
        <f t="shared" ref="EY85:EY92" si="2028">EX85+EY84</f>
        <v>134</v>
      </c>
      <c r="EZ85" s="6">
        <f t="shared" si="1906"/>
        <v>0</v>
      </c>
      <c r="FA85" s="6">
        <f t="shared" ref="FA85:FA92" si="2029">EZ85+FA84</f>
        <v>11</v>
      </c>
      <c r="FB85" s="6">
        <f t="shared" si="1907"/>
        <v>0</v>
      </c>
      <c r="FC85" s="6">
        <f t="shared" ref="FC85:FC92" si="2030">FB85+FC84</f>
        <v>1</v>
      </c>
      <c r="FD85" s="6">
        <f t="shared" si="1908"/>
        <v>0</v>
      </c>
      <c r="FE85" s="6">
        <f t="shared" ref="FE85:FE92" si="2031">FD85+FE84</f>
        <v>0</v>
      </c>
      <c r="FF85" s="6">
        <f t="shared" si="1909"/>
        <v>0</v>
      </c>
      <c r="FG85" s="6">
        <f t="shared" ref="FG85:FG92" si="2032">FF85+FG84</f>
        <v>1</v>
      </c>
      <c r="FH85" s="6">
        <f t="shared" si="1910"/>
        <v>0</v>
      </c>
      <c r="FI85" s="6">
        <f t="shared" ref="FI85:FI92" si="2033">FH85+FI84</f>
        <v>5</v>
      </c>
      <c r="FJ85" s="6">
        <f t="shared" si="1911"/>
        <v>1</v>
      </c>
      <c r="FK85" s="6">
        <f t="shared" ref="FK85:FK92" si="2034">FJ85+FK84</f>
        <v>5</v>
      </c>
      <c r="FL85" s="6">
        <f t="shared" si="1912"/>
        <v>0</v>
      </c>
      <c r="FM85" s="6">
        <f t="shared" ref="FM85:FM92" si="2035">FL85+FM84</f>
        <v>0</v>
      </c>
      <c r="FN85" s="6">
        <f t="shared" si="1913"/>
        <v>0</v>
      </c>
      <c r="FO85" s="6">
        <f t="shared" ref="FO85:FO92" si="2036">FN85+FO84</f>
        <v>8</v>
      </c>
      <c r="FP85" s="6">
        <f t="shared" si="1914"/>
        <v>1</v>
      </c>
      <c r="FQ85" s="6">
        <f t="shared" ref="FQ85:FQ92" si="2037">FP85+FQ84</f>
        <v>10</v>
      </c>
      <c r="FR85" s="6">
        <f t="shared" si="1915"/>
        <v>0</v>
      </c>
      <c r="FS85" s="6">
        <f t="shared" ref="FS85:FS92" si="2038">FR85+FS84</f>
        <v>12</v>
      </c>
      <c r="FT85" s="6"/>
      <c r="FU85" s="6">
        <f t="shared" si="1916"/>
        <v>3</v>
      </c>
      <c r="FV85" s="6"/>
      <c r="FW85" s="20">
        <f>EV85-'Zusammenfassung Tag1-4'!$G$2/18</f>
        <v>5.5</v>
      </c>
      <c r="FX85" s="22">
        <f t="shared" ref="FX85:FX92" si="2039">FW85+FX84</f>
        <v>268.5</v>
      </c>
      <c r="FY85" s="18">
        <v>8</v>
      </c>
      <c r="FZ85" s="6">
        <f t="shared" ref="FZ85:FZ92" si="2040">FY85+FZ84</f>
        <v>466</v>
      </c>
      <c r="GA85" s="19">
        <v>2</v>
      </c>
      <c r="GB85" s="6">
        <f t="shared" ref="GB85:GB92" si="2041">GA85+GB84</f>
        <v>148</v>
      </c>
      <c r="GC85" s="6">
        <f t="shared" si="1917"/>
        <v>0</v>
      </c>
      <c r="GD85" s="6">
        <f t="shared" ref="GD85:GD92" si="2042">GC85+GD84</f>
        <v>2</v>
      </c>
      <c r="GE85" s="6">
        <f t="shared" si="1918"/>
        <v>0</v>
      </c>
      <c r="GF85" s="6">
        <f t="shared" ref="GF85:GF92" si="2043">GE85+GF84</f>
        <v>0</v>
      </c>
      <c r="GG85" s="6">
        <f t="shared" si="1919"/>
        <v>0</v>
      </c>
      <c r="GH85" s="6">
        <f t="shared" ref="GH85:GH92" si="2044">GG85+GH84</f>
        <v>0</v>
      </c>
      <c r="GI85" s="6">
        <f t="shared" si="1920"/>
        <v>0</v>
      </c>
      <c r="GJ85" s="6">
        <f t="shared" ref="GJ85:GJ92" si="2045">GI85+GJ84</f>
        <v>0</v>
      </c>
      <c r="GK85" s="6">
        <f t="shared" si="1921"/>
        <v>0</v>
      </c>
      <c r="GL85" s="6">
        <f t="shared" ref="GL85:GL92" si="2046">GK85+GL84</f>
        <v>2</v>
      </c>
      <c r="GM85" s="6">
        <f t="shared" si="1922"/>
        <v>1</v>
      </c>
      <c r="GN85" s="6">
        <f t="shared" ref="GN85:GN92" si="2047">GM85+GN84</f>
        <v>9</v>
      </c>
      <c r="GO85" s="6">
        <f t="shared" si="1923"/>
        <v>0</v>
      </c>
      <c r="GP85" s="6">
        <f t="shared" ref="GP85:GP92" si="2048">GO85+GP84</f>
        <v>0</v>
      </c>
      <c r="GQ85" s="6">
        <f t="shared" si="1924"/>
        <v>0</v>
      </c>
      <c r="GR85" s="6">
        <f t="shared" ref="GR85:GR92" si="2049">GQ85+GR84</f>
        <v>4</v>
      </c>
      <c r="GS85" s="6">
        <f t="shared" si="1925"/>
        <v>1</v>
      </c>
      <c r="GT85" s="6">
        <f t="shared" ref="GT85:GT92" si="2050">GS85+GT84</f>
        <v>9</v>
      </c>
      <c r="GU85" s="6">
        <f t="shared" si="1926"/>
        <v>0</v>
      </c>
      <c r="GV85" s="6">
        <f t="shared" ref="GV85:GV92" si="2051">GU85+GV84</f>
        <v>22</v>
      </c>
      <c r="GW85" s="6"/>
      <c r="GX85" s="6">
        <f t="shared" si="1927"/>
        <v>4</v>
      </c>
      <c r="GY85" s="6"/>
      <c r="GZ85" s="20">
        <f>FY85-'Zusammenfassung Tag1-4'!$H$2/18</f>
        <v>5</v>
      </c>
      <c r="HA85" s="22">
        <f t="shared" ref="HA85:HA92" si="2052">GZ85+HA84</f>
        <v>271</v>
      </c>
      <c r="HB85" s="18">
        <v>3</v>
      </c>
      <c r="HC85" s="6">
        <f t="shared" ref="HC85:HC92" si="2053">HB85+HC84</f>
        <v>342</v>
      </c>
      <c r="HD85" s="19">
        <v>1</v>
      </c>
      <c r="HE85" s="6">
        <f t="shared" ref="HE85:HE92" si="2054">HD85+HE84</f>
        <v>130</v>
      </c>
      <c r="HF85" s="6">
        <f t="shared" si="1928"/>
        <v>1</v>
      </c>
      <c r="HG85" s="6">
        <f t="shared" ref="HG85:HG92" si="2055">HF85+HG84</f>
        <v>22</v>
      </c>
      <c r="HH85" s="6">
        <f t="shared" si="1929"/>
        <v>0</v>
      </c>
      <c r="HI85" s="6">
        <f t="shared" ref="HI85:HI92" si="2056">HH85+HI84</f>
        <v>6</v>
      </c>
      <c r="HJ85" s="6">
        <f t="shared" si="1930"/>
        <v>1</v>
      </c>
      <c r="HK85" s="6">
        <f t="shared" ref="HK85:HK92" si="2057">HJ85+HK84</f>
        <v>2</v>
      </c>
      <c r="HL85" s="6">
        <f t="shared" si="1931"/>
        <v>0</v>
      </c>
      <c r="HM85" s="6">
        <f t="shared" ref="HM85:HM92" si="2058">HL85+HM84</f>
        <v>4</v>
      </c>
      <c r="HN85" s="6">
        <f t="shared" si="1932"/>
        <v>0</v>
      </c>
      <c r="HO85" s="6">
        <f t="shared" ref="HO85:HO92" si="2059">HN85+HO84</f>
        <v>2</v>
      </c>
      <c r="HP85" s="6">
        <f t="shared" si="1933"/>
        <v>0</v>
      </c>
      <c r="HQ85" s="6">
        <f t="shared" ref="HQ85:HQ92" si="2060">HP85+HQ84</f>
        <v>3</v>
      </c>
      <c r="HR85" s="6">
        <f t="shared" si="1934"/>
        <v>0</v>
      </c>
      <c r="HS85" s="6">
        <f t="shared" ref="HS85:HS92" si="2061">HR85+HS84</f>
        <v>0</v>
      </c>
      <c r="HT85" s="6">
        <f t="shared" si="1935"/>
        <v>1</v>
      </c>
      <c r="HU85" s="6">
        <f t="shared" ref="HU85:HU92" si="2062">HT85+HU84</f>
        <v>13</v>
      </c>
      <c r="HV85" s="6">
        <f t="shared" si="1936"/>
        <v>0</v>
      </c>
      <c r="HW85" s="6">
        <f t="shared" ref="HW85:HW92" si="2063">HV85+HW84</f>
        <v>4</v>
      </c>
      <c r="HX85" s="6">
        <f t="shared" si="1937"/>
        <v>0</v>
      </c>
      <c r="HY85" s="6">
        <f t="shared" ref="HY85:HY92" si="2064">HX85+HY84</f>
        <v>13</v>
      </c>
      <c r="HZ85" s="6"/>
      <c r="IA85" s="6">
        <f t="shared" si="1938"/>
        <v>-1</v>
      </c>
      <c r="IB85" s="6"/>
      <c r="IC85" s="20">
        <f>HB85-'Zusammenfassung Tag1-4'!$I$2/18</f>
        <v>2</v>
      </c>
      <c r="ID85" s="22">
        <f t="shared" ref="ID85:ID92" si="2065">IC85+ID84</f>
        <v>277</v>
      </c>
      <c r="IE85" s="18">
        <v>6</v>
      </c>
      <c r="IF85" s="6">
        <f t="shared" ref="IF85:IF92" si="2066">IE85+IF84</f>
        <v>213</v>
      </c>
      <c r="IG85" s="19">
        <v>3</v>
      </c>
      <c r="IH85" s="6">
        <f t="shared" ref="IH85:IH92" si="2067">IG85+IH84</f>
        <v>76</v>
      </c>
      <c r="II85" s="6">
        <f t="shared" si="1939"/>
        <v>0</v>
      </c>
      <c r="IJ85" s="6">
        <f t="shared" ref="IJ85:IJ92" si="2068">II85+IJ84</f>
        <v>37</v>
      </c>
      <c r="IK85" s="6">
        <f t="shared" si="1940"/>
        <v>0</v>
      </c>
      <c r="IL85" s="6">
        <f t="shared" ref="IL85:IL92" si="2069">IK85+IL84</f>
        <v>0</v>
      </c>
      <c r="IM85" s="6">
        <f t="shared" si="1941"/>
        <v>0</v>
      </c>
      <c r="IN85" s="6">
        <f t="shared" ref="IN85:IN92" si="2070">IM85+IN84</f>
        <v>0</v>
      </c>
      <c r="IO85" s="6">
        <f t="shared" si="1942"/>
        <v>0</v>
      </c>
      <c r="IP85" s="6">
        <f t="shared" ref="IP85:IP92" si="2071">IO85+IP84</f>
        <v>0</v>
      </c>
      <c r="IQ85" s="6">
        <f t="shared" si="1943"/>
        <v>0</v>
      </c>
      <c r="IR85" s="6">
        <f t="shared" ref="IR85:IR92" si="2072">IQ85+IR84</f>
        <v>0</v>
      </c>
      <c r="IS85" s="6">
        <f t="shared" si="1944"/>
        <v>1</v>
      </c>
      <c r="IT85" s="6">
        <f t="shared" ref="IT85:IT92" si="2073">IS85+IT84</f>
        <v>11</v>
      </c>
      <c r="IU85" s="6">
        <f t="shared" si="1945"/>
        <v>0</v>
      </c>
      <c r="IV85" s="6">
        <f t="shared" ref="IV85:IV92" si="2074">IU85+IV84</f>
        <v>0</v>
      </c>
      <c r="IW85" s="6">
        <f t="shared" si="1946"/>
        <v>0</v>
      </c>
      <c r="IX85" s="6">
        <f t="shared" ref="IX85:IX92" si="2075">IW85+IX84</f>
        <v>1</v>
      </c>
      <c r="IY85" s="6">
        <f t="shared" si="1947"/>
        <v>0</v>
      </c>
      <c r="IZ85" s="6">
        <f t="shared" ref="IZ85:IZ92" si="2076">IY85+IZ84</f>
        <v>6</v>
      </c>
      <c r="JA85" s="6">
        <f t="shared" si="1948"/>
        <v>1</v>
      </c>
      <c r="JB85" s="6">
        <f t="shared" ref="JB85:JB92" si="2077">JA85+JB84</f>
        <v>15</v>
      </c>
      <c r="JC85" s="6"/>
      <c r="JD85" s="6">
        <f t="shared" si="1949"/>
        <v>2</v>
      </c>
      <c r="JE85" s="6"/>
      <c r="JF85" s="20">
        <f>IE85-'Zusammenfassung Tag1-4'!$J$2/18</f>
        <v>3</v>
      </c>
      <c r="JG85" s="22">
        <f t="shared" ref="JG85:JG92" si="2078">JF85+JG84</f>
        <v>18</v>
      </c>
      <c r="JH85" s="18">
        <v>4</v>
      </c>
      <c r="JI85" s="6">
        <f t="shared" ref="JI85:JI92" si="2079">JH85+JI84</f>
        <v>136</v>
      </c>
      <c r="JJ85" s="19">
        <v>2</v>
      </c>
      <c r="JK85" s="6">
        <f t="shared" ref="JK85:JK92" si="2080">JJ85+JK84</f>
        <v>56</v>
      </c>
      <c r="JL85" s="6">
        <f t="shared" si="1950"/>
        <v>1</v>
      </c>
      <c r="JM85" s="6">
        <f t="shared" ref="JM85:JM92" si="2081">JL85+JM84</f>
        <v>51</v>
      </c>
      <c r="JN85" s="6">
        <f t="shared" si="1951"/>
        <v>0</v>
      </c>
      <c r="JO85" s="6">
        <f t="shared" ref="JO85:JO92" si="2082">JN85+JO84</f>
        <v>1</v>
      </c>
      <c r="JP85" s="6">
        <f t="shared" si="1952"/>
        <v>0</v>
      </c>
      <c r="JQ85" s="6">
        <f t="shared" ref="JQ85:JQ92" si="2083">JP85+JQ84</f>
        <v>0</v>
      </c>
      <c r="JR85" s="6">
        <f t="shared" si="1953"/>
        <v>1</v>
      </c>
      <c r="JS85" s="6">
        <f t="shared" ref="JS85:JS92" si="2084">JR85+JS84</f>
        <v>6</v>
      </c>
      <c r="JT85" s="6">
        <f t="shared" si="1954"/>
        <v>0</v>
      </c>
      <c r="JU85" s="6">
        <f t="shared" ref="JU85:JU92" si="2085">JT85+JU84</f>
        <v>3</v>
      </c>
      <c r="JV85" s="6">
        <f t="shared" si="1955"/>
        <v>0</v>
      </c>
      <c r="JW85" s="6">
        <f t="shared" ref="JW85:JW92" si="2086">JV85+JW84</f>
        <v>2</v>
      </c>
      <c r="JX85" s="6">
        <f t="shared" si="1956"/>
        <v>0</v>
      </c>
      <c r="JY85" s="6">
        <f t="shared" ref="JY85:JY92" si="2087">JX85+JY84</f>
        <v>0</v>
      </c>
      <c r="JZ85" s="6">
        <f t="shared" si="1957"/>
        <v>0</v>
      </c>
      <c r="KA85" s="6">
        <f t="shared" ref="KA85:KA92" si="2088">JZ85+KA84</f>
        <v>4</v>
      </c>
      <c r="KB85" s="6">
        <f t="shared" si="1958"/>
        <v>1</v>
      </c>
      <c r="KC85" s="6">
        <f t="shared" ref="KC85:KC92" si="2089">KB85+KC84</f>
        <v>9</v>
      </c>
      <c r="KD85" s="6">
        <f t="shared" si="1959"/>
        <v>0</v>
      </c>
      <c r="KE85" s="6">
        <f t="shared" ref="KE85:KE92" si="2090">KD85+KE84</f>
        <v>2</v>
      </c>
      <c r="KF85" s="6"/>
      <c r="KG85" s="6">
        <f t="shared" si="1960"/>
        <v>0</v>
      </c>
      <c r="KH85" s="6"/>
      <c r="KI85" s="20">
        <f>JH85-'Zusammenfassung Tag1-4'!$K$2/18</f>
        <v>3.2222222222222223</v>
      </c>
      <c r="KJ85" s="22">
        <f t="shared" ref="KJ85:KJ92" si="2091">KI85+KJ84</f>
        <v>85.444444444444443</v>
      </c>
      <c r="KK85" s="10"/>
      <c r="KL85" s="10"/>
      <c r="KM85" s="10"/>
      <c r="KN85" s="10"/>
      <c r="KO85" s="10"/>
      <c r="KP85" s="10"/>
      <c r="KQ85" s="10"/>
      <c r="KR85" s="10"/>
      <c r="KS85" s="10"/>
      <c r="KT85" s="10"/>
      <c r="KU85" s="10"/>
      <c r="KV85" s="10"/>
      <c r="KW85" s="10"/>
      <c r="KX85" s="10"/>
      <c r="KY85" s="10"/>
      <c r="KZ85" s="10"/>
      <c r="LA85" s="10"/>
      <c r="LB85" s="10"/>
      <c r="LC85" s="10"/>
      <c r="LD85" s="10"/>
    </row>
    <row r="86" spans="1:316" ht="15.75" customHeight="1" x14ac:dyDescent="0.25">
      <c r="A86" s="106"/>
      <c r="B86" s="103"/>
      <c r="C86" s="6">
        <v>12</v>
      </c>
      <c r="D86" s="6">
        <f t="shared" si="1961"/>
        <v>66</v>
      </c>
      <c r="E86" s="6">
        <v>4</v>
      </c>
      <c r="F86" s="7">
        <f t="shared" si="1962"/>
        <v>264</v>
      </c>
      <c r="G86" s="18"/>
      <c r="H86" s="6"/>
      <c r="I86" s="19"/>
      <c r="J86" s="6">
        <f t="shared" si="1963"/>
        <v>71</v>
      </c>
      <c r="K86" s="6">
        <f t="shared" si="1851"/>
        <v>1</v>
      </c>
      <c r="L86" s="6">
        <f t="shared" si="1964"/>
        <v>45</v>
      </c>
      <c r="M86" s="6">
        <f t="shared" si="1852"/>
        <v>0</v>
      </c>
      <c r="N86" s="6">
        <f t="shared" si="1965"/>
        <v>3</v>
      </c>
      <c r="O86" s="6">
        <f t="shared" si="1853"/>
        <v>0</v>
      </c>
      <c r="P86" s="6">
        <f t="shared" si="1966"/>
        <v>1</v>
      </c>
      <c r="Q86" s="6">
        <f t="shared" si="1854"/>
        <v>0</v>
      </c>
      <c r="R86" s="6">
        <f t="shared" si="1967"/>
        <v>0</v>
      </c>
      <c r="S86" s="6">
        <f t="shared" si="1855"/>
        <v>0</v>
      </c>
      <c r="T86" s="6">
        <f t="shared" si="1968"/>
        <v>0</v>
      </c>
      <c r="U86" s="6">
        <f t="shared" si="1856"/>
        <v>0</v>
      </c>
      <c r="V86" s="6">
        <f t="shared" si="1969"/>
        <v>0</v>
      </c>
      <c r="W86" s="6">
        <f t="shared" si="1857"/>
        <v>1</v>
      </c>
      <c r="X86" s="6">
        <f t="shared" si="1970"/>
        <v>12</v>
      </c>
      <c r="Y86" s="6">
        <f t="shared" si="1858"/>
        <v>0</v>
      </c>
      <c r="Z86" s="6">
        <f t="shared" si="1971"/>
        <v>7</v>
      </c>
      <c r="AA86" s="6">
        <f t="shared" si="1859"/>
        <v>0</v>
      </c>
      <c r="AB86" s="6">
        <f t="shared" si="1972"/>
        <v>0</v>
      </c>
      <c r="AC86" s="6">
        <f t="shared" si="1860"/>
        <v>0</v>
      </c>
      <c r="AD86" s="6">
        <f t="shared" si="1973"/>
        <v>5</v>
      </c>
      <c r="AE86" s="6"/>
      <c r="AF86" s="6">
        <f t="shared" si="1861"/>
        <v>-4</v>
      </c>
      <c r="AG86" s="6"/>
      <c r="AH86" s="20">
        <f>G86-'Zusammenfassung Tag1-4'!$B$2/18</f>
        <v>-1.1111111111111112</v>
      </c>
      <c r="AI86" s="21">
        <f t="shared" si="1974"/>
        <v>103.66666666666649</v>
      </c>
      <c r="AJ86" s="18">
        <v>4</v>
      </c>
      <c r="AK86" s="6">
        <f t="shared" si="1975"/>
        <v>297</v>
      </c>
      <c r="AL86" s="19">
        <v>1</v>
      </c>
      <c r="AM86" s="6">
        <f t="shared" si="1976"/>
        <v>115</v>
      </c>
      <c r="AN86" s="6">
        <f t="shared" si="1862"/>
        <v>0</v>
      </c>
      <c r="AO86" s="6">
        <f t="shared" si="1977"/>
        <v>34</v>
      </c>
      <c r="AP86" s="6">
        <f t="shared" si="1863"/>
        <v>1</v>
      </c>
      <c r="AQ86" s="6">
        <f t="shared" si="1978"/>
        <v>12</v>
      </c>
      <c r="AR86" s="6">
        <f t="shared" si="1864"/>
        <v>0</v>
      </c>
      <c r="AS86" s="6">
        <f t="shared" si="1979"/>
        <v>5</v>
      </c>
      <c r="AT86" s="6">
        <f t="shared" si="1865"/>
        <v>1</v>
      </c>
      <c r="AU86" s="6">
        <f t="shared" si="1980"/>
        <v>9</v>
      </c>
      <c r="AV86" s="6">
        <f t="shared" si="1866"/>
        <v>0</v>
      </c>
      <c r="AW86" s="6">
        <f t="shared" si="1981"/>
        <v>2</v>
      </c>
      <c r="AX86" s="6">
        <f t="shared" si="1867"/>
        <v>0</v>
      </c>
      <c r="AY86" s="6">
        <f t="shared" si="1982"/>
        <v>0</v>
      </c>
      <c r="AZ86" s="6">
        <f t="shared" si="1868"/>
        <v>0</v>
      </c>
      <c r="BA86" s="6">
        <f t="shared" si="1983"/>
        <v>0</v>
      </c>
      <c r="BB86" s="6">
        <f t="shared" si="1869"/>
        <v>1</v>
      </c>
      <c r="BC86" s="6">
        <f t="shared" si="1984"/>
        <v>23</v>
      </c>
      <c r="BD86" s="6">
        <f t="shared" si="1870"/>
        <v>0</v>
      </c>
      <c r="BE86" s="6">
        <f t="shared" si="1985"/>
        <v>6</v>
      </c>
      <c r="BF86" s="6">
        <f t="shared" si="1871"/>
        <v>0</v>
      </c>
      <c r="BG86" s="6">
        <f t="shared" si="1986"/>
        <v>6</v>
      </c>
      <c r="BH86" s="6"/>
      <c r="BI86" s="6">
        <f t="shared" si="1872"/>
        <v>0</v>
      </c>
      <c r="BJ86" s="6"/>
      <c r="BK86" s="20">
        <f>AJ86-'Zusammenfassung Tag1-4'!$C$2/18</f>
        <v>3.3333333333333335</v>
      </c>
      <c r="BL86" s="21">
        <f t="shared" si="1987"/>
        <v>253.00000000000026</v>
      </c>
      <c r="BM86" s="18">
        <v>4</v>
      </c>
      <c r="BN86" s="6">
        <f t="shared" si="1988"/>
        <v>369</v>
      </c>
      <c r="BO86" s="19">
        <v>1</v>
      </c>
      <c r="BP86" s="6">
        <f t="shared" si="1989"/>
        <v>136</v>
      </c>
      <c r="BQ86" s="6">
        <f t="shared" si="1873"/>
        <v>0</v>
      </c>
      <c r="BR86" s="6">
        <f t="shared" si="1990"/>
        <v>9</v>
      </c>
      <c r="BS86" s="6">
        <f t="shared" si="1874"/>
        <v>1</v>
      </c>
      <c r="BT86" s="6">
        <f t="shared" si="1991"/>
        <v>6</v>
      </c>
      <c r="BU86" s="6">
        <f t="shared" si="1875"/>
        <v>0</v>
      </c>
      <c r="BV86" s="6">
        <f t="shared" si="1992"/>
        <v>0</v>
      </c>
      <c r="BW86" s="6">
        <f t="shared" si="1876"/>
        <v>1</v>
      </c>
      <c r="BX86" s="6">
        <f t="shared" si="1993"/>
        <v>3</v>
      </c>
      <c r="BY86" s="6">
        <f t="shared" si="1877"/>
        <v>0</v>
      </c>
      <c r="BZ86" s="6">
        <f t="shared" si="1994"/>
        <v>5</v>
      </c>
      <c r="CA86" s="6">
        <f t="shared" si="1878"/>
        <v>0</v>
      </c>
      <c r="CB86" s="6">
        <f t="shared" si="1995"/>
        <v>4</v>
      </c>
      <c r="CC86" s="6">
        <f t="shared" si="1879"/>
        <v>0</v>
      </c>
      <c r="CD86" s="6">
        <f t="shared" si="1996"/>
        <v>0</v>
      </c>
      <c r="CE86" s="6">
        <f t="shared" si="1880"/>
        <v>1</v>
      </c>
      <c r="CF86" s="6">
        <f t="shared" si="1997"/>
        <v>12</v>
      </c>
      <c r="CG86" s="6">
        <f t="shared" si="1881"/>
        <v>0</v>
      </c>
      <c r="CH86" s="6">
        <f t="shared" si="1998"/>
        <v>7</v>
      </c>
      <c r="CI86" s="6">
        <f t="shared" si="1882"/>
        <v>0</v>
      </c>
      <c r="CJ86" s="6">
        <f t="shared" si="1999"/>
        <v>16</v>
      </c>
      <c r="CK86" s="6"/>
      <c r="CL86" s="6">
        <f t="shared" si="1883"/>
        <v>0</v>
      </c>
      <c r="CM86" s="6"/>
      <c r="CN86" s="20">
        <f>BM86-'Zusammenfassung Tag1-4'!$D$2/18</f>
        <v>2.666666666666667</v>
      </c>
      <c r="CO86" s="21">
        <f t="shared" si="2000"/>
        <v>280.99999999999989</v>
      </c>
      <c r="CP86" s="18">
        <v>5</v>
      </c>
      <c r="CQ86" s="6">
        <f t="shared" si="2001"/>
        <v>340</v>
      </c>
      <c r="CR86" s="19">
        <v>2</v>
      </c>
      <c r="CS86" s="6">
        <f t="shared" si="2002"/>
        <v>130</v>
      </c>
      <c r="CT86" s="6">
        <f t="shared" si="1884"/>
        <v>0</v>
      </c>
      <c r="CU86" s="6">
        <f t="shared" si="2003"/>
        <v>14</v>
      </c>
      <c r="CV86" s="6">
        <f t="shared" si="1885"/>
        <v>0</v>
      </c>
      <c r="CW86" s="6">
        <f t="shared" si="2004"/>
        <v>8</v>
      </c>
      <c r="CX86" s="6">
        <f t="shared" si="1886"/>
        <v>0</v>
      </c>
      <c r="CY86" s="6">
        <f t="shared" si="2005"/>
        <v>1</v>
      </c>
      <c r="CZ86" s="6">
        <f t="shared" si="1887"/>
        <v>0</v>
      </c>
      <c r="DA86" s="6">
        <f t="shared" si="2006"/>
        <v>5</v>
      </c>
      <c r="DB86" s="6">
        <f t="shared" si="1888"/>
        <v>1</v>
      </c>
      <c r="DC86" s="6">
        <f t="shared" si="2007"/>
        <v>5</v>
      </c>
      <c r="DD86" s="6">
        <f t="shared" si="1889"/>
        <v>0</v>
      </c>
      <c r="DE86" s="6">
        <f t="shared" si="2008"/>
        <v>1</v>
      </c>
      <c r="DF86" s="6">
        <f t="shared" si="1890"/>
        <v>0</v>
      </c>
      <c r="DG86" s="6">
        <f t="shared" si="2009"/>
        <v>0</v>
      </c>
      <c r="DH86" s="6">
        <f t="shared" si="1891"/>
        <v>0</v>
      </c>
      <c r="DI86" s="6">
        <f t="shared" si="2010"/>
        <v>15</v>
      </c>
      <c r="DJ86" s="6">
        <f t="shared" si="1892"/>
        <v>1</v>
      </c>
      <c r="DK86" s="6">
        <f t="shared" si="2011"/>
        <v>8</v>
      </c>
      <c r="DL86" s="6">
        <f t="shared" si="1893"/>
        <v>0</v>
      </c>
      <c r="DM86" s="6">
        <f t="shared" si="2012"/>
        <v>13</v>
      </c>
      <c r="DN86" s="6"/>
      <c r="DO86" s="6">
        <f t="shared" si="1894"/>
        <v>1</v>
      </c>
      <c r="DP86" s="6"/>
      <c r="DQ86" s="20">
        <f>CP86-'Zusammenfassung Tag1-4'!$E$2/18</f>
        <v>3.7222222222222223</v>
      </c>
      <c r="DR86" s="22">
        <f t="shared" si="2013"/>
        <v>255.66666666666697</v>
      </c>
      <c r="DS86" s="18">
        <v>6</v>
      </c>
      <c r="DT86" s="6">
        <f t="shared" si="2014"/>
        <v>497</v>
      </c>
      <c r="DU86" s="19">
        <v>2</v>
      </c>
      <c r="DV86" s="6">
        <f t="shared" si="2015"/>
        <v>149</v>
      </c>
      <c r="DW86" s="6">
        <f t="shared" si="1895"/>
        <v>0</v>
      </c>
      <c r="DX86" s="6">
        <f t="shared" si="2016"/>
        <v>1</v>
      </c>
      <c r="DY86" s="6">
        <f t="shared" si="1896"/>
        <v>0</v>
      </c>
      <c r="DZ86" s="6">
        <f t="shared" si="2017"/>
        <v>0</v>
      </c>
      <c r="EA86" s="6">
        <f t="shared" si="1897"/>
        <v>0</v>
      </c>
      <c r="EB86" s="6">
        <f t="shared" si="2018"/>
        <v>0</v>
      </c>
      <c r="EC86" s="6">
        <f t="shared" si="1898"/>
        <v>0</v>
      </c>
      <c r="ED86" s="6">
        <f t="shared" si="2019"/>
        <v>0</v>
      </c>
      <c r="EE86" s="6">
        <f t="shared" si="1899"/>
        <v>0</v>
      </c>
      <c r="EF86" s="6">
        <f t="shared" si="2020"/>
        <v>1</v>
      </c>
      <c r="EG86" s="6">
        <f t="shared" si="1900"/>
        <v>1</v>
      </c>
      <c r="EH86" s="6">
        <f t="shared" si="2021"/>
        <v>11</v>
      </c>
      <c r="EI86" s="6">
        <f t="shared" si="1901"/>
        <v>0</v>
      </c>
      <c r="EJ86" s="6">
        <f t="shared" si="2022"/>
        <v>0</v>
      </c>
      <c r="EK86" s="6">
        <f t="shared" si="1902"/>
        <v>0</v>
      </c>
      <c r="EL86" s="6">
        <f t="shared" si="2023"/>
        <v>2</v>
      </c>
      <c r="EM86" s="6">
        <f t="shared" si="1903"/>
        <v>1</v>
      </c>
      <c r="EN86" s="6">
        <f t="shared" si="2024"/>
        <v>8</v>
      </c>
      <c r="EO86" s="6">
        <f t="shared" si="1904"/>
        <v>0</v>
      </c>
      <c r="EP86" s="6">
        <f t="shared" si="2025"/>
        <v>17</v>
      </c>
      <c r="EQ86" s="6"/>
      <c r="ER86" s="6">
        <f t="shared" si="1905"/>
        <v>2</v>
      </c>
      <c r="ES86" s="6"/>
      <c r="ET86" s="20">
        <f>DS86-'Zusammenfassung Tag1-4'!$F$2/18</f>
        <v>3</v>
      </c>
      <c r="EU86" s="22">
        <f t="shared" si="2026"/>
        <v>299</v>
      </c>
      <c r="EV86" s="18">
        <v>6</v>
      </c>
      <c r="EW86" s="6">
        <f t="shared" si="2027"/>
        <v>372</v>
      </c>
      <c r="EX86" s="19">
        <v>2</v>
      </c>
      <c r="EY86" s="6">
        <f t="shared" si="2028"/>
        <v>136</v>
      </c>
      <c r="EZ86" s="6">
        <f t="shared" si="1906"/>
        <v>0</v>
      </c>
      <c r="FA86" s="6">
        <f t="shared" si="2029"/>
        <v>11</v>
      </c>
      <c r="FB86" s="6">
        <f t="shared" si="1907"/>
        <v>0</v>
      </c>
      <c r="FC86" s="6">
        <f t="shared" si="2030"/>
        <v>1</v>
      </c>
      <c r="FD86" s="6">
        <f t="shared" si="1908"/>
        <v>0</v>
      </c>
      <c r="FE86" s="6">
        <f t="shared" si="2031"/>
        <v>0</v>
      </c>
      <c r="FF86" s="6">
        <f t="shared" si="1909"/>
        <v>0</v>
      </c>
      <c r="FG86" s="6">
        <f t="shared" si="2032"/>
        <v>1</v>
      </c>
      <c r="FH86" s="6">
        <f t="shared" si="1910"/>
        <v>0</v>
      </c>
      <c r="FI86" s="6">
        <f t="shared" si="2033"/>
        <v>5</v>
      </c>
      <c r="FJ86" s="6">
        <f t="shared" si="1911"/>
        <v>1</v>
      </c>
      <c r="FK86" s="6">
        <f t="shared" si="2034"/>
        <v>6</v>
      </c>
      <c r="FL86" s="6">
        <f t="shared" si="1912"/>
        <v>0</v>
      </c>
      <c r="FM86" s="6">
        <f t="shared" si="2035"/>
        <v>0</v>
      </c>
      <c r="FN86" s="6">
        <f t="shared" si="1913"/>
        <v>0</v>
      </c>
      <c r="FO86" s="6">
        <f t="shared" si="2036"/>
        <v>8</v>
      </c>
      <c r="FP86" s="6">
        <f t="shared" si="1914"/>
        <v>1</v>
      </c>
      <c r="FQ86" s="6">
        <f t="shared" si="2037"/>
        <v>11</v>
      </c>
      <c r="FR86" s="6">
        <f t="shared" si="1915"/>
        <v>0</v>
      </c>
      <c r="FS86" s="6">
        <f t="shared" si="2038"/>
        <v>12</v>
      </c>
      <c r="FT86" s="6"/>
      <c r="FU86" s="6">
        <f t="shared" si="1916"/>
        <v>2</v>
      </c>
      <c r="FV86" s="6"/>
      <c r="FW86" s="20">
        <f>EV86-'Zusammenfassung Tag1-4'!$G$2/18</f>
        <v>4.5</v>
      </c>
      <c r="FX86" s="22">
        <f t="shared" si="2039"/>
        <v>273</v>
      </c>
      <c r="FY86" s="18">
        <v>8</v>
      </c>
      <c r="FZ86" s="6">
        <f t="shared" si="2040"/>
        <v>474</v>
      </c>
      <c r="GA86" s="19">
        <v>3</v>
      </c>
      <c r="GB86" s="6">
        <f t="shared" si="2041"/>
        <v>151</v>
      </c>
      <c r="GC86" s="6">
        <f t="shared" si="1917"/>
        <v>0</v>
      </c>
      <c r="GD86" s="6">
        <f t="shared" si="2042"/>
        <v>2</v>
      </c>
      <c r="GE86" s="6">
        <f t="shared" si="1918"/>
        <v>0</v>
      </c>
      <c r="GF86" s="6">
        <f t="shared" si="2043"/>
        <v>0</v>
      </c>
      <c r="GG86" s="6">
        <f t="shared" si="1919"/>
        <v>0</v>
      </c>
      <c r="GH86" s="6">
        <f t="shared" si="2044"/>
        <v>0</v>
      </c>
      <c r="GI86" s="6">
        <f t="shared" si="1920"/>
        <v>0</v>
      </c>
      <c r="GJ86" s="6">
        <f t="shared" si="2045"/>
        <v>0</v>
      </c>
      <c r="GK86" s="6">
        <f t="shared" si="1921"/>
        <v>0</v>
      </c>
      <c r="GL86" s="6">
        <f t="shared" si="2046"/>
        <v>2</v>
      </c>
      <c r="GM86" s="6">
        <f t="shared" si="1922"/>
        <v>1</v>
      </c>
      <c r="GN86" s="6">
        <f t="shared" si="2047"/>
        <v>10</v>
      </c>
      <c r="GO86" s="6">
        <f t="shared" si="1923"/>
        <v>0</v>
      </c>
      <c r="GP86" s="6">
        <f t="shared" si="2048"/>
        <v>0</v>
      </c>
      <c r="GQ86" s="6">
        <f t="shared" si="1924"/>
        <v>0</v>
      </c>
      <c r="GR86" s="6">
        <f t="shared" si="2049"/>
        <v>4</v>
      </c>
      <c r="GS86" s="6">
        <f t="shared" si="1925"/>
        <v>0</v>
      </c>
      <c r="GT86" s="6">
        <f t="shared" si="2050"/>
        <v>9</v>
      </c>
      <c r="GU86" s="6">
        <f t="shared" si="1926"/>
        <v>1</v>
      </c>
      <c r="GV86" s="6">
        <f t="shared" si="2051"/>
        <v>23</v>
      </c>
      <c r="GW86" s="6"/>
      <c r="GX86" s="6">
        <f t="shared" si="1927"/>
        <v>4</v>
      </c>
      <c r="GY86" s="6"/>
      <c r="GZ86" s="20">
        <f>FY86-'Zusammenfassung Tag1-4'!$H$2/18</f>
        <v>5</v>
      </c>
      <c r="HA86" s="22">
        <f t="shared" si="2052"/>
        <v>276</v>
      </c>
      <c r="HB86" s="18">
        <v>4</v>
      </c>
      <c r="HC86" s="6">
        <f t="shared" si="2053"/>
        <v>346</v>
      </c>
      <c r="HD86" s="19">
        <v>1</v>
      </c>
      <c r="HE86" s="6">
        <f t="shared" si="2054"/>
        <v>131</v>
      </c>
      <c r="HF86" s="6">
        <f t="shared" si="1928"/>
        <v>0</v>
      </c>
      <c r="HG86" s="6">
        <f t="shared" si="2055"/>
        <v>22</v>
      </c>
      <c r="HH86" s="6">
        <f t="shared" si="1929"/>
        <v>1</v>
      </c>
      <c r="HI86" s="6">
        <f t="shared" si="2056"/>
        <v>7</v>
      </c>
      <c r="HJ86" s="6">
        <f t="shared" si="1930"/>
        <v>0</v>
      </c>
      <c r="HK86" s="6">
        <f t="shared" si="2057"/>
        <v>2</v>
      </c>
      <c r="HL86" s="6">
        <f t="shared" si="1931"/>
        <v>1</v>
      </c>
      <c r="HM86" s="6">
        <f t="shared" si="2058"/>
        <v>5</v>
      </c>
      <c r="HN86" s="6">
        <f t="shared" si="1932"/>
        <v>0</v>
      </c>
      <c r="HO86" s="6">
        <f t="shared" si="2059"/>
        <v>2</v>
      </c>
      <c r="HP86" s="6">
        <f t="shared" si="1933"/>
        <v>0</v>
      </c>
      <c r="HQ86" s="6">
        <f t="shared" si="2060"/>
        <v>3</v>
      </c>
      <c r="HR86" s="6">
        <f t="shared" si="1934"/>
        <v>0</v>
      </c>
      <c r="HS86" s="6">
        <f t="shared" si="2061"/>
        <v>0</v>
      </c>
      <c r="HT86" s="6">
        <f t="shared" si="1935"/>
        <v>1</v>
      </c>
      <c r="HU86" s="6">
        <f t="shared" si="2062"/>
        <v>14</v>
      </c>
      <c r="HV86" s="6">
        <f t="shared" si="1936"/>
        <v>0</v>
      </c>
      <c r="HW86" s="6">
        <f t="shared" si="2063"/>
        <v>4</v>
      </c>
      <c r="HX86" s="6">
        <f t="shared" si="1937"/>
        <v>0</v>
      </c>
      <c r="HY86" s="6">
        <f t="shared" si="2064"/>
        <v>13</v>
      </c>
      <c r="HZ86" s="6"/>
      <c r="IA86" s="6">
        <f t="shared" si="1938"/>
        <v>0</v>
      </c>
      <c r="IB86" s="6"/>
      <c r="IC86" s="20">
        <f>HB86-'Zusammenfassung Tag1-4'!$I$2/18</f>
        <v>3</v>
      </c>
      <c r="ID86" s="22">
        <f t="shared" si="2065"/>
        <v>280</v>
      </c>
      <c r="IE86" s="18">
        <v>10</v>
      </c>
      <c r="IF86" s="6">
        <f t="shared" si="2066"/>
        <v>223</v>
      </c>
      <c r="IG86" s="19">
        <v>3</v>
      </c>
      <c r="IH86" s="6">
        <f t="shared" si="2067"/>
        <v>79</v>
      </c>
      <c r="II86" s="6">
        <f t="shared" si="1939"/>
        <v>0</v>
      </c>
      <c r="IJ86" s="6">
        <f t="shared" si="2068"/>
        <v>37</v>
      </c>
      <c r="IK86" s="6">
        <f t="shared" si="1940"/>
        <v>0</v>
      </c>
      <c r="IL86" s="6">
        <f t="shared" si="2069"/>
        <v>0</v>
      </c>
      <c r="IM86" s="6">
        <f t="shared" si="1941"/>
        <v>0</v>
      </c>
      <c r="IN86" s="6">
        <f t="shared" si="2070"/>
        <v>0</v>
      </c>
      <c r="IO86" s="6">
        <f t="shared" si="1942"/>
        <v>0</v>
      </c>
      <c r="IP86" s="6">
        <f t="shared" si="2071"/>
        <v>0</v>
      </c>
      <c r="IQ86" s="6">
        <f t="shared" si="1943"/>
        <v>0</v>
      </c>
      <c r="IR86" s="6">
        <f t="shared" si="2072"/>
        <v>0</v>
      </c>
      <c r="IS86" s="6">
        <f t="shared" si="1944"/>
        <v>1</v>
      </c>
      <c r="IT86" s="6">
        <f t="shared" si="2073"/>
        <v>12</v>
      </c>
      <c r="IU86" s="6">
        <f t="shared" si="1945"/>
        <v>0</v>
      </c>
      <c r="IV86" s="6">
        <f t="shared" si="2074"/>
        <v>0</v>
      </c>
      <c r="IW86" s="6">
        <f t="shared" si="1946"/>
        <v>0</v>
      </c>
      <c r="IX86" s="6">
        <f t="shared" si="2075"/>
        <v>1</v>
      </c>
      <c r="IY86" s="6">
        <f t="shared" si="1947"/>
        <v>0</v>
      </c>
      <c r="IZ86" s="6">
        <f t="shared" si="2076"/>
        <v>6</v>
      </c>
      <c r="JA86" s="6">
        <f t="shared" si="1948"/>
        <v>1</v>
      </c>
      <c r="JB86" s="6">
        <f t="shared" si="2077"/>
        <v>16</v>
      </c>
      <c r="JC86" s="6"/>
      <c r="JD86" s="6">
        <f t="shared" si="1949"/>
        <v>6</v>
      </c>
      <c r="JE86" s="6"/>
      <c r="JF86" s="20">
        <f>IE86-'Zusammenfassung Tag1-4'!$J$2/18</f>
        <v>7</v>
      </c>
      <c r="JG86" s="22">
        <f t="shared" si="2078"/>
        <v>25</v>
      </c>
      <c r="JH86" s="18">
        <v>4</v>
      </c>
      <c r="JI86" s="6">
        <f t="shared" si="2079"/>
        <v>140</v>
      </c>
      <c r="JJ86" s="19">
        <v>2</v>
      </c>
      <c r="JK86" s="6">
        <f t="shared" si="2080"/>
        <v>58</v>
      </c>
      <c r="JL86" s="6">
        <f t="shared" si="1950"/>
        <v>1</v>
      </c>
      <c r="JM86" s="6">
        <f t="shared" si="2081"/>
        <v>52</v>
      </c>
      <c r="JN86" s="6">
        <f t="shared" si="1951"/>
        <v>0</v>
      </c>
      <c r="JO86" s="6">
        <f t="shared" si="2082"/>
        <v>1</v>
      </c>
      <c r="JP86" s="6">
        <f t="shared" si="1952"/>
        <v>0</v>
      </c>
      <c r="JQ86" s="6">
        <f t="shared" si="2083"/>
        <v>0</v>
      </c>
      <c r="JR86" s="6">
        <f t="shared" si="1953"/>
        <v>1</v>
      </c>
      <c r="JS86" s="6">
        <f t="shared" si="2084"/>
        <v>7</v>
      </c>
      <c r="JT86" s="6">
        <f t="shared" si="1954"/>
        <v>0</v>
      </c>
      <c r="JU86" s="6">
        <f t="shared" si="2085"/>
        <v>3</v>
      </c>
      <c r="JV86" s="6">
        <f t="shared" si="1955"/>
        <v>0</v>
      </c>
      <c r="JW86" s="6">
        <f t="shared" si="2086"/>
        <v>2</v>
      </c>
      <c r="JX86" s="6">
        <f t="shared" si="1956"/>
        <v>0</v>
      </c>
      <c r="JY86" s="6">
        <f t="shared" si="2087"/>
        <v>0</v>
      </c>
      <c r="JZ86" s="6">
        <f t="shared" si="1957"/>
        <v>0</v>
      </c>
      <c r="KA86" s="6">
        <f t="shared" si="2088"/>
        <v>4</v>
      </c>
      <c r="KB86" s="6">
        <f t="shared" si="1958"/>
        <v>1</v>
      </c>
      <c r="KC86" s="6">
        <f t="shared" si="2089"/>
        <v>10</v>
      </c>
      <c r="KD86" s="6">
        <f t="shared" si="1959"/>
        <v>0</v>
      </c>
      <c r="KE86" s="6">
        <f t="shared" si="2090"/>
        <v>2</v>
      </c>
      <c r="KF86" s="6"/>
      <c r="KG86" s="6">
        <f t="shared" si="1960"/>
        <v>0</v>
      </c>
      <c r="KH86" s="6"/>
      <c r="KI86" s="20">
        <f>JH86-'Zusammenfassung Tag1-4'!$K$2/18</f>
        <v>3.2222222222222223</v>
      </c>
      <c r="KJ86" s="22">
        <f t="shared" si="2091"/>
        <v>88.666666666666671</v>
      </c>
      <c r="KK86" s="10"/>
      <c r="KL86" s="10"/>
      <c r="KM86" s="10"/>
      <c r="KN86" s="10"/>
      <c r="KO86" s="10"/>
      <c r="KP86" s="10"/>
      <c r="KQ86" s="10"/>
      <c r="KR86" s="10"/>
      <c r="KS86" s="10"/>
      <c r="KT86" s="10"/>
      <c r="KU86" s="10"/>
      <c r="KV86" s="10"/>
      <c r="KW86" s="10"/>
      <c r="KX86" s="10"/>
      <c r="KY86" s="10"/>
      <c r="KZ86" s="10"/>
      <c r="LA86" s="10"/>
      <c r="LB86" s="10"/>
      <c r="LC86" s="10"/>
      <c r="LD86" s="10"/>
    </row>
    <row r="87" spans="1:316" ht="15.75" customHeight="1" x14ac:dyDescent="0.25">
      <c r="A87" s="106"/>
      <c r="B87" s="103"/>
      <c r="C87" s="6">
        <v>13</v>
      </c>
      <c r="D87" s="6">
        <f t="shared" si="1961"/>
        <v>67</v>
      </c>
      <c r="E87" s="6">
        <v>5</v>
      </c>
      <c r="F87" s="7">
        <f t="shared" si="1962"/>
        <v>269</v>
      </c>
      <c r="G87" s="18"/>
      <c r="H87" s="6"/>
      <c r="I87" s="19"/>
      <c r="J87" s="6">
        <f t="shared" si="1963"/>
        <v>71</v>
      </c>
      <c r="K87" s="6">
        <f t="shared" si="1851"/>
        <v>1</v>
      </c>
      <c r="L87" s="6">
        <f t="shared" si="1964"/>
        <v>46</v>
      </c>
      <c r="M87" s="6">
        <f t="shared" si="1852"/>
        <v>0</v>
      </c>
      <c r="N87" s="6">
        <f t="shared" si="1965"/>
        <v>3</v>
      </c>
      <c r="O87" s="6">
        <f t="shared" si="1853"/>
        <v>0</v>
      </c>
      <c r="P87" s="6">
        <f t="shared" si="1966"/>
        <v>1</v>
      </c>
      <c r="Q87" s="6">
        <f t="shared" si="1854"/>
        <v>0</v>
      </c>
      <c r="R87" s="6">
        <f t="shared" si="1967"/>
        <v>0</v>
      </c>
      <c r="S87" s="6">
        <f t="shared" si="1855"/>
        <v>0</v>
      </c>
      <c r="T87" s="6">
        <f t="shared" si="1968"/>
        <v>0</v>
      </c>
      <c r="U87" s="6">
        <f t="shared" si="1856"/>
        <v>0</v>
      </c>
      <c r="V87" s="6">
        <f t="shared" si="1969"/>
        <v>0</v>
      </c>
      <c r="W87" s="6">
        <f t="shared" si="1857"/>
        <v>1</v>
      </c>
      <c r="X87" s="6">
        <f t="shared" si="1970"/>
        <v>13</v>
      </c>
      <c r="Y87" s="6">
        <f t="shared" si="1858"/>
        <v>0</v>
      </c>
      <c r="Z87" s="6">
        <f t="shared" si="1971"/>
        <v>7</v>
      </c>
      <c r="AA87" s="6">
        <f t="shared" si="1859"/>
        <v>0</v>
      </c>
      <c r="AB87" s="6">
        <f t="shared" si="1972"/>
        <v>0</v>
      </c>
      <c r="AC87" s="6">
        <f t="shared" si="1860"/>
        <v>0</v>
      </c>
      <c r="AD87" s="6">
        <f t="shared" si="1973"/>
        <v>5</v>
      </c>
      <c r="AE87" s="6"/>
      <c r="AF87" s="6"/>
      <c r="AG87" s="6">
        <f>IF($E87=5,G87-5,NA())</f>
        <v>-5</v>
      </c>
      <c r="AH87" s="20">
        <f>G87-'Zusammenfassung Tag1-4'!$B$2/18</f>
        <v>-1.1111111111111112</v>
      </c>
      <c r="AI87" s="21">
        <f t="shared" si="1974"/>
        <v>102.55555555555537</v>
      </c>
      <c r="AJ87" s="18">
        <v>5</v>
      </c>
      <c r="AK87" s="6">
        <f t="shared" si="1975"/>
        <v>302</v>
      </c>
      <c r="AL87" s="19">
        <v>2</v>
      </c>
      <c r="AM87" s="6">
        <f t="shared" si="1976"/>
        <v>117</v>
      </c>
      <c r="AN87" s="6">
        <f t="shared" si="1862"/>
        <v>1</v>
      </c>
      <c r="AO87" s="6">
        <f t="shared" si="1977"/>
        <v>35</v>
      </c>
      <c r="AP87" s="6">
        <f t="shared" si="1863"/>
        <v>0</v>
      </c>
      <c r="AQ87" s="6">
        <f t="shared" si="1978"/>
        <v>12</v>
      </c>
      <c r="AR87" s="6">
        <f t="shared" si="1864"/>
        <v>0</v>
      </c>
      <c r="AS87" s="6">
        <f t="shared" si="1979"/>
        <v>5</v>
      </c>
      <c r="AT87" s="6">
        <f t="shared" si="1865"/>
        <v>1</v>
      </c>
      <c r="AU87" s="6">
        <f t="shared" si="1980"/>
        <v>10</v>
      </c>
      <c r="AV87" s="6">
        <f t="shared" si="1866"/>
        <v>0</v>
      </c>
      <c r="AW87" s="6">
        <f t="shared" si="1981"/>
        <v>2</v>
      </c>
      <c r="AX87" s="6">
        <f t="shared" si="1867"/>
        <v>0</v>
      </c>
      <c r="AY87" s="6">
        <f t="shared" si="1982"/>
        <v>0</v>
      </c>
      <c r="AZ87" s="6">
        <f t="shared" si="1868"/>
        <v>0</v>
      </c>
      <c r="BA87" s="6">
        <f t="shared" si="1983"/>
        <v>0</v>
      </c>
      <c r="BB87" s="6">
        <f t="shared" si="1869"/>
        <v>0</v>
      </c>
      <c r="BC87" s="6">
        <f t="shared" si="1984"/>
        <v>23</v>
      </c>
      <c r="BD87" s="6">
        <f t="shared" si="1870"/>
        <v>1</v>
      </c>
      <c r="BE87" s="6">
        <f t="shared" si="1985"/>
        <v>7</v>
      </c>
      <c r="BF87" s="6">
        <f t="shared" si="1871"/>
        <v>0</v>
      </c>
      <c r="BG87" s="6">
        <f t="shared" si="1986"/>
        <v>6</v>
      </c>
      <c r="BH87" s="6"/>
      <c r="BI87" s="6"/>
      <c r="BJ87" s="6">
        <f>IF($E87=5,AJ87-5,NA())</f>
        <v>0</v>
      </c>
      <c r="BK87" s="20">
        <f>AJ87-'Zusammenfassung Tag1-4'!$C$2/18</f>
        <v>4.333333333333333</v>
      </c>
      <c r="BL87" s="21">
        <f t="shared" si="1987"/>
        <v>257.3333333333336</v>
      </c>
      <c r="BM87" s="18">
        <v>6</v>
      </c>
      <c r="BN87" s="6">
        <f t="shared" si="1988"/>
        <v>375</v>
      </c>
      <c r="BO87" s="19">
        <v>2</v>
      </c>
      <c r="BP87" s="6">
        <f t="shared" si="1989"/>
        <v>138</v>
      </c>
      <c r="BQ87" s="6">
        <f t="shared" si="1873"/>
        <v>0</v>
      </c>
      <c r="BR87" s="6">
        <f t="shared" si="1990"/>
        <v>9</v>
      </c>
      <c r="BS87" s="6">
        <f t="shared" si="1874"/>
        <v>0</v>
      </c>
      <c r="BT87" s="6">
        <f t="shared" si="1991"/>
        <v>6</v>
      </c>
      <c r="BU87" s="6">
        <f t="shared" si="1875"/>
        <v>0</v>
      </c>
      <c r="BV87" s="6">
        <f t="shared" si="1992"/>
        <v>0</v>
      </c>
      <c r="BW87" s="6">
        <f t="shared" si="1876"/>
        <v>0</v>
      </c>
      <c r="BX87" s="6">
        <f t="shared" si="1993"/>
        <v>3</v>
      </c>
      <c r="BY87" s="6">
        <f t="shared" si="1877"/>
        <v>1</v>
      </c>
      <c r="BZ87" s="6">
        <f t="shared" si="1994"/>
        <v>6</v>
      </c>
      <c r="CA87" s="6">
        <f t="shared" si="1878"/>
        <v>0</v>
      </c>
      <c r="CB87" s="6">
        <f t="shared" si="1995"/>
        <v>4</v>
      </c>
      <c r="CC87" s="6">
        <f t="shared" si="1879"/>
        <v>0</v>
      </c>
      <c r="CD87" s="6">
        <f t="shared" si="1996"/>
        <v>0</v>
      </c>
      <c r="CE87" s="6">
        <f t="shared" si="1880"/>
        <v>0</v>
      </c>
      <c r="CF87" s="6">
        <f t="shared" si="1997"/>
        <v>12</v>
      </c>
      <c r="CG87" s="6">
        <f t="shared" si="1881"/>
        <v>1</v>
      </c>
      <c r="CH87" s="6">
        <f t="shared" si="1998"/>
        <v>8</v>
      </c>
      <c r="CI87" s="6">
        <f t="shared" si="1882"/>
        <v>0</v>
      </c>
      <c r="CJ87" s="6">
        <f t="shared" si="1999"/>
        <v>16</v>
      </c>
      <c r="CK87" s="6"/>
      <c r="CL87" s="6"/>
      <c r="CM87" s="6">
        <f>IF($E87=5,BM87-5,NA())</f>
        <v>1</v>
      </c>
      <c r="CN87" s="20">
        <f>BM87-'Zusammenfassung Tag1-4'!$D$2/18</f>
        <v>4.666666666666667</v>
      </c>
      <c r="CO87" s="21">
        <f t="shared" si="2000"/>
        <v>285.66666666666657</v>
      </c>
      <c r="CP87" s="18">
        <v>5</v>
      </c>
      <c r="CQ87" s="6">
        <f t="shared" si="2001"/>
        <v>345</v>
      </c>
      <c r="CR87" s="19">
        <v>2</v>
      </c>
      <c r="CS87" s="6">
        <f t="shared" si="2002"/>
        <v>132</v>
      </c>
      <c r="CT87" s="6">
        <f t="shared" si="1884"/>
        <v>1</v>
      </c>
      <c r="CU87" s="6">
        <f t="shared" si="2003"/>
        <v>15</v>
      </c>
      <c r="CV87" s="6">
        <f t="shared" si="1885"/>
        <v>0</v>
      </c>
      <c r="CW87" s="6">
        <f t="shared" si="2004"/>
        <v>8</v>
      </c>
      <c r="CX87" s="6">
        <f t="shared" si="1886"/>
        <v>0</v>
      </c>
      <c r="CY87" s="6">
        <f t="shared" si="2005"/>
        <v>1</v>
      </c>
      <c r="CZ87" s="6">
        <f t="shared" si="1887"/>
        <v>1</v>
      </c>
      <c r="DA87" s="6">
        <f t="shared" si="2006"/>
        <v>6</v>
      </c>
      <c r="DB87" s="6">
        <f t="shared" si="1888"/>
        <v>0</v>
      </c>
      <c r="DC87" s="6">
        <f t="shared" si="2007"/>
        <v>5</v>
      </c>
      <c r="DD87" s="6">
        <f t="shared" si="1889"/>
        <v>0</v>
      </c>
      <c r="DE87" s="6">
        <f t="shared" si="2008"/>
        <v>1</v>
      </c>
      <c r="DF87" s="6">
        <f t="shared" si="1890"/>
        <v>0</v>
      </c>
      <c r="DG87" s="6">
        <f t="shared" si="2009"/>
        <v>0</v>
      </c>
      <c r="DH87" s="6">
        <f t="shared" si="1891"/>
        <v>0</v>
      </c>
      <c r="DI87" s="6">
        <f t="shared" si="2010"/>
        <v>15</v>
      </c>
      <c r="DJ87" s="6">
        <f t="shared" si="1892"/>
        <v>1</v>
      </c>
      <c r="DK87" s="6">
        <f t="shared" si="2011"/>
        <v>9</v>
      </c>
      <c r="DL87" s="6">
        <f t="shared" si="1893"/>
        <v>0</v>
      </c>
      <c r="DM87" s="6">
        <f t="shared" si="2012"/>
        <v>13</v>
      </c>
      <c r="DN87" s="6"/>
      <c r="DO87" s="6"/>
      <c r="DP87" s="6">
        <f>IF($E87=5,CP87-5,NA())</f>
        <v>0</v>
      </c>
      <c r="DQ87" s="20">
        <f>CP87-'Zusammenfassung Tag1-4'!$E$2/18</f>
        <v>3.7222222222222223</v>
      </c>
      <c r="DR87" s="22">
        <f t="shared" si="2013"/>
        <v>259.3888888888892</v>
      </c>
      <c r="DS87" s="18">
        <v>7</v>
      </c>
      <c r="DT87" s="6">
        <f t="shared" si="2014"/>
        <v>504</v>
      </c>
      <c r="DU87" s="19">
        <v>2</v>
      </c>
      <c r="DV87" s="6">
        <f t="shared" si="2015"/>
        <v>151</v>
      </c>
      <c r="DW87" s="6">
        <f t="shared" si="1895"/>
        <v>0</v>
      </c>
      <c r="DX87" s="6">
        <f t="shared" si="2016"/>
        <v>1</v>
      </c>
      <c r="DY87" s="6">
        <f t="shared" si="1896"/>
        <v>0</v>
      </c>
      <c r="DZ87" s="6">
        <f t="shared" si="2017"/>
        <v>0</v>
      </c>
      <c r="EA87" s="6">
        <f t="shared" si="1897"/>
        <v>0</v>
      </c>
      <c r="EB87" s="6">
        <f t="shared" si="2018"/>
        <v>0</v>
      </c>
      <c r="EC87" s="6">
        <f t="shared" si="1898"/>
        <v>0</v>
      </c>
      <c r="ED87" s="6">
        <f t="shared" si="2019"/>
        <v>0</v>
      </c>
      <c r="EE87" s="6">
        <f t="shared" si="1899"/>
        <v>0</v>
      </c>
      <c r="EF87" s="6">
        <f t="shared" si="2020"/>
        <v>1</v>
      </c>
      <c r="EG87" s="6">
        <f t="shared" si="1900"/>
        <v>1</v>
      </c>
      <c r="EH87" s="6">
        <f t="shared" si="2021"/>
        <v>12</v>
      </c>
      <c r="EI87" s="6">
        <f t="shared" si="1901"/>
        <v>0</v>
      </c>
      <c r="EJ87" s="6">
        <f t="shared" si="2022"/>
        <v>0</v>
      </c>
      <c r="EK87" s="6">
        <f t="shared" si="1902"/>
        <v>0</v>
      </c>
      <c r="EL87" s="6">
        <f t="shared" si="2023"/>
        <v>2</v>
      </c>
      <c r="EM87" s="6">
        <f t="shared" si="1903"/>
        <v>1</v>
      </c>
      <c r="EN87" s="6">
        <f t="shared" si="2024"/>
        <v>9</v>
      </c>
      <c r="EO87" s="6">
        <f t="shared" si="1904"/>
        <v>0</v>
      </c>
      <c r="EP87" s="6">
        <f t="shared" si="2025"/>
        <v>17</v>
      </c>
      <c r="EQ87" s="6"/>
      <c r="ER87" s="6"/>
      <c r="ES87" s="6">
        <f>IF($E87=5,DS87-5,NA())</f>
        <v>2</v>
      </c>
      <c r="ET87" s="20">
        <f>DS87-'Zusammenfassung Tag1-4'!$F$2/18</f>
        <v>4</v>
      </c>
      <c r="EU87" s="22">
        <f t="shared" si="2026"/>
        <v>303</v>
      </c>
      <c r="EV87" s="18">
        <v>5</v>
      </c>
      <c r="EW87" s="6">
        <f t="shared" si="2027"/>
        <v>377</v>
      </c>
      <c r="EX87" s="19">
        <v>2</v>
      </c>
      <c r="EY87" s="6">
        <f t="shared" si="2028"/>
        <v>138</v>
      </c>
      <c r="EZ87" s="6">
        <f t="shared" si="1906"/>
        <v>1</v>
      </c>
      <c r="FA87" s="6">
        <f t="shared" si="2029"/>
        <v>12</v>
      </c>
      <c r="FB87" s="6">
        <f t="shared" si="1907"/>
        <v>0</v>
      </c>
      <c r="FC87" s="6">
        <f t="shared" si="2030"/>
        <v>1</v>
      </c>
      <c r="FD87" s="6">
        <f t="shared" si="1908"/>
        <v>0</v>
      </c>
      <c r="FE87" s="6">
        <f t="shared" si="2031"/>
        <v>0</v>
      </c>
      <c r="FF87" s="6">
        <f t="shared" si="1909"/>
        <v>1</v>
      </c>
      <c r="FG87" s="6">
        <f t="shared" si="2032"/>
        <v>2</v>
      </c>
      <c r="FH87" s="6">
        <f t="shared" si="1910"/>
        <v>0</v>
      </c>
      <c r="FI87" s="6">
        <f t="shared" si="2033"/>
        <v>5</v>
      </c>
      <c r="FJ87" s="6">
        <f t="shared" si="1911"/>
        <v>0</v>
      </c>
      <c r="FK87" s="6">
        <f t="shared" si="2034"/>
        <v>6</v>
      </c>
      <c r="FL87" s="6">
        <f t="shared" si="1912"/>
        <v>0</v>
      </c>
      <c r="FM87" s="6">
        <f t="shared" si="2035"/>
        <v>0</v>
      </c>
      <c r="FN87" s="6">
        <f t="shared" si="1913"/>
        <v>0</v>
      </c>
      <c r="FO87" s="6">
        <f t="shared" si="2036"/>
        <v>8</v>
      </c>
      <c r="FP87" s="6">
        <f t="shared" si="1914"/>
        <v>1</v>
      </c>
      <c r="FQ87" s="6">
        <f t="shared" si="2037"/>
        <v>12</v>
      </c>
      <c r="FR87" s="6">
        <f t="shared" si="1915"/>
        <v>0</v>
      </c>
      <c r="FS87" s="6">
        <f t="shared" si="2038"/>
        <v>12</v>
      </c>
      <c r="FT87" s="6"/>
      <c r="FU87" s="6"/>
      <c r="FV87" s="6">
        <f>IF($E87=5,EV87-5,NA())</f>
        <v>0</v>
      </c>
      <c r="FW87" s="20">
        <f>EV87-'Zusammenfassung Tag1-4'!$G$2/18</f>
        <v>3.5</v>
      </c>
      <c r="FX87" s="22">
        <f t="shared" si="2039"/>
        <v>276.5</v>
      </c>
      <c r="FY87" s="18">
        <v>9</v>
      </c>
      <c r="FZ87" s="6">
        <f t="shared" si="2040"/>
        <v>483</v>
      </c>
      <c r="GA87" s="19">
        <v>2</v>
      </c>
      <c r="GB87" s="6">
        <f t="shared" si="2041"/>
        <v>153</v>
      </c>
      <c r="GC87" s="6">
        <f t="shared" si="1917"/>
        <v>0</v>
      </c>
      <c r="GD87" s="6">
        <f t="shared" si="2042"/>
        <v>2</v>
      </c>
      <c r="GE87" s="6">
        <f t="shared" si="1918"/>
        <v>0</v>
      </c>
      <c r="GF87" s="6">
        <f t="shared" si="2043"/>
        <v>0</v>
      </c>
      <c r="GG87" s="6">
        <f t="shared" si="1919"/>
        <v>0</v>
      </c>
      <c r="GH87" s="6">
        <f t="shared" si="2044"/>
        <v>0</v>
      </c>
      <c r="GI87" s="6">
        <f t="shared" si="1920"/>
        <v>0</v>
      </c>
      <c r="GJ87" s="6">
        <f t="shared" si="2045"/>
        <v>0</v>
      </c>
      <c r="GK87" s="6">
        <f t="shared" si="1921"/>
        <v>0</v>
      </c>
      <c r="GL87" s="6">
        <f t="shared" si="2046"/>
        <v>2</v>
      </c>
      <c r="GM87" s="6">
        <f t="shared" si="1922"/>
        <v>1</v>
      </c>
      <c r="GN87" s="6">
        <f t="shared" si="2047"/>
        <v>11</v>
      </c>
      <c r="GO87" s="6">
        <f t="shared" si="1923"/>
        <v>0</v>
      </c>
      <c r="GP87" s="6">
        <f t="shared" si="2048"/>
        <v>0</v>
      </c>
      <c r="GQ87" s="6">
        <f t="shared" si="1924"/>
        <v>0</v>
      </c>
      <c r="GR87" s="6">
        <f t="shared" si="2049"/>
        <v>4</v>
      </c>
      <c r="GS87" s="6">
        <f t="shared" si="1925"/>
        <v>1</v>
      </c>
      <c r="GT87" s="6">
        <f t="shared" si="2050"/>
        <v>10</v>
      </c>
      <c r="GU87" s="6">
        <f t="shared" si="1926"/>
        <v>0</v>
      </c>
      <c r="GV87" s="6">
        <f t="shared" si="2051"/>
        <v>23</v>
      </c>
      <c r="GW87" s="6"/>
      <c r="GX87" s="6"/>
      <c r="GY87" s="6">
        <f>IF($E87=5,FY87-5,NA())</f>
        <v>4</v>
      </c>
      <c r="GZ87" s="20">
        <f>FY87-'Zusammenfassung Tag1-4'!$H$2/18</f>
        <v>6</v>
      </c>
      <c r="HA87" s="22">
        <f t="shared" si="2052"/>
        <v>282</v>
      </c>
      <c r="HB87" s="18">
        <v>6</v>
      </c>
      <c r="HC87" s="6">
        <f t="shared" si="2053"/>
        <v>352</v>
      </c>
      <c r="HD87" s="19">
        <v>1</v>
      </c>
      <c r="HE87" s="6">
        <f t="shared" si="2054"/>
        <v>132</v>
      </c>
      <c r="HF87" s="6">
        <f t="shared" si="1928"/>
        <v>0</v>
      </c>
      <c r="HG87" s="6">
        <f t="shared" si="2055"/>
        <v>22</v>
      </c>
      <c r="HH87" s="6">
        <f t="shared" si="1929"/>
        <v>0</v>
      </c>
      <c r="HI87" s="6">
        <f t="shared" si="2056"/>
        <v>7</v>
      </c>
      <c r="HJ87" s="6">
        <f t="shared" si="1930"/>
        <v>0</v>
      </c>
      <c r="HK87" s="6">
        <f t="shared" si="2057"/>
        <v>2</v>
      </c>
      <c r="HL87" s="6">
        <f t="shared" si="1931"/>
        <v>0</v>
      </c>
      <c r="HM87" s="6">
        <f t="shared" si="2058"/>
        <v>5</v>
      </c>
      <c r="HN87" s="6">
        <f t="shared" si="1932"/>
        <v>1</v>
      </c>
      <c r="HO87" s="6">
        <f t="shared" si="2059"/>
        <v>3</v>
      </c>
      <c r="HP87" s="6">
        <f t="shared" si="1933"/>
        <v>0</v>
      </c>
      <c r="HQ87" s="6">
        <f t="shared" si="2060"/>
        <v>3</v>
      </c>
      <c r="HR87" s="6">
        <f t="shared" si="1934"/>
        <v>0</v>
      </c>
      <c r="HS87" s="6">
        <f t="shared" si="2061"/>
        <v>0</v>
      </c>
      <c r="HT87" s="6">
        <f t="shared" si="1935"/>
        <v>1</v>
      </c>
      <c r="HU87" s="6">
        <f t="shared" si="2062"/>
        <v>15</v>
      </c>
      <c r="HV87" s="6">
        <f t="shared" si="1936"/>
        <v>0</v>
      </c>
      <c r="HW87" s="6">
        <f t="shared" si="2063"/>
        <v>4</v>
      </c>
      <c r="HX87" s="6">
        <f t="shared" si="1937"/>
        <v>0</v>
      </c>
      <c r="HY87" s="6">
        <f t="shared" si="2064"/>
        <v>13</v>
      </c>
      <c r="HZ87" s="6"/>
      <c r="IA87" s="6"/>
      <c r="IB87" s="6">
        <f>IF($E87=5,HB87-5,NA())</f>
        <v>1</v>
      </c>
      <c r="IC87" s="20">
        <f>HB87-'Zusammenfassung Tag1-4'!$I$2/18</f>
        <v>5</v>
      </c>
      <c r="ID87" s="22">
        <f t="shared" si="2065"/>
        <v>285</v>
      </c>
      <c r="IE87" s="18">
        <v>9</v>
      </c>
      <c r="IF87" s="6">
        <f t="shared" si="2066"/>
        <v>232</v>
      </c>
      <c r="IG87" s="19">
        <v>3</v>
      </c>
      <c r="IH87" s="6">
        <f t="shared" si="2067"/>
        <v>82</v>
      </c>
      <c r="II87" s="6">
        <f t="shared" si="1939"/>
        <v>0</v>
      </c>
      <c r="IJ87" s="6">
        <f t="shared" si="2068"/>
        <v>37</v>
      </c>
      <c r="IK87" s="6">
        <f t="shared" si="1940"/>
        <v>0</v>
      </c>
      <c r="IL87" s="6">
        <f t="shared" si="2069"/>
        <v>0</v>
      </c>
      <c r="IM87" s="6">
        <f t="shared" si="1941"/>
        <v>0</v>
      </c>
      <c r="IN87" s="6">
        <f t="shared" si="2070"/>
        <v>0</v>
      </c>
      <c r="IO87" s="6">
        <f t="shared" si="1942"/>
        <v>0</v>
      </c>
      <c r="IP87" s="6">
        <f t="shared" si="2071"/>
        <v>0</v>
      </c>
      <c r="IQ87" s="6">
        <f t="shared" si="1943"/>
        <v>0</v>
      </c>
      <c r="IR87" s="6">
        <f t="shared" si="2072"/>
        <v>0</v>
      </c>
      <c r="IS87" s="6">
        <f t="shared" si="1944"/>
        <v>1</v>
      </c>
      <c r="IT87" s="6">
        <f t="shared" si="2073"/>
        <v>13</v>
      </c>
      <c r="IU87" s="6">
        <f t="shared" si="1945"/>
        <v>0</v>
      </c>
      <c r="IV87" s="6">
        <f t="shared" si="2074"/>
        <v>0</v>
      </c>
      <c r="IW87" s="6">
        <f t="shared" si="1946"/>
        <v>0</v>
      </c>
      <c r="IX87" s="6">
        <f t="shared" si="2075"/>
        <v>1</v>
      </c>
      <c r="IY87" s="6">
        <f t="shared" si="1947"/>
        <v>0</v>
      </c>
      <c r="IZ87" s="6">
        <f t="shared" si="2076"/>
        <v>6</v>
      </c>
      <c r="JA87" s="6">
        <f t="shared" si="1948"/>
        <v>1</v>
      </c>
      <c r="JB87" s="6">
        <f t="shared" si="2077"/>
        <v>17</v>
      </c>
      <c r="JC87" s="6"/>
      <c r="JD87" s="6"/>
      <c r="JE87" s="6">
        <f>IF($E87=5,IE87-5,NA())</f>
        <v>4</v>
      </c>
      <c r="JF87" s="20">
        <f>IE87-'Zusammenfassung Tag1-4'!$J$2/18</f>
        <v>6</v>
      </c>
      <c r="JG87" s="22">
        <f t="shared" si="2078"/>
        <v>31</v>
      </c>
      <c r="JH87" s="18">
        <v>6</v>
      </c>
      <c r="JI87" s="6">
        <f t="shared" si="2079"/>
        <v>146</v>
      </c>
      <c r="JJ87" s="19">
        <v>2</v>
      </c>
      <c r="JK87" s="6">
        <f t="shared" si="2080"/>
        <v>60</v>
      </c>
      <c r="JL87" s="6">
        <f t="shared" si="1950"/>
        <v>0</v>
      </c>
      <c r="JM87" s="6">
        <f t="shared" si="2081"/>
        <v>52</v>
      </c>
      <c r="JN87" s="6">
        <f t="shared" si="1951"/>
        <v>0</v>
      </c>
      <c r="JO87" s="6">
        <f t="shared" si="2082"/>
        <v>1</v>
      </c>
      <c r="JP87" s="6">
        <f t="shared" si="1952"/>
        <v>0</v>
      </c>
      <c r="JQ87" s="6">
        <f t="shared" si="2083"/>
        <v>0</v>
      </c>
      <c r="JR87" s="6">
        <f t="shared" si="1953"/>
        <v>0</v>
      </c>
      <c r="JS87" s="6">
        <f t="shared" si="2084"/>
        <v>7</v>
      </c>
      <c r="JT87" s="6">
        <f t="shared" si="1954"/>
        <v>1</v>
      </c>
      <c r="JU87" s="6">
        <f t="shared" si="2085"/>
        <v>4</v>
      </c>
      <c r="JV87" s="6">
        <f t="shared" si="1955"/>
        <v>0</v>
      </c>
      <c r="JW87" s="6">
        <f t="shared" si="2086"/>
        <v>2</v>
      </c>
      <c r="JX87" s="6">
        <f t="shared" si="1956"/>
        <v>0</v>
      </c>
      <c r="JY87" s="6">
        <f t="shared" si="2087"/>
        <v>0</v>
      </c>
      <c r="JZ87" s="6">
        <f t="shared" si="1957"/>
        <v>0</v>
      </c>
      <c r="KA87" s="6">
        <f t="shared" si="2088"/>
        <v>4</v>
      </c>
      <c r="KB87" s="6">
        <f t="shared" si="1958"/>
        <v>1</v>
      </c>
      <c r="KC87" s="6">
        <f t="shared" si="2089"/>
        <v>11</v>
      </c>
      <c r="KD87" s="6">
        <f t="shared" si="1959"/>
        <v>0</v>
      </c>
      <c r="KE87" s="6">
        <f t="shared" si="2090"/>
        <v>2</v>
      </c>
      <c r="KF87" s="6"/>
      <c r="KG87" s="6"/>
      <c r="KH87" s="6">
        <f>IF($E87=5,JH87-5,NA())</f>
        <v>1</v>
      </c>
      <c r="KI87" s="20">
        <f>JH87-'Zusammenfassung Tag1-4'!$K$2/18</f>
        <v>5.2222222222222223</v>
      </c>
      <c r="KJ87" s="22">
        <f t="shared" si="2091"/>
        <v>93.8888888888889</v>
      </c>
      <c r="KK87" s="10"/>
      <c r="KL87" s="10"/>
      <c r="KM87" s="10"/>
      <c r="KN87" s="10"/>
      <c r="KO87" s="10"/>
      <c r="KP87" s="10"/>
      <c r="KQ87" s="10"/>
      <c r="KR87" s="10"/>
      <c r="KS87" s="10"/>
      <c r="KT87" s="10"/>
      <c r="KU87" s="10"/>
      <c r="KV87" s="10"/>
      <c r="KW87" s="10"/>
      <c r="KX87" s="10"/>
      <c r="KY87" s="10"/>
      <c r="KZ87" s="10"/>
      <c r="LA87" s="10"/>
      <c r="LB87" s="10"/>
      <c r="LC87" s="10"/>
      <c r="LD87" s="10"/>
    </row>
    <row r="88" spans="1:316" ht="15.75" customHeight="1" x14ac:dyDescent="0.25">
      <c r="A88" s="106"/>
      <c r="B88" s="103"/>
      <c r="C88" s="6">
        <v>14</v>
      </c>
      <c r="D88" s="6">
        <f t="shared" si="1961"/>
        <v>68</v>
      </c>
      <c r="E88" s="6">
        <v>3</v>
      </c>
      <c r="F88" s="7">
        <f t="shared" si="1962"/>
        <v>272</v>
      </c>
      <c r="G88" s="18"/>
      <c r="H88" s="6"/>
      <c r="I88" s="19"/>
      <c r="J88" s="6">
        <f t="shared" si="1963"/>
        <v>71</v>
      </c>
      <c r="K88" s="6">
        <f t="shared" si="1851"/>
        <v>1</v>
      </c>
      <c r="L88" s="6">
        <f t="shared" si="1964"/>
        <v>47</v>
      </c>
      <c r="M88" s="6">
        <f t="shared" si="1852"/>
        <v>0</v>
      </c>
      <c r="N88" s="6">
        <f t="shared" si="1965"/>
        <v>3</v>
      </c>
      <c r="O88" s="6">
        <f t="shared" si="1853"/>
        <v>0</v>
      </c>
      <c r="P88" s="6">
        <f t="shared" si="1966"/>
        <v>1</v>
      </c>
      <c r="Q88" s="6">
        <f t="shared" si="1854"/>
        <v>0</v>
      </c>
      <c r="R88" s="6">
        <f t="shared" si="1967"/>
        <v>0</v>
      </c>
      <c r="S88" s="6">
        <f t="shared" si="1855"/>
        <v>0</v>
      </c>
      <c r="T88" s="6">
        <f t="shared" si="1968"/>
        <v>0</v>
      </c>
      <c r="U88" s="6">
        <f t="shared" si="1856"/>
        <v>0</v>
      </c>
      <c r="V88" s="6">
        <f t="shared" si="1969"/>
        <v>0</v>
      </c>
      <c r="W88" s="6">
        <f t="shared" si="1857"/>
        <v>1</v>
      </c>
      <c r="X88" s="6">
        <f t="shared" si="1970"/>
        <v>14</v>
      </c>
      <c r="Y88" s="6">
        <f t="shared" si="1858"/>
        <v>0</v>
      </c>
      <c r="Z88" s="6">
        <f t="shared" si="1971"/>
        <v>7</v>
      </c>
      <c r="AA88" s="6">
        <f t="shared" si="1859"/>
        <v>0</v>
      </c>
      <c r="AB88" s="6">
        <f t="shared" si="1972"/>
        <v>0</v>
      </c>
      <c r="AC88" s="6">
        <f t="shared" si="1860"/>
        <v>0</v>
      </c>
      <c r="AD88" s="6">
        <f t="shared" si="1973"/>
        <v>5</v>
      </c>
      <c r="AE88" s="6">
        <f>IF($E88=3,G88-3,NA())</f>
        <v>-3</v>
      </c>
      <c r="AF88" s="6"/>
      <c r="AG88" s="6"/>
      <c r="AH88" s="20">
        <f>G88-'Zusammenfassung Tag1-4'!$B$2/18</f>
        <v>-1.1111111111111112</v>
      </c>
      <c r="AI88" s="21">
        <f t="shared" si="1974"/>
        <v>101.44444444444426</v>
      </c>
      <c r="AJ88" s="18">
        <v>4</v>
      </c>
      <c r="AK88" s="6">
        <f t="shared" si="1975"/>
        <v>306</v>
      </c>
      <c r="AL88" s="19">
        <v>1</v>
      </c>
      <c r="AM88" s="6">
        <f t="shared" si="1976"/>
        <v>118</v>
      </c>
      <c r="AN88" s="6">
        <f t="shared" si="1862"/>
        <v>0</v>
      </c>
      <c r="AO88" s="6">
        <f t="shared" si="1977"/>
        <v>35</v>
      </c>
      <c r="AP88" s="6">
        <f t="shared" si="1863"/>
        <v>0</v>
      </c>
      <c r="AQ88" s="6">
        <f t="shared" si="1978"/>
        <v>12</v>
      </c>
      <c r="AR88" s="6">
        <f t="shared" si="1864"/>
        <v>0</v>
      </c>
      <c r="AS88" s="6">
        <f t="shared" si="1979"/>
        <v>5</v>
      </c>
      <c r="AT88" s="6">
        <f t="shared" si="1865"/>
        <v>0</v>
      </c>
      <c r="AU88" s="6">
        <f t="shared" si="1980"/>
        <v>10</v>
      </c>
      <c r="AV88" s="6">
        <f t="shared" si="1866"/>
        <v>1</v>
      </c>
      <c r="AW88" s="6">
        <f t="shared" si="1981"/>
        <v>3</v>
      </c>
      <c r="AX88" s="6">
        <f t="shared" si="1867"/>
        <v>0</v>
      </c>
      <c r="AY88" s="6">
        <f t="shared" si="1982"/>
        <v>0</v>
      </c>
      <c r="AZ88" s="6">
        <f t="shared" si="1868"/>
        <v>0</v>
      </c>
      <c r="BA88" s="6">
        <f t="shared" si="1983"/>
        <v>0</v>
      </c>
      <c r="BB88" s="6">
        <f t="shared" si="1869"/>
        <v>1</v>
      </c>
      <c r="BC88" s="6">
        <f t="shared" si="1984"/>
        <v>24</v>
      </c>
      <c r="BD88" s="6">
        <f t="shared" si="1870"/>
        <v>0</v>
      </c>
      <c r="BE88" s="6">
        <f t="shared" si="1985"/>
        <v>7</v>
      </c>
      <c r="BF88" s="6">
        <f t="shared" si="1871"/>
        <v>0</v>
      </c>
      <c r="BG88" s="6">
        <f t="shared" si="1986"/>
        <v>6</v>
      </c>
      <c r="BH88" s="6">
        <f>IF($E88=3,AJ88-3,NA())</f>
        <v>1</v>
      </c>
      <c r="BI88" s="6"/>
      <c r="BJ88" s="6"/>
      <c r="BK88" s="20">
        <f>AJ88-'Zusammenfassung Tag1-4'!$C$2/18</f>
        <v>3.3333333333333335</v>
      </c>
      <c r="BL88" s="21">
        <f t="shared" si="1987"/>
        <v>260.66666666666691</v>
      </c>
      <c r="BM88" s="18">
        <v>3</v>
      </c>
      <c r="BN88" s="6">
        <f t="shared" si="1988"/>
        <v>378</v>
      </c>
      <c r="BO88" s="19">
        <v>2</v>
      </c>
      <c r="BP88" s="6">
        <f t="shared" si="1989"/>
        <v>140</v>
      </c>
      <c r="BQ88" s="6">
        <f t="shared" si="1873"/>
        <v>1</v>
      </c>
      <c r="BR88" s="6">
        <f t="shared" si="1990"/>
        <v>10</v>
      </c>
      <c r="BS88" s="6">
        <f t="shared" si="1874"/>
        <v>0</v>
      </c>
      <c r="BT88" s="6">
        <f t="shared" si="1991"/>
        <v>6</v>
      </c>
      <c r="BU88" s="6">
        <f t="shared" si="1875"/>
        <v>0</v>
      </c>
      <c r="BV88" s="6">
        <f t="shared" si="1992"/>
        <v>0</v>
      </c>
      <c r="BW88" s="6">
        <f t="shared" si="1876"/>
        <v>1</v>
      </c>
      <c r="BX88" s="6">
        <f t="shared" si="1993"/>
        <v>4</v>
      </c>
      <c r="BY88" s="6">
        <f t="shared" si="1877"/>
        <v>0</v>
      </c>
      <c r="BZ88" s="6">
        <f t="shared" si="1994"/>
        <v>6</v>
      </c>
      <c r="CA88" s="6">
        <f t="shared" si="1878"/>
        <v>0</v>
      </c>
      <c r="CB88" s="6">
        <f t="shared" si="1995"/>
        <v>4</v>
      </c>
      <c r="CC88" s="6">
        <f t="shared" si="1879"/>
        <v>0</v>
      </c>
      <c r="CD88" s="6">
        <f t="shared" si="1996"/>
        <v>0</v>
      </c>
      <c r="CE88" s="6">
        <f t="shared" si="1880"/>
        <v>0</v>
      </c>
      <c r="CF88" s="6">
        <f t="shared" si="1997"/>
        <v>12</v>
      </c>
      <c r="CG88" s="6">
        <f t="shared" si="1881"/>
        <v>1</v>
      </c>
      <c r="CH88" s="6">
        <f t="shared" si="1998"/>
        <v>9</v>
      </c>
      <c r="CI88" s="6">
        <f t="shared" si="1882"/>
        <v>0</v>
      </c>
      <c r="CJ88" s="6">
        <f t="shared" si="1999"/>
        <v>16</v>
      </c>
      <c r="CK88" s="6">
        <f>IF($E88=3,BM88-3,NA())</f>
        <v>0</v>
      </c>
      <c r="CL88" s="6"/>
      <c r="CM88" s="6"/>
      <c r="CN88" s="20">
        <f>BM88-'Zusammenfassung Tag1-4'!$D$2/18</f>
        <v>1.6666666666666667</v>
      </c>
      <c r="CO88" s="21">
        <f t="shared" si="2000"/>
        <v>287.33333333333326</v>
      </c>
      <c r="CP88" s="18">
        <v>4</v>
      </c>
      <c r="CQ88" s="6">
        <f t="shared" si="2001"/>
        <v>349</v>
      </c>
      <c r="CR88" s="19">
        <v>2</v>
      </c>
      <c r="CS88" s="6">
        <f t="shared" si="2002"/>
        <v>134</v>
      </c>
      <c r="CT88" s="6">
        <f t="shared" si="1884"/>
        <v>0</v>
      </c>
      <c r="CU88" s="6">
        <f t="shared" si="2003"/>
        <v>15</v>
      </c>
      <c r="CV88" s="6">
        <f t="shared" si="1885"/>
        <v>0</v>
      </c>
      <c r="CW88" s="6">
        <f t="shared" si="2004"/>
        <v>8</v>
      </c>
      <c r="CX88" s="6">
        <f t="shared" si="1886"/>
        <v>0</v>
      </c>
      <c r="CY88" s="6">
        <f t="shared" si="2005"/>
        <v>1</v>
      </c>
      <c r="CZ88" s="6">
        <f t="shared" si="1887"/>
        <v>0</v>
      </c>
      <c r="DA88" s="6">
        <f t="shared" si="2006"/>
        <v>6</v>
      </c>
      <c r="DB88" s="6">
        <f t="shared" si="1888"/>
        <v>1</v>
      </c>
      <c r="DC88" s="6">
        <f t="shared" si="2007"/>
        <v>6</v>
      </c>
      <c r="DD88" s="6">
        <f t="shared" si="1889"/>
        <v>0</v>
      </c>
      <c r="DE88" s="6">
        <f t="shared" si="2008"/>
        <v>1</v>
      </c>
      <c r="DF88" s="6">
        <f t="shared" si="1890"/>
        <v>0</v>
      </c>
      <c r="DG88" s="6">
        <f t="shared" si="2009"/>
        <v>0</v>
      </c>
      <c r="DH88" s="6">
        <f t="shared" si="1891"/>
        <v>0</v>
      </c>
      <c r="DI88" s="6">
        <f t="shared" si="2010"/>
        <v>15</v>
      </c>
      <c r="DJ88" s="6">
        <f t="shared" si="1892"/>
        <v>1</v>
      </c>
      <c r="DK88" s="6">
        <f t="shared" si="2011"/>
        <v>10</v>
      </c>
      <c r="DL88" s="6">
        <f t="shared" si="1893"/>
        <v>0</v>
      </c>
      <c r="DM88" s="6">
        <f t="shared" si="2012"/>
        <v>13</v>
      </c>
      <c r="DN88" s="6">
        <f>IF($E88=3,CP88-3,NA())</f>
        <v>1</v>
      </c>
      <c r="DO88" s="6"/>
      <c r="DP88" s="6"/>
      <c r="DQ88" s="20">
        <f>CP88-'Zusammenfassung Tag1-4'!$E$2/18</f>
        <v>2.7222222222222223</v>
      </c>
      <c r="DR88" s="22">
        <f t="shared" si="2013"/>
        <v>262.11111111111143</v>
      </c>
      <c r="DS88" s="18">
        <v>7</v>
      </c>
      <c r="DT88" s="6">
        <f t="shared" si="2014"/>
        <v>511</v>
      </c>
      <c r="DU88" s="19">
        <v>2</v>
      </c>
      <c r="DV88" s="6">
        <f t="shared" si="2015"/>
        <v>153</v>
      </c>
      <c r="DW88" s="6">
        <f t="shared" si="1895"/>
        <v>0</v>
      </c>
      <c r="DX88" s="6">
        <f t="shared" si="2016"/>
        <v>1</v>
      </c>
      <c r="DY88" s="6">
        <f t="shared" si="1896"/>
        <v>0</v>
      </c>
      <c r="DZ88" s="6">
        <f t="shared" si="2017"/>
        <v>0</v>
      </c>
      <c r="EA88" s="6">
        <f t="shared" si="1897"/>
        <v>0</v>
      </c>
      <c r="EB88" s="6">
        <f t="shared" si="2018"/>
        <v>0</v>
      </c>
      <c r="EC88" s="6">
        <f t="shared" si="1898"/>
        <v>0</v>
      </c>
      <c r="ED88" s="6">
        <f t="shared" si="2019"/>
        <v>0</v>
      </c>
      <c r="EE88" s="6">
        <f t="shared" si="1899"/>
        <v>0</v>
      </c>
      <c r="EF88" s="6">
        <f t="shared" si="2020"/>
        <v>1</v>
      </c>
      <c r="EG88" s="6">
        <f t="shared" si="1900"/>
        <v>1</v>
      </c>
      <c r="EH88" s="6">
        <f t="shared" si="2021"/>
        <v>13</v>
      </c>
      <c r="EI88" s="6">
        <f t="shared" si="1901"/>
        <v>0</v>
      </c>
      <c r="EJ88" s="6">
        <f t="shared" si="2022"/>
        <v>0</v>
      </c>
      <c r="EK88" s="6">
        <f t="shared" si="1902"/>
        <v>0</v>
      </c>
      <c r="EL88" s="6">
        <f t="shared" si="2023"/>
        <v>2</v>
      </c>
      <c r="EM88" s="6">
        <f t="shared" si="1903"/>
        <v>1</v>
      </c>
      <c r="EN88" s="6">
        <f t="shared" si="2024"/>
        <v>10</v>
      </c>
      <c r="EO88" s="6">
        <f t="shared" si="1904"/>
        <v>0</v>
      </c>
      <c r="EP88" s="6">
        <f t="shared" si="2025"/>
        <v>17</v>
      </c>
      <c r="EQ88" s="6">
        <f>IF($E88=3,DS88-3,NA())</f>
        <v>4</v>
      </c>
      <c r="ER88" s="6"/>
      <c r="ES88" s="6"/>
      <c r="ET88" s="20">
        <f>DS88-'Zusammenfassung Tag1-4'!$F$2/18</f>
        <v>4</v>
      </c>
      <c r="EU88" s="22">
        <f t="shared" si="2026"/>
        <v>307</v>
      </c>
      <c r="EV88" s="18">
        <v>4</v>
      </c>
      <c r="EW88" s="6">
        <f t="shared" si="2027"/>
        <v>381</v>
      </c>
      <c r="EX88" s="19">
        <v>2</v>
      </c>
      <c r="EY88" s="6">
        <f t="shared" si="2028"/>
        <v>140</v>
      </c>
      <c r="EZ88" s="6">
        <f t="shared" si="1906"/>
        <v>0</v>
      </c>
      <c r="FA88" s="6">
        <f t="shared" si="2029"/>
        <v>12</v>
      </c>
      <c r="FB88" s="6">
        <f t="shared" si="1907"/>
        <v>0</v>
      </c>
      <c r="FC88" s="6">
        <f t="shared" si="2030"/>
        <v>1</v>
      </c>
      <c r="FD88" s="6">
        <f t="shared" si="1908"/>
        <v>0</v>
      </c>
      <c r="FE88" s="6">
        <f t="shared" si="2031"/>
        <v>0</v>
      </c>
      <c r="FF88" s="6">
        <f t="shared" si="1909"/>
        <v>0</v>
      </c>
      <c r="FG88" s="6">
        <f t="shared" si="2032"/>
        <v>2</v>
      </c>
      <c r="FH88" s="6">
        <f t="shared" si="1910"/>
        <v>1</v>
      </c>
      <c r="FI88" s="6">
        <f t="shared" si="2033"/>
        <v>6</v>
      </c>
      <c r="FJ88" s="6">
        <f t="shared" si="1911"/>
        <v>0</v>
      </c>
      <c r="FK88" s="6">
        <f t="shared" si="2034"/>
        <v>6</v>
      </c>
      <c r="FL88" s="6">
        <f t="shared" si="1912"/>
        <v>0</v>
      </c>
      <c r="FM88" s="6">
        <f t="shared" si="2035"/>
        <v>0</v>
      </c>
      <c r="FN88" s="6">
        <f t="shared" si="1913"/>
        <v>0</v>
      </c>
      <c r="FO88" s="6">
        <f t="shared" si="2036"/>
        <v>8</v>
      </c>
      <c r="FP88" s="6">
        <f t="shared" si="1914"/>
        <v>1</v>
      </c>
      <c r="FQ88" s="6">
        <f t="shared" si="2037"/>
        <v>13</v>
      </c>
      <c r="FR88" s="6">
        <f t="shared" si="1915"/>
        <v>0</v>
      </c>
      <c r="FS88" s="6">
        <f t="shared" si="2038"/>
        <v>12</v>
      </c>
      <c r="FT88" s="6">
        <f>IF($E88=3,EV88-3,NA())</f>
        <v>1</v>
      </c>
      <c r="FU88" s="6"/>
      <c r="FV88" s="6"/>
      <c r="FW88" s="20">
        <f>EV88-'Zusammenfassung Tag1-4'!$G$2/18</f>
        <v>2.5</v>
      </c>
      <c r="FX88" s="22">
        <f t="shared" si="2039"/>
        <v>279</v>
      </c>
      <c r="FY88" s="18">
        <v>4</v>
      </c>
      <c r="FZ88" s="6">
        <f t="shared" si="2040"/>
        <v>487</v>
      </c>
      <c r="GA88" s="19">
        <v>2</v>
      </c>
      <c r="GB88" s="6">
        <f t="shared" si="2041"/>
        <v>155</v>
      </c>
      <c r="GC88" s="6">
        <f t="shared" si="1917"/>
        <v>0</v>
      </c>
      <c r="GD88" s="6">
        <f t="shared" si="2042"/>
        <v>2</v>
      </c>
      <c r="GE88" s="6">
        <f t="shared" si="1918"/>
        <v>0</v>
      </c>
      <c r="GF88" s="6">
        <f t="shared" si="2043"/>
        <v>0</v>
      </c>
      <c r="GG88" s="6">
        <f t="shared" si="1919"/>
        <v>0</v>
      </c>
      <c r="GH88" s="6">
        <f t="shared" si="2044"/>
        <v>0</v>
      </c>
      <c r="GI88" s="6">
        <f t="shared" si="1920"/>
        <v>0</v>
      </c>
      <c r="GJ88" s="6">
        <f t="shared" si="2045"/>
        <v>0</v>
      </c>
      <c r="GK88" s="6">
        <f t="shared" si="1921"/>
        <v>1</v>
      </c>
      <c r="GL88" s="6">
        <f t="shared" si="2046"/>
        <v>3</v>
      </c>
      <c r="GM88" s="6">
        <f t="shared" si="1922"/>
        <v>0</v>
      </c>
      <c r="GN88" s="6">
        <f t="shared" si="2047"/>
        <v>11</v>
      </c>
      <c r="GO88" s="6">
        <f t="shared" si="1923"/>
        <v>0</v>
      </c>
      <c r="GP88" s="6">
        <f t="shared" si="2048"/>
        <v>0</v>
      </c>
      <c r="GQ88" s="6">
        <f t="shared" si="1924"/>
        <v>0</v>
      </c>
      <c r="GR88" s="6">
        <f t="shared" si="2049"/>
        <v>4</v>
      </c>
      <c r="GS88" s="6">
        <f t="shared" si="1925"/>
        <v>1</v>
      </c>
      <c r="GT88" s="6">
        <f t="shared" si="2050"/>
        <v>11</v>
      </c>
      <c r="GU88" s="6">
        <f t="shared" si="1926"/>
        <v>0</v>
      </c>
      <c r="GV88" s="6">
        <f t="shared" si="2051"/>
        <v>23</v>
      </c>
      <c r="GW88" s="6">
        <f>IF($E88=3,FY88-3,NA())</f>
        <v>1</v>
      </c>
      <c r="GX88" s="6"/>
      <c r="GY88" s="6"/>
      <c r="GZ88" s="20">
        <f>FY88-'Zusammenfassung Tag1-4'!$H$2/18</f>
        <v>1</v>
      </c>
      <c r="HA88" s="22">
        <f t="shared" si="2052"/>
        <v>283</v>
      </c>
      <c r="HB88" s="18">
        <v>4</v>
      </c>
      <c r="HC88" s="6">
        <f t="shared" si="2053"/>
        <v>356</v>
      </c>
      <c r="HD88" s="19">
        <v>1</v>
      </c>
      <c r="HE88" s="6">
        <f t="shared" si="2054"/>
        <v>133</v>
      </c>
      <c r="HF88" s="6">
        <f t="shared" si="1928"/>
        <v>0</v>
      </c>
      <c r="HG88" s="6">
        <f t="shared" si="2055"/>
        <v>22</v>
      </c>
      <c r="HH88" s="6">
        <f t="shared" si="1929"/>
        <v>0</v>
      </c>
      <c r="HI88" s="6">
        <f t="shared" si="2056"/>
        <v>7</v>
      </c>
      <c r="HJ88" s="6">
        <f t="shared" si="1930"/>
        <v>0</v>
      </c>
      <c r="HK88" s="6">
        <f t="shared" si="2057"/>
        <v>2</v>
      </c>
      <c r="HL88" s="6">
        <f t="shared" si="1931"/>
        <v>0</v>
      </c>
      <c r="HM88" s="6">
        <f t="shared" si="2058"/>
        <v>5</v>
      </c>
      <c r="HN88" s="6">
        <f t="shared" si="1932"/>
        <v>1</v>
      </c>
      <c r="HO88" s="6">
        <f t="shared" si="2059"/>
        <v>4</v>
      </c>
      <c r="HP88" s="6">
        <f t="shared" si="1933"/>
        <v>0</v>
      </c>
      <c r="HQ88" s="6">
        <f t="shared" si="2060"/>
        <v>3</v>
      </c>
      <c r="HR88" s="6">
        <f t="shared" si="1934"/>
        <v>0</v>
      </c>
      <c r="HS88" s="6">
        <f t="shared" si="2061"/>
        <v>0</v>
      </c>
      <c r="HT88" s="6">
        <f t="shared" si="1935"/>
        <v>1</v>
      </c>
      <c r="HU88" s="6">
        <f t="shared" si="2062"/>
        <v>16</v>
      </c>
      <c r="HV88" s="6">
        <f t="shared" si="1936"/>
        <v>0</v>
      </c>
      <c r="HW88" s="6">
        <f t="shared" si="2063"/>
        <v>4</v>
      </c>
      <c r="HX88" s="6">
        <f t="shared" si="1937"/>
        <v>0</v>
      </c>
      <c r="HY88" s="6">
        <f t="shared" si="2064"/>
        <v>13</v>
      </c>
      <c r="HZ88" s="6">
        <f>IF($E88=3,HB88-3,NA())</f>
        <v>1</v>
      </c>
      <c r="IA88" s="6"/>
      <c r="IB88" s="6"/>
      <c r="IC88" s="20">
        <f>HB88-'Zusammenfassung Tag1-4'!$I$2/18</f>
        <v>3</v>
      </c>
      <c r="ID88" s="22">
        <f t="shared" si="2065"/>
        <v>288</v>
      </c>
      <c r="IE88" s="18">
        <v>6</v>
      </c>
      <c r="IF88" s="6">
        <f t="shared" si="2066"/>
        <v>238</v>
      </c>
      <c r="IG88" s="19">
        <v>3</v>
      </c>
      <c r="IH88" s="6">
        <f t="shared" si="2067"/>
        <v>85</v>
      </c>
      <c r="II88" s="6">
        <f t="shared" si="1939"/>
        <v>0</v>
      </c>
      <c r="IJ88" s="6">
        <f t="shared" si="2068"/>
        <v>37</v>
      </c>
      <c r="IK88" s="6">
        <f t="shared" si="1940"/>
        <v>0</v>
      </c>
      <c r="IL88" s="6">
        <f t="shared" si="2069"/>
        <v>0</v>
      </c>
      <c r="IM88" s="6">
        <f t="shared" si="1941"/>
        <v>0</v>
      </c>
      <c r="IN88" s="6">
        <f t="shared" si="2070"/>
        <v>0</v>
      </c>
      <c r="IO88" s="6">
        <f t="shared" si="1942"/>
        <v>0</v>
      </c>
      <c r="IP88" s="6">
        <f t="shared" si="2071"/>
        <v>0</v>
      </c>
      <c r="IQ88" s="6">
        <f t="shared" si="1943"/>
        <v>0</v>
      </c>
      <c r="IR88" s="6">
        <f t="shared" si="2072"/>
        <v>0</v>
      </c>
      <c r="IS88" s="6">
        <f t="shared" si="1944"/>
        <v>1</v>
      </c>
      <c r="IT88" s="6">
        <f t="shared" si="2073"/>
        <v>14</v>
      </c>
      <c r="IU88" s="6">
        <f t="shared" si="1945"/>
        <v>0</v>
      </c>
      <c r="IV88" s="6">
        <f t="shared" si="2074"/>
        <v>0</v>
      </c>
      <c r="IW88" s="6">
        <f t="shared" si="1946"/>
        <v>0</v>
      </c>
      <c r="IX88" s="6">
        <f t="shared" si="2075"/>
        <v>1</v>
      </c>
      <c r="IY88" s="6">
        <f t="shared" si="1947"/>
        <v>0</v>
      </c>
      <c r="IZ88" s="6">
        <f t="shared" si="2076"/>
        <v>6</v>
      </c>
      <c r="JA88" s="6">
        <f t="shared" si="1948"/>
        <v>1</v>
      </c>
      <c r="JB88" s="6">
        <f t="shared" si="2077"/>
        <v>18</v>
      </c>
      <c r="JC88" s="6">
        <f>IF($E88=3,IE88-3,NA())</f>
        <v>3</v>
      </c>
      <c r="JD88" s="6"/>
      <c r="JE88" s="6"/>
      <c r="JF88" s="20">
        <f>IE88-'Zusammenfassung Tag1-4'!$J$2/18</f>
        <v>3</v>
      </c>
      <c r="JG88" s="22">
        <f t="shared" si="2078"/>
        <v>34</v>
      </c>
      <c r="JH88" s="18">
        <v>3</v>
      </c>
      <c r="JI88" s="6">
        <f t="shared" si="2079"/>
        <v>149</v>
      </c>
      <c r="JJ88" s="19">
        <v>1</v>
      </c>
      <c r="JK88" s="6">
        <f t="shared" si="2080"/>
        <v>61</v>
      </c>
      <c r="JL88" s="6">
        <f t="shared" si="1950"/>
        <v>0</v>
      </c>
      <c r="JM88" s="6">
        <f t="shared" si="2081"/>
        <v>52</v>
      </c>
      <c r="JN88" s="6">
        <f t="shared" si="1951"/>
        <v>1</v>
      </c>
      <c r="JO88" s="6">
        <f t="shared" si="2082"/>
        <v>2</v>
      </c>
      <c r="JP88" s="6">
        <f t="shared" si="1952"/>
        <v>0</v>
      </c>
      <c r="JQ88" s="6">
        <f t="shared" si="2083"/>
        <v>0</v>
      </c>
      <c r="JR88" s="6">
        <f t="shared" si="1953"/>
        <v>1</v>
      </c>
      <c r="JS88" s="6">
        <f t="shared" si="2084"/>
        <v>8</v>
      </c>
      <c r="JT88" s="6">
        <f t="shared" si="1954"/>
        <v>0</v>
      </c>
      <c r="JU88" s="6">
        <f t="shared" si="2085"/>
        <v>4</v>
      </c>
      <c r="JV88" s="6">
        <f t="shared" si="1955"/>
        <v>0</v>
      </c>
      <c r="JW88" s="6">
        <f t="shared" si="2086"/>
        <v>2</v>
      </c>
      <c r="JX88" s="6">
        <f t="shared" si="1956"/>
        <v>0</v>
      </c>
      <c r="JY88" s="6">
        <f t="shared" si="2087"/>
        <v>0</v>
      </c>
      <c r="JZ88" s="6">
        <f t="shared" si="1957"/>
        <v>1</v>
      </c>
      <c r="KA88" s="6">
        <f t="shared" si="2088"/>
        <v>5</v>
      </c>
      <c r="KB88" s="6">
        <f t="shared" si="1958"/>
        <v>0</v>
      </c>
      <c r="KC88" s="6">
        <f t="shared" si="2089"/>
        <v>11</v>
      </c>
      <c r="KD88" s="6">
        <f t="shared" si="1959"/>
        <v>0</v>
      </c>
      <c r="KE88" s="6">
        <f t="shared" si="2090"/>
        <v>2</v>
      </c>
      <c r="KF88" s="6">
        <f>IF($E88=3,JH88-3,NA())</f>
        <v>0</v>
      </c>
      <c r="KG88" s="6"/>
      <c r="KH88" s="6"/>
      <c r="KI88" s="20">
        <f>JH88-'Zusammenfassung Tag1-4'!$K$2/18</f>
        <v>2.2222222222222223</v>
      </c>
      <c r="KJ88" s="22">
        <f t="shared" si="2091"/>
        <v>96.111111111111128</v>
      </c>
      <c r="KK88" s="10"/>
      <c r="KL88" s="10"/>
      <c r="KM88" s="10"/>
      <c r="KN88" s="10"/>
      <c r="KO88" s="10"/>
      <c r="KP88" s="10"/>
      <c r="KQ88" s="10"/>
      <c r="KR88" s="10"/>
      <c r="KS88" s="10"/>
      <c r="KT88" s="10"/>
      <c r="KU88" s="10"/>
      <c r="KV88" s="10"/>
      <c r="KW88" s="10"/>
      <c r="KX88" s="10"/>
      <c r="KY88" s="10"/>
      <c r="KZ88" s="10"/>
      <c r="LA88" s="10"/>
      <c r="LB88" s="10"/>
      <c r="LC88" s="10"/>
      <c r="LD88" s="10"/>
    </row>
    <row r="89" spans="1:316" ht="15.75" customHeight="1" x14ac:dyDescent="0.25">
      <c r="A89" s="106"/>
      <c r="B89" s="103"/>
      <c r="C89" s="6">
        <v>15</v>
      </c>
      <c r="D89" s="6">
        <f t="shared" si="1961"/>
        <v>69</v>
      </c>
      <c r="E89" s="6">
        <v>4</v>
      </c>
      <c r="F89" s="7">
        <f t="shared" si="1962"/>
        <v>276</v>
      </c>
      <c r="G89" s="18"/>
      <c r="H89" s="6"/>
      <c r="I89" s="19"/>
      <c r="J89" s="6">
        <f t="shared" si="1963"/>
        <v>71</v>
      </c>
      <c r="K89" s="6">
        <f t="shared" si="1851"/>
        <v>1</v>
      </c>
      <c r="L89" s="6">
        <f t="shared" si="1964"/>
        <v>48</v>
      </c>
      <c r="M89" s="6">
        <f t="shared" si="1852"/>
        <v>0</v>
      </c>
      <c r="N89" s="6">
        <f t="shared" si="1965"/>
        <v>3</v>
      </c>
      <c r="O89" s="6">
        <f t="shared" si="1853"/>
        <v>0</v>
      </c>
      <c r="P89" s="6">
        <f t="shared" si="1966"/>
        <v>1</v>
      </c>
      <c r="Q89" s="6">
        <f t="shared" si="1854"/>
        <v>0</v>
      </c>
      <c r="R89" s="6">
        <f t="shared" si="1967"/>
        <v>0</v>
      </c>
      <c r="S89" s="6">
        <f t="shared" si="1855"/>
        <v>0</v>
      </c>
      <c r="T89" s="6">
        <f t="shared" si="1968"/>
        <v>0</v>
      </c>
      <c r="U89" s="6">
        <f t="shared" si="1856"/>
        <v>0</v>
      </c>
      <c r="V89" s="6">
        <f t="shared" si="1969"/>
        <v>0</v>
      </c>
      <c r="W89" s="6">
        <f t="shared" si="1857"/>
        <v>1</v>
      </c>
      <c r="X89" s="6">
        <f t="shared" si="1970"/>
        <v>15</v>
      </c>
      <c r="Y89" s="6">
        <f t="shared" si="1858"/>
        <v>0</v>
      </c>
      <c r="Z89" s="6">
        <f t="shared" si="1971"/>
        <v>7</v>
      </c>
      <c r="AA89" s="6">
        <f t="shared" si="1859"/>
        <v>0</v>
      </c>
      <c r="AB89" s="6">
        <f t="shared" si="1972"/>
        <v>0</v>
      </c>
      <c r="AC89" s="6">
        <f t="shared" si="1860"/>
        <v>0</v>
      </c>
      <c r="AD89" s="6">
        <f t="shared" si="1973"/>
        <v>5</v>
      </c>
      <c r="AE89" s="6"/>
      <c r="AF89" s="6">
        <f>IF($E89=4,G89-4,NA())</f>
        <v>-4</v>
      </c>
      <c r="AG89" s="6"/>
      <c r="AH89" s="20">
        <f>G89-'Zusammenfassung Tag1-4'!$B$2/18</f>
        <v>-1.1111111111111112</v>
      </c>
      <c r="AI89" s="21">
        <f t="shared" si="1974"/>
        <v>100.33333333333314</v>
      </c>
      <c r="AJ89" s="18">
        <v>5</v>
      </c>
      <c r="AK89" s="6">
        <f t="shared" si="1975"/>
        <v>311</v>
      </c>
      <c r="AL89" s="19">
        <v>2</v>
      </c>
      <c r="AM89" s="6">
        <f t="shared" si="1976"/>
        <v>120</v>
      </c>
      <c r="AN89" s="6">
        <f t="shared" si="1862"/>
        <v>0</v>
      </c>
      <c r="AO89" s="6">
        <f t="shared" si="1977"/>
        <v>35</v>
      </c>
      <c r="AP89" s="6">
        <f t="shared" si="1863"/>
        <v>0</v>
      </c>
      <c r="AQ89" s="6">
        <f t="shared" si="1978"/>
        <v>12</v>
      </c>
      <c r="AR89" s="6">
        <f t="shared" si="1864"/>
        <v>0</v>
      </c>
      <c r="AS89" s="6">
        <f t="shared" si="1979"/>
        <v>5</v>
      </c>
      <c r="AT89" s="6">
        <f t="shared" si="1865"/>
        <v>0</v>
      </c>
      <c r="AU89" s="6">
        <f t="shared" si="1980"/>
        <v>10</v>
      </c>
      <c r="AV89" s="6">
        <f t="shared" si="1866"/>
        <v>1</v>
      </c>
      <c r="AW89" s="6">
        <f t="shared" si="1981"/>
        <v>4</v>
      </c>
      <c r="AX89" s="6">
        <f t="shared" si="1867"/>
        <v>0</v>
      </c>
      <c r="AY89" s="6">
        <f t="shared" si="1982"/>
        <v>0</v>
      </c>
      <c r="AZ89" s="6">
        <f t="shared" si="1868"/>
        <v>0</v>
      </c>
      <c r="BA89" s="6">
        <f t="shared" si="1983"/>
        <v>0</v>
      </c>
      <c r="BB89" s="6">
        <f t="shared" si="1869"/>
        <v>0</v>
      </c>
      <c r="BC89" s="6">
        <f t="shared" si="1984"/>
        <v>24</v>
      </c>
      <c r="BD89" s="6">
        <f t="shared" si="1870"/>
        <v>1</v>
      </c>
      <c r="BE89" s="6">
        <f t="shared" si="1985"/>
        <v>8</v>
      </c>
      <c r="BF89" s="6">
        <f t="shared" si="1871"/>
        <v>0</v>
      </c>
      <c r="BG89" s="6">
        <f t="shared" si="1986"/>
        <v>6</v>
      </c>
      <c r="BH89" s="6"/>
      <c r="BI89" s="6">
        <f>IF($E89=4,AJ89-4,NA())</f>
        <v>1</v>
      </c>
      <c r="BJ89" s="6"/>
      <c r="BK89" s="20">
        <f>AJ89-'Zusammenfassung Tag1-4'!$C$2/18</f>
        <v>4.333333333333333</v>
      </c>
      <c r="BL89" s="21">
        <f t="shared" si="1987"/>
        <v>265.00000000000023</v>
      </c>
      <c r="BM89" s="18">
        <v>6</v>
      </c>
      <c r="BN89" s="6">
        <f t="shared" si="1988"/>
        <v>384</v>
      </c>
      <c r="BO89" s="19">
        <v>3</v>
      </c>
      <c r="BP89" s="6">
        <f t="shared" si="1989"/>
        <v>143</v>
      </c>
      <c r="BQ89" s="6">
        <f t="shared" si="1873"/>
        <v>0</v>
      </c>
      <c r="BR89" s="6">
        <f t="shared" si="1990"/>
        <v>10</v>
      </c>
      <c r="BS89" s="6">
        <f t="shared" si="1874"/>
        <v>0</v>
      </c>
      <c r="BT89" s="6">
        <f t="shared" si="1991"/>
        <v>6</v>
      </c>
      <c r="BU89" s="6">
        <f t="shared" si="1875"/>
        <v>0</v>
      </c>
      <c r="BV89" s="6">
        <f t="shared" si="1992"/>
        <v>0</v>
      </c>
      <c r="BW89" s="6">
        <f t="shared" si="1876"/>
        <v>0</v>
      </c>
      <c r="BX89" s="6">
        <f t="shared" si="1993"/>
        <v>4</v>
      </c>
      <c r="BY89" s="6">
        <f t="shared" si="1877"/>
        <v>0</v>
      </c>
      <c r="BZ89" s="6">
        <f t="shared" si="1994"/>
        <v>6</v>
      </c>
      <c r="CA89" s="6">
        <f t="shared" si="1878"/>
        <v>1</v>
      </c>
      <c r="CB89" s="6">
        <f t="shared" si="1995"/>
        <v>5</v>
      </c>
      <c r="CC89" s="6">
        <f t="shared" si="1879"/>
        <v>0</v>
      </c>
      <c r="CD89" s="6">
        <f t="shared" si="1996"/>
        <v>0</v>
      </c>
      <c r="CE89" s="6">
        <f t="shared" si="1880"/>
        <v>0</v>
      </c>
      <c r="CF89" s="6">
        <f t="shared" si="1997"/>
        <v>12</v>
      </c>
      <c r="CG89" s="6">
        <f t="shared" si="1881"/>
        <v>0</v>
      </c>
      <c r="CH89" s="6">
        <f t="shared" si="1998"/>
        <v>9</v>
      </c>
      <c r="CI89" s="6">
        <f t="shared" si="1882"/>
        <v>1</v>
      </c>
      <c r="CJ89" s="6">
        <f t="shared" si="1999"/>
        <v>17</v>
      </c>
      <c r="CK89" s="6"/>
      <c r="CL89" s="6">
        <f>IF($E89=4,BM89-4,NA())</f>
        <v>2</v>
      </c>
      <c r="CM89" s="6"/>
      <c r="CN89" s="20">
        <f>BM89-'Zusammenfassung Tag1-4'!$D$2/18</f>
        <v>4.666666666666667</v>
      </c>
      <c r="CO89" s="21">
        <f t="shared" si="2000"/>
        <v>291.99999999999994</v>
      </c>
      <c r="CP89" s="18">
        <v>5</v>
      </c>
      <c r="CQ89" s="6">
        <f t="shared" si="2001"/>
        <v>354</v>
      </c>
      <c r="CR89" s="19">
        <v>1</v>
      </c>
      <c r="CS89" s="6">
        <f t="shared" si="2002"/>
        <v>135</v>
      </c>
      <c r="CT89" s="6">
        <f t="shared" si="1884"/>
        <v>0</v>
      </c>
      <c r="CU89" s="6">
        <f t="shared" si="2003"/>
        <v>15</v>
      </c>
      <c r="CV89" s="6">
        <f t="shared" si="1885"/>
        <v>0</v>
      </c>
      <c r="CW89" s="6">
        <f t="shared" si="2004"/>
        <v>8</v>
      </c>
      <c r="CX89" s="6">
        <f t="shared" si="1886"/>
        <v>0</v>
      </c>
      <c r="CY89" s="6">
        <f t="shared" si="2005"/>
        <v>1</v>
      </c>
      <c r="CZ89" s="6">
        <f t="shared" si="1887"/>
        <v>0</v>
      </c>
      <c r="DA89" s="6">
        <f t="shared" si="2006"/>
        <v>6</v>
      </c>
      <c r="DB89" s="6">
        <f t="shared" si="1888"/>
        <v>1</v>
      </c>
      <c r="DC89" s="6">
        <f t="shared" si="2007"/>
        <v>7</v>
      </c>
      <c r="DD89" s="6">
        <f t="shared" si="1889"/>
        <v>0</v>
      </c>
      <c r="DE89" s="6">
        <f t="shared" si="2008"/>
        <v>1</v>
      </c>
      <c r="DF89" s="6">
        <f t="shared" si="1890"/>
        <v>0</v>
      </c>
      <c r="DG89" s="6">
        <f t="shared" si="2009"/>
        <v>0</v>
      </c>
      <c r="DH89" s="6">
        <f t="shared" si="1891"/>
        <v>1</v>
      </c>
      <c r="DI89" s="6">
        <f t="shared" si="2010"/>
        <v>16</v>
      </c>
      <c r="DJ89" s="6">
        <f t="shared" si="1892"/>
        <v>0</v>
      </c>
      <c r="DK89" s="6">
        <f t="shared" si="2011"/>
        <v>10</v>
      </c>
      <c r="DL89" s="6">
        <f t="shared" si="1893"/>
        <v>0</v>
      </c>
      <c r="DM89" s="6">
        <f t="shared" si="2012"/>
        <v>13</v>
      </c>
      <c r="DN89" s="6"/>
      <c r="DO89" s="6">
        <f>IF($E89=4,CP89-4,NA())</f>
        <v>1</v>
      </c>
      <c r="DP89" s="6"/>
      <c r="DQ89" s="20">
        <f>CP89-'Zusammenfassung Tag1-4'!$E$2/18</f>
        <v>3.7222222222222223</v>
      </c>
      <c r="DR89" s="22">
        <f t="shared" si="2013"/>
        <v>265.83333333333366</v>
      </c>
      <c r="DS89" s="18">
        <v>7</v>
      </c>
      <c r="DT89" s="6">
        <f t="shared" si="2014"/>
        <v>518</v>
      </c>
      <c r="DU89" s="19">
        <v>2</v>
      </c>
      <c r="DV89" s="6">
        <f t="shared" si="2015"/>
        <v>155</v>
      </c>
      <c r="DW89" s="6">
        <f t="shared" si="1895"/>
        <v>0</v>
      </c>
      <c r="DX89" s="6">
        <f t="shared" si="2016"/>
        <v>1</v>
      </c>
      <c r="DY89" s="6">
        <f t="shared" si="1896"/>
        <v>0</v>
      </c>
      <c r="DZ89" s="6">
        <f t="shared" si="2017"/>
        <v>0</v>
      </c>
      <c r="EA89" s="6">
        <f t="shared" si="1897"/>
        <v>0</v>
      </c>
      <c r="EB89" s="6">
        <f t="shared" si="2018"/>
        <v>0</v>
      </c>
      <c r="EC89" s="6">
        <f t="shared" si="1898"/>
        <v>0</v>
      </c>
      <c r="ED89" s="6">
        <f t="shared" si="2019"/>
        <v>0</v>
      </c>
      <c r="EE89" s="6">
        <f t="shared" si="1899"/>
        <v>0</v>
      </c>
      <c r="EF89" s="6">
        <f t="shared" si="2020"/>
        <v>1</v>
      </c>
      <c r="EG89" s="6">
        <f t="shared" si="1900"/>
        <v>1</v>
      </c>
      <c r="EH89" s="6">
        <f t="shared" si="2021"/>
        <v>14</v>
      </c>
      <c r="EI89" s="6">
        <f t="shared" si="1901"/>
        <v>0</v>
      </c>
      <c r="EJ89" s="6">
        <f t="shared" si="2022"/>
        <v>0</v>
      </c>
      <c r="EK89" s="6">
        <f t="shared" si="1902"/>
        <v>0</v>
      </c>
      <c r="EL89" s="6">
        <f t="shared" si="2023"/>
        <v>2</v>
      </c>
      <c r="EM89" s="6">
        <f t="shared" si="1903"/>
        <v>1</v>
      </c>
      <c r="EN89" s="6">
        <f t="shared" si="2024"/>
        <v>11</v>
      </c>
      <c r="EO89" s="6">
        <f t="shared" si="1904"/>
        <v>0</v>
      </c>
      <c r="EP89" s="6">
        <f t="shared" si="2025"/>
        <v>17</v>
      </c>
      <c r="EQ89" s="6"/>
      <c r="ER89" s="6">
        <f>IF($E89=4,DS89-4,NA())</f>
        <v>3</v>
      </c>
      <c r="ES89" s="6"/>
      <c r="ET89" s="20">
        <f>DS89-'Zusammenfassung Tag1-4'!$F$2/18</f>
        <v>4</v>
      </c>
      <c r="EU89" s="22">
        <f t="shared" si="2026"/>
        <v>311</v>
      </c>
      <c r="EV89" s="18">
        <v>7</v>
      </c>
      <c r="EW89" s="6">
        <f t="shared" si="2027"/>
        <v>388</v>
      </c>
      <c r="EX89" s="19">
        <v>2</v>
      </c>
      <c r="EY89" s="6">
        <f t="shared" si="2028"/>
        <v>142</v>
      </c>
      <c r="EZ89" s="6">
        <f t="shared" si="1906"/>
        <v>0</v>
      </c>
      <c r="FA89" s="6">
        <f t="shared" si="2029"/>
        <v>12</v>
      </c>
      <c r="FB89" s="6">
        <f t="shared" si="1907"/>
        <v>0</v>
      </c>
      <c r="FC89" s="6">
        <f t="shared" si="2030"/>
        <v>1</v>
      </c>
      <c r="FD89" s="6">
        <f t="shared" si="1908"/>
        <v>0</v>
      </c>
      <c r="FE89" s="6">
        <f t="shared" si="2031"/>
        <v>0</v>
      </c>
      <c r="FF89" s="6">
        <f t="shared" si="1909"/>
        <v>0</v>
      </c>
      <c r="FG89" s="6">
        <f t="shared" si="2032"/>
        <v>2</v>
      </c>
      <c r="FH89" s="6">
        <f t="shared" si="1910"/>
        <v>0</v>
      </c>
      <c r="FI89" s="6">
        <f t="shared" si="2033"/>
        <v>6</v>
      </c>
      <c r="FJ89" s="6">
        <f t="shared" si="1911"/>
        <v>1</v>
      </c>
      <c r="FK89" s="6">
        <f t="shared" si="2034"/>
        <v>7</v>
      </c>
      <c r="FL89" s="6">
        <f t="shared" si="1912"/>
        <v>0</v>
      </c>
      <c r="FM89" s="6">
        <f t="shared" si="2035"/>
        <v>0</v>
      </c>
      <c r="FN89" s="6">
        <f t="shared" si="1913"/>
        <v>0</v>
      </c>
      <c r="FO89" s="6">
        <f t="shared" si="2036"/>
        <v>8</v>
      </c>
      <c r="FP89" s="6">
        <f t="shared" si="1914"/>
        <v>1</v>
      </c>
      <c r="FQ89" s="6">
        <f t="shared" si="2037"/>
        <v>14</v>
      </c>
      <c r="FR89" s="6">
        <f t="shared" si="1915"/>
        <v>0</v>
      </c>
      <c r="FS89" s="6">
        <f t="shared" si="2038"/>
        <v>12</v>
      </c>
      <c r="FT89" s="6"/>
      <c r="FU89" s="6">
        <f>IF($E89=4,EV89-4,NA())</f>
        <v>3</v>
      </c>
      <c r="FV89" s="6"/>
      <c r="FW89" s="20">
        <f>EV89-'Zusammenfassung Tag1-4'!$G$2/18</f>
        <v>5.5</v>
      </c>
      <c r="FX89" s="22">
        <f t="shared" si="2039"/>
        <v>284.5</v>
      </c>
      <c r="FY89" s="18">
        <v>6</v>
      </c>
      <c r="FZ89" s="6">
        <f t="shared" si="2040"/>
        <v>493</v>
      </c>
      <c r="GA89" s="19">
        <v>2</v>
      </c>
      <c r="GB89" s="6">
        <f t="shared" si="2041"/>
        <v>157</v>
      </c>
      <c r="GC89" s="6">
        <f t="shared" si="1917"/>
        <v>0</v>
      </c>
      <c r="GD89" s="6">
        <f t="shared" si="2042"/>
        <v>2</v>
      </c>
      <c r="GE89" s="6">
        <f t="shared" si="1918"/>
        <v>0</v>
      </c>
      <c r="GF89" s="6">
        <f t="shared" si="2043"/>
        <v>0</v>
      </c>
      <c r="GG89" s="6">
        <f t="shared" si="1919"/>
        <v>0</v>
      </c>
      <c r="GH89" s="6">
        <f t="shared" si="2044"/>
        <v>0</v>
      </c>
      <c r="GI89" s="6">
        <f t="shared" si="1920"/>
        <v>0</v>
      </c>
      <c r="GJ89" s="6">
        <f t="shared" si="2045"/>
        <v>0</v>
      </c>
      <c r="GK89" s="6">
        <f t="shared" si="1921"/>
        <v>0</v>
      </c>
      <c r="GL89" s="6">
        <f t="shared" si="2046"/>
        <v>3</v>
      </c>
      <c r="GM89" s="6">
        <f t="shared" si="1922"/>
        <v>1</v>
      </c>
      <c r="GN89" s="6">
        <f t="shared" si="2047"/>
        <v>12</v>
      </c>
      <c r="GO89" s="6">
        <f t="shared" si="1923"/>
        <v>0</v>
      </c>
      <c r="GP89" s="6">
        <f t="shared" si="2048"/>
        <v>0</v>
      </c>
      <c r="GQ89" s="6">
        <f t="shared" si="1924"/>
        <v>0</v>
      </c>
      <c r="GR89" s="6">
        <f t="shared" si="2049"/>
        <v>4</v>
      </c>
      <c r="GS89" s="6">
        <f t="shared" si="1925"/>
        <v>1</v>
      </c>
      <c r="GT89" s="6">
        <f t="shared" si="2050"/>
        <v>12</v>
      </c>
      <c r="GU89" s="6">
        <f t="shared" si="1926"/>
        <v>0</v>
      </c>
      <c r="GV89" s="6">
        <f t="shared" si="2051"/>
        <v>23</v>
      </c>
      <c r="GW89" s="6"/>
      <c r="GX89" s="6">
        <f>IF($E89=4,FY89-4,NA())</f>
        <v>2</v>
      </c>
      <c r="GY89" s="6"/>
      <c r="GZ89" s="20">
        <f>FY89-'Zusammenfassung Tag1-4'!$H$2/18</f>
        <v>3</v>
      </c>
      <c r="HA89" s="22">
        <f t="shared" si="2052"/>
        <v>286</v>
      </c>
      <c r="HB89" s="18">
        <v>6</v>
      </c>
      <c r="HC89" s="6">
        <f t="shared" si="2053"/>
        <v>362</v>
      </c>
      <c r="HD89" s="19">
        <v>2</v>
      </c>
      <c r="HE89" s="6">
        <f t="shared" si="2054"/>
        <v>135</v>
      </c>
      <c r="HF89" s="6">
        <f t="shared" si="1928"/>
        <v>0</v>
      </c>
      <c r="HG89" s="6">
        <f t="shared" si="2055"/>
        <v>22</v>
      </c>
      <c r="HH89" s="6">
        <f t="shared" si="1929"/>
        <v>0</v>
      </c>
      <c r="HI89" s="6">
        <f t="shared" si="2056"/>
        <v>7</v>
      </c>
      <c r="HJ89" s="6">
        <f t="shared" si="1930"/>
        <v>0</v>
      </c>
      <c r="HK89" s="6">
        <f t="shared" si="2057"/>
        <v>2</v>
      </c>
      <c r="HL89" s="6">
        <f t="shared" si="1931"/>
        <v>0</v>
      </c>
      <c r="HM89" s="6">
        <f t="shared" si="2058"/>
        <v>5</v>
      </c>
      <c r="HN89" s="6">
        <f t="shared" si="1932"/>
        <v>0</v>
      </c>
      <c r="HO89" s="6">
        <f t="shared" si="2059"/>
        <v>4</v>
      </c>
      <c r="HP89" s="6">
        <f t="shared" si="1933"/>
        <v>1</v>
      </c>
      <c r="HQ89" s="6">
        <f t="shared" si="2060"/>
        <v>4</v>
      </c>
      <c r="HR89" s="6">
        <f t="shared" si="1934"/>
        <v>0</v>
      </c>
      <c r="HS89" s="6">
        <f t="shared" si="2061"/>
        <v>0</v>
      </c>
      <c r="HT89" s="6">
        <f t="shared" si="1935"/>
        <v>0</v>
      </c>
      <c r="HU89" s="6">
        <f t="shared" si="2062"/>
        <v>16</v>
      </c>
      <c r="HV89" s="6">
        <f t="shared" si="1936"/>
        <v>1</v>
      </c>
      <c r="HW89" s="6">
        <f t="shared" si="2063"/>
        <v>5</v>
      </c>
      <c r="HX89" s="6">
        <f t="shared" si="1937"/>
        <v>0</v>
      </c>
      <c r="HY89" s="6">
        <f t="shared" si="2064"/>
        <v>13</v>
      </c>
      <c r="HZ89" s="6"/>
      <c r="IA89" s="6">
        <f>IF($E89=4,HB89-4,NA())</f>
        <v>2</v>
      </c>
      <c r="IB89" s="6"/>
      <c r="IC89" s="20">
        <f>HB89-'Zusammenfassung Tag1-4'!$I$2/18</f>
        <v>5</v>
      </c>
      <c r="ID89" s="22">
        <f t="shared" si="2065"/>
        <v>293</v>
      </c>
      <c r="IE89" s="18">
        <v>7</v>
      </c>
      <c r="IF89" s="6">
        <f t="shared" si="2066"/>
        <v>245</v>
      </c>
      <c r="IG89" s="19">
        <v>1</v>
      </c>
      <c r="IH89" s="6">
        <f t="shared" si="2067"/>
        <v>86</v>
      </c>
      <c r="II89" s="6">
        <f t="shared" si="1939"/>
        <v>0</v>
      </c>
      <c r="IJ89" s="6">
        <f t="shared" si="2068"/>
        <v>37</v>
      </c>
      <c r="IK89" s="6">
        <f t="shared" si="1940"/>
        <v>0</v>
      </c>
      <c r="IL89" s="6">
        <f t="shared" si="2069"/>
        <v>0</v>
      </c>
      <c r="IM89" s="6">
        <f t="shared" si="1941"/>
        <v>0</v>
      </c>
      <c r="IN89" s="6">
        <f t="shared" si="2070"/>
        <v>0</v>
      </c>
      <c r="IO89" s="6">
        <f t="shared" si="1942"/>
        <v>0</v>
      </c>
      <c r="IP89" s="6">
        <f t="shared" si="2071"/>
        <v>0</v>
      </c>
      <c r="IQ89" s="6">
        <f t="shared" si="1943"/>
        <v>0</v>
      </c>
      <c r="IR89" s="6">
        <f t="shared" si="2072"/>
        <v>0</v>
      </c>
      <c r="IS89" s="6">
        <f t="shared" si="1944"/>
        <v>1</v>
      </c>
      <c r="IT89" s="6">
        <f t="shared" si="2073"/>
        <v>15</v>
      </c>
      <c r="IU89" s="6">
        <f t="shared" si="1945"/>
        <v>0</v>
      </c>
      <c r="IV89" s="6">
        <f t="shared" si="2074"/>
        <v>0</v>
      </c>
      <c r="IW89" s="6">
        <f t="shared" si="1946"/>
        <v>1</v>
      </c>
      <c r="IX89" s="6">
        <f t="shared" si="2075"/>
        <v>2</v>
      </c>
      <c r="IY89" s="6">
        <f t="shared" si="1947"/>
        <v>0</v>
      </c>
      <c r="IZ89" s="6">
        <f t="shared" si="2076"/>
        <v>6</v>
      </c>
      <c r="JA89" s="6">
        <f t="shared" si="1948"/>
        <v>0</v>
      </c>
      <c r="JB89" s="6">
        <f t="shared" si="2077"/>
        <v>18</v>
      </c>
      <c r="JC89" s="6"/>
      <c r="JD89" s="6">
        <f>IF($E89=4,IE89-4,NA())</f>
        <v>3</v>
      </c>
      <c r="JE89" s="6"/>
      <c r="JF89" s="20">
        <f>IE89-'Zusammenfassung Tag1-4'!$J$2/18</f>
        <v>4</v>
      </c>
      <c r="JG89" s="22">
        <f t="shared" si="2078"/>
        <v>38</v>
      </c>
      <c r="JH89" s="18">
        <v>5</v>
      </c>
      <c r="JI89" s="6">
        <f t="shared" si="2079"/>
        <v>154</v>
      </c>
      <c r="JJ89" s="19">
        <v>2</v>
      </c>
      <c r="JK89" s="6">
        <f t="shared" si="2080"/>
        <v>63</v>
      </c>
      <c r="JL89" s="6">
        <f t="shared" si="1950"/>
        <v>0</v>
      </c>
      <c r="JM89" s="6">
        <f t="shared" si="2081"/>
        <v>52</v>
      </c>
      <c r="JN89" s="6">
        <f t="shared" si="1951"/>
        <v>0</v>
      </c>
      <c r="JO89" s="6">
        <f t="shared" si="2082"/>
        <v>2</v>
      </c>
      <c r="JP89" s="6">
        <f t="shared" si="1952"/>
        <v>0</v>
      </c>
      <c r="JQ89" s="6">
        <f t="shared" si="2083"/>
        <v>0</v>
      </c>
      <c r="JR89" s="6">
        <f t="shared" si="1953"/>
        <v>0</v>
      </c>
      <c r="JS89" s="6">
        <f t="shared" si="2084"/>
        <v>8</v>
      </c>
      <c r="JT89" s="6">
        <f t="shared" si="1954"/>
        <v>1</v>
      </c>
      <c r="JU89" s="6">
        <f t="shared" si="2085"/>
        <v>5</v>
      </c>
      <c r="JV89" s="6">
        <f t="shared" si="1955"/>
        <v>0</v>
      </c>
      <c r="JW89" s="6">
        <f t="shared" si="2086"/>
        <v>2</v>
      </c>
      <c r="JX89" s="6">
        <f t="shared" si="1956"/>
        <v>0</v>
      </c>
      <c r="JY89" s="6">
        <f t="shared" si="2087"/>
        <v>0</v>
      </c>
      <c r="JZ89" s="6">
        <f t="shared" si="1957"/>
        <v>0</v>
      </c>
      <c r="KA89" s="6">
        <f t="shared" si="2088"/>
        <v>5</v>
      </c>
      <c r="KB89" s="6">
        <f t="shared" si="1958"/>
        <v>1</v>
      </c>
      <c r="KC89" s="6">
        <f t="shared" si="2089"/>
        <v>12</v>
      </c>
      <c r="KD89" s="6">
        <f t="shared" si="1959"/>
        <v>0</v>
      </c>
      <c r="KE89" s="6">
        <f t="shared" si="2090"/>
        <v>2</v>
      </c>
      <c r="KF89" s="6"/>
      <c r="KG89" s="6">
        <f>IF($E89=4,JH89-4,NA())</f>
        <v>1</v>
      </c>
      <c r="KH89" s="6"/>
      <c r="KI89" s="20">
        <f>JH89-'Zusammenfassung Tag1-4'!$K$2/18</f>
        <v>4.2222222222222223</v>
      </c>
      <c r="KJ89" s="22">
        <f t="shared" si="2091"/>
        <v>100.33333333333336</v>
      </c>
      <c r="KK89" s="10"/>
      <c r="KL89" s="10"/>
      <c r="KM89" s="10"/>
      <c r="KN89" s="10"/>
      <c r="KO89" s="10"/>
      <c r="KP89" s="10"/>
      <c r="KQ89" s="10"/>
      <c r="KR89" s="10"/>
      <c r="KS89" s="10"/>
      <c r="KT89" s="10"/>
      <c r="KU89" s="10"/>
      <c r="KV89" s="10"/>
      <c r="KW89" s="10"/>
      <c r="KX89" s="10"/>
      <c r="KY89" s="10"/>
      <c r="KZ89" s="10"/>
      <c r="LA89" s="10"/>
      <c r="LB89" s="10"/>
      <c r="LC89" s="10"/>
      <c r="LD89" s="10"/>
    </row>
    <row r="90" spans="1:316" ht="15.75" customHeight="1" x14ac:dyDescent="0.25">
      <c r="A90" s="106"/>
      <c r="B90" s="103"/>
      <c r="C90" s="6">
        <v>16</v>
      </c>
      <c r="D90" s="6">
        <f t="shared" si="1961"/>
        <v>70</v>
      </c>
      <c r="E90" s="6">
        <v>3</v>
      </c>
      <c r="F90" s="7">
        <f t="shared" si="1962"/>
        <v>279</v>
      </c>
      <c r="G90" s="18"/>
      <c r="H90" s="6"/>
      <c r="I90" s="19"/>
      <c r="J90" s="6">
        <f t="shared" si="1963"/>
        <v>71</v>
      </c>
      <c r="K90" s="6">
        <f t="shared" si="1851"/>
        <v>1</v>
      </c>
      <c r="L90" s="6">
        <f t="shared" si="1964"/>
        <v>49</v>
      </c>
      <c r="M90" s="6">
        <f t="shared" si="1852"/>
        <v>0</v>
      </c>
      <c r="N90" s="6">
        <f t="shared" si="1965"/>
        <v>3</v>
      </c>
      <c r="O90" s="6">
        <f t="shared" si="1853"/>
        <v>0</v>
      </c>
      <c r="P90" s="6">
        <f t="shared" si="1966"/>
        <v>1</v>
      </c>
      <c r="Q90" s="6">
        <f t="shared" si="1854"/>
        <v>0</v>
      </c>
      <c r="R90" s="6">
        <f t="shared" si="1967"/>
        <v>0</v>
      </c>
      <c r="S90" s="6">
        <f t="shared" si="1855"/>
        <v>0</v>
      </c>
      <c r="T90" s="6">
        <f t="shared" si="1968"/>
        <v>0</v>
      </c>
      <c r="U90" s="6">
        <f t="shared" si="1856"/>
        <v>0</v>
      </c>
      <c r="V90" s="6">
        <f t="shared" si="1969"/>
        <v>0</v>
      </c>
      <c r="W90" s="6">
        <f t="shared" si="1857"/>
        <v>1</v>
      </c>
      <c r="X90" s="6">
        <f t="shared" si="1970"/>
        <v>16</v>
      </c>
      <c r="Y90" s="6">
        <f t="shared" si="1858"/>
        <v>0</v>
      </c>
      <c r="Z90" s="6">
        <f t="shared" si="1971"/>
        <v>7</v>
      </c>
      <c r="AA90" s="6">
        <f t="shared" si="1859"/>
        <v>0</v>
      </c>
      <c r="AB90" s="6">
        <f t="shared" si="1972"/>
        <v>0</v>
      </c>
      <c r="AC90" s="6">
        <f t="shared" si="1860"/>
        <v>0</v>
      </c>
      <c r="AD90" s="6">
        <f t="shared" si="1973"/>
        <v>5</v>
      </c>
      <c r="AE90" s="6">
        <f>IF($E90=3,G90-3,NA())</f>
        <v>-3</v>
      </c>
      <c r="AF90" s="6"/>
      <c r="AG90" s="6"/>
      <c r="AH90" s="20">
        <f>G90-'Zusammenfassung Tag1-4'!$B$2/18</f>
        <v>-1.1111111111111112</v>
      </c>
      <c r="AI90" s="21">
        <f t="shared" si="1974"/>
        <v>99.22222222222203</v>
      </c>
      <c r="AJ90" s="18">
        <v>3</v>
      </c>
      <c r="AK90" s="6">
        <f t="shared" si="1975"/>
        <v>314</v>
      </c>
      <c r="AL90" s="19">
        <v>2</v>
      </c>
      <c r="AM90" s="6">
        <f t="shared" si="1976"/>
        <v>122</v>
      </c>
      <c r="AN90" s="6">
        <f t="shared" si="1862"/>
        <v>1</v>
      </c>
      <c r="AO90" s="6">
        <f t="shared" si="1977"/>
        <v>36</v>
      </c>
      <c r="AP90" s="6">
        <f t="shared" si="1863"/>
        <v>0</v>
      </c>
      <c r="AQ90" s="6">
        <f t="shared" si="1978"/>
        <v>12</v>
      </c>
      <c r="AR90" s="6">
        <f t="shared" si="1864"/>
        <v>0</v>
      </c>
      <c r="AS90" s="6">
        <f t="shared" si="1979"/>
        <v>5</v>
      </c>
      <c r="AT90" s="6">
        <f t="shared" si="1865"/>
        <v>1</v>
      </c>
      <c r="AU90" s="6">
        <f t="shared" si="1980"/>
        <v>11</v>
      </c>
      <c r="AV90" s="6">
        <f t="shared" si="1866"/>
        <v>0</v>
      </c>
      <c r="AW90" s="6">
        <f t="shared" si="1981"/>
        <v>4</v>
      </c>
      <c r="AX90" s="6">
        <f t="shared" si="1867"/>
        <v>0</v>
      </c>
      <c r="AY90" s="6">
        <f t="shared" si="1982"/>
        <v>0</v>
      </c>
      <c r="AZ90" s="6">
        <f t="shared" si="1868"/>
        <v>0</v>
      </c>
      <c r="BA90" s="6">
        <f t="shared" si="1983"/>
        <v>0</v>
      </c>
      <c r="BB90" s="6">
        <f t="shared" si="1869"/>
        <v>0</v>
      </c>
      <c r="BC90" s="6">
        <f t="shared" si="1984"/>
        <v>24</v>
      </c>
      <c r="BD90" s="6">
        <f t="shared" si="1870"/>
        <v>1</v>
      </c>
      <c r="BE90" s="6">
        <f t="shared" si="1985"/>
        <v>9</v>
      </c>
      <c r="BF90" s="6">
        <f t="shared" si="1871"/>
        <v>0</v>
      </c>
      <c r="BG90" s="6">
        <f t="shared" si="1986"/>
        <v>6</v>
      </c>
      <c r="BH90" s="6">
        <f>IF($E90=3,AJ90-3,NA())</f>
        <v>0</v>
      </c>
      <c r="BI90" s="6"/>
      <c r="BJ90" s="6"/>
      <c r="BK90" s="20">
        <f>AJ90-'Zusammenfassung Tag1-4'!$C$2/18</f>
        <v>2.3333333333333335</v>
      </c>
      <c r="BL90" s="21">
        <f t="shared" si="1987"/>
        <v>267.33333333333354</v>
      </c>
      <c r="BM90" s="18">
        <v>4</v>
      </c>
      <c r="BN90" s="6">
        <f t="shared" si="1988"/>
        <v>388</v>
      </c>
      <c r="BO90" s="19">
        <v>1</v>
      </c>
      <c r="BP90" s="6">
        <f t="shared" si="1989"/>
        <v>144</v>
      </c>
      <c r="BQ90" s="6">
        <f t="shared" si="1873"/>
        <v>0</v>
      </c>
      <c r="BR90" s="6">
        <f t="shared" si="1990"/>
        <v>10</v>
      </c>
      <c r="BS90" s="6">
        <f t="shared" si="1874"/>
        <v>0</v>
      </c>
      <c r="BT90" s="6">
        <f t="shared" si="1991"/>
        <v>6</v>
      </c>
      <c r="BU90" s="6">
        <f t="shared" si="1875"/>
        <v>0</v>
      </c>
      <c r="BV90" s="6">
        <f t="shared" si="1992"/>
        <v>0</v>
      </c>
      <c r="BW90" s="6">
        <f t="shared" si="1876"/>
        <v>0</v>
      </c>
      <c r="BX90" s="6">
        <f t="shared" si="1993"/>
        <v>4</v>
      </c>
      <c r="BY90" s="6">
        <f t="shared" si="1877"/>
        <v>1</v>
      </c>
      <c r="BZ90" s="6">
        <f t="shared" si="1994"/>
        <v>7</v>
      </c>
      <c r="CA90" s="6">
        <f t="shared" si="1878"/>
        <v>0</v>
      </c>
      <c r="CB90" s="6">
        <f t="shared" si="1995"/>
        <v>5</v>
      </c>
      <c r="CC90" s="6">
        <f t="shared" si="1879"/>
        <v>0</v>
      </c>
      <c r="CD90" s="6">
        <f t="shared" si="1996"/>
        <v>0</v>
      </c>
      <c r="CE90" s="6">
        <f t="shared" si="1880"/>
        <v>1</v>
      </c>
      <c r="CF90" s="6">
        <f t="shared" si="1997"/>
        <v>13</v>
      </c>
      <c r="CG90" s="6">
        <f t="shared" si="1881"/>
        <v>0</v>
      </c>
      <c r="CH90" s="6">
        <f t="shared" si="1998"/>
        <v>9</v>
      </c>
      <c r="CI90" s="6">
        <f t="shared" si="1882"/>
        <v>0</v>
      </c>
      <c r="CJ90" s="6">
        <f t="shared" si="1999"/>
        <v>17</v>
      </c>
      <c r="CK90" s="6">
        <f>IF($E90=3,BM90-3,NA())</f>
        <v>1</v>
      </c>
      <c r="CL90" s="6"/>
      <c r="CM90" s="6"/>
      <c r="CN90" s="20">
        <f>BM90-'Zusammenfassung Tag1-4'!$D$2/18</f>
        <v>2.666666666666667</v>
      </c>
      <c r="CO90" s="21">
        <f t="shared" si="2000"/>
        <v>294.66666666666663</v>
      </c>
      <c r="CP90" s="18">
        <v>3</v>
      </c>
      <c r="CQ90" s="6">
        <f t="shared" si="2001"/>
        <v>357</v>
      </c>
      <c r="CR90" s="19">
        <v>2</v>
      </c>
      <c r="CS90" s="6">
        <f t="shared" si="2002"/>
        <v>137</v>
      </c>
      <c r="CT90" s="6">
        <f t="shared" si="1884"/>
        <v>1</v>
      </c>
      <c r="CU90" s="6">
        <f t="shared" si="2003"/>
        <v>16</v>
      </c>
      <c r="CV90" s="6">
        <f t="shared" si="1885"/>
        <v>0</v>
      </c>
      <c r="CW90" s="6">
        <f t="shared" si="2004"/>
        <v>8</v>
      </c>
      <c r="CX90" s="6">
        <f t="shared" si="1886"/>
        <v>0</v>
      </c>
      <c r="CY90" s="6">
        <f t="shared" si="2005"/>
        <v>1</v>
      </c>
      <c r="CZ90" s="6">
        <f t="shared" si="1887"/>
        <v>1</v>
      </c>
      <c r="DA90" s="6">
        <f t="shared" si="2006"/>
        <v>7</v>
      </c>
      <c r="DB90" s="6">
        <f t="shared" si="1888"/>
        <v>0</v>
      </c>
      <c r="DC90" s="6">
        <f t="shared" si="2007"/>
        <v>7</v>
      </c>
      <c r="DD90" s="6">
        <f t="shared" si="1889"/>
        <v>0</v>
      </c>
      <c r="DE90" s="6">
        <f t="shared" si="2008"/>
        <v>1</v>
      </c>
      <c r="DF90" s="6">
        <f t="shared" si="1890"/>
        <v>0</v>
      </c>
      <c r="DG90" s="6">
        <f t="shared" si="2009"/>
        <v>0</v>
      </c>
      <c r="DH90" s="6">
        <f t="shared" si="1891"/>
        <v>0</v>
      </c>
      <c r="DI90" s="6">
        <f t="shared" si="2010"/>
        <v>16</v>
      </c>
      <c r="DJ90" s="6">
        <f t="shared" si="1892"/>
        <v>1</v>
      </c>
      <c r="DK90" s="6">
        <f t="shared" si="2011"/>
        <v>11</v>
      </c>
      <c r="DL90" s="6">
        <f t="shared" si="1893"/>
        <v>0</v>
      </c>
      <c r="DM90" s="6">
        <f t="shared" si="2012"/>
        <v>13</v>
      </c>
      <c r="DN90" s="6">
        <f>IF($E90=3,CP90-3,NA())</f>
        <v>0</v>
      </c>
      <c r="DO90" s="6"/>
      <c r="DP90" s="6"/>
      <c r="DQ90" s="20">
        <f>CP90-'Zusammenfassung Tag1-4'!$E$2/18</f>
        <v>1.7222222222222223</v>
      </c>
      <c r="DR90" s="22">
        <f t="shared" si="2013"/>
        <v>267.55555555555588</v>
      </c>
      <c r="DS90" s="18">
        <v>6</v>
      </c>
      <c r="DT90" s="6">
        <f t="shared" si="2014"/>
        <v>524</v>
      </c>
      <c r="DU90" s="19">
        <v>2</v>
      </c>
      <c r="DV90" s="6">
        <f t="shared" si="2015"/>
        <v>157</v>
      </c>
      <c r="DW90" s="6">
        <f t="shared" si="1895"/>
        <v>0</v>
      </c>
      <c r="DX90" s="6">
        <f t="shared" si="2016"/>
        <v>1</v>
      </c>
      <c r="DY90" s="6">
        <f t="shared" si="1896"/>
        <v>0</v>
      </c>
      <c r="DZ90" s="6">
        <f t="shared" si="2017"/>
        <v>0</v>
      </c>
      <c r="EA90" s="6">
        <f t="shared" si="1897"/>
        <v>0</v>
      </c>
      <c r="EB90" s="6">
        <f t="shared" si="2018"/>
        <v>0</v>
      </c>
      <c r="EC90" s="6">
        <f t="shared" si="1898"/>
        <v>0</v>
      </c>
      <c r="ED90" s="6">
        <f t="shared" si="2019"/>
        <v>0</v>
      </c>
      <c r="EE90" s="6">
        <f t="shared" si="1899"/>
        <v>0</v>
      </c>
      <c r="EF90" s="6">
        <f t="shared" si="2020"/>
        <v>1</v>
      </c>
      <c r="EG90" s="6">
        <f t="shared" si="1900"/>
        <v>1</v>
      </c>
      <c r="EH90" s="6">
        <f t="shared" si="2021"/>
        <v>15</v>
      </c>
      <c r="EI90" s="6">
        <f t="shared" si="1901"/>
        <v>0</v>
      </c>
      <c r="EJ90" s="6">
        <f t="shared" si="2022"/>
        <v>0</v>
      </c>
      <c r="EK90" s="6">
        <f t="shared" si="1902"/>
        <v>0</v>
      </c>
      <c r="EL90" s="6">
        <f t="shared" si="2023"/>
        <v>2</v>
      </c>
      <c r="EM90" s="6">
        <f t="shared" si="1903"/>
        <v>1</v>
      </c>
      <c r="EN90" s="6">
        <f t="shared" si="2024"/>
        <v>12</v>
      </c>
      <c r="EO90" s="6">
        <f t="shared" si="1904"/>
        <v>0</v>
      </c>
      <c r="EP90" s="6">
        <f t="shared" si="2025"/>
        <v>17</v>
      </c>
      <c r="EQ90" s="6">
        <f>IF($E90=3,DS90-3,NA())</f>
        <v>3</v>
      </c>
      <c r="ER90" s="6"/>
      <c r="ES90" s="6"/>
      <c r="ET90" s="20">
        <f>DS90-'Zusammenfassung Tag1-4'!$F$2/18</f>
        <v>3</v>
      </c>
      <c r="EU90" s="22">
        <f t="shared" si="2026"/>
        <v>314</v>
      </c>
      <c r="EV90" s="18">
        <v>3</v>
      </c>
      <c r="EW90" s="6">
        <f t="shared" si="2027"/>
        <v>391</v>
      </c>
      <c r="EX90" s="19">
        <v>2</v>
      </c>
      <c r="EY90" s="6">
        <f t="shared" si="2028"/>
        <v>144</v>
      </c>
      <c r="EZ90" s="6">
        <f t="shared" si="1906"/>
        <v>1</v>
      </c>
      <c r="FA90" s="6">
        <f t="shared" si="2029"/>
        <v>13</v>
      </c>
      <c r="FB90" s="6">
        <f t="shared" si="1907"/>
        <v>0</v>
      </c>
      <c r="FC90" s="6">
        <f t="shared" si="2030"/>
        <v>1</v>
      </c>
      <c r="FD90" s="6">
        <f t="shared" si="1908"/>
        <v>0</v>
      </c>
      <c r="FE90" s="6">
        <f t="shared" si="2031"/>
        <v>0</v>
      </c>
      <c r="FF90" s="6">
        <f t="shared" si="1909"/>
        <v>1</v>
      </c>
      <c r="FG90" s="6">
        <f t="shared" si="2032"/>
        <v>3</v>
      </c>
      <c r="FH90" s="6">
        <f t="shared" si="1910"/>
        <v>0</v>
      </c>
      <c r="FI90" s="6">
        <f t="shared" si="2033"/>
        <v>6</v>
      </c>
      <c r="FJ90" s="6">
        <f t="shared" si="1911"/>
        <v>0</v>
      </c>
      <c r="FK90" s="6">
        <f t="shared" si="2034"/>
        <v>7</v>
      </c>
      <c r="FL90" s="6">
        <f t="shared" si="1912"/>
        <v>0</v>
      </c>
      <c r="FM90" s="6">
        <f t="shared" si="2035"/>
        <v>0</v>
      </c>
      <c r="FN90" s="6">
        <f t="shared" si="1913"/>
        <v>0</v>
      </c>
      <c r="FO90" s="6">
        <f t="shared" si="2036"/>
        <v>8</v>
      </c>
      <c r="FP90" s="6">
        <f t="shared" si="1914"/>
        <v>1</v>
      </c>
      <c r="FQ90" s="6">
        <f t="shared" si="2037"/>
        <v>15</v>
      </c>
      <c r="FR90" s="6">
        <f t="shared" si="1915"/>
        <v>0</v>
      </c>
      <c r="FS90" s="6">
        <f t="shared" si="2038"/>
        <v>12</v>
      </c>
      <c r="FT90" s="6">
        <f>IF($E90=3,EV90-3,NA())</f>
        <v>0</v>
      </c>
      <c r="FU90" s="6"/>
      <c r="FV90" s="6"/>
      <c r="FW90" s="20">
        <f>EV90-'Zusammenfassung Tag1-4'!$G$2/18</f>
        <v>1.5</v>
      </c>
      <c r="FX90" s="22">
        <f t="shared" si="2039"/>
        <v>286</v>
      </c>
      <c r="FY90" s="18">
        <v>4</v>
      </c>
      <c r="FZ90" s="6">
        <f t="shared" si="2040"/>
        <v>497</v>
      </c>
      <c r="GA90" s="19">
        <v>2</v>
      </c>
      <c r="GB90" s="6">
        <f t="shared" si="2041"/>
        <v>159</v>
      </c>
      <c r="GC90" s="6">
        <f t="shared" si="1917"/>
        <v>0</v>
      </c>
      <c r="GD90" s="6">
        <f t="shared" si="2042"/>
        <v>2</v>
      </c>
      <c r="GE90" s="6">
        <f t="shared" si="1918"/>
        <v>0</v>
      </c>
      <c r="GF90" s="6">
        <f t="shared" si="2043"/>
        <v>0</v>
      </c>
      <c r="GG90" s="6">
        <f t="shared" si="1919"/>
        <v>0</v>
      </c>
      <c r="GH90" s="6">
        <f t="shared" si="2044"/>
        <v>0</v>
      </c>
      <c r="GI90" s="6">
        <f t="shared" si="1920"/>
        <v>0</v>
      </c>
      <c r="GJ90" s="6">
        <f t="shared" si="2045"/>
        <v>0</v>
      </c>
      <c r="GK90" s="6">
        <f t="shared" si="1921"/>
        <v>1</v>
      </c>
      <c r="GL90" s="6">
        <f t="shared" si="2046"/>
        <v>4</v>
      </c>
      <c r="GM90" s="6">
        <f t="shared" si="1922"/>
        <v>0</v>
      </c>
      <c r="GN90" s="6">
        <f t="shared" si="2047"/>
        <v>12</v>
      </c>
      <c r="GO90" s="6">
        <f t="shared" si="1923"/>
        <v>0</v>
      </c>
      <c r="GP90" s="6">
        <f t="shared" si="2048"/>
        <v>0</v>
      </c>
      <c r="GQ90" s="6">
        <f t="shared" si="1924"/>
        <v>0</v>
      </c>
      <c r="GR90" s="6">
        <f t="shared" si="2049"/>
        <v>4</v>
      </c>
      <c r="GS90" s="6">
        <f t="shared" si="1925"/>
        <v>1</v>
      </c>
      <c r="GT90" s="6">
        <f t="shared" si="2050"/>
        <v>13</v>
      </c>
      <c r="GU90" s="6">
        <f t="shared" si="1926"/>
        <v>0</v>
      </c>
      <c r="GV90" s="6">
        <f t="shared" si="2051"/>
        <v>23</v>
      </c>
      <c r="GW90" s="6">
        <f>IF($E90=3,FY90-3,NA())</f>
        <v>1</v>
      </c>
      <c r="GX90" s="6"/>
      <c r="GY90" s="6"/>
      <c r="GZ90" s="20">
        <f>FY90-'Zusammenfassung Tag1-4'!$H$2/18</f>
        <v>1</v>
      </c>
      <c r="HA90" s="22">
        <f t="shared" si="2052"/>
        <v>287</v>
      </c>
      <c r="HB90" s="18">
        <v>4</v>
      </c>
      <c r="HC90" s="6">
        <f t="shared" si="2053"/>
        <v>366</v>
      </c>
      <c r="HD90" s="19">
        <v>3</v>
      </c>
      <c r="HE90" s="6">
        <f t="shared" si="2054"/>
        <v>138</v>
      </c>
      <c r="HF90" s="6">
        <f t="shared" si="1928"/>
        <v>1</v>
      </c>
      <c r="HG90" s="6">
        <f t="shared" si="2055"/>
        <v>23</v>
      </c>
      <c r="HH90" s="6">
        <f t="shared" si="1929"/>
        <v>0</v>
      </c>
      <c r="HI90" s="6">
        <f t="shared" si="2056"/>
        <v>7</v>
      </c>
      <c r="HJ90" s="6">
        <f t="shared" si="1930"/>
        <v>0</v>
      </c>
      <c r="HK90" s="6">
        <f t="shared" si="2057"/>
        <v>2</v>
      </c>
      <c r="HL90" s="6">
        <f t="shared" si="1931"/>
        <v>0</v>
      </c>
      <c r="HM90" s="6">
        <f t="shared" si="2058"/>
        <v>5</v>
      </c>
      <c r="HN90" s="6">
        <f t="shared" si="1932"/>
        <v>1</v>
      </c>
      <c r="HO90" s="6">
        <f t="shared" si="2059"/>
        <v>5</v>
      </c>
      <c r="HP90" s="6">
        <f t="shared" si="1933"/>
        <v>0</v>
      </c>
      <c r="HQ90" s="6">
        <f t="shared" si="2060"/>
        <v>4</v>
      </c>
      <c r="HR90" s="6">
        <f t="shared" si="1934"/>
        <v>0</v>
      </c>
      <c r="HS90" s="6">
        <f t="shared" si="2061"/>
        <v>0</v>
      </c>
      <c r="HT90" s="6">
        <f t="shared" si="1935"/>
        <v>0</v>
      </c>
      <c r="HU90" s="6">
        <f t="shared" si="2062"/>
        <v>16</v>
      </c>
      <c r="HV90" s="6">
        <f t="shared" si="1936"/>
        <v>0</v>
      </c>
      <c r="HW90" s="6">
        <f t="shared" si="2063"/>
        <v>5</v>
      </c>
      <c r="HX90" s="6">
        <f t="shared" si="1937"/>
        <v>1</v>
      </c>
      <c r="HY90" s="6">
        <f t="shared" si="2064"/>
        <v>14</v>
      </c>
      <c r="HZ90" s="6">
        <f>IF($E90=3,HB90-3,NA())</f>
        <v>1</v>
      </c>
      <c r="IA90" s="6"/>
      <c r="IB90" s="6"/>
      <c r="IC90" s="20">
        <f>HB90-'Zusammenfassung Tag1-4'!$I$2/18</f>
        <v>3</v>
      </c>
      <c r="ID90" s="22">
        <f t="shared" si="2065"/>
        <v>296</v>
      </c>
      <c r="IE90" s="18">
        <v>6</v>
      </c>
      <c r="IF90" s="6">
        <f t="shared" si="2066"/>
        <v>251</v>
      </c>
      <c r="IG90" s="19">
        <v>3</v>
      </c>
      <c r="IH90" s="6">
        <f t="shared" si="2067"/>
        <v>89</v>
      </c>
      <c r="II90" s="6">
        <f t="shared" si="1939"/>
        <v>0</v>
      </c>
      <c r="IJ90" s="6">
        <f t="shared" si="2068"/>
        <v>37</v>
      </c>
      <c r="IK90" s="6">
        <f t="shared" si="1940"/>
        <v>0</v>
      </c>
      <c r="IL90" s="6">
        <f t="shared" si="2069"/>
        <v>0</v>
      </c>
      <c r="IM90" s="6">
        <f t="shared" si="1941"/>
        <v>0</v>
      </c>
      <c r="IN90" s="6">
        <f t="shared" si="2070"/>
        <v>0</v>
      </c>
      <c r="IO90" s="6">
        <f t="shared" si="1942"/>
        <v>0</v>
      </c>
      <c r="IP90" s="6">
        <f t="shared" si="2071"/>
        <v>0</v>
      </c>
      <c r="IQ90" s="6">
        <f t="shared" si="1943"/>
        <v>0</v>
      </c>
      <c r="IR90" s="6">
        <f t="shared" si="2072"/>
        <v>0</v>
      </c>
      <c r="IS90" s="6">
        <f t="shared" si="1944"/>
        <v>1</v>
      </c>
      <c r="IT90" s="6">
        <f t="shared" si="2073"/>
        <v>16</v>
      </c>
      <c r="IU90" s="6">
        <f t="shared" si="1945"/>
        <v>0</v>
      </c>
      <c r="IV90" s="6">
        <f t="shared" si="2074"/>
        <v>0</v>
      </c>
      <c r="IW90" s="6">
        <f t="shared" si="1946"/>
        <v>0</v>
      </c>
      <c r="IX90" s="6">
        <f t="shared" si="2075"/>
        <v>2</v>
      </c>
      <c r="IY90" s="6">
        <f t="shared" si="1947"/>
        <v>0</v>
      </c>
      <c r="IZ90" s="6">
        <f t="shared" si="2076"/>
        <v>6</v>
      </c>
      <c r="JA90" s="6">
        <f t="shared" si="1948"/>
        <v>1</v>
      </c>
      <c r="JB90" s="6">
        <f t="shared" si="2077"/>
        <v>19</v>
      </c>
      <c r="JC90" s="6">
        <f>IF($E90=3,IE90-3,NA())</f>
        <v>3</v>
      </c>
      <c r="JD90" s="6"/>
      <c r="JE90" s="6"/>
      <c r="JF90" s="20">
        <f>IE90-'Zusammenfassung Tag1-4'!$J$2/18</f>
        <v>3</v>
      </c>
      <c r="JG90" s="22">
        <f t="shared" si="2078"/>
        <v>41</v>
      </c>
      <c r="JH90" s="18">
        <v>3</v>
      </c>
      <c r="JI90" s="6">
        <f t="shared" si="2079"/>
        <v>157</v>
      </c>
      <c r="JJ90" s="19">
        <v>2</v>
      </c>
      <c r="JK90" s="6">
        <f t="shared" si="2080"/>
        <v>65</v>
      </c>
      <c r="JL90" s="6">
        <f t="shared" si="1950"/>
        <v>1</v>
      </c>
      <c r="JM90" s="6">
        <f t="shared" si="2081"/>
        <v>53</v>
      </c>
      <c r="JN90" s="6">
        <f t="shared" si="1951"/>
        <v>0</v>
      </c>
      <c r="JO90" s="6">
        <f t="shared" si="2082"/>
        <v>2</v>
      </c>
      <c r="JP90" s="6">
        <f t="shared" si="1952"/>
        <v>0</v>
      </c>
      <c r="JQ90" s="6">
        <f t="shared" si="2083"/>
        <v>0</v>
      </c>
      <c r="JR90" s="6">
        <f t="shared" si="1953"/>
        <v>1</v>
      </c>
      <c r="JS90" s="6">
        <f t="shared" si="2084"/>
        <v>9</v>
      </c>
      <c r="JT90" s="6">
        <f t="shared" si="1954"/>
        <v>0</v>
      </c>
      <c r="JU90" s="6">
        <f t="shared" si="2085"/>
        <v>5</v>
      </c>
      <c r="JV90" s="6">
        <f t="shared" si="1955"/>
        <v>0</v>
      </c>
      <c r="JW90" s="6">
        <f t="shared" si="2086"/>
        <v>2</v>
      </c>
      <c r="JX90" s="6">
        <f t="shared" si="1956"/>
        <v>0</v>
      </c>
      <c r="JY90" s="6">
        <f t="shared" si="2087"/>
        <v>0</v>
      </c>
      <c r="JZ90" s="6">
        <f t="shared" si="1957"/>
        <v>0</v>
      </c>
      <c r="KA90" s="6">
        <f t="shared" si="2088"/>
        <v>5</v>
      </c>
      <c r="KB90" s="6">
        <f t="shared" si="1958"/>
        <v>1</v>
      </c>
      <c r="KC90" s="6">
        <f t="shared" si="2089"/>
        <v>13</v>
      </c>
      <c r="KD90" s="6">
        <f t="shared" si="1959"/>
        <v>0</v>
      </c>
      <c r="KE90" s="6">
        <f t="shared" si="2090"/>
        <v>2</v>
      </c>
      <c r="KF90" s="6">
        <f>IF($E90=3,JH90-3,NA())</f>
        <v>0</v>
      </c>
      <c r="KG90" s="6"/>
      <c r="KH90" s="6"/>
      <c r="KI90" s="20">
        <f>JH90-'Zusammenfassung Tag1-4'!$K$2/18</f>
        <v>2.2222222222222223</v>
      </c>
      <c r="KJ90" s="22">
        <f t="shared" si="2091"/>
        <v>102.55555555555559</v>
      </c>
      <c r="KK90" s="10"/>
      <c r="KL90" s="10"/>
      <c r="KM90" s="10"/>
      <c r="KN90" s="10"/>
      <c r="KO90" s="10"/>
      <c r="KP90" s="10"/>
      <c r="KQ90" s="10"/>
      <c r="KR90" s="10"/>
      <c r="KS90" s="10"/>
      <c r="KT90" s="10"/>
      <c r="KU90" s="10"/>
      <c r="KV90" s="10"/>
      <c r="KW90" s="10"/>
      <c r="KX90" s="10"/>
      <c r="KY90" s="10"/>
      <c r="KZ90" s="10"/>
      <c r="LA90" s="10"/>
      <c r="LB90" s="10"/>
      <c r="LC90" s="10"/>
      <c r="LD90" s="10"/>
    </row>
    <row r="91" spans="1:316" ht="15.75" customHeight="1" x14ac:dyDescent="0.25">
      <c r="A91" s="106"/>
      <c r="B91" s="103"/>
      <c r="C91" s="6">
        <v>17</v>
      </c>
      <c r="D91" s="6">
        <f t="shared" si="1961"/>
        <v>71</v>
      </c>
      <c r="E91" s="6">
        <v>5</v>
      </c>
      <c r="F91" s="7">
        <f t="shared" si="1962"/>
        <v>284</v>
      </c>
      <c r="G91" s="18"/>
      <c r="H91" s="6"/>
      <c r="I91" s="19"/>
      <c r="J91" s="6">
        <f t="shared" si="1963"/>
        <v>71</v>
      </c>
      <c r="K91" s="6">
        <f t="shared" si="1851"/>
        <v>1</v>
      </c>
      <c r="L91" s="6">
        <f t="shared" si="1964"/>
        <v>50</v>
      </c>
      <c r="M91" s="6">
        <f t="shared" si="1852"/>
        <v>0</v>
      </c>
      <c r="N91" s="6">
        <f t="shared" si="1965"/>
        <v>3</v>
      </c>
      <c r="O91" s="6">
        <f t="shared" si="1853"/>
        <v>0</v>
      </c>
      <c r="P91" s="6">
        <f t="shared" si="1966"/>
        <v>1</v>
      </c>
      <c r="Q91" s="6">
        <f t="shared" si="1854"/>
        <v>0</v>
      </c>
      <c r="R91" s="6">
        <f t="shared" si="1967"/>
        <v>0</v>
      </c>
      <c r="S91" s="6">
        <f t="shared" si="1855"/>
        <v>0</v>
      </c>
      <c r="T91" s="6">
        <f t="shared" si="1968"/>
        <v>0</v>
      </c>
      <c r="U91" s="6">
        <f t="shared" si="1856"/>
        <v>0</v>
      </c>
      <c r="V91" s="6">
        <f t="shared" si="1969"/>
        <v>0</v>
      </c>
      <c r="W91" s="6">
        <f t="shared" si="1857"/>
        <v>1</v>
      </c>
      <c r="X91" s="6">
        <f t="shared" si="1970"/>
        <v>17</v>
      </c>
      <c r="Y91" s="6">
        <f t="shared" si="1858"/>
        <v>0</v>
      </c>
      <c r="Z91" s="6">
        <f t="shared" si="1971"/>
        <v>7</v>
      </c>
      <c r="AA91" s="6">
        <f t="shared" si="1859"/>
        <v>0</v>
      </c>
      <c r="AB91" s="6">
        <f t="shared" si="1972"/>
        <v>0</v>
      </c>
      <c r="AC91" s="6">
        <f t="shared" si="1860"/>
        <v>0</v>
      </c>
      <c r="AD91" s="6">
        <f t="shared" si="1973"/>
        <v>5</v>
      </c>
      <c r="AE91" s="6"/>
      <c r="AF91" s="6"/>
      <c r="AG91" s="6">
        <f>IF($E91=5,G91-5,NA())</f>
        <v>-5</v>
      </c>
      <c r="AH91" s="20">
        <f>G91-'Zusammenfassung Tag1-4'!$B$2/18</f>
        <v>-1.1111111111111112</v>
      </c>
      <c r="AI91" s="21">
        <f t="shared" si="1974"/>
        <v>98.111111111110915</v>
      </c>
      <c r="AJ91" s="18">
        <v>5</v>
      </c>
      <c r="AK91" s="6">
        <f t="shared" si="1975"/>
        <v>319</v>
      </c>
      <c r="AL91" s="19">
        <v>2</v>
      </c>
      <c r="AM91" s="6">
        <f t="shared" si="1976"/>
        <v>124</v>
      </c>
      <c r="AN91" s="6">
        <f t="shared" si="1862"/>
        <v>1</v>
      </c>
      <c r="AO91" s="6">
        <f t="shared" si="1977"/>
        <v>37</v>
      </c>
      <c r="AP91" s="6">
        <f t="shared" si="1863"/>
        <v>0</v>
      </c>
      <c r="AQ91" s="6">
        <f t="shared" si="1978"/>
        <v>12</v>
      </c>
      <c r="AR91" s="6">
        <f t="shared" si="1864"/>
        <v>0</v>
      </c>
      <c r="AS91" s="6">
        <f t="shared" si="1979"/>
        <v>5</v>
      </c>
      <c r="AT91" s="6">
        <f t="shared" si="1865"/>
        <v>1</v>
      </c>
      <c r="AU91" s="6">
        <f t="shared" si="1980"/>
        <v>12</v>
      </c>
      <c r="AV91" s="6">
        <f t="shared" si="1866"/>
        <v>0</v>
      </c>
      <c r="AW91" s="6">
        <f t="shared" si="1981"/>
        <v>4</v>
      </c>
      <c r="AX91" s="6">
        <f t="shared" si="1867"/>
        <v>0</v>
      </c>
      <c r="AY91" s="6">
        <f t="shared" si="1982"/>
        <v>0</v>
      </c>
      <c r="AZ91" s="6">
        <f t="shared" si="1868"/>
        <v>0</v>
      </c>
      <c r="BA91" s="6">
        <f t="shared" si="1983"/>
        <v>0</v>
      </c>
      <c r="BB91" s="6">
        <f t="shared" si="1869"/>
        <v>0</v>
      </c>
      <c r="BC91" s="6">
        <f t="shared" si="1984"/>
        <v>24</v>
      </c>
      <c r="BD91" s="6">
        <f t="shared" si="1870"/>
        <v>1</v>
      </c>
      <c r="BE91" s="6">
        <f t="shared" si="1985"/>
        <v>10</v>
      </c>
      <c r="BF91" s="6">
        <f t="shared" si="1871"/>
        <v>0</v>
      </c>
      <c r="BG91" s="6">
        <f t="shared" si="1986"/>
        <v>6</v>
      </c>
      <c r="BH91" s="6"/>
      <c r="BI91" s="6"/>
      <c r="BJ91" s="6">
        <f>IF($E91=5,AJ91-5,NA())</f>
        <v>0</v>
      </c>
      <c r="BK91" s="20">
        <f>AJ91-'Zusammenfassung Tag1-4'!$C$2/18</f>
        <v>4.333333333333333</v>
      </c>
      <c r="BL91" s="21">
        <f t="shared" si="1987"/>
        <v>271.66666666666686</v>
      </c>
      <c r="BM91" s="18">
        <v>6</v>
      </c>
      <c r="BN91" s="6">
        <f t="shared" si="1988"/>
        <v>394</v>
      </c>
      <c r="BO91" s="19">
        <v>2</v>
      </c>
      <c r="BP91" s="6">
        <f t="shared" si="1989"/>
        <v>146</v>
      </c>
      <c r="BQ91" s="6">
        <f t="shared" si="1873"/>
        <v>0</v>
      </c>
      <c r="BR91" s="6">
        <f t="shared" si="1990"/>
        <v>10</v>
      </c>
      <c r="BS91" s="6">
        <f t="shared" si="1874"/>
        <v>0</v>
      </c>
      <c r="BT91" s="6">
        <f t="shared" si="1991"/>
        <v>6</v>
      </c>
      <c r="BU91" s="6">
        <f t="shared" si="1875"/>
        <v>0</v>
      </c>
      <c r="BV91" s="6">
        <f t="shared" si="1992"/>
        <v>0</v>
      </c>
      <c r="BW91" s="6">
        <f t="shared" si="1876"/>
        <v>0</v>
      </c>
      <c r="BX91" s="6">
        <f t="shared" si="1993"/>
        <v>4</v>
      </c>
      <c r="BY91" s="6">
        <f t="shared" si="1877"/>
        <v>1</v>
      </c>
      <c r="BZ91" s="6">
        <f t="shared" si="1994"/>
        <v>8</v>
      </c>
      <c r="CA91" s="6">
        <f t="shared" si="1878"/>
        <v>0</v>
      </c>
      <c r="CB91" s="6">
        <f t="shared" si="1995"/>
        <v>5</v>
      </c>
      <c r="CC91" s="6">
        <f t="shared" si="1879"/>
        <v>0</v>
      </c>
      <c r="CD91" s="6">
        <f t="shared" si="1996"/>
        <v>0</v>
      </c>
      <c r="CE91" s="6">
        <f t="shared" si="1880"/>
        <v>0</v>
      </c>
      <c r="CF91" s="6">
        <f t="shared" si="1997"/>
        <v>13</v>
      </c>
      <c r="CG91" s="6">
        <f t="shared" si="1881"/>
        <v>1</v>
      </c>
      <c r="CH91" s="6">
        <f t="shared" si="1998"/>
        <v>10</v>
      </c>
      <c r="CI91" s="6">
        <f t="shared" si="1882"/>
        <v>0</v>
      </c>
      <c r="CJ91" s="6">
        <f t="shared" si="1999"/>
        <v>17</v>
      </c>
      <c r="CK91" s="6"/>
      <c r="CL91" s="6"/>
      <c r="CM91" s="6">
        <f>IF($E91=5,BM91-5,NA())</f>
        <v>1</v>
      </c>
      <c r="CN91" s="20">
        <f>BM91-'Zusammenfassung Tag1-4'!$D$2/18</f>
        <v>4.666666666666667</v>
      </c>
      <c r="CO91" s="21">
        <f t="shared" si="2000"/>
        <v>299.33333333333331</v>
      </c>
      <c r="CP91" s="18">
        <v>5</v>
      </c>
      <c r="CQ91" s="6">
        <f t="shared" si="2001"/>
        <v>362</v>
      </c>
      <c r="CR91" s="19">
        <v>1</v>
      </c>
      <c r="CS91" s="6">
        <f t="shared" si="2002"/>
        <v>138</v>
      </c>
      <c r="CT91" s="6">
        <f t="shared" si="1884"/>
        <v>0</v>
      </c>
      <c r="CU91" s="6">
        <f t="shared" si="2003"/>
        <v>16</v>
      </c>
      <c r="CV91" s="6">
        <f t="shared" si="1885"/>
        <v>1</v>
      </c>
      <c r="CW91" s="6">
        <f t="shared" si="2004"/>
        <v>9</v>
      </c>
      <c r="CX91" s="6">
        <f t="shared" si="1886"/>
        <v>0</v>
      </c>
      <c r="CY91" s="6">
        <f t="shared" si="2005"/>
        <v>1</v>
      </c>
      <c r="CZ91" s="6">
        <f t="shared" si="1887"/>
        <v>1</v>
      </c>
      <c r="DA91" s="6">
        <f t="shared" si="2006"/>
        <v>8</v>
      </c>
      <c r="DB91" s="6">
        <f t="shared" si="1888"/>
        <v>0</v>
      </c>
      <c r="DC91" s="6">
        <f t="shared" si="2007"/>
        <v>7</v>
      </c>
      <c r="DD91" s="6">
        <f t="shared" si="1889"/>
        <v>0</v>
      </c>
      <c r="DE91" s="6">
        <f t="shared" si="2008"/>
        <v>1</v>
      </c>
      <c r="DF91" s="6">
        <f t="shared" si="1890"/>
        <v>0</v>
      </c>
      <c r="DG91" s="6">
        <f t="shared" si="2009"/>
        <v>0</v>
      </c>
      <c r="DH91" s="6">
        <f t="shared" si="1891"/>
        <v>1</v>
      </c>
      <c r="DI91" s="6">
        <f t="shared" si="2010"/>
        <v>17</v>
      </c>
      <c r="DJ91" s="6">
        <f t="shared" si="1892"/>
        <v>0</v>
      </c>
      <c r="DK91" s="6">
        <f t="shared" si="2011"/>
        <v>11</v>
      </c>
      <c r="DL91" s="6">
        <f t="shared" si="1893"/>
        <v>0</v>
      </c>
      <c r="DM91" s="6">
        <f t="shared" si="2012"/>
        <v>13</v>
      </c>
      <c r="DN91" s="6"/>
      <c r="DO91" s="6"/>
      <c r="DP91" s="6">
        <f>IF($E91=5,CP91-5,NA())</f>
        <v>0</v>
      </c>
      <c r="DQ91" s="20">
        <f>CP91-'Zusammenfassung Tag1-4'!$E$2/18</f>
        <v>3.7222222222222223</v>
      </c>
      <c r="DR91" s="22">
        <f t="shared" si="2013"/>
        <v>271.27777777777811</v>
      </c>
      <c r="DS91" s="18">
        <v>7</v>
      </c>
      <c r="DT91" s="6">
        <f t="shared" si="2014"/>
        <v>531</v>
      </c>
      <c r="DU91" s="19">
        <v>2</v>
      </c>
      <c r="DV91" s="6">
        <f t="shared" si="2015"/>
        <v>159</v>
      </c>
      <c r="DW91" s="6">
        <f t="shared" si="1895"/>
        <v>0</v>
      </c>
      <c r="DX91" s="6">
        <f t="shared" si="2016"/>
        <v>1</v>
      </c>
      <c r="DY91" s="6">
        <f t="shared" si="1896"/>
        <v>0</v>
      </c>
      <c r="DZ91" s="6">
        <f t="shared" si="2017"/>
        <v>0</v>
      </c>
      <c r="EA91" s="6">
        <f t="shared" si="1897"/>
        <v>0</v>
      </c>
      <c r="EB91" s="6">
        <f t="shared" si="2018"/>
        <v>0</v>
      </c>
      <c r="EC91" s="6">
        <f t="shared" si="1898"/>
        <v>0</v>
      </c>
      <c r="ED91" s="6">
        <f t="shared" si="2019"/>
        <v>0</v>
      </c>
      <c r="EE91" s="6">
        <f t="shared" si="1899"/>
        <v>0</v>
      </c>
      <c r="EF91" s="6">
        <f t="shared" si="2020"/>
        <v>1</v>
      </c>
      <c r="EG91" s="6">
        <f t="shared" si="1900"/>
        <v>1</v>
      </c>
      <c r="EH91" s="6">
        <f t="shared" si="2021"/>
        <v>16</v>
      </c>
      <c r="EI91" s="6">
        <f t="shared" si="1901"/>
        <v>0</v>
      </c>
      <c r="EJ91" s="6">
        <f t="shared" si="2022"/>
        <v>0</v>
      </c>
      <c r="EK91" s="6">
        <f t="shared" si="1902"/>
        <v>0</v>
      </c>
      <c r="EL91" s="6">
        <f t="shared" si="2023"/>
        <v>2</v>
      </c>
      <c r="EM91" s="6">
        <f t="shared" si="1903"/>
        <v>1</v>
      </c>
      <c r="EN91" s="6">
        <f t="shared" si="2024"/>
        <v>13</v>
      </c>
      <c r="EO91" s="6">
        <f t="shared" si="1904"/>
        <v>0</v>
      </c>
      <c r="EP91" s="6">
        <f t="shared" si="2025"/>
        <v>17</v>
      </c>
      <c r="EQ91" s="6"/>
      <c r="ER91" s="6"/>
      <c r="ES91" s="6">
        <f>IF($E91=5,DS91-5,NA())</f>
        <v>2</v>
      </c>
      <c r="ET91" s="20">
        <f>DS91-'Zusammenfassung Tag1-4'!$F$2/18</f>
        <v>4</v>
      </c>
      <c r="EU91" s="22">
        <f t="shared" si="2026"/>
        <v>318</v>
      </c>
      <c r="EV91" s="18">
        <v>6</v>
      </c>
      <c r="EW91" s="6">
        <f t="shared" si="2027"/>
        <v>397</v>
      </c>
      <c r="EX91" s="19">
        <v>2</v>
      </c>
      <c r="EY91" s="6">
        <f t="shared" si="2028"/>
        <v>146</v>
      </c>
      <c r="EZ91" s="6">
        <f t="shared" si="1906"/>
        <v>0</v>
      </c>
      <c r="FA91" s="6">
        <f t="shared" si="2029"/>
        <v>13</v>
      </c>
      <c r="FB91" s="6">
        <f t="shared" si="1907"/>
        <v>0</v>
      </c>
      <c r="FC91" s="6">
        <f t="shared" si="2030"/>
        <v>1</v>
      </c>
      <c r="FD91" s="6">
        <f t="shared" si="1908"/>
        <v>0</v>
      </c>
      <c r="FE91" s="6">
        <f t="shared" si="2031"/>
        <v>0</v>
      </c>
      <c r="FF91" s="6">
        <f t="shared" si="1909"/>
        <v>0</v>
      </c>
      <c r="FG91" s="6">
        <f t="shared" si="2032"/>
        <v>3</v>
      </c>
      <c r="FH91" s="6">
        <f t="shared" si="1910"/>
        <v>1</v>
      </c>
      <c r="FI91" s="6">
        <f t="shared" si="2033"/>
        <v>7</v>
      </c>
      <c r="FJ91" s="6">
        <f t="shared" si="1911"/>
        <v>0</v>
      </c>
      <c r="FK91" s="6">
        <f t="shared" si="2034"/>
        <v>7</v>
      </c>
      <c r="FL91" s="6">
        <f t="shared" si="1912"/>
        <v>0</v>
      </c>
      <c r="FM91" s="6">
        <f t="shared" si="2035"/>
        <v>0</v>
      </c>
      <c r="FN91" s="6">
        <f t="shared" si="1913"/>
        <v>0</v>
      </c>
      <c r="FO91" s="6">
        <f t="shared" si="2036"/>
        <v>8</v>
      </c>
      <c r="FP91" s="6">
        <f t="shared" si="1914"/>
        <v>1</v>
      </c>
      <c r="FQ91" s="6">
        <f t="shared" si="2037"/>
        <v>16</v>
      </c>
      <c r="FR91" s="6">
        <f t="shared" si="1915"/>
        <v>0</v>
      </c>
      <c r="FS91" s="6">
        <f t="shared" si="2038"/>
        <v>12</v>
      </c>
      <c r="FT91" s="6"/>
      <c r="FU91" s="6"/>
      <c r="FV91" s="6">
        <f>IF($E91=5,EV91-5,NA())</f>
        <v>1</v>
      </c>
      <c r="FW91" s="20">
        <f>EV91-'Zusammenfassung Tag1-4'!$G$2/18</f>
        <v>4.5</v>
      </c>
      <c r="FX91" s="22">
        <f t="shared" si="2039"/>
        <v>290.5</v>
      </c>
      <c r="FY91" s="18">
        <v>10</v>
      </c>
      <c r="FZ91" s="6">
        <f t="shared" si="2040"/>
        <v>507</v>
      </c>
      <c r="GA91" s="19">
        <v>2</v>
      </c>
      <c r="GB91" s="6">
        <f t="shared" si="2041"/>
        <v>161</v>
      </c>
      <c r="GC91" s="6">
        <f t="shared" si="1917"/>
        <v>0</v>
      </c>
      <c r="GD91" s="6">
        <f t="shared" si="2042"/>
        <v>2</v>
      </c>
      <c r="GE91" s="6">
        <f t="shared" si="1918"/>
        <v>0</v>
      </c>
      <c r="GF91" s="6">
        <f t="shared" si="2043"/>
        <v>0</v>
      </c>
      <c r="GG91" s="6">
        <f t="shared" si="1919"/>
        <v>0</v>
      </c>
      <c r="GH91" s="6">
        <f t="shared" si="2044"/>
        <v>0</v>
      </c>
      <c r="GI91" s="6">
        <f t="shared" si="1920"/>
        <v>0</v>
      </c>
      <c r="GJ91" s="6">
        <f t="shared" si="2045"/>
        <v>0</v>
      </c>
      <c r="GK91" s="6">
        <f t="shared" si="1921"/>
        <v>0</v>
      </c>
      <c r="GL91" s="6">
        <f t="shared" si="2046"/>
        <v>4</v>
      </c>
      <c r="GM91" s="6">
        <f t="shared" si="1922"/>
        <v>1</v>
      </c>
      <c r="GN91" s="6">
        <f t="shared" si="2047"/>
        <v>13</v>
      </c>
      <c r="GO91" s="6">
        <f t="shared" si="1923"/>
        <v>0</v>
      </c>
      <c r="GP91" s="6">
        <f t="shared" si="2048"/>
        <v>0</v>
      </c>
      <c r="GQ91" s="6">
        <f t="shared" si="1924"/>
        <v>0</v>
      </c>
      <c r="GR91" s="6">
        <f t="shared" si="2049"/>
        <v>4</v>
      </c>
      <c r="GS91" s="6">
        <f t="shared" si="1925"/>
        <v>1</v>
      </c>
      <c r="GT91" s="6">
        <f t="shared" si="2050"/>
        <v>14</v>
      </c>
      <c r="GU91" s="6">
        <f t="shared" si="1926"/>
        <v>0</v>
      </c>
      <c r="GV91" s="6">
        <f t="shared" si="2051"/>
        <v>23</v>
      </c>
      <c r="GW91" s="6"/>
      <c r="GX91" s="6"/>
      <c r="GY91" s="6">
        <f>IF($E91=5,FY91-5,NA())</f>
        <v>5</v>
      </c>
      <c r="GZ91" s="20">
        <f>FY91-'Zusammenfassung Tag1-4'!$H$2/18</f>
        <v>7</v>
      </c>
      <c r="HA91" s="22">
        <f t="shared" si="2052"/>
        <v>294</v>
      </c>
      <c r="HB91" s="18">
        <v>5</v>
      </c>
      <c r="HC91" s="6">
        <f t="shared" si="2053"/>
        <v>371</v>
      </c>
      <c r="HD91" s="19">
        <v>2</v>
      </c>
      <c r="HE91" s="6">
        <f t="shared" si="2054"/>
        <v>140</v>
      </c>
      <c r="HF91" s="6">
        <f t="shared" si="1928"/>
        <v>1</v>
      </c>
      <c r="HG91" s="6">
        <f t="shared" si="2055"/>
        <v>24</v>
      </c>
      <c r="HH91" s="6">
        <f t="shared" si="1929"/>
        <v>0</v>
      </c>
      <c r="HI91" s="6">
        <f t="shared" si="2056"/>
        <v>7</v>
      </c>
      <c r="HJ91" s="6">
        <f t="shared" si="1930"/>
        <v>0</v>
      </c>
      <c r="HK91" s="6">
        <f t="shared" si="2057"/>
        <v>2</v>
      </c>
      <c r="HL91" s="6">
        <f t="shared" si="1931"/>
        <v>1</v>
      </c>
      <c r="HM91" s="6">
        <f t="shared" si="2058"/>
        <v>6</v>
      </c>
      <c r="HN91" s="6">
        <f t="shared" si="1932"/>
        <v>0</v>
      </c>
      <c r="HO91" s="6">
        <f t="shared" si="2059"/>
        <v>5</v>
      </c>
      <c r="HP91" s="6">
        <f t="shared" si="1933"/>
        <v>0</v>
      </c>
      <c r="HQ91" s="6">
        <f t="shared" si="2060"/>
        <v>4</v>
      </c>
      <c r="HR91" s="6">
        <f t="shared" si="1934"/>
        <v>0</v>
      </c>
      <c r="HS91" s="6">
        <f t="shared" si="2061"/>
        <v>0</v>
      </c>
      <c r="HT91" s="6">
        <f t="shared" si="1935"/>
        <v>0</v>
      </c>
      <c r="HU91" s="6">
        <f t="shared" si="2062"/>
        <v>16</v>
      </c>
      <c r="HV91" s="6">
        <f t="shared" si="1936"/>
        <v>1</v>
      </c>
      <c r="HW91" s="6">
        <f t="shared" si="2063"/>
        <v>6</v>
      </c>
      <c r="HX91" s="6">
        <f t="shared" si="1937"/>
        <v>0</v>
      </c>
      <c r="HY91" s="6">
        <f t="shared" si="2064"/>
        <v>14</v>
      </c>
      <c r="HZ91" s="6"/>
      <c r="IA91" s="6"/>
      <c r="IB91" s="6">
        <f>IF($E91=5,HB91-5,NA())</f>
        <v>0</v>
      </c>
      <c r="IC91" s="20">
        <f>HB91-'Zusammenfassung Tag1-4'!$I$2/18</f>
        <v>4</v>
      </c>
      <c r="ID91" s="22">
        <f t="shared" si="2065"/>
        <v>300</v>
      </c>
      <c r="IE91" s="18">
        <v>7</v>
      </c>
      <c r="IF91" s="6">
        <f t="shared" si="2066"/>
        <v>258</v>
      </c>
      <c r="IG91" s="19">
        <v>3</v>
      </c>
      <c r="IH91" s="6">
        <f t="shared" si="2067"/>
        <v>92</v>
      </c>
      <c r="II91" s="6">
        <f t="shared" si="1939"/>
        <v>0</v>
      </c>
      <c r="IJ91" s="6">
        <f t="shared" si="2068"/>
        <v>37</v>
      </c>
      <c r="IK91" s="6">
        <f t="shared" si="1940"/>
        <v>0</v>
      </c>
      <c r="IL91" s="6">
        <f t="shared" si="2069"/>
        <v>0</v>
      </c>
      <c r="IM91" s="6">
        <f t="shared" si="1941"/>
        <v>0</v>
      </c>
      <c r="IN91" s="6">
        <f t="shared" si="2070"/>
        <v>0</v>
      </c>
      <c r="IO91" s="6">
        <f t="shared" si="1942"/>
        <v>0</v>
      </c>
      <c r="IP91" s="6">
        <f t="shared" si="2071"/>
        <v>0</v>
      </c>
      <c r="IQ91" s="6">
        <f t="shared" si="1943"/>
        <v>0</v>
      </c>
      <c r="IR91" s="6">
        <f t="shared" si="2072"/>
        <v>0</v>
      </c>
      <c r="IS91" s="6">
        <f t="shared" si="1944"/>
        <v>1</v>
      </c>
      <c r="IT91" s="6">
        <f t="shared" si="2073"/>
        <v>17</v>
      </c>
      <c r="IU91" s="6">
        <f t="shared" si="1945"/>
        <v>0</v>
      </c>
      <c r="IV91" s="6">
        <f t="shared" si="2074"/>
        <v>0</v>
      </c>
      <c r="IW91" s="6">
        <f t="shared" si="1946"/>
        <v>0</v>
      </c>
      <c r="IX91" s="6">
        <f t="shared" si="2075"/>
        <v>2</v>
      </c>
      <c r="IY91" s="6">
        <f t="shared" si="1947"/>
        <v>0</v>
      </c>
      <c r="IZ91" s="6">
        <f t="shared" si="2076"/>
        <v>6</v>
      </c>
      <c r="JA91" s="6">
        <f t="shared" si="1948"/>
        <v>1</v>
      </c>
      <c r="JB91" s="6">
        <f t="shared" si="2077"/>
        <v>20</v>
      </c>
      <c r="JC91" s="6"/>
      <c r="JD91" s="6"/>
      <c r="JE91" s="6">
        <f>IF($E91=5,IE91-5,NA())</f>
        <v>2</v>
      </c>
      <c r="JF91" s="20">
        <f>IE91-'Zusammenfassung Tag1-4'!$J$2/18</f>
        <v>4</v>
      </c>
      <c r="JG91" s="22">
        <f t="shared" si="2078"/>
        <v>45</v>
      </c>
      <c r="JH91" s="18">
        <v>4</v>
      </c>
      <c r="JI91" s="6">
        <f t="shared" si="2079"/>
        <v>161</v>
      </c>
      <c r="JJ91" s="19">
        <v>1</v>
      </c>
      <c r="JK91" s="6">
        <f t="shared" si="2080"/>
        <v>66</v>
      </c>
      <c r="JL91" s="6">
        <f t="shared" si="1950"/>
        <v>1</v>
      </c>
      <c r="JM91" s="6">
        <f t="shared" si="2081"/>
        <v>54</v>
      </c>
      <c r="JN91" s="6">
        <f t="shared" si="1951"/>
        <v>0</v>
      </c>
      <c r="JO91" s="6">
        <f t="shared" si="2082"/>
        <v>2</v>
      </c>
      <c r="JP91" s="6">
        <f t="shared" si="1952"/>
        <v>1</v>
      </c>
      <c r="JQ91" s="6">
        <f t="shared" si="2083"/>
        <v>1</v>
      </c>
      <c r="JR91" s="6">
        <f t="shared" si="1953"/>
        <v>0</v>
      </c>
      <c r="JS91" s="6">
        <f t="shared" si="2084"/>
        <v>9</v>
      </c>
      <c r="JT91" s="6">
        <f t="shared" si="1954"/>
        <v>0</v>
      </c>
      <c r="JU91" s="6">
        <f t="shared" si="2085"/>
        <v>5</v>
      </c>
      <c r="JV91" s="6">
        <f t="shared" si="1955"/>
        <v>0</v>
      </c>
      <c r="JW91" s="6">
        <f t="shared" si="2086"/>
        <v>2</v>
      </c>
      <c r="JX91" s="6">
        <f t="shared" si="1956"/>
        <v>0</v>
      </c>
      <c r="JY91" s="6">
        <f t="shared" si="2087"/>
        <v>0</v>
      </c>
      <c r="JZ91" s="6">
        <f t="shared" si="1957"/>
        <v>1</v>
      </c>
      <c r="KA91" s="6">
        <f t="shared" si="2088"/>
        <v>6</v>
      </c>
      <c r="KB91" s="6">
        <f t="shared" si="1958"/>
        <v>0</v>
      </c>
      <c r="KC91" s="6">
        <f t="shared" si="2089"/>
        <v>13</v>
      </c>
      <c r="KD91" s="6">
        <f t="shared" si="1959"/>
        <v>0</v>
      </c>
      <c r="KE91" s="6">
        <f t="shared" si="2090"/>
        <v>2</v>
      </c>
      <c r="KF91" s="6"/>
      <c r="KG91" s="6"/>
      <c r="KH91" s="6">
        <f>IF($E91=5,JH91-5,NA())</f>
        <v>-1</v>
      </c>
      <c r="KI91" s="20">
        <f>JH91-'Zusammenfassung Tag1-4'!$K$2/18</f>
        <v>3.2222222222222223</v>
      </c>
      <c r="KJ91" s="22">
        <f t="shared" si="2091"/>
        <v>105.77777777777781</v>
      </c>
      <c r="KK91" s="10"/>
      <c r="KL91" s="10"/>
      <c r="KM91" s="10"/>
      <c r="KN91" s="10"/>
      <c r="KO91" s="10"/>
      <c r="KP91" s="10"/>
      <c r="KQ91" s="10"/>
      <c r="KR91" s="10"/>
      <c r="KS91" s="10"/>
      <c r="KT91" s="10"/>
      <c r="KU91" s="10"/>
      <c r="KV91" s="10"/>
      <c r="KW91" s="10"/>
      <c r="KX91" s="10"/>
      <c r="KY91" s="10"/>
      <c r="KZ91" s="10"/>
      <c r="LA91" s="10"/>
      <c r="LB91" s="10"/>
      <c r="LC91" s="10"/>
      <c r="LD91" s="10"/>
    </row>
    <row r="92" spans="1:316" ht="15.75" customHeight="1" x14ac:dyDescent="0.25">
      <c r="A92" s="106"/>
      <c r="B92" s="103"/>
      <c r="C92" s="3">
        <v>18</v>
      </c>
      <c r="D92" s="3">
        <f t="shared" si="1961"/>
        <v>72</v>
      </c>
      <c r="E92" s="3">
        <v>4</v>
      </c>
      <c r="F92" s="23">
        <f t="shared" si="1962"/>
        <v>288</v>
      </c>
      <c r="G92" s="24"/>
      <c r="H92" s="3"/>
      <c r="I92" s="25"/>
      <c r="J92" s="3">
        <f t="shared" si="1963"/>
        <v>71</v>
      </c>
      <c r="K92" s="3">
        <f t="shared" si="1851"/>
        <v>1</v>
      </c>
      <c r="L92" s="3">
        <f t="shared" si="1964"/>
        <v>51</v>
      </c>
      <c r="M92" s="3">
        <f t="shared" si="1852"/>
        <v>0</v>
      </c>
      <c r="N92" s="3">
        <f t="shared" si="1965"/>
        <v>3</v>
      </c>
      <c r="O92" s="3">
        <f t="shared" si="1853"/>
        <v>0</v>
      </c>
      <c r="P92" s="3">
        <f t="shared" si="1966"/>
        <v>1</v>
      </c>
      <c r="Q92" s="3">
        <f t="shared" si="1854"/>
        <v>0</v>
      </c>
      <c r="R92" s="3">
        <f t="shared" si="1967"/>
        <v>0</v>
      </c>
      <c r="S92" s="3">
        <f t="shared" si="1855"/>
        <v>0</v>
      </c>
      <c r="T92" s="3">
        <f t="shared" si="1968"/>
        <v>0</v>
      </c>
      <c r="U92" s="3">
        <f t="shared" si="1856"/>
        <v>0</v>
      </c>
      <c r="V92" s="3">
        <f t="shared" si="1969"/>
        <v>0</v>
      </c>
      <c r="W92" s="3">
        <f t="shared" si="1857"/>
        <v>1</v>
      </c>
      <c r="X92" s="3">
        <f t="shared" si="1970"/>
        <v>18</v>
      </c>
      <c r="Y92" s="3">
        <f t="shared" si="1858"/>
        <v>0</v>
      </c>
      <c r="Z92" s="3">
        <f t="shared" si="1971"/>
        <v>7</v>
      </c>
      <c r="AA92" s="3">
        <f t="shared" si="1859"/>
        <v>0</v>
      </c>
      <c r="AB92" s="3">
        <f t="shared" si="1972"/>
        <v>0</v>
      </c>
      <c r="AC92" s="3">
        <f t="shared" si="1860"/>
        <v>0</v>
      </c>
      <c r="AD92" s="3">
        <f t="shared" si="1973"/>
        <v>5</v>
      </c>
      <c r="AE92" s="3"/>
      <c r="AF92" s="3">
        <f>IF($E92=4,G92-4,NA())</f>
        <v>-4</v>
      </c>
      <c r="AG92" s="3"/>
      <c r="AH92" s="26">
        <f>G92-'Zusammenfassung Tag1-4'!$B$2/18</f>
        <v>-1.1111111111111112</v>
      </c>
      <c r="AI92" s="27">
        <f t="shared" si="1974"/>
        <v>96.999999999999801</v>
      </c>
      <c r="AJ92" s="24">
        <v>4</v>
      </c>
      <c r="AK92" s="3">
        <f t="shared" si="1975"/>
        <v>323</v>
      </c>
      <c r="AL92" s="25">
        <v>1</v>
      </c>
      <c r="AM92" s="3">
        <f t="shared" si="1976"/>
        <v>125</v>
      </c>
      <c r="AN92" s="3">
        <f t="shared" si="1862"/>
        <v>0</v>
      </c>
      <c r="AO92" s="3">
        <f t="shared" si="1977"/>
        <v>37</v>
      </c>
      <c r="AP92" s="3">
        <f t="shared" si="1863"/>
        <v>1</v>
      </c>
      <c r="AQ92" s="3">
        <f t="shared" si="1978"/>
        <v>13</v>
      </c>
      <c r="AR92" s="3">
        <f t="shared" si="1864"/>
        <v>0</v>
      </c>
      <c r="AS92" s="3">
        <f t="shared" si="1979"/>
        <v>5</v>
      </c>
      <c r="AT92" s="3">
        <f t="shared" si="1865"/>
        <v>1</v>
      </c>
      <c r="AU92" s="3">
        <f t="shared" si="1980"/>
        <v>13</v>
      </c>
      <c r="AV92" s="3">
        <f t="shared" si="1866"/>
        <v>0</v>
      </c>
      <c r="AW92" s="3">
        <f t="shared" si="1981"/>
        <v>4</v>
      </c>
      <c r="AX92" s="3">
        <f t="shared" si="1867"/>
        <v>0</v>
      </c>
      <c r="AY92" s="3">
        <f t="shared" si="1982"/>
        <v>0</v>
      </c>
      <c r="AZ92" s="3">
        <f t="shared" si="1868"/>
        <v>0</v>
      </c>
      <c r="BA92" s="3">
        <f t="shared" si="1983"/>
        <v>0</v>
      </c>
      <c r="BB92" s="3">
        <f t="shared" si="1869"/>
        <v>1</v>
      </c>
      <c r="BC92" s="3">
        <f t="shared" si="1984"/>
        <v>25</v>
      </c>
      <c r="BD92" s="3">
        <f t="shared" si="1870"/>
        <v>0</v>
      </c>
      <c r="BE92" s="3">
        <f t="shared" si="1985"/>
        <v>10</v>
      </c>
      <c r="BF92" s="3">
        <f t="shared" si="1871"/>
        <v>0</v>
      </c>
      <c r="BG92" s="3">
        <f t="shared" si="1986"/>
        <v>6</v>
      </c>
      <c r="BH92" s="3"/>
      <c r="BI92" s="3">
        <f>IF($E92=4,AJ92-4,NA())</f>
        <v>0</v>
      </c>
      <c r="BJ92" s="3"/>
      <c r="BK92" s="26">
        <f>AJ92-'Zusammenfassung Tag1-4'!$C$2/18</f>
        <v>3.3333333333333335</v>
      </c>
      <c r="BL92" s="27">
        <f t="shared" si="1987"/>
        <v>275.00000000000017</v>
      </c>
      <c r="BM92" s="24">
        <v>6</v>
      </c>
      <c r="BN92" s="3">
        <f t="shared" si="1988"/>
        <v>400</v>
      </c>
      <c r="BO92" s="25">
        <v>3</v>
      </c>
      <c r="BP92" s="3">
        <f t="shared" si="1989"/>
        <v>149</v>
      </c>
      <c r="BQ92" s="3">
        <f t="shared" si="1873"/>
        <v>0</v>
      </c>
      <c r="BR92" s="3">
        <f t="shared" si="1990"/>
        <v>10</v>
      </c>
      <c r="BS92" s="3">
        <f t="shared" si="1874"/>
        <v>0</v>
      </c>
      <c r="BT92" s="3">
        <f t="shared" si="1991"/>
        <v>6</v>
      </c>
      <c r="BU92" s="3">
        <f t="shared" si="1875"/>
        <v>0</v>
      </c>
      <c r="BV92" s="3">
        <f t="shared" si="1992"/>
        <v>0</v>
      </c>
      <c r="BW92" s="3">
        <f t="shared" si="1876"/>
        <v>0</v>
      </c>
      <c r="BX92" s="3">
        <f t="shared" si="1993"/>
        <v>4</v>
      </c>
      <c r="BY92" s="3">
        <f t="shared" si="1877"/>
        <v>0</v>
      </c>
      <c r="BZ92" s="3">
        <f t="shared" si="1994"/>
        <v>8</v>
      </c>
      <c r="CA92" s="3">
        <f t="shared" si="1878"/>
        <v>1</v>
      </c>
      <c r="CB92" s="3">
        <f t="shared" si="1995"/>
        <v>6</v>
      </c>
      <c r="CC92" s="3">
        <f t="shared" si="1879"/>
        <v>0</v>
      </c>
      <c r="CD92" s="3">
        <f t="shared" si="1996"/>
        <v>0</v>
      </c>
      <c r="CE92" s="3">
        <f t="shared" si="1880"/>
        <v>0</v>
      </c>
      <c r="CF92" s="3">
        <f t="shared" si="1997"/>
        <v>13</v>
      </c>
      <c r="CG92" s="3">
        <f t="shared" si="1881"/>
        <v>0</v>
      </c>
      <c r="CH92" s="3">
        <f t="shared" si="1998"/>
        <v>10</v>
      </c>
      <c r="CI92" s="3">
        <f t="shared" si="1882"/>
        <v>1</v>
      </c>
      <c r="CJ92" s="3">
        <f t="shared" si="1999"/>
        <v>18</v>
      </c>
      <c r="CK92" s="3"/>
      <c r="CL92" s="3">
        <f>IF($E92=4,BM92-4,NA())</f>
        <v>2</v>
      </c>
      <c r="CM92" s="3"/>
      <c r="CN92" s="26">
        <f>BM92-'Zusammenfassung Tag1-4'!$D$2/18</f>
        <v>4.666666666666667</v>
      </c>
      <c r="CO92" s="27">
        <f t="shared" si="2000"/>
        <v>304</v>
      </c>
      <c r="CP92" s="24">
        <v>6</v>
      </c>
      <c r="CQ92" s="3">
        <f t="shared" si="2001"/>
        <v>368</v>
      </c>
      <c r="CR92" s="25">
        <v>4</v>
      </c>
      <c r="CS92" s="3">
        <f t="shared" si="2002"/>
        <v>142</v>
      </c>
      <c r="CT92" s="3">
        <f t="shared" si="1884"/>
        <v>1</v>
      </c>
      <c r="CU92" s="3">
        <f t="shared" si="2003"/>
        <v>17</v>
      </c>
      <c r="CV92" s="3">
        <f t="shared" si="1885"/>
        <v>0</v>
      </c>
      <c r="CW92" s="3">
        <f t="shared" si="2004"/>
        <v>9</v>
      </c>
      <c r="CX92" s="3">
        <f t="shared" si="1886"/>
        <v>0</v>
      </c>
      <c r="CY92" s="3">
        <f t="shared" si="2005"/>
        <v>1</v>
      </c>
      <c r="CZ92" s="3">
        <f t="shared" si="1887"/>
        <v>0</v>
      </c>
      <c r="DA92" s="3">
        <f t="shared" si="2006"/>
        <v>8</v>
      </c>
      <c r="DB92" s="3">
        <f t="shared" si="1888"/>
        <v>0</v>
      </c>
      <c r="DC92" s="3">
        <f t="shared" si="2007"/>
        <v>7</v>
      </c>
      <c r="DD92" s="3">
        <f t="shared" si="1889"/>
        <v>1</v>
      </c>
      <c r="DE92" s="3">
        <f t="shared" si="2008"/>
        <v>2</v>
      </c>
      <c r="DF92" s="3">
        <f t="shared" si="1890"/>
        <v>0</v>
      </c>
      <c r="DG92" s="3">
        <f t="shared" si="2009"/>
        <v>0</v>
      </c>
      <c r="DH92" s="3">
        <f t="shared" si="1891"/>
        <v>0</v>
      </c>
      <c r="DI92" s="3">
        <f t="shared" si="2010"/>
        <v>17</v>
      </c>
      <c r="DJ92" s="3">
        <f t="shared" si="1892"/>
        <v>0</v>
      </c>
      <c r="DK92" s="3">
        <f t="shared" si="2011"/>
        <v>11</v>
      </c>
      <c r="DL92" s="3">
        <f t="shared" si="1893"/>
        <v>1</v>
      </c>
      <c r="DM92" s="3">
        <f t="shared" si="2012"/>
        <v>14</v>
      </c>
      <c r="DN92" s="3"/>
      <c r="DO92" s="3">
        <f>IF($E92=4,CP92-4,NA())</f>
        <v>2</v>
      </c>
      <c r="DP92" s="3"/>
      <c r="DQ92" s="26">
        <f>CP92-'Zusammenfassung Tag1-4'!$E$2/18</f>
        <v>4.7222222222222223</v>
      </c>
      <c r="DR92" s="28">
        <f t="shared" si="2013"/>
        <v>276.00000000000034</v>
      </c>
      <c r="DS92" s="24">
        <v>8</v>
      </c>
      <c r="DT92" s="3">
        <f t="shared" si="2014"/>
        <v>539</v>
      </c>
      <c r="DU92" s="25">
        <v>2</v>
      </c>
      <c r="DV92" s="3">
        <f t="shared" si="2015"/>
        <v>161</v>
      </c>
      <c r="DW92" s="3">
        <f t="shared" si="1895"/>
        <v>0</v>
      </c>
      <c r="DX92" s="3">
        <f t="shared" si="2016"/>
        <v>1</v>
      </c>
      <c r="DY92" s="3">
        <f t="shared" si="1896"/>
        <v>0</v>
      </c>
      <c r="DZ92" s="3">
        <f t="shared" si="2017"/>
        <v>0</v>
      </c>
      <c r="EA92" s="3">
        <f t="shared" si="1897"/>
        <v>0</v>
      </c>
      <c r="EB92" s="3">
        <f t="shared" si="2018"/>
        <v>0</v>
      </c>
      <c r="EC92" s="3">
        <f t="shared" si="1898"/>
        <v>0</v>
      </c>
      <c r="ED92" s="3">
        <f t="shared" si="2019"/>
        <v>0</v>
      </c>
      <c r="EE92" s="3">
        <f t="shared" si="1899"/>
        <v>0</v>
      </c>
      <c r="EF92" s="3">
        <f t="shared" si="2020"/>
        <v>1</v>
      </c>
      <c r="EG92" s="3">
        <f t="shared" si="1900"/>
        <v>1</v>
      </c>
      <c r="EH92" s="3">
        <f t="shared" si="2021"/>
        <v>17</v>
      </c>
      <c r="EI92" s="3">
        <f t="shared" si="1901"/>
        <v>0</v>
      </c>
      <c r="EJ92" s="3">
        <f t="shared" si="2022"/>
        <v>0</v>
      </c>
      <c r="EK92" s="3">
        <f t="shared" si="1902"/>
        <v>0</v>
      </c>
      <c r="EL92" s="3">
        <f t="shared" si="2023"/>
        <v>2</v>
      </c>
      <c r="EM92" s="3">
        <f t="shared" si="1903"/>
        <v>1</v>
      </c>
      <c r="EN92" s="3">
        <f t="shared" si="2024"/>
        <v>14</v>
      </c>
      <c r="EO92" s="3">
        <f t="shared" si="1904"/>
        <v>0</v>
      </c>
      <c r="EP92" s="3">
        <f t="shared" si="2025"/>
        <v>17</v>
      </c>
      <c r="EQ92" s="3"/>
      <c r="ER92" s="3">
        <f>IF($E92=4,DS92-4,NA())</f>
        <v>4</v>
      </c>
      <c r="ES92" s="3"/>
      <c r="ET92" s="26">
        <f>DS92-'Zusammenfassung Tag1-4'!$F$2/18</f>
        <v>5</v>
      </c>
      <c r="EU92" s="28">
        <f t="shared" si="2026"/>
        <v>323</v>
      </c>
      <c r="EV92" s="24">
        <v>5</v>
      </c>
      <c r="EW92" s="3">
        <f t="shared" si="2027"/>
        <v>402</v>
      </c>
      <c r="EX92" s="25">
        <v>2</v>
      </c>
      <c r="EY92" s="3">
        <f t="shared" si="2028"/>
        <v>148</v>
      </c>
      <c r="EZ92" s="3">
        <f t="shared" si="1906"/>
        <v>0</v>
      </c>
      <c r="FA92" s="3">
        <f t="shared" si="2029"/>
        <v>13</v>
      </c>
      <c r="FB92" s="3">
        <f t="shared" si="1907"/>
        <v>0</v>
      </c>
      <c r="FC92" s="3">
        <f t="shared" si="2030"/>
        <v>1</v>
      </c>
      <c r="FD92" s="3">
        <f t="shared" si="1908"/>
        <v>0</v>
      </c>
      <c r="FE92" s="3">
        <f t="shared" si="2031"/>
        <v>0</v>
      </c>
      <c r="FF92" s="3">
        <f t="shared" si="1909"/>
        <v>0</v>
      </c>
      <c r="FG92" s="3">
        <f t="shared" si="2032"/>
        <v>3</v>
      </c>
      <c r="FH92" s="3">
        <f t="shared" si="1910"/>
        <v>1</v>
      </c>
      <c r="FI92" s="3">
        <f t="shared" si="2033"/>
        <v>8</v>
      </c>
      <c r="FJ92" s="3">
        <f t="shared" si="1911"/>
        <v>0</v>
      </c>
      <c r="FK92" s="3">
        <f t="shared" si="2034"/>
        <v>7</v>
      </c>
      <c r="FL92" s="3">
        <f t="shared" si="1912"/>
        <v>0</v>
      </c>
      <c r="FM92" s="3">
        <f t="shared" si="2035"/>
        <v>0</v>
      </c>
      <c r="FN92" s="3">
        <f t="shared" si="1913"/>
        <v>0</v>
      </c>
      <c r="FO92" s="3">
        <f t="shared" si="2036"/>
        <v>8</v>
      </c>
      <c r="FP92" s="3">
        <f t="shared" si="1914"/>
        <v>1</v>
      </c>
      <c r="FQ92" s="3">
        <f t="shared" si="2037"/>
        <v>17</v>
      </c>
      <c r="FR92" s="3">
        <f t="shared" si="1915"/>
        <v>0</v>
      </c>
      <c r="FS92" s="3">
        <f t="shared" si="2038"/>
        <v>12</v>
      </c>
      <c r="FT92" s="3"/>
      <c r="FU92" s="3">
        <f>IF($E92=4,EV92-4,NA())</f>
        <v>1</v>
      </c>
      <c r="FV92" s="3"/>
      <c r="FW92" s="26">
        <f>EV92-'Zusammenfassung Tag1-4'!$G$2/18</f>
        <v>3.5</v>
      </c>
      <c r="FX92" s="28">
        <f t="shared" si="2039"/>
        <v>294</v>
      </c>
      <c r="FY92" s="24">
        <v>7</v>
      </c>
      <c r="FZ92" s="3">
        <f t="shared" si="2040"/>
        <v>514</v>
      </c>
      <c r="GA92" s="25">
        <v>2</v>
      </c>
      <c r="GB92" s="3">
        <f t="shared" si="2041"/>
        <v>163</v>
      </c>
      <c r="GC92" s="3">
        <f t="shared" si="1917"/>
        <v>0</v>
      </c>
      <c r="GD92" s="3">
        <f t="shared" si="2042"/>
        <v>2</v>
      </c>
      <c r="GE92" s="3">
        <f t="shared" si="1918"/>
        <v>0</v>
      </c>
      <c r="GF92" s="3">
        <f t="shared" si="2043"/>
        <v>0</v>
      </c>
      <c r="GG92" s="3">
        <f t="shared" si="1919"/>
        <v>0</v>
      </c>
      <c r="GH92" s="3">
        <f t="shared" si="2044"/>
        <v>0</v>
      </c>
      <c r="GI92" s="3">
        <f t="shared" si="1920"/>
        <v>0</v>
      </c>
      <c r="GJ92" s="3">
        <f t="shared" si="2045"/>
        <v>0</v>
      </c>
      <c r="GK92" s="3">
        <f t="shared" si="1921"/>
        <v>0</v>
      </c>
      <c r="GL92" s="3">
        <f t="shared" si="2046"/>
        <v>4</v>
      </c>
      <c r="GM92" s="3">
        <f t="shared" si="1922"/>
        <v>1</v>
      </c>
      <c r="GN92" s="3">
        <f t="shared" si="2047"/>
        <v>14</v>
      </c>
      <c r="GO92" s="3">
        <f t="shared" si="1923"/>
        <v>0</v>
      </c>
      <c r="GP92" s="3">
        <f t="shared" si="2048"/>
        <v>0</v>
      </c>
      <c r="GQ92" s="3">
        <f t="shared" si="1924"/>
        <v>0</v>
      </c>
      <c r="GR92" s="3">
        <f t="shared" si="2049"/>
        <v>4</v>
      </c>
      <c r="GS92" s="3">
        <f t="shared" si="1925"/>
        <v>1</v>
      </c>
      <c r="GT92" s="3">
        <f t="shared" si="2050"/>
        <v>15</v>
      </c>
      <c r="GU92" s="3">
        <f t="shared" si="1926"/>
        <v>0</v>
      </c>
      <c r="GV92" s="3">
        <f t="shared" si="2051"/>
        <v>23</v>
      </c>
      <c r="GW92" s="3"/>
      <c r="GX92" s="3">
        <f>IF($E92=4,FY92-4,NA())</f>
        <v>3</v>
      </c>
      <c r="GY92" s="3"/>
      <c r="GZ92" s="26">
        <f>FY92-'Zusammenfassung Tag1-4'!$H$2/18</f>
        <v>4</v>
      </c>
      <c r="HA92" s="28">
        <f t="shared" si="2052"/>
        <v>298</v>
      </c>
      <c r="HB92" s="24">
        <v>6</v>
      </c>
      <c r="HC92" s="3">
        <f t="shared" si="2053"/>
        <v>377</v>
      </c>
      <c r="HD92" s="25">
        <v>1</v>
      </c>
      <c r="HE92" s="3">
        <f t="shared" si="2054"/>
        <v>141</v>
      </c>
      <c r="HF92" s="3">
        <f t="shared" si="1928"/>
        <v>0</v>
      </c>
      <c r="HG92" s="3">
        <f t="shared" si="2055"/>
        <v>24</v>
      </c>
      <c r="HH92" s="3">
        <f t="shared" si="1929"/>
        <v>0</v>
      </c>
      <c r="HI92" s="3">
        <f t="shared" si="2056"/>
        <v>7</v>
      </c>
      <c r="HJ92" s="3">
        <f t="shared" si="1930"/>
        <v>0</v>
      </c>
      <c r="HK92" s="3">
        <f t="shared" si="2057"/>
        <v>2</v>
      </c>
      <c r="HL92" s="3">
        <f t="shared" si="1931"/>
        <v>0</v>
      </c>
      <c r="HM92" s="3">
        <f t="shared" si="2058"/>
        <v>6</v>
      </c>
      <c r="HN92" s="3">
        <f t="shared" si="1932"/>
        <v>0</v>
      </c>
      <c r="HO92" s="3">
        <f t="shared" si="2059"/>
        <v>5</v>
      </c>
      <c r="HP92" s="3">
        <f t="shared" si="1933"/>
        <v>1</v>
      </c>
      <c r="HQ92" s="3">
        <f t="shared" si="2060"/>
        <v>5</v>
      </c>
      <c r="HR92" s="3">
        <f t="shared" si="1934"/>
        <v>0</v>
      </c>
      <c r="HS92" s="3">
        <f t="shared" si="2061"/>
        <v>0</v>
      </c>
      <c r="HT92" s="3">
        <f t="shared" si="1935"/>
        <v>1</v>
      </c>
      <c r="HU92" s="3">
        <f t="shared" si="2062"/>
        <v>17</v>
      </c>
      <c r="HV92" s="3">
        <f t="shared" si="1936"/>
        <v>0</v>
      </c>
      <c r="HW92" s="3">
        <f t="shared" si="2063"/>
        <v>6</v>
      </c>
      <c r="HX92" s="3">
        <f t="shared" si="1937"/>
        <v>0</v>
      </c>
      <c r="HY92" s="3">
        <f t="shared" si="2064"/>
        <v>14</v>
      </c>
      <c r="HZ92" s="3"/>
      <c r="IA92" s="3">
        <f>IF($E92=4,HB92-4,NA())</f>
        <v>2</v>
      </c>
      <c r="IB92" s="3"/>
      <c r="IC92" s="26">
        <f>HB92-'Zusammenfassung Tag1-4'!$I$2/18</f>
        <v>5</v>
      </c>
      <c r="ID92" s="28">
        <f t="shared" si="2065"/>
        <v>305</v>
      </c>
      <c r="IE92" s="24">
        <v>10</v>
      </c>
      <c r="IF92" s="3">
        <f t="shared" si="2066"/>
        <v>268</v>
      </c>
      <c r="IG92" s="25">
        <v>2</v>
      </c>
      <c r="IH92" s="3">
        <f t="shared" si="2067"/>
        <v>94</v>
      </c>
      <c r="II92" s="3">
        <f t="shared" si="1939"/>
        <v>0</v>
      </c>
      <c r="IJ92" s="3">
        <f t="shared" si="2068"/>
        <v>37</v>
      </c>
      <c r="IK92" s="3">
        <f t="shared" si="1940"/>
        <v>0</v>
      </c>
      <c r="IL92" s="3">
        <f t="shared" si="2069"/>
        <v>0</v>
      </c>
      <c r="IM92" s="3">
        <f t="shared" si="1941"/>
        <v>0</v>
      </c>
      <c r="IN92" s="3">
        <f t="shared" si="2070"/>
        <v>0</v>
      </c>
      <c r="IO92" s="3">
        <f t="shared" si="1942"/>
        <v>0</v>
      </c>
      <c r="IP92" s="3">
        <f t="shared" si="2071"/>
        <v>0</v>
      </c>
      <c r="IQ92" s="3">
        <f t="shared" si="1943"/>
        <v>0</v>
      </c>
      <c r="IR92" s="3">
        <f t="shared" si="2072"/>
        <v>0</v>
      </c>
      <c r="IS92" s="3">
        <f t="shared" si="1944"/>
        <v>1</v>
      </c>
      <c r="IT92" s="3">
        <f t="shared" si="2073"/>
        <v>18</v>
      </c>
      <c r="IU92" s="3">
        <f t="shared" si="1945"/>
        <v>0</v>
      </c>
      <c r="IV92" s="3">
        <f t="shared" si="2074"/>
        <v>0</v>
      </c>
      <c r="IW92" s="3">
        <f t="shared" si="1946"/>
        <v>0</v>
      </c>
      <c r="IX92" s="3">
        <f t="shared" si="2075"/>
        <v>2</v>
      </c>
      <c r="IY92" s="3">
        <f t="shared" si="1947"/>
        <v>1</v>
      </c>
      <c r="IZ92" s="3">
        <f t="shared" si="2076"/>
        <v>7</v>
      </c>
      <c r="JA92" s="3">
        <f t="shared" si="1948"/>
        <v>0</v>
      </c>
      <c r="JB92" s="3">
        <f t="shared" si="2077"/>
        <v>20</v>
      </c>
      <c r="JC92" s="3"/>
      <c r="JD92" s="3">
        <f>IF($E92=4,IE92-4,NA())</f>
        <v>6</v>
      </c>
      <c r="JE92" s="3"/>
      <c r="JF92" s="26">
        <f>IE92-'Zusammenfassung Tag1-4'!$J$2/18</f>
        <v>7</v>
      </c>
      <c r="JG92" s="28">
        <f t="shared" si="2078"/>
        <v>52</v>
      </c>
      <c r="JH92" s="24">
        <v>8</v>
      </c>
      <c r="JI92" s="3">
        <f t="shared" si="2079"/>
        <v>169</v>
      </c>
      <c r="JJ92" s="25">
        <v>2</v>
      </c>
      <c r="JK92" s="3">
        <f t="shared" si="2080"/>
        <v>68</v>
      </c>
      <c r="JL92" s="3">
        <f t="shared" si="1950"/>
        <v>0</v>
      </c>
      <c r="JM92" s="3">
        <f t="shared" si="2081"/>
        <v>54</v>
      </c>
      <c r="JN92" s="3">
        <f t="shared" si="1951"/>
        <v>0</v>
      </c>
      <c r="JO92" s="3">
        <f t="shared" si="2082"/>
        <v>2</v>
      </c>
      <c r="JP92" s="3">
        <f t="shared" si="1952"/>
        <v>0</v>
      </c>
      <c r="JQ92" s="3">
        <f t="shared" si="2083"/>
        <v>1</v>
      </c>
      <c r="JR92" s="3">
        <f t="shared" si="1953"/>
        <v>0</v>
      </c>
      <c r="JS92" s="3">
        <f t="shared" si="2084"/>
        <v>9</v>
      </c>
      <c r="JT92" s="3">
        <f t="shared" si="1954"/>
        <v>0</v>
      </c>
      <c r="JU92" s="3">
        <f t="shared" si="2085"/>
        <v>5</v>
      </c>
      <c r="JV92" s="3">
        <f t="shared" si="1955"/>
        <v>1</v>
      </c>
      <c r="JW92" s="3">
        <f t="shared" si="2086"/>
        <v>3</v>
      </c>
      <c r="JX92" s="3">
        <f t="shared" si="1956"/>
        <v>0</v>
      </c>
      <c r="JY92" s="3">
        <f t="shared" si="2087"/>
        <v>0</v>
      </c>
      <c r="JZ92" s="3">
        <f t="shared" si="1957"/>
        <v>0</v>
      </c>
      <c r="KA92" s="3">
        <f t="shared" si="2088"/>
        <v>6</v>
      </c>
      <c r="KB92" s="3">
        <f t="shared" si="1958"/>
        <v>1</v>
      </c>
      <c r="KC92" s="3">
        <f t="shared" si="2089"/>
        <v>14</v>
      </c>
      <c r="KD92" s="3">
        <f t="shared" si="1959"/>
        <v>0</v>
      </c>
      <c r="KE92" s="3">
        <f t="shared" si="2090"/>
        <v>2</v>
      </c>
      <c r="KF92" s="3"/>
      <c r="KG92" s="3">
        <f>IF($E92=4,JH92-4,NA())</f>
        <v>4</v>
      </c>
      <c r="KH92" s="3"/>
      <c r="KI92" s="26">
        <f>JH92-'Zusammenfassung Tag1-4'!$K$2/18</f>
        <v>7.2222222222222223</v>
      </c>
      <c r="KJ92" s="28">
        <f t="shared" si="2091"/>
        <v>113.00000000000004</v>
      </c>
      <c r="KK92" s="10"/>
      <c r="KL92" s="10"/>
      <c r="KM92" s="10"/>
      <c r="KN92" s="10"/>
      <c r="KO92" s="10"/>
      <c r="KP92" s="10"/>
      <c r="KQ92" s="10"/>
      <c r="KR92" s="10"/>
      <c r="KS92" s="10"/>
      <c r="KT92" s="10"/>
      <c r="KU92" s="10"/>
      <c r="KV92" s="10"/>
      <c r="KW92" s="10"/>
      <c r="KX92" s="10"/>
      <c r="KY92" s="10"/>
      <c r="KZ92" s="10"/>
      <c r="LA92" s="10"/>
      <c r="LB92" s="10"/>
      <c r="LC92" s="10"/>
      <c r="LD92" s="10"/>
    </row>
    <row r="93" spans="1:316" ht="15.75" customHeight="1" x14ac:dyDescent="0.25">
      <c r="A93" s="106"/>
      <c r="B93" s="104"/>
      <c r="C93" s="3" t="s">
        <v>47</v>
      </c>
      <c r="D93" s="3"/>
      <c r="E93" s="4">
        <f>SUM(E84:E92)</f>
        <v>36</v>
      </c>
      <c r="F93" s="5"/>
      <c r="G93" s="3">
        <f>SUM(G84:G92)</f>
        <v>0</v>
      </c>
      <c r="H93" s="3"/>
      <c r="I93" s="3">
        <f>SUM(I84:I92)</f>
        <v>0</v>
      </c>
      <c r="J93" s="3"/>
      <c r="K93" s="3">
        <f>SUM(K84:K92)</f>
        <v>9</v>
      </c>
      <c r="L93" s="3"/>
      <c r="M93" s="3">
        <f>SUM(M84:M92)</f>
        <v>0</v>
      </c>
      <c r="N93" s="3"/>
      <c r="O93" s="3">
        <f>SUM(O84:O92)</f>
        <v>0</v>
      </c>
      <c r="P93" s="3"/>
      <c r="Q93" s="3">
        <f>SUM(Q84:Q92)</f>
        <v>0</v>
      </c>
      <c r="R93" s="3"/>
      <c r="S93" s="3">
        <f>SUM(S84:S92)</f>
        <v>0</v>
      </c>
      <c r="T93" s="3"/>
      <c r="U93" s="3">
        <f>SUM(U84:U92)</f>
        <v>0</v>
      </c>
      <c r="V93" s="3"/>
      <c r="W93" s="3">
        <f>SUM(W84:W92)</f>
        <v>9</v>
      </c>
      <c r="X93" s="3"/>
      <c r="Y93" s="3">
        <f>SUM(Y84:Y92)</f>
        <v>0</v>
      </c>
      <c r="Z93" s="3"/>
      <c r="AA93" s="3">
        <f>SUM(AA84:AA92)</f>
        <v>0</v>
      </c>
      <c r="AB93" s="3"/>
      <c r="AC93" s="3">
        <f>SUM(AC84:AC92)</f>
        <v>0</v>
      </c>
      <c r="AD93" s="3"/>
      <c r="AE93" s="26">
        <f t="shared" ref="AE93:AG93" si="2092">AVERAGE(AE84:AE92)</f>
        <v>-3</v>
      </c>
      <c r="AF93" s="26">
        <f t="shared" si="2092"/>
        <v>-4</v>
      </c>
      <c r="AG93" s="26">
        <f t="shared" si="2092"/>
        <v>-5</v>
      </c>
      <c r="AH93" s="26">
        <f>SUM(AH84:AH92)</f>
        <v>-9.9999999999999982</v>
      </c>
      <c r="AI93" s="23"/>
      <c r="AJ93" s="29">
        <f>SUM(AJ84:AJ92)</f>
        <v>38</v>
      </c>
      <c r="AK93" s="3"/>
      <c r="AL93" s="3">
        <f>SUM(AL84:AL92)</f>
        <v>14</v>
      </c>
      <c r="AM93" s="3"/>
      <c r="AN93" s="3">
        <f>SUM(AN84:AN92)</f>
        <v>4</v>
      </c>
      <c r="AO93" s="3"/>
      <c r="AP93" s="3">
        <f>SUM(AP84:AP92)</f>
        <v>3</v>
      </c>
      <c r="AQ93" s="3"/>
      <c r="AR93" s="3">
        <f>SUM(AR84:AR92)</f>
        <v>0</v>
      </c>
      <c r="AS93" s="3"/>
      <c r="AT93" s="3">
        <f>SUM(AT84:AT92)</f>
        <v>7</v>
      </c>
      <c r="AU93" s="3"/>
      <c r="AV93" s="3">
        <f>SUM(AV84:AV92)</f>
        <v>2</v>
      </c>
      <c r="AW93" s="3"/>
      <c r="AX93" s="3">
        <f>SUM(AX84:AX92)</f>
        <v>0</v>
      </c>
      <c r="AY93" s="3"/>
      <c r="AZ93" s="3">
        <f>SUM(AZ84:AZ92)</f>
        <v>0</v>
      </c>
      <c r="BA93" s="3"/>
      <c r="BB93" s="3">
        <f>SUM(BB84:BB92)</f>
        <v>4</v>
      </c>
      <c r="BC93" s="3"/>
      <c r="BD93" s="3">
        <f>SUM(BD84:BD92)</f>
        <v>5</v>
      </c>
      <c r="BE93" s="3"/>
      <c r="BF93" s="3">
        <f>SUM(BF84:BF92)</f>
        <v>0</v>
      </c>
      <c r="BG93" s="3"/>
      <c r="BH93" s="26">
        <f t="shared" ref="BH93:BJ93" si="2093">AVERAGE(BH84:BH92)</f>
        <v>0.5</v>
      </c>
      <c r="BI93" s="26">
        <f t="shared" si="2093"/>
        <v>0.2</v>
      </c>
      <c r="BJ93" s="26">
        <f t="shared" si="2093"/>
        <v>0</v>
      </c>
      <c r="BK93" s="26">
        <f>SUM(BK84:BK92)</f>
        <v>31.999999999999993</v>
      </c>
      <c r="BL93" s="23"/>
      <c r="BM93" s="29">
        <f>SUM(BM84:BM92)</f>
        <v>48</v>
      </c>
      <c r="BN93" s="3"/>
      <c r="BO93" s="3">
        <f>SUM(BO84:BO92)</f>
        <v>19</v>
      </c>
      <c r="BP93" s="3"/>
      <c r="BQ93" s="3">
        <f>SUM(BQ84:BQ92)</f>
        <v>1</v>
      </c>
      <c r="BR93" s="3"/>
      <c r="BS93" s="3">
        <f>SUM(BS84:BS92)</f>
        <v>1</v>
      </c>
      <c r="BT93" s="3"/>
      <c r="BU93" s="3">
        <f>SUM(BU84:BU92)</f>
        <v>0</v>
      </c>
      <c r="BV93" s="3"/>
      <c r="BW93" s="3">
        <f>SUM(BW84:BW92)</f>
        <v>2</v>
      </c>
      <c r="BX93" s="3"/>
      <c r="BY93" s="3">
        <f>SUM(BY84:BY92)</f>
        <v>3</v>
      </c>
      <c r="BZ93" s="3"/>
      <c r="CA93" s="3">
        <f>SUM(CA84:CA92)</f>
        <v>4</v>
      </c>
      <c r="CB93" s="3"/>
      <c r="CC93" s="3">
        <f>SUM(CC84:CC92)</f>
        <v>0</v>
      </c>
      <c r="CD93" s="3"/>
      <c r="CE93" s="3">
        <f>SUM(CE84:CE92)</f>
        <v>2</v>
      </c>
      <c r="CF93" s="3"/>
      <c r="CG93" s="3">
        <f>SUM(CG84:CG92)</f>
        <v>4</v>
      </c>
      <c r="CH93" s="3"/>
      <c r="CI93" s="3">
        <f>SUM(CI84:CI92)</f>
        <v>3</v>
      </c>
      <c r="CJ93" s="3"/>
      <c r="CK93" s="26">
        <f t="shared" ref="CK93:CM93" si="2094">AVERAGE(CK84:CK92)</f>
        <v>0.5</v>
      </c>
      <c r="CL93" s="26">
        <f t="shared" si="2094"/>
        <v>1.8</v>
      </c>
      <c r="CM93" s="26">
        <f t="shared" si="2094"/>
        <v>1</v>
      </c>
      <c r="CN93" s="26">
        <f>SUM(CN84:CN92)</f>
        <v>36.000000000000007</v>
      </c>
      <c r="CO93" s="23"/>
      <c r="CP93" s="29">
        <f>SUM(CP84:CP92)</f>
        <v>42</v>
      </c>
      <c r="CQ93" s="3"/>
      <c r="CR93" s="3">
        <f>SUM(CR84:CR92)</f>
        <v>18</v>
      </c>
      <c r="CS93" s="3"/>
      <c r="CT93" s="3">
        <f>SUM(CT84:CT92)</f>
        <v>4</v>
      </c>
      <c r="CU93" s="3"/>
      <c r="CV93" s="3">
        <f>SUM(CV84:CV92)</f>
        <v>1</v>
      </c>
      <c r="CW93" s="3"/>
      <c r="CX93" s="3">
        <f>SUM(CX84:CX92)</f>
        <v>0</v>
      </c>
      <c r="CY93" s="3"/>
      <c r="CZ93" s="3">
        <f>SUM(CZ84:CZ92)</f>
        <v>4</v>
      </c>
      <c r="DA93" s="3"/>
      <c r="DB93" s="3">
        <f>SUM(DB84:DB92)</f>
        <v>4</v>
      </c>
      <c r="DC93" s="3"/>
      <c r="DD93" s="3">
        <f>SUM(DD84:DD92)</f>
        <v>1</v>
      </c>
      <c r="DE93" s="3"/>
      <c r="DF93" s="3">
        <f>SUM(DF84:DF92)</f>
        <v>0</v>
      </c>
      <c r="DG93" s="3"/>
      <c r="DH93" s="3">
        <f>SUM(DH84:DH92)</f>
        <v>2</v>
      </c>
      <c r="DI93" s="3"/>
      <c r="DJ93" s="3">
        <f>SUM(DJ84:DJ92)</f>
        <v>6</v>
      </c>
      <c r="DK93" s="3"/>
      <c r="DL93" s="3">
        <f>SUM(DL84:DL92)</f>
        <v>1</v>
      </c>
      <c r="DM93" s="3"/>
      <c r="DN93" s="26">
        <f t="shared" ref="DN93:DP93" si="2095">AVERAGE(DN84:DN92)</f>
        <v>0.5</v>
      </c>
      <c r="DO93" s="26">
        <f t="shared" si="2095"/>
        <v>1</v>
      </c>
      <c r="DP93" s="26">
        <f t="shared" si="2095"/>
        <v>0</v>
      </c>
      <c r="DQ93" s="26">
        <f>SUM(DQ84:DQ92)</f>
        <v>30.499999999999996</v>
      </c>
      <c r="DR93" s="30"/>
      <c r="DS93" s="29">
        <f>SUM(DS84:DS92)</f>
        <v>62</v>
      </c>
      <c r="DT93" s="3"/>
      <c r="DU93" s="3">
        <f>SUM(DU84:DU92)</f>
        <v>19</v>
      </c>
      <c r="DV93" s="3"/>
      <c r="DW93" s="3">
        <f>SUM(DW84:DW92)</f>
        <v>0</v>
      </c>
      <c r="DX93" s="3"/>
      <c r="DY93" s="3">
        <f>SUM(DY84:DY92)</f>
        <v>0</v>
      </c>
      <c r="DZ93" s="3"/>
      <c r="EA93" s="3">
        <f>SUM(EA84:EA92)</f>
        <v>0</v>
      </c>
      <c r="EB93" s="3"/>
      <c r="EC93" s="3">
        <f>SUM(EC84:EC92)</f>
        <v>0</v>
      </c>
      <c r="ED93" s="3"/>
      <c r="EE93" s="3">
        <f>SUM(EE84:EE92)</f>
        <v>0</v>
      </c>
      <c r="EF93" s="3"/>
      <c r="EG93" s="3">
        <f>SUM(EG84:EG92)</f>
        <v>9</v>
      </c>
      <c r="EH93" s="3"/>
      <c r="EI93" s="3">
        <f>SUM(EI84:EI92)</f>
        <v>0</v>
      </c>
      <c r="EJ93" s="3"/>
      <c r="EK93" s="3">
        <f>SUM(EK84:EK92)</f>
        <v>0</v>
      </c>
      <c r="EL93" s="3"/>
      <c r="EM93" s="3">
        <f>SUM(EM84:EM92)</f>
        <v>8</v>
      </c>
      <c r="EN93" s="3"/>
      <c r="EO93" s="3">
        <f>SUM(EO84:EO92)</f>
        <v>1</v>
      </c>
      <c r="EP93" s="3"/>
      <c r="EQ93" s="26">
        <f t="shared" ref="EQ93:ES93" si="2096">AVERAGE(EQ84:EQ92)</f>
        <v>3.5</v>
      </c>
      <c r="ER93" s="26">
        <f t="shared" si="2096"/>
        <v>3</v>
      </c>
      <c r="ES93" s="26">
        <f t="shared" si="2096"/>
        <v>2</v>
      </c>
      <c r="ET93" s="26">
        <f>SUM(ET84:ET92)</f>
        <v>35</v>
      </c>
      <c r="EU93" s="30"/>
      <c r="EV93" s="29">
        <f>SUM(EV84:EV92)</f>
        <v>47</v>
      </c>
      <c r="EW93" s="3"/>
      <c r="EX93" s="3">
        <f>SUM(EX84:EX92)</f>
        <v>18</v>
      </c>
      <c r="EY93" s="3"/>
      <c r="EZ93" s="3">
        <f>SUM(EZ84:EZ92)</f>
        <v>3</v>
      </c>
      <c r="FA93" s="3"/>
      <c r="FB93" s="3">
        <f>SUM(FB84:FB92)</f>
        <v>0</v>
      </c>
      <c r="FC93" s="3"/>
      <c r="FD93" s="3">
        <f>SUM(FD84:FD92)</f>
        <v>0</v>
      </c>
      <c r="FE93" s="3"/>
      <c r="FF93" s="3">
        <f>SUM(FF84:FF92)</f>
        <v>3</v>
      </c>
      <c r="FG93" s="3"/>
      <c r="FH93" s="3">
        <f>SUM(FH84:FH92)</f>
        <v>3</v>
      </c>
      <c r="FI93" s="3"/>
      <c r="FJ93" s="3">
        <f>SUM(FJ84:FJ92)</f>
        <v>3</v>
      </c>
      <c r="FK93" s="3"/>
      <c r="FL93" s="3">
        <f>SUM(FL84:FL92)</f>
        <v>0</v>
      </c>
      <c r="FM93" s="3"/>
      <c r="FN93" s="3">
        <f>SUM(FN84:FN92)</f>
        <v>0</v>
      </c>
      <c r="FO93" s="3"/>
      <c r="FP93" s="3">
        <f>SUM(FP84:FP92)</f>
        <v>9</v>
      </c>
      <c r="FQ93" s="3"/>
      <c r="FR93" s="3">
        <f>SUM(FR84:FR92)</f>
        <v>0</v>
      </c>
      <c r="FS93" s="3"/>
      <c r="FT93" s="26">
        <f t="shared" ref="FT93:FV93" si="2097">AVERAGE(FT84:FT92)</f>
        <v>0.5</v>
      </c>
      <c r="FU93" s="26">
        <f t="shared" si="2097"/>
        <v>1.8</v>
      </c>
      <c r="FV93" s="26">
        <f t="shared" si="2097"/>
        <v>0.5</v>
      </c>
      <c r="FW93" s="26">
        <f>SUM(FW84:FW92)</f>
        <v>33.5</v>
      </c>
      <c r="FX93" s="30"/>
      <c r="FY93" s="29">
        <f>SUM(FY84:FY92)</f>
        <v>61</v>
      </c>
      <c r="FZ93" s="3"/>
      <c r="GA93" s="3">
        <f>SUM(GA84:GA92)</f>
        <v>19</v>
      </c>
      <c r="GB93" s="3"/>
      <c r="GC93" s="3">
        <f>SUM(GC84:GC92)</f>
        <v>0</v>
      </c>
      <c r="GD93" s="3"/>
      <c r="GE93" s="3">
        <f>SUM(GE84:GE92)</f>
        <v>0</v>
      </c>
      <c r="GF93" s="3"/>
      <c r="GG93" s="3">
        <f>SUM(GG84:GG92)</f>
        <v>0</v>
      </c>
      <c r="GH93" s="3"/>
      <c r="GI93" s="3">
        <f>SUM(GI84:GI92)</f>
        <v>0</v>
      </c>
      <c r="GJ93" s="3"/>
      <c r="GK93" s="3">
        <f>SUM(GK84:GK92)</f>
        <v>3</v>
      </c>
      <c r="GL93" s="3"/>
      <c r="GM93" s="3">
        <f>SUM(GM84:GM92)</f>
        <v>6</v>
      </c>
      <c r="GN93" s="3"/>
      <c r="GO93" s="3">
        <f>SUM(GO84:GO92)</f>
        <v>0</v>
      </c>
      <c r="GP93" s="3"/>
      <c r="GQ93" s="3">
        <f>SUM(GQ84:GQ92)</f>
        <v>0</v>
      </c>
      <c r="GR93" s="3"/>
      <c r="GS93" s="3">
        <f>SUM(GS84:GS92)</f>
        <v>8</v>
      </c>
      <c r="GT93" s="3"/>
      <c r="GU93" s="3">
        <f>SUM(GU84:GU92)</f>
        <v>1</v>
      </c>
      <c r="GV93" s="3"/>
      <c r="GW93" s="26">
        <f t="shared" ref="GW93:GY93" si="2098">AVERAGE(GW84:GW92)</f>
        <v>1</v>
      </c>
      <c r="GX93" s="26">
        <f t="shared" si="2098"/>
        <v>2.8</v>
      </c>
      <c r="GY93" s="26">
        <f t="shared" si="2098"/>
        <v>4.5</v>
      </c>
      <c r="GZ93" s="26">
        <f>SUM(GZ84:GZ92)</f>
        <v>34</v>
      </c>
      <c r="HA93" s="30"/>
      <c r="HB93" s="29">
        <f>SUM(HB84:HB92)</f>
        <v>42</v>
      </c>
      <c r="HC93" s="3"/>
      <c r="HD93" s="3">
        <f>SUM(HD84:HD92)</f>
        <v>14</v>
      </c>
      <c r="HE93" s="3"/>
      <c r="HF93" s="3">
        <f>SUM(HF84:HF92)</f>
        <v>4</v>
      </c>
      <c r="HG93" s="3"/>
      <c r="HH93" s="3">
        <f>SUM(HH84:HH92)</f>
        <v>1</v>
      </c>
      <c r="HI93" s="3"/>
      <c r="HJ93" s="3">
        <f>SUM(HJ84:HJ92)</f>
        <v>1</v>
      </c>
      <c r="HK93" s="3"/>
      <c r="HL93" s="3">
        <f>SUM(HL84:HL92)</f>
        <v>3</v>
      </c>
      <c r="HM93" s="3"/>
      <c r="HN93" s="3">
        <f>SUM(HN84:HN92)</f>
        <v>3</v>
      </c>
      <c r="HO93" s="3"/>
      <c r="HP93" s="3">
        <f>SUM(HP84:HP92)</f>
        <v>2</v>
      </c>
      <c r="HQ93" s="3"/>
      <c r="HR93" s="3">
        <f>SUM(HR84:HR92)</f>
        <v>0</v>
      </c>
      <c r="HS93" s="3"/>
      <c r="HT93" s="3">
        <f>SUM(HT84:HT92)</f>
        <v>5</v>
      </c>
      <c r="HU93" s="3"/>
      <c r="HV93" s="3">
        <f>SUM(HV84:HV92)</f>
        <v>3</v>
      </c>
      <c r="HW93" s="3"/>
      <c r="HX93" s="3">
        <f>SUM(HX84:HX92)</f>
        <v>1</v>
      </c>
      <c r="HY93" s="3"/>
      <c r="HZ93" s="26">
        <f t="shared" ref="HZ93:IB93" si="2099">AVERAGE(HZ84:HZ92)</f>
        <v>1</v>
      </c>
      <c r="IA93" s="26">
        <f t="shared" si="2099"/>
        <v>0.6</v>
      </c>
      <c r="IB93" s="26">
        <f t="shared" si="2099"/>
        <v>0.5</v>
      </c>
      <c r="IC93" s="26">
        <f>SUM(IC84:IC92)</f>
        <v>33</v>
      </c>
      <c r="ID93" s="30"/>
      <c r="IE93" s="29">
        <f>SUM(IE84:IE92)</f>
        <v>68</v>
      </c>
      <c r="IF93" s="3"/>
      <c r="IG93" s="3">
        <f>SUM(IG84:IG92)</f>
        <v>23</v>
      </c>
      <c r="IH93" s="3"/>
      <c r="II93" s="3">
        <f>SUM(II84:II92)</f>
        <v>0</v>
      </c>
      <c r="IJ93" s="3"/>
      <c r="IK93" s="3">
        <f>SUM(IK84:IK92)</f>
        <v>0</v>
      </c>
      <c r="IL93" s="3"/>
      <c r="IM93" s="3">
        <f>SUM(IM84:IM92)</f>
        <v>0</v>
      </c>
      <c r="IN93" s="3"/>
      <c r="IO93" s="3">
        <f>SUM(IO84:IO92)</f>
        <v>0</v>
      </c>
      <c r="IP93" s="3"/>
      <c r="IQ93" s="3">
        <f>SUM(IQ84:IQ92)</f>
        <v>0</v>
      </c>
      <c r="IR93" s="3"/>
      <c r="IS93" s="3">
        <f>SUM(IS84:IS92)</f>
        <v>9</v>
      </c>
      <c r="IT93" s="3"/>
      <c r="IU93" s="3">
        <f>SUM(IU84:IU92)</f>
        <v>0</v>
      </c>
      <c r="IV93" s="3"/>
      <c r="IW93" s="3">
        <f>SUM(IW84:IW92)</f>
        <v>1</v>
      </c>
      <c r="IX93" s="3"/>
      <c r="IY93" s="3">
        <f>SUM(IY84:IY92)</f>
        <v>2</v>
      </c>
      <c r="IZ93" s="3"/>
      <c r="JA93" s="3">
        <f>SUM(JA84:JA92)</f>
        <v>6</v>
      </c>
      <c r="JB93" s="3"/>
      <c r="JC93" s="26">
        <f t="shared" ref="JC93:JE93" si="2100">AVERAGE(JC84:JC92)</f>
        <v>3</v>
      </c>
      <c r="JD93" s="26">
        <f t="shared" si="2100"/>
        <v>4</v>
      </c>
      <c r="JE93" s="26">
        <f t="shared" si="2100"/>
        <v>3</v>
      </c>
      <c r="JF93" s="26">
        <f>SUM(JF84:JF92)</f>
        <v>41</v>
      </c>
      <c r="JG93" s="30"/>
      <c r="JH93" s="29">
        <f>SUM(JH84:JH92)</f>
        <v>43</v>
      </c>
      <c r="JI93" s="3"/>
      <c r="JJ93" s="3">
        <f>SUM(JJ84:JJ92)</f>
        <v>16</v>
      </c>
      <c r="JK93" s="3"/>
      <c r="JL93" s="3">
        <f>SUM(JL84:JL92)</f>
        <v>4</v>
      </c>
      <c r="JM93" s="3"/>
      <c r="JN93" s="3">
        <f>SUM(JN84:JN92)</f>
        <v>1</v>
      </c>
      <c r="JO93" s="3"/>
      <c r="JP93" s="3">
        <f>SUM(JP84:JP92)</f>
        <v>1</v>
      </c>
      <c r="JQ93" s="3"/>
      <c r="JR93" s="3">
        <f>SUM(JR84:JR92)</f>
        <v>4</v>
      </c>
      <c r="JS93" s="3"/>
      <c r="JT93" s="3">
        <f>SUM(JT84:JT92)</f>
        <v>2</v>
      </c>
      <c r="JU93" s="3"/>
      <c r="JV93" s="3">
        <f>SUM(JV84:JV92)</f>
        <v>2</v>
      </c>
      <c r="JW93" s="3"/>
      <c r="JX93" s="3">
        <f>SUM(JX84:JX92)</f>
        <v>0</v>
      </c>
      <c r="JY93" s="3"/>
      <c r="JZ93" s="3">
        <f>SUM(JZ84:JZ92)</f>
        <v>2</v>
      </c>
      <c r="KA93" s="3"/>
      <c r="KB93" s="3">
        <f>SUM(KB84:KB92)</f>
        <v>7</v>
      </c>
      <c r="KC93" s="3"/>
      <c r="KD93" s="3">
        <f>SUM(KD84:KD92)</f>
        <v>0</v>
      </c>
      <c r="KE93" s="3"/>
      <c r="KF93" s="26">
        <f t="shared" ref="KF93:KH93" si="2101">AVERAGE(KF84:KF92)</f>
        <v>0</v>
      </c>
      <c r="KG93" s="26">
        <f t="shared" si="2101"/>
        <v>1.4</v>
      </c>
      <c r="KH93" s="26">
        <f t="shared" si="2101"/>
        <v>0</v>
      </c>
      <c r="KI93" s="26">
        <f>SUM(KI84:KI92)</f>
        <v>36</v>
      </c>
      <c r="KJ93" s="30"/>
      <c r="KK93" s="10"/>
      <c r="KL93" s="10"/>
      <c r="KM93" s="10"/>
      <c r="KN93" s="10"/>
      <c r="KO93" s="10"/>
      <c r="KP93" s="10"/>
      <c r="KQ93" s="10"/>
      <c r="KR93" s="10"/>
      <c r="KS93" s="10"/>
      <c r="KT93" s="10"/>
      <c r="KU93" s="10"/>
      <c r="KV93" s="10"/>
      <c r="KW93" s="10"/>
      <c r="KX93" s="10"/>
      <c r="KY93" s="10"/>
      <c r="KZ93" s="10"/>
      <c r="LA93" s="10"/>
      <c r="LB93" s="10"/>
      <c r="LC93" s="10"/>
      <c r="LD93" s="10"/>
    </row>
    <row r="94" spans="1:316" ht="15.75" customHeight="1" x14ac:dyDescent="0.25">
      <c r="A94" s="107"/>
      <c r="B94" s="40" t="s">
        <v>49</v>
      </c>
      <c r="C94" s="41" t="s">
        <v>47</v>
      </c>
      <c r="D94" s="41"/>
      <c r="E94" s="6">
        <f>E83+E93</f>
        <v>72</v>
      </c>
      <c r="F94" s="7"/>
      <c r="G94" s="6">
        <f>G83+G93</f>
        <v>0</v>
      </c>
      <c r="H94" s="6"/>
      <c r="I94" s="6">
        <f>I83+I93</f>
        <v>0</v>
      </c>
      <c r="J94" s="6"/>
      <c r="K94" s="6">
        <f>K83+K93</f>
        <v>18</v>
      </c>
      <c r="L94" s="6"/>
      <c r="M94" s="6">
        <f>M83+M93</f>
        <v>0</v>
      </c>
      <c r="N94" s="6"/>
      <c r="O94" s="6">
        <f>O83+O93</f>
        <v>0</v>
      </c>
      <c r="P94" s="6"/>
      <c r="Q94" s="36">
        <f>Q83+Q93</f>
        <v>0</v>
      </c>
      <c r="R94" s="36"/>
      <c r="S94" s="36">
        <f>S83+S93</f>
        <v>0</v>
      </c>
      <c r="T94" s="36"/>
      <c r="U94" s="36">
        <f>U83+U93</f>
        <v>0</v>
      </c>
      <c r="V94" s="36"/>
      <c r="W94" s="6">
        <f>W83+W93</f>
        <v>18</v>
      </c>
      <c r="X94" s="6"/>
      <c r="Y94" s="6">
        <f>Y83+Y93</f>
        <v>0</v>
      </c>
      <c r="Z94" s="6"/>
      <c r="AA94" s="6">
        <f>AA83+AA93</f>
        <v>0</v>
      </c>
      <c r="AB94" s="6"/>
      <c r="AC94" s="6">
        <f>AC83+AC93</f>
        <v>0</v>
      </c>
      <c r="AD94" s="6"/>
      <c r="AE94" s="37">
        <f t="shared" ref="AE94:AG94" si="2102">AVERAGE(AE74:AE82,AE84:AE92)</f>
        <v>-3</v>
      </c>
      <c r="AF94" s="37">
        <f t="shared" si="2102"/>
        <v>-4</v>
      </c>
      <c r="AG94" s="37">
        <f t="shared" si="2102"/>
        <v>-5</v>
      </c>
      <c r="AH94" s="20">
        <f>AH83+AH93</f>
        <v>-19.999999999999996</v>
      </c>
      <c r="AI94" s="7"/>
      <c r="AJ94" s="8">
        <f>AJ83+AJ93</f>
        <v>75</v>
      </c>
      <c r="AK94" s="6"/>
      <c r="AL94" s="6">
        <f>AL83+AL93</f>
        <v>28</v>
      </c>
      <c r="AM94" s="6"/>
      <c r="AN94" s="6">
        <f>AN83+AN93</f>
        <v>9</v>
      </c>
      <c r="AO94" s="6"/>
      <c r="AP94" s="6">
        <f>AP83+AP93</f>
        <v>5</v>
      </c>
      <c r="AQ94" s="6"/>
      <c r="AR94" s="6">
        <f>AR83+AR93</f>
        <v>1</v>
      </c>
      <c r="AS94" s="6"/>
      <c r="AT94" s="36">
        <f>AT83+AT93</f>
        <v>13</v>
      </c>
      <c r="AU94" s="36"/>
      <c r="AV94" s="36">
        <f>AV83+AV93</f>
        <v>4</v>
      </c>
      <c r="AW94" s="36"/>
      <c r="AX94" s="36">
        <f>AX83+AX93</f>
        <v>0</v>
      </c>
      <c r="AY94" s="36"/>
      <c r="AZ94" s="6">
        <f>AZ83+AZ93</f>
        <v>0</v>
      </c>
      <c r="BA94" s="6"/>
      <c r="BB94" s="6">
        <f>BB83+BB93</f>
        <v>8</v>
      </c>
      <c r="BC94" s="6"/>
      <c r="BD94" s="6">
        <f>BD83+BD93</f>
        <v>10</v>
      </c>
      <c r="BE94" s="6"/>
      <c r="BF94" s="6">
        <f>BF83+BF93</f>
        <v>0</v>
      </c>
      <c r="BG94" s="6"/>
      <c r="BH94" s="37">
        <f t="shared" ref="BH94:BJ94" si="2103">AVERAGE(BH74:BH82,BH84:BH92)</f>
        <v>0.25</v>
      </c>
      <c r="BI94" s="37">
        <f t="shared" si="2103"/>
        <v>0.2</v>
      </c>
      <c r="BJ94" s="37">
        <f t="shared" si="2103"/>
        <v>0</v>
      </c>
      <c r="BK94" s="20">
        <f>BK83+BK93</f>
        <v>62.999999999999986</v>
      </c>
      <c r="BL94" s="7"/>
      <c r="BM94" s="8">
        <f>BM83+BM93</f>
        <v>96</v>
      </c>
      <c r="BN94" s="6"/>
      <c r="BO94" s="6">
        <f>BO83+BO93</f>
        <v>36</v>
      </c>
      <c r="BP94" s="6"/>
      <c r="BQ94" s="6">
        <f>BQ83+BQ93</f>
        <v>2</v>
      </c>
      <c r="BR94" s="6"/>
      <c r="BS94" s="6">
        <f>BS83+BS93</f>
        <v>2</v>
      </c>
      <c r="BT94" s="6"/>
      <c r="BU94" s="6">
        <f>BU83+BU93</f>
        <v>0</v>
      </c>
      <c r="BV94" s="6"/>
      <c r="BW94" s="36">
        <f>BW83+BW93</f>
        <v>4</v>
      </c>
      <c r="BX94" s="36"/>
      <c r="BY94" s="36">
        <f>BY83+BY93</f>
        <v>8</v>
      </c>
      <c r="BZ94" s="36"/>
      <c r="CA94" s="36">
        <f>CA83+CA93</f>
        <v>6</v>
      </c>
      <c r="CB94" s="36"/>
      <c r="CC94" s="6">
        <f>CC83+CC93</f>
        <v>0</v>
      </c>
      <c r="CD94" s="6"/>
      <c r="CE94" s="6">
        <f>CE83+CE93</f>
        <v>4</v>
      </c>
      <c r="CF94" s="6"/>
      <c r="CG94" s="6">
        <f>CG83+CG93</f>
        <v>10</v>
      </c>
      <c r="CH94" s="6"/>
      <c r="CI94" s="6">
        <f>CI83+CI93</f>
        <v>4</v>
      </c>
      <c r="CJ94" s="6"/>
      <c r="CK94" s="37">
        <f t="shared" ref="CK94:CM94" si="2104">AVERAGE(CK74:CK82,CK84:CK92)</f>
        <v>0.25</v>
      </c>
      <c r="CL94" s="37">
        <f t="shared" si="2104"/>
        <v>1.9</v>
      </c>
      <c r="CM94" s="37">
        <f t="shared" si="2104"/>
        <v>1</v>
      </c>
      <c r="CN94" s="20">
        <f>CN83+CN93</f>
        <v>72</v>
      </c>
      <c r="CO94" s="7"/>
      <c r="CP94" s="8">
        <f>CP83+CP93</f>
        <v>83</v>
      </c>
      <c r="CQ94" s="6"/>
      <c r="CR94" s="6">
        <f>CR83+CR93</f>
        <v>32</v>
      </c>
      <c r="CS94" s="6"/>
      <c r="CT94" s="6">
        <f>CT83+CT93</f>
        <v>7</v>
      </c>
      <c r="CU94" s="6"/>
      <c r="CV94" s="6">
        <f>CV83+CV93</f>
        <v>3</v>
      </c>
      <c r="CW94" s="6"/>
      <c r="CX94" s="6">
        <f>CX83+CX93</f>
        <v>1</v>
      </c>
      <c r="CY94" s="6"/>
      <c r="CZ94" s="36">
        <f>CZ83+CZ93</f>
        <v>8</v>
      </c>
      <c r="DA94" s="36"/>
      <c r="DB94" s="36">
        <f>DB83+DB93</f>
        <v>7</v>
      </c>
      <c r="DC94" s="36"/>
      <c r="DD94" s="36">
        <f>DD83+DD93</f>
        <v>2</v>
      </c>
      <c r="DE94" s="36"/>
      <c r="DF94" s="6">
        <f>DF83+DF93</f>
        <v>0</v>
      </c>
      <c r="DG94" s="6"/>
      <c r="DH94" s="6">
        <f>DH83+DH93</f>
        <v>6</v>
      </c>
      <c r="DI94" s="6"/>
      <c r="DJ94" s="6">
        <f>DJ83+DJ93</f>
        <v>11</v>
      </c>
      <c r="DK94" s="6"/>
      <c r="DL94" s="6">
        <f>DL83+DL93</f>
        <v>1</v>
      </c>
      <c r="DM94" s="6"/>
      <c r="DN94" s="37">
        <f t="shared" ref="DN94:DP94" si="2105">AVERAGE(DN74:DN82,DN84:DN92)</f>
        <v>0.25</v>
      </c>
      <c r="DO94" s="37">
        <f t="shared" si="2105"/>
        <v>0.7</v>
      </c>
      <c r="DP94" s="37">
        <f t="shared" si="2105"/>
        <v>0.75</v>
      </c>
      <c r="DQ94" s="20">
        <f>DQ83+DQ93</f>
        <v>59.999999999999993</v>
      </c>
      <c r="DR94" s="9"/>
      <c r="DS94" s="8">
        <f>DS83+DS93</f>
        <v>121</v>
      </c>
      <c r="DT94" s="6"/>
      <c r="DU94" s="6">
        <f>DU83+DU93</f>
        <v>40</v>
      </c>
      <c r="DV94" s="6"/>
      <c r="DW94" s="6">
        <f>DW83+DW93</f>
        <v>0</v>
      </c>
      <c r="DX94" s="6"/>
      <c r="DY94" s="6">
        <f>DY83+DY93</f>
        <v>0</v>
      </c>
      <c r="DZ94" s="6"/>
      <c r="EA94" s="6">
        <f>EA83+EA93</f>
        <v>0</v>
      </c>
      <c r="EB94" s="6"/>
      <c r="EC94" s="36">
        <f>EC83+EC93</f>
        <v>0</v>
      </c>
      <c r="ED94" s="36"/>
      <c r="EE94" s="36">
        <f>EE83+EE93</f>
        <v>1</v>
      </c>
      <c r="EF94" s="36"/>
      <c r="EG94" s="36">
        <f>EG83+EG93</f>
        <v>17</v>
      </c>
      <c r="EH94" s="36"/>
      <c r="EI94" s="6">
        <f>EI83+EI93</f>
        <v>0</v>
      </c>
      <c r="EJ94" s="6"/>
      <c r="EK94" s="6">
        <f>EK83+EK93</f>
        <v>0</v>
      </c>
      <c r="EL94" s="6"/>
      <c r="EM94" s="6">
        <f>EM83+EM93</f>
        <v>14</v>
      </c>
      <c r="EN94" s="6"/>
      <c r="EO94" s="6">
        <f>EO83+EO93</f>
        <v>4</v>
      </c>
      <c r="EP94" s="6"/>
      <c r="EQ94" s="37">
        <f t="shared" ref="EQ94:ES94" si="2106">AVERAGE(EQ74:EQ82,EQ84:EQ92)</f>
        <v>3</v>
      </c>
      <c r="ER94" s="37">
        <f t="shared" si="2106"/>
        <v>2.7</v>
      </c>
      <c r="ES94" s="37">
        <f t="shared" si="2106"/>
        <v>2.5</v>
      </c>
      <c r="ET94" s="20">
        <f>ET83+ET93</f>
        <v>67</v>
      </c>
      <c r="EU94" s="9"/>
      <c r="EV94" s="8">
        <f>EV83+EV93</f>
        <v>98</v>
      </c>
      <c r="EW94" s="6"/>
      <c r="EX94" s="6">
        <f>EX83+EX93</f>
        <v>35</v>
      </c>
      <c r="EY94" s="6"/>
      <c r="EZ94" s="6">
        <f>EZ83+EZ93</f>
        <v>3</v>
      </c>
      <c r="FA94" s="6"/>
      <c r="FB94" s="6">
        <f>FB83+FB93</f>
        <v>0</v>
      </c>
      <c r="FC94" s="6"/>
      <c r="FD94" s="6">
        <f>FD83+FD93</f>
        <v>0</v>
      </c>
      <c r="FE94" s="6"/>
      <c r="FF94" s="36">
        <f>FF83+FF93</f>
        <v>3</v>
      </c>
      <c r="FG94" s="36"/>
      <c r="FH94" s="36">
        <f>FH83+FH93</f>
        <v>8</v>
      </c>
      <c r="FI94" s="36"/>
      <c r="FJ94" s="36">
        <f>FJ83+FJ93</f>
        <v>7</v>
      </c>
      <c r="FK94" s="36"/>
      <c r="FL94" s="6">
        <f>FL83+FL93</f>
        <v>0</v>
      </c>
      <c r="FM94" s="6"/>
      <c r="FN94" s="6">
        <f>FN83+FN93</f>
        <v>1</v>
      </c>
      <c r="FO94" s="6"/>
      <c r="FP94" s="6">
        <f>FP83+FP93</f>
        <v>17</v>
      </c>
      <c r="FQ94" s="6"/>
      <c r="FR94" s="6">
        <f>FR83+FR93</f>
        <v>0</v>
      </c>
      <c r="FS94" s="6"/>
      <c r="FT94" s="37">
        <f t="shared" ref="FT94:FV94" si="2107">AVERAGE(FT74:FT82,FT84:FT92)</f>
        <v>1</v>
      </c>
      <c r="FU94" s="37">
        <f t="shared" si="2107"/>
        <v>1.9</v>
      </c>
      <c r="FV94" s="37">
        <f t="shared" si="2107"/>
        <v>0.75</v>
      </c>
      <c r="FW94" s="20">
        <f>FW83+FW93</f>
        <v>71</v>
      </c>
      <c r="FX94" s="9"/>
      <c r="FY94" s="8">
        <f>FY83+FY93</f>
        <v>122</v>
      </c>
      <c r="FZ94" s="6"/>
      <c r="GA94" s="6">
        <f>GA83+GA93</f>
        <v>35</v>
      </c>
      <c r="GB94" s="6"/>
      <c r="GC94" s="6">
        <f>GC83+GC93</f>
        <v>0</v>
      </c>
      <c r="GD94" s="6"/>
      <c r="GE94" s="6">
        <f>GE83+GE93</f>
        <v>0</v>
      </c>
      <c r="GF94" s="6"/>
      <c r="GG94" s="6">
        <f>GG83+GG93</f>
        <v>0</v>
      </c>
      <c r="GH94" s="6"/>
      <c r="GI94" s="36">
        <f>GI83+GI93</f>
        <v>0</v>
      </c>
      <c r="GJ94" s="36"/>
      <c r="GK94" s="36">
        <f>GK83+GK93</f>
        <v>4</v>
      </c>
      <c r="GL94" s="36"/>
      <c r="GM94" s="36">
        <f>GM83+GM93</f>
        <v>14</v>
      </c>
      <c r="GN94" s="36"/>
      <c r="GO94" s="6">
        <f>GO83+GO93</f>
        <v>0</v>
      </c>
      <c r="GP94" s="6"/>
      <c r="GQ94" s="6">
        <f>GQ83+GQ93</f>
        <v>2</v>
      </c>
      <c r="GR94" s="6"/>
      <c r="GS94" s="6">
        <f>GS83+GS93</f>
        <v>15</v>
      </c>
      <c r="GT94" s="6"/>
      <c r="GU94" s="6">
        <f>GU83+GU93</f>
        <v>1</v>
      </c>
      <c r="GV94" s="6"/>
      <c r="GW94" s="37">
        <f t="shared" ref="GW94:GY94" si="2108">AVERAGE(GW74:GW82,GW84:GW92)</f>
        <v>1.25</v>
      </c>
      <c r="GX94" s="37">
        <f t="shared" si="2108"/>
        <v>3.1</v>
      </c>
      <c r="GY94" s="37">
        <f t="shared" si="2108"/>
        <v>3.5</v>
      </c>
      <c r="GZ94" s="20">
        <f>GZ83+GZ93</f>
        <v>68</v>
      </c>
      <c r="HA94" s="9"/>
      <c r="HB94" s="8">
        <f>HB83+HB93</f>
        <v>89</v>
      </c>
      <c r="HC94" s="6"/>
      <c r="HD94" s="6">
        <f>HD83+HD93</f>
        <v>26</v>
      </c>
      <c r="HE94" s="6"/>
      <c r="HF94" s="6">
        <f>HF83+HF93</f>
        <v>6</v>
      </c>
      <c r="HG94" s="6"/>
      <c r="HH94" s="6">
        <f>HH83+HH93</f>
        <v>3</v>
      </c>
      <c r="HI94" s="6"/>
      <c r="HJ94" s="6">
        <f>HJ83+HJ93</f>
        <v>2</v>
      </c>
      <c r="HK94" s="6"/>
      <c r="HL94" s="36">
        <f>HL83+HL93</f>
        <v>6</v>
      </c>
      <c r="HM94" s="36"/>
      <c r="HN94" s="36">
        <f>HN83+HN93</f>
        <v>5</v>
      </c>
      <c r="HO94" s="36"/>
      <c r="HP94" s="36">
        <f>HP83+HP93</f>
        <v>5</v>
      </c>
      <c r="HQ94" s="36"/>
      <c r="HR94" s="6">
        <f>HR83+HR93</f>
        <v>0</v>
      </c>
      <c r="HS94" s="6"/>
      <c r="HT94" s="6">
        <f>HT83+HT93</f>
        <v>11</v>
      </c>
      <c r="HU94" s="6"/>
      <c r="HV94" s="6">
        <f>HV83+HV93</f>
        <v>6</v>
      </c>
      <c r="HW94" s="6"/>
      <c r="HX94" s="6">
        <f>HX83+HX93</f>
        <v>1</v>
      </c>
      <c r="HY94" s="6"/>
      <c r="HZ94" s="37">
        <f t="shared" ref="HZ94:IB94" si="2109">AVERAGE(HZ74:HZ82,HZ84:HZ92)</f>
        <v>1.25</v>
      </c>
      <c r="IA94" s="37">
        <f t="shared" si="2109"/>
        <v>0.6</v>
      </c>
      <c r="IB94" s="37">
        <f t="shared" si="2109"/>
        <v>1.5</v>
      </c>
      <c r="IC94" s="20">
        <f>IC83+IC93</f>
        <v>71</v>
      </c>
      <c r="ID94" s="9"/>
      <c r="IE94" s="8">
        <f>IE83+IE93</f>
        <v>137</v>
      </c>
      <c r="IF94" s="6"/>
      <c r="IG94" s="6">
        <f>IG83+IG93</f>
        <v>43</v>
      </c>
      <c r="IH94" s="6"/>
      <c r="II94" s="6">
        <f>II83+II93</f>
        <v>0</v>
      </c>
      <c r="IJ94" s="6"/>
      <c r="IK94" s="6">
        <f>IK83+IK93</f>
        <v>0</v>
      </c>
      <c r="IL94" s="6"/>
      <c r="IM94" s="6">
        <f>IM83+IM93</f>
        <v>0</v>
      </c>
      <c r="IN94" s="6"/>
      <c r="IO94" s="36">
        <f>IO83+IO93</f>
        <v>0</v>
      </c>
      <c r="IP94" s="36"/>
      <c r="IQ94" s="36">
        <f>IQ83+IQ93</f>
        <v>0</v>
      </c>
      <c r="IR94" s="36"/>
      <c r="IS94" s="36">
        <f>IS83+IS93</f>
        <v>18</v>
      </c>
      <c r="IT94" s="36"/>
      <c r="IU94" s="6">
        <f>IU83+IU93</f>
        <v>0</v>
      </c>
      <c r="IV94" s="6"/>
      <c r="IW94" s="6">
        <f>IW83+IW93</f>
        <v>2</v>
      </c>
      <c r="IX94" s="6"/>
      <c r="IY94" s="6">
        <f>IY83+IY93</f>
        <v>7</v>
      </c>
      <c r="IZ94" s="6"/>
      <c r="JA94" s="6">
        <f>JA83+JA93</f>
        <v>9</v>
      </c>
      <c r="JB94" s="6"/>
      <c r="JC94" s="37">
        <f t="shared" ref="JC94:JE94" si="2110">AVERAGE(JC74:JC82,JC84:JC92)</f>
        <v>3.75</v>
      </c>
      <c r="JD94" s="37">
        <f t="shared" si="2110"/>
        <v>3.9</v>
      </c>
      <c r="JE94" s="37">
        <f t="shared" si="2110"/>
        <v>2.75</v>
      </c>
      <c r="JF94" s="20">
        <f>JF83+JF93</f>
        <v>83</v>
      </c>
      <c r="JG94" s="9"/>
      <c r="JH94" s="8">
        <f>JH83+JH93</f>
        <v>84</v>
      </c>
      <c r="JI94" s="6"/>
      <c r="JJ94" s="6">
        <f>JJ83+JJ93</f>
        <v>34</v>
      </c>
      <c r="JK94" s="6"/>
      <c r="JL94" s="6">
        <f>JL83+JL93</f>
        <v>10</v>
      </c>
      <c r="JM94" s="6"/>
      <c r="JN94" s="6">
        <f>JN83+JN93</f>
        <v>1</v>
      </c>
      <c r="JO94" s="6"/>
      <c r="JP94" s="6">
        <f>JP83+JP93</f>
        <v>1</v>
      </c>
      <c r="JQ94" s="6"/>
      <c r="JR94" s="36">
        <f>JR83+JR93</f>
        <v>9</v>
      </c>
      <c r="JS94" s="36"/>
      <c r="JT94" s="36">
        <f>JT83+JT93</f>
        <v>5</v>
      </c>
      <c r="JU94" s="36"/>
      <c r="JV94" s="36">
        <f>JV83+JV93</f>
        <v>3</v>
      </c>
      <c r="JW94" s="36"/>
      <c r="JX94" s="6">
        <f>JX83+JX93</f>
        <v>0</v>
      </c>
      <c r="JY94" s="6"/>
      <c r="JZ94" s="6">
        <f>JZ83+JZ93</f>
        <v>3</v>
      </c>
      <c r="KA94" s="6"/>
      <c r="KB94" s="6">
        <f>KB83+KB93</f>
        <v>14</v>
      </c>
      <c r="KC94" s="6"/>
      <c r="KD94" s="6">
        <f>KD83+KD93</f>
        <v>1</v>
      </c>
      <c r="KE94" s="6"/>
      <c r="KF94" s="37">
        <f t="shared" ref="KF94:KH94" si="2111">AVERAGE(KF74:KF82,KF84:KF92)</f>
        <v>0.5</v>
      </c>
      <c r="KG94" s="37">
        <f t="shared" si="2111"/>
        <v>0.9</v>
      </c>
      <c r="KH94" s="37">
        <f t="shared" si="2111"/>
        <v>0.25</v>
      </c>
      <c r="KI94" s="20">
        <f>KI83+KI93</f>
        <v>70</v>
      </c>
      <c r="KJ94" s="9"/>
      <c r="KK94" s="10"/>
      <c r="KL94" s="10"/>
      <c r="KM94" s="10"/>
      <c r="KN94" s="10"/>
      <c r="KO94" s="10"/>
      <c r="KP94" s="10"/>
      <c r="KQ94" s="10"/>
      <c r="KR94" s="10"/>
      <c r="KS94" s="10"/>
      <c r="KT94" s="10"/>
      <c r="KU94" s="10"/>
      <c r="KV94" s="10"/>
      <c r="KW94" s="10"/>
      <c r="KX94" s="10"/>
      <c r="KY94" s="10"/>
      <c r="KZ94" s="10"/>
      <c r="LA94" s="10"/>
      <c r="LB94" s="10"/>
      <c r="LC94" s="10"/>
      <c r="LD94" s="10"/>
    </row>
    <row r="95" spans="1:316" ht="15.75" customHeight="1" x14ac:dyDescent="0.25">
      <c r="A95" s="105" t="s">
        <v>58</v>
      </c>
      <c r="B95" s="108" t="s">
        <v>59</v>
      </c>
      <c r="C95" s="56" t="s">
        <v>53</v>
      </c>
      <c r="D95" s="56"/>
      <c r="E95" s="51">
        <f>E71+E94</f>
        <v>288</v>
      </c>
      <c r="F95" s="53"/>
      <c r="G95" s="51">
        <f>G47</f>
        <v>177</v>
      </c>
      <c r="H95" s="51"/>
      <c r="I95" s="51">
        <f>I47</f>
        <v>71</v>
      </c>
      <c r="J95" s="51"/>
      <c r="K95" s="51">
        <f>K47</f>
        <v>15</v>
      </c>
      <c r="L95" s="51"/>
      <c r="M95" s="51">
        <f>M47</f>
        <v>3</v>
      </c>
      <c r="N95" s="51"/>
      <c r="O95" s="51">
        <f>O47</f>
        <v>1</v>
      </c>
      <c r="P95" s="51"/>
      <c r="Q95" s="51">
        <f>Q47</f>
        <v>14</v>
      </c>
      <c r="R95" s="51"/>
      <c r="S95" s="51">
        <f>S47</f>
        <v>12</v>
      </c>
      <c r="T95" s="51"/>
      <c r="U95" s="51">
        <f>U47</f>
        <v>9</v>
      </c>
      <c r="V95" s="51"/>
      <c r="W95" s="51">
        <f>W47</f>
        <v>0</v>
      </c>
      <c r="X95" s="51"/>
      <c r="Y95" s="51">
        <f>Y47</f>
        <v>7</v>
      </c>
      <c r="Z95" s="51"/>
      <c r="AA95" s="51">
        <f>AA47</f>
        <v>24</v>
      </c>
      <c r="AB95" s="51"/>
      <c r="AC95" s="51">
        <f>AC47</f>
        <v>5</v>
      </c>
      <c r="AD95" s="51"/>
      <c r="AE95" s="52">
        <f t="shared" ref="AE95:AG95" si="2112">AVERAGE(AE3:AE11,AE13:AE21,AE26:AE34,AE36:AE44)</f>
        <v>0.75</v>
      </c>
      <c r="AF95" s="52">
        <f t="shared" si="2112"/>
        <v>1.1000000000000001</v>
      </c>
      <c r="AG95" s="52">
        <f t="shared" si="2112"/>
        <v>0.625</v>
      </c>
      <c r="AH95" s="52">
        <f>AH47</f>
        <v>137</v>
      </c>
      <c r="AI95" s="51"/>
      <c r="AJ95" s="54">
        <f>AJ71+AJ94</f>
        <v>323</v>
      </c>
      <c r="AK95" s="51"/>
      <c r="AL95" s="51">
        <f>AL71+AL94</f>
        <v>125</v>
      </c>
      <c r="AM95" s="51"/>
      <c r="AN95" s="51">
        <f>AN71+AN94</f>
        <v>37</v>
      </c>
      <c r="AO95" s="51"/>
      <c r="AP95" s="51">
        <f>AP71+AP94</f>
        <v>13</v>
      </c>
      <c r="AQ95" s="51"/>
      <c r="AR95" s="51">
        <f>AR71+AR94</f>
        <v>5</v>
      </c>
      <c r="AS95" s="51"/>
      <c r="AT95" s="51">
        <f>AT71+AT94</f>
        <v>41</v>
      </c>
      <c r="AU95" s="51"/>
      <c r="AV95" s="51">
        <f>AV71+AV94</f>
        <v>16</v>
      </c>
      <c r="AW95" s="51"/>
      <c r="AX95" s="51">
        <f>AX71+AX94</f>
        <v>10</v>
      </c>
      <c r="AY95" s="51"/>
      <c r="AZ95" s="51">
        <f>AZ71+AZ94</f>
        <v>0</v>
      </c>
      <c r="BA95" s="51"/>
      <c r="BB95" s="51">
        <f>BB71+BB94</f>
        <v>25</v>
      </c>
      <c r="BC95" s="51"/>
      <c r="BD95" s="51">
        <f>BD71+BD94</f>
        <v>41</v>
      </c>
      <c r="BE95" s="51"/>
      <c r="BF95" s="51">
        <f>BF71+BF94</f>
        <v>6</v>
      </c>
      <c r="BG95" s="51"/>
      <c r="BH95" s="52">
        <f t="shared" ref="BH95:BJ95" si="2113">AVERAGE(BH3:BH11,BH13:BH21,BH26:BH34,BH36:BH44,BH50:BH58,BH60:BH68,BH74:BH82,BH84:BH92)</f>
        <v>0.4375</v>
      </c>
      <c r="BI95" s="52">
        <f t="shared" si="2113"/>
        <v>0.52500000000000002</v>
      </c>
      <c r="BJ95" s="52">
        <f t="shared" si="2113"/>
        <v>0.4375</v>
      </c>
      <c r="BK95" s="52">
        <f>BK71+BK94</f>
        <v>275</v>
      </c>
      <c r="BL95" s="51"/>
      <c r="BM95" s="54">
        <f>BM71+BM94</f>
        <v>400</v>
      </c>
      <c r="BN95" s="51"/>
      <c r="BO95" s="51">
        <f>BO71+BO94</f>
        <v>149</v>
      </c>
      <c r="BP95" s="51"/>
      <c r="BQ95" s="51">
        <f>BQ71+BQ94</f>
        <v>10</v>
      </c>
      <c r="BR95" s="51"/>
      <c r="BS95" s="51">
        <f>BS71+BS94</f>
        <v>6</v>
      </c>
      <c r="BT95" s="51"/>
      <c r="BU95" s="51">
        <f>BU71+BU94</f>
        <v>1</v>
      </c>
      <c r="BV95" s="51"/>
      <c r="BW95" s="51">
        <f>BW71+BW94</f>
        <v>14</v>
      </c>
      <c r="BX95" s="51"/>
      <c r="BY95" s="51">
        <f>BY71+BY94</f>
        <v>24</v>
      </c>
      <c r="BZ95" s="51"/>
      <c r="CA95" s="51">
        <f>CA71+CA94</f>
        <v>33</v>
      </c>
      <c r="CB95" s="51"/>
      <c r="CC95" s="51">
        <f>CC71+CC94</f>
        <v>0</v>
      </c>
      <c r="CD95" s="51"/>
      <c r="CE95" s="51">
        <f>CE71+CE94</f>
        <v>13</v>
      </c>
      <c r="CF95" s="51"/>
      <c r="CG95" s="51">
        <f>CG71+CG94</f>
        <v>41</v>
      </c>
      <c r="CH95" s="51"/>
      <c r="CI95" s="51">
        <f>CI71+CI94</f>
        <v>18</v>
      </c>
      <c r="CJ95" s="51"/>
      <c r="CK95" s="52">
        <f t="shared" ref="CK95:CM95" si="2114">AVERAGE(CK3:CK11,CK13:CK21,CK26:CK34,CK36:CK44,CK50:CK58,CK60:CK68,CK74:CK82,CK84:CK92)</f>
        <v>0.9375</v>
      </c>
      <c r="CL95" s="52">
        <f t="shared" si="2114"/>
        <v>1.825</v>
      </c>
      <c r="CM95" s="52">
        <f t="shared" si="2114"/>
        <v>1.5</v>
      </c>
      <c r="CN95" s="52">
        <f>CN71+CN94</f>
        <v>304</v>
      </c>
      <c r="CO95" s="51"/>
      <c r="CP95" s="54">
        <f>CP71+CP94</f>
        <v>368</v>
      </c>
      <c r="CQ95" s="51"/>
      <c r="CR95" s="51">
        <f>CR71+CR94</f>
        <v>142</v>
      </c>
      <c r="CS95" s="51"/>
      <c r="CT95" s="51">
        <f>CT71+CT94</f>
        <v>17</v>
      </c>
      <c r="CU95" s="51"/>
      <c r="CV95" s="51">
        <f>CV71+CV94</f>
        <v>9</v>
      </c>
      <c r="CW95" s="51"/>
      <c r="CX95" s="51">
        <f>CX71+CX94</f>
        <v>1</v>
      </c>
      <c r="CY95" s="51"/>
      <c r="CZ95" s="51">
        <f>CZ71+CZ94</f>
        <v>20</v>
      </c>
      <c r="DA95" s="51"/>
      <c r="DB95" s="51">
        <f>DB71+DB94</f>
        <v>29</v>
      </c>
      <c r="DC95" s="51"/>
      <c r="DD95" s="51">
        <f>DD71+DD94</f>
        <v>22</v>
      </c>
      <c r="DE95" s="51"/>
      <c r="DF95" s="51">
        <f>DF71+DF94</f>
        <v>0</v>
      </c>
      <c r="DG95" s="51"/>
      <c r="DH95" s="51">
        <f>DH71+DH94</f>
        <v>17</v>
      </c>
      <c r="DI95" s="51"/>
      <c r="DJ95" s="51">
        <f>DJ71+DJ94</f>
        <v>41</v>
      </c>
      <c r="DK95" s="51"/>
      <c r="DL95" s="51">
        <f>DL71+DL94</f>
        <v>14</v>
      </c>
      <c r="DM95" s="51"/>
      <c r="DN95" s="52">
        <f t="shared" ref="DN95:DP95" si="2115">AVERAGE(DN3:DN11,DN13:DN21,DN26:DN34,DN36:DN44,DN50:DN58,DN60:DN68,DN74:DN82,DN84:DN92)</f>
        <v>1</v>
      </c>
      <c r="DO95" s="52">
        <f t="shared" si="2115"/>
        <v>1.125</v>
      </c>
      <c r="DP95" s="52">
        <f t="shared" si="2115"/>
        <v>1.1875</v>
      </c>
      <c r="DQ95" s="52">
        <f>DQ71+DQ94</f>
        <v>276</v>
      </c>
      <c r="DR95" s="55"/>
      <c r="DS95" s="54">
        <f>DS71+DS94</f>
        <v>539</v>
      </c>
      <c r="DT95" s="51"/>
      <c r="DU95" s="51">
        <f>DU71+DU94</f>
        <v>142</v>
      </c>
      <c r="DV95" s="51"/>
      <c r="DW95" s="51">
        <f>DW71+DW94</f>
        <v>1</v>
      </c>
      <c r="DX95" s="51"/>
      <c r="DY95" s="51">
        <f>DY71+DY94</f>
        <v>0</v>
      </c>
      <c r="DZ95" s="51"/>
      <c r="EA95" s="51">
        <f>EA71+EA94</f>
        <v>0</v>
      </c>
      <c r="EB95" s="51"/>
      <c r="EC95" s="51">
        <f>EC71+EC94</f>
        <v>1</v>
      </c>
      <c r="ED95" s="51"/>
      <c r="EE95" s="51">
        <f>EE71+EE94</f>
        <v>3</v>
      </c>
      <c r="EF95" s="51"/>
      <c r="EG95" s="51">
        <f>EG71+EG94</f>
        <v>68</v>
      </c>
      <c r="EH95" s="51"/>
      <c r="EI95" s="51">
        <f>EI71+EI94</f>
        <v>0</v>
      </c>
      <c r="EJ95" s="51"/>
      <c r="EK95" s="51">
        <f>EK71+EK94</f>
        <v>2</v>
      </c>
      <c r="EL95" s="51"/>
      <c r="EM95" s="51">
        <f>EM71+EM94</f>
        <v>53</v>
      </c>
      <c r="EN95" s="51"/>
      <c r="EO95" s="51">
        <f>EO71+EO94</f>
        <v>17</v>
      </c>
      <c r="EP95" s="51"/>
      <c r="EQ95" s="52">
        <f t="shared" ref="EQ95:ES95" si="2116">AVERAGE(EQ3:EQ11,EQ13:EQ21,EQ26:EQ34,EQ36:EQ44,EQ50:EQ58,EQ60:EQ68,EQ74:EQ82,EQ84:EQ92)</f>
        <v>2.8125</v>
      </c>
      <c r="ER95" s="52">
        <f t="shared" si="2116"/>
        <v>3.65</v>
      </c>
      <c r="ES95" s="52">
        <f t="shared" si="2116"/>
        <v>3.75</v>
      </c>
      <c r="ET95" s="52">
        <f>ET71+ET94</f>
        <v>323</v>
      </c>
      <c r="EU95" s="55"/>
      <c r="EV95" s="54">
        <f>EV71+EV94</f>
        <v>402</v>
      </c>
      <c r="EW95" s="51"/>
      <c r="EX95" s="51">
        <f>EX71+EX94</f>
        <v>148</v>
      </c>
      <c r="EY95" s="51"/>
      <c r="EZ95" s="51">
        <f>EZ71+EZ94</f>
        <v>13</v>
      </c>
      <c r="FA95" s="51"/>
      <c r="FB95" s="51">
        <f>FB71+FB94</f>
        <v>1</v>
      </c>
      <c r="FC95" s="51"/>
      <c r="FD95" s="51">
        <f>FD71+FD94</f>
        <v>2</v>
      </c>
      <c r="FE95" s="51"/>
      <c r="FF95" s="51">
        <f>FF71+FF94</f>
        <v>8</v>
      </c>
      <c r="FG95" s="51"/>
      <c r="FH95" s="51">
        <f>FH71+FH94</f>
        <v>27</v>
      </c>
      <c r="FI95" s="51"/>
      <c r="FJ95" s="51">
        <f>FJ71+FJ94</f>
        <v>35</v>
      </c>
      <c r="FK95" s="51"/>
      <c r="FL95" s="51">
        <f>FL71+FL94</f>
        <v>0</v>
      </c>
      <c r="FM95" s="51"/>
      <c r="FN95" s="51">
        <f>FN71+FN94</f>
        <v>8</v>
      </c>
      <c r="FO95" s="51"/>
      <c r="FP95" s="51">
        <f>FP71+FP94</f>
        <v>52</v>
      </c>
      <c r="FQ95" s="51"/>
      <c r="FR95" s="51">
        <f>FR71+FR94</f>
        <v>12</v>
      </c>
      <c r="FS95" s="51"/>
      <c r="FT95" s="52">
        <f t="shared" ref="FT95:FV95" si="2117">AVERAGE(FT3:FT11,FT13:FT21,FT26:FT34,FT36:FT44,FT50:FT58,FT60:FT68,FT74:FT82,FT84:FT92)</f>
        <v>1.5625</v>
      </c>
      <c r="FU95" s="52">
        <f t="shared" si="2117"/>
        <v>1.7250000000000001</v>
      </c>
      <c r="FV95" s="52">
        <f t="shared" si="2117"/>
        <v>1.25</v>
      </c>
      <c r="FW95" s="52">
        <f>FW71+FW94</f>
        <v>294</v>
      </c>
      <c r="FX95" s="55"/>
      <c r="FY95" s="54">
        <f>FY71+FY94</f>
        <v>514</v>
      </c>
      <c r="FZ95" s="51"/>
      <c r="GA95" s="51">
        <f>GA71+GA94</f>
        <v>163</v>
      </c>
      <c r="GB95" s="51"/>
      <c r="GC95" s="51">
        <f>GC71+GC94</f>
        <v>2</v>
      </c>
      <c r="GD95" s="51"/>
      <c r="GE95" s="51">
        <f>GE71+GE94</f>
        <v>0</v>
      </c>
      <c r="GF95" s="51"/>
      <c r="GG95" s="51">
        <f>GG71+GG94</f>
        <v>0</v>
      </c>
      <c r="GH95" s="51"/>
      <c r="GI95" s="51">
        <f>GI71+GI94</f>
        <v>0</v>
      </c>
      <c r="GJ95" s="51"/>
      <c r="GK95" s="51">
        <f>GK71+GK94</f>
        <v>10</v>
      </c>
      <c r="GL95" s="51"/>
      <c r="GM95" s="51">
        <f>GM71+GM94</f>
        <v>62</v>
      </c>
      <c r="GN95" s="51"/>
      <c r="GO95" s="51">
        <f>GO71+GO94</f>
        <v>0</v>
      </c>
      <c r="GP95" s="51"/>
      <c r="GQ95" s="51">
        <f>GQ71+GQ94</f>
        <v>4</v>
      </c>
      <c r="GR95" s="51"/>
      <c r="GS95" s="51">
        <f>GS71+GS94</f>
        <v>45</v>
      </c>
      <c r="GT95" s="51"/>
      <c r="GU95" s="51">
        <f>GU71+GU94</f>
        <v>23</v>
      </c>
      <c r="GV95" s="51"/>
      <c r="GW95" s="52">
        <f t="shared" ref="GW95:GY95" si="2118">AVERAGE(GW3:GW11,GW13:GW21,GW26:GW34,GW36:GW44,GW50:GW58,GW60:GW68,GW74:GW82,GW84:GW92)</f>
        <v>2.0625</v>
      </c>
      <c r="GX95" s="52">
        <f t="shared" si="2118"/>
        <v>3.5</v>
      </c>
      <c r="GY95" s="52">
        <f t="shared" si="2118"/>
        <v>3.3125</v>
      </c>
      <c r="GZ95" s="52">
        <f>GZ71+GZ94</f>
        <v>298</v>
      </c>
      <c r="HA95" s="55"/>
      <c r="HB95" s="54">
        <f>HB71+HB94</f>
        <v>377</v>
      </c>
      <c r="HC95" s="51"/>
      <c r="HD95" s="51">
        <f>HD71+HD94</f>
        <v>141</v>
      </c>
      <c r="HE95" s="51"/>
      <c r="HF95" s="51">
        <f>HF71+HF94</f>
        <v>24</v>
      </c>
      <c r="HG95" s="51"/>
      <c r="HH95" s="51">
        <f>HH71+HH94</f>
        <v>7</v>
      </c>
      <c r="HI95" s="51"/>
      <c r="HJ95" s="51">
        <f>HJ71+HJ94</f>
        <v>2</v>
      </c>
      <c r="HK95" s="51"/>
      <c r="HL95" s="51">
        <f>HL71+HL94</f>
        <v>19</v>
      </c>
      <c r="HM95" s="51"/>
      <c r="HN95" s="51">
        <f>HN71+HN94</f>
        <v>29</v>
      </c>
      <c r="HO95" s="51"/>
      <c r="HP95" s="51">
        <f>HP71+HP94</f>
        <v>22</v>
      </c>
      <c r="HQ95" s="51"/>
      <c r="HR95" s="51">
        <f>HR71+HR94</f>
        <v>0</v>
      </c>
      <c r="HS95" s="51"/>
      <c r="HT95" s="51">
        <f>HT71+HT94</f>
        <v>17</v>
      </c>
      <c r="HU95" s="51"/>
      <c r="HV95" s="51">
        <f>HV71+HV94</f>
        <v>41</v>
      </c>
      <c r="HW95" s="51"/>
      <c r="HX95" s="51">
        <f>HX71+HX94</f>
        <v>14</v>
      </c>
      <c r="HY95" s="51"/>
      <c r="HZ95" s="52">
        <f t="shared" ref="HZ95:IB95" si="2119">AVERAGE(HZ3:HZ11,HZ13:HZ21,HZ26:HZ34,HZ36:HZ44,HZ50:HZ58,HZ60:HZ68,HZ74:HZ82,HZ84:HZ92)</f>
        <v>1</v>
      </c>
      <c r="IA95" s="52">
        <f t="shared" si="2119"/>
        <v>1.175</v>
      </c>
      <c r="IB95" s="52">
        <f t="shared" si="2119"/>
        <v>1.625</v>
      </c>
      <c r="IC95" s="52">
        <f>IC71+IC94</f>
        <v>305</v>
      </c>
      <c r="ID95" s="55"/>
      <c r="IE95" s="54">
        <f>IE71+IE94</f>
        <v>268</v>
      </c>
      <c r="IF95" s="51"/>
      <c r="IG95" s="51">
        <f>IG71+IG94</f>
        <v>94</v>
      </c>
      <c r="IH95" s="51"/>
      <c r="II95" s="51">
        <f>II71+II94</f>
        <v>1</v>
      </c>
      <c r="IJ95" s="51"/>
      <c r="IK95" s="51">
        <f>IK71+IK94</f>
        <v>0</v>
      </c>
      <c r="IL95" s="51"/>
      <c r="IM95" s="51">
        <f>IM71+IM94</f>
        <v>0</v>
      </c>
      <c r="IN95" s="51"/>
      <c r="IO95" s="51">
        <f>IO71+IO94</f>
        <v>0</v>
      </c>
      <c r="IP95" s="51"/>
      <c r="IQ95" s="51">
        <f>IQ71+IQ94</f>
        <v>3</v>
      </c>
      <c r="IR95" s="51"/>
      <c r="IS95" s="51">
        <f>IS71+IS94</f>
        <v>33</v>
      </c>
      <c r="IT95" s="51"/>
      <c r="IU95" s="51">
        <f>IU71+IU94</f>
        <v>0</v>
      </c>
      <c r="IV95" s="51"/>
      <c r="IW95" s="51">
        <f>IW71+IW94</f>
        <v>2</v>
      </c>
      <c r="IX95" s="51"/>
      <c r="IY95" s="51">
        <f>IY71+IY94</f>
        <v>14</v>
      </c>
      <c r="IZ95" s="51"/>
      <c r="JA95" s="51">
        <f>JA71+JA94</f>
        <v>20</v>
      </c>
      <c r="JB95" s="51"/>
      <c r="JC95" s="52">
        <f t="shared" ref="JC95:JE95" si="2120">AVERAGE(JC50:JC58,JC60:JC68,JC74:JC82,JC84:JC92)</f>
        <v>3</v>
      </c>
      <c r="JD95" s="52">
        <f t="shared" si="2120"/>
        <v>3.75</v>
      </c>
      <c r="JE95" s="52">
        <f t="shared" si="2120"/>
        <v>3.125</v>
      </c>
      <c r="JF95" s="52">
        <f>JF71+JF94</f>
        <v>160</v>
      </c>
      <c r="JG95" s="55"/>
      <c r="JH95" s="54">
        <f>JH71+JH94</f>
        <v>169</v>
      </c>
      <c r="JI95" s="51"/>
      <c r="JJ95" s="51">
        <f>JJ71+JJ94</f>
        <v>68</v>
      </c>
      <c r="JK95" s="51"/>
      <c r="JL95" s="51">
        <f>JL71+JL94</f>
        <v>18</v>
      </c>
      <c r="JM95" s="51"/>
      <c r="JN95" s="51">
        <f>JN71+JN94</f>
        <v>2</v>
      </c>
      <c r="JO95" s="51"/>
      <c r="JP95" s="51">
        <f>JP71+JP94</f>
        <v>3</v>
      </c>
      <c r="JQ95" s="51"/>
      <c r="JR95" s="51">
        <f>JR71+JR94</f>
        <v>16</v>
      </c>
      <c r="JS95" s="51"/>
      <c r="JT95" s="51">
        <f>JT71+JT94</f>
        <v>9</v>
      </c>
      <c r="JU95" s="51"/>
      <c r="JV95" s="51">
        <f>JV71+JV94</f>
        <v>8</v>
      </c>
      <c r="JW95" s="51"/>
      <c r="JX95" s="51">
        <f>JX71+JX94</f>
        <v>0</v>
      </c>
      <c r="JY95" s="51"/>
      <c r="JZ95" s="51">
        <f>JZ71+JZ94</f>
        <v>6</v>
      </c>
      <c r="KA95" s="51"/>
      <c r="KB95" s="51">
        <f>KB71+KB94</f>
        <v>28</v>
      </c>
      <c r="KC95" s="51"/>
      <c r="KD95" s="51">
        <f>KD71+KD94</f>
        <v>2</v>
      </c>
      <c r="KE95" s="51"/>
      <c r="KF95" s="52">
        <f t="shared" ref="KF95:KH95" si="2121">AVERAGE(KF50:KF58,KF60:KF68,KF74:KF82,KF84:KF92)</f>
        <v>0.5</v>
      </c>
      <c r="KG95" s="52">
        <f t="shared" si="2121"/>
        <v>0.9</v>
      </c>
      <c r="KH95" s="52">
        <f t="shared" si="2121"/>
        <v>0.375</v>
      </c>
      <c r="KI95" s="52">
        <f>KI71+KI94</f>
        <v>141</v>
      </c>
      <c r="KJ95" s="55"/>
      <c r="KK95" s="10"/>
      <c r="KL95" s="10"/>
      <c r="KM95" s="10"/>
      <c r="KN95" s="10"/>
      <c r="KO95" s="10"/>
      <c r="KP95" s="10"/>
      <c r="KQ95" s="10"/>
      <c r="KR95" s="10"/>
      <c r="KS95" s="10"/>
      <c r="KT95" s="10"/>
      <c r="KU95" s="10"/>
      <c r="KV95" s="10"/>
      <c r="KW95" s="10"/>
      <c r="KX95" s="10"/>
      <c r="KY95" s="10"/>
      <c r="KZ95" s="10"/>
      <c r="LA95" s="10"/>
      <c r="LB95" s="10"/>
      <c r="LC95" s="10"/>
      <c r="LD95" s="10"/>
    </row>
    <row r="96" spans="1:316" ht="15.75" customHeight="1" x14ac:dyDescent="0.25">
      <c r="A96" s="106"/>
      <c r="B96" s="103"/>
      <c r="C96" s="41" t="s">
        <v>60</v>
      </c>
      <c r="D96" s="41"/>
      <c r="E96" s="6">
        <f>E95-$E95</f>
        <v>0</v>
      </c>
      <c r="F96" s="7"/>
      <c r="G96" s="6">
        <f>G95-($E95-2*72)</f>
        <v>33</v>
      </c>
      <c r="H96" s="57"/>
      <c r="I96" s="58">
        <f>I95-72*2</f>
        <v>-73</v>
      </c>
      <c r="J96" s="57"/>
      <c r="K96" s="57"/>
      <c r="L96" s="57"/>
      <c r="M96" s="57"/>
      <c r="N96" s="57"/>
      <c r="O96" s="57"/>
      <c r="P96" s="57"/>
      <c r="Q96" s="57"/>
      <c r="R96" s="57"/>
      <c r="S96" s="57"/>
      <c r="T96" s="57"/>
      <c r="U96" s="57"/>
      <c r="V96" s="57"/>
      <c r="W96" s="57"/>
      <c r="X96" s="57"/>
      <c r="Y96" s="57"/>
      <c r="Z96" s="57"/>
      <c r="AA96" s="57"/>
      <c r="AB96" s="57"/>
      <c r="AC96" s="57"/>
      <c r="AD96" s="57"/>
      <c r="AE96" s="57"/>
      <c r="AF96" s="57"/>
      <c r="AG96" s="57"/>
      <c r="AH96" s="20">
        <f>AH95-($E95-2*72)</f>
        <v>-7</v>
      </c>
      <c r="AI96" s="59"/>
      <c r="AJ96" s="8">
        <f>AJ95-$E95</f>
        <v>35</v>
      </c>
      <c r="AK96" s="57"/>
      <c r="AL96" s="58">
        <f>AL95-72*2</f>
        <v>-19</v>
      </c>
      <c r="AM96" s="57"/>
      <c r="AN96" s="57"/>
      <c r="AO96" s="57"/>
      <c r="AP96" s="57"/>
      <c r="AQ96" s="57"/>
      <c r="AR96" s="57"/>
      <c r="AS96" s="57"/>
      <c r="AT96" s="57"/>
      <c r="AU96" s="57"/>
      <c r="AV96" s="57"/>
      <c r="AW96" s="57"/>
      <c r="AX96" s="57"/>
      <c r="AY96" s="57"/>
      <c r="AZ96" s="57"/>
      <c r="BA96" s="57"/>
      <c r="BB96" s="57"/>
      <c r="BC96" s="57"/>
      <c r="BD96" s="57"/>
      <c r="BE96" s="57"/>
      <c r="BF96" s="57"/>
      <c r="BG96" s="57"/>
      <c r="BH96" s="57"/>
      <c r="BI96" s="57"/>
      <c r="BJ96" s="57"/>
      <c r="BK96" s="20">
        <f>BK95-$E95</f>
        <v>-13</v>
      </c>
      <c r="BL96" s="60"/>
      <c r="BM96" s="6">
        <f>BM95-$E95</f>
        <v>112</v>
      </c>
      <c r="BN96" s="57"/>
      <c r="BO96" s="58">
        <f>BO95-72*2</f>
        <v>5</v>
      </c>
      <c r="BP96" s="57"/>
      <c r="BQ96" s="57"/>
      <c r="BR96" s="57"/>
      <c r="BS96" s="57"/>
      <c r="BT96" s="57"/>
      <c r="BU96" s="57"/>
      <c r="BV96" s="57"/>
      <c r="BW96" s="57"/>
      <c r="BX96" s="57"/>
      <c r="BY96" s="57"/>
      <c r="BZ96" s="57"/>
      <c r="CA96" s="57"/>
      <c r="CB96" s="57"/>
      <c r="CC96" s="57"/>
      <c r="CD96" s="57"/>
      <c r="CE96" s="57"/>
      <c r="CF96" s="57"/>
      <c r="CG96" s="57"/>
      <c r="CH96" s="57"/>
      <c r="CI96" s="57"/>
      <c r="CJ96" s="57"/>
      <c r="CK96" s="57"/>
      <c r="CL96" s="57"/>
      <c r="CM96" s="57"/>
      <c r="CN96" s="20">
        <f>CN95-$E95</f>
        <v>16</v>
      </c>
      <c r="CO96" s="60"/>
      <c r="CP96" s="6">
        <f>CP95-$E95</f>
        <v>80</v>
      </c>
      <c r="CQ96" s="57"/>
      <c r="CR96" s="58">
        <f>CR95-72*2</f>
        <v>-2</v>
      </c>
      <c r="CS96" s="57"/>
      <c r="CT96" s="57"/>
      <c r="CU96" s="57"/>
      <c r="CV96" s="57"/>
      <c r="CW96" s="57"/>
      <c r="CX96" s="57"/>
      <c r="CY96" s="57"/>
      <c r="CZ96" s="57"/>
      <c r="DA96" s="57"/>
      <c r="DB96" s="57"/>
      <c r="DC96" s="57"/>
      <c r="DD96" s="57"/>
      <c r="DE96" s="57"/>
      <c r="DF96" s="57"/>
      <c r="DG96" s="57"/>
      <c r="DH96" s="57"/>
      <c r="DI96" s="57"/>
      <c r="DJ96" s="57"/>
      <c r="DK96" s="57"/>
      <c r="DL96" s="57"/>
      <c r="DM96" s="57"/>
      <c r="DN96" s="57"/>
      <c r="DO96" s="57"/>
      <c r="DP96" s="57"/>
      <c r="DQ96" s="20">
        <f>DQ95-$E95</f>
        <v>-12</v>
      </c>
      <c r="DR96" s="59"/>
      <c r="DS96" s="6">
        <f>DS95-$E95</f>
        <v>251</v>
      </c>
      <c r="DT96" s="57"/>
      <c r="DU96" s="58">
        <f>DU95-72*2</f>
        <v>-2</v>
      </c>
      <c r="DV96" s="57"/>
      <c r="DW96" s="57"/>
      <c r="DX96" s="57"/>
      <c r="DY96" s="57"/>
      <c r="DZ96" s="57"/>
      <c r="EA96" s="57"/>
      <c r="EB96" s="57"/>
      <c r="EC96" s="57"/>
      <c r="ED96" s="57"/>
      <c r="EE96" s="57"/>
      <c r="EF96" s="57"/>
      <c r="EG96" s="57"/>
      <c r="EH96" s="57"/>
      <c r="EI96" s="57"/>
      <c r="EJ96" s="57"/>
      <c r="EK96" s="57"/>
      <c r="EL96" s="57"/>
      <c r="EM96" s="57"/>
      <c r="EN96" s="57"/>
      <c r="EO96" s="57"/>
      <c r="EP96" s="57"/>
      <c r="EQ96" s="57"/>
      <c r="ER96" s="57"/>
      <c r="ES96" s="57"/>
      <c r="ET96" s="20">
        <f>ET95-$E95</f>
        <v>35</v>
      </c>
      <c r="EU96" s="59"/>
      <c r="EV96" s="6">
        <f>EV95-$E95</f>
        <v>114</v>
      </c>
      <c r="EW96" s="57"/>
      <c r="EX96" s="58">
        <f>EX95-72*2</f>
        <v>4</v>
      </c>
      <c r="EY96" s="57"/>
      <c r="EZ96" s="57"/>
      <c r="FA96" s="57"/>
      <c r="FB96" s="57"/>
      <c r="FC96" s="57"/>
      <c r="FD96" s="57"/>
      <c r="FE96" s="57"/>
      <c r="FF96" s="57"/>
      <c r="FG96" s="57"/>
      <c r="FH96" s="57"/>
      <c r="FI96" s="57"/>
      <c r="FJ96" s="57"/>
      <c r="FK96" s="57"/>
      <c r="FL96" s="57"/>
      <c r="FM96" s="57"/>
      <c r="FN96" s="57"/>
      <c r="FO96" s="57"/>
      <c r="FP96" s="57"/>
      <c r="FQ96" s="57"/>
      <c r="FR96" s="57"/>
      <c r="FS96" s="57"/>
      <c r="FT96" s="57"/>
      <c r="FU96" s="57"/>
      <c r="FV96" s="57"/>
      <c r="FW96" s="20">
        <f>FW95-$E95</f>
        <v>6</v>
      </c>
      <c r="FX96" s="59"/>
      <c r="FY96" s="6">
        <f>FY95-$E95</f>
        <v>226</v>
      </c>
      <c r="FZ96" s="57"/>
      <c r="GA96" s="58">
        <f>GA95-72*2</f>
        <v>19</v>
      </c>
      <c r="GB96" s="57"/>
      <c r="GC96" s="57"/>
      <c r="GD96" s="57"/>
      <c r="GE96" s="57"/>
      <c r="GF96" s="57"/>
      <c r="GG96" s="57"/>
      <c r="GH96" s="57"/>
      <c r="GI96" s="57"/>
      <c r="GJ96" s="57"/>
      <c r="GK96" s="57"/>
      <c r="GL96" s="57"/>
      <c r="GM96" s="57"/>
      <c r="GN96" s="57"/>
      <c r="GO96" s="57"/>
      <c r="GP96" s="57"/>
      <c r="GQ96" s="57"/>
      <c r="GR96" s="57"/>
      <c r="GS96" s="57"/>
      <c r="GT96" s="57"/>
      <c r="GU96" s="57"/>
      <c r="GV96" s="57"/>
      <c r="GW96" s="57"/>
      <c r="GX96" s="57"/>
      <c r="GY96" s="57"/>
      <c r="GZ96" s="20">
        <f>GZ95-$E95</f>
        <v>10</v>
      </c>
      <c r="HA96" s="59"/>
      <c r="HB96" s="6">
        <f>HB95-$E95</f>
        <v>89</v>
      </c>
      <c r="HC96" s="57"/>
      <c r="HD96" s="58">
        <f>HD95-72*2</f>
        <v>-3</v>
      </c>
      <c r="HE96" s="57"/>
      <c r="HF96" s="57"/>
      <c r="HG96" s="57"/>
      <c r="HH96" s="57"/>
      <c r="HI96" s="57"/>
      <c r="HJ96" s="57"/>
      <c r="HK96" s="57"/>
      <c r="HL96" s="57"/>
      <c r="HM96" s="57"/>
      <c r="HN96" s="57"/>
      <c r="HO96" s="57"/>
      <c r="HP96" s="57"/>
      <c r="HQ96" s="57"/>
      <c r="HR96" s="57"/>
      <c r="HS96" s="57"/>
      <c r="HT96" s="57"/>
      <c r="HU96" s="57"/>
      <c r="HV96" s="57"/>
      <c r="HW96" s="57"/>
      <c r="HX96" s="57"/>
      <c r="HY96" s="57"/>
      <c r="HZ96" s="57"/>
      <c r="IA96" s="57"/>
      <c r="IB96" s="57"/>
      <c r="IC96" s="20">
        <f>IC95-$E95</f>
        <v>17</v>
      </c>
      <c r="ID96" s="59"/>
      <c r="IE96" s="6">
        <f>IE95-($E95-2*72)</f>
        <v>124</v>
      </c>
      <c r="IF96" s="57"/>
      <c r="IG96" s="58">
        <f>IG95-72*2</f>
        <v>-50</v>
      </c>
      <c r="IH96" s="57"/>
      <c r="II96" s="57"/>
      <c r="IJ96" s="57"/>
      <c r="IK96" s="57"/>
      <c r="IL96" s="57"/>
      <c r="IM96" s="57"/>
      <c r="IN96" s="57"/>
      <c r="IO96" s="57"/>
      <c r="IP96" s="57"/>
      <c r="IQ96" s="57"/>
      <c r="IR96" s="57"/>
      <c r="IS96" s="57"/>
      <c r="IT96" s="57"/>
      <c r="IU96" s="57"/>
      <c r="IV96" s="57"/>
      <c r="IW96" s="57"/>
      <c r="IX96" s="57"/>
      <c r="IY96" s="57"/>
      <c r="IZ96" s="57"/>
      <c r="JA96" s="57"/>
      <c r="JB96" s="57"/>
      <c r="JC96" s="57"/>
      <c r="JD96" s="57"/>
      <c r="JE96" s="57"/>
      <c r="JF96" s="20">
        <f>JF95-($E95-2*72)</f>
        <v>16</v>
      </c>
      <c r="JG96" s="59"/>
      <c r="JH96" s="6">
        <f>JH95-($E95-2*72)</f>
        <v>25</v>
      </c>
      <c r="JI96" s="57"/>
      <c r="JJ96" s="58">
        <f>JJ95-72*2</f>
        <v>-76</v>
      </c>
      <c r="JK96" s="57"/>
      <c r="JL96" s="57"/>
      <c r="JM96" s="57"/>
      <c r="JN96" s="57"/>
      <c r="JO96" s="57"/>
      <c r="JP96" s="57"/>
      <c r="JQ96" s="57"/>
      <c r="JR96" s="57"/>
      <c r="JS96" s="57"/>
      <c r="JT96" s="57"/>
      <c r="JU96" s="57"/>
      <c r="JV96" s="57"/>
      <c r="JW96" s="57"/>
      <c r="JX96" s="57"/>
      <c r="JY96" s="57"/>
      <c r="JZ96" s="57"/>
      <c r="KA96" s="57"/>
      <c r="KB96" s="57"/>
      <c r="KC96" s="57"/>
      <c r="KD96" s="57"/>
      <c r="KE96" s="57"/>
      <c r="KF96" s="57"/>
      <c r="KG96" s="57"/>
      <c r="KH96" s="57"/>
      <c r="KI96" s="20">
        <f>KI95-($E95-2*72)</f>
        <v>-3</v>
      </c>
      <c r="KJ96" s="59"/>
      <c r="KK96" s="10"/>
      <c r="KL96" s="10"/>
      <c r="KM96" s="10"/>
      <c r="KN96" s="10"/>
      <c r="KO96" s="10"/>
      <c r="KP96" s="10"/>
      <c r="KQ96" s="10"/>
      <c r="KR96" s="10"/>
      <c r="KS96" s="10"/>
      <c r="KT96" s="10"/>
      <c r="KU96" s="10"/>
      <c r="KV96" s="10"/>
      <c r="KW96" s="10"/>
      <c r="KX96" s="10"/>
      <c r="KY96" s="10"/>
      <c r="KZ96" s="10"/>
      <c r="LA96" s="10"/>
      <c r="LB96" s="10"/>
      <c r="LC96" s="10"/>
      <c r="LD96" s="10"/>
    </row>
    <row r="97" spans="1:316" ht="15.75" customHeight="1" x14ac:dyDescent="0.25">
      <c r="A97" s="107"/>
      <c r="B97" s="109"/>
      <c r="C97" s="33" t="s">
        <v>61</v>
      </c>
      <c r="D97" s="33"/>
      <c r="E97" s="36">
        <f>E96/4</f>
        <v>0</v>
      </c>
      <c r="F97" s="35"/>
      <c r="G97" s="38">
        <f>G96/2</f>
        <v>16.5</v>
      </c>
      <c r="H97" s="36"/>
      <c r="I97" s="37">
        <f>I95/36</f>
        <v>1.9722222222222223</v>
      </c>
      <c r="J97" s="36"/>
      <c r="K97" s="36">
        <f>K95/2</f>
        <v>7.5</v>
      </c>
      <c r="L97" s="36"/>
      <c r="M97" s="36">
        <f>M95/2</f>
        <v>1.5</v>
      </c>
      <c r="N97" s="36"/>
      <c r="O97" s="36">
        <f>O95/2</f>
        <v>0.5</v>
      </c>
      <c r="P97" s="36"/>
      <c r="Q97" s="36">
        <f>Q95/2</f>
        <v>7</v>
      </c>
      <c r="R97" s="36"/>
      <c r="S97" s="36">
        <f>S95/2</f>
        <v>6</v>
      </c>
      <c r="T97" s="36"/>
      <c r="U97" s="36">
        <f>U95/2</f>
        <v>4.5</v>
      </c>
      <c r="V97" s="36"/>
      <c r="W97" s="36">
        <f>W95/2</f>
        <v>0</v>
      </c>
      <c r="X97" s="36"/>
      <c r="Y97" s="36">
        <f>Y95/2</f>
        <v>3.5</v>
      </c>
      <c r="Z97" s="36"/>
      <c r="AA97" s="36">
        <f>AA95/2</f>
        <v>12</v>
      </c>
      <c r="AB97" s="36"/>
      <c r="AC97" s="36">
        <f>AC95/2</f>
        <v>2.5</v>
      </c>
      <c r="AD97" s="36"/>
      <c r="AE97" s="36"/>
      <c r="AF97" s="36"/>
      <c r="AG97" s="36"/>
      <c r="AH97" s="36"/>
      <c r="AI97" s="39"/>
      <c r="AJ97" s="38">
        <f>AJ96/4</f>
        <v>8.75</v>
      </c>
      <c r="AK97" s="36"/>
      <c r="AL97" s="37">
        <f>AL95/72</f>
        <v>1.7361111111111112</v>
      </c>
      <c r="AM97" s="36"/>
      <c r="AN97" s="36">
        <f>AN95/4</f>
        <v>9.25</v>
      </c>
      <c r="AO97" s="36"/>
      <c r="AP97" s="36">
        <f>AP95/4</f>
        <v>3.25</v>
      </c>
      <c r="AQ97" s="36"/>
      <c r="AR97" s="36">
        <f>AR95/4</f>
        <v>1.25</v>
      </c>
      <c r="AS97" s="36"/>
      <c r="AT97" s="36">
        <f>AT95/4</f>
        <v>10.25</v>
      </c>
      <c r="AU97" s="36"/>
      <c r="AV97" s="36">
        <f>AV95/4</f>
        <v>4</v>
      </c>
      <c r="AW97" s="36"/>
      <c r="AX97" s="36">
        <f>AX95/4</f>
        <v>2.5</v>
      </c>
      <c r="AY97" s="36"/>
      <c r="AZ97" s="36">
        <f>AZ95/4</f>
        <v>0</v>
      </c>
      <c r="BA97" s="36"/>
      <c r="BB97" s="36">
        <f>BB95/4</f>
        <v>6.25</v>
      </c>
      <c r="BC97" s="36"/>
      <c r="BD97" s="36">
        <f>BD95/4</f>
        <v>10.25</v>
      </c>
      <c r="BE97" s="36"/>
      <c r="BF97" s="36">
        <f>BF95/4</f>
        <v>1.5</v>
      </c>
      <c r="BG97" s="36"/>
      <c r="BH97" s="36"/>
      <c r="BI97" s="36"/>
      <c r="BJ97" s="36"/>
      <c r="BK97" s="36"/>
      <c r="BL97" s="35"/>
      <c r="BM97" s="38">
        <f>BM96/4</f>
        <v>28</v>
      </c>
      <c r="BN97" s="36"/>
      <c r="BO97" s="37">
        <f>BO95/72</f>
        <v>2.0694444444444446</v>
      </c>
      <c r="BP97" s="36"/>
      <c r="BQ97" s="36">
        <f>BQ95/4</f>
        <v>2.5</v>
      </c>
      <c r="BR97" s="36"/>
      <c r="BS97" s="36">
        <f>BS95/4</f>
        <v>1.5</v>
      </c>
      <c r="BT97" s="36"/>
      <c r="BU97" s="36">
        <f>BU95/4</f>
        <v>0.25</v>
      </c>
      <c r="BV97" s="36"/>
      <c r="BW97" s="36">
        <f>BW95/4</f>
        <v>3.5</v>
      </c>
      <c r="BX97" s="36"/>
      <c r="BY97" s="36">
        <f>BY95/4</f>
        <v>6</v>
      </c>
      <c r="BZ97" s="36"/>
      <c r="CA97" s="36">
        <f>CA95/4</f>
        <v>8.25</v>
      </c>
      <c r="CB97" s="36"/>
      <c r="CC97" s="36">
        <f>CC95/4</f>
        <v>0</v>
      </c>
      <c r="CD97" s="36"/>
      <c r="CE97" s="36">
        <f>CE95/4</f>
        <v>3.25</v>
      </c>
      <c r="CF97" s="36"/>
      <c r="CG97" s="36">
        <f>CG95/4</f>
        <v>10.25</v>
      </c>
      <c r="CH97" s="36"/>
      <c r="CI97" s="36">
        <f>CI95/4</f>
        <v>4.5</v>
      </c>
      <c r="CJ97" s="36"/>
      <c r="CK97" s="36"/>
      <c r="CL97" s="36"/>
      <c r="CM97" s="36"/>
      <c r="CN97" s="36"/>
      <c r="CO97" s="35"/>
      <c r="CP97" s="38">
        <f>CP96/4</f>
        <v>20</v>
      </c>
      <c r="CQ97" s="36"/>
      <c r="CR97" s="37">
        <f>CR95/72</f>
        <v>1.9722222222222223</v>
      </c>
      <c r="CS97" s="36"/>
      <c r="CT97" s="36">
        <f>CT95/4</f>
        <v>4.25</v>
      </c>
      <c r="CU97" s="36"/>
      <c r="CV97" s="36">
        <f>CV95/4</f>
        <v>2.25</v>
      </c>
      <c r="CW97" s="36"/>
      <c r="CX97" s="36">
        <f>CX95/4</f>
        <v>0.25</v>
      </c>
      <c r="CY97" s="36"/>
      <c r="CZ97" s="36">
        <f>CZ95/4</f>
        <v>5</v>
      </c>
      <c r="DA97" s="36"/>
      <c r="DB97" s="36">
        <f>DB95/4</f>
        <v>7.25</v>
      </c>
      <c r="DC97" s="36"/>
      <c r="DD97" s="36">
        <f>DD95/4</f>
        <v>5.5</v>
      </c>
      <c r="DE97" s="36"/>
      <c r="DF97" s="36">
        <f>DF95/4</f>
        <v>0</v>
      </c>
      <c r="DG97" s="36"/>
      <c r="DH97" s="36">
        <f>DH95/4</f>
        <v>4.25</v>
      </c>
      <c r="DI97" s="36"/>
      <c r="DJ97" s="36">
        <f>DJ95/4</f>
        <v>10.25</v>
      </c>
      <c r="DK97" s="36"/>
      <c r="DL97" s="36">
        <f>DL95/4</f>
        <v>3.5</v>
      </c>
      <c r="DM97" s="36"/>
      <c r="DN97" s="36"/>
      <c r="DO97" s="36"/>
      <c r="DP97" s="36"/>
      <c r="DQ97" s="36"/>
      <c r="DR97" s="39"/>
      <c r="DS97" s="38">
        <f>DS96/4</f>
        <v>62.75</v>
      </c>
      <c r="DT97" s="36"/>
      <c r="DU97" s="37">
        <f>DU95/72</f>
        <v>1.9722222222222223</v>
      </c>
      <c r="DV97" s="36"/>
      <c r="DW97" s="36">
        <f>DW95/4</f>
        <v>0.25</v>
      </c>
      <c r="DX97" s="36"/>
      <c r="DY97" s="36">
        <f>DY95/4</f>
        <v>0</v>
      </c>
      <c r="DZ97" s="36"/>
      <c r="EA97" s="36">
        <f>EA95/4</f>
        <v>0</v>
      </c>
      <c r="EB97" s="36"/>
      <c r="EC97" s="36">
        <f>EC95/4</f>
        <v>0.25</v>
      </c>
      <c r="ED97" s="36"/>
      <c r="EE97" s="36">
        <f>EE95/4</f>
        <v>0.75</v>
      </c>
      <c r="EF97" s="36"/>
      <c r="EG97" s="36">
        <f>EG95/4</f>
        <v>17</v>
      </c>
      <c r="EH97" s="36"/>
      <c r="EI97" s="36">
        <f>EI95/4</f>
        <v>0</v>
      </c>
      <c r="EJ97" s="36"/>
      <c r="EK97" s="36">
        <f>EK95/4</f>
        <v>0.5</v>
      </c>
      <c r="EL97" s="36"/>
      <c r="EM97" s="36">
        <f>EM95/4</f>
        <v>13.25</v>
      </c>
      <c r="EN97" s="36"/>
      <c r="EO97" s="36">
        <f>EO95/4</f>
        <v>4.25</v>
      </c>
      <c r="EP97" s="36"/>
      <c r="EQ97" s="36"/>
      <c r="ER97" s="36"/>
      <c r="ES97" s="36"/>
      <c r="ET97" s="36"/>
      <c r="EU97" s="39"/>
      <c r="EV97" s="38">
        <f>EV96/4</f>
        <v>28.5</v>
      </c>
      <c r="EW97" s="36"/>
      <c r="EX97" s="37">
        <f>EX95/72</f>
        <v>2.0555555555555554</v>
      </c>
      <c r="EY97" s="36"/>
      <c r="EZ97" s="36">
        <f>EZ95/4</f>
        <v>3.25</v>
      </c>
      <c r="FA97" s="36"/>
      <c r="FB97" s="36">
        <f>FB95/4</f>
        <v>0.25</v>
      </c>
      <c r="FC97" s="36"/>
      <c r="FD97" s="36">
        <f>FD95/4</f>
        <v>0.5</v>
      </c>
      <c r="FE97" s="36"/>
      <c r="FF97" s="36">
        <f>FF95/4</f>
        <v>2</v>
      </c>
      <c r="FG97" s="36"/>
      <c r="FH97" s="36">
        <f>FH95/4</f>
        <v>6.75</v>
      </c>
      <c r="FI97" s="36"/>
      <c r="FJ97" s="36">
        <f>FJ95/4</f>
        <v>8.75</v>
      </c>
      <c r="FK97" s="36"/>
      <c r="FL97" s="36">
        <f>FL95/4</f>
        <v>0</v>
      </c>
      <c r="FM97" s="36"/>
      <c r="FN97" s="36">
        <f>FN95/4</f>
        <v>2</v>
      </c>
      <c r="FO97" s="36"/>
      <c r="FP97" s="36">
        <f>FP95/4</f>
        <v>13</v>
      </c>
      <c r="FQ97" s="36"/>
      <c r="FR97" s="36">
        <f>FR95/4</f>
        <v>3</v>
      </c>
      <c r="FS97" s="36"/>
      <c r="FT97" s="36"/>
      <c r="FU97" s="36"/>
      <c r="FV97" s="36"/>
      <c r="FW97" s="36"/>
      <c r="FX97" s="39"/>
      <c r="FY97" s="38">
        <f>FY96/4</f>
        <v>56.5</v>
      </c>
      <c r="FZ97" s="36"/>
      <c r="GA97" s="37">
        <f>GA95/72</f>
        <v>2.2638888888888888</v>
      </c>
      <c r="GB97" s="36"/>
      <c r="GC97" s="36">
        <f>GC95/4</f>
        <v>0.5</v>
      </c>
      <c r="GD97" s="36"/>
      <c r="GE97" s="36">
        <f>GE95/4</f>
        <v>0</v>
      </c>
      <c r="GF97" s="36"/>
      <c r="GG97" s="36">
        <f>GG95/4</f>
        <v>0</v>
      </c>
      <c r="GH97" s="36"/>
      <c r="GI97" s="36">
        <f>GI95/4</f>
        <v>0</v>
      </c>
      <c r="GJ97" s="36"/>
      <c r="GK97" s="36">
        <f>GK95/4</f>
        <v>2.5</v>
      </c>
      <c r="GL97" s="36"/>
      <c r="GM97" s="36">
        <f>GM95/4</f>
        <v>15.5</v>
      </c>
      <c r="GN97" s="36"/>
      <c r="GO97" s="36">
        <f>GO95/4</f>
        <v>0</v>
      </c>
      <c r="GP97" s="36"/>
      <c r="GQ97" s="36">
        <f>GQ95/4</f>
        <v>1</v>
      </c>
      <c r="GR97" s="36"/>
      <c r="GS97" s="36">
        <f>GS95/4</f>
        <v>11.25</v>
      </c>
      <c r="GT97" s="36"/>
      <c r="GU97" s="36">
        <f>GU95/4</f>
        <v>5.75</v>
      </c>
      <c r="GV97" s="36"/>
      <c r="GW97" s="36"/>
      <c r="GX97" s="36"/>
      <c r="GY97" s="36"/>
      <c r="GZ97" s="36"/>
      <c r="HA97" s="39"/>
      <c r="HB97" s="38">
        <f>HB96/4</f>
        <v>22.25</v>
      </c>
      <c r="HC97" s="36"/>
      <c r="HD97" s="37">
        <f>HD95/72</f>
        <v>1.9583333333333333</v>
      </c>
      <c r="HE97" s="36"/>
      <c r="HF97" s="36">
        <f>HF95/4</f>
        <v>6</v>
      </c>
      <c r="HG97" s="36"/>
      <c r="HH97" s="36">
        <f>HH95/4</f>
        <v>1.75</v>
      </c>
      <c r="HI97" s="36"/>
      <c r="HJ97" s="36">
        <f>HJ95/4</f>
        <v>0.5</v>
      </c>
      <c r="HK97" s="36"/>
      <c r="HL97" s="36">
        <f>HL95/4</f>
        <v>4.75</v>
      </c>
      <c r="HM97" s="36"/>
      <c r="HN97" s="36">
        <f>HN95/4</f>
        <v>7.25</v>
      </c>
      <c r="HO97" s="36"/>
      <c r="HP97" s="36">
        <f>HP95/4</f>
        <v>5.5</v>
      </c>
      <c r="HQ97" s="36"/>
      <c r="HR97" s="36">
        <f>HR95/4</f>
        <v>0</v>
      </c>
      <c r="HS97" s="36"/>
      <c r="HT97" s="36">
        <f>HT95/4</f>
        <v>4.25</v>
      </c>
      <c r="HU97" s="36"/>
      <c r="HV97" s="36">
        <f>HV95/4</f>
        <v>10.25</v>
      </c>
      <c r="HW97" s="36"/>
      <c r="HX97" s="36">
        <f>HX95/4</f>
        <v>3.5</v>
      </c>
      <c r="HY97" s="36"/>
      <c r="HZ97" s="36"/>
      <c r="IA97" s="36"/>
      <c r="IB97" s="36"/>
      <c r="IC97" s="36"/>
      <c r="ID97" s="39"/>
      <c r="IE97" s="38">
        <f>IE96/2</f>
        <v>62</v>
      </c>
      <c r="IF97" s="36"/>
      <c r="IG97" s="37">
        <f>IG95/36</f>
        <v>2.6111111111111112</v>
      </c>
      <c r="IH97" s="36"/>
      <c r="II97" s="36">
        <f>II95/2</f>
        <v>0.5</v>
      </c>
      <c r="IJ97" s="36"/>
      <c r="IK97" s="36">
        <f>IK95/2</f>
        <v>0</v>
      </c>
      <c r="IL97" s="36"/>
      <c r="IM97" s="36">
        <f>IM95/2</f>
        <v>0</v>
      </c>
      <c r="IN97" s="36"/>
      <c r="IO97" s="36">
        <f>IO95/2</f>
        <v>0</v>
      </c>
      <c r="IP97" s="36"/>
      <c r="IQ97" s="36">
        <f>IQ95/2</f>
        <v>1.5</v>
      </c>
      <c r="IR97" s="36"/>
      <c r="IS97" s="36">
        <f>IS95/2</f>
        <v>16.5</v>
      </c>
      <c r="IT97" s="36"/>
      <c r="IU97" s="36">
        <f>IU95/2</f>
        <v>0</v>
      </c>
      <c r="IV97" s="36"/>
      <c r="IW97" s="36">
        <f>IW95/2</f>
        <v>1</v>
      </c>
      <c r="IX97" s="36"/>
      <c r="IY97" s="36">
        <f>IY95/2</f>
        <v>7</v>
      </c>
      <c r="IZ97" s="36"/>
      <c r="JA97" s="36">
        <f>JA95/2</f>
        <v>10</v>
      </c>
      <c r="JB97" s="36"/>
      <c r="JC97" s="36"/>
      <c r="JD97" s="36"/>
      <c r="JE97" s="36"/>
      <c r="JF97" s="36"/>
      <c r="JG97" s="39"/>
      <c r="JH97" s="38">
        <f>JH96/2</f>
        <v>12.5</v>
      </c>
      <c r="JI97" s="36"/>
      <c r="JJ97" s="37">
        <f>JJ95/36</f>
        <v>1.8888888888888888</v>
      </c>
      <c r="JK97" s="36"/>
      <c r="JL97" s="36">
        <f>JL95/2</f>
        <v>9</v>
      </c>
      <c r="JM97" s="36"/>
      <c r="JN97" s="36">
        <f>JN95/2</f>
        <v>1</v>
      </c>
      <c r="JO97" s="36"/>
      <c r="JP97" s="36">
        <f>JP95/2</f>
        <v>1.5</v>
      </c>
      <c r="JQ97" s="36"/>
      <c r="JR97" s="36">
        <f>JR95/2</f>
        <v>8</v>
      </c>
      <c r="JS97" s="36"/>
      <c r="JT97" s="36">
        <f>JT95/2</f>
        <v>4.5</v>
      </c>
      <c r="JU97" s="36"/>
      <c r="JV97" s="36">
        <f>JV95/2</f>
        <v>4</v>
      </c>
      <c r="JW97" s="36"/>
      <c r="JX97" s="36">
        <f>JX95/2</f>
        <v>0</v>
      </c>
      <c r="JY97" s="36"/>
      <c r="JZ97" s="36">
        <f>JZ95/2</f>
        <v>3</v>
      </c>
      <c r="KA97" s="36"/>
      <c r="KB97" s="36">
        <f>KB95/2</f>
        <v>14</v>
      </c>
      <c r="KC97" s="36"/>
      <c r="KD97" s="36">
        <f>KD95/2</f>
        <v>1</v>
      </c>
      <c r="KE97" s="36"/>
      <c r="KF97" s="36"/>
      <c r="KG97" s="36"/>
      <c r="KH97" s="36"/>
      <c r="KI97" s="36"/>
      <c r="KJ97" s="39"/>
      <c r="KK97" s="10"/>
      <c r="KL97" s="10"/>
      <c r="KM97" s="10"/>
      <c r="KN97" s="10"/>
      <c r="KO97" s="10"/>
      <c r="KP97" s="10"/>
      <c r="KQ97" s="10"/>
      <c r="KR97" s="10"/>
      <c r="KS97" s="10"/>
      <c r="KT97" s="10"/>
      <c r="KU97" s="10"/>
      <c r="KV97" s="10"/>
      <c r="KW97" s="10"/>
      <c r="KX97" s="10"/>
      <c r="KY97" s="10"/>
      <c r="KZ97" s="10"/>
      <c r="LA97" s="10"/>
      <c r="LB97" s="10"/>
      <c r="LC97" s="10"/>
      <c r="LD97" s="10"/>
    </row>
    <row r="98" spans="1:316" ht="15.75" customHeight="1" x14ac:dyDescent="0.25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6"/>
      <c r="BY98" s="6"/>
      <c r="BZ98" s="6"/>
      <c r="CA98" s="6"/>
      <c r="CB98" s="6"/>
      <c r="CC98" s="6"/>
      <c r="CD98" s="6"/>
      <c r="CE98" s="6"/>
      <c r="CF98" s="6"/>
      <c r="CG98" s="6"/>
      <c r="CH98" s="6"/>
      <c r="CI98" s="6"/>
      <c r="CJ98" s="6"/>
      <c r="CK98" s="6"/>
      <c r="CL98" s="6"/>
      <c r="CM98" s="6"/>
      <c r="CN98" s="6"/>
      <c r="CO98" s="6"/>
      <c r="CP98" s="6"/>
      <c r="CQ98" s="6"/>
      <c r="CR98" s="6"/>
      <c r="CS98" s="6"/>
      <c r="CT98" s="6"/>
      <c r="CU98" s="6"/>
      <c r="CV98" s="6"/>
      <c r="CW98" s="6"/>
      <c r="CX98" s="6"/>
      <c r="CY98" s="6"/>
      <c r="CZ98" s="6"/>
      <c r="DA98" s="6"/>
      <c r="DB98" s="6"/>
      <c r="DC98" s="6"/>
      <c r="DD98" s="6"/>
      <c r="DE98" s="6"/>
      <c r="DF98" s="6"/>
      <c r="DG98" s="6"/>
      <c r="DH98" s="6"/>
      <c r="DI98" s="6"/>
      <c r="DJ98" s="6"/>
      <c r="DK98" s="6"/>
      <c r="DL98" s="6"/>
      <c r="DM98" s="6"/>
      <c r="DN98" s="6"/>
      <c r="DO98" s="6"/>
      <c r="DP98" s="6"/>
      <c r="DQ98" s="6"/>
      <c r="DR98" s="6"/>
      <c r="DS98" s="6"/>
      <c r="DT98" s="6"/>
      <c r="DU98" s="6"/>
      <c r="DV98" s="6"/>
      <c r="DW98" s="6"/>
      <c r="DX98" s="6"/>
      <c r="DY98" s="6"/>
      <c r="DZ98" s="6"/>
      <c r="EA98" s="6"/>
      <c r="EB98" s="6"/>
      <c r="EC98" s="6"/>
      <c r="ED98" s="6"/>
      <c r="EE98" s="6"/>
      <c r="KK98" s="10"/>
      <c r="KL98" s="10"/>
      <c r="KM98" s="10"/>
      <c r="KN98" s="10"/>
      <c r="KO98" s="10"/>
      <c r="KP98" s="10"/>
      <c r="KQ98" s="10"/>
      <c r="KR98" s="10"/>
      <c r="KS98" s="10"/>
      <c r="KT98" s="10"/>
      <c r="KU98" s="10"/>
      <c r="KV98" s="10"/>
      <c r="KW98" s="10"/>
      <c r="KX98" s="10"/>
      <c r="KY98" s="10"/>
      <c r="KZ98" s="10"/>
      <c r="LA98" s="10"/>
      <c r="LB98" s="10"/>
      <c r="LC98" s="10"/>
      <c r="LD98" s="10"/>
    </row>
    <row r="99" spans="1:316" ht="15.75" customHeight="1" x14ac:dyDescent="0.25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6"/>
      <c r="BY99" s="6"/>
      <c r="BZ99" s="6"/>
      <c r="CA99" s="6"/>
      <c r="CB99" s="6"/>
      <c r="CC99" s="6"/>
      <c r="CD99" s="6"/>
      <c r="CE99" s="6"/>
      <c r="CF99" s="6"/>
      <c r="CG99" s="6"/>
      <c r="CH99" s="6"/>
      <c r="CI99" s="6"/>
      <c r="CJ99" s="6"/>
      <c r="CK99" s="6"/>
      <c r="CL99" s="6"/>
      <c r="CM99" s="6"/>
      <c r="CN99" s="6"/>
      <c r="CO99" s="6"/>
      <c r="CP99" s="6"/>
      <c r="CQ99" s="6"/>
      <c r="CR99" s="6"/>
      <c r="CS99" s="6"/>
      <c r="CT99" s="6"/>
      <c r="CU99" s="6"/>
      <c r="CV99" s="6"/>
      <c r="CW99" s="6"/>
      <c r="CX99" s="6"/>
      <c r="CY99" s="6"/>
      <c r="CZ99" s="6"/>
      <c r="DA99" s="6"/>
      <c r="DB99" s="6"/>
      <c r="DC99" s="6"/>
      <c r="DD99" s="6"/>
      <c r="DE99" s="6"/>
      <c r="DF99" s="6"/>
      <c r="DG99" s="6"/>
      <c r="DH99" s="6"/>
      <c r="DI99" s="6"/>
      <c r="DJ99" s="6"/>
      <c r="DK99" s="6"/>
      <c r="DL99" s="6"/>
      <c r="DM99" s="6"/>
      <c r="DN99" s="6"/>
      <c r="DO99" s="6"/>
      <c r="DP99" s="6"/>
      <c r="DQ99" s="6"/>
      <c r="DR99" s="6"/>
      <c r="DS99" s="6"/>
      <c r="DT99" s="6"/>
      <c r="DU99" s="6"/>
      <c r="DV99" s="6"/>
      <c r="DW99" s="6"/>
      <c r="DX99" s="6"/>
      <c r="DY99" s="6"/>
      <c r="DZ99" s="6"/>
      <c r="EA99" s="6"/>
      <c r="EB99" s="6"/>
      <c r="EC99" s="6"/>
      <c r="ED99" s="6"/>
      <c r="EE99" s="6"/>
      <c r="KK99" s="10"/>
      <c r="KL99" s="10"/>
      <c r="KM99" s="10"/>
      <c r="KN99" s="10"/>
      <c r="KO99" s="10"/>
      <c r="KP99" s="10"/>
      <c r="KQ99" s="10"/>
      <c r="KR99" s="10"/>
      <c r="KS99" s="10"/>
      <c r="KT99" s="10"/>
      <c r="KU99" s="10"/>
      <c r="KV99" s="10"/>
      <c r="KW99" s="10"/>
      <c r="KX99" s="10"/>
      <c r="KY99" s="10"/>
      <c r="KZ99" s="10"/>
      <c r="LA99" s="10"/>
      <c r="LB99" s="10"/>
      <c r="LC99" s="10"/>
      <c r="LD99" s="10"/>
    </row>
    <row r="100" spans="1:316" ht="15.75" customHeight="1" x14ac:dyDescent="0.25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6"/>
      <c r="BY100" s="6"/>
      <c r="BZ100" s="6"/>
      <c r="CA100" s="6"/>
      <c r="CB100" s="6"/>
      <c r="CC100" s="6"/>
      <c r="CD100" s="6"/>
      <c r="CE100" s="6"/>
      <c r="CF100" s="6"/>
      <c r="CG100" s="6"/>
      <c r="CH100" s="6"/>
      <c r="CI100" s="6"/>
      <c r="CJ100" s="6"/>
      <c r="CK100" s="6"/>
      <c r="CL100" s="6"/>
      <c r="CM100" s="6"/>
      <c r="CN100" s="6"/>
      <c r="CO100" s="6"/>
      <c r="CP100" s="6"/>
      <c r="CQ100" s="6"/>
      <c r="CR100" s="6"/>
      <c r="CS100" s="6"/>
      <c r="CT100" s="6"/>
      <c r="CU100" s="6"/>
      <c r="CV100" s="6"/>
      <c r="CW100" s="6"/>
      <c r="CX100" s="6"/>
      <c r="CY100" s="6"/>
      <c r="CZ100" s="6"/>
      <c r="DA100" s="6"/>
      <c r="DB100" s="6"/>
      <c r="DC100" s="6"/>
      <c r="DD100" s="6"/>
      <c r="DE100" s="6"/>
      <c r="DF100" s="6"/>
      <c r="DG100" s="6"/>
      <c r="DH100" s="6"/>
      <c r="DI100" s="6"/>
      <c r="DJ100" s="6"/>
      <c r="DK100" s="6"/>
      <c r="DL100" s="6"/>
      <c r="DM100" s="6"/>
      <c r="DN100" s="6"/>
      <c r="DO100" s="6"/>
      <c r="DP100" s="6"/>
      <c r="DQ100" s="6"/>
      <c r="DR100" s="6"/>
      <c r="DS100" s="6"/>
      <c r="DT100" s="6"/>
      <c r="DU100" s="6"/>
      <c r="DV100" s="6"/>
      <c r="DW100" s="6"/>
      <c r="DX100" s="6"/>
      <c r="DY100" s="6"/>
      <c r="DZ100" s="6"/>
      <c r="EA100" s="6"/>
      <c r="EB100" s="6"/>
      <c r="EC100" s="6"/>
      <c r="ED100" s="6"/>
      <c r="EE100" s="6"/>
      <c r="KK100" s="10"/>
      <c r="KL100" s="10"/>
      <c r="KM100" s="10"/>
      <c r="KN100" s="10"/>
      <c r="KO100" s="10"/>
      <c r="KP100" s="10"/>
      <c r="KQ100" s="10"/>
      <c r="KR100" s="10"/>
      <c r="KS100" s="10"/>
      <c r="KT100" s="10"/>
      <c r="KU100" s="10"/>
      <c r="KV100" s="10"/>
      <c r="KW100" s="10"/>
      <c r="KX100" s="10"/>
      <c r="KY100" s="10"/>
      <c r="KZ100" s="10"/>
      <c r="LA100" s="10"/>
      <c r="LB100" s="10"/>
      <c r="LC100" s="10"/>
      <c r="LD100" s="10"/>
    </row>
    <row r="101" spans="1:316" ht="15.75" customHeight="1" x14ac:dyDescent="0.25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6"/>
      <c r="BY101" s="6"/>
      <c r="BZ101" s="6"/>
      <c r="CA101" s="6"/>
      <c r="CB101" s="6"/>
      <c r="CC101" s="6"/>
      <c r="CD101" s="6"/>
      <c r="CE101" s="6"/>
      <c r="CF101" s="6"/>
      <c r="CG101" s="6"/>
      <c r="CH101" s="6"/>
      <c r="CI101" s="6"/>
      <c r="CJ101" s="6"/>
      <c r="CK101" s="6"/>
      <c r="CL101" s="6"/>
      <c r="CM101" s="6"/>
      <c r="CN101" s="6"/>
      <c r="CO101" s="6"/>
      <c r="CP101" s="6"/>
      <c r="CQ101" s="6"/>
      <c r="CR101" s="6"/>
      <c r="CS101" s="6"/>
      <c r="CT101" s="6"/>
      <c r="CU101" s="6"/>
      <c r="CV101" s="6"/>
      <c r="CW101" s="6"/>
      <c r="CX101" s="6"/>
      <c r="CY101" s="6"/>
      <c r="CZ101" s="6"/>
      <c r="DA101" s="6"/>
      <c r="DB101" s="6"/>
      <c r="DC101" s="6"/>
      <c r="DD101" s="6"/>
      <c r="DE101" s="6"/>
      <c r="DF101" s="6"/>
      <c r="DG101" s="6"/>
      <c r="DH101" s="6"/>
      <c r="DI101" s="6"/>
      <c r="DJ101" s="6"/>
      <c r="DK101" s="6"/>
      <c r="DL101" s="6"/>
      <c r="DM101" s="6"/>
      <c r="DN101" s="6"/>
      <c r="DO101" s="6"/>
      <c r="DP101" s="6"/>
      <c r="DQ101" s="6"/>
      <c r="DR101" s="6"/>
      <c r="DS101" s="6"/>
      <c r="DT101" s="6"/>
      <c r="DU101" s="6"/>
      <c r="DV101" s="6"/>
      <c r="DW101" s="6"/>
      <c r="DX101" s="6"/>
      <c r="DY101" s="6"/>
      <c r="DZ101" s="6"/>
      <c r="EA101" s="6"/>
      <c r="EB101" s="6"/>
      <c r="EC101" s="6"/>
      <c r="ED101" s="6"/>
      <c r="EE101" s="6"/>
      <c r="KK101" s="10"/>
      <c r="KL101" s="10"/>
      <c r="KM101" s="10"/>
      <c r="KN101" s="10"/>
      <c r="KO101" s="10"/>
      <c r="KP101" s="10"/>
      <c r="KQ101" s="10"/>
      <c r="KR101" s="10"/>
      <c r="KS101" s="10"/>
      <c r="KT101" s="10"/>
      <c r="KU101" s="10"/>
      <c r="KV101" s="10"/>
      <c r="KW101" s="10"/>
      <c r="KX101" s="10"/>
      <c r="KY101" s="10"/>
      <c r="KZ101" s="10"/>
      <c r="LA101" s="10"/>
      <c r="LB101" s="10"/>
      <c r="LC101" s="10"/>
      <c r="LD101" s="10"/>
    </row>
    <row r="102" spans="1:316" ht="15.75" customHeight="1" x14ac:dyDescent="0.25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6"/>
      <c r="BY102" s="6"/>
      <c r="BZ102" s="6"/>
      <c r="CA102" s="6"/>
      <c r="CB102" s="6"/>
      <c r="CC102" s="6"/>
      <c r="CD102" s="6"/>
      <c r="CE102" s="6"/>
      <c r="CF102" s="6"/>
      <c r="CG102" s="6"/>
      <c r="CH102" s="6"/>
      <c r="CI102" s="6"/>
      <c r="CJ102" s="6"/>
      <c r="CK102" s="6"/>
      <c r="CL102" s="6"/>
      <c r="CM102" s="6"/>
      <c r="CN102" s="6"/>
      <c r="CO102" s="6"/>
      <c r="CP102" s="6"/>
      <c r="CQ102" s="6"/>
      <c r="CR102" s="6"/>
      <c r="CS102" s="6"/>
      <c r="CT102" s="6"/>
      <c r="CU102" s="6"/>
      <c r="CV102" s="6"/>
      <c r="CW102" s="6"/>
      <c r="CX102" s="6"/>
      <c r="CY102" s="6"/>
      <c r="CZ102" s="6"/>
      <c r="DA102" s="6"/>
      <c r="DB102" s="6"/>
      <c r="DC102" s="6"/>
      <c r="DD102" s="6"/>
      <c r="DE102" s="6"/>
      <c r="DF102" s="6"/>
      <c r="DG102" s="6"/>
      <c r="DH102" s="6"/>
      <c r="DI102" s="6"/>
      <c r="DJ102" s="6"/>
      <c r="DK102" s="6"/>
      <c r="DL102" s="6"/>
      <c r="DM102" s="6"/>
      <c r="DN102" s="6"/>
      <c r="DO102" s="6"/>
      <c r="DP102" s="6"/>
      <c r="DQ102" s="6"/>
      <c r="DR102" s="6"/>
      <c r="DS102" s="6"/>
      <c r="DT102" s="6"/>
      <c r="DU102" s="6"/>
      <c r="DV102" s="6"/>
      <c r="DW102" s="6"/>
      <c r="DX102" s="6"/>
      <c r="DY102" s="6"/>
      <c r="DZ102" s="6"/>
      <c r="EA102" s="6"/>
      <c r="EB102" s="6"/>
      <c r="EC102" s="6"/>
      <c r="ED102" s="6"/>
      <c r="EE102" s="6"/>
      <c r="KK102" s="10"/>
      <c r="KL102" s="10"/>
      <c r="KM102" s="10"/>
      <c r="KN102" s="10"/>
      <c r="KO102" s="10"/>
      <c r="KP102" s="10"/>
      <c r="KQ102" s="10"/>
      <c r="KR102" s="10"/>
      <c r="KS102" s="10"/>
      <c r="KT102" s="10"/>
      <c r="KU102" s="10"/>
      <c r="KV102" s="10"/>
      <c r="KW102" s="10"/>
      <c r="KX102" s="10"/>
      <c r="KY102" s="10"/>
      <c r="KZ102" s="10"/>
      <c r="LA102" s="10"/>
      <c r="LB102" s="10"/>
      <c r="LC102" s="10"/>
      <c r="LD102" s="10"/>
    </row>
    <row r="103" spans="1:316" ht="15.75" customHeight="1" x14ac:dyDescent="0.25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6"/>
      <c r="BY103" s="6"/>
      <c r="BZ103" s="6"/>
      <c r="CA103" s="6"/>
      <c r="CB103" s="6"/>
      <c r="CC103" s="6"/>
      <c r="CD103" s="6"/>
      <c r="CE103" s="6"/>
      <c r="CF103" s="6"/>
      <c r="CG103" s="6"/>
      <c r="CH103" s="6"/>
      <c r="CI103" s="6"/>
      <c r="CJ103" s="6"/>
      <c r="CK103" s="6"/>
      <c r="CL103" s="6"/>
      <c r="CM103" s="6"/>
      <c r="CN103" s="6"/>
      <c r="CO103" s="6"/>
      <c r="CP103" s="6"/>
      <c r="CQ103" s="6"/>
      <c r="CR103" s="6"/>
      <c r="CS103" s="6"/>
      <c r="CT103" s="6"/>
      <c r="CU103" s="6"/>
      <c r="CV103" s="6"/>
      <c r="CW103" s="6"/>
      <c r="CX103" s="6"/>
      <c r="CY103" s="6"/>
      <c r="CZ103" s="6"/>
      <c r="DA103" s="6"/>
      <c r="DB103" s="6"/>
      <c r="DC103" s="6"/>
      <c r="DD103" s="6"/>
      <c r="DE103" s="6"/>
      <c r="DF103" s="6"/>
      <c r="DG103" s="6"/>
      <c r="DH103" s="6"/>
      <c r="DI103" s="6"/>
      <c r="DJ103" s="6"/>
      <c r="DK103" s="6"/>
      <c r="DL103" s="6"/>
      <c r="DM103" s="6"/>
      <c r="DN103" s="6"/>
      <c r="DO103" s="6"/>
      <c r="DP103" s="6"/>
      <c r="DQ103" s="6"/>
      <c r="DR103" s="6"/>
      <c r="DS103" s="6"/>
      <c r="DT103" s="6"/>
      <c r="DU103" s="6"/>
      <c r="DV103" s="6"/>
      <c r="DW103" s="6"/>
      <c r="DX103" s="6"/>
      <c r="DY103" s="6"/>
      <c r="DZ103" s="6"/>
      <c r="EA103" s="6"/>
      <c r="EB103" s="6"/>
      <c r="EC103" s="6"/>
      <c r="ED103" s="6"/>
      <c r="EE103" s="6"/>
      <c r="KK103" s="10"/>
      <c r="KL103" s="10"/>
      <c r="KM103" s="10"/>
      <c r="KN103" s="10"/>
      <c r="KO103" s="10"/>
      <c r="KP103" s="10"/>
      <c r="KQ103" s="10"/>
      <c r="KR103" s="10"/>
      <c r="KS103" s="10"/>
      <c r="KT103" s="10"/>
      <c r="KU103" s="10"/>
      <c r="KV103" s="10"/>
      <c r="KW103" s="10"/>
      <c r="KX103" s="10"/>
      <c r="KY103" s="10"/>
      <c r="KZ103" s="10"/>
      <c r="LA103" s="10"/>
      <c r="LB103" s="10"/>
      <c r="LC103" s="10"/>
      <c r="LD103" s="10"/>
    </row>
    <row r="104" spans="1:316" ht="15.75" customHeight="1" x14ac:dyDescent="0.25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6"/>
      <c r="BY104" s="6"/>
      <c r="BZ104" s="6"/>
      <c r="CA104" s="6"/>
      <c r="CB104" s="6"/>
      <c r="CC104" s="6"/>
      <c r="CD104" s="6"/>
      <c r="CE104" s="6"/>
      <c r="CF104" s="6"/>
      <c r="CG104" s="6"/>
      <c r="CH104" s="6"/>
      <c r="CI104" s="6"/>
      <c r="CJ104" s="6"/>
      <c r="CK104" s="6"/>
      <c r="CL104" s="6"/>
      <c r="CM104" s="6"/>
      <c r="CN104" s="6"/>
      <c r="CO104" s="6"/>
      <c r="CP104" s="6"/>
      <c r="CQ104" s="6"/>
      <c r="CR104" s="6"/>
      <c r="CS104" s="6"/>
      <c r="CT104" s="6"/>
      <c r="CU104" s="6"/>
      <c r="CV104" s="6"/>
      <c r="CW104" s="6"/>
      <c r="CX104" s="6"/>
      <c r="CY104" s="6"/>
      <c r="CZ104" s="6"/>
      <c r="DA104" s="6"/>
      <c r="DB104" s="6"/>
      <c r="DC104" s="6"/>
      <c r="DD104" s="6"/>
      <c r="DE104" s="6"/>
      <c r="DF104" s="6"/>
      <c r="DG104" s="6"/>
      <c r="DH104" s="6"/>
      <c r="DI104" s="6"/>
      <c r="DJ104" s="6"/>
      <c r="DK104" s="6"/>
      <c r="DL104" s="6"/>
      <c r="DM104" s="6"/>
      <c r="DN104" s="6"/>
      <c r="DO104" s="6"/>
      <c r="DP104" s="6"/>
      <c r="DQ104" s="6"/>
      <c r="DR104" s="6"/>
      <c r="DS104" s="6"/>
      <c r="DT104" s="6"/>
      <c r="DU104" s="6"/>
      <c r="DV104" s="6"/>
      <c r="DW104" s="6"/>
      <c r="DX104" s="6"/>
      <c r="DY104" s="6"/>
      <c r="DZ104" s="6"/>
      <c r="EA104" s="6"/>
      <c r="EB104" s="6"/>
      <c r="EC104" s="6"/>
      <c r="ED104" s="6"/>
      <c r="EE104" s="6"/>
      <c r="KK104" s="10"/>
      <c r="KL104" s="10"/>
      <c r="KM104" s="10"/>
      <c r="KN104" s="10"/>
      <c r="KO104" s="10"/>
      <c r="KP104" s="10"/>
      <c r="KQ104" s="10"/>
      <c r="KR104" s="10"/>
      <c r="KS104" s="10"/>
      <c r="KT104" s="10"/>
      <c r="KU104" s="10"/>
      <c r="KV104" s="10"/>
      <c r="KW104" s="10"/>
      <c r="KX104" s="10"/>
      <c r="KY104" s="10"/>
      <c r="KZ104" s="10"/>
      <c r="LA104" s="10"/>
      <c r="LB104" s="10"/>
      <c r="LC104" s="10"/>
      <c r="LD104" s="10"/>
    </row>
    <row r="105" spans="1:316" ht="15.75" customHeight="1" x14ac:dyDescent="0.25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6"/>
      <c r="BY105" s="6"/>
      <c r="BZ105" s="6"/>
      <c r="CA105" s="6"/>
      <c r="CB105" s="6"/>
      <c r="CC105" s="6"/>
      <c r="CD105" s="6"/>
      <c r="CE105" s="6"/>
      <c r="CF105" s="6"/>
      <c r="CG105" s="6"/>
      <c r="CH105" s="6"/>
      <c r="CI105" s="6"/>
      <c r="CJ105" s="6"/>
      <c r="CK105" s="6"/>
      <c r="CL105" s="6"/>
      <c r="CM105" s="6"/>
      <c r="CN105" s="6"/>
      <c r="CO105" s="6"/>
      <c r="CP105" s="6"/>
      <c r="CQ105" s="6"/>
      <c r="CR105" s="6"/>
      <c r="CS105" s="6"/>
      <c r="CT105" s="6"/>
      <c r="CU105" s="6"/>
      <c r="CV105" s="6"/>
      <c r="CW105" s="6"/>
      <c r="CX105" s="6"/>
      <c r="CY105" s="6"/>
      <c r="CZ105" s="6"/>
      <c r="DA105" s="6"/>
      <c r="DB105" s="6"/>
      <c r="DC105" s="6"/>
      <c r="DD105" s="6"/>
      <c r="DE105" s="6"/>
      <c r="DF105" s="6"/>
      <c r="DG105" s="6"/>
      <c r="DH105" s="6"/>
      <c r="DI105" s="6"/>
      <c r="DJ105" s="6"/>
      <c r="DK105" s="6"/>
      <c r="DL105" s="6"/>
      <c r="DM105" s="6"/>
      <c r="DN105" s="6"/>
      <c r="DO105" s="6"/>
      <c r="DP105" s="6"/>
      <c r="DQ105" s="6"/>
      <c r="DR105" s="6"/>
      <c r="DS105" s="6"/>
      <c r="DT105" s="6"/>
      <c r="DU105" s="6"/>
      <c r="DV105" s="6"/>
      <c r="DW105" s="6"/>
      <c r="DX105" s="6"/>
      <c r="DY105" s="6"/>
      <c r="DZ105" s="6"/>
      <c r="EA105" s="6"/>
      <c r="EB105" s="6"/>
      <c r="EC105" s="6"/>
      <c r="ED105" s="6"/>
      <c r="EE105" s="6"/>
      <c r="KK105" s="10"/>
      <c r="KL105" s="10"/>
      <c r="KM105" s="10"/>
      <c r="KN105" s="10"/>
      <c r="KO105" s="10"/>
      <c r="KP105" s="10"/>
      <c r="KQ105" s="10"/>
      <c r="KR105" s="10"/>
      <c r="KS105" s="10"/>
      <c r="KT105" s="10"/>
      <c r="KU105" s="10"/>
      <c r="KV105" s="10"/>
      <c r="KW105" s="10"/>
      <c r="KX105" s="10"/>
      <c r="KY105" s="10"/>
      <c r="KZ105" s="10"/>
      <c r="LA105" s="10"/>
      <c r="LB105" s="10"/>
      <c r="LC105" s="10"/>
      <c r="LD105" s="10"/>
    </row>
    <row r="106" spans="1:316" ht="15.75" customHeight="1" x14ac:dyDescent="0.25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6"/>
      <c r="BY106" s="6"/>
      <c r="BZ106" s="6"/>
      <c r="CA106" s="6"/>
      <c r="CB106" s="6"/>
      <c r="CC106" s="6"/>
      <c r="CD106" s="6"/>
      <c r="CE106" s="6"/>
      <c r="CF106" s="6"/>
      <c r="CG106" s="6"/>
      <c r="CH106" s="6"/>
      <c r="CI106" s="6"/>
      <c r="CJ106" s="6"/>
      <c r="CK106" s="6"/>
      <c r="CL106" s="6"/>
      <c r="CM106" s="6"/>
      <c r="CN106" s="6"/>
      <c r="CO106" s="6"/>
      <c r="CP106" s="6"/>
      <c r="CQ106" s="6"/>
      <c r="CR106" s="6"/>
      <c r="CS106" s="6"/>
      <c r="CT106" s="6"/>
      <c r="CU106" s="6"/>
      <c r="CV106" s="6"/>
      <c r="CW106" s="6"/>
      <c r="CX106" s="6"/>
      <c r="CY106" s="6"/>
      <c r="CZ106" s="6"/>
      <c r="DA106" s="6"/>
      <c r="DB106" s="6"/>
      <c r="DC106" s="6"/>
      <c r="DD106" s="6"/>
      <c r="DE106" s="6"/>
      <c r="DF106" s="6"/>
      <c r="DG106" s="6"/>
      <c r="DH106" s="6"/>
      <c r="DI106" s="6"/>
      <c r="DJ106" s="6"/>
      <c r="DK106" s="6"/>
      <c r="DL106" s="6"/>
      <c r="DM106" s="6"/>
      <c r="DN106" s="6"/>
      <c r="DO106" s="6"/>
      <c r="DP106" s="6"/>
      <c r="DQ106" s="6"/>
      <c r="DR106" s="6"/>
      <c r="DS106" s="6"/>
      <c r="DT106" s="6"/>
      <c r="DU106" s="6"/>
      <c r="DV106" s="6"/>
      <c r="DW106" s="6"/>
      <c r="DX106" s="6"/>
      <c r="DY106" s="6"/>
      <c r="DZ106" s="6"/>
      <c r="EA106" s="6"/>
      <c r="EB106" s="6"/>
      <c r="EC106" s="6"/>
      <c r="ED106" s="6"/>
      <c r="EE106" s="6"/>
      <c r="KK106" s="10"/>
      <c r="KL106" s="10"/>
      <c r="KM106" s="10"/>
      <c r="KN106" s="10"/>
      <c r="KO106" s="10"/>
      <c r="KP106" s="10"/>
      <c r="KQ106" s="10"/>
      <c r="KR106" s="10"/>
      <c r="KS106" s="10"/>
      <c r="KT106" s="10"/>
      <c r="KU106" s="10"/>
      <c r="KV106" s="10"/>
      <c r="KW106" s="10"/>
      <c r="KX106" s="10"/>
      <c r="KY106" s="10"/>
      <c r="KZ106" s="10"/>
      <c r="LA106" s="10"/>
      <c r="LB106" s="10"/>
      <c r="LC106" s="10"/>
      <c r="LD106" s="10"/>
    </row>
    <row r="107" spans="1:316" ht="15.75" customHeight="1" x14ac:dyDescent="0.25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6"/>
      <c r="BY107" s="6"/>
      <c r="BZ107" s="6"/>
      <c r="CA107" s="6"/>
      <c r="CB107" s="6"/>
      <c r="CC107" s="6"/>
      <c r="CD107" s="6"/>
      <c r="CE107" s="6"/>
      <c r="CF107" s="6"/>
      <c r="CG107" s="6"/>
      <c r="CH107" s="6"/>
      <c r="CI107" s="6"/>
      <c r="CJ107" s="6"/>
      <c r="CK107" s="6"/>
      <c r="CL107" s="6"/>
      <c r="CM107" s="6"/>
      <c r="CN107" s="6"/>
      <c r="CO107" s="6"/>
      <c r="CP107" s="6"/>
      <c r="CQ107" s="6"/>
      <c r="CR107" s="6"/>
      <c r="CS107" s="6"/>
      <c r="CT107" s="6"/>
      <c r="CU107" s="6"/>
      <c r="CV107" s="6"/>
      <c r="CW107" s="6"/>
      <c r="CX107" s="6"/>
      <c r="CY107" s="6"/>
      <c r="CZ107" s="6"/>
      <c r="DA107" s="6"/>
      <c r="DB107" s="6"/>
      <c r="DC107" s="6"/>
      <c r="DD107" s="6"/>
      <c r="DE107" s="6"/>
      <c r="DF107" s="6"/>
      <c r="DG107" s="6"/>
      <c r="DH107" s="6"/>
      <c r="DI107" s="6"/>
      <c r="DJ107" s="6"/>
      <c r="DK107" s="6"/>
      <c r="DL107" s="6"/>
      <c r="DM107" s="6"/>
      <c r="DN107" s="6"/>
      <c r="DO107" s="6"/>
      <c r="DP107" s="6"/>
      <c r="DQ107" s="6"/>
      <c r="DR107" s="6"/>
      <c r="DS107" s="6"/>
      <c r="DT107" s="6"/>
      <c r="DU107" s="6"/>
      <c r="DV107" s="6"/>
      <c r="DW107" s="6"/>
      <c r="DX107" s="6"/>
      <c r="DY107" s="6"/>
      <c r="DZ107" s="6"/>
      <c r="EA107" s="6"/>
      <c r="EB107" s="6"/>
      <c r="EC107" s="6"/>
      <c r="ED107" s="6"/>
      <c r="EE107" s="6"/>
      <c r="KK107" s="10"/>
      <c r="KL107" s="10"/>
      <c r="KM107" s="10"/>
      <c r="KN107" s="10"/>
      <c r="KO107" s="10"/>
      <c r="KP107" s="10"/>
      <c r="KQ107" s="10"/>
      <c r="KR107" s="10"/>
      <c r="KS107" s="10"/>
      <c r="KT107" s="10"/>
      <c r="KU107" s="10"/>
      <c r="KV107" s="10"/>
      <c r="KW107" s="10"/>
      <c r="KX107" s="10"/>
      <c r="KY107" s="10"/>
      <c r="KZ107" s="10"/>
      <c r="LA107" s="10"/>
      <c r="LB107" s="10"/>
      <c r="LC107" s="10"/>
      <c r="LD107" s="10"/>
    </row>
    <row r="108" spans="1:316" ht="15.75" customHeight="1" x14ac:dyDescent="0.25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6"/>
      <c r="BY108" s="6"/>
      <c r="BZ108" s="6"/>
      <c r="CA108" s="6"/>
      <c r="CB108" s="6"/>
      <c r="CC108" s="6"/>
      <c r="CD108" s="6"/>
      <c r="CE108" s="6"/>
      <c r="CF108" s="6"/>
      <c r="CG108" s="6"/>
      <c r="CH108" s="6"/>
      <c r="CI108" s="6"/>
      <c r="CJ108" s="6"/>
      <c r="CK108" s="6"/>
      <c r="CL108" s="6"/>
      <c r="CM108" s="6"/>
      <c r="CN108" s="6"/>
      <c r="CO108" s="6"/>
      <c r="CP108" s="6"/>
      <c r="CQ108" s="6"/>
      <c r="CR108" s="6"/>
      <c r="CS108" s="6"/>
      <c r="CT108" s="6"/>
      <c r="CU108" s="6"/>
      <c r="CV108" s="6"/>
      <c r="CW108" s="6"/>
      <c r="CX108" s="6"/>
      <c r="CY108" s="6"/>
      <c r="CZ108" s="6"/>
      <c r="DA108" s="6"/>
      <c r="DB108" s="6"/>
      <c r="DC108" s="6"/>
      <c r="DD108" s="6"/>
      <c r="DE108" s="6"/>
      <c r="DF108" s="6"/>
      <c r="DG108" s="6"/>
      <c r="DH108" s="6"/>
      <c r="DI108" s="6"/>
      <c r="DJ108" s="6"/>
      <c r="DK108" s="6"/>
      <c r="DL108" s="6"/>
      <c r="DM108" s="6"/>
      <c r="DN108" s="6"/>
      <c r="DO108" s="6"/>
      <c r="DP108" s="6"/>
      <c r="DQ108" s="6"/>
      <c r="DR108" s="6"/>
      <c r="DS108" s="6"/>
      <c r="DT108" s="6"/>
      <c r="DU108" s="6"/>
      <c r="DV108" s="6"/>
      <c r="DW108" s="6"/>
      <c r="DX108" s="6"/>
      <c r="DY108" s="6"/>
      <c r="DZ108" s="6"/>
      <c r="EA108" s="6"/>
      <c r="EB108" s="6"/>
      <c r="EC108" s="6"/>
      <c r="ED108" s="6"/>
      <c r="EE108" s="6"/>
      <c r="KK108" s="10"/>
      <c r="KL108" s="10"/>
      <c r="KM108" s="10"/>
      <c r="KN108" s="10"/>
      <c r="KO108" s="10"/>
      <c r="KP108" s="10"/>
      <c r="KQ108" s="10"/>
      <c r="KR108" s="10"/>
      <c r="KS108" s="10"/>
      <c r="KT108" s="10"/>
      <c r="KU108" s="10"/>
      <c r="KV108" s="10"/>
      <c r="KW108" s="10"/>
      <c r="KX108" s="10"/>
      <c r="KY108" s="10"/>
      <c r="KZ108" s="10"/>
      <c r="LA108" s="10"/>
      <c r="LB108" s="10"/>
      <c r="LC108" s="10"/>
      <c r="LD108" s="10"/>
    </row>
    <row r="109" spans="1:316" ht="15.75" customHeight="1" x14ac:dyDescent="0.25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6"/>
      <c r="BY109" s="6"/>
      <c r="BZ109" s="6"/>
      <c r="CA109" s="6"/>
      <c r="CB109" s="6"/>
      <c r="CC109" s="6"/>
      <c r="CD109" s="6"/>
      <c r="CE109" s="6"/>
      <c r="CF109" s="6"/>
      <c r="CG109" s="6"/>
      <c r="CH109" s="6"/>
      <c r="CI109" s="6"/>
      <c r="CJ109" s="6"/>
      <c r="CK109" s="6"/>
      <c r="CL109" s="6"/>
      <c r="CM109" s="6"/>
      <c r="CN109" s="6"/>
      <c r="CO109" s="6"/>
      <c r="CP109" s="6"/>
      <c r="CQ109" s="6"/>
      <c r="CR109" s="6"/>
      <c r="CS109" s="6"/>
      <c r="CT109" s="6"/>
      <c r="CU109" s="6"/>
      <c r="CV109" s="6"/>
      <c r="CW109" s="6"/>
      <c r="CX109" s="6"/>
      <c r="CY109" s="6"/>
      <c r="CZ109" s="6"/>
      <c r="DA109" s="6"/>
      <c r="DB109" s="6"/>
      <c r="DC109" s="6"/>
      <c r="DD109" s="6"/>
      <c r="DE109" s="6"/>
      <c r="DF109" s="6"/>
      <c r="DG109" s="6"/>
      <c r="DH109" s="6"/>
      <c r="DI109" s="6"/>
      <c r="DJ109" s="6"/>
      <c r="DK109" s="6"/>
      <c r="DL109" s="6"/>
      <c r="DM109" s="6"/>
      <c r="DN109" s="6"/>
      <c r="DO109" s="6"/>
      <c r="DP109" s="6"/>
      <c r="DQ109" s="6"/>
      <c r="DR109" s="6"/>
      <c r="DS109" s="6"/>
      <c r="DT109" s="6"/>
      <c r="DU109" s="6"/>
      <c r="DV109" s="6"/>
      <c r="DW109" s="6"/>
      <c r="DX109" s="6"/>
      <c r="DY109" s="6"/>
      <c r="DZ109" s="6"/>
      <c r="EA109" s="6"/>
      <c r="EB109" s="6"/>
      <c r="EC109" s="6"/>
      <c r="ED109" s="6"/>
      <c r="EE109" s="6"/>
      <c r="KK109" s="10"/>
      <c r="KL109" s="10"/>
      <c r="KM109" s="10"/>
      <c r="KN109" s="10"/>
      <c r="KO109" s="10"/>
      <c r="KP109" s="10"/>
      <c r="KQ109" s="10"/>
      <c r="KR109" s="10"/>
      <c r="KS109" s="10"/>
      <c r="KT109" s="10"/>
      <c r="KU109" s="10"/>
      <c r="KV109" s="10"/>
      <c r="KW109" s="10"/>
      <c r="KX109" s="10"/>
      <c r="KY109" s="10"/>
      <c r="KZ109" s="10"/>
      <c r="LA109" s="10"/>
      <c r="LB109" s="10"/>
      <c r="LC109" s="10"/>
      <c r="LD109" s="10"/>
    </row>
    <row r="110" spans="1:316" ht="15.75" customHeight="1" x14ac:dyDescent="0.25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6"/>
      <c r="BY110" s="6"/>
      <c r="BZ110" s="6"/>
      <c r="CA110" s="6"/>
      <c r="CB110" s="6"/>
      <c r="CC110" s="6"/>
      <c r="CD110" s="6"/>
      <c r="CE110" s="6"/>
      <c r="CF110" s="6"/>
      <c r="CG110" s="6"/>
      <c r="CH110" s="6"/>
      <c r="CI110" s="6"/>
      <c r="CJ110" s="6"/>
      <c r="CK110" s="6"/>
      <c r="CL110" s="6"/>
      <c r="CM110" s="6"/>
      <c r="CN110" s="6"/>
      <c r="CO110" s="6"/>
      <c r="CP110" s="6"/>
      <c r="CQ110" s="6"/>
      <c r="CR110" s="6"/>
      <c r="CS110" s="6"/>
      <c r="CT110" s="6"/>
      <c r="CU110" s="6"/>
      <c r="CV110" s="6"/>
      <c r="CW110" s="6"/>
      <c r="CX110" s="6"/>
      <c r="CY110" s="6"/>
      <c r="CZ110" s="6"/>
      <c r="DA110" s="6"/>
      <c r="DB110" s="6"/>
      <c r="DC110" s="6"/>
      <c r="DD110" s="6"/>
      <c r="DE110" s="6"/>
      <c r="DF110" s="6"/>
      <c r="DG110" s="6"/>
      <c r="DH110" s="6"/>
      <c r="DI110" s="6"/>
      <c r="DJ110" s="6"/>
      <c r="DK110" s="6"/>
      <c r="DL110" s="6"/>
      <c r="DM110" s="6"/>
      <c r="DN110" s="6"/>
      <c r="DO110" s="6"/>
      <c r="DP110" s="6"/>
      <c r="DQ110" s="6"/>
      <c r="DR110" s="6"/>
      <c r="DS110" s="6"/>
      <c r="DT110" s="6"/>
      <c r="DU110" s="6"/>
      <c r="DV110" s="6"/>
      <c r="DW110" s="6"/>
      <c r="DX110" s="6"/>
      <c r="DY110" s="6"/>
      <c r="DZ110" s="6"/>
      <c r="EA110" s="6"/>
      <c r="EB110" s="6"/>
      <c r="EC110" s="6"/>
      <c r="ED110" s="6"/>
      <c r="EE110" s="6"/>
      <c r="KK110" s="10"/>
      <c r="KL110" s="10"/>
      <c r="KM110" s="10"/>
      <c r="KN110" s="10"/>
      <c r="KO110" s="10"/>
      <c r="KP110" s="10"/>
      <c r="KQ110" s="10"/>
      <c r="KR110" s="10"/>
      <c r="KS110" s="10"/>
      <c r="KT110" s="10"/>
      <c r="KU110" s="10"/>
      <c r="KV110" s="10"/>
      <c r="KW110" s="10"/>
      <c r="KX110" s="10"/>
      <c r="KY110" s="10"/>
      <c r="KZ110" s="10"/>
      <c r="LA110" s="10"/>
      <c r="LB110" s="10"/>
      <c r="LC110" s="10"/>
      <c r="LD110" s="10"/>
    </row>
    <row r="111" spans="1:316" ht="15.75" customHeight="1" x14ac:dyDescent="0.2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6"/>
      <c r="BY111" s="6"/>
      <c r="BZ111" s="6"/>
      <c r="CA111" s="6"/>
      <c r="CB111" s="6"/>
      <c r="CC111" s="6"/>
      <c r="CD111" s="6"/>
      <c r="CE111" s="6"/>
      <c r="CF111" s="6"/>
      <c r="CG111" s="6"/>
      <c r="CH111" s="6"/>
      <c r="CI111" s="6"/>
      <c r="CJ111" s="6"/>
      <c r="CK111" s="6"/>
      <c r="CL111" s="6"/>
      <c r="CM111" s="6"/>
      <c r="CN111" s="6"/>
      <c r="CO111" s="6"/>
      <c r="CP111" s="6"/>
      <c r="CQ111" s="6"/>
      <c r="CR111" s="6"/>
      <c r="CS111" s="6"/>
      <c r="CT111" s="6"/>
      <c r="CU111" s="6"/>
      <c r="CV111" s="6"/>
      <c r="CW111" s="6"/>
      <c r="CX111" s="6"/>
      <c r="CY111" s="6"/>
      <c r="CZ111" s="6"/>
      <c r="DA111" s="6"/>
      <c r="DB111" s="6"/>
      <c r="DC111" s="6"/>
      <c r="DD111" s="6"/>
      <c r="DE111" s="6"/>
      <c r="DF111" s="6"/>
      <c r="DG111" s="6"/>
      <c r="DH111" s="6"/>
      <c r="DI111" s="6"/>
      <c r="DJ111" s="6"/>
      <c r="DK111" s="6"/>
      <c r="DL111" s="6"/>
      <c r="DM111" s="6"/>
      <c r="DN111" s="6"/>
      <c r="DO111" s="6"/>
      <c r="DP111" s="6"/>
      <c r="DQ111" s="6"/>
      <c r="DR111" s="6"/>
      <c r="DS111" s="6"/>
      <c r="DT111" s="6"/>
      <c r="DU111" s="6"/>
      <c r="DV111" s="6"/>
      <c r="DW111" s="6"/>
      <c r="DX111" s="6"/>
      <c r="DY111" s="6"/>
      <c r="DZ111" s="6"/>
      <c r="EA111" s="6"/>
      <c r="EB111" s="6"/>
      <c r="EC111" s="6"/>
      <c r="ED111" s="6"/>
      <c r="EE111" s="6"/>
      <c r="KK111" s="10"/>
      <c r="KL111" s="10"/>
      <c r="KM111" s="10"/>
      <c r="KN111" s="10"/>
      <c r="KO111" s="10"/>
      <c r="KP111" s="10"/>
      <c r="KQ111" s="10"/>
      <c r="KR111" s="10"/>
      <c r="KS111" s="10"/>
      <c r="KT111" s="10"/>
      <c r="KU111" s="10"/>
      <c r="KV111" s="10"/>
      <c r="KW111" s="10"/>
      <c r="KX111" s="10"/>
      <c r="KY111" s="10"/>
      <c r="KZ111" s="10"/>
      <c r="LA111" s="10"/>
      <c r="LB111" s="10"/>
      <c r="LC111" s="10"/>
      <c r="LD111" s="10"/>
    </row>
    <row r="112" spans="1:316" ht="15.75" customHeight="1" x14ac:dyDescent="0.25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6"/>
      <c r="BY112" s="6"/>
      <c r="BZ112" s="6"/>
      <c r="CA112" s="6"/>
      <c r="CB112" s="6"/>
      <c r="CC112" s="6"/>
      <c r="CD112" s="6"/>
      <c r="CE112" s="6"/>
      <c r="CF112" s="6"/>
      <c r="CG112" s="6"/>
      <c r="CH112" s="6"/>
      <c r="CI112" s="6"/>
      <c r="CJ112" s="6"/>
      <c r="CK112" s="6"/>
      <c r="CL112" s="6"/>
      <c r="CM112" s="6"/>
      <c r="CN112" s="6"/>
      <c r="CO112" s="6"/>
      <c r="CP112" s="6"/>
      <c r="CQ112" s="6"/>
      <c r="CR112" s="6"/>
      <c r="CS112" s="6"/>
      <c r="CT112" s="6"/>
      <c r="CU112" s="6"/>
      <c r="CV112" s="6"/>
      <c r="CW112" s="6"/>
      <c r="CX112" s="6"/>
      <c r="CY112" s="6"/>
      <c r="CZ112" s="6"/>
      <c r="DA112" s="6"/>
      <c r="DB112" s="6"/>
      <c r="DC112" s="6"/>
      <c r="DD112" s="6"/>
      <c r="DE112" s="6"/>
      <c r="DF112" s="6"/>
      <c r="DG112" s="6"/>
      <c r="DH112" s="6"/>
      <c r="DI112" s="6"/>
      <c r="DJ112" s="6"/>
      <c r="DK112" s="6"/>
      <c r="DL112" s="6"/>
      <c r="DM112" s="6"/>
      <c r="DN112" s="6"/>
      <c r="DO112" s="6"/>
      <c r="DP112" s="6"/>
      <c r="DQ112" s="6"/>
      <c r="DR112" s="6"/>
      <c r="DS112" s="6"/>
      <c r="DT112" s="6"/>
      <c r="DU112" s="6"/>
      <c r="DV112" s="6"/>
      <c r="DW112" s="6"/>
      <c r="DX112" s="6"/>
      <c r="DY112" s="6"/>
      <c r="DZ112" s="6"/>
      <c r="EA112" s="6"/>
      <c r="EB112" s="6"/>
      <c r="EC112" s="6"/>
      <c r="ED112" s="6"/>
      <c r="EE112" s="6"/>
      <c r="KK112" s="10"/>
      <c r="KL112" s="10"/>
      <c r="KM112" s="10"/>
      <c r="KN112" s="10"/>
      <c r="KO112" s="10"/>
      <c r="KP112" s="10"/>
      <c r="KQ112" s="10"/>
      <c r="KR112" s="10"/>
      <c r="KS112" s="10"/>
      <c r="KT112" s="10"/>
      <c r="KU112" s="10"/>
      <c r="KV112" s="10"/>
      <c r="KW112" s="10"/>
      <c r="KX112" s="10"/>
      <c r="KY112" s="10"/>
      <c r="KZ112" s="10"/>
      <c r="LA112" s="10"/>
      <c r="LB112" s="10"/>
      <c r="LC112" s="10"/>
      <c r="LD112" s="10"/>
    </row>
    <row r="113" spans="1:316" ht="15.75" customHeight="1" x14ac:dyDescent="0.25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6"/>
      <c r="BY113" s="6"/>
      <c r="BZ113" s="6"/>
      <c r="CA113" s="6"/>
      <c r="CB113" s="6"/>
      <c r="CC113" s="6"/>
      <c r="CD113" s="6"/>
      <c r="CE113" s="6"/>
      <c r="CF113" s="6"/>
      <c r="CG113" s="6"/>
      <c r="CH113" s="6"/>
      <c r="CI113" s="6"/>
      <c r="CJ113" s="6"/>
      <c r="CK113" s="6"/>
      <c r="CL113" s="6"/>
      <c r="CM113" s="6"/>
      <c r="CN113" s="6"/>
      <c r="CO113" s="6"/>
      <c r="CP113" s="6"/>
      <c r="CQ113" s="6"/>
      <c r="CR113" s="6"/>
      <c r="CS113" s="6"/>
      <c r="CT113" s="6"/>
      <c r="CU113" s="6"/>
      <c r="CV113" s="6"/>
      <c r="CW113" s="6"/>
      <c r="CX113" s="6"/>
      <c r="CY113" s="6"/>
      <c r="CZ113" s="6"/>
      <c r="DA113" s="6"/>
      <c r="DB113" s="6"/>
      <c r="DC113" s="6"/>
      <c r="DD113" s="6"/>
      <c r="DE113" s="6"/>
      <c r="DF113" s="6"/>
      <c r="DG113" s="6"/>
      <c r="DH113" s="6"/>
      <c r="DI113" s="6"/>
      <c r="DJ113" s="6"/>
      <c r="DK113" s="6"/>
      <c r="DL113" s="6"/>
      <c r="DM113" s="6"/>
      <c r="DN113" s="6"/>
      <c r="DO113" s="6"/>
      <c r="DP113" s="6"/>
      <c r="DQ113" s="6"/>
      <c r="DR113" s="6"/>
      <c r="DS113" s="6"/>
      <c r="DT113" s="6"/>
      <c r="DU113" s="6"/>
      <c r="DV113" s="6"/>
      <c r="DW113" s="6"/>
      <c r="DX113" s="6"/>
      <c r="DY113" s="6"/>
      <c r="DZ113" s="6"/>
      <c r="EA113" s="6"/>
      <c r="EB113" s="6"/>
      <c r="EC113" s="6"/>
      <c r="ED113" s="6"/>
      <c r="EE113" s="6"/>
      <c r="KK113" s="10"/>
      <c r="KL113" s="10"/>
      <c r="KM113" s="10"/>
      <c r="KN113" s="10"/>
      <c r="KO113" s="10"/>
      <c r="KP113" s="10"/>
      <c r="KQ113" s="10"/>
      <c r="KR113" s="10"/>
      <c r="KS113" s="10"/>
      <c r="KT113" s="10"/>
      <c r="KU113" s="10"/>
      <c r="KV113" s="10"/>
      <c r="KW113" s="10"/>
      <c r="KX113" s="10"/>
      <c r="KY113" s="10"/>
      <c r="KZ113" s="10"/>
      <c r="LA113" s="10"/>
      <c r="LB113" s="10"/>
      <c r="LC113" s="10"/>
      <c r="LD113" s="10"/>
    </row>
    <row r="114" spans="1:316" ht="15.75" customHeight="1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6"/>
      <c r="BY114" s="6"/>
      <c r="BZ114" s="6"/>
      <c r="CA114" s="6"/>
      <c r="CB114" s="6"/>
      <c r="CC114" s="6"/>
      <c r="CD114" s="6"/>
      <c r="CE114" s="6"/>
      <c r="CF114" s="6"/>
      <c r="CG114" s="6"/>
      <c r="CH114" s="6"/>
      <c r="CI114" s="6"/>
      <c r="CJ114" s="6"/>
      <c r="CK114" s="6"/>
      <c r="CL114" s="6"/>
      <c r="CM114" s="6"/>
      <c r="CN114" s="6"/>
      <c r="CO114" s="6"/>
      <c r="CP114" s="6"/>
      <c r="CQ114" s="6"/>
      <c r="CR114" s="6"/>
      <c r="CS114" s="6"/>
      <c r="CT114" s="6"/>
      <c r="CU114" s="6"/>
      <c r="CV114" s="6"/>
      <c r="CW114" s="6"/>
      <c r="CX114" s="6"/>
      <c r="CY114" s="6"/>
      <c r="CZ114" s="6"/>
      <c r="DA114" s="6"/>
      <c r="DB114" s="6"/>
      <c r="DC114" s="6"/>
      <c r="DD114" s="6"/>
      <c r="DE114" s="6"/>
      <c r="DF114" s="6"/>
      <c r="DG114" s="6"/>
      <c r="DH114" s="6"/>
      <c r="DI114" s="6"/>
      <c r="DJ114" s="6"/>
      <c r="DK114" s="6"/>
      <c r="DL114" s="6"/>
      <c r="DM114" s="6"/>
      <c r="DN114" s="6"/>
      <c r="DO114" s="6"/>
      <c r="DP114" s="6"/>
      <c r="DQ114" s="6"/>
      <c r="DR114" s="6"/>
      <c r="DS114" s="6"/>
      <c r="DT114" s="6"/>
      <c r="DU114" s="6"/>
      <c r="DV114" s="6"/>
      <c r="DW114" s="6"/>
      <c r="DX114" s="6"/>
      <c r="DY114" s="6"/>
      <c r="DZ114" s="6"/>
      <c r="EA114" s="6"/>
      <c r="EB114" s="6"/>
      <c r="EC114" s="6"/>
      <c r="ED114" s="6"/>
      <c r="EE114" s="6"/>
      <c r="KK114" s="10"/>
      <c r="KL114" s="10"/>
      <c r="KM114" s="10"/>
      <c r="KN114" s="10"/>
      <c r="KO114" s="10"/>
      <c r="KP114" s="10"/>
      <c r="KQ114" s="10"/>
      <c r="KR114" s="10"/>
      <c r="KS114" s="10"/>
      <c r="KT114" s="10"/>
      <c r="KU114" s="10"/>
      <c r="KV114" s="10"/>
      <c r="KW114" s="10"/>
      <c r="KX114" s="10"/>
      <c r="KY114" s="10"/>
      <c r="KZ114" s="10"/>
      <c r="LA114" s="10"/>
      <c r="LB114" s="10"/>
      <c r="LC114" s="10"/>
      <c r="LD114" s="10"/>
    </row>
    <row r="115" spans="1:316" ht="15.75" customHeight="1" x14ac:dyDescent="0.25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6"/>
      <c r="BY115" s="6"/>
      <c r="BZ115" s="6"/>
      <c r="CA115" s="6"/>
      <c r="CB115" s="6"/>
      <c r="CC115" s="6"/>
      <c r="CD115" s="6"/>
      <c r="CE115" s="6"/>
      <c r="CF115" s="6"/>
      <c r="CG115" s="6"/>
      <c r="CH115" s="6"/>
      <c r="CI115" s="6"/>
      <c r="CJ115" s="6"/>
      <c r="CK115" s="6"/>
      <c r="CL115" s="6"/>
      <c r="CM115" s="6"/>
      <c r="CN115" s="6"/>
      <c r="CO115" s="6"/>
      <c r="CP115" s="6"/>
      <c r="CQ115" s="6"/>
      <c r="CR115" s="6"/>
      <c r="CS115" s="6"/>
      <c r="CT115" s="6"/>
      <c r="CU115" s="6"/>
      <c r="CV115" s="6"/>
      <c r="CW115" s="6"/>
      <c r="CX115" s="6"/>
      <c r="CY115" s="6"/>
      <c r="CZ115" s="6"/>
      <c r="DA115" s="6"/>
      <c r="DB115" s="6"/>
      <c r="DC115" s="6"/>
      <c r="DD115" s="6"/>
      <c r="DE115" s="6"/>
      <c r="DF115" s="6"/>
      <c r="DG115" s="6"/>
      <c r="DH115" s="6"/>
      <c r="DI115" s="6"/>
      <c r="DJ115" s="6"/>
      <c r="DK115" s="6"/>
      <c r="DL115" s="6"/>
      <c r="DM115" s="6"/>
      <c r="DN115" s="6"/>
      <c r="DO115" s="6"/>
      <c r="DP115" s="6"/>
      <c r="DQ115" s="6"/>
      <c r="DR115" s="6"/>
      <c r="DS115" s="6"/>
      <c r="DT115" s="6"/>
      <c r="DU115" s="6"/>
      <c r="DV115" s="6"/>
      <c r="DW115" s="6"/>
      <c r="DX115" s="6"/>
      <c r="DY115" s="6"/>
      <c r="DZ115" s="6"/>
      <c r="EA115" s="6"/>
      <c r="EB115" s="6"/>
      <c r="EC115" s="6"/>
      <c r="ED115" s="6"/>
      <c r="EE115" s="6"/>
      <c r="KK115" s="10"/>
      <c r="KL115" s="10"/>
      <c r="KM115" s="10"/>
      <c r="KN115" s="10"/>
      <c r="KO115" s="10"/>
      <c r="KP115" s="10"/>
      <c r="KQ115" s="10"/>
      <c r="KR115" s="10"/>
      <c r="KS115" s="10"/>
      <c r="KT115" s="10"/>
      <c r="KU115" s="10"/>
      <c r="KV115" s="10"/>
      <c r="KW115" s="10"/>
      <c r="KX115" s="10"/>
      <c r="KY115" s="10"/>
      <c r="KZ115" s="10"/>
      <c r="LA115" s="10"/>
      <c r="LB115" s="10"/>
      <c r="LC115" s="10"/>
      <c r="LD115" s="10"/>
    </row>
    <row r="116" spans="1:316" ht="15.75" customHeight="1" x14ac:dyDescent="0.25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6"/>
      <c r="BY116" s="6"/>
      <c r="BZ116" s="6"/>
      <c r="CA116" s="6"/>
      <c r="CB116" s="6"/>
      <c r="CC116" s="6"/>
      <c r="CD116" s="6"/>
      <c r="CE116" s="6"/>
      <c r="CF116" s="6"/>
      <c r="CG116" s="6"/>
      <c r="CH116" s="6"/>
      <c r="CI116" s="6"/>
      <c r="CJ116" s="6"/>
      <c r="CK116" s="6"/>
      <c r="CL116" s="6"/>
      <c r="CM116" s="6"/>
      <c r="CN116" s="6"/>
      <c r="CO116" s="6"/>
      <c r="CP116" s="6"/>
      <c r="CQ116" s="6"/>
      <c r="CR116" s="6"/>
      <c r="CS116" s="6"/>
      <c r="CT116" s="6"/>
      <c r="CU116" s="6"/>
      <c r="CV116" s="6"/>
      <c r="CW116" s="6"/>
      <c r="CX116" s="6"/>
      <c r="CY116" s="6"/>
      <c r="CZ116" s="6"/>
      <c r="DA116" s="6"/>
      <c r="DB116" s="6"/>
      <c r="DC116" s="6"/>
      <c r="DD116" s="6"/>
      <c r="DE116" s="6"/>
      <c r="DF116" s="6"/>
      <c r="DG116" s="6"/>
      <c r="DH116" s="6"/>
      <c r="DI116" s="6"/>
      <c r="DJ116" s="6"/>
      <c r="DK116" s="6"/>
      <c r="DL116" s="6"/>
      <c r="DM116" s="6"/>
      <c r="DN116" s="6"/>
      <c r="DO116" s="6"/>
      <c r="DP116" s="6"/>
      <c r="DQ116" s="6"/>
      <c r="DR116" s="6"/>
      <c r="DS116" s="6"/>
      <c r="DT116" s="6"/>
      <c r="DU116" s="6"/>
      <c r="DV116" s="6"/>
      <c r="DW116" s="6"/>
      <c r="DX116" s="6"/>
      <c r="DY116" s="6"/>
      <c r="DZ116" s="6"/>
      <c r="EA116" s="6"/>
      <c r="EB116" s="6"/>
      <c r="EC116" s="6"/>
      <c r="ED116" s="6"/>
      <c r="EE116" s="6"/>
      <c r="KK116" s="10"/>
      <c r="KL116" s="10"/>
      <c r="KM116" s="10"/>
      <c r="KN116" s="10"/>
      <c r="KO116" s="10"/>
      <c r="KP116" s="10"/>
      <c r="KQ116" s="10"/>
      <c r="KR116" s="10"/>
      <c r="KS116" s="10"/>
      <c r="KT116" s="10"/>
      <c r="KU116" s="10"/>
      <c r="KV116" s="10"/>
      <c r="KW116" s="10"/>
      <c r="KX116" s="10"/>
      <c r="KY116" s="10"/>
      <c r="KZ116" s="10"/>
      <c r="LA116" s="10"/>
      <c r="LB116" s="10"/>
      <c r="LC116" s="10"/>
      <c r="LD116" s="10"/>
    </row>
    <row r="117" spans="1:316" ht="15.75" customHeight="1" x14ac:dyDescent="0.25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6"/>
      <c r="BY117" s="6"/>
      <c r="BZ117" s="6"/>
      <c r="CA117" s="6"/>
      <c r="CB117" s="6"/>
      <c r="CC117" s="6"/>
      <c r="CD117" s="6"/>
      <c r="CE117" s="6"/>
      <c r="CF117" s="6"/>
      <c r="CG117" s="6"/>
      <c r="CH117" s="6"/>
      <c r="CI117" s="6"/>
      <c r="CJ117" s="6"/>
      <c r="CK117" s="6"/>
      <c r="CL117" s="6"/>
      <c r="CM117" s="6"/>
      <c r="CN117" s="6"/>
      <c r="CO117" s="6"/>
      <c r="CP117" s="6"/>
      <c r="CQ117" s="6"/>
      <c r="CR117" s="6"/>
      <c r="CS117" s="6"/>
      <c r="CT117" s="6"/>
      <c r="CU117" s="6"/>
      <c r="CV117" s="6"/>
      <c r="CW117" s="6"/>
      <c r="CX117" s="6"/>
      <c r="CY117" s="6"/>
      <c r="CZ117" s="6"/>
      <c r="DA117" s="6"/>
      <c r="DB117" s="6"/>
      <c r="DC117" s="6"/>
      <c r="DD117" s="6"/>
      <c r="DE117" s="6"/>
      <c r="DF117" s="6"/>
      <c r="DG117" s="6"/>
      <c r="DH117" s="6"/>
      <c r="DI117" s="6"/>
      <c r="DJ117" s="6"/>
      <c r="DK117" s="6"/>
      <c r="DL117" s="6"/>
      <c r="DM117" s="6"/>
      <c r="DN117" s="6"/>
      <c r="DO117" s="6"/>
      <c r="DP117" s="6"/>
      <c r="DQ117" s="6"/>
      <c r="DR117" s="6"/>
      <c r="DS117" s="6"/>
      <c r="DT117" s="6"/>
      <c r="DU117" s="6"/>
      <c r="DV117" s="6"/>
      <c r="DW117" s="6"/>
      <c r="DX117" s="6"/>
      <c r="DY117" s="6"/>
      <c r="DZ117" s="6"/>
      <c r="EA117" s="6"/>
      <c r="EB117" s="6"/>
      <c r="EC117" s="6"/>
      <c r="ED117" s="6"/>
      <c r="EE117" s="6"/>
      <c r="KK117" s="10"/>
      <c r="KL117" s="10"/>
      <c r="KM117" s="10"/>
      <c r="KN117" s="10"/>
      <c r="KO117" s="10"/>
      <c r="KP117" s="10"/>
      <c r="KQ117" s="10"/>
      <c r="KR117" s="10"/>
      <c r="KS117" s="10"/>
      <c r="KT117" s="10"/>
      <c r="KU117" s="10"/>
      <c r="KV117" s="10"/>
      <c r="KW117" s="10"/>
      <c r="KX117" s="10"/>
      <c r="KY117" s="10"/>
      <c r="KZ117" s="10"/>
      <c r="LA117" s="10"/>
      <c r="LB117" s="10"/>
      <c r="LC117" s="10"/>
      <c r="LD117" s="10"/>
    </row>
    <row r="118" spans="1:316" ht="15.75" customHeight="1" x14ac:dyDescent="0.25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6"/>
      <c r="BY118" s="6"/>
      <c r="BZ118" s="6"/>
      <c r="CA118" s="6"/>
      <c r="CB118" s="6"/>
      <c r="CC118" s="6"/>
      <c r="CD118" s="6"/>
      <c r="CE118" s="6"/>
      <c r="CF118" s="6"/>
      <c r="CG118" s="6"/>
      <c r="CH118" s="6"/>
      <c r="CI118" s="6"/>
      <c r="CJ118" s="6"/>
      <c r="CK118" s="6"/>
      <c r="CL118" s="6"/>
      <c r="CM118" s="6"/>
      <c r="CN118" s="6"/>
      <c r="CO118" s="6"/>
      <c r="CP118" s="6"/>
      <c r="CQ118" s="6"/>
      <c r="CR118" s="6"/>
      <c r="CS118" s="6"/>
      <c r="CT118" s="6"/>
      <c r="CU118" s="6"/>
      <c r="CV118" s="6"/>
      <c r="CW118" s="6"/>
      <c r="CX118" s="6"/>
      <c r="CY118" s="6"/>
      <c r="CZ118" s="6"/>
      <c r="DA118" s="6"/>
      <c r="DB118" s="6"/>
      <c r="DC118" s="6"/>
      <c r="DD118" s="6"/>
      <c r="DE118" s="6"/>
      <c r="DF118" s="6"/>
      <c r="DG118" s="6"/>
      <c r="DH118" s="6"/>
      <c r="DI118" s="6"/>
      <c r="DJ118" s="6"/>
      <c r="DK118" s="6"/>
      <c r="DL118" s="6"/>
      <c r="DM118" s="6"/>
      <c r="DN118" s="6"/>
      <c r="DO118" s="6"/>
      <c r="DP118" s="6"/>
      <c r="DQ118" s="6"/>
      <c r="DR118" s="6"/>
      <c r="DS118" s="6"/>
      <c r="DT118" s="6"/>
      <c r="DU118" s="6"/>
      <c r="DV118" s="6"/>
      <c r="DW118" s="6"/>
      <c r="DX118" s="6"/>
      <c r="DY118" s="6"/>
      <c r="DZ118" s="6"/>
      <c r="EA118" s="6"/>
      <c r="EB118" s="6"/>
      <c r="EC118" s="6"/>
      <c r="ED118" s="6"/>
      <c r="EE118" s="6"/>
      <c r="KK118" s="10"/>
      <c r="KL118" s="10"/>
      <c r="KM118" s="10"/>
      <c r="KN118" s="10"/>
      <c r="KO118" s="10"/>
      <c r="KP118" s="10"/>
      <c r="KQ118" s="10"/>
      <c r="KR118" s="10"/>
      <c r="KS118" s="10"/>
      <c r="KT118" s="10"/>
      <c r="KU118" s="10"/>
      <c r="KV118" s="10"/>
      <c r="KW118" s="10"/>
      <c r="KX118" s="10"/>
      <c r="KY118" s="10"/>
      <c r="KZ118" s="10"/>
      <c r="LA118" s="10"/>
      <c r="LB118" s="10"/>
      <c r="LC118" s="10"/>
      <c r="LD118" s="10"/>
    </row>
    <row r="119" spans="1:316" ht="15.75" customHeight="1" x14ac:dyDescent="0.25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6"/>
      <c r="BY119" s="6"/>
      <c r="BZ119" s="6"/>
      <c r="CA119" s="6"/>
      <c r="CB119" s="6"/>
      <c r="CC119" s="6"/>
      <c r="CD119" s="6"/>
      <c r="CE119" s="6"/>
      <c r="CF119" s="6"/>
      <c r="CG119" s="6"/>
      <c r="CH119" s="6"/>
      <c r="CI119" s="6"/>
      <c r="CJ119" s="6"/>
      <c r="CK119" s="6"/>
      <c r="CL119" s="6"/>
      <c r="CM119" s="6"/>
      <c r="CN119" s="6"/>
      <c r="CO119" s="6"/>
      <c r="CP119" s="6"/>
      <c r="CQ119" s="6"/>
      <c r="CR119" s="6"/>
      <c r="CS119" s="6"/>
      <c r="CT119" s="6"/>
      <c r="CU119" s="6"/>
      <c r="CV119" s="6"/>
      <c r="CW119" s="6"/>
      <c r="CX119" s="6"/>
      <c r="CY119" s="6"/>
      <c r="CZ119" s="6"/>
      <c r="DA119" s="6"/>
      <c r="DB119" s="6"/>
      <c r="DC119" s="6"/>
      <c r="DD119" s="6"/>
      <c r="DE119" s="6"/>
      <c r="DF119" s="6"/>
      <c r="DG119" s="6"/>
      <c r="DH119" s="6"/>
      <c r="DI119" s="6"/>
      <c r="DJ119" s="6"/>
      <c r="DK119" s="6"/>
      <c r="DL119" s="6"/>
      <c r="DM119" s="6"/>
      <c r="DN119" s="6"/>
      <c r="DO119" s="6"/>
      <c r="DP119" s="6"/>
      <c r="DQ119" s="6"/>
      <c r="DR119" s="6"/>
      <c r="DS119" s="6"/>
      <c r="DT119" s="6"/>
      <c r="DU119" s="6"/>
      <c r="DV119" s="6"/>
      <c r="DW119" s="6"/>
      <c r="DX119" s="6"/>
      <c r="DY119" s="6"/>
      <c r="DZ119" s="6"/>
      <c r="EA119" s="6"/>
      <c r="EB119" s="6"/>
      <c r="EC119" s="6"/>
      <c r="ED119" s="6"/>
      <c r="EE119" s="6"/>
      <c r="KK119" s="10"/>
      <c r="KL119" s="10"/>
      <c r="KM119" s="10"/>
      <c r="KN119" s="10"/>
      <c r="KO119" s="10"/>
      <c r="KP119" s="10"/>
      <c r="KQ119" s="10"/>
      <c r="KR119" s="10"/>
      <c r="KS119" s="10"/>
      <c r="KT119" s="10"/>
      <c r="KU119" s="10"/>
      <c r="KV119" s="10"/>
      <c r="KW119" s="10"/>
      <c r="KX119" s="10"/>
      <c r="KY119" s="10"/>
      <c r="KZ119" s="10"/>
      <c r="LA119" s="10"/>
      <c r="LB119" s="10"/>
      <c r="LC119" s="10"/>
      <c r="LD119" s="10"/>
    </row>
    <row r="120" spans="1:316" ht="15.75" customHeight="1" x14ac:dyDescent="0.25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6"/>
      <c r="BY120" s="6"/>
      <c r="BZ120" s="6"/>
      <c r="CA120" s="6"/>
      <c r="CB120" s="6"/>
      <c r="CC120" s="6"/>
      <c r="CD120" s="6"/>
      <c r="CE120" s="6"/>
      <c r="CF120" s="6"/>
      <c r="CG120" s="6"/>
      <c r="CH120" s="6"/>
      <c r="CI120" s="6"/>
      <c r="CJ120" s="6"/>
      <c r="CK120" s="6"/>
      <c r="CL120" s="6"/>
      <c r="CM120" s="6"/>
      <c r="CN120" s="6"/>
      <c r="CO120" s="6"/>
      <c r="CP120" s="6"/>
      <c r="CQ120" s="6"/>
      <c r="CR120" s="6"/>
      <c r="CS120" s="6"/>
      <c r="CT120" s="6"/>
      <c r="CU120" s="6"/>
      <c r="CV120" s="6"/>
      <c r="CW120" s="6"/>
      <c r="CX120" s="6"/>
      <c r="CY120" s="6"/>
      <c r="CZ120" s="6"/>
      <c r="DA120" s="6"/>
      <c r="DB120" s="6"/>
      <c r="DC120" s="6"/>
      <c r="DD120" s="6"/>
      <c r="DE120" s="6"/>
      <c r="DF120" s="6"/>
      <c r="DG120" s="6"/>
      <c r="DH120" s="6"/>
      <c r="DI120" s="6"/>
      <c r="DJ120" s="6"/>
      <c r="DK120" s="6"/>
      <c r="DL120" s="6"/>
      <c r="DM120" s="6"/>
      <c r="DN120" s="6"/>
      <c r="DO120" s="6"/>
      <c r="DP120" s="6"/>
      <c r="DQ120" s="6"/>
      <c r="DR120" s="6"/>
      <c r="DS120" s="6"/>
      <c r="DT120" s="6"/>
      <c r="DU120" s="6"/>
      <c r="DV120" s="6"/>
      <c r="DW120" s="6"/>
      <c r="DX120" s="6"/>
      <c r="DY120" s="6"/>
      <c r="DZ120" s="6"/>
      <c r="EA120" s="6"/>
      <c r="EB120" s="6"/>
      <c r="EC120" s="6"/>
      <c r="ED120" s="6"/>
      <c r="EE120" s="6"/>
      <c r="KK120" s="10"/>
      <c r="KL120" s="10"/>
      <c r="KM120" s="10"/>
      <c r="KN120" s="10"/>
      <c r="KO120" s="10"/>
      <c r="KP120" s="10"/>
      <c r="KQ120" s="10"/>
      <c r="KR120" s="10"/>
      <c r="KS120" s="10"/>
      <c r="KT120" s="10"/>
      <c r="KU120" s="10"/>
      <c r="KV120" s="10"/>
      <c r="KW120" s="10"/>
      <c r="KX120" s="10"/>
      <c r="KY120" s="10"/>
      <c r="KZ120" s="10"/>
      <c r="LA120" s="10"/>
      <c r="LB120" s="10"/>
      <c r="LC120" s="10"/>
      <c r="LD120" s="10"/>
    </row>
    <row r="121" spans="1:316" ht="15.75" customHeight="1" x14ac:dyDescent="0.25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6"/>
      <c r="BY121" s="6"/>
      <c r="BZ121" s="6"/>
      <c r="CA121" s="6"/>
      <c r="CB121" s="6"/>
      <c r="CC121" s="6"/>
      <c r="CD121" s="6"/>
      <c r="CE121" s="6"/>
      <c r="CF121" s="6"/>
      <c r="CG121" s="6"/>
      <c r="CH121" s="6"/>
      <c r="CI121" s="6"/>
      <c r="CJ121" s="6"/>
      <c r="CK121" s="6"/>
      <c r="CL121" s="6"/>
      <c r="CM121" s="6"/>
      <c r="CN121" s="6"/>
      <c r="CO121" s="6"/>
      <c r="CP121" s="6"/>
      <c r="CQ121" s="6"/>
      <c r="CR121" s="6"/>
      <c r="CS121" s="6"/>
      <c r="CT121" s="6"/>
      <c r="CU121" s="6"/>
      <c r="CV121" s="6"/>
      <c r="CW121" s="6"/>
      <c r="CX121" s="6"/>
      <c r="CY121" s="6"/>
      <c r="CZ121" s="6"/>
      <c r="DA121" s="6"/>
      <c r="DB121" s="6"/>
      <c r="DC121" s="6"/>
      <c r="DD121" s="6"/>
      <c r="DE121" s="6"/>
      <c r="DF121" s="6"/>
      <c r="DG121" s="6"/>
      <c r="DH121" s="6"/>
      <c r="DI121" s="6"/>
      <c r="DJ121" s="6"/>
      <c r="DK121" s="6"/>
      <c r="DL121" s="6"/>
      <c r="DM121" s="6"/>
      <c r="DN121" s="6"/>
      <c r="DO121" s="6"/>
      <c r="DP121" s="6"/>
      <c r="DQ121" s="6"/>
      <c r="DR121" s="6"/>
      <c r="DS121" s="6"/>
      <c r="DT121" s="6"/>
      <c r="DU121" s="6"/>
      <c r="DV121" s="6"/>
      <c r="DW121" s="6"/>
      <c r="DX121" s="6"/>
      <c r="DY121" s="6"/>
      <c r="DZ121" s="6"/>
      <c r="EA121" s="6"/>
      <c r="EB121" s="6"/>
      <c r="EC121" s="6"/>
      <c r="ED121" s="6"/>
      <c r="EE121" s="6"/>
      <c r="KK121" s="10"/>
      <c r="KL121" s="10"/>
      <c r="KM121" s="10"/>
      <c r="KN121" s="10"/>
      <c r="KO121" s="10"/>
      <c r="KP121" s="10"/>
      <c r="KQ121" s="10"/>
      <c r="KR121" s="10"/>
      <c r="KS121" s="10"/>
      <c r="KT121" s="10"/>
      <c r="KU121" s="10"/>
      <c r="KV121" s="10"/>
      <c r="KW121" s="10"/>
      <c r="KX121" s="10"/>
      <c r="KY121" s="10"/>
      <c r="KZ121" s="10"/>
      <c r="LA121" s="10"/>
      <c r="LB121" s="10"/>
      <c r="LC121" s="10"/>
      <c r="LD121" s="10"/>
    </row>
    <row r="122" spans="1:316" ht="15.75" customHeight="1" x14ac:dyDescent="0.25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6"/>
      <c r="BY122" s="6"/>
      <c r="BZ122" s="6"/>
      <c r="CA122" s="6"/>
      <c r="CB122" s="6"/>
      <c r="CC122" s="6"/>
      <c r="CD122" s="6"/>
      <c r="CE122" s="6"/>
      <c r="CF122" s="6"/>
      <c r="CG122" s="6"/>
      <c r="CH122" s="6"/>
      <c r="CI122" s="6"/>
      <c r="CJ122" s="6"/>
      <c r="CK122" s="6"/>
      <c r="CL122" s="6"/>
      <c r="CM122" s="6"/>
      <c r="CN122" s="6"/>
      <c r="CO122" s="6"/>
      <c r="CP122" s="6"/>
      <c r="CQ122" s="6"/>
      <c r="CR122" s="6"/>
      <c r="CS122" s="6"/>
      <c r="CT122" s="6"/>
      <c r="CU122" s="6"/>
      <c r="CV122" s="6"/>
      <c r="CW122" s="6"/>
      <c r="CX122" s="6"/>
      <c r="CY122" s="6"/>
      <c r="CZ122" s="6"/>
      <c r="DA122" s="6"/>
      <c r="DB122" s="6"/>
      <c r="DC122" s="6"/>
      <c r="DD122" s="6"/>
      <c r="DE122" s="6"/>
      <c r="DF122" s="6"/>
      <c r="DG122" s="6"/>
      <c r="DH122" s="6"/>
      <c r="DI122" s="6"/>
      <c r="DJ122" s="6"/>
      <c r="DK122" s="6"/>
      <c r="DL122" s="6"/>
      <c r="DM122" s="6"/>
      <c r="DN122" s="6"/>
      <c r="DO122" s="6"/>
      <c r="DP122" s="6"/>
      <c r="DQ122" s="6"/>
      <c r="DR122" s="6"/>
      <c r="DS122" s="6"/>
      <c r="DT122" s="6"/>
      <c r="DU122" s="6"/>
      <c r="DV122" s="6"/>
      <c r="DW122" s="6"/>
      <c r="DX122" s="6"/>
      <c r="DY122" s="6"/>
      <c r="DZ122" s="6"/>
      <c r="EA122" s="6"/>
      <c r="EB122" s="6"/>
      <c r="EC122" s="6"/>
      <c r="ED122" s="6"/>
      <c r="EE122" s="6"/>
      <c r="KK122" s="10"/>
      <c r="KL122" s="10"/>
      <c r="KM122" s="10"/>
      <c r="KN122" s="10"/>
      <c r="KO122" s="10"/>
      <c r="KP122" s="10"/>
      <c r="KQ122" s="10"/>
      <c r="KR122" s="10"/>
      <c r="KS122" s="10"/>
      <c r="KT122" s="10"/>
      <c r="KU122" s="10"/>
      <c r="KV122" s="10"/>
      <c r="KW122" s="10"/>
      <c r="KX122" s="10"/>
      <c r="KY122" s="10"/>
      <c r="KZ122" s="10"/>
      <c r="LA122" s="10"/>
      <c r="LB122" s="10"/>
      <c r="LC122" s="10"/>
      <c r="LD122" s="10"/>
    </row>
    <row r="123" spans="1:316" ht="15.75" customHeight="1" x14ac:dyDescent="0.25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6"/>
      <c r="BY123" s="6"/>
      <c r="BZ123" s="6"/>
      <c r="CA123" s="6"/>
      <c r="CB123" s="6"/>
      <c r="CC123" s="6"/>
      <c r="CD123" s="6"/>
      <c r="CE123" s="6"/>
      <c r="CF123" s="6"/>
      <c r="CG123" s="6"/>
      <c r="CH123" s="6"/>
      <c r="CI123" s="6"/>
      <c r="CJ123" s="6"/>
      <c r="CK123" s="6"/>
      <c r="CL123" s="6"/>
      <c r="CM123" s="6"/>
      <c r="CN123" s="6"/>
      <c r="CO123" s="6"/>
      <c r="CP123" s="6"/>
      <c r="CQ123" s="6"/>
      <c r="CR123" s="6"/>
      <c r="CS123" s="6"/>
      <c r="CT123" s="6"/>
      <c r="CU123" s="6"/>
      <c r="CV123" s="6"/>
      <c r="CW123" s="6"/>
      <c r="CX123" s="6"/>
      <c r="CY123" s="6"/>
      <c r="CZ123" s="6"/>
      <c r="DA123" s="6"/>
      <c r="DB123" s="6"/>
      <c r="DC123" s="6"/>
      <c r="DD123" s="6"/>
      <c r="DE123" s="6"/>
      <c r="DF123" s="6"/>
      <c r="DG123" s="6"/>
      <c r="DH123" s="6"/>
      <c r="DI123" s="6"/>
      <c r="DJ123" s="6"/>
      <c r="DK123" s="6"/>
      <c r="DL123" s="6"/>
      <c r="DM123" s="6"/>
      <c r="DN123" s="6"/>
      <c r="DO123" s="6"/>
      <c r="DP123" s="6"/>
      <c r="DQ123" s="6"/>
      <c r="DR123" s="6"/>
      <c r="DS123" s="6"/>
      <c r="DT123" s="6"/>
      <c r="DU123" s="6"/>
      <c r="DV123" s="6"/>
      <c r="DW123" s="6"/>
      <c r="DX123" s="6"/>
      <c r="DY123" s="6"/>
      <c r="DZ123" s="6"/>
      <c r="EA123" s="6"/>
      <c r="EB123" s="6"/>
      <c r="EC123" s="6"/>
      <c r="ED123" s="6"/>
      <c r="EE123" s="6"/>
      <c r="KK123" s="10"/>
      <c r="KL123" s="10"/>
      <c r="KM123" s="10"/>
      <c r="KN123" s="10"/>
      <c r="KO123" s="10"/>
      <c r="KP123" s="10"/>
      <c r="KQ123" s="10"/>
      <c r="KR123" s="10"/>
      <c r="KS123" s="10"/>
      <c r="KT123" s="10"/>
      <c r="KU123" s="10"/>
      <c r="KV123" s="10"/>
      <c r="KW123" s="10"/>
      <c r="KX123" s="10"/>
      <c r="KY123" s="10"/>
      <c r="KZ123" s="10"/>
      <c r="LA123" s="10"/>
      <c r="LB123" s="10"/>
      <c r="LC123" s="10"/>
      <c r="LD123" s="10"/>
    </row>
    <row r="124" spans="1:316" ht="15.75" customHeight="1" x14ac:dyDescent="0.25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6"/>
      <c r="BY124" s="6"/>
      <c r="BZ124" s="6"/>
      <c r="CA124" s="6"/>
      <c r="CB124" s="6"/>
      <c r="CC124" s="6"/>
      <c r="CD124" s="6"/>
      <c r="CE124" s="6"/>
      <c r="CF124" s="6"/>
      <c r="CG124" s="6"/>
      <c r="CH124" s="6"/>
      <c r="CI124" s="6"/>
      <c r="CJ124" s="6"/>
      <c r="CK124" s="6"/>
      <c r="CL124" s="6"/>
      <c r="CM124" s="6"/>
      <c r="CN124" s="6"/>
      <c r="CO124" s="6"/>
      <c r="CP124" s="6"/>
      <c r="CQ124" s="6"/>
      <c r="CR124" s="6"/>
      <c r="CS124" s="6"/>
      <c r="CT124" s="6"/>
      <c r="CU124" s="6"/>
      <c r="CV124" s="6"/>
      <c r="CW124" s="6"/>
      <c r="CX124" s="6"/>
      <c r="CY124" s="6"/>
      <c r="CZ124" s="6"/>
      <c r="DA124" s="6"/>
      <c r="DB124" s="6"/>
      <c r="DC124" s="6"/>
      <c r="DD124" s="6"/>
      <c r="DE124" s="6"/>
      <c r="DF124" s="6"/>
      <c r="DG124" s="6"/>
      <c r="DH124" s="6"/>
      <c r="DI124" s="6"/>
      <c r="DJ124" s="6"/>
      <c r="DK124" s="6"/>
      <c r="DL124" s="6"/>
      <c r="DM124" s="6"/>
      <c r="DN124" s="6"/>
      <c r="DO124" s="6"/>
      <c r="DP124" s="6"/>
      <c r="DQ124" s="6"/>
      <c r="DR124" s="6"/>
      <c r="DS124" s="6"/>
      <c r="DT124" s="6"/>
      <c r="DU124" s="6"/>
      <c r="DV124" s="6"/>
      <c r="DW124" s="6"/>
      <c r="DX124" s="6"/>
      <c r="DY124" s="6"/>
      <c r="DZ124" s="6"/>
      <c r="EA124" s="6"/>
      <c r="EB124" s="6"/>
      <c r="EC124" s="6"/>
      <c r="ED124" s="6"/>
      <c r="EE124" s="6"/>
      <c r="KK124" s="10"/>
      <c r="KL124" s="10"/>
      <c r="KM124" s="10"/>
      <c r="KN124" s="10"/>
      <c r="KO124" s="10"/>
      <c r="KP124" s="10"/>
      <c r="KQ124" s="10"/>
      <c r="KR124" s="10"/>
      <c r="KS124" s="10"/>
      <c r="KT124" s="10"/>
      <c r="KU124" s="10"/>
      <c r="KV124" s="10"/>
      <c r="KW124" s="10"/>
      <c r="KX124" s="10"/>
      <c r="KY124" s="10"/>
      <c r="KZ124" s="10"/>
      <c r="LA124" s="10"/>
      <c r="LB124" s="10"/>
      <c r="LC124" s="10"/>
      <c r="LD124" s="10"/>
    </row>
    <row r="125" spans="1:316" ht="15.75" customHeight="1" x14ac:dyDescent="0.25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6"/>
      <c r="BY125" s="6"/>
      <c r="BZ125" s="6"/>
      <c r="CA125" s="6"/>
      <c r="CB125" s="6"/>
      <c r="CC125" s="6"/>
      <c r="CD125" s="6"/>
      <c r="CE125" s="6"/>
      <c r="CF125" s="6"/>
      <c r="CG125" s="6"/>
      <c r="CH125" s="6"/>
      <c r="CI125" s="6"/>
      <c r="CJ125" s="6"/>
      <c r="CK125" s="6"/>
      <c r="CL125" s="6"/>
      <c r="CM125" s="6"/>
      <c r="CN125" s="6"/>
      <c r="CO125" s="6"/>
      <c r="CP125" s="6"/>
      <c r="CQ125" s="6"/>
      <c r="CR125" s="6"/>
      <c r="CS125" s="6"/>
      <c r="CT125" s="6"/>
      <c r="CU125" s="6"/>
      <c r="CV125" s="6"/>
      <c r="CW125" s="6"/>
      <c r="CX125" s="6"/>
      <c r="CY125" s="6"/>
      <c r="CZ125" s="6"/>
      <c r="DA125" s="6"/>
      <c r="DB125" s="6"/>
      <c r="DC125" s="6"/>
      <c r="DD125" s="6"/>
      <c r="DE125" s="6"/>
      <c r="DF125" s="6"/>
      <c r="DG125" s="6"/>
      <c r="DH125" s="6"/>
      <c r="DI125" s="6"/>
      <c r="DJ125" s="6"/>
      <c r="DK125" s="6"/>
      <c r="DL125" s="6"/>
      <c r="DM125" s="6"/>
      <c r="DN125" s="6"/>
      <c r="DO125" s="6"/>
      <c r="DP125" s="6"/>
      <c r="DQ125" s="6"/>
      <c r="DR125" s="6"/>
      <c r="DS125" s="6"/>
      <c r="DT125" s="6"/>
      <c r="DU125" s="6"/>
      <c r="DV125" s="6"/>
      <c r="DW125" s="6"/>
      <c r="DX125" s="6"/>
      <c r="DY125" s="6"/>
      <c r="DZ125" s="6"/>
      <c r="EA125" s="6"/>
      <c r="EB125" s="6"/>
      <c r="EC125" s="6"/>
      <c r="ED125" s="6"/>
      <c r="EE125" s="6"/>
      <c r="KK125" s="10"/>
      <c r="KL125" s="10"/>
      <c r="KM125" s="10"/>
      <c r="KN125" s="10"/>
      <c r="KO125" s="10"/>
      <c r="KP125" s="10"/>
      <c r="KQ125" s="10"/>
      <c r="KR125" s="10"/>
      <c r="KS125" s="10"/>
      <c r="KT125" s="10"/>
      <c r="KU125" s="10"/>
      <c r="KV125" s="10"/>
      <c r="KW125" s="10"/>
      <c r="KX125" s="10"/>
      <c r="KY125" s="10"/>
      <c r="KZ125" s="10"/>
      <c r="LA125" s="10"/>
      <c r="LB125" s="10"/>
      <c r="LC125" s="10"/>
      <c r="LD125" s="10"/>
    </row>
    <row r="126" spans="1:316" ht="15.75" customHeight="1" x14ac:dyDescent="0.25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6"/>
      <c r="BY126" s="6"/>
      <c r="BZ126" s="6"/>
      <c r="CA126" s="6"/>
      <c r="CB126" s="6"/>
      <c r="CC126" s="6"/>
      <c r="CD126" s="6"/>
      <c r="CE126" s="6"/>
      <c r="CF126" s="6"/>
      <c r="CG126" s="6"/>
      <c r="CH126" s="6"/>
      <c r="CI126" s="6"/>
      <c r="CJ126" s="6"/>
      <c r="CK126" s="6"/>
      <c r="CL126" s="6"/>
      <c r="CM126" s="6"/>
      <c r="CN126" s="6"/>
      <c r="CO126" s="6"/>
      <c r="CP126" s="6"/>
      <c r="CQ126" s="6"/>
      <c r="CR126" s="6"/>
      <c r="CS126" s="6"/>
      <c r="CT126" s="6"/>
      <c r="CU126" s="6"/>
      <c r="CV126" s="6"/>
      <c r="CW126" s="6"/>
      <c r="CX126" s="6"/>
      <c r="CY126" s="6"/>
      <c r="CZ126" s="6"/>
      <c r="DA126" s="6"/>
      <c r="DB126" s="6"/>
      <c r="DC126" s="6"/>
      <c r="DD126" s="6"/>
      <c r="DE126" s="6"/>
      <c r="DF126" s="6"/>
      <c r="DG126" s="6"/>
      <c r="DH126" s="6"/>
      <c r="DI126" s="6"/>
      <c r="DJ126" s="6"/>
      <c r="DK126" s="6"/>
      <c r="DL126" s="6"/>
      <c r="DM126" s="6"/>
      <c r="DN126" s="6"/>
      <c r="DO126" s="6"/>
      <c r="DP126" s="6"/>
      <c r="DQ126" s="6"/>
      <c r="DR126" s="6"/>
      <c r="DS126" s="6"/>
      <c r="DT126" s="6"/>
      <c r="DU126" s="6"/>
      <c r="DV126" s="6"/>
      <c r="DW126" s="6"/>
      <c r="DX126" s="6"/>
      <c r="DY126" s="6"/>
      <c r="DZ126" s="6"/>
      <c r="EA126" s="6"/>
      <c r="EB126" s="6"/>
      <c r="EC126" s="6"/>
      <c r="ED126" s="6"/>
      <c r="EE126" s="6"/>
      <c r="KK126" s="10"/>
      <c r="KL126" s="10"/>
      <c r="KM126" s="10"/>
      <c r="KN126" s="10"/>
      <c r="KO126" s="10"/>
      <c r="KP126" s="10"/>
      <c r="KQ126" s="10"/>
      <c r="KR126" s="10"/>
      <c r="KS126" s="10"/>
      <c r="KT126" s="10"/>
      <c r="KU126" s="10"/>
      <c r="KV126" s="10"/>
      <c r="KW126" s="10"/>
      <c r="KX126" s="10"/>
      <c r="KY126" s="10"/>
      <c r="KZ126" s="10"/>
      <c r="LA126" s="10"/>
      <c r="LB126" s="10"/>
      <c r="LC126" s="10"/>
      <c r="LD126" s="10"/>
    </row>
    <row r="127" spans="1:316" ht="15.75" customHeight="1" x14ac:dyDescent="0.25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6"/>
      <c r="BY127" s="6"/>
      <c r="BZ127" s="6"/>
      <c r="CA127" s="6"/>
      <c r="CB127" s="6"/>
      <c r="CC127" s="6"/>
      <c r="CD127" s="6"/>
      <c r="CE127" s="6"/>
      <c r="CF127" s="6"/>
      <c r="CG127" s="6"/>
      <c r="CH127" s="6"/>
      <c r="CI127" s="6"/>
      <c r="CJ127" s="6"/>
      <c r="CK127" s="6"/>
      <c r="CL127" s="6"/>
      <c r="CM127" s="6"/>
      <c r="CN127" s="6"/>
      <c r="CO127" s="6"/>
      <c r="CP127" s="6"/>
      <c r="CQ127" s="6"/>
      <c r="CR127" s="6"/>
      <c r="CS127" s="6"/>
      <c r="CT127" s="6"/>
      <c r="CU127" s="6"/>
      <c r="CV127" s="6"/>
      <c r="CW127" s="6"/>
      <c r="CX127" s="6"/>
      <c r="CY127" s="6"/>
      <c r="CZ127" s="6"/>
      <c r="DA127" s="6"/>
      <c r="DB127" s="6"/>
      <c r="DC127" s="6"/>
      <c r="DD127" s="6"/>
      <c r="DE127" s="6"/>
      <c r="DF127" s="6"/>
      <c r="DG127" s="6"/>
      <c r="DH127" s="6"/>
      <c r="DI127" s="6"/>
      <c r="DJ127" s="6"/>
      <c r="DK127" s="6"/>
      <c r="DL127" s="6"/>
      <c r="DM127" s="6"/>
      <c r="DN127" s="6"/>
      <c r="DO127" s="6"/>
      <c r="DP127" s="6"/>
      <c r="DQ127" s="6"/>
      <c r="DR127" s="6"/>
      <c r="DS127" s="6"/>
      <c r="DT127" s="6"/>
      <c r="DU127" s="6"/>
      <c r="DV127" s="6"/>
      <c r="DW127" s="6"/>
      <c r="DX127" s="6"/>
      <c r="DY127" s="6"/>
      <c r="DZ127" s="6"/>
      <c r="EA127" s="6"/>
      <c r="EB127" s="6"/>
      <c r="EC127" s="6"/>
      <c r="ED127" s="6"/>
      <c r="EE127" s="6"/>
      <c r="KK127" s="10"/>
      <c r="KL127" s="10"/>
      <c r="KM127" s="10"/>
      <c r="KN127" s="10"/>
      <c r="KO127" s="10"/>
      <c r="KP127" s="10"/>
      <c r="KQ127" s="10"/>
      <c r="KR127" s="10"/>
      <c r="KS127" s="10"/>
      <c r="KT127" s="10"/>
      <c r="KU127" s="10"/>
      <c r="KV127" s="10"/>
      <c r="KW127" s="10"/>
      <c r="KX127" s="10"/>
      <c r="KY127" s="10"/>
      <c r="KZ127" s="10"/>
      <c r="LA127" s="10"/>
      <c r="LB127" s="10"/>
      <c r="LC127" s="10"/>
      <c r="LD127" s="10"/>
    </row>
    <row r="128" spans="1:316" ht="15.75" customHeight="1" x14ac:dyDescent="0.25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6"/>
      <c r="BY128" s="6"/>
      <c r="BZ128" s="6"/>
      <c r="CA128" s="6"/>
      <c r="CB128" s="6"/>
      <c r="CC128" s="6"/>
      <c r="CD128" s="6"/>
      <c r="CE128" s="6"/>
      <c r="CF128" s="6"/>
      <c r="CG128" s="6"/>
      <c r="CH128" s="6"/>
      <c r="CI128" s="6"/>
      <c r="CJ128" s="6"/>
      <c r="CK128" s="6"/>
      <c r="CL128" s="6"/>
      <c r="CM128" s="6"/>
      <c r="CN128" s="6"/>
      <c r="CO128" s="6"/>
      <c r="CP128" s="6"/>
      <c r="CQ128" s="6"/>
      <c r="CR128" s="6"/>
      <c r="CS128" s="6"/>
      <c r="CT128" s="6"/>
      <c r="CU128" s="6"/>
      <c r="CV128" s="6"/>
      <c r="CW128" s="6"/>
      <c r="CX128" s="6"/>
      <c r="CY128" s="6"/>
      <c r="CZ128" s="6"/>
      <c r="DA128" s="6"/>
      <c r="DB128" s="6"/>
      <c r="DC128" s="6"/>
      <c r="DD128" s="6"/>
      <c r="DE128" s="6"/>
      <c r="DF128" s="6"/>
      <c r="DG128" s="6"/>
      <c r="DH128" s="6"/>
      <c r="DI128" s="6"/>
      <c r="DJ128" s="6"/>
      <c r="DK128" s="6"/>
      <c r="DL128" s="6"/>
      <c r="DM128" s="6"/>
      <c r="DN128" s="6"/>
      <c r="DO128" s="6"/>
      <c r="DP128" s="6"/>
      <c r="DQ128" s="6"/>
      <c r="DR128" s="6"/>
      <c r="DS128" s="6"/>
      <c r="DT128" s="6"/>
      <c r="DU128" s="6"/>
      <c r="DV128" s="6"/>
      <c r="DW128" s="6"/>
      <c r="DX128" s="6"/>
      <c r="DY128" s="6"/>
      <c r="DZ128" s="6"/>
      <c r="EA128" s="6"/>
      <c r="EB128" s="6"/>
      <c r="EC128" s="6"/>
      <c r="ED128" s="6"/>
      <c r="EE128" s="6"/>
      <c r="KK128" s="10"/>
      <c r="KL128" s="10"/>
      <c r="KM128" s="10"/>
      <c r="KN128" s="10"/>
      <c r="KO128" s="10"/>
      <c r="KP128" s="10"/>
      <c r="KQ128" s="10"/>
      <c r="KR128" s="10"/>
      <c r="KS128" s="10"/>
      <c r="KT128" s="10"/>
      <c r="KU128" s="10"/>
      <c r="KV128" s="10"/>
      <c r="KW128" s="10"/>
      <c r="KX128" s="10"/>
      <c r="KY128" s="10"/>
      <c r="KZ128" s="10"/>
      <c r="LA128" s="10"/>
      <c r="LB128" s="10"/>
      <c r="LC128" s="10"/>
      <c r="LD128" s="10"/>
    </row>
    <row r="129" spans="1:316" ht="15.75" customHeight="1" x14ac:dyDescent="0.25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6"/>
      <c r="BY129" s="6"/>
      <c r="BZ129" s="6"/>
      <c r="CA129" s="6"/>
      <c r="CB129" s="6"/>
      <c r="CC129" s="6"/>
      <c r="CD129" s="6"/>
      <c r="CE129" s="6"/>
      <c r="CF129" s="6"/>
      <c r="CG129" s="6"/>
      <c r="CH129" s="6"/>
      <c r="CI129" s="6"/>
      <c r="CJ129" s="6"/>
      <c r="CK129" s="6"/>
      <c r="CL129" s="6"/>
      <c r="CM129" s="6"/>
      <c r="CN129" s="6"/>
      <c r="CO129" s="6"/>
      <c r="CP129" s="6"/>
      <c r="CQ129" s="6"/>
      <c r="CR129" s="6"/>
      <c r="CS129" s="6"/>
      <c r="CT129" s="6"/>
      <c r="CU129" s="6"/>
      <c r="CV129" s="6"/>
      <c r="CW129" s="6"/>
      <c r="CX129" s="6"/>
      <c r="CY129" s="6"/>
      <c r="CZ129" s="6"/>
      <c r="DA129" s="6"/>
      <c r="DB129" s="6"/>
      <c r="DC129" s="6"/>
      <c r="DD129" s="6"/>
      <c r="DE129" s="6"/>
      <c r="DF129" s="6"/>
      <c r="DG129" s="6"/>
      <c r="DH129" s="6"/>
      <c r="DI129" s="6"/>
      <c r="DJ129" s="6"/>
      <c r="DK129" s="6"/>
      <c r="DL129" s="6"/>
      <c r="DM129" s="6"/>
      <c r="DN129" s="6"/>
      <c r="DO129" s="6"/>
      <c r="DP129" s="6"/>
      <c r="DQ129" s="6"/>
      <c r="DR129" s="6"/>
      <c r="DS129" s="6"/>
      <c r="DT129" s="6"/>
      <c r="DU129" s="6"/>
      <c r="DV129" s="6"/>
      <c r="DW129" s="6"/>
      <c r="DX129" s="6"/>
      <c r="DY129" s="6"/>
      <c r="DZ129" s="6"/>
      <c r="EA129" s="6"/>
      <c r="EB129" s="6"/>
      <c r="EC129" s="6"/>
      <c r="ED129" s="6"/>
      <c r="EE129" s="6"/>
      <c r="KK129" s="10"/>
      <c r="KL129" s="10"/>
      <c r="KM129" s="10"/>
      <c r="KN129" s="10"/>
      <c r="KO129" s="10"/>
      <c r="KP129" s="10"/>
      <c r="KQ129" s="10"/>
      <c r="KR129" s="10"/>
      <c r="KS129" s="10"/>
      <c r="KT129" s="10"/>
      <c r="KU129" s="10"/>
      <c r="KV129" s="10"/>
      <c r="KW129" s="10"/>
      <c r="KX129" s="10"/>
      <c r="KY129" s="10"/>
      <c r="KZ129" s="10"/>
      <c r="LA129" s="10"/>
      <c r="LB129" s="10"/>
      <c r="LC129" s="10"/>
      <c r="LD129" s="10"/>
    </row>
    <row r="130" spans="1:316" ht="15.75" customHeight="1" x14ac:dyDescent="0.25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6"/>
      <c r="BY130" s="6"/>
      <c r="BZ130" s="6"/>
      <c r="CA130" s="6"/>
      <c r="CB130" s="6"/>
      <c r="CC130" s="6"/>
      <c r="CD130" s="6"/>
      <c r="CE130" s="6"/>
      <c r="CF130" s="6"/>
      <c r="CG130" s="6"/>
      <c r="CH130" s="6"/>
      <c r="CI130" s="6"/>
      <c r="CJ130" s="6"/>
      <c r="CK130" s="6"/>
      <c r="CL130" s="6"/>
      <c r="CM130" s="6"/>
      <c r="CN130" s="6"/>
      <c r="CO130" s="6"/>
      <c r="CP130" s="6"/>
      <c r="CQ130" s="6"/>
      <c r="CR130" s="6"/>
      <c r="CS130" s="6"/>
      <c r="CT130" s="6"/>
      <c r="CU130" s="6"/>
      <c r="CV130" s="6"/>
      <c r="CW130" s="6"/>
      <c r="CX130" s="6"/>
      <c r="CY130" s="6"/>
      <c r="CZ130" s="6"/>
      <c r="DA130" s="6"/>
      <c r="DB130" s="6"/>
      <c r="DC130" s="6"/>
      <c r="DD130" s="6"/>
      <c r="DE130" s="6"/>
      <c r="DF130" s="6"/>
      <c r="DG130" s="6"/>
      <c r="DH130" s="6"/>
      <c r="DI130" s="6"/>
      <c r="DJ130" s="6"/>
      <c r="DK130" s="6"/>
      <c r="DL130" s="6"/>
      <c r="DM130" s="6"/>
      <c r="DN130" s="6"/>
      <c r="DO130" s="6"/>
      <c r="DP130" s="6"/>
      <c r="DQ130" s="6"/>
      <c r="DR130" s="6"/>
      <c r="DS130" s="6"/>
      <c r="DT130" s="6"/>
      <c r="DU130" s="6"/>
      <c r="DV130" s="6"/>
      <c r="DW130" s="6"/>
      <c r="DX130" s="6"/>
      <c r="DY130" s="6"/>
      <c r="DZ130" s="6"/>
      <c r="EA130" s="6"/>
      <c r="EB130" s="6"/>
      <c r="EC130" s="6"/>
      <c r="ED130" s="6"/>
      <c r="EE130" s="6"/>
      <c r="KK130" s="10"/>
      <c r="KL130" s="10"/>
      <c r="KM130" s="10"/>
      <c r="KN130" s="10"/>
      <c r="KO130" s="10"/>
      <c r="KP130" s="10"/>
      <c r="KQ130" s="10"/>
      <c r="KR130" s="10"/>
      <c r="KS130" s="10"/>
      <c r="KT130" s="10"/>
      <c r="KU130" s="10"/>
      <c r="KV130" s="10"/>
      <c r="KW130" s="10"/>
      <c r="KX130" s="10"/>
      <c r="KY130" s="10"/>
      <c r="KZ130" s="10"/>
      <c r="LA130" s="10"/>
      <c r="LB130" s="10"/>
      <c r="LC130" s="10"/>
      <c r="LD130" s="10"/>
    </row>
    <row r="131" spans="1:316" ht="15.75" customHeight="1" x14ac:dyDescent="0.25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6"/>
      <c r="BY131" s="6"/>
      <c r="BZ131" s="6"/>
      <c r="CA131" s="6"/>
      <c r="CB131" s="6"/>
      <c r="CC131" s="6"/>
      <c r="CD131" s="6"/>
      <c r="CE131" s="6"/>
      <c r="CF131" s="6"/>
      <c r="CG131" s="6"/>
      <c r="CH131" s="6"/>
      <c r="CI131" s="6"/>
      <c r="CJ131" s="6"/>
      <c r="CK131" s="6"/>
      <c r="CL131" s="6"/>
      <c r="CM131" s="6"/>
      <c r="CN131" s="6"/>
      <c r="CO131" s="6"/>
      <c r="CP131" s="6"/>
      <c r="CQ131" s="6"/>
      <c r="CR131" s="6"/>
      <c r="CS131" s="6"/>
      <c r="CT131" s="6"/>
      <c r="CU131" s="6"/>
      <c r="CV131" s="6"/>
      <c r="CW131" s="6"/>
      <c r="CX131" s="6"/>
      <c r="CY131" s="6"/>
      <c r="CZ131" s="6"/>
      <c r="DA131" s="6"/>
      <c r="DB131" s="6"/>
      <c r="DC131" s="6"/>
      <c r="DD131" s="6"/>
      <c r="DE131" s="6"/>
      <c r="DF131" s="6"/>
      <c r="DG131" s="6"/>
      <c r="DH131" s="6"/>
      <c r="DI131" s="6"/>
      <c r="DJ131" s="6"/>
      <c r="DK131" s="6"/>
      <c r="DL131" s="6"/>
      <c r="DM131" s="6"/>
      <c r="DN131" s="6"/>
      <c r="DO131" s="6"/>
      <c r="DP131" s="6"/>
      <c r="DQ131" s="6"/>
      <c r="DR131" s="6"/>
      <c r="DS131" s="6"/>
      <c r="DT131" s="6"/>
      <c r="DU131" s="6"/>
      <c r="DV131" s="6"/>
      <c r="DW131" s="6"/>
      <c r="DX131" s="6"/>
      <c r="DY131" s="6"/>
      <c r="DZ131" s="6"/>
      <c r="EA131" s="6"/>
      <c r="EB131" s="6"/>
      <c r="EC131" s="6"/>
      <c r="ED131" s="6"/>
      <c r="EE131" s="6"/>
      <c r="KK131" s="10"/>
      <c r="KL131" s="10"/>
      <c r="KM131" s="10"/>
      <c r="KN131" s="10"/>
      <c r="KO131" s="10"/>
      <c r="KP131" s="10"/>
      <c r="KQ131" s="10"/>
      <c r="KR131" s="10"/>
      <c r="KS131" s="10"/>
      <c r="KT131" s="10"/>
      <c r="KU131" s="10"/>
      <c r="KV131" s="10"/>
      <c r="KW131" s="10"/>
      <c r="KX131" s="10"/>
      <c r="KY131" s="10"/>
      <c r="KZ131" s="10"/>
      <c r="LA131" s="10"/>
      <c r="LB131" s="10"/>
      <c r="LC131" s="10"/>
      <c r="LD131" s="10"/>
    </row>
    <row r="132" spans="1:316" ht="15.75" customHeight="1" x14ac:dyDescent="0.25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6"/>
      <c r="BY132" s="6"/>
      <c r="BZ132" s="6"/>
      <c r="CA132" s="6"/>
      <c r="CB132" s="6"/>
      <c r="CC132" s="6"/>
      <c r="CD132" s="6"/>
      <c r="CE132" s="6"/>
      <c r="CF132" s="6"/>
      <c r="CG132" s="6"/>
      <c r="CH132" s="6"/>
      <c r="CI132" s="6"/>
      <c r="CJ132" s="6"/>
      <c r="CK132" s="6"/>
      <c r="CL132" s="6"/>
      <c r="CM132" s="6"/>
      <c r="CN132" s="6"/>
      <c r="CO132" s="6"/>
      <c r="CP132" s="6"/>
      <c r="CQ132" s="6"/>
      <c r="CR132" s="6"/>
      <c r="CS132" s="6"/>
      <c r="CT132" s="6"/>
      <c r="CU132" s="6"/>
      <c r="CV132" s="6"/>
      <c r="CW132" s="6"/>
      <c r="CX132" s="6"/>
      <c r="CY132" s="6"/>
      <c r="CZ132" s="6"/>
      <c r="DA132" s="6"/>
      <c r="DB132" s="6"/>
      <c r="DC132" s="6"/>
      <c r="DD132" s="6"/>
      <c r="DE132" s="6"/>
      <c r="DF132" s="6"/>
      <c r="DG132" s="6"/>
      <c r="DH132" s="6"/>
      <c r="DI132" s="6"/>
      <c r="DJ132" s="6"/>
      <c r="DK132" s="6"/>
      <c r="DL132" s="6"/>
      <c r="DM132" s="6"/>
      <c r="DN132" s="6"/>
      <c r="DO132" s="6"/>
      <c r="DP132" s="6"/>
      <c r="DQ132" s="6"/>
      <c r="DR132" s="6"/>
      <c r="DS132" s="6"/>
      <c r="DT132" s="6"/>
      <c r="DU132" s="6"/>
      <c r="DV132" s="6"/>
      <c r="DW132" s="6"/>
      <c r="DX132" s="6"/>
      <c r="DY132" s="6"/>
      <c r="DZ132" s="6"/>
      <c r="EA132" s="6"/>
      <c r="EB132" s="6"/>
      <c r="EC132" s="6"/>
      <c r="ED132" s="6"/>
      <c r="EE132" s="6"/>
      <c r="KK132" s="10"/>
      <c r="KL132" s="10"/>
      <c r="KM132" s="10"/>
      <c r="KN132" s="10"/>
      <c r="KO132" s="10"/>
      <c r="KP132" s="10"/>
      <c r="KQ132" s="10"/>
      <c r="KR132" s="10"/>
      <c r="KS132" s="10"/>
      <c r="KT132" s="10"/>
      <c r="KU132" s="10"/>
      <c r="KV132" s="10"/>
      <c r="KW132" s="10"/>
      <c r="KX132" s="10"/>
      <c r="KY132" s="10"/>
      <c r="KZ132" s="10"/>
      <c r="LA132" s="10"/>
      <c r="LB132" s="10"/>
      <c r="LC132" s="10"/>
      <c r="LD132" s="10"/>
    </row>
    <row r="133" spans="1:316" ht="15.75" customHeight="1" x14ac:dyDescent="0.25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6"/>
      <c r="BY133" s="6"/>
      <c r="BZ133" s="6"/>
      <c r="CA133" s="6"/>
      <c r="CB133" s="6"/>
      <c r="CC133" s="6"/>
      <c r="CD133" s="6"/>
      <c r="CE133" s="6"/>
      <c r="CF133" s="6"/>
      <c r="CG133" s="6"/>
      <c r="CH133" s="6"/>
      <c r="CI133" s="6"/>
      <c r="CJ133" s="6"/>
      <c r="CK133" s="6"/>
      <c r="CL133" s="6"/>
      <c r="CM133" s="6"/>
      <c r="CN133" s="6"/>
      <c r="CO133" s="6"/>
      <c r="CP133" s="6"/>
      <c r="CQ133" s="6"/>
      <c r="CR133" s="6"/>
      <c r="CS133" s="6"/>
      <c r="CT133" s="6"/>
      <c r="CU133" s="6"/>
      <c r="CV133" s="6"/>
      <c r="CW133" s="6"/>
      <c r="CX133" s="6"/>
      <c r="CY133" s="6"/>
      <c r="CZ133" s="6"/>
      <c r="DA133" s="6"/>
      <c r="DB133" s="6"/>
      <c r="DC133" s="6"/>
      <c r="DD133" s="6"/>
      <c r="DE133" s="6"/>
      <c r="DF133" s="6"/>
      <c r="DG133" s="6"/>
      <c r="DH133" s="6"/>
      <c r="DI133" s="6"/>
      <c r="DJ133" s="6"/>
      <c r="DK133" s="6"/>
      <c r="DL133" s="6"/>
      <c r="DM133" s="6"/>
      <c r="DN133" s="6"/>
      <c r="DO133" s="6"/>
      <c r="DP133" s="6"/>
      <c r="DQ133" s="6"/>
      <c r="DR133" s="6"/>
      <c r="DS133" s="6"/>
      <c r="DT133" s="6"/>
      <c r="DU133" s="6"/>
      <c r="DV133" s="6"/>
      <c r="DW133" s="6"/>
      <c r="DX133" s="6"/>
      <c r="DY133" s="6"/>
      <c r="DZ133" s="6"/>
      <c r="EA133" s="6"/>
      <c r="EB133" s="6"/>
      <c r="EC133" s="6"/>
      <c r="ED133" s="6"/>
      <c r="EE133" s="6"/>
      <c r="KK133" s="10"/>
      <c r="KL133" s="10"/>
      <c r="KM133" s="10"/>
      <c r="KN133" s="10"/>
      <c r="KO133" s="10"/>
      <c r="KP133" s="10"/>
      <c r="KQ133" s="10"/>
      <c r="KR133" s="10"/>
      <c r="KS133" s="10"/>
      <c r="KT133" s="10"/>
      <c r="KU133" s="10"/>
      <c r="KV133" s="10"/>
      <c r="KW133" s="10"/>
      <c r="KX133" s="10"/>
      <c r="KY133" s="10"/>
      <c r="KZ133" s="10"/>
      <c r="LA133" s="10"/>
      <c r="LB133" s="10"/>
      <c r="LC133" s="10"/>
      <c r="LD133" s="10"/>
    </row>
    <row r="134" spans="1:316" ht="15.75" customHeight="1" x14ac:dyDescent="0.25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6"/>
      <c r="BY134" s="6"/>
      <c r="BZ134" s="6"/>
      <c r="CA134" s="6"/>
      <c r="CB134" s="6"/>
      <c r="CC134" s="6"/>
      <c r="CD134" s="6"/>
      <c r="CE134" s="6"/>
      <c r="CF134" s="6"/>
      <c r="CG134" s="6"/>
      <c r="CH134" s="6"/>
      <c r="CI134" s="6"/>
      <c r="CJ134" s="6"/>
      <c r="CK134" s="6"/>
      <c r="CL134" s="6"/>
      <c r="CM134" s="6"/>
      <c r="CN134" s="6"/>
      <c r="CO134" s="6"/>
      <c r="CP134" s="6"/>
      <c r="CQ134" s="6"/>
      <c r="CR134" s="6"/>
      <c r="CS134" s="6"/>
      <c r="CT134" s="6"/>
      <c r="CU134" s="6"/>
      <c r="CV134" s="6"/>
      <c r="CW134" s="6"/>
      <c r="CX134" s="6"/>
      <c r="CY134" s="6"/>
      <c r="CZ134" s="6"/>
      <c r="DA134" s="6"/>
      <c r="DB134" s="6"/>
      <c r="DC134" s="6"/>
      <c r="DD134" s="6"/>
      <c r="DE134" s="6"/>
      <c r="DF134" s="6"/>
      <c r="DG134" s="6"/>
      <c r="DH134" s="6"/>
      <c r="DI134" s="6"/>
      <c r="DJ134" s="6"/>
      <c r="DK134" s="6"/>
      <c r="DL134" s="6"/>
      <c r="DM134" s="6"/>
      <c r="DN134" s="6"/>
      <c r="DO134" s="6"/>
      <c r="DP134" s="6"/>
      <c r="DQ134" s="6"/>
      <c r="DR134" s="6"/>
      <c r="DS134" s="6"/>
      <c r="DT134" s="6"/>
      <c r="DU134" s="6"/>
      <c r="DV134" s="6"/>
      <c r="DW134" s="6"/>
      <c r="DX134" s="6"/>
      <c r="DY134" s="6"/>
      <c r="DZ134" s="6"/>
      <c r="EA134" s="6"/>
      <c r="EB134" s="6"/>
      <c r="EC134" s="6"/>
      <c r="ED134" s="6"/>
      <c r="EE134" s="6"/>
      <c r="KK134" s="10"/>
      <c r="KL134" s="10"/>
      <c r="KM134" s="10"/>
      <c r="KN134" s="10"/>
      <c r="KO134" s="10"/>
      <c r="KP134" s="10"/>
      <c r="KQ134" s="10"/>
      <c r="KR134" s="10"/>
      <c r="KS134" s="10"/>
      <c r="KT134" s="10"/>
      <c r="KU134" s="10"/>
      <c r="KV134" s="10"/>
      <c r="KW134" s="10"/>
      <c r="KX134" s="10"/>
      <c r="KY134" s="10"/>
      <c r="KZ134" s="10"/>
      <c r="LA134" s="10"/>
      <c r="LB134" s="10"/>
      <c r="LC134" s="10"/>
      <c r="LD134" s="10"/>
    </row>
    <row r="135" spans="1:316" ht="15.75" customHeight="1" x14ac:dyDescent="0.25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6"/>
      <c r="BY135" s="6"/>
      <c r="BZ135" s="6"/>
      <c r="CA135" s="6"/>
      <c r="CB135" s="6"/>
      <c r="CC135" s="6"/>
      <c r="CD135" s="6"/>
      <c r="CE135" s="6"/>
      <c r="CF135" s="6"/>
      <c r="CG135" s="6"/>
      <c r="CH135" s="6"/>
      <c r="CI135" s="6"/>
      <c r="CJ135" s="6"/>
      <c r="CK135" s="6"/>
      <c r="CL135" s="6"/>
      <c r="CM135" s="6"/>
      <c r="CN135" s="6"/>
      <c r="CO135" s="6"/>
      <c r="CP135" s="6"/>
      <c r="CQ135" s="6"/>
      <c r="CR135" s="6"/>
      <c r="CS135" s="6"/>
      <c r="CT135" s="6"/>
      <c r="CU135" s="6"/>
      <c r="CV135" s="6"/>
      <c r="CW135" s="6"/>
      <c r="CX135" s="6"/>
      <c r="CY135" s="6"/>
      <c r="CZ135" s="6"/>
      <c r="DA135" s="6"/>
      <c r="DB135" s="6"/>
      <c r="DC135" s="6"/>
      <c r="DD135" s="6"/>
      <c r="DE135" s="6"/>
      <c r="DF135" s="6"/>
      <c r="DG135" s="6"/>
      <c r="DH135" s="6"/>
      <c r="DI135" s="6"/>
      <c r="DJ135" s="6"/>
      <c r="DK135" s="6"/>
      <c r="DL135" s="6"/>
      <c r="DM135" s="6"/>
      <c r="DN135" s="6"/>
      <c r="DO135" s="6"/>
      <c r="DP135" s="6"/>
      <c r="DQ135" s="6"/>
      <c r="DR135" s="6"/>
      <c r="DS135" s="6"/>
      <c r="DT135" s="6"/>
      <c r="DU135" s="6"/>
      <c r="DV135" s="6"/>
      <c r="DW135" s="6"/>
      <c r="DX135" s="6"/>
      <c r="DY135" s="6"/>
      <c r="DZ135" s="6"/>
      <c r="EA135" s="6"/>
      <c r="EB135" s="6"/>
      <c r="EC135" s="6"/>
      <c r="ED135" s="6"/>
      <c r="EE135" s="6"/>
      <c r="KK135" s="10"/>
      <c r="KL135" s="10"/>
      <c r="KM135" s="10"/>
      <c r="KN135" s="10"/>
      <c r="KO135" s="10"/>
      <c r="KP135" s="10"/>
      <c r="KQ135" s="10"/>
      <c r="KR135" s="10"/>
      <c r="KS135" s="10"/>
      <c r="KT135" s="10"/>
      <c r="KU135" s="10"/>
      <c r="KV135" s="10"/>
      <c r="KW135" s="10"/>
      <c r="KX135" s="10"/>
      <c r="KY135" s="10"/>
      <c r="KZ135" s="10"/>
      <c r="LA135" s="10"/>
      <c r="LB135" s="10"/>
      <c r="LC135" s="10"/>
      <c r="LD135" s="10"/>
    </row>
    <row r="136" spans="1:316" ht="15.75" customHeight="1" x14ac:dyDescent="0.25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6"/>
      <c r="BY136" s="6"/>
      <c r="BZ136" s="6"/>
      <c r="CA136" s="6"/>
      <c r="CB136" s="6"/>
      <c r="CC136" s="6"/>
      <c r="CD136" s="6"/>
      <c r="CE136" s="6"/>
      <c r="CF136" s="6"/>
      <c r="CG136" s="6"/>
      <c r="CH136" s="6"/>
      <c r="CI136" s="6"/>
      <c r="CJ136" s="6"/>
      <c r="CK136" s="6"/>
      <c r="CL136" s="6"/>
      <c r="CM136" s="6"/>
      <c r="CN136" s="6"/>
      <c r="CO136" s="6"/>
      <c r="CP136" s="6"/>
      <c r="CQ136" s="6"/>
      <c r="CR136" s="6"/>
      <c r="CS136" s="6"/>
      <c r="CT136" s="6"/>
      <c r="CU136" s="6"/>
      <c r="CV136" s="6"/>
      <c r="CW136" s="6"/>
      <c r="CX136" s="6"/>
      <c r="CY136" s="6"/>
      <c r="CZ136" s="6"/>
      <c r="DA136" s="6"/>
      <c r="DB136" s="6"/>
      <c r="DC136" s="6"/>
      <c r="DD136" s="6"/>
      <c r="DE136" s="6"/>
      <c r="DF136" s="6"/>
      <c r="DG136" s="6"/>
      <c r="DH136" s="6"/>
      <c r="DI136" s="6"/>
      <c r="DJ136" s="6"/>
      <c r="DK136" s="6"/>
      <c r="DL136" s="6"/>
      <c r="DM136" s="6"/>
      <c r="DN136" s="6"/>
      <c r="DO136" s="6"/>
      <c r="DP136" s="6"/>
      <c r="DQ136" s="6"/>
      <c r="DR136" s="6"/>
      <c r="DS136" s="6"/>
      <c r="DT136" s="6"/>
      <c r="DU136" s="6"/>
      <c r="DV136" s="6"/>
      <c r="DW136" s="6"/>
      <c r="DX136" s="6"/>
      <c r="DY136" s="6"/>
      <c r="DZ136" s="6"/>
      <c r="EA136" s="6"/>
      <c r="EB136" s="6"/>
      <c r="EC136" s="6"/>
      <c r="ED136" s="6"/>
      <c r="EE136" s="6"/>
      <c r="KK136" s="10"/>
      <c r="KL136" s="10"/>
      <c r="KM136" s="10"/>
      <c r="KN136" s="10"/>
      <c r="KO136" s="10"/>
      <c r="KP136" s="10"/>
      <c r="KQ136" s="10"/>
      <c r="KR136" s="10"/>
      <c r="KS136" s="10"/>
      <c r="KT136" s="10"/>
      <c r="KU136" s="10"/>
      <c r="KV136" s="10"/>
      <c r="KW136" s="10"/>
      <c r="KX136" s="10"/>
      <c r="KY136" s="10"/>
      <c r="KZ136" s="10"/>
      <c r="LA136" s="10"/>
      <c r="LB136" s="10"/>
      <c r="LC136" s="10"/>
      <c r="LD136" s="10"/>
    </row>
    <row r="137" spans="1:316" ht="15.75" customHeight="1" x14ac:dyDescent="0.25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6"/>
      <c r="BY137" s="6"/>
      <c r="BZ137" s="6"/>
      <c r="CA137" s="6"/>
      <c r="CB137" s="6"/>
      <c r="CC137" s="6"/>
      <c r="CD137" s="6"/>
      <c r="CE137" s="6"/>
      <c r="CF137" s="6"/>
      <c r="CG137" s="6"/>
      <c r="CH137" s="6"/>
      <c r="CI137" s="6"/>
      <c r="CJ137" s="6"/>
      <c r="CK137" s="6"/>
      <c r="CL137" s="6"/>
      <c r="CM137" s="6"/>
      <c r="CN137" s="6"/>
      <c r="CO137" s="6"/>
      <c r="CP137" s="6"/>
      <c r="CQ137" s="6"/>
      <c r="CR137" s="6"/>
      <c r="CS137" s="6"/>
      <c r="CT137" s="6"/>
      <c r="CU137" s="6"/>
      <c r="CV137" s="6"/>
      <c r="CW137" s="6"/>
      <c r="CX137" s="6"/>
      <c r="CY137" s="6"/>
      <c r="CZ137" s="6"/>
      <c r="DA137" s="6"/>
      <c r="DB137" s="6"/>
      <c r="DC137" s="6"/>
      <c r="DD137" s="6"/>
      <c r="DE137" s="6"/>
      <c r="DF137" s="6"/>
      <c r="DG137" s="6"/>
      <c r="DH137" s="6"/>
      <c r="DI137" s="6"/>
      <c r="DJ137" s="6"/>
      <c r="DK137" s="6"/>
      <c r="DL137" s="6"/>
      <c r="DM137" s="6"/>
      <c r="DN137" s="6"/>
      <c r="DO137" s="6"/>
      <c r="DP137" s="6"/>
      <c r="DQ137" s="6"/>
      <c r="DR137" s="6"/>
      <c r="DS137" s="6"/>
      <c r="DT137" s="6"/>
      <c r="DU137" s="6"/>
      <c r="DV137" s="6"/>
      <c r="DW137" s="6"/>
      <c r="DX137" s="6"/>
      <c r="DY137" s="6"/>
      <c r="DZ137" s="6"/>
      <c r="EA137" s="6"/>
      <c r="EB137" s="6"/>
      <c r="EC137" s="6"/>
      <c r="ED137" s="6"/>
      <c r="EE137" s="6"/>
      <c r="KK137" s="10"/>
      <c r="KL137" s="10"/>
      <c r="KM137" s="10"/>
      <c r="KN137" s="10"/>
      <c r="KO137" s="10"/>
      <c r="KP137" s="10"/>
      <c r="KQ137" s="10"/>
      <c r="KR137" s="10"/>
      <c r="KS137" s="10"/>
      <c r="KT137" s="10"/>
      <c r="KU137" s="10"/>
      <c r="KV137" s="10"/>
      <c r="KW137" s="10"/>
      <c r="KX137" s="10"/>
      <c r="KY137" s="10"/>
      <c r="KZ137" s="10"/>
      <c r="LA137" s="10"/>
      <c r="LB137" s="10"/>
      <c r="LC137" s="10"/>
      <c r="LD137" s="10"/>
    </row>
    <row r="138" spans="1:316" ht="15.75" customHeight="1" x14ac:dyDescent="0.25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6"/>
      <c r="BY138" s="6"/>
      <c r="BZ138" s="6"/>
      <c r="CA138" s="6"/>
      <c r="CB138" s="6"/>
      <c r="CC138" s="6"/>
      <c r="CD138" s="6"/>
      <c r="CE138" s="6"/>
      <c r="CF138" s="6"/>
      <c r="CG138" s="6"/>
      <c r="CH138" s="6"/>
      <c r="CI138" s="6"/>
      <c r="CJ138" s="6"/>
      <c r="CK138" s="6"/>
      <c r="CL138" s="6"/>
      <c r="CM138" s="6"/>
      <c r="CN138" s="6"/>
      <c r="CO138" s="6"/>
      <c r="CP138" s="6"/>
      <c r="CQ138" s="6"/>
      <c r="CR138" s="6"/>
      <c r="CS138" s="6"/>
      <c r="CT138" s="6"/>
      <c r="CU138" s="6"/>
      <c r="CV138" s="6"/>
      <c r="CW138" s="6"/>
      <c r="CX138" s="6"/>
      <c r="CY138" s="6"/>
      <c r="CZ138" s="6"/>
      <c r="DA138" s="6"/>
      <c r="DB138" s="6"/>
      <c r="DC138" s="6"/>
      <c r="DD138" s="6"/>
      <c r="DE138" s="6"/>
      <c r="DF138" s="6"/>
      <c r="DG138" s="6"/>
      <c r="DH138" s="6"/>
      <c r="DI138" s="6"/>
      <c r="DJ138" s="6"/>
      <c r="DK138" s="6"/>
      <c r="DL138" s="6"/>
      <c r="DM138" s="6"/>
      <c r="DN138" s="6"/>
      <c r="DO138" s="6"/>
      <c r="DP138" s="6"/>
      <c r="DQ138" s="6"/>
      <c r="DR138" s="6"/>
      <c r="DS138" s="6"/>
      <c r="DT138" s="6"/>
      <c r="DU138" s="6"/>
      <c r="DV138" s="6"/>
      <c r="DW138" s="6"/>
      <c r="DX138" s="6"/>
      <c r="DY138" s="6"/>
      <c r="DZ138" s="6"/>
      <c r="EA138" s="6"/>
      <c r="EB138" s="6"/>
      <c r="EC138" s="6"/>
      <c r="ED138" s="6"/>
      <c r="EE138" s="6"/>
      <c r="KK138" s="10"/>
      <c r="KL138" s="10"/>
      <c r="KM138" s="10"/>
      <c r="KN138" s="10"/>
      <c r="KO138" s="10"/>
      <c r="KP138" s="10"/>
      <c r="KQ138" s="10"/>
      <c r="KR138" s="10"/>
      <c r="KS138" s="10"/>
      <c r="KT138" s="10"/>
      <c r="KU138" s="10"/>
      <c r="KV138" s="10"/>
      <c r="KW138" s="10"/>
      <c r="KX138" s="10"/>
      <c r="KY138" s="10"/>
      <c r="KZ138" s="10"/>
      <c r="LA138" s="10"/>
      <c r="LB138" s="10"/>
      <c r="LC138" s="10"/>
      <c r="LD138" s="10"/>
    </row>
    <row r="139" spans="1:316" ht="15.75" customHeight="1" x14ac:dyDescent="0.25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6"/>
      <c r="BY139" s="6"/>
      <c r="BZ139" s="6"/>
      <c r="CA139" s="6"/>
      <c r="CB139" s="6"/>
      <c r="CC139" s="6"/>
      <c r="CD139" s="6"/>
      <c r="CE139" s="6"/>
      <c r="CF139" s="6"/>
      <c r="CG139" s="6"/>
      <c r="CH139" s="6"/>
      <c r="CI139" s="6"/>
      <c r="CJ139" s="6"/>
      <c r="CK139" s="6"/>
      <c r="CL139" s="6"/>
      <c r="CM139" s="6"/>
      <c r="CN139" s="6"/>
      <c r="CO139" s="6"/>
      <c r="CP139" s="6"/>
      <c r="CQ139" s="6"/>
      <c r="CR139" s="6"/>
      <c r="CS139" s="6"/>
      <c r="CT139" s="6"/>
      <c r="CU139" s="6"/>
      <c r="CV139" s="6"/>
      <c r="CW139" s="6"/>
      <c r="CX139" s="6"/>
      <c r="CY139" s="6"/>
      <c r="CZ139" s="6"/>
      <c r="DA139" s="6"/>
      <c r="DB139" s="6"/>
      <c r="DC139" s="6"/>
      <c r="DD139" s="6"/>
      <c r="DE139" s="6"/>
      <c r="DF139" s="6"/>
      <c r="DG139" s="6"/>
      <c r="DH139" s="6"/>
      <c r="DI139" s="6"/>
      <c r="DJ139" s="6"/>
      <c r="DK139" s="6"/>
      <c r="DL139" s="6"/>
      <c r="DM139" s="6"/>
      <c r="DN139" s="6"/>
      <c r="DO139" s="6"/>
      <c r="DP139" s="6"/>
      <c r="DQ139" s="6"/>
      <c r="DR139" s="6"/>
      <c r="DS139" s="6"/>
      <c r="DT139" s="6"/>
      <c r="DU139" s="6"/>
      <c r="DV139" s="6"/>
      <c r="DW139" s="6"/>
      <c r="DX139" s="6"/>
      <c r="DY139" s="6"/>
      <c r="DZ139" s="6"/>
      <c r="EA139" s="6"/>
      <c r="EB139" s="6"/>
      <c r="EC139" s="6"/>
      <c r="ED139" s="6"/>
      <c r="EE139" s="6"/>
      <c r="KK139" s="10"/>
      <c r="KL139" s="10"/>
      <c r="KM139" s="10"/>
      <c r="KN139" s="10"/>
      <c r="KO139" s="10"/>
      <c r="KP139" s="10"/>
      <c r="KQ139" s="10"/>
      <c r="KR139" s="10"/>
      <c r="KS139" s="10"/>
      <c r="KT139" s="10"/>
      <c r="KU139" s="10"/>
      <c r="KV139" s="10"/>
      <c r="KW139" s="10"/>
      <c r="KX139" s="10"/>
      <c r="KY139" s="10"/>
      <c r="KZ139" s="10"/>
      <c r="LA139" s="10"/>
      <c r="LB139" s="10"/>
      <c r="LC139" s="10"/>
      <c r="LD139" s="10"/>
    </row>
    <row r="140" spans="1:316" ht="15.75" customHeight="1" x14ac:dyDescent="0.25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6"/>
      <c r="BY140" s="6"/>
      <c r="BZ140" s="6"/>
      <c r="CA140" s="6"/>
      <c r="CB140" s="6"/>
      <c r="CC140" s="6"/>
      <c r="CD140" s="6"/>
      <c r="CE140" s="6"/>
      <c r="CF140" s="6"/>
      <c r="CG140" s="6"/>
      <c r="CH140" s="6"/>
      <c r="CI140" s="6"/>
      <c r="CJ140" s="6"/>
      <c r="CK140" s="6"/>
      <c r="CL140" s="6"/>
      <c r="CM140" s="6"/>
      <c r="CN140" s="6"/>
      <c r="CO140" s="6"/>
      <c r="CP140" s="6"/>
      <c r="CQ140" s="6"/>
      <c r="CR140" s="6"/>
      <c r="CS140" s="6"/>
      <c r="CT140" s="6"/>
      <c r="CU140" s="6"/>
      <c r="CV140" s="6"/>
      <c r="CW140" s="6"/>
      <c r="CX140" s="6"/>
      <c r="CY140" s="6"/>
      <c r="CZ140" s="6"/>
      <c r="DA140" s="6"/>
      <c r="DB140" s="6"/>
      <c r="DC140" s="6"/>
      <c r="DD140" s="6"/>
      <c r="DE140" s="6"/>
      <c r="DF140" s="6"/>
      <c r="DG140" s="6"/>
      <c r="DH140" s="6"/>
      <c r="DI140" s="6"/>
      <c r="DJ140" s="6"/>
      <c r="DK140" s="6"/>
      <c r="DL140" s="6"/>
      <c r="DM140" s="6"/>
      <c r="DN140" s="6"/>
      <c r="DO140" s="6"/>
      <c r="DP140" s="6"/>
      <c r="DQ140" s="6"/>
      <c r="DR140" s="6"/>
      <c r="DS140" s="6"/>
      <c r="DT140" s="6"/>
      <c r="DU140" s="6"/>
      <c r="DV140" s="6"/>
      <c r="DW140" s="6"/>
      <c r="DX140" s="6"/>
      <c r="DY140" s="6"/>
      <c r="DZ140" s="6"/>
      <c r="EA140" s="6"/>
      <c r="EB140" s="6"/>
      <c r="EC140" s="6"/>
      <c r="ED140" s="6"/>
      <c r="EE140" s="6"/>
      <c r="KK140" s="10"/>
      <c r="KL140" s="10"/>
      <c r="KM140" s="10"/>
      <c r="KN140" s="10"/>
      <c r="KO140" s="10"/>
      <c r="KP140" s="10"/>
      <c r="KQ140" s="10"/>
      <c r="KR140" s="10"/>
      <c r="KS140" s="10"/>
      <c r="KT140" s="10"/>
      <c r="KU140" s="10"/>
      <c r="KV140" s="10"/>
      <c r="KW140" s="10"/>
      <c r="KX140" s="10"/>
      <c r="KY140" s="10"/>
      <c r="KZ140" s="10"/>
      <c r="LA140" s="10"/>
      <c r="LB140" s="10"/>
      <c r="LC140" s="10"/>
      <c r="LD140" s="10"/>
    </row>
    <row r="141" spans="1:316" ht="15.75" customHeight="1" x14ac:dyDescent="0.25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6"/>
      <c r="BY141" s="6"/>
      <c r="BZ141" s="6"/>
      <c r="CA141" s="6"/>
      <c r="CB141" s="6"/>
      <c r="CC141" s="6"/>
      <c r="CD141" s="6"/>
      <c r="CE141" s="6"/>
      <c r="CF141" s="6"/>
      <c r="CG141" s="6"/>
      <c r="CH141" s="6"/>
      <c r="CI141" s="6"/>
      <c r="CJ141" s="6"/>
      <c r="CK141" s="6"/>
      <c r="CL141" s="6"/>
      <c r="CM141" s="6"/>
      <c r="CN141" s="6"/>
      <c r="CO141" s="6"/>
      <c r="CP141" s="6"/>
      <c r="CQ141" s="6"/>
      <c r="CR141" s="6"/>
      <c r="CS141" s="6"/>
      <c r="CT141" s="6"/>
      <c r="CU141" s="6"/>
      <c r="CV141" s="6"/>
      <c r="CW141" s="6"/>
      <c r="CX141" s="6"/>
      <c r="CY141" s="6"/>
      <c r="CZ141" s="6"/>
      <c r="DA141" s="6"/>
      <c r="DB141" s="6"/>
      <c r="DC141" s="6"/>
      <c r="DD141" s="6"/>
      <c r="DE141" s="6"/>
      <c r="DF141" s="6"/>
      <c r="DG141" s="6"/>
      <c r="DH141" s="6"/>
      <c r="DI141" s="6"/>
      <c r="DJ141" s="6"/>
      <c r="DK141" s="6"/>
      <c r="DL141" s="6"/>
      <c r="DM141" s="6"/>
      <c r="DN141" s="6"/>
      <c r="DO141" s="6"/>
      <c r="DP141" s="6"/>
      <c r="DQ141" s="6"/>
      <c r="DR141" s="6"/>
      <c r="DS141" s="6"/>
      <c r="DT141" s="6"/>
      <c r="DU141" s="6"/>
      <c r="DV141" s="6"/>
      <c r="DW141" s="6"/>
      <c r="DX141" s="6"/>
      <c r="DY141" s="6"/>
      <c r="DZ141" s="6"/>
      <c r="EA141" s="6"/>
      <c r="EB141" s="6"/>
      <c r="EC141" s="6"/>
      <c r="ED141" s="6"/>
      <c r="EE141" s="6"/>
      <c r="KK141" s="10"/>
      <c r="KL141" s="10"/>
      <c r="KM141" s="10"/>
      <c r="KN141" s="10"/>
      <c r="KO141" s="10"/>
      <c r="KP141" s="10"/>
      <c r="KQ141" s="10"/>
      <c r="KR141" s="10"/>
      <c r="KS141" s="10"/>
      <c r="KT141" s="10"/>
      <c r="KU141" s="10"/>
      <c r="KV141" s="10"/>
      <c r="KW141" s="10"/>
      <c r="KX141" s="10"/>
      <c r="KY141" s="10"/>
      <c r="KZ141" s="10"/>
      <c r="LA141" s="10"/>
      <c r="LB141" s="10"/>
      <c r="LC141" s="10"/>
      <c r="LD141" s="10"/>
    </row>
    <row r="142" spans="1:316" ht="15.75" customHeight="1" x14ac:dyDescent="0.25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6"/>
      <c r="BY142" s="6"/>
      <c r="BZ142" s="6"/>
      <c r="CA142" s="6"/>
      <c r="CB142" s="6"/>
      <c r="CC142" s="6"/>
      <c r="CD142" s="6"/>
      <c r="CE142" s="6"/>
      <c r="CF142" s="6"/>
      <c r="CG142" s="6"/>
      <c r="CH142" s="6"/>
      <c r="CI142" s="6"/>
      <c r="CJ142" s="6"/>
      <c r="CK142" s="6"/>
      <c r="CL142" s="6"/>
      <c r="CM142" s="6"/>
      <c r="CN142" s="6"/>
      <c r="CO142" s="6"/>
      <c r="CP142" s="6"/>
      <c r="CQ142" s="6"/>
      <c r="CR142" s="6"/>
      <c r="CS142" s="6"/>
      <c r="CT142" s="6"/>
      <c r="CU142" s="6"/>
      <c r="CV142" s="6"/>
      <c r="CW142" s="6"/>
      <c r="CX142" s="6"/>
      <c r="CY142" s="6"/>
      <c r="CZ142" s="6"/>
      <c r="DA142" s="6"/>
      <c r="DB142" s="6"/>
      <c r="DC142" s="6"/>
      <c r="DD142" s="6"/>
      <c r="DE142" s="6"/>
      <c r="DF142" s="6"/>
      <c r="DG142" s="6"/>
      <c r="DH142" s="6"/>
      <c r="DI142" s="6"/>
      <c r="DJ142" s="6"/>
      <c r="DK142" s="6"/>
      <c r="DL142" s="6"/>
      <c r="DM142" s="6"/>
      <c r="DN142" s="6"/>
      <c r="DO142" s="6"/>
      <c r="DP142" s="6"/>
      <c r="DQ142" s="6"/>
      <c r="DR142" s="6"/>
      <c r="DS142" s="6"/>
      <c r="DT142" s="6"/>
      <c r="DU142" s="6"/>
      <c r="DV142" s="6"/>
      <c r="DW142" s="6"/>
      <c r="DX142" s="6"/>
      <c r="DY142" s="6"/>
      <c r="DZ142" s="6"/>
      <c r="EA142" s="6"/>
      <c r="EB142" s="6"/>
      <c r="EC142" s="6"/>
      <c r="ED142" s="6"/>
      <c r="EE142" s="6"/>
      <c r="KK142" s="10"/>
      <c r="KL142" s="10"/>
      <c r="KM142" s="10"/>
      <c r="KN142" s="10"/>
      <c r="KO142" s="10"/>
      <c r="KP142" s="10"/>
      <c r="KQ142" s="10"/>
      <c r="KR142" s="10"/>
      <c r="KS142" s="10"/>
      <c r="KT142" s="10"/>
      <c r="KU142" s="10"/>
      <c r="KV142" s="10"/>
      <c r="KW142" s="10"/>
      <c r="KX142" s="10"/>
      <c r="KY142" s="10"/>
      <c r="KZ142" s="10"/>
      <c r="LA142" s="10"/>
      <c r="LB142" s="10"/>
      <c r="LC142" s="10"/>
      <c r="LD142" s="10"/>
    </row>
    <row r="143" spans="1:316" ht="15.75" customHeight="1" x14ac:dyDescent="0.25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6"/>
      <c r="BY143" s="6"/>
      <c r="BZ143" s="6"/>
      <c r="CA143" s="6"/>
      <c r="CB143" s="6"/>
      <c r="CC143" s="6"/>
      <c r="CD143" s="6"/>
      <c r="CE143" s="6"/>
      <c r="CF143" s="6"/>
      <c r="CG143" s="6"/>
      <c r="CH143" s="6"/>
      <c r="CI143" s="6"/>
      <c r="CJ143" s="6"/>
      <c r="CK143" s="6"/>
      <c r="CL143" s="6"/>
      <c r="CM143" s="6"/>
      <c r="CN143" s="6"/>
      <c r="CO143" s="6"/>
      <c r="CP143" s="6"/>
      <c r="CQ143" s="6"/>
      <c r="CR143" s="6"/>
      <c r="CS143" s="6"/>
      <c r="CT143" s="6"/>
      <c r="CU143" s="6"/>
      <c r="CV143" s="6"/>
      <c r="CW143" s="6"/>
      <c r="CX143" s="6"/>
      <c r="CY143" s="6"/>
      <c r="CZ143" s="6"/>
      <c r="DA143" s="6"/>
      <c r="DB143" s="6"/>
      <c r="DC143" s="6"/>
      <c r="DD143" s="6"/>
      <c r="DE143" s="6"/>
      <c r="DF143" s="6"/>
      <c r="DG143" s="6"/>
      <c r="DH143" s="6"/>
      <c r="DI143" s="6"/>
      <c r="DJ143" s="6"/>
      <c r="DK143" s="6"/>
      <c r="DL143" s="6"/>
      <c r="DM143" s="6"/>
      <c r="DN143" s="6"/>
      <c r="DO143" s="6"/>
      <c r="DP143" s="6"/>
      <c r="DQ143" s="6"/>
      <c r="DR143" s="6"/>
      <c r="DS143" s="6"/>
      <c r="DT143" s="6"/>
      <c r="DU143" s="6"/>
      <c r="DV143" s="6"/>
      <c r="DW143" s="6"/>
      <c r="DX143" s="6"/>
      <c r="DY143" s="6"/>
      <c r="DZ143" s="6"/>
      <c r="EA143" s="6"/>
      <c r="EB143" s="6"/>
      <c r="EC143" s="6"/>
      <c r="ED143" s="6"/>
      <c r="EE143" s="6"/>
      <c r="KK143" s="10"/>
      <c r="KL143" s="10"/>
      <c r="KM143" s="10"/>
      <c r="KN143" s="10"/>
      <c r="KO143" s="10"/>
      <c r="KP143" s="10"/>
      <c r="KQ143" s="10"/>
      <c r="KR143" s="10"/>
      <c r="KS143" s="10"/>
      <c r="KT143" s="10"/>
      <c r="KU143" s="10"/>
      <c r="KV143" s="10"/>
      <c r="KW143" s="10"/>
      <c r="KX143" s="10"/>
      <c r="KY143" s="10"/>
      <c r="KZ143" s="10"/>
      <c r="LA143" s="10"/>
      <c r="LB143" s="10"/>
      <c r="LC143" s="10"/>
      <c r="LD143" s="10"/>
    </row>
    <row r="144" spans="1:316" ht="15.75" customHeight="1" x14ac:dyDescent="0.25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6"/>
      <c r="BY144" s="6"/>
      <c r="BZ144" s="6"/>
      <c r="CA144" s="6"/>
      <c r="CB144" s="6"/>
      <c r="CC144" s="6"/>
      <c r="CD144" s="6"/>
      <c r="CE144" s="6"/>
      <c r="CF144" s="6"/>
      <c r="CG144" s="6"/>
      <c r="CH144" s="6"/>
      <c r="CI144" s="6"/>
      <c r="CJ144" s="6"/>
      <c r="CK144" s="6"/>
      <c r="CL144" s="6"/>
      <c r="CM144" s="6"/>
      <c r="CN144" s="6"/>
      <c r="CO144" s="6"/>
      <c r="CP144" s="6"/>
      <c r="CQ144" s="6"/>
      <c r="CR144" s="6"/>
      <c r="CS144" s="6"/>
      <c r="CT144" s="6"/>
      <c r="CU144" s="6"/>
      <c r="CV144" s="6"/>
      <c r="CW144" s="6"/>
      <c r="CX144" s="6"/>
      <c r="CY144" s="6"/>
      <c r="CZ144" s="6"/>
      <c r="DA144" s="6"/>
      <c r="DB144" s="6"/>
      <c r="DC144" s="6"/>
      <c r="DD144" s="6"/>
      <c r="DE144" s="6"/>
      <c r="DF144" s="6"/>
      <c r="DG144" s="6"/>
      <c r="DH144" s="6"/>
      <c r="DI144" s="6"/>
      <c r="DJ144" s="6"/>
      <c r="DK144" s="6"/>
      <c r="DL144" s="6"/>
      <c r="DM144" s="6"/>
      <c r="DN144" s="6"/>
      <c r="DO144" s="6"/>
      <c r="DP144" s="6"/>
      <c r="DQ144" s="6"/>
      <c r="DR144" s="6"/>
      <c r="DS144" s="6"/>
      <c r="DT144" s="6"/>
      <c r="DU144" s="6"/>
      <c r="DV144" s="6"/>
      <c r="DW144" s="6"/>
      <c r="DX144" s="6"/>
      <c r="DY144" s="6"/>
      <c r="DZ144" s="6"/>
      <c r="EA144" s="6"/>
      <c r="EB144" s="6"/>
      <c r="EC144" s="6"/>
      <c r="ED144" s="6"/>
      <c r="EE144" s="6"/>
      <c r="KK144" s="10"/>
      <c r="KL144" s="10"/>
      <c r="KM144" s="10"/>
      <c r="KN144" s="10"/>
      <c r="KO144" s="10"/>
      <c r="KP144" s="10"/>
      <c r="KQ144" s="10"/>
      <c r="KR144" s="10"/>
      <c r="KS144" s="10"/>
      <c r="KT144" s="10"/>
      <c r="KU144" s="10"/>
      <c r="KV144" s="10"/>
      <c r="KW144" s="10"/>
      <c r="KX144" s="10"/>
      <c r="KY144" s="10"/>
      <c r="KZ144" s="10"/>
      <c r="LA144" s="10"/>
      <c r="LB144" s="10"/>
      <c r="LC144" s="10"/>
      <c r="LD144" s="10"/>
    </row>
    <row r="145" spans="1:316" ht="15.75" customHeight="1" x14ac:dyDescent="0.25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6"/>
      <c r="BY145" s="6"/>
      <c r="BZ145" s="6"/>
      <c r="CA145" s="6"/>
      <c r="CB145" s="6"/>
      <c r="CC145" s="6"/>
      <c r="CD145" s="6"/>
      <c r="CE145" s="6"/>
      <c r="CF145" s="6"/>
      <c r="CG145" s="6"/>
      <c r="CH145" s="6"/>
      <c r="CI145" s="6"/>
      <c r="CJ145" s="6"/>
      <c r="CK145" s="6"/>
      <c r="CL145" s="6"/>
      <c r="CM145" s="6"/>
      <c r="CN145" s="6"/>
      <c r="CO145" s="6"/>
      <c r="CP145" s="6"/>
      <c r="CQ145" s="6"/>
      <c r="CR145" s="6"/>
      <c r="CS145" s="6"/>
      <c r="CT145" s="6"/>
      <c r="CU145" s="6"/>
      <c r="CV145" s="6"/>
      <c r="CW145" s="6"/>
      <c r="CX145" s="6"/>
      <c r="CY145" s="6"/>
      <c r="CZ145" s="6"/>
      <c r="DA145" s="6"/>
      <c r="DB145" s="6"/>
      <c r="DC145" s="6"/>
      <c r="DD145" s="6"/>
      <c r="DE145" s="6"/>
      <c r="DF145" s="6"/>
      <c r="DG145" s="6"/>
      <c r="DH145" s="6"/>
      <c r="DI145" s="6"/>
      <c r="DJ145" s="6"/>
      <c r="DK145" s="6"/>
      <c r="DL145" s="6"/>
      <c r="DM145" s="6"/>
      <c r="DN145" s="6"/>
      <c r="DO145" s="6"/>
      <c r="DP145" s="6"/>
      <c r="DQ145" s="6"/>
      <c r="DR145" s="6"/>
      <c r="DS145" s="6"/>
      <c r="DT145" s="6"/>
      <c r="DU145" s="6"/>
      <c r="DV145" s="6"/>
      <c r="DW145" s="6"/>
      <c r="DX145" s="6"/>
      <c r="DY145" s="6"/>
      <c r="DZ145" s="6"/>
      <c r="EA145" s="6"/>
      <c r="EB145" s="6"/>
      <c r="EC145" s="6"/>
      <c r="ED145" s="6"/>
      <c r="EE145" s="6"/>
      <c r="KK145" s="10"/>
      <c r="KL145" s="10"/>
      <c r="KM145" s="10"/>
      <c r="KN145" s="10"/>
      <c r="KO145" s="10"/>
      <c r="KP145" s="10"/>
      <c r="KQ145" s="10"/>
      <c r="KR145" s="10"/>
      <c r="KS145" s="10"/>
      <c r="KT145" s="10"/>
      <c r="KU145" s="10"/>
      <c r="KV145" s="10"/>
      <c r="KW145" s="10"/>
      <c r="KX145" s="10"/>
      <c r="KY145" s="10"/>
      <c r="KZ145" s="10"/>
      <c r="LA145" s="10"/>
      <c r="LB145" s="10"/>
      <c r="LC145" s="10"/>
      <c r="LD145" s="10"/>
    </row>
    <row r="146" spans="1:316" ht="15.75" customHeight="1" x14ac:dyDescent="0.25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6"/>
      <c r="BY146" s="6"/>
      <c r="BZ146" s="6"/>
      <c r="CA146" s="6"/>
      <c r="CB146" s="6"/>
      <c r="CC146" s="6"/>
      <c r="CD146" s="6"/>
      <c r="CE146" s="6"/>
      <c r="CF146" s="6"/>
      <c r="CG146" s="6"/>
      <c r="CH146" s="6"/>
      <c r="CI146" s="6"/>
      <c r="CJ146" s="6"/>
      <c r="CK146" s="6"/>
      <c r="CL146" s="6"/>
      <c r="CM146" s="6"/>
      <c r="CN146" s="6"/>
      <c r="CO146" s="6"/>
      <c r="CP146" s="6"/>
      <c r="CQ146" s="6"/>
      <c r="CR146" s="6"/>
      <c r="CS146" s="6"/>
      <c r="CT146" s="6"/>
      <c r="CU146" s="6"/>
      <c r="CV146" s="6"/>
      <c r="CW146" s="6"/>
      <c r="CX146" s="6"/>
      <c r="CY146" s="6"/>
      <c r="CZ146" s="6"/>
      <c r="DA146" s="6"/>
      <c r="DB146" s="6"/>
      <c r="DC146" s="6"/>
      <c r="DD146" s="6"/>
      <c r="DE146" s="6"/>
      <c r="DF146" s="6"/>
      <c r="DG146" s="6"/>
      <c r="DH146" s="6"/>
      <c r="DI146" s="6"/>
      <c r="DJ146" s="6"/>
      <c r="DK146" s="6"/>
      <c r="DL146" s="6"/>
      <c r="DM146" s="6"/>
      <c r="DN146" s="6"/>
      <c r="DO146" s="6"/>
      <c r="DP146" s="6"/>
      <c r="DQ146" s="6"/>
      <c r="DR146" s="6"/>
      <c r="DS146" s="6"/>
      <c r="DT146" s="6"/>
      <c r="DU146" s="6"/>
      <c r="DV146" s="6"/>
      <c r="DW146" s="6"/>
      <c r="DX146" s="6"/>
      <c r="DY146" s="6"/>
      <c r="DZ146" s="6"/>
      <c r="EA146" s="6"/>
      <c r="EB146" s="6"/>
      <c r="EC146" s="6"/>
      <c r="ED146" s="6"/>
      <c r="EE146" s="6"/>
      <c r="KK146" s="10"/>
      <c r="KL146" s="10"/>
      <c r="KM146" s="10"/>
      <c r="KN146" s="10"/>
      <c r="KO146" s="10"/>
      <c r="KP146" s="10"/>
      <c r="KQ146" s="10"/>
      <c r="KR146" s="10"/>
      <c r="KS146" s="10"/>
      <c r="KT146" s="10"/>
      <c r="KU146" s="10"/>
      <c r="KV146" s="10"/>
      <c r="KW146" s="10"/>
      <c r="KX146" s="10"/>
      <c r="KY146" s="10"/>
      <c r="KZ146" s="10"/>
      <c r="LA146" s="10"/>
      <c r="LB146" s="10"/>
      <c r="LC146" s="10"/>
      <c r="LD146" s="10"/>
    </row>
    <row r="147" spans="1:316" ht="15.75" customHeight="1" x14ac:dyDescent="0.25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6"/>
      <c r="BY147" s="6"/>
      <c r="BZ147" s="6"/>
      <c r="CA147" s="6"/>
      <c r="CB147" s="6"/>
      <c r="CC147" s="6"/>
      <c r="CD147" s="6"/>
      <c r="CE147" s="6"/>
      <c r="CF147" s="6"/>
      <c r="CG147" s="6"/>
      <c r="CH147" s="6"/>
      <c r="CI147" s="6"/>
      <c r="CJ147" s="6"/>
      <c r="CK147" s="6"/>
      <c r="CL147" s="6"/>
      <c r="CM147" s="6"/>
      <c r="CN147" s="6"/>
      <c r="CO147" s="6"/>
      <c r="CP147" s="6"/>
      <c r="CQ147" s="6"/>
      <c r="CR147" s="6"/>
      <c r="CS147" s="6"/>
      <c r="CT147" s="6"/>
      <c r="CU147" s="6"/>
      <c r="CV147" s="6"/>
      <c r="CW147" s="6"/>
      <c r="CX147" s="6"/>
      <c r="CY147" s="6"/>
      <c r="CZ147" s="6"/>
      <c r="DA147" s="6"/>
      <c r="DB147" s="6"/>
      <c r="DC147" s="6"/>
      <c r="DD147" s="6"/>
      <c r="DE147" s="6"/>
      <c r="DF147" s="6"/>
      <c r="DG147" s="6"/>
      <c r="DH147" s="6"/>
      <c r="DI147" s="6"/>
      <c r="DJ147" s="6"/>
      <c r="DK147" s="6"/>
      <c r="DL147" s="6"/>
      <c r="DM147" s="6"/>
      <c r="DN147" s="6"/>
      <c r="DO147" s="6"/>
      <c r="DP147" s="6"/>
      <c r="DQ147" s="6"/>
      <c r="DR147" s="6"/>
      <c r="DS147" s="6"/>
      <c r="DT147" s="6"/>
      <c r="DU147" s="6"/>
      <c r="DV147" s="6"/>
      <c r="DW147" s="6"/>
      <c r="DX147" s="6"/>
      <c r="DY147" s="6"/>
      <c r="DZ147" s="6"/>
      <c r="EA147" s="6"/>
      <c r="EB147" s="6"/>
      <c r="EC147" s="6"/>
      <c r="ED147" s="6"/>
      <c r="EE147" s="6"/>
      <c r="KK147" s="10"/>
      <c r="KL147" s="10"/>
      <c r="KM147" s="10"/>
      <c r="KN147" s="10"/>
      <c r="KO147" s="10"/>
      <c r="KP147" s="10"/>
      <c r="KQ147" s="10"/>
      <c r="KR147" s="10"/>
      <c r="KS147" s="10"/>
      <c r="KT147" s="10"/>
      <c r="KU147" s="10"/>
      <c r="KV147" s="10"/>
      <c r="KW147" s="10"/>
      <c r="KX147" s="10"/>
      <c r="KY147" s="10"/>
      <c r="KZ147" s="10"/>
      <c r="LA147" s="10"/>
      <c r="LB147" s="10"/>
      <c r="LC147" s="10"/>
      <c r="LD147" s="10"/>
    </row>
    <row r="148" spans="1:316" ht="15.75" customHeight="1" x14ac:dyDescent="0.25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6"/>
      <c r="BY148" s="6"/>
      <c r="BZ148" s="6"/>
      <c r="CA148" s="6"/>
      <c r="CB148" s="6"/>
      <c r="CC148" s="6"/>
      <c r="CD148" s="6"/>
      <c r="CE148" s="6"/>
      <c r="CF148" s="6"/>
      <c r="CG148" s="6"/>
      <c r="CH148" s="6"/>
      <c r="CI148" s="6"/>
      <c r="CJ148" s="6"/>
      <c r="CK148" s="6"/>
      <c r="CL148" s="6"/>
      <c r="CM148" s="6"/>
      <c r="CN148" s="6"/>
      <c r="CO148" s="6"/>
      <c r="CP148" s="6"/>
      <c r="CQ148" s="6"/>
      <c r="CR148" s="6"/>
      <c r="CS148" s="6"/>
      <c r="CT148" s="6"/>
      <c r="CU148" s="6"/>
      <c r="CV148" s="6"/>
      <c r="CW148" s="6"/>
      <c r="CX148" s="6"/>
      <c r="CY148" s="6"/>
      <c r="CZ148" s="6"/>
      <c r="DA148" s="6"/>
      <c r="DB148" s="6"/>
      <c r="DC148" s="6"/>
      <c r="DD148" s="6"/>
      <c r="DE148" s="6"/>
      <c r="DF148" s="6"/>
      <c r="DG148" s="6"/>
      <c r="DH148" s="6"/>
      <c r="DI148" s="6"/>
      <c r="DJ148" s="6"/>
      <c r="DK148" s="6"/>
      <c r="DL148" s="6"/>
      <c r="DM148" s="6"/>
      <c r="DN148" s="6"/>
      <c r="DO148" s="6"/>
      <c r="DP148" s="6"/>
      <c r="DQ148" s="6"/>
      <c r="DR148" s="6"/>
      <c r="DS148" s="6"/>
      <c r="DT148" s="6"/>
      <c r="DU148" s="6"/>
      <c r="DV148" s="6"/>
      <c r="DW148" s="6"/>
      <c r="DX148" s="6"/>
      <c r="DY148" s="6"/>
      <c r="DZ148" s="6"/>
      <c r="EA148" s="6"/>
      <c r="EB148" s="6"/>
      <c r="EC148" s="6"/>
      <c r="ED148" s="6"/>
      <c r="EE148" s="6"/>
      <c r="KK148" s="10"/>
      <c r="KL148" s="10"/>
      <c r="KM148" s="10"/>
      <c r="KN148" s="10"/>
      <c r="KO148" s="10"/>
      <c r="KP148" s="10"/>
      <c r="KQ148" s="10"/>
      <c r="KR148" s="10"/>
      <c r="KS148" s="10"/>
      <c r="KT148" s="10"/>
      <c r="KU148" s="10"/>
      <c r="KV148" s="10"/>
      <c r="KW148" s="10"/>
      <c r="KX148" s="10"/>
      <c r="KY148" s="10"/>
      <c r="KZ148" s="10"/>
      <c r="LA148" s="10"/>
      <c r="LB148" s="10"/>
      <c r="LC148" s="10"/>
      <c r="LD148" s="10"/>
    </row>
    <row r="149" spans="1:316" ht="15.75" customHeight="1" x14ac:dyDescent="0.25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6"/>
      <c r="BY149" s="6"/>
      <c r="BZ149" s="6"/>
      <c r="CA149" s="6"/>
      <c r="CB149" s="6"/>
      <c r="CC149" s="6"/>
      <c r="CD149" s="6"/>
      <c r="CE149" s="6"/>
      <c r="CF149" s="6"/>
      <c r="CG149" s="6"/>
      <c r="CH149" s="6"/>
      <c r="CI149" s="6"/>
      <c r="CJ149" s="6"/>
      <c r="CK149" s="6"/>
      <c r="CL149" s="6"/>
      <c r="CM149" s="6"/>
      <c r="CN149" s="6"/>
      <c r="CO149" s="6"/>
      <c r="CP149" s="6"/>
      <c r="CQ149" s="6"/>
      <c r="CR149" s="6"/>
      <c r="CS149" s="6"/>
      <c r="CT149" s="6"/>
      <c r="CU149" s="6"/>
      <c r="CV149" s="6"/>
      <c r="CW149" s="6"/>
      <c r="CX149" s="6"/>
      <c r="CY149" s="6"/>
      <c r="CZ149" s="6"/>
      <c r="DA149" s="6"/>
      <c r="DB149" s="6"/>
      <c r="DC149" s="6"/>
      <c r="DD149" s="6"/>
      <c r="DE149" s="6"/>
      <c r="DF149" s="6"/>
      <c r="DG149" s="6"/>
      <c r="DH149" s="6"/>
      <c r="DI149" s="6"/>
      <c r="DJ149" s="6"/>
      <c r="DK149" s="6"/>
      <c r="DL149" s="6"/>
      <c r="DM149" s="6"/>
      <c r="DN149" s="6"/>
      <c r="DO149" s="6"/>
      <c r="DP149" s="6"/>
      <c r="DQ149" s="6"/>
      <c r="DR149" s="6"/>
      <c r="DS149" s="6"/>
      <c r="DT149" s="6"/>
      <c r="DU149" s="6"/>
      <c r="DV149" s="6"/>
      <c r="DW149" s="6"/>
      <c r="DX149" s="6"/>
      <c r="DY149" s="6"/>
      <c r="DZ149" s="6"/>
      <c r="EA149" s="6"/>
      <c r="EB149" s="6"/>
      <c r="EC149" s="6"/>
      <c r="ED149" s="6"/>
      <c r="EE149" s="6"/>
      <c r="KK149" s="10"/>
      <c r="KL149" s="10"/>
      <c r="KM149" s="10"/>
      <c r="KN149" s="10"/>
      <c r="KO149" s="10"/>
      <c r="KP149" s="10"/>
      <c r="KQ149" s="10"/>
      <c r="KR149" s="10"/>
      <c r="KS149" s="10"/>
      <c r="KT149" s="10"/>
      <c r="KU149" s="10"/>
      <c r="KV149" s="10"/>
      <c r="KW149" s="10"/>
      <c r="KX149" s="10"/>
      <c r="KY149" s="10"/>
      <c r="KZ149" s="10"/>
      <c r="LA149" s="10"/>
      <c r="LB149" s="10"/>
      <c r="LC149" s="10"/>
      <c r="LD149" s="10"/>
    </row>
    <row r="150" spans="1:316" ht="15.75" customHeight="1" x14ac:dyDescent="0.25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6"/>
      <c r="BY150" s="6"/>
      <c r="BZ150" s="6"/>
      <c r="CA150" s="6"/>
      <c r="CB150" s="6"/>
      <c r="CC150" s="6"/>
      <c r="CD150" s="6"/>
      <c r="CE150" s="6"/>
      <c r="CF150" s="6"/>
      <c r="CG150" s="6"/>
      <c r="CH150" s="6"/>
      <c r="CI150" s="6"/>
      <c r="CJ150" s="6"/>
      <c r="CK150" s="6"/>
      <c r="CL150" s="6"/>
      <c r="CM150" s="6"/>
      <c r="CN150" s="6"/>
      <c r="CO150" s="6"/>
      <c r="CP150" s="6"/>
      <c r="CQ150" s="6"/>
      <c r="CR150" s="6"/>
      <c r="CS150" s="6"/>
      <c r="CT150" s="6"/>
      <c r="CU150" s="6"/>
      <c r="CV150" s="6"/>
      <c r="CW150" s="6"/>
      <c r="CX150" s="6"/>
      <c r="CY150" s="6"/>
      <c r="CZ150" s="6"/>
      <c r="DA150" s="6"/>
      <c r="DB150" s="6"/>
      <c r="DC150" s="6"/>
      <c r="DD150" s="6"/>
      <c r="DE150" s="6"/>
      <c r="DF150" s="6"/>
      <c r="DG150" s="6"/>
      <c r="DH150" s="6"/>
      <c r="DI150" s="6"/>
      <c r="DJ150" s="6"/>
      <c r="DK150" s="6"/>
      <c r="DL150" s="6"/>
      <c r="DM150" s="6"/>
      <c r="DN150" s="6"/>
      <c r="DO150" s="6"/>
      <c r="DP150" s="6"/>
      <c r="DQ150" s="6"/>
      <c r="DR150" s="6"/>
      <c r="DS150" s="6"/>
      <c r="DT150" s="6"/>
      <c r="DU150" s="6"/>
      <c r="DV150" s="6"/>
      <c r="DW150" s="6"/>
      <c r="DX150" s="6"/>
      <c r="DY150" s="6"/>
      <c r="DZ150" s="6"/>
      <c r="EA150" s="6"/>
      <c r="EB150" s="6"/>
      <c r="EC150" s="6"/>
      <c r="ED150" s="6"/>
      <c r="EE150" s="6"/>
      <c r="KK150" s="10"/>
      <c r="KL150" s="10"/>
      <c r="KM150" s="10"/>
      <c r="KN150" s="10"/>
      <c r="KO150" s="10"/>
      <c r="KP150" s="10"/>
      <c r="KQ150" s="10"/>
      <c r="KR150" s="10"/>
      <c r="KS150" s="10"/>
      <c r="KT150" s="10"/>
      <c r="KU150" s="10"/>
      <c r="KV150" s="10"/>
      <c r="KW150" s="10"/>
      <c r="KX150" s="10"/>
      <c r="KY150" s="10"/>
      <c r="KZ150" s="10"/>
      <c r="LA150" s="10"/>
      <c r="LB150" s="10"/>
      <c r="LC150" s="10"/>
      <c r="LD150" s="10"/>
    </row>
    <row r="151" spans="1:316" ht="15.75" customHeight="1" x14ac:dyDescent="0.25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6"/>
      <c r="BY151" s="6"/>
      <c r="BZ151" s="6"/>
      <c r="CA151" s="6"/>
      <c r="CB151" s="6"/>
      <c r="CC151" s="6"/>
      <c r="CD151" s="6"/>
      <c r="CE151" s="6"/>
      <c r="CF151" s="6"/>
      <c r="CG151" s="6"/>
      <c r="CH151" s="6"/>
      <c r="CI151" s="6"/>
      <c r="CJ151" s="6"/>
      <c r="CK151" s="6"/>
      <c r="CL151" s="6"/>
      <c r="CM151" s="6"/>
      <c r="CN151" s="6"/>
      <c r="CO151" s="6"/>
      <c r="CP151" s="6"/>
      <c r="CQ151" s="6"/>
      <c r="CR151" s="6"/>
      <c r="CS151" s="6"/>
      <c r="CT151" s="6"/>
      <c r="CU151" s="6"/>
      <c r="CV151" s="6"/>
      <c r="CW151" s="6"/>
      <c r="CX151" s="6"/>
      <c r="CY151" s="6"/>
      <c r="CZ151" s="6"/>
      <c r="DA151" s="6"/>
      <c r="DB151" s="6"/>
      <c r="DC151" s="6"/>
      <c r="DD151" s="6"/>
      <c r="DE151" s="6"/>
      <c r="DF151" s="6"/>
      <c r="DG151" s="6"/>
      <c r="DH151" s="6"/>
      <c r="DI151" s="6"/>
      <c r="DJ151" s="6"/>
      <c r="DK151" s="6"/>
      <c r="DL151" s="6"/>
      <c r="DM151" s="6"/>
      <c r="DN151" s="6"/>
      <c r="DO151" s="6"/>
      <c r="DP151" s="6"/>
      <c r="DQ151" s="6"/>
      <c r="DR151" s="6"/>
      <c r="DS151" s="6"/>
      <c r="DT151" s="6"/>
      <c r="DU151" s="6"/>
      <c r="DV151" s="6"/>
      <c r="DW151" s="6"/>
      <c r="DX151" s="6"/>
      <c r="DY151" s="6"/>
      <c r="DZ151" s="6"/>
      <c r="EA151" s="6"/>
      <c r="EB151" s="6"/>
      <c r="EC151" s="6"/>
      <c r="ED151" s="6"/>
      <c r="EE151" s="6"/>
      <c r="KK151" s="10"/>
      <c r="KL151" s="10"/>
      <c r="KM151" s="10"/>
      <c r="KN151" s="10"/>
      <c r="KO151" s="10"/>
      <c r="KP151" s="10"/>
      <c r="KQ151" s="10"/>
      <c r="KR151" s="10"/>
      <c r="KS151" s="10"/>
      <c r="KT151" s="10"/>
      <c r="KU151" s="10"/>
      <c r="KV151" s="10"/>
      <c r="KW151" s="10"/>
      <c r="KX151" s="10"/>
      <c r="KY151" s="10"/>
      <c r="KZ151" s="10"/>
      <c r="LA151" s="10"/>
      <c r="LB151" s="10"/>
      <c r="LC151" s="10"/>
      <c r="LD151" s="10"/>
    </row>
    <row r="152" spans="1:316" ht="15.75" customHeight="1" x14ac:dyDescent="0.25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6"/>
      <c r="BY152" s="6"/>
      <c r="BZ152" s="6"/>
      <c r="CA152" s="6"/>
      <c r="CB152" s="6"/>
      <c r="CC152" s="6"/>
      <c r="CD152" s="6"/>
      <c r="CE152" s="6"/>
      <c r="CF152" s="6"/>
      <c r="CG152" s="6"/>
      <c r="CH152" s="6"/>
      <c r="CI152" s="6"/>
      <c r="CJ152" s="6"/>
      <c r="CK152" s="6"/>
      <c r="CL152" s="6"/>
      <c r="CM152" s="6"/>
      <c r="CN152" s="6"/>
      <c r="CO152" s="6"/>
      <c r="CP152" s="6"/>
      <c r="CQ152" s="6"/>
      <c r="CR152" s="6"/>
      <c r="CS152" s="6"/>
      <c r="CT152" s="6"/>
      <c r="CU152" s="6"/>
      <c r="CV152" s="6"/>
      <c r="CW152" s="6"/>
      <c r="CX152" s="6"/>
      <c r="CY152" s="6"/>
      <c r="CZ152" s="6"/>
      <c r="DA152" s="6"/>
      <c r="DB152" s="6"/>
      <c r="DC152" s="6"/>
      <c r="DD152" s="6"/>
      <c r="DE152" s="6"/>
      <c r="DF152" s="6"/>
      <c r="DG152" s="6"/>
      <c r="DH152" s="6"/>
      <c r="DI152" s="6"/>
      <c r="DJ152" s="6"/>
      <c r="DK152" s="6"/>
      <c r="DL152" s="6"/>
      <c r="DM152" s="6"/>
      <c r="DN152" s="6"/>
      <c r="DO152" s="6"/>
      <c r="DP152" s="6"/>
      <c r="DQ152" s="6"/>
      <c r="DR152" s="6"/>
      <c r="DS152" s="6"/>
      <c r="DT152" s="6"/>
      <c r="DU152" s="6"/>
      <c r="DV152" s="6"/>
      <c r="DW152" s="6"/>
      <c r="DX152" s="6"/>
      <c r="DY152" s="6"/>
      <c r="DZ152" s="6"/>
      <c r="EA152" s="6"/>
      <c r="EB152" s="6"/>
      <c r="EC152" s="6"/>
      <c r="ED152" s="6"/>
      <c r="EE152" s="6"/>
      <c r="KK152" s="10"/>
      <c r="KL152" s="10"/>
      <c r="KM152" s="10"/>
      <c r="KN152" s="10"/>
      <c r="KO152" s="10"/>
      <c r="KP152" s="10"/>
      <c r="KQ152" s="10"/>
      <c r="KR152" s="10"/>
      <c r="KS152" s="10"/>
      <c r="KT152" s="10"/>
      <c r="KU152" s="10"/>
      <c r="KV152" s="10"/>
      <c r="KW152" s="10"/>
      <c r="KX152" s="10"/>
      <c r="KY152" s="10"/>
      <c r="KZ152" s="10"/>
      <c r="LA152" s="10"/>
      <c r="LB152" s="10"/>
      <c r="LC152" s="10"/>
      <c r="LD152" s="10"/>
    </row>
    <row r="153" spans="1:316" ht="15.75" customHeight="1" x14ac:dyDescent="0.25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6"/>
      <c r="BY153" s="6"/>
      <c r="BZ153" s="6"/>
      <c r="CA153" s="6"/>
      <c r="CB153" s="6"/>
      <c r="CC153" s="6"/>
      <c r="CD153" s="6"/>
      <c r="CE153" s="6"/>
      <c r="CF153" s="6"/>
      <c r="CG153" s="6"/>
      <c r="CH153" s="6"/>
      <c r="CI153" s="6"/>
      <c r="CJ153" s="6"/>
      <c r="CK153" s="6"/>
      <c r="CL153" s="6"/>
      <c r="CM153" s="6"/>
      <c r="CN153" s="6"/>
      <c r="CO153" s="6"/>
      <c r="CP153" s="6"/>
      <c r="CQ153" s="6"/>
      <c r="CR153" s="6"/>
      <c r="CS153" s="6"/>
      <c r="CT153" s="6"/>
      <c r="CU153" s="6"/>
      <c r="CV153" s="6"/>
      <c r="CW153" s="6"/>
      <c r="CX153" s="6"/>
      <c r="CY153" s="6"/>
      <c r="CZ153" s="6"/>
      <c r="DA153" s="6"/>
      <c r="DB153" s="6"/>
      <c r="DC153" s="6"/>
      <c r="DD153" s="6"/>
      <c r="DE153" s="6"/>
      <c r="DF153" s="6"/>
      <c r="DG153" s="6"/>
      <c r="DH153" s="6"/>
      <c r="DI153" s="6"/>
      <c r="DJ153" s="6"/>
      <c r="DK153" s="6"/>
      <c r="DL153" s="6"/>
      <c r="DM153" s="6"/>
      <c r="DN153" s="6"/>
      <c r="DO153" s="6"/>
      <c r="DP153" s="6"/>
      <c r="DQ153" s="6"/>
      <c r="DR153" s="6"/>
      <c r="DS153" s="6"/>
      <c r="DT153" s="6"/>
      <c r="DU153" s="6"/>
      <c r="DV153" s="6"/>
      <c r="DW153" s="6"/>
      <c r="DX153" s="6"/>
      <c r="DY153" s="6"/>
      <c r="DZ153" s="6"/>
      <c r="EA153" s="6"/>
      <c r="EB153" s="6"/>
      <c r="EC153" s="6"/>
      <c r="ED153" s="6"/>
      <c r="EE153" s="6"/>
      <c r="KK153" s="10"/>
      <c r="KL153" s="10"/>
      <c r="KM153" s="10"/>
      <c r="KN153" s="10"/>
      <c r="KO153" s="10"/>
      <c r="KP153" s="10"/>
      <c r="KQ153" s="10"/>
      <c r="KR153" s="10"/>
      <c r="KS153" s="10"/>
      <c r="KT153" s="10"/>
      <c r="KU153" s="10"/>
      <c r="KV153" s="10"/>
      <c r="KW153" s="10"/>
      <c r="KX153" s="10"/>
      <c r="KY153" s="10"/>
      <c r="KZ153" s="10"/>
      <c r="LA153" s="10"/>
      <c r="LB153" s="10"/>
      <c r="LC153" s="10"/>
      <c r="LD153" s="10"/>
    </row>
    <row r="154" spans="1:316" ht="15.75" customHeight="1" x14ac:dyDescent="0.25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6"/>
      <c r="BY154" s="6"/>
      <c r="BZ154" s="6"/>
      <c r="CA154" s="6"/>
      <c r="CB154" s="6"/>
      <c r="CC154" s="6"/>
      <c r="CD154" s="6"/>
      <c r="CE154" s="6"/>
      <c r="CF154" s="6"/>
      <c r="CG154" s="6"/>
      <c r="CH154" s="6"/>
      <c r="CI154" s="6"/>
      <c r="CJ154" s="6"/>
      <c r="CK154" s="6"/>
      <c r="CL154" s="6"/>
      <c r="CM154" s="6"/>
      <c r="CN154" s="6"/>
      <c r="CO154" s="6"/>
      <c r="CP154" s="6"/>
      <c r="CQ154" s="6"/>
      <c r="CR154" s="6"/>
      <c r="CS154" s="6"/>
      <c r="CT154" s="6"/>
      <c r="CU154" s="6"/>
      <c r="CV154" s="6"/>
      <c r="CW154" s="6"/>
      <c r="CX154" s="6"/>
      <c r="CY154" s="6"/>
      <c r="CZ154" s="6"/>
      <c r="DA154" s="6"/>
      <c r="DB154" s="6"/>
      <c r="DC154" s="6"/>
      <c r="DD154" s="6"/>
      <c r="DE154" s="6"/>
      <c r="DF154" s="6"/>
      <c r="DG154" s="6"/>
      <c r="DH154" s="6"/>
      <c r="DI154" s="6"/>
      <c r="DJ154" s="6"/>
      <c r="DK154" s="6"/>
      <c r="DL154" s="6"/>
      <c r="DM154" s="6"/>
      <c r="DN154" s="6"/>
      <c r="DO154" s="6"/>
      <c r="DP154" s="6"/>
      <c r="DQ154" s="6"/>
      <c r="DR154" s="6"/>
      <c r="DS154" s="6"/>
      <c r="DT154" s="6"/>
      <c r="DU154" s="6"/>
      <c r="DV154" s="6"/>
      <c r="DW154" s="6"/>
      <c r="DX154" s="6"/>
      <c r="DY154" s="6"/>
      <c r="DZ154" s="6"/>
      <c r="EA154" s="6"/>
      <c r="EB154" s="6"/>
      <c r="EC154" s="6"/>
      <c r="ED154" s="6"/>
      <c r="EE154" s="6"/>
      <c r="KK154" s="10"/>
      <c r="KL154" s="10"/>
      <c r="KM154" s="10"/>
      <c r="KN154" s="10"/>
      <c r="KO154" s="10"/>
      <c r="KP154" s="10"/>
      <c r="KQ154" s="10"/>
      <c r="KR154" s="10"/>
      <c r="KS154" s="10"/>
      <c r="KT154" s="10"/>
      <c r="KU154" s="10"/>
      <c r="KV154" s="10"/>
      <c r="KW154" s="10"/>
      <c r="KX154" s="10"/>
      <c r="KY154" s="10"/>
      <c r="KZ154" s="10"/>
      <c r="LA154" s="10"/>
      <c r="LB154" s="10"/>
      <c r="LC154" s="10"/>
      <c r="LD154" s="10"/>
    </row>
    <row r="155" spans="1:316" ht="15.75" customHeight="1" x14ac:dyDescent="0.25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6"/>
      <c r="BY155" s="6"/>
      <c r="BZ155" s="6"/>
      <c r="CA155" s="6"/>
      <c r="CB155" s="6"/>
      <c r="CC155" s="6"/>
      <c r="CD155" s="6"/>
      <c r="CE155" s="6"/>
      <c r="CF155" s="6"/>
      <c r="CG155" s="6"/>
      <c r="CH155" s="6"/>
      <c r="CI155" s="6"/>
      <c r="CJ155" s="6"/>
      <c r="CK155" s="6"/>
      <c r="CL155" s="6"/>
      <c r="CM155" s="6"/>
      <c r="CN155" s="6"/>
      <c r="CO155" s="6"/>
      <c r="CP155" s="6"/>
      <c r="CQ155" s="6"/>
      <c r="CR155" s="6"/>
      <c r="CS155" s="6"/>
      <c r="CT155" s="6"/>
      <c r="CU155" s="6"/>
      <c r="CV155" s="6"/>
      <c r="CW155" s="6"/>
      <c r="CX155" s="6"/>
      <c r="CY155" s="6"/>
      <c r="CZ155" s="6"/>
      <c r="DA155" s="6"/>
      <c r="DB155" s="6"/>
      <c r="DC155" s="6"/>
      <c r="DD155" s="6"/>
      <c r="DE155" s="6"/>
      <c r="DF155" s="6"/>
      <c r="DG155" s="6"/>
      <c r="DH155" s="6"/>
      <c r="DI155" s="6"/>
      <c r="DJ155" s="6"/>
      <c r="DK155" s="6"/>
      <c r="DL155" s="6"/>
      <c r="DM155" s="6"/>
      <c r="DN155" s="6"/>
      <c r="DO155" s="6"/>
      <c r="DP155" s="6"/>
      <c r="DQ155" s="6"/>
      <c r="DR155" s="6"/>
      <c r="DS155" s="6"/>
      <c r="DT155" s="6"/>
      <c r="DU155" s="6"/>
      <c r="DV155" s="6"/>
      <c r="DW155" s="6"/>
      <c r="DX155" s="6"/>
      <c r="DY155" s="6"/>
      <c r="DZ155" s="6"/>
      <c r="EA155" s="6"/>
      <c r="EB155" s="6"/>
      <c r="EC155" s="6"/>
      <c r="ED155" s="6"/>
      <c r="EE155" s="6"/>
      <c r="KK155" s="10"/>
      <c r="KL155" s="10"/>
      <c r="KM155" s="10"/>
      <c r="KN155" s="10"/>
      <c r="KO155" s="10"/>
      <c r="KP155" s="10"/>
      <c r="KQ155" s="10"/>
      <c r="KR155" s="10"/>
      <c r="KS155" s="10"/>
      <c r="KT155" s="10"/>
      <c r="KU155" s="10"/>
      <c r="KV155" s="10"/>
      <c r="KW155" s="10"/>
      <c r="KX155" s="10"/>
      <c r="KY155" s="10"/>
      <c r="KZ155" s="10"/>
      <c r="LA155" s="10"/>
      <c r="LB155" s="10"/>
      <c r="LC155" s="10"/>
      <c r="LD155" s="10"/>
    </row>
    <row r="156" spans="1:316" ht="15.75" customHeight="1" x14ac:dyDescent="0.25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6"/>
      <c r="BY156" s="6"/>
      <c r="BZ156" s="6"/>
      <c r="CA156" s="6"/>
      <c r="CB156" s="6"/>
      <c r="CC156" s="6"/>
      <c r="CD156" s="6"/>
      <c r="CE156" s="6"/>
      <c r="CF156" s="6"/>
      <c r="CG156" s="6"/>
      <c r="CH156" s="6"/>
      <c r="CI156" s="6"/>
      <c r="CJ156" s="6"/>
      <c r="CK156" s="6"/>
      <c r="CL156" s="6"/>
      <c r="CM156" s="6"/>
      <c r="CN156" s="6"/>
      <c r="CO156" s="6"/>
      <c r="CP156" s="6"/>
      <c r="CQ156" s="6"/>
      <c r="CR156" s="6"/>
      <c r="CS156" s="6"/>
      <c r="CT156" s="6"/>
      <c r="CU156" s="6"/>
      <c r="CV156" s="6"/>
      <c r="CW156" s="6"/>
      <c r="CX156" s="6"/>
      <c r="CY156" s="6"/>
      <c r="CZ156" s="6"/>
      <c r="DA156" s="6"/>
      <c r="DB156" s="6"/>
      <c r="DC156" s="6"/>
      <c r="DD156" s="6"/>
      <c r="DE156" s="6"/>
      <c r="DF156" s="6"/>
      <c r="DG156" s="6"/>
      <c r="DH156" s="6"/>
      <c r="DI156" s="6"/>
      <c r="DJ156" s="6"/>
      <c r="DK156" s="6"/>
      <c r="DL156" s="6"/>
      <c r="DM156" s="6"/>
      <c r="DN156" s="6"/>
      <c r="DO156" s="6"/>
      <c r="DP156" s="6"/>
      <c r="DQ156" s="6"/>
      <c r="DR156" s="6"/>
      <c r="DS156" s="6"/>
      <c r="DT156" s="6"/>
      <c r="DU156" s="6"/>
      <c r="DV156" s="6"/>
      <c r="DW156" s="6"/>
      <c r="DX156" s="6"/>
      <c r="DY156" s="6"/>
      <c r="DZ156" s="6"/>
      <c r="EA156" s="6"/>
      <c r="EB156" s="6"/>
      <c r="EC156" s="6"/>
      <c r="ED156" s="6"/>
      <c r="EE156" s="6"/>
      <c r="KK156" s="10"/>
      <c r="KL156" s="10"/>
      <c r="KM156" s="10"/>
      <c r="KN156" s="10"/>
      <c r="KO156" s="10"/>
      <c r="KP156" s="10"/>
      <c r="KQ156" s="10"/>
      <c r="KR156" s="10"/>
      <c r="KS156" s="10"/>
      <c r="KT156" s="10"/>
      <c r="KU156" s="10"/>
      <c r="KV156" s="10"/>
      <c r="KW156" s="10"/>
      <c r="KX156" s="10"/>
      <c r="KY156" s="10"/>
      <c r="KZ156" s="10"/>
      <c r="LA156" s="10"/>
      <c r="LB156" s="10"/>
      <c r="LC156" s="10"/>
      <c r="LD156" s="10"/>
    </row>
    <row r="157" spans="1:316" ht="15.75" customHeight="1" x14ac:dyDescent="0.25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6"/>
      <c r="BY157" s="6"/>
      <c r="BZ157" s="6"/>
      <c r="CA157" s="6"/>
      <c r="CB157" s="6"/>
      <c r="CC157" s="6"/>
      <c r="CD157" s="6"/>
      <c r="CE157" s="6"/>
      <c r="CF157" s="6"/>
      <c r="CG157" s="6"/>
      <c r="CH157" s="6"/>
      <c r="CI157" s="6"/>
      <c r="CJ157" s="6"/>
      <c r="CK157" s="6"/>
      <c r="CL157" s="6"/>
      <c r="CM157" s="6"/>
      <c r="CN157" s="6"/>
      <c r="CO157" s="6"/>
      <c r="CP157" s="6"/>
      <c r="CQ157" s="6"/>
      <c r="CR157" s="6"/>
      <c r="CS157" s="6"/>
      <c r="CT157" s="6"/>
      <c r="CU157" s="6"/>
      <c r="CV157" s="6"/>
      <c r="CW157" s="6"/>
      <c r="CX157" s="6"/>
      <c r="CY157" s="6"/>
      <c r="CZ157" s="6"/>
      <c r="DA157" s="6"/>
      <c r="DB157" s="6"/>
      <c r="DC157" s="6"/>
      <c r="DD157" s="6"/>
      <c r="DE157" s="6"/>
      <c r="DF157" s="6"/>
      <c r="DG157" s="6"/>
      <c r="DH157" s="6"/>
      <c r="DI157" s="6"/>
      <c r="DJ157" s="6"/>
      <c r="DK157" s="6"/>
      <c r="DL157" s="6"/>
      <c r="DM157" s="6"/>
      <c r="DN157" s="6"/>
      <c r="DO157" s="6"/>
      <c r="DP157" s="6"/>
      <c r="DQ157" s="6"/>
      <c r="DR157" s="6"/>
      <c r="DS157" s="6"/>
      <c r="DT157" s="6"/>
      <c r="DU157" s="6"/>
      <c r="DV157" s="6"/>
      <c r="DW157" s="6"/>
      <c r="DX157" s="6"/>
      <c r="DY157" s="6"/>
      <c r="DZ157" s="6"/>
      <c r="EA157" s="6"/>
      <c r="EB157" s="6"/>
      <c r="EC157" s="6"/>
      <c r="ED157" s="6"/>
      <c r="EE157" s="6"/>
      <c r="KK157" s="10"/>
      <c r="KL157" s="10"/>
      <c r="KM157" s="10"/>
      <c r="KN157" s="10"/>
      <c r="KO157" s="10"/>
      <c r="KP157" s="10"/>
      <c r="KQ157" s="10"/>
      <c r="KR157" s="10"/>
      <c r="KS157" s="10"/>
      <c r="KT157" s="10"/>
      <c r="KU157" s="10"/>
      <c r="KV157" s="10"/>
      <c r="KW157" s="10"/>
      <c r="KX157" s="10"/>
      <c r="KY157" s="10"/>
      <c r="KZ157" s="10"/>
      <c r="LA157" s="10"/>
      <c r="LB157" s="10"/>
      <c r="LC157" s="10"/>
      <c r="LD157" s="10"/>
    </row>
    <row r="158" spans="1:316" ht="15.75" customHeight="1" x14ac:dyDescent="0.25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6"/>
      <c r="BY158" s="6"/>
      <c r="BZ158" s="6"/>
      <c r="CA158" s="6"/>
      <c r="CB158" s="6"/>
      <c r="CC158" s="6"/>
      <c r="CD158" s="6"/>
      <c r="CE158" s="6"/>
      <c r="CF158" s="6"/>
      <c r="CG158" s="6"/>
      <c r="CH158" s="6"/>
      <c r="CI158" s="6"/>
      <c r="CJ158" s="6"/>
      <c r="CK158" s="6"/>
      <c r="CL158" s="6"/>
      <c r="CM158" s="6"/>
      <c r="CN158" s="6"/>
      <c r="CO158" s="6"/>
      <c r="CP158" s="6"/>
      <c r="CQ158" s="6"/>
      <c r="CR158" s="6"/>
      <c r="CS158" s="6"/>
      <c r="CT158" s="6"/>
      <c r="CU158" s="6"/>
      <c r="CV158" s="6"/>
      <c r="CW158" s="6"/>
      <c r="CX158" s="6"/>
      <c r="CY158" s="6"/>
      <c r="CZ158" s="6"/>
      <c r="DA158" s="6"/>
      <c r="DB158" s="6"/>
      <c r="DC158" s="6"/>
      <c r="DD158" s="6"/>
      <c r="DE158" s="6"/>
      <c r="DF158" s="6"/>
      <c r="DG158" s="6"/>
      <c r="DH158" s="6"/>
      <c r="DI158" s="6"/>
      <c r="DJ158" s="6"/>
      <c r="DK158" s="6"/>
      <c r="DL158" s="6"/>
      <c r="DM158" s="6"/>
      <c r="DN158" s="6"/>
      <c r="DO158" s="6"/>
      <c r="DP158" s="6"/>
      <c r="DQ158" s="6"/>
      <c r="DR158" s="6"/>
      <c r="DS158" s="6"/>
      <c r="DT158" s="6"/>
      <c r="DU158" s="6"/>
      <c r="DV158" s="6"/>
      <c r="DW158" s="6"/>
      <c r="DX158" s="6"/>
      <c r="DY158" s="6"/>
      <c r="DZ158" s="6"/>
      <c r="EA158" s="6"/>
      <c r="EB158" s="6"/>
      <c r="EC158" s="6"/>
      <c r="ED158" s="6"/>
      <c r="EE158" s="6"/>
      <c r="KK158" s="10"/>
      <c r="KL158" s="10"/>
      <c r="KM158" s="10"/>
      <c r="KN158" s="10"/>
      <c r="KO158" s="10"/>
      <c r="KP158" s="10"/>
      <c r="KQ158" s="10"/>
      <c r="KR158" s="10"/>
      <c r="KS158" s="10"/>
      <c r="KT158" s="10"/>
      <c r="KU158" s="10"/>
      <c r="KV158" s="10"/>
      <c r="KW158" s="10"/>
      <c r="KX158" s="10"/>
      <c r="KY158" s="10"/>
      <c r="KZ158" s="10"/>
      <c r="LA158" s="10"/>
      <c r="LB158" s="10"/>
      <c r="LC158" s="10"/>
      <c r="LD158" s="10"/>
    </row>
    <row r="159" spans="1:316" ht="15.75" customHeight="1" x14ac:dyDescent="0.25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6"/>
      <c r="BY159" s="6"/>
      <c r="BZ159" s="6"/>
      <c r="CA159" s="6"/>
      <c r="CB159" s="6"/>
      <c r="CC159" s="6"/>
      <c r="CD159" s="6"/>
      <c r="CE159" s="6"/>
      <c r="CF159" s="6"/>
      <c r="CG159" s="6"/>
      <c r="CH159" s="6"/>
      <c r="CI159" s="6"/>
      <c r="CJ159" s="6"/>
      <c r="CK159" s="6"/>
      <c r="CL159" s="6"/>
      <c r="CM159" s="6"/>
      <c r="CN159" s="6"/>
      <c r="CO159" s="6"/>
      <c r="CP159" s="6"/>
      <c r="CQ159" s="6"/>
      <c r="CR159" s="6"/>
      <c r="CS159" s="6"/>
      <c r="CT159" s="6"/>
      <c r="CU159" s="6"/>
      <c r="CV159" s="6"/>
      <c r="CW159" s="6"/>
      <c r="CX159" s="6"/>
      <c r="CY159" s="6"/>
      <c r="CZ159" s="6"/>
      <c r="DA159" s="6"/>
      <c r="DB159" s="6"/>
      <c r="DC159" s="6"/>
      <c r="DD159" s="6"/>
      <c r="DE159" s="6"/>
      <c r="DF159" s="6"/>
      <c r="DG159" s="6"/>
      <c r="DH159" s="6"/>
      <c r="DI159" s="6"/>
      <c r="DJ159" s="6"/>
      <c r="DK159" s="6"/>
      <c r="DL159" s="6"/>
      <c r="DM159" s="6"/>
      <c r="DN159" s="6"/>
      <c r="DO159" s="6"/>
      <c r="DP159" s="6"/>
      <c r="DQ159" s="6"/>
      <c r="DR159" s="6"/>
      <c r="DS159" s="6"/>
      <c r="DT159" s="6"/>
      <c r="DU159" s="6"/>
      <c r="DV159" s="6"/>
      <c r="DW159" s="6"/>
      <c r="DX159" s="6"/>
      <c r="DY159" s="6"/>
      <c r="DZ159" s="6"/>
      <c r="EA159" s="6"/>
      <c r="EB159" s="6"/>
      <c r="EC159" s="6"/>
      <c r="ED159" s="6"/>
      <c r="EE159" s="6"/>
      <c r="KK159" s="10"/>
      <c r="KL159" s="10"/>
      <c r="KM159" s="10"/>
      <c r="KN159" s="10"/>
      <c r="KO159" s="10"/>
      <c r="KP159" s="10"/>
      <c r="KQ159" s="10"/>
      <c r="KR159" s="10"/>
      <c r="KS159" s="10"/>
      <c r="KT159" s="10"/>
      <c r="KU159" s="10"/>
      <c r="KV159" s="10"/>
      <c r="KW159" s="10"/>
      <c r="KX159" s="10"/>
      <c r="KY159" s="10"/>
      <c r="KZ159" s="10"/>
      <c r="LA159" s="10"/>
      <c r="LB159" s="10"/>
      <c r="LC159" s="10"/>
      <c r="LD159" s="10"/>
    </row>
    <row r="160" spans="1:316" ht="15.75" customHeight="1" x14ac:dyDescent="0.25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6"/>
      <c r="BY160" s="6"/>
      <c r="BZ160" s="6"/>
      <c r="CA160" s="6"/>
      <c r="CB160" s="6"/>
      <c r="CC160" s="6"/>
      <c r="CD160" s="6"/>
      <c r="CE160" s="6"/>
      <c r="CF160" s="6"/>
      <c r="CG160" s="6"/>
      <c r="CH160" s="6"/>
      <c r="CI160" s="6"/>
      <c r="CJ160" s="6"/>
      <c r="CK160" s="6"/>
      <c r="CL160" s="6"/>
      <c r="CM160" s="6"/>
      <c r="CN160" s="6"/>
      <c r="CO160" s="6"/>
      <c r="CP160" s="6"/>
      <c r="CQ160" s="6"/>
      <c r="CR160" s="6"/>
      <c r="CS160" s="6"/>
      <c r="CT160" s="6"/>
      <c r="CU160" s="6"/>
      <c r="CV160" s="6"/>
      <c r="CW160" s="6"/>
      <c r="CX160" s="6"/>
      <c r="CY160" s="6"/>
      <c r="CZ160" s="6"/>
      <c r="DA160" s="6"/>
      <c r="DB160" s="6"/>
      <c r="DC160" s="6"/>
      <c r="DD160" s="6"/>
      <c r="DE160" s="6"/>
      <c r="DF160" s="6"/>
      <c r="DG160" s="6"/>
      <c r="DH160" s="6"/>
      <c r="DI160" s="6"/>
      <c r="DJ160" s="6"/>
      <c r="DK160" s="6"/>
      <c r="DL160" s="6"/>
      <c r="DM160" s="6"/>
      <c r="DN160" s="6"/>
      <c r="DO160" s="6"/>
      <c r="DP160" s="6"/>
      <c r="DQ160" s="6"/>
      <c r="DR160" s="6"/>
      <c r="DS160" s="6"/>
      <c r="DT160" s="6"/>
      <c r="DU160" s="6"/>
      <c r="DV160" s="6"/>
      <c r="DW160" s="6"/>
      <c r="DX160" s="6"/>
      <c r="DY160" s="6"/>
      <c r="DZ160" s="6"/>
      <c r="EA160" s="6"/>
      <c r="EB160" s="6"/>
      <c r="EC160" s="6"/>
      <c r="ED160" s="6"/>
      <c r="EE160" s="6"/>
      <c r="KK160" s="10"/>
      <c r="KL160" s="10"/>
      <c r="KM160" s="10"/>
      <c r="KN160" s="10"/>
      <c r="KO160" s="10"/>
      <c r="KP160" s="10"/>
      <c r="KQ160" s="10"/>
      <c r="KR160" s="10"/>
      <c r="KS160" s="10"/>
      <c r="KT160" s="10"/>
      <c r="KU160" s="10"/>
      <c r="KV160" s="10"/>
      <c r="KW160" s="10"/>
      <c r="KX160" s="10"/>
      <c r="KY160" s="10"/>
      <c r="KZ160" s="10"/>
      <c r="LA160" s="10"/>
      <c r="LB160" s="10"/>
      <c r="LC160" s="10"/>
      <c r="LD160" s="10"/>
    </row>
    <row r="161" spans="1:316" ht="15.75" customHeight="1" x14ac:dyDescent="0.25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6"/>
      <c r="BY161" s="6"/>
      <c r="BZ161" s="6"/>
      <c r="CA161" s="6"/>
      <c r="CB161" s="6"/>
      <c r="CC161" s="6"/>
      <c r="CD161" s="6"/>
      <c r="CE161" s="6"/>
      <c r="CF161" s="6"/>
      <c r="CG161" s="6"/>
      <c r="CH161" s="6"/>
      <c r="CI161" s="6"/>
      <c r="CJ161" s="6"/>
      <c r="CK161" s="6"/>
      <c r="CL161" s="6"/>
      <c r="CM161" s="6"/>
      <c r="CN161" s="6"/>
      <c r="CO161" s="6"/>
      <c r="CP161" s="6"/>
      <c r="CQ161" s="6"/>
      <c r="CR161" s="6"/>
      <c r="CS161" s="6"/>
      <c r="CT161" s="6"/>
      <c r="CU161" s="6"/>
      <c r="CV161" s="6"/>
      <c r="CW161" s="6"/>
      <c r="CX161" s="6"/>
      <c r="CY161" s="6"/>
      <c r="CZ161" s="6"/>
      <c r="DA161" s="6"/>
      <c r="DB161" s="6"/>
      <c r="DC161" s="6"/>
      <c r="DD161" s="6"/>
      <c r="DE161" s="6"/>
      <c r="DF161" s="6"/>
      <c r="DG161" s="6"/>
      <c r="DH161" s="6"/>
      <c r="DI161" s="6"/>
      <c r="DJ161" s="6"/>
      <c r="DK161" s="6"/>
      <c r="DL161" s="6"/>
      <c r="DM161" s="6"/>
      <c r="DN161" s="6"/>
      <c r="DO161" s="6"/>
      <c r="DP161" s="6"/>
      <c r="DQ161" s="6"/>
      <c r="DR161" s="6"/>
      <c r="DS161" s="6"/>
      <c r="DT161" s="6"/>
      <c r="DU161" s="6"/>
      <c r="DV161" s="6"/>
      <c r="DW161" s="6"/>
      <c r="DX161" s="6"/>
      <c r="DY161" s="6"/>
      <c r="DZ161" s="6"/>
      <c r="EA161" s="6"/>
      <c r="EB161" s="6"/>
      <c r="EC161" s="6"/>
      <c r="ED161" s="6"/>
      <c r="EE161" s="6"/>
      <c r="KK161" s="10"/>
      <c r="KL161" s="10"/>
      <c r="KM161" s="10"/>
      <c r="KN161" s="10"/>
      <c r="KO161" s="10"/>
      <c r="KP161" s="10"/>
      <c r="KQ161" s="10"/>
      <c r="KR161" s="10"/>
      <c r="KS161" s="10"/>
      <c r="KT161" s="10"/>
      <c r="KU161" s="10"/>
      <c r="KV161" s="10"/>
      <c r="KW161" s="10"/>
      <c r="KX161" s="10"/>
      <c r="KY161" s="10"/>
      <c r="KZ161" s="10"/>
      <c r="LA161" s="10"/>
      <c r="LB161" s="10"/>
      <c r="LC161" s="10"/>
      <c r="LD161" s="10"/>
    </row>
    <row r="162" spans="1:316" ht="15.75" customHeight="1" x14ac:dyDescent="0.25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6"/>
      <c r="BY162" s="6"/>
      <c r="BZ162" s="6"/>
      <c r="CA162" s="6"/>
      <c r="CB162" s="6"/>
      <c r="CC162" s="6"/>
      <c r="CD162" s="6"/>
      <c r="CE162" s="6"/>
      <c r="CF162" s="6"/>
      <c r="CG162" s="6"/>
      <c r="CH162" s="6"/>
      <c r="CI162" s="6"/>
      <c r="CJ162" s="6"/>
      <c r="CK162" s="6"/>
      <c r="CL162" s="6"/>
      <c r="CM162" s="6"/>
      <c r="CN162" s="6"/>
      <c r="CO162" s="6"/>
      <c r="CP162" s="6"/>
      <c r="CQ162" s="6"/>
      <c r="CR162" s="6"/>
      <c r="CS162" s="6"/>
      <c r="CT162" s="6"/>
      <c r="CU162" s="6"/>
      <c r="CV162" s="6"/>
      <c r="CW162" s="6"/>
      <c r="CX162" s="6"/>
      <c r="CY162" s="6"/>
      <c r="CZ162" s="6"/>
      <c r="DA162" s="6"/>
      <c r="DB162" s="6"/>
      <c r="DC162" s="6"/>
      <c r="DD162" s="6"/>
      <c r="DE162" s="6"/>
      <c r="DF162" s="6"/>
      <c r="DG162" s="6"/>
      <c r="DH162" s="6"/>
      <c r="DI162" s="6"/>
      <c r="DJ162" s="6"/>
      <c r="DK162" s="6"/>
      <c r="DL162" s="6"/>
      <c r="DM162" s="6"/>
      <c r="DN162" s="6"/>
      <c r="DO162" s="6"/>
      <c r="DP162" s="6"/>
      <c r="DQ162" s="6"/>
      <c r="DR162" s="6"/>
      <c r="DS162" s="6"/>
      <c r="DT162" s="6"/>
      <c r="DU162" s="6"/>
      <c r="DV162" s="6"/>
      <c r="DW162" s="6"/>
      <c r="DX162" s="6"/>
      <c r="DY162" s="6"/>
      <c r="DZ162" s="6"/>
      <c r="EA162" s="6"/>
      <c r="EB162" s="6"/>
      <c r="EC162" s="6"/>
      <c r="ED162" s="6"/>
      <c r="EE162" s="6"/>
      <c r="KK162" s="10"/>
      <c r="KL162" s="10"/>
      <c r="KM162" s="10"/>
      <c r="KN162" s="10"/>
      <c r="KO162" s="10"/>
      <c r="KP162" s="10"/>
      <c r="KQ162" s="10"/>
      <c r="KR162" s="10"/>
      <c r="KS162" s="10"/>
      <c r="KT162" s="10"/>
      <c r="KU162" s="10"/>
      <c r="KV162" s="10"/>
      <c r="KW162" s="10"/>
      <c r="KX162" s="10"/>
      <c r="KY162" s="10"/>
      <c r="KZ162" s="10"/>
      <c r="LA162" s="10"/>
      <c r="LB162" s="10"/>
      <c r="LC162" s="10"/>
      <c r="LD162" s="10"/>
    </row>
    <row r="163" spans="1:316" ht="15.75" customHeight="1" x14ac:dyDescent="0.25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6"/>
      <c r="BY163" s="6"/>
      <c r="BZ163" s="6"/>
      <c r="CA163" s="6"/>
      <c r="CB163" s="6"/>
      <c r="CC163" s="6"/>
      <c r="CD163" s="6"/>
      <c r="CE163" s="6"/>
      <c r="CF163" s="6"/>
      <c r="CG163" s="6"/>
      <c r="CH163" s="6"/>
      <c r="CI163" s="6"/>
      <c r="CJ163" s="6"/>
      <c r="CK163" s="6"/>
      <c r="CL163" s="6"/>
      <c r="CM163" s="6"/>
      <c r="CN163" s="6"/>
      <c r="CO163" s="6"/>
      <c r="CP163" s="6"/>
      <c r="CQ163" s="6"/>
      <c r="CR163" s="6"/>
      <c r="CS163" s="6"/>
      <c r="CT163" s="6"/>
      <c r="CU163" s="6"/>
      <c r="CV163" s="6"/>
      <c r="CW163" s="6"/>
      <c r="CX163" s="6"/>
      <c r="CY163" s="6"/>
      <c r="CZ163" s="6"/>
      <c r="DA163" s="6"/>
      <c r="DB163" s="6"/>
      <c r="DC163" s="6"/>
      <c r="DD163" s="6"/>
      <c r="DE163" s="6"/>
      <c r="DF163" s="6"/>
      <c r="DG163" s="6"/>
      <c r="DH163" s="6"/>
      <c r="DI163" s="6"/>
      <c r="DJ163" s="6"/>
      <c r="DK163" s="6"/>
      <c r="DL163" s="6"/>
      <c r="DM163" s="6"/>
      <c r="DN163" s="6"/>
      <c r="DO163" s="6"/>
      <c r="DP163" s="6"/>
      <c r="DQ163" s="6"/>
      <c r="DR163" s="6"/>
      <c r="DS163" s="6"/>
      <c r="DT163" s="6"/>
      <c r="DU163" s="6"/>
      <c r="DV163" s="6"/>
      <c r="DW163" s="6"/>
      <c r="DX163" s="6"/>
      <c r="DY163" s="6"/>
      <c r="DZ163" s="6"/>
      <c r="EA163" s="6"/>
      <c r="EB163" s="6"/>
      <c r="EC163" s="6"/>
      <c r="ED163" s="6"/>
      <c r="EE163" s="6"/>
      <c r="KK163" s="10"/>
      <c r="KL163" s="10"/>
      <c r="KM163" s="10"/>
      <c r="KN163" s="10"/>
      <c r="KO163" s="10"/>
      <c r="KP163" s="10"/>
      <c r="KQ163" s="10"/>
      <c r="KR163" s="10"/>
      <c r="KS163" s="10"/>
      <c r="KT163" s="10"/>
      <c r="KU163" s="10"/>
      <c r="KV163" s="10"/>
      <c r="KW163" s="10"/>
      <c r="KX163" s="10"/>
      <c r="KY163" s="10"/>
      <c r="KZ163" s="10"/>
      <c r="LA163" s="10"/>
      <c r="LB163" s="10"/>
      <c r="LC163" s="10"/>
      <c r="LD163" s="10"/>
    </row>
    <row r="164" spans="1:316" ht="15.75" customHeight="1" x14ac:dyDescent="0.25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6"/>
      <c r="BY164" s="6"/>
      <c r="BZ164" s="6"/>
      <c r="CA164" s="6"/>
      <c r="CB164" s="6"/>
      <c r="CC164" s="6"/>
      <c r="CD164" s="6"/>
      <c r="CE164" s="6"/>
      <c r="CF164" s="6"/>
      <c r="CG164" s="6"/>
      <c r="CH164" s="6"/>
      <c r="CI164" s="6"/>
      <c r="CJ164" s="6"/>
      <c r="CK164" s="6"/>
      <c r="CL164" s="6"/>
      <c r="CM164" s="6"/>
      <c r="CN164" s="6"/>
      <c r="CO164" s="6"/>
      <c r="CP164" s="6"/>
      <c r="CQ164" s="6"/>
      <c r="CR164" s="6"/>
      <c r="CS164" s="6"/>
      <c r="CT164" s="6"/>
      <c r="CU164" s="6"/>
      <c r="CV164" s="6"/>
      <c r="CW164" s="6"/>
      <c r="CX164" s="6"/>
      <c r="CY164" s="6"/>
      <c r="CZ164" s="6"/>
      <c r="DA164" s="6"/>
      <c r="DB164" s="6"/>
      <c r="DC164" s="6"/>
      <c r="DD164" s="6"/>
      <c r="DE164" s="6"/>
      <c r="DF164" s="6"/>
      <c r="DG164" s="6"/>
      <c r="DH164" s="6"/>
      <c r="DI164" s="6"/>
      <c r="DJ164" s="6"/>
      <c r="DK164" s="6"/>
      <c r="DL164" s="6"/>
      <c r="DM164" s="6"/>
      <c r="DN164" s="6"/>
      <c r="DO164" s="6"/>
      <c r="DP164" s="6"/>
      <c r="DQ164" s="6"/>
      <c r="DR164" s="6"/>
      <c r="DS164" s="6"/>
      <c r="DT164" s="6"/>
      <c r="DU164" s="6"/>
      <c r="DV164" s="6"/>
      <c r="DW164" s="6"/>
      <c r="DX164" s="6"/>
      <c r="DY164" s="6"/>
      <c r="DZ164" s="6"/>
      <c r="EA164" s="6"/>
      <c r="EB164" s="6"/>
      <c r="EC164" s="6"/>
      <c r="ED164" s="6"/>
      <c r="EE164" s="6"/>
      <c r="KK164" s="10"/>
      <c r="KL164" s="10"/>
      <c r="KM164" s="10"/>
      <c r="KN164" s="10"/>
      <c r="KO164" s="10"/>
      <c r="KP164" s="10"/>
      <c r="KQ164" s="10"/>
      <c r="KR164" s="10"/>
      <c r="KS164" s="10"/>
      <c r="KT164" s="10"/>
      <c r="KU164" s="10"/>
      <c r="KV164" s="10"/>
      <c r="KW164" s="10"/>
      <c r="KX164" s="10"/>
      <c r="KY164" s="10"/>
      <c r="KZ164" s="10"/>
      <c r="LA164" s="10"/>
      <c r="LB164" s="10"/>
      <c r="LC164" s="10"/>
      <c r="LD164" s="10"/>
    </row>
    <row r="165" spans="1:316" ht="15.75" customHeight="1" x14ac:dyDescent="0.25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6"/>
      <c r="BY165" s="6"/>
      <c r="BZ165" s="6"/>
      <c r="CA165" s="6"/>
      <c r="CB165" s="6"/>
      <c r="CC165" s="6"/>
      <c r="CD165" s="6"/>
      <c r="CE165" s="6"/>
      <c r="CF165" s="6"/>
      <c r="CG165" s="6"/>
      <c r="CH165" s="6"/>
      <c r="CI165" s="6"/>
      <c r="CJ165" s="6"/>
      <c r="CK165" s="6"/>
      <c r="CL165" s="6"/>
      <c r="CM165" s="6"/>
      <c r="CN165" s="6"/>
      <c r="CO165" s="6"/>
      <c r="CP165" s="6"/>
      <c r="CQ165" s="6"/>
      <c r="CR165" s="6"/>
      <c r="CS165" s="6"/>
      <c r="CT165" s="6"/>
      <c r="CU165" s="6"/>
      <c r="CV165" s="6"/>
      <c r="CW165" s="6"/>
      <c r="CX165" s="6"/>
      <c r="CY165" s="6"/>
      <c r="CZ165" s="6"/>
      <c r="DA165" s="6"/>
      <c r="DB165" s="6"/>
      <c r="DC165" s="6"/>
      <c r="DD165" s="6"/>
      <c r="DE165" s="6"/>
      <c r="DF165" s="6"/>
      <c r="DG165" s="6"/>
      <c r="DH165" s="6"/>
      <c r="DI165" s="6"/>
      <c r="DJ165" s="6"/>
      <c r="DK165" s="6"/>
      <c r="DL165" s="6"/>
      <c r="DM165" s="6"/>
      <c r="DN165" s="6"/>
      <c r="DO165" s="6"/>
      <c r="DP165" s="6"/>
      <c r="DQ165" s="6"/>
      <c r="DR165" s="6"/>
      <c r="DS165" s="6"/>
      <c r="DT165" s="6"/>
      <c r="DU165" s="6"/>
      <c r="DV165" s="6"/>
      <c r="DW165" s="6"/>
      <c r="DX165" s="6"/>
      <c r="DY165" s="6"/>
      <c r="DZ165" s="6"/>
      <c r="EA165" s="6"/>
      <c r="EB165" s="6"/>
      <c r="EC165" s="6"/>
      <c r="ED165" s="6"/>
      <c r="EE165" s="6"/>
      <c r="KK165" s="10"/>
      <c r="KL165" s="10"/>
      <c r="KM165" s="10"/>
      <c r="KN165" s="10"/>
      <c r="KO165" s="10"/>
      <c r="KP165" s="10"/>
      <c r="KQ165" s="10"/>
      <c r="KR165" s="10"/>
      <c r="KS165" s="10"/>
      <c r="KT165" s="10"/>
      <c r="KU165" s="10"/>
      <c r="KV165" s="10"/>
      <c r="KW165" s="10"/>
      <c r="KX165" s="10"/>
      <c r="KY165" s="10"/>
      <c r="KZ165" s="10"/>
      <c r="LA165" s="10"/>
      <c r="LB165" s="10"/>
      <c r="LC165" s="10"/>
      <c r="LD165" s="10"/>
    </row>
    <row r="166" spans="1:316" ht="15.75" customHeight="1" x14ac:dyDescent="0.25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6"/>
      <c r="BY166" s="6"/>
      <c r="BZ166" s="6"/>
      <c r="CA166" s="6"/>
      <c r="CB166" s="6"/>
      <c r="CC166" s="6"/>
      <c r="CD166" s="6"/>
      <c r="CE166" s="6"/>
      <c r="CF166" s="6"/>
      <c r="CG166" s="6"/>
      <c r="CH166" s="6"/>
      <c r="CI166" s="6"/>
      <c r="CJ166" s="6"/>
      <c r="CK166" s="6"/>
      <c r="CL166" s="6"/>
      <c r="CM166" s="6"/>
      <c r="CN166" s="6"/>
      <c r="CO166" s="6"/>
      <c r="CP166" s="6"/>
      <c r="CQ166" s="6"/>
      <c r="CR166" s="6"/>
      <c r="CS166" s="6"/>
      <c r="CT166" s="6"/>
      <c r="CU166" s="6"/>
      <c r="CV166" s="6"/>
      <c r="CW166" s="6"/>
      <c r="CX166" s="6"/>
      <c r="CY166" s="6"/>
      <c r="CZ166" s="6"/>
      <c r="DA166" s="6"/>
      <c r="DB166" s="6"/>
      <c r="DC166" s="6"/>
      <c r="DD166" s="6"/>
      <c r="DE166" s="6"/>
      <c r="DF166" s="6"/>
      <c r="DG166" s="6"/>
      <c r="DH166" s="6"/>
      <c r="DI166" s="6"/>
      <c r="DJ166" s="6"/>
      <c r="DK166" s="6"/>
      <c r="DL166" s="6"/>
      <c r="DM166" s="6"/>
      <c r="DN166" s="6"/>
      <c r="DO166" s="6"/>
      <c r="DP166" s="6"/>
      <c r="DQ166" s="6"/>
      <c r="DR166" s="6"/>
      <c r="DS166" s="6"/>
      <c r="DT166" s="6"/>
      <c r="DU166" s="6"/>
      <c r="DV166" s="6"/>
      <c r="DW166" s="6"/>
      <c r="DX166" s="6"/>
      <c r="DY166" s="6"/>
      <c r="DZ166" s="6"/>
      <c r="EA166" s="6"/>
      <c r="EB166" s="6"/>
      <c r="EC166" s="6"/>
      <c r="ED166" s="6"/>
      <c r="EE166" s="6"/>
      <c r="KK166" s="10"/>
      <c r="KL166" s="10"/>
      <c r="KM166" s="10"/>
      <c r="KN166" s="10"/>
      <c r="KO166" s="10"/>
      <c r="KP166" s="10"/>
      <c r="KQ166" s="10"/>
      <c r="KR166" s="10"/>
      <c r="KS166" s="10"/>
      <c r="KT166" s="10"/>
      <c r="KU166" s="10"/>
      <c r="KV166" s="10"/>
      <c r="KW166" s="10"/>
      <c r="KX166" s="10"/>
      <c r="KY166" s="10"/>
      <c r="KZ166" s="10"/>
      <c r="LA166" s="10"/>
      <c r="LB166" s="10"/>
      <c r="LC166" s="10"/>
      <c r="LD166" s="10"/>
    </row>
    <row r="167" spans="1:316" ht="15.75" customHeight="1" x14ac:dyDescent="0.25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6"/>
      <c r="BY167" s="6"/>
      <c r="BZ167" s="6"/>
      <c r="CA167" s="6"/>
      <c r="CB167" s="6"/>
      <c r="CC167" s="6"/>
      <c r="CD167" s="6"/>
      <c r="CE167" s="6"/>
      <c r="CF167" s="6"/>
      <c r="CG167" s="6"/>
      <c r="CH167" s="6"/>
      <c r="CI167" s="6"/>
      <c r="CJ167" s="6"/>
      <c r="CK167" s="6"/>
      <c r="CL167" s="6"/>
      <c r="CM167" s="6"/>
      <c r="CN167" s="6"/>
      <c r="CO167" s="6"/>
      <c r="CP167" s="6"/>
      <c r="CQ167" s="6"/>
      <c r="CR167" s="6"/>
      <c r="CS167" s="6"/>
      <c r="CT167" s="6"/>
      <c r="CU167" s="6"/>
      <c r="CV167" s="6"/>
      <c r="CW167" s="6"/>
      <c r="CX167" s="6"/>
      <c r="CY167" s="6"/>
      <c r="CZ167" s="6"/>
      <c r="DA167" s="6"/>
      <c r="DB167" s="6"/>
      <c r="DC167" s="6"/>
      <c r="DD167" s="6"/>
      <c r="DE167" s="6"/>
      <c r="DF167" s="6"/>
      <c r="DG167" s="6"/>
      <c r="DH167" s="6"/>
      <c r="DI167" s="6"/>
      <c r="DJ167" s="6"/>
      <c r="DK167" s="6"/>
      <c r="DL167" s="6"/>
      <c r="DM167" s="6"/>
      <c r="DN167" s="6"/>
      <c r="DO167" s="6"/>
      <c r="DP167" s="6"/>
      <c r="DQ167" s="6"/>
      <c r="DR167" s="6"/>
      <c r="DS167" s="6"/>
      <c r="DT167" s="6"/>
      <c r="DU167" s="6"/>
      <c r="DV167" s="6"/>
      <c r="DW167" s="6"/>
      <c r="DX167" s="6"/>
      <c r="DY167" s="6"/>
      <c r="DZ167" s="6"/>
      <c r="EA167" s="6"/>
      <c r="EB167" s="6"/>
      <c r="EC167" s="6"/>
      <c r="ED167" s="6"/>
      <c r="EE167" s="6"/>
      <c r="KK167" s="10"/>
      <c r="KL167" s="10"/>
      <c r="KM167" s="10"/>
      <c r="KN167" s="10"/>
      <c r="KO167" s="10"/>
      <c r="KP167" s="10"/>
      <c r="KQ167" s="10"/>
      <c r="KR167" s="10"/>
      <c r="KS167" s="10"/>
      <c r="KT167" s="10"/>
      <c r="KU167" s="10"/>
      <c r="KV167" s="10"/>
      <c r="KW167" s="10"/>
      <c r="KX167" s="10"/>
      <c r="KY167" s="10"/>
      <c r="KZ167" s="10"/>
      <c r="LA167" s="10"/>
      <c r="LB167" s="10"/>
      <c r="LC167" s="10"/>
      <c r="LD167" s="10"/>
    </row>
    <row r="168" spans="1:316" ht="15.75" customHeight="1" x14ac:dyDescent="0.25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6"/>
      <c r="BY168" s="6"/>
      <c r="BZ168" s="6"/>
      <c r="CA168" s="6"/>
      <c r="CB168" s="6"/>
      <c r="CC168" s="6"/>
      <c r="CD168" s="6"/>
      <c r="CE168" s="6"/>
      <c r="CF168" s="6"/>
      <c r="CG168" s="6"/>
      <c r="CH168" s="6"/>
      <c r="CI168" s="6"/>
      <c r="CJ168" s="6"/>
      <c r="CK168" s="6"/>
      <c r="CL168" s="6"/>
      <c r="CM168" s="6"/>
      <c r="CN168" s="6"/>
      <c r="CO168" s="6"/>
      <c r="CP168" s="6"/>
      <c r="CQ168" s="6"/>
      <c r="CR168" s="6"/>
      <c r="CS168" s="6"/>
      <c r="CT168" s="6"/>
      <c r="CU168" s="6"/>
      <c r="CV168" s="6"/>
      <c r="CW168" s="6"/>
      <c r="CX168" s="6"/>
      <c r="CY168" s="6"/>
      <c r="CZ168" s="6"/>
      <c r="DA168" s="6"/>
      <c r="DB168" s="6"/>
      <c r="DC168" s="6"/>
      <c r="DD168" s="6"/>
      <c r="DE168" s="6"/>
      <c r="DF168" s="6"/>
      <c r="DG168" s="6"/>
      <c r="DH168" s="6"/>
      <c r="DI168" s="6"/>
      <c r="DJ168" s="6"/>
      <c r="DK168" s="6"/>
      <c r="DL168" s="6"/>
      <c r="DM168" s="6"/>
      <c r="DN168" s="6"/>
      <c r="DO168" s="6"/>
      <c r="DP168" s="6"/>
      <c r="DQ168" s="6"/>
      <c r="DR168" s="6"/>
      <c r="DS168" s="6"/>
      <c r="DT168" s="6"/>
      <c r="DU168" s="6"/>
      <c r="DV168" s="6"/>
      <c r="DW168" s="6"/>
      <c r="DX168" s="6"/>
      <c r="DY168" s="6"/>
      <c r="DZ168" s="6"/>
      <c r="EA168" s="6"/>
      <c r="EB168" s="6"/>
      <c r="EC168" s="6"/>
      <c r="ED168" s="6"/>
      <c r="EE168" s="6"/>
      <c r="KK168" s="10"/>
      <c r="KL168" s="10"/>
      <c r="KM168" s="10"/>
      <c r="KN168" s="10"/>
      <c r="KO168" s="10"/>
      <c r="KP168" s="10"/>
      <c r="KQ168" s="10"/>
      <c r="KR168" s="10"/>
      <c r="KS168" s="10"/>
      <c r="KT168" s="10"/>
      <c r="KU168" s="10"/>
      <c r="KV168" s="10"/>
      <c r="KW168" s="10"/>
      <c r="KX168" s="10"/>
      <c r="KY168" s="10"/>
      <c r="KZ168" s="10"/>
      <c r="LA168" s="10"/>
      <c r="LB168" s="10"/>
      <c r="LC168" s="10"/>
      <c r="LD168" s="10"/>
    </row>
    <row r="169" spans="1:316" ht="15.75" customHeight="1" x14ac:dyDescent="0.25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6"/>
      <c r="BY169" s="6"/>
      <c r="BZ169" s="6"/>
      <c r="CA169" s="6"/>
      <c r="CB169" s="6"/>
      <c r="CC169" s="6"/>
      <c r="CD169" s="6"/>
      <c r="CE169" s="6"/>
      <c r="CF169" s="6"/>
      <c r="CG169" s="6"/>
      <c r="CH169" s="6"/>
      <c r="CI169" s="6"/>
      <c r="CJ169" s="6"/>
      <c r="CK169" s="6"/>
      <c r="CL169" s="6"/>
      <c r="CM169" s="6"/>
      <c r="CN169" s="6"/>
      <c r="CO169" s="6"/>
      <c r="CP169" s="6"/>
      <c r="CQ169" s="6"/>
      <c r="CR169" s="6"/>
      <c r="CS169" s="6"/>
      <c r="CT169" s="6"/>
      <c r="CU169" s="6"/>
      <c r="CV169" s="6"/>
      <c r="CW169" s="6"/>
      <c r="CX169" s="6"/>
      <c r="CY169" s="6"/>
      <c r="CZ169" s="6"/>
      <c r="DA169" s="6"/>
      <c r="DB169" s="6"/>
      <c r="DC169" s="6"/>
      <c r="DD169" s="6"/>
      <c r="DE169" s="6"/>
      <c r="DF169" s="6"/>
      <c r="DG169" s="6"/>
      <c r="DH169" s="6"/>
      <c r="DI169" s="6"/>
      <c r="DJ169" s="6"/>
      <c r="DK169" s="6"/>
      <c r="DL169" s="6"/>
      <c r="DM169" s="6"/>
      <c r="DN169" s="6"/>
      <c r="DO169" s="6"/>
      <c r="DP169" s="6"/>
      <c r="DQ169" s="6"/>
      <c r="DR169" s="6"/>
      <c r="DS169" s="6"/>
      <c r="DT169" s="6"/>
      <c r="DU169" s="6"/>
      <c r="DV169" s="6"/>
      <c r="DW169" s="6"/>
      <c r="DX169" s="6"/>
      <c r="DY169" s="6"/>
      <c r="DZ169" s="6"/>
      <c r="EA169" s="6"/>
      <c r="EB169" s="6"/>
      <c r="EC169" s="6"/>
      <c r="ED169" s="6"/>
      <c r="EE169" s="6"/>
      <c r="KK169" s="10"/>
      <c r="KL169" s="10"/>
      <c r="KM169" s="10"/>
      <c r="KN169" s="10"/>
      <c r="KO169" s="10"/>
      <c r="KP169" s="10"/>
      <c r="KQ169" s="10"/>
      <c r="KR169" s="10"/>
      <c r="KS169" s="10"/>
      <c r="KT169" s="10"/>
      <c r="KU169" s="10"/>
      <c r="KV169" s="10"/>
      <c r="KW169" s="10"/>
      <c r="KX169" s="10"/>
      <c r="KY169" s="10"/>
      <c r="KZ169" s="10"/>
      <c r="LA169" s="10"/>
      <c r="LB169" s="10"/>
      <c r="LC169" s="10"/>
      <c r="LD169" s="10"/>
    </row>
    <row r="170" spans="1:316" ht="15.75" customHeight="1" x14ac:dyDescent="0.25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6"/>
      <c r="BY170" s="6"/>
      <c r="BZ170" s="6"/>
      <c r="CA170" s="6"/>
      <c r="CB170" s="6"/>
      <c r="CC170" s="6"/>
      <c r="CD170" s="6"/>
      <c r="CE170" s="6"/>
      <c r="CF170" s="6"/>
      <c r="CG170" s="6"/>
      <c r="CH170" s="6"/>
      <c r="CI170" s="6"/>
      <c r="CJ170" s="6"/>
      <c r="CK170" s="6"/>
      <c r="CL170" s="6"/>
      <c r="CM170" s="6"/>
      <c r="CN170" s="6"/>
      <c r="CO170" s="6"/>
      <c r="CP170" s="6"/>
      <c r="CQ170" s="6"/>
      <c r="CR170" s="6"/>
      <c r="CS170" s="6"/>
      <c r="CT170" s="6"/>
      <c r="CU170" s="6"/>
      <c r="CV170" s="6"/>
      <c r="CW170" s="6"/>
      <c r="CX170" s="6"/>
      <c r="CY170" s="6"/>
      <c r="CZ170" s="6"/>
      <c r="DA170" s="6"/>
      <c r="DB170" s="6"/>
      <c r="DC170" s="6"/>
      <c r="DD170" s="6"/>
      <c r="DE170" s="6"/>
      <c r="DF170" s="6"/>
      <c r="DG170" s="6"/>
      <c r="DH170" s="6"/>
      <c r="DI170" s="6"/>
      <c r="DJ170" s="6"/>
      <c r="DK170" s="6"/>
      <c r="DL170" s="6"/>
      <c r="DM170" s="6"/>
      <c r="DN170" s="6"/>
      <c r="DO170" s="6"/>
      <c r="DP170" s="6"/>
      <c r="DQ170" s="6"/>
      <c r="DR170" s="6"/>
      <c r="DS170" s="6"/>
      <c r="DT170" s="6"/>
      <c r="DU170" s="6"/>
      <c r="DV170" s="6"/>
      <c r="DW170" s="6"/>
      <c r="DX170" s="6"/>
      <c r="DY170" s="6"/>
      <c r="DZ170" s="6"/>
      <c r="EA170" s="6"/>
      <c r="EB170" s="6"/>
      <c r="EC170" s="6"/>
      <c r="ED170" s="6"/>
      <c r="EE170" s="6"/>
      <c r="KK170" s="10"/>
      <c r="KL170" s="10"/>
      <c r="KM170" s="10"/>
      <c r="KN170" s="10"/>
      <c r="KO170" s="10"/>
      <c r="KP170" s="10"/>
      <c r="KQ170" s="10"/>
      <c r="KR170" s="10"/>
      <c r="KS170" s="10"/>
      <c r="KT170" s="10"/>
      <c r="KU170" s="10"/>
      <c r="KV170" s="10"/>
      <c r="KW170" s="10"/>
      <c r="KX170" s="10"/>
      <c r="KY170" s="10"/>
      <c r="KZ170" s="10"/>
      <c r="LA170" s="10"/>
      <c r="LB170" s="10"/>
      <c r="LC170" s="10"/>
      <c r="LD170" s="10"/>
    </row>
    <row r="171" spans="1:316" ht="15.75" customHeight="1" x14ac:dyDescent="0.25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6"/>
      <c r="BY171" s="6"/>
      <c r="BZ171" s="6"/>
      <c r="CA171" s="6"/>
      <c r="CB171" s="6"/>
      <c r="CC171" s="6"/>
      <c r="CD171" s="6"/>
      <c r="CE171" s="6"/>
      <c r="CF171" s="6"/>
      <c r="CG171" s="6"/>
      <c r="CH171" s="6"/>
      <c r="CI171" s="6"/>
      <c r="CJ171" s="6"/>
      <c r="CK171" s="6"/>
      <c r="CL171" s="6"/>
      <c r="CM171" s="6"/>
      <c r="CN171" s="6"/>
      <c r="CO171" s="6"/>
      <c r="CP171" s="6"/>
      <c r="CQ171" s="6"/>
      <c r="CR171" s="6"/>
      <c r="CS171" s="6"/>
      <c r="CT171" s="6"/>
      <c r="CU171" s="6"/>
      <c r="CV171" s="6"/>
      <c r="CW171" s="6"/>
      <c r="CX171" s="6"/>
      <c r="CY171" s="6"/>
      <c r="CZ171" s="6"/>
      <c r="DA171" s="6"/>
      <c r="DB171" s="6"/>
      <c r="DC171" s="6"/>
      <c r="DD171" s="6"/>
      <c r="DE171" s="6"/>
      <c r="DF171" s="6"/>
      <c r="DG171" s="6"/>
      <c r="DH171" s="6"/>
      <c r="DI171" s="6"/>
      <c r="DJ171" s="6"/>
      <c r="DK171" s="6"/>
      <c r="DL171" s="6"/>
      <c r="DM171" s="6"/>
      <c r="DN171" s="6"/>
      <c r="DO171" s="6"/>
      <c r="DP171" s="6"/>
      <c r="DQ171" s="6"/>
      <c r="DR171" s="6"/>
      <c r="DS171" s="6"/>
      <c r="DT171" s="6"/>
      <c r="DU171" s="6"/>
      <c r="DV171" s="6"/>
      <c r="DW171" s="6"/>
      <c r="DX171" s="6"/>
      <c r="DY171" s="6"/>
      <c r="DZ171" s="6"/>
      <c r="EA171" s="6"/>
      <c r="EB171" s="6"/>
      <c r="EC171" s="6"/>
      <c r="ED171" s="6"/>
      <c r="EE171" s="6"/>
      <c r="KK171" s="10"/>
      <c r="KL171" s="10"/>
      <c r="KM171" s="10"/>
      <c r="KN171" s="10"/>
      <c r="KO171" s="10"/>
      <c r="KP171" s="10"/>
      <c r="KQ171" s="10"/>
      <c r="KR171" s="10"/>
      <c r="KS171" s="10"/>
      <c r="KT171" s="10"/>
      <c r="KU171" s="10"/>
      <c r="KV171" s="10"/>
      <c r="KW171" s="10"/>
      <c r="KX171" s="10"/>
      <c r="KY171" s="10"/>
      <c r="KZ171" s="10"/>
      <c r="LA171" s="10"/>
      <c r="LB171" s="10"/>
      <c r="LC171" s="10"/>
      <c r="LD171" s="10"/>
    </row>
    <row r="172" spans="1:316" ht="15.75" customHeight="1" x14ac:dyDescent="0.25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6"/>
      <c r="BY172" s="6"/>
      <c r="BZ172" s="6"/>
      <c r="CA172" s="6"/>
      <c r="CB172" s="6"/>
      <c r="CC172" s="6"/>
      <c r="CD172" s="6"/>
      <c r="CE172" s="6"/>
      <c r="CF172" s="6"/>
      <c r="CG172" s="6"/>
      <c r="CH172" s="6"/>
      <c r="CI172" s="6"/>
      <c r="CJ172" s="6"/>
      <c r="CK172" s="6"/>
      <c r="CL172" s="6"/>
      <c r="CM172" s="6"/>
      <c r="CN172" s="6"/>
      <c r="CO172" s="6"/>
      <c r="CP172" s="6"/>
      <c r="CQ172" s="6"/>
      <c r="CR172" s="6"/>
      <c r="CS172" s="6"/>
      <c r="CT172" s="6"/>
      <c r="CU172" s="6"/>
      <c r="CV172" s="6"/>
      <c r="CW172" s="6"/>
      <c r="CX172" s="6"/>
      <c r="CY172" s="6"/>
      <c r="CZ172" s="6"/>
      <c r="DA172" s="6"/>
      <c r="DB172" s="6"/>
      <c r="DC172" s="6"/>
      <c r="DD172" s="6"/>
      <c r="DE172" s="6"/>
      <c r="DF172" s="6"/>
      <c r="DG172" s="6"/>
      <c r="DH172" s="6"/>
      <c r="DI172" s="6"/>
      <c r="DJ172" s="6"/>
      <c r="DK172" s="6"/>
      <c r="DL172" s="6"/>
      <c r="DM172" s="6"/>
      <c r="DN172" s="6"/>
      <c r="DO172" s="6"/>
      <c r="DP172" s="6"/>
      <c r="DQ172" s="6"/>
      <c r="DR172" s="6"/>
      <c r="DS172" s="6"/>
      <c r="DT172" s="6"/>
      <c r="DU172" s="6"/>
      <c r="DV172" s="6"/>
      <c r="DW172" s="6"/>
      <c r="DX172" s="6"/>
      <c r="DY172" s="6"/>
      <c r="DZ172" s="6"/>
      <c r="EA172" s="6"/>
      <c r="EB172" s="6"/>
      <c r="EC172" s="6"/>
      <c r="ED172" s="6"/>
      <c r="EE172" s="6"/>
      <c r="KK172" s="10"/>
      <c r="KL172" s="10"/>
      <c r="KM172" s="10"/>
      <c r="KN172" s="10"/>
      <c r="KO172" s="10"/>
      <c r="KP172" s="10"/>
      <c r="KQ172" s="10"/>
      <c r="KR172" s="10"/>
      <c r="KS172" s="10"/>
      <c r="KT172" s="10"/>
      <c r="KU172" s="10"/>
      <c r="KV172" s="10"/>
      <c r="KW172" s="10"/>
      <c r="KX172" s="10"/>
      <c r="KY172" s="10"/>
      <c r="KZ172" s="10"/>
      <c r="LA172" s="10"/>
      <c r="LB172" s="10"/>
      <c r="LC172" s="10"/>
      <c r="LD172" s="10"/>
    </row>
    <row r="173" spans="1:316" ht="15.75" customHeight="1" x14ac:dyDescent="0.25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6"/>
      <c r="BY173" s="6"/>
      <c r="BZ173" s="6"/>
      <c r="CA173" s="6"/>
      <c r="CB173" s="6"/>
      <c r="CC173" s="6"/>
      <c r="CD173" s="6"/>
      <c r="CE173" s="6"/>
      <c r="CF173" s="6"/>
      <c r="CG173" s="6"/>
      <c r="CH173" s="6"/>
      <c r="CI173" s="6"/>
      <c r="CJ173" s="6"/>
      <c r="CK173" s="6"/>
      <c r="CL173" s="6"/>
      <c r="CM173" s="6"/>
      <c r="CN173" s="6"/>
      <c r="CO173" s="6"/>
      <c r="CP173" s="6"/>
      <c r="CQ173" s="6"/>
      <c r="CR173" s="6"/>
      <c r="CS173" s="6"/>
      <c r="CT173" s="6"/>
      <c r="CU173" s="6"/>
      <c r="CV173" s="6"/>
      <c r="CW173" s="6"/>
      <c r="CX173" s="6"/>
      <c r="CY173" s="6"/>
      <c r="CZ173" s="6"/>
      <c r="DA173" s="6"/>
      <c r="DB173" s="6"/>
      <c r="DC173" s="6"/>
      <c r="DD173" s="6"/>
      <c r="DE173" s="6"/>
      <c r="DF173" s="6"/>
      <c r="DG173" s="6"/>
      <c r="DH173" s="6"/>
      <c r="DI173" s="6"/>
      <c r="DJ173" s="6"/>
      <c r="DK173" s="6"/>
      <c r="DL173" s="6"/>
      <c r="DM173" s="6"/>
      <c r="DN173" s="6"/>
      <c r="DO173" s="6"/>
      <c r="DP173" s="6"/>
      <c r="DQ173" s="6"/>
      <c r="DR173" s="6"/>
      <c r="DS173" s="6"/>
      <c r="DT173" s="6"/>
      <c r="DU173" s="6"/>
      <c r="DV173" s="6"/>
      <c r="DW173" s="6"/>
      <c r="DX173" s="6"/>
      <c r="DY173" s="6"/>
      <c r="DZ173" s="6"/>
      <c r="EA173" s="6"/>
      <c r="EB173" s="6"/>
      <c r="EC173" s="6"/>
      <c r="ED173" s="6"/>
      <c r="EE173" s="6"/>
      <c r="KK173" s="10"/>
      <c r="KL173" s="10"/>
      <c r="KM173" s="10"/>
      <c r="KN173" s="10"/>
      <c r="KO173" s="10"/>
      <c r="KP173" s="10"/>
      <c r="KQ173" s="10"/>
      <c r="KR173" s="10"/>
      <c r="KS173" s="10"/>
      <c r="KT173" s="10"/>
      <c r="KU173" s="10"/>
      <c r="KV173" s="10"/>
      <c r="KW173" s="10"/>
      <c r="KX173" s="10"/>
      <c r="KY173" s="10"/>
      <c r="KZ173" s="10"/>
      <c r="LA173" s="10"/>
      <c r="LB173" s="10"/>
      <c r="LC173" s="10"/>
      <c r="LD173" s="10"/>
    </row>
    <row r="174" spans="1:316" ht="15.75" customHeight="1" x14ac:dyDescent="0.25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6"/>
      <c r="BY174" s="6"/>
      <c r="BZ174" s="6"/>
      <c r="CA174" s="6"/>
      <c r="CB174" s="6"/>
      <c r="CC174" s="6"/>
      <c r="CD174" s="6"/>
      <c r="CE174" s="6"/>
      <c r="CF174" s="6"/>
      <c r="CG174" s="6"/>
      <c r="CH174" s="6"/>
      <c r="CI174" s="6"/>
      <c r="CJ174" s="6"/>
      <c r="CK174" s="6"/>
      <c r="CL174" s="6"/>
      <c r="CM174" s="6"/>
      <c r="CN174" s="6"/>
      <c r="CO174" s="6"/>
      <c r="CP174" s="6"/>
      <c r="CQ174" s="6"/>
      <c r="CR174" s="6"/>
      <c r="CS174" s="6"/>
      <c r="CT174" s="6"/>
      <c r="CU174" s="6"/>
      <c r="CV174" s="6"/>
      <c r="CW174" s="6"/>
      <c r="CX174" s="6"/>
      <c r="CY174" s="6"/>
      <c r="CZ174" s="6"/>
      <c r="DA174" s="6"/>
      <c r="DB174" s="6"/>
      <c r="DC174" s="6"/>
      <c r="DD174" s="6"/>
      <c r="DE174" s="6"/>
      <c r="DF174" s="6"/>
      <c r="DG174" s="6"/>
      <c r="DH174" s="6"/>
      <c r="DI174" s="6"/>
      <c r="DJ174" s="6"/>
      <c r="DK174" s="6"/>
      <c r="DL174" s="6"/>
      <c r="DM174" s="6"/>
      <c r="DN174" s="6"/>
      <c r="DO174" s="6"/>
      <c r="DP174" s="6"/>
      <c r="DQ174" s="6"/>
      <c r="DR174" s="6"/>
      <c r="DS174" s="6"/>
      <c r="DT174" s="6"/>
      <c r="DU174" s="6"/>
      <c r="DV174" s="6"/>
      <c r="DW174" s="6"/>
      <c r="DX174" s="6"/>
      <c r="DY174" s="6"/>
      <c r="DZ174" s="6"/>
      <c r="EA174" s="6"/>
      <c r="EB174" s="6"/>
      <c r="EC174" s="6"/>
      <c r="ED174" s="6"/>
      <c r="EE174" s="6"/>
      <c r="KK174" s="10"/>
      <c r="KL174" s="10"/>
      <c r="KM174" s="10"/>
      <c r="KN174" s="10"/>
      <c r="KO174" s="10"/>
      <c r="KP174" s="10"/>
      <c r="KQ174" s="10"/>
      <c r="KR174" s="10"/>
      <c r="KS174" s="10"/>
      <c r="KT174" s="10"/>
      <c r="KU174" s="10"/>
      <c r="KV174" s="10"/>
      <c r="KW174" s="10"/>
      <c r="KX174" s="10"/>
      <c r="KY174" s="10"/>
      <c r="KZ174" s="10"/>
      <c r="LA174" s="10"/>
      <c r="LB174" s="10"/>
      <c r="LC174" s="10"/>
      <c r="LD174" s="10"/>
    </row>
    <row r="175" spans="1:316" ht="15.75" customHeight="1" x14ac:dyDescent="0.25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6"/>
      <c r="BY175" s="6"/>
      <c r="BZ175" s="6"/>
      <c r="CA175" s="6"/>
      <c r="CB175" s="6"/>
      <c r="CC175" s="6"/>
      <c r="CD175" s="6"/>
      <c r="CE175" s="6"/>
      <c r="CF175" s="6"/>
      <c r="CG175" s="6"/>
      <c r="CH175" s="6"/>
      <c r="CI175" s="6"/>
      <c r="CJ175" s="6"/>
      <c r="CK175" s="6"/>
      <c r="CL175" s="6"/>
      <c r="CM175" s="6"/>
      <c r="CN175" s="6"/>
      <c r="CO175" s="6"/>
      <c r="CP175" s="6"/>
      <c r="CQ175" s="6"/>
      <c r="CR175" s="6"/>
      <c r="CS175" s="6"/>
      <c r="CT175" s="6"/>
      <c r="CU175" s="6"/>
      <c r="CV175" s="6"/>
      <c r="CW175" s="6"/>
      <c r="CX175" s="6"/>
      <c r="CY175" s="6"/>
      <c r="CZ175" s="6"/>
      <c r="DA175" s="6"/>
      <c r="DB175" s="6"/>
      <c r="DC175" s="6"/>
      <c r="DD175" s="6"/>
      <c r="DE175" s="6"/>
      <c r="DF175" s="6"/>
      <c r="DG175" s="6"/>
      <c r="DH175" s="6"/>
      <c r="DI175" s="6"/>
      <c r="DJ175" s="6"/>
      <c r="DK175" s="6"/>
      <c r="DL175" s="6"/>
      <c r="DM175" s="6"/>
      <c r="DN175" s="6"/>
      <c r="DO175" s="6"/>
      <c r="DP175" s="6"/>
      <c r="DQ175" s="6"/>
      <c r="DR175" s="6"/>
      <c r="DS175" s="6"/>
      <c r="DT175" s="6"/>
      <c r="DU175" s="6"/>
      <c r="DV175" s="6"/>
      <c r="DW175" s="6"/>
      <c r="DX175" s="6"/>
      <c r="DY175" s="6"/>
      <c r="DZ175" s="6"/>
      <c r="EA175" s="6"/>
      <c r="EB175" s="6"/>
      <c r="EC175" s="6"/>
      <c r="ED175" s="6"/>
      <c r="EE175" s="6"/>
      <c r="KK175" s="10"/>
      <c r="KL175" s="10"/>
      <c r="KM175" s="10"/>
      <c r="KN175" s="10"/>
      <c r="KO175" s="10"/>
      <c r="KP175" s="10"/>
      <c r="KQ175" s="10"/>
      <c r="KR175" s="10"/>
      <c r="KS175" s="10"/>
      <c r="KT175" s="10"/>
      <c r="KU175" s="10"/>
      <c r="KV175" s="10"/>
      <c r="KW175" s="10"/>
      <c r="KX175" s="10"/>
      <c r="KY175" s="10"/>
      <c r="KZ175" s="10"/>
      <c r="LA175" s="10"/>
      <c r="LB175" s="10"/>
      <c r="LC175" s="10"/>
      <c r="LD175" s="10"/>
    </row>
    <row r="176" spans="1:316" ht="15.75" customHeight="1" x14ac:dyDescent="0.25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6"/>
      <c r="BY176" s="6"/>
      <c r="BZ176" s="6"/>
      <c r="CA176" s="6"/>
      <c r="CB176" s="6"/>
      <c r="CC176" s="6"/>
      <c r="CD176" s="6"/>
      <c r="CE176" s="6"/>
      <c r="CF176" s="6"/>
      <c r="CG176" s="6"/>
      <c r="CH176" s="6"/>
      <c r="CI176" s="6"/>
      <c r="CJ176" s="6"/>
      <c r="CK176" s="6"/>
      <c r="CL176" s="6"/>
      <c r="CM176" s="6"/>
      <c r="CN176" s="6"/>
      <c r="CO176" s="6"/>
      <c r="CP176" s="6"/>
      <c r="CQ176" s="6"/>
      <c r="CR176" s="6"/>
      <c r="CS176" s="6"/>
      <c r="CT176" s="6"/>
      <c r="CU176" s="6"/>
      <c r="CV176" s="6"/>
      <c r="CW176" s="6"/>
      <c r="CX176" s="6"/>
      <c r="CY176" s="6"/>
      <c r="CZ176" s="6"/>
      <c r="DA176" s="6"/>
      <c r="DB176" s="6"/>
      <c r="DC176" s="6"/>
      <c r="DD176" s="6"/>
      <c r="DE176" s="6"/>
      <c r="DF176" s="6"/>
      <c r="DG176" s="6"/>
      <c r="DH176" s="6"/>
      <c r="DI176" s="6"/>
      <c r="DJ176" s="6"/>
      <c r="DK176" s="6"/>
      <c r="DL176" s="6"/>
      <c r="DM176" s="6"/>
      <c r="DN176" s="6"/>
      <c r="DO176" s="6"/>
      <c r="DP176" s="6"/>
      <c r="DQ176" s="6"/>
      <c r="DR176" s="6"/>
      <c r="DS176" s="6"/>
      <c r="DT176" s="6"/>
      <c r="DU176" s="6"/>
      <c r="DV176" s="6"/>
      <c r="DW176" s="6"/>
      <c r="DX176" s="6"/>
      <c r="DY176" s="6"/>
      <c r="DZ176" s="6"/>
      <c r="EA176" s="6"/>
      <c r="EB176" s="6"/>
      <c r="EC176" s="6"/>
      <c r="ED176" s="6"/>
      <c r="EE176" s="6"/>
      <c r="KK176" s="10"/>
      <c r="KL176" s="10"/>
      <c r="KM176" s="10"/>
      <c r="KN176" s="10"/>
      <c r="KO176" s="10"/>
      <c r="KP176" s="10"/>
      <c r="KQ176" s="10"/>
      <c r="KR176" s="10"/>
      <c r="KS176" s="10"/>
      <c r="KT176" s="10"/>
      <c r="KU176" s="10"/>
      <c r="KV176" s="10"/>
      <c r="KW176" s="10"/>
      <c r="KX176" s="10"/>
      <c r="KY176" s="10"/>
      <c r="KZ176" s="10"/>
      <c r="LA176" s="10"/>
      <c r="LB176" s="10"/>
      <c r="LC176" s="10"/>
      <c r="LD176" s="10"/>
    </row>
    <row r="177" spans="1:316" ht="15.75" customHeight="1" x14ac:dyDescent="0.25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6"/>
      <c r="BY177" s="6"/>
      <c r="BZ177" s="6"/>
      <c r="CA177" s="6"/>
      <c r="CB177" s="6"/>
      <c r="CC177" s="6"/>
      <c r="CD177" s="6"/>
      <c r="CE177" s="6"/>
      <c r="CF177" s="6"/>
      <c r="CG177" s="6"/>
      <c r="CH177" s="6"/>
      <c r="CI177" s="6"/>
      <c r="CJ177" s="6"/>
      <c r="CK177" s="6"/>
      <c r="CL177" s="6"/>
      <c r="CM177" s="6"/>
      <c r="CN177" s="6"/>
      <c r="CO177" s="6"/>
      <c r="CP177" s="6"/>
      <c r="CQ177" s="6"/>
      <c r="CR177" s="6"/>
      <c r="CS177" s="6"/>
      <c r="CT177" s="6"/>
      <c r="CU177" s="6"/>
      <c r="CV177" s="6"/>
      <c r="CW177" s="6"/>
      <c r="CX177" s="6"/>
      <c r="CY177" s="6"/>
      <c r="CZ177" s="6"/>
      <c r="DA177" s="6"/>
      <c r="DB177" s="6"/>
      <c r="DC177" s="6"/>
      <c r="DD177" s="6"/>
      <c r="DE177" s="6"/>
      <c r="DF177" s="6"/>
      <c r="DG177" s="6"/>
      <c r="DH177" s="6"/>
      <c r="DI177" s="6"/>
      <c r="DJ177" s="6"/>
      <c r="DK177" s="6"/>
      <c r="DL177" s="6"/>
      <c r="DM177" s="6"/>
      <c r="DN177" s="6"/>
      <c r="DO177" s="6"/>
      <c r="DP177" s="6"/>
      <c r="DQ177" s="6"/>
      <c r="DR177" s="6"/>
      <c r="DS177" s="6"/>
      <c r="DT177" s="6"/>
      <c r="DU177" s="6"/>
      <c r="DV177" s="6"/>
      <c r="DW177" s="6"/>
      <c r="DX177" s="6"/>
      <c r="DY177" s="6"/>
      <c r="DZ177" s="6"/>
      <c r="EA177" s="6"/>
      <c r="EB177" s="6"/>
      <c r="EC177" s="6"/>
      <c r="ED177" s="6"/>
      <c r="EE177" s="6"/>
      <c r="KK177" s="10"/>
      <c r="KL177" s="10"/>
      <c r="KM177" s="10"/>
      <c r="KN177" s="10"/>
      <c r="KO177" s="10"/>
      <c r="KP177" s="10"/>
      <c r="KQ177" s="10"/>
      <c r="KR177" s="10"/>
      <c r="KS177" s="10"/>
      <c r="KT177" s="10"/>
      <c r="KU177" s="10"/>
      <c r="KV177" s="10"/>
      <c r="KW177" s="10"/>
      <c r="KX177" s="10"/>
      <c r="KY177" s="10"/>
      <c r="KZ177" s="10"/>
      <c r="LA177" s="10"/>
      <c r="LB177" s="10"/>
      <c r="LC177" s="10"/>
      <c r="LD177" s="10"/>
    </row>
    <row r="178" spans="1:316" ht="15.75" customHeight="1" x14ac:dyDescent="0.25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6"/>
      <c r="BY178" s="6"/>
      <c r="BZ178" s="6"/>
      <c r="CA178" s="6"/>
      <c r="CB178" s="6"/>
      <c r="CC178" s="6"/>
      <c r="CD178" s="6"/>
      <c r="CE178" s="6"/>
      <c r="CF178" s="6"/>
      <c r="CG178" s="6"/>
      <c r="CH178" s="6"/>
      <c r="CI178" s="6"/>
      <c r="CJ178" s="6"/>
      <c r="CK178" s="6"/>
      <c r="CL178" s="6"/>
      <c r="CM178" s="6"/>
      <c r="CN178" s="6"/>
      <c r="CO178" s="6"/>
      <c r="CP178" s="6"/>
      <c r="CQ178" s="6"/>
      <c r="CR178" s="6"/>
      <c r="CS178" s="6"/>
      <c r="CT178" s="6"/>
      <c r="CU178" s="6"/>
      <c r="CV178" s="6"/>
      <c r="CW178" s="6"/>
      <c r="CX178" s="6"/>
      <c r="CY178" s="6"/>
      <c r="CZ178" s="6"/>
      <c r="DA178" s="6"/>
      <c r="DB178" s="6"/>
      <c r="DC178" s="6"/>
      <c r="DD178" s="6"/>
      <c r="DE178" s="6"/>
      <c r="DF178" s="6"/>
      <c r="DG178" s="6"/>
      <c r="DH178" s="6"/>
      <c r="DI178" s="6"/>
      <c r="DJ178" s="6"/>
      <c r="DK178" s="6"/>
      <c r="DL178" s="6"/>
      <c r="DM178" s="6"/>
      <c r="DN178" s="6"/>
      <c r="DO178" s="6"/>
      <c r="DP178" s="6"/>
      <c r="DQ178" s="6"/>
      <c r="DR178" s="6"/>
      <c r="DS178" s="6"/>
      <c r="DT178" s="6"/>
      <c r="DU178" s="6"/>
      <c r="DV178" s="6"/>
      <c r="DW178" s="6"/>
      <c r="DX178" s="6"/>
      <c r="DY178" s="6"/>
      <c r="DZ178" s="6"/>
      <c r="EA178" s="6"/>
      <c r="EB178" s="6"/>
      <c r="EC178" s="6"/>
      <c r="ED178" s="6"/>
      <c r="EE178" s="6"/>
      <c r="KK178" s="10"/>
      <c r="KL178" s="10"/>
      <c r="KM178" s="10"/>
      <c r="KN178" s="10"/>
      <c r="KO178" s="10"/>
      <c r="KP178" s="10"/>
      <c r="KQ178" s="10"/>
      <c r="KR178" s="10"/>
      <c r="KS178" s="10"/>
      <c r="KT178" s="10"/>
      <c r="KU178" s="10"/>
      <c r="KV178" s="10"/>
      <c r="KW178" s="10"/>
      <c r="KX178" s="10"/>
      <c r="KY178" s="10"/>
      <c r="KZ178" s="10"/>
      <c r="LA178" s="10"/>
      <c r="LB178" s="10"/>
      <c r="LC178" s="10"/>
      <c r="LD178" s="10"/>
    </row>
    <row r="179" spans="1:316" ht="15.75" customHeight="1" x14ac:dyDescent="0.25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6"/>
      <c r="BY179" s="6"/>
      <c r="BZ179" s="6"/>
      <c r="CA179" s="6"/>
      <c r="CB179" s="6"/>
      <c r="CC179" s="6"/>
      <c r="CD179" s="6"/>
      <c r="CE179" s="6"/>
      <c r="CF179" s="6"/>
      <c r="CG179" s="6"/>
      <c r="CH179" s="6"/>
      <c r="CI179" s="6"/>
      <c r="CJ179" s="6"/>
      <c r="CK179" s="6"/>
      <c r="CL179" s="6"/>
      <c r="CM179" s="6"/>
      <c r="CN179" s="6"/>
      <c r="CO179" s="6"/>
      <c r="CP179" s="6"/>
      <c r="CQ179" s="6"/>
      <c r="CR179" s="6"/>
      <c r="CS179" s="6"/>
      <c r="CT179" s="6"/>
      <c r="CU179" s="6"/>
      <c r="CV179" s="6"/>
      <c r="CW179" s="6"/>
      <c r="CX179" s="6"/>
      <c r="CY179" s="6"/>
      <c r="CZ179" s="6"/>
      <c r="DA179" s="6"/>
      <c r="DB179" s="6"/>
      <c r="DC179" s="6"/>
      <c r="DD179" s="6"/>
      <c r="DE179" s="6"/>
      <c r="DF179" s="6"/>
      <c r="DG179" s="6"/>
      <c r="DH179" s="6"/>
      <c r="DI179" s="6"/>
      <c r="DJ179" s="6"/>
      <c r="DK179" s="6"/>
      <c r="DL179" s="6"/>
      <c r="DM179" s="6"/>
      <c r="DN179" s="6"/>
      <c r="DO179" s="6"/>
      <c r="DP179" s="6"/>
      <c r="DQ179" s="6"/>
      <c r="DR179" s="6"/>
      <c r="DS179" s="6"/>
      <c r="DT179" s="6"/>
      <c r="DU179" s="6"/>
      <c r="DV179" s="6"/>
      <c r="DW179" s="6"/>
      <c r="DX179" s="6"/>
      <c r="DY179" s="6"/>
      <c r="DZ179" s="6"/>
      <c r="EA179" s="6"/>
      <c r="EB179" s="6"/>
      <c r="EC179" s="6"/>
      <c r="ED179" s="6"/>
      <c r="EE179" s="6"/>
      <c r="KK179" s="10"/>
      <c r="KL179" s="10"/>
      <c r="KM179" s="10"/>
      <c r="KN179" s="10"/>
      <c r="KO179" s="10"/>
      <c r="KP179" s="10"/>
      <c r="KQ179" s="10"/>
      <c r="KR179" s="10"/>
      <c r="KS179" s="10"/>
      <c r="KT179" s="10"/>
      <c r="KU179" s="10"/>
      <c r="KV179" s="10"/>
      <c r="KW179" s="10"/>
      <c r="KX179" s="10"/>
      <c r="KY179" s="10"/>
      <c r="KZ179" s="10"/>
      <c r="LA179" s="10"/>
      <c r="LB179" s="10"/>
      <c r="LC179" s="10"/>
      <c r="LD179" s="10"/>
    </row>
    <row r="180" spans="1:316" ht="15.75" customHeight="1" x14ac:dyDescent="0.25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6"/>
      <c r="BY180" s="6"/>
      <c r="BZ180" s="6"/>
      <c r="CA180" s="6"/>
      <c r="CB180" s="6"/>
      <c r="CC180" s="6"/>
      <c r="CD180" s="6"/>
      <c r="CE180" s="6"/>
      <c r="CF180" s="6"/>
      <c r="CG180" s="6"/>
      <c r="CH180" s="6"/>
      <c r="CI180" s="6"/>
      <c r="CJ180" s="6"/>
      <c r="CK180" s="6"/>
      <c r="CL180" s="6"/>
      <c r="CM180" s="6"/>
      <c r="CN180" s="6"/>
      <c r="CO180" s="6"/>
      <c r="CP180" s="6"/>
      <c r="CQ180" s="6"/>
      <c r="CR180" s="6"/>
      <c r="CS180" s="6"/>
      <c r="CT180" s="6"/>
      <c r="CU180" s="6"/>
      <c r="CV180" s="6"/>
      <c r="CW180" s="6"/>
      <c r="CX180" s="6"/>
      <c r="CY180" s="6"/>
      <c r="CZ180" s="6"/>
      <c r="DA180" s="6"/>
      <c r="DB180" s="6"/>
      <c r="DC180" s="6"/>
      <c r="DD180" s="6"/>
      <c r="DE180" s="6"/>
      <c r="DF180" s="6"/>
      <c r="DG180" s="6"/>
      <c r="DH180" s="6"/>
      <c r="DI180" s="6"/>
      <c r="DJ180" s="6"/>
      <c r="DK180" s="6"/>
      <c r="DL180" s="6"/>
      <c r="DM180" s="6"/>
      <c r="DN180" s="6"/>
      <c r="DO180" s="6"/>
      <c r="DP180" s="6"/>
      <c r="DQ180" s="6"/>
      <c r="DR180" s="6"/>
      <c r="DS180" s="6"/>
      <c r="DT180" s="6"/>
      <c r="DU180" s="6"/>
      <c r="DV180" s="6"/>
      <c r="DW180" s="6"/>
      <c r="DX180" s="6"/>
      <c r="DY180" s="6"/>
      <c r="DZ180" s="6"/>
      <c r="EA180" s="6"/>
      <c r="EB180" s="6"/>
      <c r="EC180" s="6"/>
      <c r="ED180" s="6"/>
      <c r="EE180" s="6"/>
      <c r="KK180" s="10"/>
      <c r="KL180" s="10"/>
      <c r="KM180" s="10"/>
      <c r="KN180" s="10"/>
      <c r="KO180" s="10"/>
      <c r="KP180" s="10"/>
      <c r="KQ180" s="10"/>
      <c r="KR180" s="10"/>
      <c r="KS180" s="10"/>
      <c r="KT180" s="10"/>
      <c r="KU180" s="10"/>
      <c r="KV180" s="10"/>
      <c r="KW180" s="10"/>
      <c r="KX180" s="10"/>
      <c r="KY180" s="10"/>
      <c r="KZ180" s="10"/>
      <c r="LA180" s="10"/>
      <c r="LB180" s="10"/>
      <c r="LC180" s="10"/>
      <c r="LD180" s="10"/>
    </row>
    <row r="181" spans="1:316" ht="15.75" customHeight="1" x14ac:dyDescent="0.25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6"/>
      <c r="BY181" s="6"/>
      <c r="BZ181" s="6"/>
      <c r="CA181" s="6"/>
      <c r="CB181" s="6"/>
      <c r="CC181" s="6"/>
      <c r="CD181" s="6"/>
      <c r="CE181" s="6"/>
      <c r="CF181" s="6"/>
      <c r="CG181" s="6"/>
      <c r="CH181" s="6"/>
      <c r="CI181" s="6"/>
      <c r="CJ181" s="6"/>
      <c r="CK181" s="6"/>
      <c r="CL181" s="6"/>
      <c r="CM181" s="6"/>
      <c r="CN181" s="6"/>
      <c r="CO181" s="6"/>
      <c r="CP181" s="6"/>
      <c r="CQ181" s="6"/>
      <c r="CR181" s="6"/>
      <c r="CS181" s="6"/>
      <c r="CT181" s="6"/>
      <c r="CU181" s="6"/>
      <c r="CV181" s="6"/>
      <c r="CW181" s="6"/>
      <c r="CX181" s="6"/>
      <c r="CY181" s="6"/>
      <c r="CZ181" s="6"/>
      <c r="DA181" s="6"/>
      <c r="DB181" s="6"/>
      <c r="DC181" s="6"/>
      <c r="DD181" s="6"/>
      <c r="DE181" s="6"/>
      <c r="DF181" s="6"/>
      <c r="DG181" s="6"/>
      <c r="DH181" s="6"/>
      <c r="DI181" s="6"/>
      <c r="DJ181" s="6"/>
      <c r="DK181" s="6"/>
      <c r="DL181" s="6"/>
      <c r="DM181" s="6"/>
      <c r="DN181" s="6"/>
      <c r="DO181" s="6"/>
      <c r="DP181" s="6"/>
      <c r="DQ181" s="6"/>
      <c r="DR181" s="6"/>
      <c r="DS181" s="6"/>
      <c r="DT181" s="6"/>
      <c r="DU181" s="6"/>
      <c r="DV181" s="6"/>
      <c r="DW181" s="6"/>
      <c r="DX181" s="6"/>
      <c r="DY181" s="6"/>
      <c r="DZ181" s="6"/>
      <c r="EA181" s="6"/>
      <c r="EB181" s="6"/>
      <c r="EC181" s="6"/>
      <c r="ED181" s="6"/>
      <c r="EE181" s="6"/>
      <c r="KK181" s="10"/>
      <c r="KL181" s="10"/>
      <c r="KM181" s="10"/>
      <c r="KN181" s="10"/>
      <c r="KO181" s="10"/>
      <c r="KP181" s="10"/>
      <c r="KQ181" s="10"/>
      <c r="KR181" s="10"/>
      <c r="KS181" s="10"/>
      <c r="KT181" s="10"/>
      <c r="KU181" s="10"/>
      <c r="KV181" s="10"/>
      <c r="KW181" s="10"/>
      <c r="KX181" s="10"/>
      <c r="KY181" s="10"/>
      <c r="KZ181" s="10"/>
      <c r="LA181" s="10"/>
      <c r="LB181" s="10"/>
      <c r="LC181" s="10"/>
      <c r="LD181" s="10"/>
    </row>
    <row r="182" spans="1:316" ht="15.75" customHeight="1" x14ac:dyDescent="0.25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6"/>
      <c r="BY182" s="6"/>
      <c r="BZ182" s="6"/>
      <c r="CA182" s="6"/>
      <c r="CB182" s="6"/>
      <c r="CC182" s="6"/>
      <c r="CD182" s="6"/>
      <c r="CE182" s="6"/>
      <c r="CF182" s="6"/>
      <c r="CG182" s="6"/>
      <c r="CH182" s="6"/>
      <c r="CI182" s="6"/>
      <c r="CJ182" s="6"/>
      <c r="CK182" s="6"/>
      <c r="CL182" s="6"/>
      <c r="CM182" s="6"/>
      <c r="CN182" s="6"/>
      <c r="CO182" s="6"/>
      <c r="CP182" s="6"/>
      <c r="CQ182" s="6"/>
      <c r="CR182" s="6"/>
      <c r="CS182" s="6"/>
      <c r="CT182" s="6"/>
      <c r="CU182" s="6"/>
      <c r="CV182" s="6"/>
      <c r="CW182" s="6"/>
      <c r="CX182" s="6"/>
      <c r="CY182" s="6"/>
      <c r="CZ182" s="6"/>
      <c r="DA182" s="6"/>
      <c r="DB182" s="6"/>
      <c r="DC182" s="6"/>
      <c r="DD182" s="6"/>
      <c r="DE182" s="6"/>
      <c r="DF182" s="6"/>
      <c r="DG182" s="6"/>
      <c r="DH182" s="6"/>
      <c r="DI182" s="6"/>
      <c r="DJ182" s="6"/>
      <c r="DK182" s="6"/>
      <c r="DL182" s="6"/>
      <c r="DM182" s="6"/>
      <c r="DN182" s="6"/>
      <c r="DO182" s="6"/>
      <c r="DP182" s="6"/>
      <c r="DQ182" s="6"/>
      <c r="DR182" s="6"/>
      <c r="DS182" s="6"/>
      <c r="DT182" s="6"/>
      <c r="DU182" s="6"/>
      <c r="DV182" s="6"/>
      <c r="DW182" s="6"/>
      <c r="DX182" s="6"/>
      <c r="DY182" s="6"/>
      <c r="DZ182" s="6"/>
      <c r="EA182" s="6"/>
      <c r="EB182" s="6"/>
      <c r="EC182" s="6"/>
      <c r="ED182" s="6"/>
      <c r="EE182" s="6"/>
      <c r="KK182" s="10"/>
      <c r="KL182" s="10"/>
      <c r="KM182" s="10"/>
      <c r="KN182" s="10"/>
      <c r="KO182" s="10"/>
      <c r="KP182" s="10"/>
      <c r="KQ182" s="10"/>
      <c r="KR182" s="10"/>
      <c r="KS182" s="10"/>
      <c r="KT182" s="10"/>
      <c r="KU182" s="10"/>
      <c r="KV182" s="10"/>
      <c r="KW182" s="10"/>
      <c r="KX182" s="10"/>
      <c r="KY182" s="10"/>
      <c r="KZ182" s="10"/>
      <c r="LA182" s="10"/>
      <c r="LB182" s="10"/>
      <c r="LC182" s="10"/>
      <c r="LD182" s="10"/>
    </row>
    <row r="183" spans="1:316" ht="15.75" customHeight="1" x14ac:dyDescent="0.25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6"/>
      <c r="BY183" s="6"/>
      <c r="BZ183" s="6"/>
      <c r="CA183" s="6"/>
      <c r="CB183" s="6"/>
      <c r="CC183" s="6"/>
      <c r="CD183" s="6"/>
      <c r="CE183" s="6"/>
      <c r="CF183" s="6"/>
      <c r="CG183" s="6"/>
      <c r="CH183" s="6"/>
      <c r="CI183" s="6"/>
      <c r="CJ183" s="6"/>
      <c r="CK183" s="6"/>
      <c r="CL183" s="6"/>
      <c r="CM183" s="6"/>
      <c r="CN183" s="6"/>
      <c r="CO183" s="6"/>
      <c r="CP183" s="6"/>
      <c r="CQ183" s="6"/>
      <c r="CR183" s="6"/>
      <c r="CS183" s="6"/>
      <c r="CT183" s="6"/>
      <c r="CU183" s="6"/>
      <c r="CV183" s="6"/>
      <c r="CW183" s="6"/>
      <c r="CX183" s="6"/>
      <c r="CY183" s="6"/>
      <c r="CZ183" s="6"/>
      <c r="DA183" s="6"/>
      <c r="DB183" s="6"/>
      <c r="DC183" s="6"/>
      <c r="DD183" s="6"/>
      <c r="DE183" s="6"/>
      <c r="DF183" s="6"/>
      <c r="DG183" s="6"/>
      <c r="DH183" s="6"/>
      <c r="DI183" s="6"/>
      <c r="DJ183" s="6"/>
      <c r="DK183" s="6"/>
      <c r="DL183" s="6"/>
      <c r="DM183" s="6"/>
      <c r="DN183" s="6"/>
      <c r="DO183" s="6"/>
      <c r="DP183" s="6"/>
      <c r="DQ183" s="6"/>
      <c r="DR183" s="6"/>
      <c r="DS183" s="6"/>
      <c r="DT183" s="6"/>
      <c r="DU183" s="6"/>
      <c r="DV183" s="6"/>
      <c r="DW183" s="6"/>
      <c r="DX183" s="6"/>
      <c r="DY183" s="6"/>
      <c r="DZ183" s="6"/>
      <c r="EA183" s="6"/>
      <c r="EB183" s="6"/>
      <c r="EC183" s="6"/>
      <c r="ED183" s="6"/>
      <c r="EE183" s="6"/>
      <c r="KK183" s="10"/>
      <c r="KL183" s="10"/>
      <c r="KM183" s="10"/>
      <c r="KN183" s="10"/>
      <c r="KO183" s="10"/>
      <c r="KP183" s="10"/>
      <c r="KQ183" s="10"/>
      <c r="KR183" s="10"/>
      <c r="KS183" s="10"/>
      <c r="KT183" s="10"/>
      <c r="KU183" s="10"/>
      <c r="KV183" s="10"/>
      <c r="KW183" s="10"/>
      <c r="KX183" s="10"/>
      <c r="KY183" s="10"/>
      <c r="KZ183" s="10"/>
      <c r="LA183" s="10"/>
      <c r="LB183" s="10"/>
      <c r="LC183" s="10"/>
      <c r="LD183" s="10"/>
    </row>
    <row r="184" spans="1:316" ht="15.75" customHeight="1" x14ac:dyDescent="0.25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6"/>
      <c r="BY184" s="6"/>
      <c r="BZ184" s="6"/>
      <c r="CA184" s="6"/>
      <c r="CB184" s="6"/>
      <c r="CC184" s="6"/>
      <c r="CD184" s="6"/>
      <c r="CE184" s="6"/>
      <c r="CF184" s="6"/>
      <c r="CG184" s="6"/>
      <c r="CH184" s="6"/>
      <c r="CI184" s="6"/>
      <c r="CJ184" s="6"/>
      <c r="CK184" s="6"/>
      <c r="CL184" s="6"/>
      <c r="CM184" s="6"/>
      <c r="CN184" s="6"/>
      <c r="CO184" s="6"/>
      <c r="CP184" s="6"/>
      <c r="CQ184" s="6"/>
      <c r="CR184" s="6"/>
      <c r="CS184" s="6"/>
      <c r="CT184" s="6"/>
      <c r="CU184" s="6"/>
      <c r="CV184" s="6"/>
      <c r="CW184" s="6"/>
      <c r="CX184" s="6"/>
      <c r="CY184" s="6"/>
      <c r="CZ184" s="6"/>
      <c r="DA184" s="6"/>
      <c r="DB184" s="6"/>
      <c r="DC184" s="6"/>
      <c r="DD184" s="6"/>
      <c r="DE184" s="6"/>
      <c r="DF184" s="6"/>
      <c r="DG184" s="6"/>
      <c r="DH184" s="6"/>
      <c r="DI184" s="6"/>
      <c r="DJ184" s="6"/>
      <c r="DK184" s="6"/>
      <c r="DL184" s="6"/>
      <c r="DM184" s="6"/>
      <c r="DN184" s="6"/>
      <c r="DO184" s="6"/>
      <c r="DP184" s="6"/>
      <c r="DQ184" s="6"/>
      <c r="DR184" s="6"/>
      <c r="DS184" s="6"/>
      <c r="DT184" s="6"/>
      <c r="DU184" s="6"/>
      <c r="DV184" s="6"/>
      <c r="DW184" s="6"/>
      <c r="DX184" s="6"/>
      <c r="DY184" s="6"/>
      <c r="DZ184" s="6"/>
      <c r="EA184" s="6"/>
      <c r="EB184" s="6"/>
      <c r="EC184" s="6"/>
      <c r="ED184" s="6"/>
      <c r="EE184" s="6"/>
      <c r="KK184" s="10"/>
      <c r="KL184" s="10"/>
      <c r="KM184" s="10"/>
      <c r="KN184" s="10"/>
      <c r="KO184" s="10"/>
      <c r="KP184" s="10"/>
      <c r="KQ184" s="10"/>
      <c r="KR184" s="10"/>
      <c r="KS184" s="10"/>
      <c r="KT184" s="10"/>
      <c r="KU184" s="10"/>
      <c r="KV184" s="10"/>
      <c r="KW184" s="10"/>
      <c r="KX184" s="10"/>
      <c r="KY184" s="10"/>
      <c r="KZ184" s="10"/>
      <c r="LA184" s="10"/>
      <c r="LB184" s="10"/>
      <c r="LC184" s="10"/>
      <c r="LD184" s="10"/>
    </row>
    <row r="185" spans="1:316" ht="15.75" customHeight="1" x14ac:dyDescent="0.25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6"/>
      <c r="BY185" s="6"/>
      <c r="BZ185" s="6"/>
      <c r="CA185" s="6"/>
      <c r="CB185" s="6"/>
      <c r="CC185" s="6"/>
      <c r="CD185" s="6"/>
      <c r="CE185" s="6"/>
      <c r="CF185" s="6"/>
      <c r="CG185" s="6"/>
      <c r="CH185" s="6"/>
      <c r="CI185" s="6"/>
      <c r="CJ185" s="6"/>
      <c r="CK185" s="6"/>
      <c r="CL185" s="6"/>
      <c r="CM185" s="6"/>
      <c r="CN185" s="6"/>
      <c r="CO185" s="6"/>
      <c r="CP185" s="6"/>
      <c r="CQ185" s="6"/>
      <c r="CR185" s="6"/>
      <c r="CS185" s="6"/>
      <c r="CT185" s="6"/>
      <c r="CU185" s="6"/>
      <c r="CV185" s="6"/>
      <c r="CW185" s="6"/>
      <c r="CX185" s="6"/>
      <c r="CY185" s="6"/>
      <c r="CZ185" s="6"/>
      <c r="DA185" s="6"/>
      <c r="DB185" s="6"/>
      <c r="DC185" s="6"/>
      <c r="DD185" s="6"/>
      <c r="DE185" s="6"/>
      <c r="DF185" s="6"/>
      <c r="DG185" s="6"/>
      <c r="DH185" s="6"/>
      <c r="DI185" s="6"/>
      <c r="DJ185" s="6"/>
      <c r="DK185" s="6"/>
      <c r="DL185" s="6"/>
      <c r="DM185" s="6"/>
      <c r="DN185" s="6"/>
      <c r="DO185" s="6"/>
      <c r="DP185" s="6"/>
      <c r="DQ185" s="6"/>
      <c r="DR185" s="6"/>
      <c r="DS185" s="6"/>
      <c r="DT185" s="6"/>
      <c r="DU185" s="6"/>
      <c r="DV185" s="6"/>
      <c r="DW185" s="6"/>
      <c r="DX185" s="6"/>
      <c r="DY185" s="6"/>
      <c r="DZ185" s="6"/>
      <c r="EA185" s="6"/>
      <c r="EB185" s="6"/>
      <c r="EC185" s="6"/>
      <c r="ED185" s="6"/>
      <c r="EE185" s="6"/>
      <c r="KK185" s="10"/>
      <c r="KL185" s="10"/>
      <c r="KM185" s="10"/>
      <c r="KN185" s="10"/>
      <c r="KO185" s="10"/>
      <c r="KP185" s="10"/>
      <c r="KQ185" s="10"/>
      <c r="KR185" s="10"/>
      <c r="KS185" s="10"/>
      <c r="KT185" s="10"/>
      <c r="KU185" s="10"/>
      <c r="KV185" s="10"/>
      <c r="KW185" s="10"/>
      <c r="KX185" s="10"/>
      <c r="KY185" s="10"/>
      <c r="KZ185" s="10"/>
      <c r="LA185" s="10"/>
      <c r="LB185" s="10"/>
      <c r="LC185" s="10"/>
      <c r="LD185" s="10"/>
    </row>
    <row r="186" spans="1:316" ht="15.75" customHeight="1" x14ac:dyDescent="0.25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6"/>
      <c r="BY186" s="6"/>
      <c r="BZ186" s="6"/>
      <c r="CA186" s="6"/>
      <c r="CB186" s="6"/>
      <c r="CC186" s="6"/>
      <c r="CD186" s="6"/>
      <c r="CE186" s="6"/>
      <c r="CF186" s="6"/>
      <c r="CG186" s="6"/>
      <c r="CH186" s="6"/>
      <c r="CI186" s="6"/>
      <c r="CJ186" s="6"/>
      <c r="CK186" s="6"/>
      <c r="CL186" s="6"/>
      <c r="CM186" s="6"/>
      <c r="CN186" s="6"/>
      <c r="CO186" s="6"/>
      <c r="CP186" s="6"/>
      <c r="CQ186" s="6"/>
      <c r="CR186" s="6"/>
      <c r="CS186" s="6"/>
      <c r="CT186" s="6"/>
      <c r="CU186" s="6"/>
      <c r="CV186" s="6"/>
      <c r="CW186" s="6"/>
      <c r="CX186" s="6"/>
      <c r="CY186" s="6"/>
      <c r="CZ186" s="6"/>
      <c r="DA186" s="6"/>
      <c r="DB186" s="6"/>
      <c r="DC186" s="6"/>
      <c r="DD186" s="6"/>
      <c r="DE186" s="6"/>
      <c r="DF186" s="6"/>
      <c r="DG186" s="6"/>
      <c r="DH186" s="6"/>
      <c r="DI186" s="6"/>
      <c r="DJ186" s="6"/>
      <c r="DK186" s="6"/>
      <c r="DL186" s="6"/>
      <c r="DM186" s="6"/>
      <c r="DN186" s="6"/>
      <c r="DO186" s="6"/>
      <c r="DP186" s="6"/>
      <c r="DQ186" s="6"/>
      <c r="DR186" s="6"/>
      <c r="DS186" s="6"/>
      <c r="DT186" s="6"/>
      <c r="DU186" s="6"/>
      <c r="DV186" s="6"/>
      <c r="DW186" s="6"/>
      <c r="DX186" s="6"/>
      <c r="DY186" s="6"/>
      <c r="DZ186" s="6"/>
      <c r="EA186" s="6"/>
      <c r="EB186" s="6"/>
      <c r="EC186" s="6"/>
      <c r="ED186" s="6"/>
      <c r="EE186" s="6"/>
      <c r="KK186" s="10"/>
      <c r="KL186" s="10"/>
      <c r="KM186" s="10"/>
      <c r="KN186" s="10"/>
      <c r="KO186" s="10"/>
      <c r="KP186" s="10"/>
      <c r="KQ186" s="10"/>
      <c r="KR186" s="10"/>
      <c r="KS186" s="10"/>
      <c r="KT186" s="10"/>
      <c r="KU186" s="10"/>
      <c r="KV186" s="10"/>
      <c r="KW186" s="10"/>
      <c r="KX186" s="10"/>
      <c r="KY186" s="10"/>
      <c r="KZ186" s="10"/>
      <c r="LA186" s="10"/>
      <c r="LB186" s="10"/>
      <c r="LC186" s="10"/>
      <c r="LD186" s="10"/>
    </row>
    <row r="187" spans="1:316" ht="15.75" customHeight="1" x14ac:dyDescent="0.25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6"/>
      <c r="BY187" s="6"/>
      <c r="BZ187" s="6"/>
      <c r="CA187" s="6"/>
      <c r="CB187" s="6"/>
      <c r="CC187" s="6"/>
      <c r="CD187" s="6"/>
      <c r="CE187" s="6"/>
      <c r="CF187" s="6"/>
      <c r="CG187" s="6"/>
      <c r="CH187" s="6"/>
      <c r="CI187" s="6"/>
      <c r="CJ187" s="6"/>
      <c r="CK187" s="6"/>
      <c r="CL187" s="6"/>
      <c r="CM187" s="6"/>
      <c r="CN187" s="6"/>
      <c r="CO187" s="6"/>
      <c r="CP187" s="6"/>
      <c r="CQ187" s="6"/>
      <c r="CR187" s="6"/>
      <c r="CS187" s="6"/>
      <c r="CT187" s="6"/>
      <c r="CU187" s="6"/>
      <c r="CV187" s="6"/>
      <c r="CW187" s="6"/>
      <c r="CX187" s="6"/>
      <c r="CY187" s="6"/>
      <c r="CZ187" s="6"/>
      <c r="DA187" s="6"/>
      <c r="DB187" s="6"/>
      <c r="DC187" s="6"/>
      <c r="DD187" s="6"/>
      <c r="DE187" s="6"/>
      <c r="DF187" s="6"/>
      <c r="DG187" s="6"/>
      <c r="DH187" s="6"/>
      <c r="DI187" s="6"/>
      <c r="DJ187" s="6"/>
      <c r="DK187" s="6"/>
      <c r="DL187" s="6"/>
      <c r="DM187" s="6"/>
      <c r="DN187" s="6"/>
      <c r="DO187" s="6"/>
      <c r="DP187" s="6"/>
      <c r="DQ187" s="6"/>
      <c r="DR187" s="6"/>
      <c r="DS187" s="6"/>
      <c r="DT187" s="6"/>
      <c r="DU187" s="6"/>
      <c r="DV187" s="6"/>
      <c r="DW187" s="6"/>
      <c r="DX187" s="6"/>
      <c r="DY187" s="6"/>
      <c r="DZ187" s="6"/>
      <c r="EA187" s="6"/>
      <c r="EB187" s="6"/>
      <c r="EC187" s="6"/>
      <c r="ED187" s="6"/>
      <c r="EE187" s="6"/>
      <c r="KK187" s="10"/>
      <c r="KL187" s="10"/>
      <c r="KM187" s="10"/>
      <c r="KN187" s="10"/>
      <c r="KO187" s="10"/>
      <c r="KP187" s="10"/>
      <c r="KQ187" s="10"/>
      <c r="KR187" s="10"/>
      <c r="KS187" s="10"/>
      <c r="KT187" s="10"/>
      <c r="KU187" s="10"/>
      <c r="KV187" s="10"/>
      <c r="KW187" s="10"/>
      <c r="KX187" s="10"/>
      <c r="KY187" s="10"/>
      <c r="KZ187" s="10"/>
      <c r="LA187" s="10"/>
      <c r="LB187" s="10"/>
      <c r="LC187" s="10"/>
      <c r="LD187" s="10"/>
    </row>
    <row r="188" spans="1:316" ht="15.75" customHeight="1" x14ac:dyDescent="0.25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6"/>
      <c r="BY188" s="6"/>
      <c r="BZ188" s="6"/>
      <c r="CA188" s="6"/>
      <c r="CB188" s="6"/>
      <c r="CC188" s="6"/>
      <c r="CD188" s="6"/>
      <c r="CE188" s="6"/>
      <c r="CF188" s="6"/>
      <c r="CG188" s="6"/>
      <c r="CH188" s="6"/>
      <c r="CI188" s="6"/>
      <c r="CJ188" s="6"/>
      <c r="CK188" s="6"/>
      <c r="CL188" s="6"/>
      <c r="CM188" s="6"/>
      <c r="CN188" s="6"/>
      <c r="CO188" s="6"/>
      <c r="CP188" s="6"/>
      <c r="CQ188" s="6"/>
      <c r="CR188" s="6"/>
      <c r="CS188" s="6"/>
      <c r="CT188" s="6"/>
      <c r="CU188" s="6"/>
      <c r="CV188" s="6"/>
      <c r="CW188" s="6"/>
      <c r="CX188" s="6"/>
      <c r="CY188" s="6"/>
      <c r="CZ188" s="6"/>
      <c r="DA188" s="6"/>
      <c r="DB188" s="6"/>
      <c r="DC188" s="6"/>
      <c r="DD188" s="6"/>
      <c r="DE188" s="6"/>
      <c r="DF188" s="6"/>
      <c r="DG188" s="6"/>
      <c r="DH188" s="6"/>
      <c r="DI188" s="6"/>
      <c r="DJ188" s="6"/>
      <c r="DK188" s="6"/>
      <c r="DL188" s="6"/>
      <c r="DM188" s="6"/>
      <c r="DN188" s="6"/>
      <c r="DO188" s="6"/>
      <c r="DP188" s="6"/>
      <c r="DQ188" s="6"/>
      <c r="DR188" s="6"/>
      <c r="DS188" s="6"/>
      <c r="DT188" s="6"/>
      <c r="DU188" s="6"/>
      <c r="DV188" s="6"/>
      <c r="DW188" s="6"/>
      <c r="DX188" s="6"/>
      <c r="DY188" s="6"/>
      <c r="DZ188" s="6"/>
      <c r="EA188" s="6"/>
      <c r="EB188" s="6"/>
      <c r="EC188" s="6"/>
      <c r="ED188" s="6"/>
      <c r="EE188" s="6"/>
      <c r="KK188" s="10"/>
      <c r="KL188" s="10"/>
      <c r="KM188" s="10"/>
      <c r="KN188" s="10"/>
      <c r="KO188" s="10"/>
      <c r="KP188" s="10"/>
      <c r="KQ188" s="10"/>
      <c r="KR188" s="10"/>
      <c r="KS188" s="10"/>
      <c r="KT188" s="10"/>
      <c r="KU188" s="10"/>
      <c r="KV188" s="10"/>
      <c r="KW188" s="10"/>
      <c r="KX188" s="10"/>
      <c r="KY188" s="10"/>
      <c r="KZ188" s="10"/>
      <c r="LA188" s="10"/>
      <c r="LB188" s="10"/>
      <c r="LC188" s="10"/>
      <c r="LD188" s="10"/>
    </row>
    <row r="189" spans="1:316" ht="15.75" customHeight="1" x14ac:dyDescent="0.25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6"/>
      <c r="BY189" s="6"/>
      <c r="BZ189" s="6"/>
      <c r="CA189" s="6"/>
      <c r="CB189" s="6"/>
      <c r="CC189" s="6"/>
      <c r="CD189" s="6"/>
      <c r="CE189" s="6"/>
      <c r="CF189" s="6"/>
      <c r="CG189" s="6"/>
      <c r="CH189" s="6"/>
      <c r="CI189" s="6"/>
      <c r="CJ189" s="6"/>
      <c r="CK189" s="6"/>
      <c r="CL189" s="6"/>
      <c r="CM189" s="6"/>
      <c r="CN189" s="6"/>
      <c r="CO189" s="6"/>
      <c r="CP189" s="6"/>
      <c r="CQ189" s="6"/>
      <c r="CR189" s="6"/>
      <c r="CS189" s="6"/>
      <c r="CT189" s="6"/>
      <c r="CU189" s="6"/>
      <c r="CV189" s="6"/>
      <c r="CW189" s="6"/>
      <c r="CX189" s="6"/>
      <c r="CY189" s="6"/>
      <c r="CZ189" s="6"/>
      <c r="DA189" s="6"/>
      <c r="DB189" s="6"/>
      <c r="DC189" s="6"/>
      <c r="DD189" s="6"/>
      <c r="DE189" s="6"/>
      <c r="DF189" s="6"/>
      <c r="DG189" s="6"/>
      <c r="DH189" s="6"/>
      <c r="DI189" s="6"/>
      <c r="DJ189" s="6"/>
      <c r="DK189" s="6"/>
      <c r="DL189" s="6"/>
      <c r="DM189" s="6"/>
      <c r="DN189" s="6"/>
      <c r="DO189" s="6"/>
      <c r="DP189" s="6"/>
      <c r="DQ189" s="6"/>
      <c r="DR189" s="6"/>
      <c r="DS189" s="6"/>
      <c r="DT189" s="6"/>
      <c r="DU189" s="6"/>
      <c r="DV189" s="6"/>
      <c r="DW189" s="6"/>
      <c r="DX189" s="6"/>
      <c r="DY189" s="6"/>
      <c r="DZ189" s="6"/>
      <c r="EA189" s="6"/>
      <c r="EB189" s="6"/>
      <c r="EC189" s="6"/>
      <c r="ED189" s="6"/>
      <c r="EE189" s="6"/>
      <c r="KK189" s="10"/>
      <c r="KL189" s="10"/>
      <c r="KM189" s="10"/>
      <c r="KN189" s="10"/>
      <c r="KO189" s="10"/>
      <c r="KP189" s="10"/>
      <c r="KQ189" s="10"/>
      <c r="KR189" s="10"/>
      <c r="KS189" s="10"/>
      <c r="KT189" s="10"/>
      <c r="KU189" s="10"/>
      <c r="KV189" s="10"/>
      <c r="KW189" s="10"/>
      <c r="KX189" s="10"/>
      <c r="KY189" s="10"/>
      <c r="KZ189" s="10"/>
      <c r="LA189" s="10"/>
      <c r="LB189" s="10"/>
      <c r="LC189" s="10"/>
      <c r="LD189" s="10"/>
    </row>
    <row r="190" spans="1:316" ht="15.75" customHeight="1" x14ac:dyDescent="0.25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6"/>
      <c r="BY190" s="6"/>
      <c r="BZ190" s="6"/>
      <c r="CA190" s="6"/>
      <c r="CB190" s="6"/>
      <c r="CC190" s="6"/>
      <c r="CD190" s="6"/>
      <c r="CE190" s="6"/>
      <c r="CF190" s="6"/>
      <c r="CG190" s="6"/>
      <c r="CH190" s="6"/>
      <c r="CI190" s="6"/>
      <c r="CJ190" s="6"/>
      <c r="CK190" s="6"/>
      <c r="CL190" s="6"/>
      <c r="CM190" s="6"/>
      <c r="CN190" s="6"/>
      <c r="CO190" s="6"/>
      <c r="CP190" s="6"/>
      <c r="CQ190" s="6"/>
      <c r="CR190" s="6"/>
      <c r="CS190" s="6"/>
      <c r="CT190" s="6"/>
      <c r="CU190" s="6"/>
      <c r="CV190" s="6"/>
      <c r="CW190" s="6"/>
      <c r="CX190" s="6"/>
      <c r="CY190" s="6"/>
      <c r="CZ190" s="6"/>
      <c r="DA190" s="6"/>
      <c r="DB190" s="6"/>
      <c r="DC190" s="6"/>
      <c r="DD190" s="6"/>
      <c r="DE190" s="6"/>
      <c r="DF190" s="6"/>
      <c r="DG190" s="6"/>
      <c r="DH190" s="6"/>
      <c r="DI190" s="6"/>
      <c r="DJ190" s="6"/>
      <c r="DK190" s="6"/>
      <c r="DL190" s="6"/>
      <c r="DM190" s="6"/>
      <c r="DN190" s="6"/>
      <c r="DO190" s="6"/>
      <c r="DP190" s="6"/>
      <c r="DQ190" s="6"/>
      <c r="DR190" s="6"/>
      <c r="DS190" s="6"/>
      <c r="DT190" s="6"/>
      <c r="DU190" s="6"/>
      <c r="DV190" s="6"/>
      <c r="DW190" s="6"/>
      <c r="DX190" s="6"/>
      <c r="DY190" s="6"/>
      <c r="DZ190" s="6"/>
      <c r="EA190" s="6"/>
      <c r="EB190" s="6"/>
      <c r="EC190" s="6"/>
      <c r="ED190" s="6"/>
      <c r="EE190" s="6"/>
      <c r="KK190" s="10"/>
      <c r="KL190" s="10"/>
      <c r="KM190" s="10"/>
      <c r="KN190" s="10"/>
      <c r="KO190" s="10"/>
      <c r="KP190" s="10"/>
      <c r="KQ190" s="10"/>
      <c r="KR190" s="10"/>
      <c r="KS190" s="10"/>
      <c r="KT190" s="10"/>
      <c r="KU190" s="10"/>
      <c r="KV190" s="10"/>
      <c r="KW190" s="10"/>
      <c r="KX190" s="10"/>
      <c r="KY190" s="10"/>
      <c r="KZ190" s="10"/>
      <c r="LA190" s="10"/>
      <c r="LB190" s="10"/>
      <c r="LC190" s="10"/>
      <c r="LD190" s="10"/>
    </row>
    <row r="191" spans="1:316" ht="15.75" customHeight="1" x14ac:dyDescent="0.25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6"/>
      <c r="BY191" s="6"/>
      <c r="BZ191" s="6"/>
      <c r="CA191" s="6"/>
      <c r="CB191" s="6"/>
      <c r="CC191" s="6"/>
      <c r="CD191" s="6"/>
      <c r="CE191" s="6"/>
      <c r="CF191" s="6"/>
      <c r="CG191" s="6"/>
      <c r="CH191" s="6"/>
      <c r="CI191" s="6"/>
      <c r="CJ191" s="6"/>
      <c r="CK191" s="6"/>
      <c r="CL191" s="6"/>
      <c r="CM191" s="6"/>
      <c r="CN191" s="6"/>
      <c r="CO191" s="6"/>
      <c r="CP191" s="6"/>
      <c r="CQ191" s="6"/>
      <c r="CR191" s="6"/>
      <c r="CS191" s="6"/>
      <c r="CT191" s="6"/>
      <c r="CU191" s="6"/>
      <c r="CV191" s="6"/>
      <c r="CW191" s="6"/>
      <c r="CX191" s="6"/>
      <c r="CY191" s="6"/>
      <c r="CZ191" s="6"/>
      <c r="DA191" s="6"/>
      <c r="DB191" s="6"/>
      <c r="DC191" s="6"/>
      <c r="DD191" s="6"/>
      <c r="DE191" s="6"/>
      <c r="DF191" s="6"/>
      <c r="DG191" s="6"/>
      <c r="DH191" s="6"/>
      <c r="DI191" s="6"/>
      <c r="DJ191" s="6"/>
      <c r="DK191" s="6"/>
      <c r="DL191" s="6"/>
      <c r="DM191" s="6"/>
      <c r="DN191" s="6"/>
      <c r="DO191" s="6"/>
      <c r="DP191" s="6"/>
      <c r="DQ191" s="6"/>
      <c r="DR191" s="6"/>
      <c r="DS191" s="6"/>
      <c r="DT191" s="6"/>
      <c r="DU191" s="6"/>
      <c r="DV191" s="6"/>
      <c r="DW191" s="6"/>
      <c r="DX191" s="6"/>
      <c r="DY191" s="6"/>
      <c r="DZ191" s="6"/>
      <c r="EA191" s="6"/>
      <c r="EB191" s="6"/>
      <c r="EC191" s="6"/>
      <c r="ED191" s="6"/>
      <c r="EE191" s="6"/>
      <c r="KK191" s="10"/>
      <c r="KL191" s="10"/>
      <c r="KM191" s="10"/>
      <c r="KN191" s="10"/>
      <c r="KO191" s="10"/>
      <c r="KP191" s="10"/>
      <c r="KQ191" s="10"/>
      <c r="KR191" s="10"/>
      <c r="KS191" s="10"/>
      <c r="KT191" s="10"/>
      <c r="KU191" s="10"/>
      <c r="KV191" s="10"/>
      <c r="KW191" s="10"/>
      <c r="KX191" s="10"/>
      <c r="KY191" s="10"/>
      <c r="KZ191" s="10"/>
      <c r="LA191" s="10"/>
      <c r="LB191" s="10"/>
      <c r="LC191" s="10"/>
      <c r="LD191" s="10"/>
    </row>
    <row r="192" spans="1:316" ht="15.75" customHeight="1" x14ac:dyDescent="0.25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6"/>
      <c r="BY192" s="6"/>
      <c r="BZ192" s="6"/>
      <c r="CA192" s="6"/>
      <c r="CB192" s="6"/>
      <c r="CC192" s="6"/>
      <c r="CD192" s="6"/>
      <c r="CE192" s="6"/>
      <c r="CF192" s="6"/>
      <c r="CG192" s="6"/>
      <c r="CH192" s="6"/>
      <c r="CI192" s="6"/>
      <c r="CJ192" s="6"/>
      <c r="CK192" s="6"/>
      <c r="CL192" s="6"/>
      <c r="CM192" s="6"/>
      <c r="CN192" s="6"/>
      <c r="CO192" s="6"/>
      <c r="CP192" s="6"/>
      <c r="CQ192" s="6"/>
      <c r="CR192" s="6"/>
      <c r="CS192" s="6"/>
      <c r="CT192" s="6"/>
      <c r="CU192" s="6"/>
      <c r="CV192" s="6"/>
      <c r="CW192" s="6"/>
      <c r="CX192" s="6"/>
      <c r="CY192" s="6"/>
      <c r="CZ192" s="6"/>
      <c r="DA192" s="6"/>
      <c r="DB192" s="6"/>
      <c r="DC192" s="6"/>
      <c r="DD192" s="6"/>
      <c r="DE192" s="6"/>
      <c r="DF192" s="6"/>
      <c r="DG192" s="6"/>
      <c r="DH192" s="6"/>
      <c r="DI192" s="6"/>
      <c r="DJ192" s="6"/>
      <c r="DK192" s="6"/>
      <c r="DL192" s="6"/>
      <c r="DM192" s="6"/>
      <c r="DN192" s="6"/>
      <c r="DO192" s="6"/>
      <c r="DP192" s="6"/>
      <c r="DQ192" s="6"/>
      <c r="DR192" s="6"/>
      <c r="DS192" s="6"/>
      <c r="DT192" s="6"/>
      <c r="DU192" s="6"/>
      <c r="DV192" s="6"/>
      <c r="DW192" s="6"/>
      <c r="DX192" s="6"/>
      <c r="DY192" s="6"/>
      <c r="DZ192" s="6"/>
      <c r="EA192" s="6"/>
      <c r="EB192" s="6"/>
      <c r="EC192" s="6"/>
      <c r="ED192" s="6"/>
      <c r="EE192" s="6"/>
      <c r="KK192" s="10"/>
      <c r="KL192" s="10"/>
      <c r="KM192" s="10"/>
      <c r="KN192" s="10"/>
      <c r="KO192" s="10"/>
      <c r="KP192" s="10"/>
      <c r="KQ192" s="10"/>
      <c r="KR192" s="10"/>
      <c r="KS192" s="10"/>
      <c r="KT192" s="10"/>
      <c r="KU192" s="10"/>
      <c r="KV192" s="10"/>
      <c r="KW192" s="10"/>
      <c r="KX192" s="10"/>
      <c r="KY192" s="10"/>
      <c r="KZ192" s="10"/>
      <c r="LA192" s="10"/>
      <c r="LB192" s="10"/>
      <c r="LC192" s="10"/>
      <c r="LD192" s="10"/>
    </row>
    <row r="193" spans="1:316" ht="15.75" customHeight="1" x14ac:dyDescent="0.25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6"/>
      <c r="BY193" s="6"/>
      <c r="BZ193" s="6"/>
      <c r="CA193" s="6"/>
      <c r="CB193" s="6"/>
      <c r="CC193" s="6"/>
      <c r="CD193" s="6"/>
      <c r="CE193" s="6"/>
      <c r="CF193" s="6"/>
      <c r="CG193" s="6"/>
      <c r="CH193" s="6"/>
      <c r="CI193" s="6"/>
      <c r="CJ193" s="6"/>
      <c r="CK193" s="6"/>
      <c r="CL193" s="6"/>
      <c r="CM193" s="6"/>
      <c r="CN193" s="6"/>
      <c r="CO193" s="6"/>
      <c r="CP193" s="6"/>
      <c r="CQ193" s="6"/>
      <c r="CR193" s="6"/>
      <c r="CS193" s="6"/>
      <c r="CT193" s="6"/>
      <c r="CU193" s="6"/>
      <c r="CV193" s="6"/>
      <c r="CW193" s="6"/>
      <c r="CX193" s="6"/>
      <c r="CY193" s="6"/>
      <c r="CZ193" s="6"/>
      <c r="DA193" s="6"/>
      <c r="DB193" s="6"/>
      <c r="DC193" s="6"/>
      <c r="DD193" s="6"/>
      <c r="DE193" s="6"/>
      <c r="DF193" s="6"/>
      <c r="DG193" s="6"/>
      <c r="DH193" s="6"/>
      <c r="DI193" s="6"/>
      <c r="DJ193" s="6"/>
      <c r="DK193" s="6"/>
      <c r="DL193" s="6"/>
      <c r="DM193" s="6"/>
      <c r="DN193" s="6"/>
      <c r="DO193" s="6"/>
      <c r="DP193" s="6"/>
      <c r="DQ193" s="6"/>
      <c r="DR193" s="6"/>
      <c r="DS193" s="6"/>
      <c r="DT193" s="6"/>
      <c r="DU193" s="6"/>
      <c r="DV193" s="6"/>
      <c r="DW193" s="6"/>
      <c r="DX193" s="6"/>
      <c r="DY193" s="6"/>
      <c r="DZ193" s="6"/>
      <c r="EA193" s="6"/>
      <c r="EB193" s="6"/>
      <c r="EC193" s="6"/>
      <c r="ED193" s="6"/>
      <c r="EE193" s="6"/>
      <c r="KK193" s="10"/>
      <c r="KL193" s="10"/>
      <c r="KM193" s="10"/>
      <c r="KN193" s="10"/>
      <c r="KO193" s="10"/>
      <c r="KP193" s="10"/>
      <c r="KQ193" s="10"/>
      <c r="KR193" s="10"/>
      <c r="KS193" s="10"/>
      <c r="KT193" s="10"/>
      <c r="KU193" s="10"/>
      <c r="KV193" s="10"/>
      <c r="KW193" s="10"/>
      <c r="KX193" s="10"/>
      <c r="KY193" s="10"/>
      <c r="KZ193" s="10"/>
      <c r="LA193" s="10"/>
      <c r="LB193" s="10"/>
      <c r="LC193" s="10"/>
      <c r="LD193" s="10"/>
    </row>
    <row r="194" spans="1:316" ht="15.75" customHeight="1" x14ac:dyDescent="0.25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6"/>
      <c r="BY194" s="6"/>
      <c r="BZ194" s="6"/>
      <c r="CA194" s="6"/>
      <c r="CB194" s="6"/>
      <c r="CC194" s="6"/>
      <c r="CD194" s="6"/>
      <c r="CE194" s="6"/>
      <c r="CF194" s="6"/>
      <c r="CG194" s="6"/>
      <c r="CH194" s="6"/>
      <c r="CI194" s="6"/>
      <c r="CJ194" s="6"/>
      <c r="CK194" s="6"/>
      <c r="CL194" s="6"/>
      <c r="CM194" s="6"/>
      <c r="CN194" s="6"/>
      <c r="CO194" s="6"/>
      <c r="CP194" s="6"/>
      <c r="CQ194" s="6"/>
      <c r="CR194" s="6"/>
      <c r="CS194" s="6"/>
      <c r="CT194" s="6"/>
      <c r="CU194" s="6"/>
      <c r="CV194" s="6"/>
      <c r="CW194" s="6"/>
      <c r="CX194" s="6"/>
      <c r="CY194" s="6"/>
      <c r="CZ194" s="6"/>
      <c r="DA194" s="6"/>
      <c r="DB194" s="6"/>
      <c r="DC194" s="6"/>
      <c r="DD194" s="6"/>
      <c r="DE194" s="6"/>
      <c r="DF194" s="6"/>
      <c r="DG194" s="6"/>
      <c r="DH194" s="6"/>
      <c r="DI194" s="6"/>
      <c r="DJ194" s="6"/>
      <c r="DK194" s="6"/>
      <c r="DL194" s="6"/>
      <c r="DM194" s="6"/>
      <c r="DN194" s="6"/>
      <c r="DO194" s="6"/>
      <c r="DP194" s="6"/>
      <c r="DQ194" s="6"/>
      <c r="DR194" s="6"/>
      <c r="DS194" s="6"/>
      <c r="DT194" s="6"/>
      <c r="DU194" s="6"/>
      <c r="DV194" s="6"/>
      <c r="DW194" s="6"/>
      <c r="DX194" s="6"/>
      <c r="DY194" s="6"/>
      <c r="DZ194" s="6"/>
      <c r="EA194" s="6"/>
      <c r="EB194" s="6"/>
      <c r="EC194" s="6"/>
      <c r="ED194" s="6"/>
      <c r="EE194" s="6"/>
      <c r="KK194" s="10"/>
      <c r="KL194" s="10"/>
      <c r="KM194" s="10"/>
      <c r="KN194" s="10"/>
      <c r="KO194" s="10"/>
      <c r="KP194" s="10"/>
      <c r="KQ194" s="10"/>
      <c r="KR194" s="10"/>
      <c r="KS194" s="10"/>
      <c r="KT194" s="10"/>
      <c r="KU194" s="10"/>
      <c r="KV194" s="10"/>
      <c r="KW194" s="10"/>
      <c r="KX194" s="10"/>
      <c r="KY194" s="10"/>
      <c r="KZ194" s="10"/>
      <c r="LA194" s="10"/>
      <c r="LB194" s="10"/>
      <c r="LC194" s="10"/>
      <c r="LD194" s="10"/>
    </row>
    <row r="195" spans="1:316" ht="15.75" customHeight="1" x14ac:dyDescent="0.25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6"/>
      <c r="BY195" s="6"/>
      <c r="BZ195" s="6"/>
      <c r="CA195" s="6"/>
      <c r="CB195" s="6"/>
      <c r="CC195" s="6"/>
      <c r="CD195" s="6"/>
      <c r="CE195" s="6"/>
      <c r="CF195" s="6"/>
      <c r="CG195" s="6"/>
      <c r="CH195" s="6"/>
      <c r="CI195" s="6"/>
      <c r="CJ195" s="6"/>
      <c r="CK195" s="6"/>
      <c r="CL195" s="6"/>
      <c r="CM195" s="6"/>
      <c r="CN195" s="6"/>
      <c r="CO195" s="6"/>
      <c r="CP195" s="6"/>
      <c r="CQ195" s="6"/>
      <c r="CR195" s="6"/>
      <c r="CS195" s="6"/>
      <c r="CT195" s="6"/>
      <c r="CU195" s="6"/>
      <c r="CV195" s="6"/>
      <c r="CW195" s="6"/>
      <c r="CX195" s="6"/>
      <c r="CY195" s="6"/>
      <c r="CZ195" s="6"/>
      <c r="DA195" s="6"/>
      <c r="DB195" s="6"/>
      <c r="DC195" s="6"/>
      <c r="DD195" s="6"/>
      <c r="DE195" s="6"/>
      <c r="DF195" s="6"/>
      <c r="DG195" s="6"/>
      <c r="DH195" s="6"/>
      <c r="DI195" s="6"/>
      <c r="DJ195" s="6"/>
      <c r="DK195" s="6"/>
      <c r="DL195" s="6"/>
      <c r="DM195" s="6"/>
      <c r="DN195" s="6"/>
      <c r="DO195" s="6"/>
      <c r="DP195" s="6"/>
      <c r="DQ195" s="6"/>
      <c r="DR195" s="6"/>
      <c r="DS195" s="6"/>
      <c r="DT195" s="6"/>
      <c r="DU195" s="6"/>
      <c r="DV195" s="6"/>
      <c r="DW195" s="6"/>
      <c r="DX195" s="6"/>
      <c r="DY195" s="6"/>
      <c r="DZ195" s="6"/>
      <c r="EA195" s="6"/>
      <c r="EB195" s="6"/>
      <c r="EC195" s="6"/>
      <c r="ED195" s="6"/>
      <c r="EE195" s="6"/>
      <c r="KK195" s="10"/>
      <c r="KL195" s="10"/>
      <c r="KM195" s="10"/>
      <c r="KN195" s="10"/>
      <c r="KO195" s="10"/>
      <c r="KP195" s="10"/>
      <c r="KQ195" s="10"/>
      <c r="KR195" s="10"/>
      <c r="KS195" s="10"/>
      <c r="KT195" s="10"/>
      <c r="KU195" s="10"/>
      <c r="KV195" s="10"/>
      <c r="KW195" s="10"/>
      <c r="KX195" s="10"/>
      <c r="KY195" s="10"/>
      <c r="KZ195" s="10"/>
      <c r="LA195" s="10"/>
      <c r="LB195" s="10"/>
      <c r="LC195" s="10"/>
      <c r="LD195" s="10"/>
    </row>
    <row r="196" spans="1:316" ht="15.75" customHeight="1" x14ac:dyDescent="0.25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6"/>
      <c r="BY196" s="6"/>
      <c r="BZ196" s="6"/>
      <c r="CA196" s="6"/>
      <c r="CB196" s="6"/>
      <c r="CC196" s="6"/>
      <c r="CD196" s="6"/>
      <c r="CE196" s="6"/>
      <c r="CF196" s="6"/>
      <c r="CG196" s="6"/>
      <c r="CH196" s="6"/>
      <c r="CI196" s="6"/>
      <c r="CJ196" s="6"/>
      <c r="CK196" s="6"/>
      <c r="CL196" s="6"/>
      <c r="CM196" s="6"/>
      <c r="CN196" s="6"/>
      <c r="CO196" s="6"/>
      <c r="CP196" s="6"/>
      <c r="CQ196" s="6"/>
      <c r="CR196" s="6"/>
      <c r="CS196" s="6"/>
      <c r="CT196" s="6"/>
      <c r="CU196" s="6"/>
      <c r="CV196" s="6"/>
      <c r="CW196" s="6"/>
      <c r="CX196" s="6"/>
      <c r="CY196" s="6"/>
      <c r="CZ196" s="6"/>
      <c r="DA196" s="6"/>
      <c r="DB196" s="6"/>
      <c r="DC196" s="6"/>
      <c r="DD196" s="6"/>
      <c r="DE196" s="6"/>
      <c r="DF196" s="6"/>
      <c r="DG196" s="6"/>
      <c r="DH196" s="6"/>
      <c r="DI196" s="6"/>
      <c r="DJ196" s="6"/>
      <c r="DK196" s="6"/>
      <c r="DL196" s="6"/>
      <c r="DM196" s="6"/>
      <c r="DN196" s="6"/>
      <c r="DO196" s="6"/>
      <c r="DP196" s="6"/>
      <c r="DQ196" s="6"/>
      <c r="DR196" s="6"/>
      <c r="DS196" s="6"/>
      <c r="DT196" s="6"/>
      <c r="DU196" s="6"/>
      <c r="DV196" s="6"/>
      <c r="DW196" s="6"/>
      <c r="DX196" s="6"/>
      <c r="DY196" s="6"/>
      <c r="DZ196" s="6"/>
      <c r="EA196" s="6"/>
      <c r="EB196" s="6"/>
      <c r="EC196" s="6"/>
      <c r="ED196" s="6"/>
      <c r="EE196" s="6"/>
      <c r="KK196" s="10"/>
      <c r="KL196" s="10"/>
      <c r="KM196" s="10"/>
      <c r="KN196" s="10"/>
      <c r="KO196" s="10"/>
      <c r="KP196" s="10"/>
      <c r="KQ196" s="10"/>
      <c r="KR196" s="10"/>
      <c r="KS196" s="10"/>
      <c r="KT196" s="10"/>
      <c r="KU196" s="10"/>
      <c r="KV196" s="10"/>
      <c r="KW196" s="10"/>
      <c r="KX196" s="10"/>
      <c r="KY196" s="10"/>
      <c r="KZ196" s="10"/>
      <c r="LA196" s="10"/>
      <c r="LB196" s="10"/>
      <c r="LC196" s="10"/>
      <c r="LD196" s="10"/>
    </row>
    <row r="197" spans="1:316" ht="15.75" customHeight="1" x14ac:dyDescent="0.25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6"/>
      <c r="BY197" s="6"/>
      <c r="BZ197" s="6"/>
      <c r="CA197" s="6"/>
      <c r="CB197" s="6"/>
      <c r="CC197" s="6"/>
      <c r="CD197" s="6"/>
      <c r="CE197" s="6"/>
      <c r="CF197" s="6"/>
      <c r="CG197" s="6"/>
      <c r="CH197" s="6"/>
      <c r="CI197" s="6"/>
      <c r="CJ197" s="6"/>
      <c r="CK197" s="6"/>
      <c r="CL197" s="6"/>
      <c r="CM197" s="6"/>
      <c r="CN197" s="6"/>
      <c r="CO197" s="6"/>
      <c r="CP197" s="6"/>
      <c r="CQ197" s="6"/>
      <c r="CR197" s="6"/>
      <c r="CS197" s="6"/>
      <c r="CT197" s="6"/>
      <c r="CU197" s="6"/>
      <c r="CV197" s="6"/>
      <c r="CW197" s="6"/>
      <c r="CX197" s="6"/>
      <c r="CY197" s="6"/>
      <c r="CZ197" s="6"/>
      <c r="DA197" s="6"/>
      <c r="DB197" s="6"/>
      <c r="DC197" s="6"/>
      <c r="DD197" s="6"/>
      <c r="DE197" s="6"/>
      <c r="DF197" s="6"/>
      <c r="DG197" s="6"/>
      <c r="DH197" s="6"/>
      <c r="DI197" s="6"/>
      <c r="DJ197" s="6"/>
      <c r="DK197" s="6"/>
      <c r="DL197" s="6"/>
      <c r="DM197" s="6"/>
      <c r="DN197" s="6"/>
      <c r="DO197" s="6"/>
      <c r="DP197" s="6"/>
      <c r="DQ197" s="6"/>
      <c r="DR197" s="6"/>
      <c r="DS197" s="6"/>
      <c r="DT197" s="6"/>
      <c r="DU197" s="6"/>
      <c r="DV197" s="6"/>
      <c r="DW197" s="6"/>
      <c r="DX197" s="6"/>
      <c r="DY197" s="6"/>
      <c r="DZ197" s="6"/>
      <c r="EA197" s="6"/>
      <c r="EB197" s="6"/>
      <c r="EC197" s="6"/>
      <c r="ED197" s="6"/>
      <c r="EE197" s="6"/>
      <c r="KK197" s="10"/>
      <c r="KL197" s="10"/>
      <c r="KM197" s="10"/>
      <c r="KN197" s="10"/>
      <c r="KO197" s="10"/>
      <c r="KP197" s="10"/>
      <c r="KQ197" s="10"/>
      <c r="KR197" s="10"/>
      <c r="KS197" s="10"/>
      <c r="KT197" s="10"/>
      <c r="KU197" s="10"/>
      <c r="KV197" s="10"/>
      <c r="KW197" s="10"/>
      <c r="KX197" s="10"/>
      <c r="KY197" s="10"/>
      <c r="KZ197" s="10"/>
      <c r="LA197" s="10"/>
      <c r="LB197" s="10"/>
      <c r="LC197" s="10"/>
      <c r="LD197" s="10"/>
    </row>
    <row r="198" spans="1:316" ht="15.75" customHeight="1" x14ac:dyDescent="0.25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6"/>
      <c r="BY198" s="6"/>
      <c r="BZ198" s="6"/>
      <c r="CA198" s="6"/>
      <c r="CB198" s="6"/>
      <c r="CC198" s="6"/>
      <c r="CD198" s="6"/>
      <c r="CE198" s="6"/>
      <c r="CF198" s="6"/>
      <c r="CG198" s="6"/>
      <c r="CH198" s="6"/>
      <c r="CI198" s="6"/>
      <c r="CJ198" s="6"/>
      <c r="CK198" s="6"/>
      <c r="CL198" s="6"/>
      <c r="CM198" s="6"/>
      <c r="CN198" s="6"/>
      <c r="CO198" s="6"/>
      <c r="CP198" s="6"/>
      <c r="CQ198" s="6"/>
      <c r="CR198" s="6"/>
      <c r="CS198" s="6"/>
      <c r="CT198" s="6"/>
      <c r="CU198" s="6"/>
      <c r="CV198" s="6"/>
      <c r="CW198" s="6"/>
      <c r="CX198" s="6"/>
      <c r="CY198" s="6"/>
      <c r="CZ198" s="6"/>
      <c r="DA198" s="6"/>
      <c r="DB198" s="6"/>
      <c r="DC198" s="6"/>
      <c r="DD198" s="6"/>
      <c r="DE198" s="6"/>
      <c r="DF198" s="6"/>
      <c r="DG198" s="6"/>
      <c r="DH198" s="6"/>
      <c r="DI198" s="6"/>
      <c r="DJ198" s="6"/>
      <c r="DK198" s="6"/>
      <c r="DL198" s="6"/>
      <c r="DM198" s="6"/>
      <c r="DN198" s="6"/>
      <c r="DO198" s="6"/>
      <c r="DP198" s="6"/>
      <c r="DQ198" s="6"/>
      <c r="DR198" s="6"/>
      <c r="DS198" s="6"/>
      <c r="DT198" s="6"/>
      <c r="DU198" s="6"/>
      <c r="DV198" s="6"/>
      <c r="DW198" s="6"/>
      <c r="DX198" s="6"/>
      <c r="DY198" s="6"/>
      <c r="DZ198" s="6"/>
      <c r="EA198" s="6"/>
      <c r="EB198" s="6"/>
      <c r="EC198" s="6"/>
      <c r="ED198" s="6"/>
      <c r="EE198" s="6"/>
      <c r="KK198" s="10"/>
      <c r="KL198" s="10"/>
      <c r="KM198" s="10"/>
      <c r="KN198" s="10"/>
      <c r="KO198" s="10"/>
      <c r="KP198" s="10"/>
      <c r="KQ198" s="10"/>
      <c r="KR198" s="10"/>
      <c r="KS198" s="10"/>
      <c r="KT198" s="10"/>
      <c r="KU198" s="10"/>
      <c r="KV198" s="10"/>
      <c r="KW198" s="10"/>
      <c r="KX198" s="10"/>
      <c r="KY198" s="10"/>
      <c r="KZ198" s="10"/>
      <c r="LA198" s="10"/>
      <c r="LB198" s="10"/>
      <c r="LC198" s="10"/>
      <c r="LD198" s="10"/>
    </row>
    <row r="199" spans="1:316" ht="15.75" customHeight="1" x14ac:dyDescent="0.25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6"/>
      <c r="BY199" s="6"/>
      <c r="BZ199" s="6"/>
      <c r="CA199" s="6"/>
      <c r="CB199" s="6"/>
      <c r="CC199" s="6"/>
      <c r="CD199" s="6"/>
      <c r="CE199" s="6"/>
      <c r="CF199" s="6"/>
      <c r="CG199" s="6"/>
      <c r="CH199" s="6"/>
      <c r="CI199" s="6"/>
      <c r="CJ199" s="6"/>
      <c r="CK199" s="6"/>
      <c r="CL199" s="6"/>
      <c r="CM199" s="6"/>
      <c r="CN199" s="6"/>
      <c r="CO199" s="6"/>
      <c r="CP199" s="6"/>
      <c r="CQ199" s="6"/>
      <c r="CR199" s="6"/>
      <c r="CS199" s="6"/>
      <c r="CT199" s="6"/>
      <c r="CU199" s="6"/>
      <c r="CV199" s="6"/>
      <c r="CW199" s="6"/>
      <c r="CX199" s="6"/>
      <c r="CY199" s="6"/>
      <c r="CZ199" s="6"/>
      <c r="DA199" s="6"/>
      <c r="DB199" s="6"/>
      <c r="DC199" s="6"/>
      <c r="DD199" s="6"/>
      <c r="DE199" s="6"/>
      <c r="DF199" s="6"/>
      <c r="DG199" s="6"/>
      <c r="DH199" s="6"/>
      <c r="DI199" s="6"/>
      <c r="DJ199" s="6"/>
      <c r="DK199" s="6"/>
      <c r="DL199" s="6"/>
      <c r="DM199" s="6"/>
      <c r="DN199" s="6"/>
      <c r="DO199" s="6"/>
      <c r="DP199" s="6"/>
      <c r="DQ199" s="6"/>
      <c r="DR199" s="6"/>
      <c r="DS199" s="6"/>
      <c r="DT199" s="6"/>
      <c r="DU199" s="6"/>
      <c r="DV199" s="6"/>
      <c r="DW199" s="6"/>
      <c r="DX199" s="6"/>
      <c r="DY199" s="6"/>
      <c r="DZ199" s="6"/>
      <c r="EA199" s="6"/>
      <c r="EB199" s="6"/>
      <c r="EC199" s="6"/>
      <c r="ED199" s="6"/>
      <c r="EE199" s="6"/>
      <c r="KK199" s="10"/>
      <c r="KL199" s="10"/>
      <c r="KM199" s="10"/>
      <c r="KN199" s="10"/>
      <c r="KO199" s="10"/>
      <c r="KP199" s="10"/>
      <c r="KQ199" s="10"/>
      <c r="KR199" s="10"/>
      <c r="KS199" s="10"/>
      <c r="KT199" s="10"/>
      <c r="KU199" s="10"/>
      <c r="KV199" s="10"/>
      <c r="KW199" s="10"/>
      <c r="KX199" s="10"/>
      <c r="KY199" s="10"/>
      <c r="KZ199" s="10"/>
      <c r="LA199" s="10"/>
      <c r="LB199" s="10"/>
      <c r="LC199" s="10"/>
      <c r="LD199" s="10"/>
    </row>
    <row r="200" spans="1:316" ht="15.75" customHeight="1" x14ac:dyDescent="0.25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6"/>
      <c r="BY200" s="6"/>
      <c r="BZ200" s="6"/>
      <c r="CA200" s="6"/>
      <c r="CB200" s="6"/>
      <c r="CC200" s="6"/>
      <c r="CD200" s="6"/>
      <c r="CE200" s="6"/>
      <c r="CF200" s="6"/>
      <c r="CG200" s="6"/>
      <c r="CH200" s="6"/>
      <c r="CI200" s="6"/>
      <c r="CJ200" s="6"/>
      <c r="CK200" s="6"/>
      <c r="CL200" s="6"/>
      <c r="CM200" s="6"/>
      <c r="CN200" s="6"/>
      <c r="CO200" s="6"/>
      <c r="CP200" s="6"/>
      <c r="CQ200" s="6"/>
      <c r="CR200" s="6"/>
      <c r="CS200" s="6"/>
      <c r="CT200" s="6"/>
      <c r="CU200" s="6"/>
      <c r="CV200" s="6"/>
      <c r="CW200" s="6"/>
      <c r="CX200" s="6"/>
      <c r="CY200" s="6"/>
      <c r="CZ200" s="6"/>
      <c r="DA200" s="6"/>
      <c r="DB200" s="6"/>
      <c r="DC200" s="6"/>
      <c r="DD200" s="6"/>
      <c r="DE200" s="6"/>
      <c r="DF200" s="6"/>
      <c r="DG200" s="6"/>
      <c r="DH200" s="6"/>
      <c r="DI200" s="6"/>
      <c r="DJ200" s="6"/>
      <c r="DK200" s="6"/>
      <c r="DL200" s="6"/>
      <c r="DM200" s="6"/>
      <c r="DN200" s="6"/>
      <c r="DO200" s="6"/>
      <c r="DP200" s="6"/>
      <c r="DQ200" s="6"/>
      <c r="DR200" s="6"/>
      <c r="DS200" s="6"/>
      <c r="DT200" s="6"/>
      <c r="DU200" s="6"/>
      <c r="DV200" s="6"/>
      <c r="DW200" s="6"/>
      <c r="DX200" s="6"/>
      <c r="DY200" s="6"/>
      <c r="DZ200" s="6"/>
      <c r="EA200" s="6"/>
      <c r="EB200" s="6"/>
      <c r="EC200" s="6"/>
      <c r="ED200" s="6"/>
      <c r="EE200" s="6"/>
      <c r="KK200" s="10"/>
      <c r="KL200" s="10"/>
      <c r="KM200" s="10"/>
      <c r="KN200" s="10"/>
      <c r="KO200" s="10"/>
      <c r="KP200" s="10"/>
      <c r="KQ200" s="10"/>
      <c r="KR200" s="10"/>
      <c r="KS200" s="10"/>
      <c r="KT200" s="10"/>
      <c r="KU200" s="10"/>
      <c r="KV200" s="10"/>
      <c r="KW200" s="10"/>
      <c r="KX200" s="10"/>
      <c r="KY200" s="10"/>
      <c r="KZ200" s="10"/>
      <c r="LA200" s="10"/>
      <c r="LB200" s="10"/>
      <c r="LC200" s="10"/>
      <c r="LD200" s="10"/>
    </row>
    <row r="201" spans="1:316" ht="15.75" customHeight="1" x14ac:dyDescent="0.25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6"/>
      <c r="BY201" s="6"/>
      <c r="BZ201" s="6"/>
      <c r="CA201" s="6"/>
      <c r="CB201" s="6"/>
      <c r="CC201" s="6"/>
      <c r="CD201" s="6"/>
      <c r="CE201" s="6"/>
      <c r="CF201" s="6"/>
      <c r="CG201" s="6"/>
      <c r="CH201" s="6"/>
      <c r="CI201" s="6"/>
      <c r="CJ201" s="6"/>
      <c r="CK201" s="6"/>
      <c r="CL201" s="6"/>
      <c r="CM201" s="6"/>
      <c r="CN201" s="6"/>
      <c r="CO201" s="6"/>
      <c r="CP201" s="6"/>
      <c r="CQ201" s="6"/>
      <c r="CR201" s="6"/>
      <c r="CS201" s="6"/>
      <c r="CT201" s="6"/>
      <c r="CU201" s="6"/>
      <c r="CV201" s="6"/>
      <c r="CW201" s="6"/>
      <c r="CX201" s="6"/>
      <c r="CY201" s="6"/>
      <c r="CZ201" s="6"/>
      <c r="DA201" s="6"/>
      <c r="DB201" s="6"/>
      <c r="DC201" s="6"/>
      <c r="DD201" s="6"/>
      <c r="DE201" s="6"/>
      <c r="DF201" s="6"/>
      <c r="DG201" s="6"/>
      <c r="DH201" s="6"/>
      <c r="DI201" s="6"/>
      <c r="DJ201" s="6"/>
      <c r="DK201" s="6"/>
      <c r="DL201" s="6"/>
      <c r="DM201" s="6"/>
      <c r="DN201" s="6"/>
      <c r="DO201" s="6"/>
      <c r="DP201" s="6"/>
      <c r="DQ201" s="6"/>
      <c r="DR201" s="6"/>
      <c r="DS201" s="6"/>
      <c r="DT201" s="6"/>
      <c r="DU201" s="6"/>
      <c r="DV201" s="6"/>
      <c r="DW201" s="6"/>
      <c r="DX201" s="6"/>
      <c r="DY201" s="6"/>
      <c r="DZ201" s="6"/>
      <c r="EA201" s="6"/>
      <c r="EB201" s="6"/>
      <c r="EC201" s="6"/>
      <c r="ED201" s="6"/>
      <c r="EE201" s="6"/>
      <c r="KK201" s="10"/>
      <c r="KL201" s="10"/>
      <c r="KM201" s="10"/>
      <c r="KN201" s="10"/>
      <c r="KO201" s="10"/>
      <c r="KP201" s="10"/>
      <c r="KQ201" s="10"/>
      <c r="KR201" s="10"/>
      <c r="KS201" s="10"/>
      <c r="KT201" s="10"/>
      <c r="KU201" s="10"/>
      <c r="KV201" s="10"/>
      <c r="KW201" s="10"/>
      <c r="KX201" s="10"/>
      <c r="KY201" s="10"/>
      <c r="KZ201" s="10"/>
      <c r="LA201" s="10"/>
      <c r="LB201" s="10"/>
      <c r="LC201" s="10"/>
      <c r="LD201" s="10"/>
    </row>
    <row r="202" spans="1:316" ht="15.75" customHeight="1" x14ac:dyDescent="0.25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6"/>
      <c r="BY202" s="6"/>
      <c r="BZ202" s="6"/>
      <c r="CA202" s="6"/>
      <c r="CB202" s="6"/>
      <c r="CC202" s="6"/>
      <c r="CD202" s="6"/>
      <c r="CE202" s="6"/>
      <c r="CF202" s="6"/>
      <c r="CG202" s="6"/>
      <c r="CH202" s="6"/>
      <c r="CI202" s="6"/>
      <c r="CJ202" s="6"/>
      <c r="CK202" s="6"/>
      <c r="CL202" s="6"/>
      <c r="CM202" s="6"/>
      <c r="CN202" s="6"/>
      <c r="CO202" s="6"/>
      <c r="CP202" s="6"/>
      <c r="CQ202" s="6"/>
      <c r="CR202" s="6"/>
      <c r="CS202" s="6"/>
      <c r="CT202" s="6"/>
      <c r="CU202" s="6"/>
      <c r="CV202" s="6"/>
      <c r="CW202" s="6"/>
      <c r="CX202" s="6"/>
      <c r="CY202" s="6"/>
      <c r="CZ202" s="6"/>
      <c r="DA202" s="6"/>
      <c r="DB202" s="6"/>
      <c r="DC202" s="6"/>
      <c r="DD202" s="6"/>
      <c r="DE202" s="6"/>
      <c r="DF202" s="6"/>
      <c r="DG202" s="6"/>
      <c r="DH202" s="6"/>
      <c r="DI202" s="6"/>
      <c r="DJ202" s="6"/>
      <c r="DK202" s="6"/>
      <c r="DL202" s="6"/>
      <c r="DM202" s="6"/>
      <c r="DN202" s="6"/>
      <c r="DO202" s="6"/>
      <c r="DP202" s="6"/>
      <c r="DQ202" s="6"/>
      <c r="DR202" s="6"/>
      <c r="DS202" s="6"/>
      <c r="DT202" s="6"/>
      <c r="DU202" s="6"/>
      <c r="DV202" s="6"/>
      <c r="DW202" s="6"/>
      <c r="DX202" s="6"/>
      <c r="DY202" s="6"/>
      <c r="DZ202" s="6"/>
      <c r="EA202" s="6"/>
      <c r="EB202" s="6"/>
      <c r="EC202" s="6"/>
      <c r="ED202" s="6"/>
      <c r="EE202" s="6"/>
      <c r="KK202" s="10"/>
      <c r="KL202" s="10"/>
      <c r="KM202" s="10"/>
      <c r="KN202" s="10"/>
      <c r="KO202" s="10"/>
      <c r="KP202" s="10"/>
      <c r="KQ202" s="10"/>
      <c r="KR202" s="10"/>
      <c r="KS202" s="10"/>
      <c r="KT202" s="10"/>
      <c r="KU202" s="10"/>
      <c r="KV202" s="10"/>
      <c r="KW202" s="10"/>
      <c r="KX202" s="10"/>
      <c r="KY202" s="10"/>
      <c r="KZ202" s="10"/>
      <c r="LA202" s="10"/>
      <c r="LB202" s="10"/>
      <c r="LC202" s="10"/>
      <c r="LD202" s="10"/>
    </row>
    <row r="203" spans="1:316" ht="15.75" customHeight="1" x14ac:dyDescent="0.25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6"/>
      <c r="BY203" s="6"/>
      <c r="BZ203" s="6"/>
      <c r="CA203" s="6"/>
      <c r="CB203" s="6"/>
      <c r="CC203" s="6"/>
      <c r="CD203" s="6"/>
      <c r="CE203" s="6"/>
      <c r="CF203" s="6"/>
      <c r="CG203" s="6"/>
      <c r="CH203" s="6"/>
      <c r="CI203" s="6"/>
      <c r="CJ203" s="6"/>
      <c r="CK203" s="6"/>
      <c r="CL203" s="6"/>
      <c r="CM203" s="6"/>
      <c r="CN203" s="6"/>
      <c r="CO203" s="6"/>
      <c r="CP203" s="6"/>
      <c r="CQ203" s="6"/>
      <c r="CR203" s="6"/>
      <c r="CS203" s="6"/>
      <c r="CT203" s="6"/>
      <c r="CU203" s="6"/>
      <c r="CV203" s="6"/>
      <c r="CW203" s="6"/>
      <c r="CX203" s="6"/>
      <c r="CY203" s="6"/>
      <c r="CZ203" s="6"/>
      <c r="DA203" s="6"/>
      <c r="DB203" s="6"/>
      <c r="DC203" s="6"/>
      <c r="DD203" s="6"/>
      <c r="DE203" s="6"/>
      <c r="DF203" s="6"/>
      <c r="DG203" s="6"/>
      <c r="DH203" s="6"/>
      <c r="DI203" s="6"/>
      <c r="DJ203" s="6"/>
      <c r="DK203" s="6"/>
      <c r="DL203" s="6"/>
      <c r="DM203" s="6"/>
      <c r="DN203" s="6"/>
      <c r="DO203" s="6"/>
      <c r="DP203" s="6"/>
      <c r="DQ203" s="6"/>
      <c r="DR203" s="6"/>
      <c r="DS203" s="6"/>
      <c r="DT203" s="6"/>
      <c r="DU203" s="6"/>
      <c r="DV203" s="6"/>
      <c r="DW203" s="6"/>
      <c r="DX203" s="6"/>
      <c r="DY203" s="6"/>
      <c r="DZ203" s="6"/>
      <c r="EA203" s="6"/>
      <c r="EB203" s="6"/>
      <c r="EC203" s="6"/>
      <c r="ED203" s="6"/>
      <c r="EE203" s="6"/>
      <c r="KK203" s="10"/>
      <c r="KL203" s="10"/>
      <c r="KM203" s="10"/>
      <c r="KN203" s="10"/>
      <c r="KO203" s="10"/>
      <c r="KP203" s="10"/>
      <c r="KQ203" s="10"/>
      <c r="KR203" s="10"/>
      <c r="KS203" s="10"/>
      <c r="KT203" s="10"/>
      <c r="KU203" s="10"/>
      <c r="KV203" s="10"/>
      <c r="KW203" s="10"/>
      <c r="KX203" s="10"/>
      <c r="KY203" s="10"/>
      <c r="KZ203" s="10"/>
      <c r="LA203" s="10"/>
      <c r="LB203" s="10"/>
      <c r="LC203" s="10"/>
      <c r="LD203" s="10"/>
    </row>
    <row r="204" spans="1:316" ht="15.75" customHeight="1" x14ac:dyDescent="0.25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6"/>
      <c r="BY204" s="6"/>
      <c r="BZ204" s="6"/>
      <c r="CA204" s="6"/>
      <c r="CB204" s="6"/>
      <c r="CC204" s="6"/>
      <c r="CD204" s="6"/>
      <c r="CE204" s="6"/>
      <c r="CF204" s="6"/>
      <c r="CG204" s="6"/>
      <c r="CH204" s="6"/>
      <c r="CI204" s="6"/>
      <c r="CJ204" s="6"/>
      <c r="CK204" s="6"/>
      <c r="CL204" s="6"/>
      <c r="CM204" s="6"/>
      <c r="CN204" s="6"/>
      <c r="CO204" s="6"/>
      <c r="CP204" s="6"/>
      <c r="CQ204" s="6"/>
      <c r="CR204" s="6"/>
      <c r="CS204" s="6"/>
      <c r="CT204" s="6"/>
      <c r="CU204" s="6"/>
      <c r="CV204" s="6"/>
      <c r="CW204" s="6"/>
      <c r="CX204" s="6"/>
      <c r="CY204" s="6"/>
      <c r="CZ204" s="6"/>
      <c r="DA204" s="6"/>
      <c r="DB204" s="6"/>
      <c r="DC204" s="6"/>
      <c r="DD204" s="6"/>
      <c r="DE204" s="6"/>
      <c r="DF204" s="6"/>
      <c r="DG204" s="6"/>
      <c r="DH204" s="6"/>
      <c r="DI204" s="6"/>
      <c r="DJ204" s="6"/>
      <c r="DK204" s="6"/>
      <c r="DL204" s="6"/>
      <c r="DM204" s="6"/>
      <c r="DN204" s="6"/>
      <c r="DO204" s="6"/>
      <c r="DP204" s="6"/>
      <c r="DQ204" s="6"/>
      <c r="DR204" s="6"/>
      <c r="DS204" s="6"/>
      <c r="DT204" s="6"/>
      <c r="DU204" s="6"/>
      <c r="DV204" s="6"/>
      <c r="DW204" s="6"/>
      <c r="DX204" s="6"/>
      <c r="DY204" s="6"/>
      <c r="DZ204" s="6"/>
      <c r="EA204" s="6"/>
      <c r="EB204" s="6"/>
      <c r="EC204" s="6"/>
      <c r="ED204" s="6"/>
      <c r="EE204" s="6"/>
      <c r="KK204" s="10"/>
      <c r="KL204" s="10"/>
      <c r="KM204" s="10"/>
      <c r="KN204" s="10"/>
      <c r="KO204" s="10"/>
      <c r="KP204" s="10"/>
      <c r="KQ204" s="10"/>
      <c r="KR204" s="10"/>
      <c r="KS204" s="10"/>
      <c r="KT204" s="10"/>
      <c r="KU204" s="10"/>
      <c r="KV204" s="10"/>
      <c r="KW204" s="10"/>
      <c r="KX204" s="10"/>
      <c r="KY204" s="10"/>
      <c r="KZ204" s="10"/>
      <c r="LA204" s="10"/>
      <c r="LB204" s="10"/>
      <c r="LC204" s="10"/>
      <c r="LD204" s="10"/>
    </row>
    <row r="205" spans="1:316" ht="15.75" customHeight="1" x14ac:dyDescent="0.25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6"/>
      <c r="BY205" s="6"/>
      <c r="BZ205" s="6"/>
      <c r="CA205" s="6"/>
      <c r="CB205" s="6"/>
      <c r="CC205" s="6"/>
      <c r="CD205" s="6"/>
      <c r="CE205" s="6"/>
      <c r="CF205" s="6"/>
      <c r="CG205" s="6"/>
      <c r="CH205" s="6"/>
      <c r="CI205" s="6"/>
      <c r="CJ205" s="6"/>
      <c r="CK205" s="6"/>
      <c r="CL205" s="6"/>
      <c r="CM205" s="6"/>
      <c r="CN205" s="6"/>
      <c r="CO205" s="6"/>
      <c r="CP205" s="6"/>
      <c r="CQ205" s="6"/>
      <c r="CR205" s="6"/>
      <c r="CS205" s="6"/>
      <c r="CT205" s="6"/>
      <c r="CU205" s="6"/>
      <c r="CV205" s="6"/>
      <c r="CW205" s="6"/>
      <c r="CX205" s="6"/>
      <c r="CY205" s="6"/>
      <c r="CZ205" s="6"/>
      <c r="DA205" s="6"/>
      <c r="DB205" s="6"/>
      <c r="DC205" s="6"/>
      <c r="DD205" s="6"/>
      <c r="DE205" s="6"/>
      <c r="DF205" s="6"/>
      <c r="DG205" s="6"/>
      <c r="DH205" s="6"/>
      <c r="DI205" s="6"/>
      <c r="DJ205" s="6"/>
      <c r="DK205" s="6"/>
      <c r="DL205" s="6"/>
      <c r="DM205" s="6"/>
      <c r="DN205" s="6"/>
      <c r="DO205" s="6"/>
      <c r="DP205" s="6"/>
      <c r="DQ205" s="6"/>
      <c r="DR205" s="6"/>
      <c r="DS205" s="6"/>
      <c r="DT205" s="6"/>
      <c r="DU205" s="6"/>
      <c r="DV205" s="6"/>
      <c r="DW205" s="6"/>
      <c r="DX205" s="6"/>
      <c r="DY205" s="6"/>
      <c r="DZ205" s="6"/>
      <c r="EA205" s="6"/>
      <c r="EB205" s="6"/>
      <c r="EC205" s="6"/>
      <c r="ED205" s="6"/>
      <c r="EE205" s="6"/>
      <c r="KK205" s="10"/>
      <c r="KL205" s="10"/>
      <c r="KM205" s="10"/>
      <c r="KN205" s="10"/>
      <c r="KO205" s="10"/>
      <c r="KP205" s="10"/>
      <c r="KQ205" s="10"/>
      <c r="KR205" s="10"/>
      <c r="KS205" s="10"/>
      <c r="KT205" s="10"/>
      <c r="KU205" s="10"/>
      <c r="KV205" s="10"/>
      <c r="KW205" s="10"/>
      <c r="KX205" s="10"/>
      <c r="KY205" s="10"/>
      <c r="KZ205" s="10"/>
      <c r="LA205" s="10"/>
      <c r="LB205" s="10"/>
      <c r="LC205" s="10"/>
      <c r="LD205" s="10"/>
    </row>
    <row r="206" spans="1:316" ht="15.75" customHeight="1" x14ac:dyDescent="0.25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6"/>
      <c r="BY206" s="6"/>
      <c r="BZ206" s="6"/>
      <c r="CA206" s="6"/>
      <c r="CB206" s="6"/>
      <c r="CC206" s="6"/>
      <c r="CD206" s="6"/>
      <c r="CE206" s="6"/>
      <c r="CF206" s="6"/>
      <c r="CG206" s="6"/>
      <c r="CH206" s="6"/>
      <c r="CI206" s="6"/>
      <c r="CJ206" s="6"/>
      <c r="CK206" s="6"/>
      <c r="CL206" s="6"/>
      <c r="CM206" s="6"/>
      <c r="CN206" s="6"/>
      <c r="CO206" s="6"/>
      <c r="CP206" s="6"/>
      <c r="CQ206" s="6"/>
      <c r="CR206" s="6"/>
      <c r="CS206" s="6"/>
      <c r="CT206" s="6"/>
      <c r="CU206" s="6"/>
      <c r="CV206" s="6"/>
      <c r="CW206" s="6"/>
      <c r="CX206" s="6"/>
      <c r="CY206" s="6"/>
      <c r="CZ206" s="6"/>
      <c r="DA206" s="6"/>
      <c r="DB206" s="6"/>
      <c r="DC206" s="6"/>
      <c r="DD206" s="6"/>
      <c r="DE206" s="6"/>
      <c r="DF206" s="6"/>
      <c r="DG206" s="6"/>
      <c r="DH206" s="6"/>
      <c r="DI206" s="6"/>
      <c r="DJ206" s="6"/>
      <c r="DK206" s="6"/>
      <c r="DL206" s="6"/>
      <c r="DM206" s="6"/>
      <c r="DN206" s="6"/>
      <c r="DO206" s="6"/>
      <c r="DP206" s="6"/>
      <c r="DQ206" s="6"/>
      <c r="DR206" s="6"/>
      <c r="DS206" s="6"/>
      <c r="DT206" s="6"/>
      <c r="DU206" s="6"/>
      <c r="DV206" s="6"/>
      <c r="DW206" s="6"/>
      <c r="DX206" s="6"/>
      <c r="DY206" s="6"/>
      <c r="DZ206" s="6"/>
      <c r="EA206" s="6"/>
      <c r="EB206" s="6"/>
      <c r="EC206" s="6"/>
      <c r="ED206" s="6"/>
      <c r="EE206" s="6"/>
      <c r="KK206" s="10"/>
      <c r="KL206" s="10"/>
      <c r="KM206" s="10"/>
      <c r="KN206" s="10"/>
      <c r="KO206" s="10"/>
      <c r="KP206" s="10"/>
      <c r="KQ206" s="10"/>
      <c r="KR206" s="10"/>
      <c r="KS206" s="10"/>
      <c r="KT206" s="10"/>
      <c r="KU206" s="10"/>
      <c r="KV206" s="10"/>
      <c r="KW206" s="10"/>
      <c r="KX206" s="10"/>
      <c r="KY206" s="10"/>
      <c r="KZ206" s="10"/>
      <c r="LA206" s="10"/>
      <c r="LB206" s="10"/>
      <c r="LC206" s="10"/>
      <c r="LD206" s="10"/>
    </row>
    <row r="207" spans="1:316" ht="15.75" customHeight="1" x14ac:dyDescent="0.25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6"/>
      <c r="BY207" s="6"/>
      <c r="BZ207" s="6"/>
      <c r="CA207" s="6"/>
      <c r="CB207" s="6"/>
      <c r="CC207" s="6"/>
      <c r="CD207" s="6"/>
      <c r="CE207" s="6"/>
      <c r="CF207" s="6"/>
      <c r="CG207" s="6"/>
      <c r="CH207" s="6"/>
      <c r="CI207" s="6"/>
      <c r="CJ207" s="6"/>
      <c r="CK207" s="6"/>
      <c r="CL207" s="6"/>
      <c r="CM207" s="6"/>
      <c r="CN207" s="6"/>
      <c r="CO207" s="6"/>
      <c r="CP207" s="6"/>
      <c r="CQ207" s="6"/>
      <c r="CR207" s="6"/>
      <c r="CS207" s="6"/>
      <c r="CT207" s="6"/>
      <c r="CU207" s="6"/>
      <c r="CV207" s="6"/>
      <c r="CW207" s="6"/>
      <c r="CX207" s="6"/>
      <c r="CY207" s="6"/>
      <c r="CZ207" s="6"/>
      <c r="DA207" s="6"/>
      <c r="DB207" s="6"/>
      <c r="DC207" s="6"/>
      <c r="DD207" s="6"/>
      <c r="DE207" s="6"/>
      <c r="DF207" s="6"/>
      <c r="DG207" s="6"/>
      <c r="DH207" s="6"/>
      <c r="DI207" s="6"/>
      <c r="DJ207" s="6"/>
      <c r="DK207" s="6"/>
      <c r="DL207" s="6"/>
      <c r="DM207" s="6"/>
      <c r="DN207" s="6"/>
      <c r="DO207" s="6"/>
      <c r="DP207" s="6"/>
      <c r="DQ207" s="6"/>
      <c r="DR207" s="6"/>
      <c r="DS207" s="6"/>
      <c r="DT207" s="6"/>
      <c r="DU207" s="6"/>
      <c r="DV207" s="6"/>
      <c r="DW207" s="6"/>
      <c r="DX207" s="6"/>
      <c r="DY207" s="6"/>
      <c r="DZ207" s="6"/>
      <c r="EA207" s="6"/>
      <c r="EB207" s="6"/>
      <c r="EC207" s="6"/>
      <c r="ED207" s="6"/>
      <c r="EE207" s="6"/>
      <c r="KK207" s="10"/>
      <c r="KL207" s="10"/>
      <c r="KM207" s="10"/>
      <c r="KN207" s="10"/>
      <c r="KO207" s="10"/>
      <c r="KP207" s="10"/>
      <c r="KQ207" s="10"/>
      <c r="KR207" s="10"/>
      <c r="KS207" s="10"/>
      <c r="KT207" s="10"/>
      <c r="KU207" s="10"/>
      <c r="KV207" s="10"/>
      <c r="KW207" s="10"/>
      <c r="KX207" s="10"/>
      <c r="KY207" s="10"/>
      <c r="KZ207" s="10"/>
      <c r="LA207" s="10"/>
      <c r="LB207" s="10"/>
      <c r="LC207" s="10"/>
      <c r="LD207" s="10"/>
    </row>
    <row r="208" spans="1:316" ht="15.75" customHeight="1" x14ac:dyDescent="0.25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6"/>
      <c r="BY208" s="6"/>
      <c r="BZ208" s="6"/>
      <c r="CA208" s="6"/>
      <c r="CB208" s="6"/>
      <c r="CC208" s="6"/>
      <c r="CD208" s="6"/>
      <c r="CE208" s="6"/>
      <c r="CF208" s="6"/>
      <c r="CG208" s="6"/>
      <c r="CH208" s="6"/>
      <c r="CI208" s="6"/>
      <c r="CJ208" s="6"/>
      <c r="CK208" s="6"/>
      <c r="CL208" s="6"/>
      <c r="CM208" s="6"/>
      <c r="CN208" s="6"/>
      <c r="CO208" s="6"/>
      <c r="CP208" s="6"/>
      <c r="CQ208" s="6"/>
      <c r="CR208" s="6"/>
      <c r="CS208" s="6"/>
      <c r="CT208" s="6"/>
      <c r="CU208" s="6"/>
      <c r="CV208" s="6"/>
      <c r="CW208" s="6"/>
      <c r="CX208" s="6"/>
      <c r="CY208" s="6"/>
      <c r="CZ208" s="6"/>
      <c r="DA208" s="6"/>
      <c r="DB208" s="6"/>
      <c r="DC208" s="6"/>
      <c r="DD208" s="6"/>
      <c r="DE208" s="6"/>
      <c r="DF208" s="6"/>
      <c r="DG208" s="6"/>
      <c r="DH208" s="6"/>
      <c r="DI208" s="6"/>
      <c r="DJ208" s="6"/>
      <c r="DK208" s="6"/>
      <c r="DL208" s="6"/>
      <c r="DM208" s="6"/>
      <c r="DN208" s="6"/>
      <c r="DO208" s="6"/>
      <c r="DP208" s="6"/>
      <c r="DQ208" s="6"/>
      <c r="DR208" s="6"/>
      <c r="DS208" s="6"/>
      <c r="DT208" s="6"/>
      <c r="DU208" s="6"/>
      <c r="DV208" s="6"/>
      <c r="DW208" s="6"/>
      <c r="DX208" s="6"/>
      <c r="DY208" s="6"/>
      <c r="DZ208" s="6"/>
      <c r="EA208" s="6"/>
      <c r="EB208" s="6"/>
      <c r="EC208" s="6"/>
      <c r="ED208" s="6"/>
      <c r="EE208" s="6"/>
      <c r="KK208" s="10"/>
      <c r="KL208" s="10"/>
      <c r="KM208" s="10"/>
      <c r="KN208" s="10"/>
      <c r="KO208" s="10"/>
      <c r="KP208" s="10"/>
      <c r="KQ208" s="10"/>
      <c r="KR208" s="10"/>
      <c r="KS208" s="10"/>
      <c r="KT208" s="10"/>
      <c r="KU208" s="10"/>
      <c r="KV208" s="10"/>
      <c r="KW208" s="10"/>
      <c r="KX208" s="10"/>
      <c r="KY208" s="10"/>
      <c r="KZ208" s="10"/>
      <c r="LA208" s="10"/>
      <c r="LB208" s="10"/>
      <c r="LC208" s="10"/>
      <c r="LD208" s="10"/>
    </row>
    <row r="209" spans="1:316" ht="15.75" customHeight="1" x14ac:dyDescent="0.25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6"/>
      <c r="BY209" s="6"/>
      <c r="BZ209" s="6"/>
      <c r="CA209" s="6"/>
      <c r="CB209" s="6"/>
      <c r="CC209" s="6"/>
      <c r="CD209" s="6"/>
      <c r="CE209" s="6"/>
      <c r="CF209" s="6"/>
      <c r="CG209" s="6"/>
      <c r="CH209" s="6"/>
      <c r="CI209" s="6"/>
      <c r="CJ209" s="6"/>
      <c r="CK209" s="6"/>
      <c r="CL209" s="6"/>
      <c r="CM209" s="6"/>
      <c r="CN209" s="6"/>
      <c r="CO209" s="6"/>
      <c r="CP209" s="6"/>
      <c r="CQ209" s="6"/>
      <c r="CR209" s="6"/>
      <c r="CS209" s="6"/>
      <c r="CT209" s="6"/>
      <c r="CU209" s="6"/>
      <c r="CV209" s="6"/>
      <c r="CW209" s="6"/>
      <c r="CX209" s="6"/>
      <c r="CY209" s="6"/>
      <c r="CZ209" s="6"/>
      <c r="DA209" s="6"/>
      <c r="DB209" s="6"/>
      <c r="DC209" s="6"/>
      <c r="DD209" s="6"/>
      <c r="DE209" s="6"/>
      <c r="DF209" s="6"/>
      <c r="DG209" s="6"/>
      <c r="DH209" s="6"/>
      <c r="DI209" s="6"/>
      <c r="DJ209" s="6"/>
      <c r="DK209" s="6"/>
      <c r="DL209" s="6"/>
      <c r="DM209" s="6"/>
      <c r="DN209" s="6"/>
      <c r="DO209" s="6"/>
      <c r="DP209" s="6"/>
      <c r="DQ209" s="6"/>
      <c r="DR209" s="6"/>
      <c r="DS209" s="6"/>
      <c r="DT209" s="6"/>
      <c r="DU209" s="6"/>
      <c r="DV209" s="6"/>
      <c r="DW209" s="6"/>
      <c r="DX209" s="6"/>
      <c r="DY209" s="6"/>
      <c r="DZ209" s="6"/>
      <c r="EA209" s="6"/>
      <c r="EB209" s="6"/>
      <c r="EC209" s="6"/>
      <c r="ED209" s="6"/>
      <c r="EE209" s="6"/>
      <c r="KK209" s="10"/>
      <c r="KL209" s="10"/>
      <c r="KM209" s="10"/>
      <c r="KN209" s="10"/>
      <c r="KO209" s="10"/>
      <c r="KP209" s="10"/>
      <c r="KQ209" s="10"/>
      <c r="KR209" s="10"/>
      <c r="KS209" s="10"/>
      <c r="KT209" s="10"/>
      <c r="KU209" s="10"/>
      <c r="KV209" s="10"/>
      <c r="KW209" s="10"/>
      <c r="KX209" s="10"/>
      <c r="KY209" s="10"/>
      <c r="KZ209" s="10"/>
      <c r="LA209" s="10"/>
      <c r="LB209" s="10"/>
      <c r="LC209" s="10"/>
      <c r="LD209" s="10"/>
    </row>
    <row r="210" spans="1:316" ht="15.75" customHeight="1" x14ac:dyDescent="0.25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6"/>
      <c r="BY210" s="6"/>
      <c r="BZ210" s="6"/>
      <c r="CA210" s="6"/>
      <c r="CB210" s="6"/>
      <c r="CC210" s="6"/>
      <c r="CD210" s="6"/>
      <c r="CE210" s="6"/>
      <c r="CF210" s="6"/>
      <c r="CG210" s="6"/>
      <c r="CH210" s="6"/>
      <c r="CI210" s="6"/>
      <c r="CJ210" s="6"/>
      <c r="CK210" s="6"/>
      <c r="CL210" s="6"/>
      <c r="CM210" s="6"/>
      <c r="CN210" s="6"/>
      <c r="CO210" s="6"/>
      <c r="CP210" s="6"/>
      <c r="CQ210" s="6"/>
      <c r="CR210" s="6"/>
      <c r="CS210" s="6"/>
      <c r="CT210" s="6"/>
      <c r="CU210" s="6"/>
      <c r="CV210" s="6"/>
      <c r="CW210" s="6"/>
      <c r="CX210" s="6"/>
      <c r="CY210" s="6"/>
      <c r="CZ210" s="6"/>
      <c r="DA210" s="6"/>
      <c r="DB210" s="6"/>
      <c r="DC210" s="6"/>
      <c r="DD210" s="6"/>
      <c r="DE210" s="6"/>
      <c r="DF210" s="6"/>
      <c r="DG210" s="6"/>
      <c r="DH210" s="6"/>
      <c r="DI210" s="6"/>
      <c r="DJ210" s="6"/>
      <c r="DK210" s="6"/>
      <c r="DL210" s="6"/>
      <c r="DM210" s="6"/>
      <c r="DN210" s="6"/>
      <c r="DO210" s="6"/>
      <c r="DP210" s="6"/>
      <c r="DQ210" s="6"/>
      <c r="DR210" s="6"/>
      <c r="DS210" s="6"/>
      <c r="DT210" s="6"/>
      <c r="DU210" s="6"/>
      <c r="DV210" s="6"/>
      <c r="DW210" s="6"/>
      <c r="DX210" s="6"/>
      <c r="DY210" s="6"/>
      <c r="DZ210" s="6"/>
      <c r="EA210" s="6"/>
      <c r="EB210" s="6"/>
      <c r="EC210" s="6"/>
      <c r="ED210" s="6"/>
      <c r="EE210" s="6"/>
      <c r="KK210" s="10"/>
      <c r="KL210" s="10"/>
      <c r="KM210" s="10"/>
      <c r="KN210" s="10"/>
      <c r="KO210" s="10"/>
      <c r="KP210" s="10"/>
      <c r="KQ210" s="10"/>
      <c r="KR210" s="10"/>
      <c r="KS210" s="10"/>
      <c r="KT210" s="10"/>
      <c r="KU210" s="10"/>
      <c r="KV210" s="10"/>
      <c r="KW210" s="10"/>
      <c r="KX210" s="10"/>
      <c r="KY210" s="10"/>
      <c r="KZ210" s="10"/>
      <c r="LA210" s="10"/>
      <c r="LB210" s="10"/>
      <c r="LC210" s="10"/>
      <c r="LD210" s="10"/>
    </row>
    <row r="211" spans="1:316" ht="15.75" customHeight="1" x14ac:dyDescent="0.25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6"/>
      <c r="BY211" s="6"/>
      <c r="BZ211" s="6"/>
      <c r="CA211" s="6"/>
      <c r="CB211" s="6"/>
      <c r="CC211" s="6"/>
      <c r="CD211" s="6"/>
      <c r="CE211" s="6"/>
      <c r="CF211" s="6"/>
      <c r="CG211" s="6"/>
      <c r="CH211" s="6"/>
      <c r="CI211" s="6"/>
      <c r="CJ211" s="6"/>
      <c r="CK211" s="6"/>
      <c r="CL211" s="6"/>
      <c r="CM211" s="6"/>
      <c r="CN211" s="6"/>
      <c r="CO211" s="6"/>
      <c r="CP211" s="6"/>
      <c r="CQ211" s="6"/>
      <c r="CR211" s="6"/>
      <c r="CS211" s="6"/>
      <c r="CT211" s="6"/>
      <c r="CU211" s="6"/>
      <c r="CV211" s="6"/>
      <c r="CW211" s="6"/>
      <c r="CX211" s="6"/>
      <c r="CY211" s="6"/>
      <c r="CZ211" s="6"/>
      <c r="DA211" s="6"/>
      <c r="DB211" s="6"/>
      <c r="DC211" s="6"/>
      <c r="DD211" s="6"/>
      <c r="DE211" s="6"/>
      <c r="DF211" s="6"/>
      <c r="DG211" s="6"/>
      <c r="DH211" s="6"/>
      <c r="DI211" s="6"/>
      <c r="DJ211" s="6"/>
      <c r="DK211" s="6"/>
      <c r="DL211" s="6"/>
      <c r="DM211" s="6"/>
      <c r="DN211" s="6"/>
      <c r="DO211" s="6"/>
      <c r="DP211" s="6"/>
      <c r="DQ211" s="6"/>
      <c r="DR211" s="6"/>
      <c r="DS211" s="6"/>
      <c r="DT211" s="6"/>
      <c r="DU211" s="6"/>
      <c r="DV211" s="6"/>
      <c r="DW211" s="6"/>
      <c r="DX211" s="6"/>
      <c r="DY211" s="6"/>
      <c r="DZ211" s="6"/>
      <c r="EA211" s="6"/>
      <c r="EB211" s="6"/>
      <c r="EC211" s="6"/>
      <c r="ED211" s="6"/>
      <c r="EE211" s="6"/>
      <c r="KK211" s="10"/>
      <c r="KL211" s="10"/>
      <c r="KM211" s="10"/>
      <c r="KN211" s="10"/>
      <c r="KO211" s="10"/>
      <c r="KP211" s="10"/>
      <c r="KQ211" s="10"/>
      <c r="KR211" s="10"/>
      <c r="KS211" s="10"/>
      <c r="KT211" s="10"/>
      <c r="KU211" s="10"/>
      <c r="KV211" s="10"/>
      <c r="KW211" s="10"/>
      <c r="KX211" s="10"/>
      <c r="KY211" s="10"/>
      <c r="KZ211" s="10"/>
      <c r="LA211" s="10"/>
      <c r="LB211" s="10"/>
      <c r="LC211" s="10"/>
      <c r="LD211" s="10"/>
    </row>
    <row r="212" spans="1:316" ht="15.75" customHeight="1" x14ac:dyDescent="0.25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6"/>
      <c r="BY212" s="6"/>
      <c r="BZ212" s="6"/>
      <c r="CA212" s="6"/>
      <c r="CB212" s="6"/>
      <c r="CC212" s="6"/>
      <c r="CD212" s="6"/>
      <c r="CE212" s="6"/>
      <c r="CF212" s="6"/>
      <c r="CG212" s="6"/>
      <c r="CH212" s="6"/>
      <c r="CI212" s="6"/>
      <c r="CJ212" s="6"/>
      <c r="CK212" s="6"/>
      <c r="CL212" s="6"/>
      <c r="CM212" s="6"/>
      <c r="CN212" s="6"/>
      <c r="CO212" s="6"/>
      <c r="CP212" s="6"/>
      <c r="CQ212" s="6"/>
      <c r="CR212" s="6"/>
      <c r="CS212" s="6"/>
      <c r="CT212" s="6"/>
      <c r="CU212" s="6"/>
      <c r="CV212" s="6"/>
      <c r="CW212" s="6"/>
      <c r="CX212" s="6"/>
      <c r="CY212" s="6"/>
      <c r="CZ212" s="6"/>
      <c r="DA212" s="6"/>
      <c r="DB212" s="6"/>
      <c r="DC212" s="6"/>
      <c r="DD212" s="6"/>
      <c r="DE212" s="6"/>
      <c r="DF212" s="6"/>
      <c r="DG212" s="6"/>
      <c r="DH212" s="6"/>
      <c r="DI212" s="6"/>
      <c r="DJ212" s="6"/>
      <c r="DK212" s="6"/>
      <c r="DL212" s="6"/>
      <c r="DM212" s="6"/>
      <c r="DN212" s="6"/>
      <c r="DO212" s="6"/>
      <c r="DP212" s="6"/>
      <c r="DQ212" s="6"/>
      <c r="DR212" s="6"/>
      <c r="DS212" s="6"/>
      <c r="DT212" s="6"/>
      <c r="DU212" s="6"/>
      <c r="DV212" s="6"/>
      <c r="DW212" s="6"/>
      <c r="DX212" s="6"/>
      <c r="DY212" s="6"/>
      <c r="DZ212" s="6"/>
      <c r="EA212" s="6"/>
      <c r="EB212" s="6"/>
      <c r="EC212" s="6"/>
      <c r="ED212" s="6"/>
      <c r="EE212" s="6"/>
      <c r="KK212" s="10"/>
      <c r="KL212" s="10"/>
      <c r="KM212" s="10"/>
      <c r="KN212" s="10"/>
      <c r="KO212" s="10"/>
      <c r="KP212" s="10"/>
      <c r="KQ212" s="10"/>
      <c r="KR212" s="10"/>
      <c r="KS212" s="10"/>
      <c r="KT212" s="10"/>
      <c r="KU212" s="10"/>
      <c r="KV212" s="10"/>
      <c r="KW212" s="10"/>
      <c r="KX212" s="10"/>
      <c r="KY212" s="10"/>
      <c r="KZ212" s="10"/>
      <c r="LA212" s="10"/>
      <c r="LB212" s="10"/>
      <c r="LC212" s="10"/>
      <c r="LD212" s="10"/>
    </row>
    <row r="213" spans="1:316" ht="15.75" customHeight="1" x14ac:dyDescent="0.25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6"/>
      <c r="BY213" s="6"/>
      <c r="BZ213" s="6"/>
      <c r="CA213" s="6"/>
      <c r="CB213" s="6"/>
      <c r="CC213" s="6"/>
      <c r="CD213" s="6"/>
      <c r="CE213" s="6"/>
      <c r="CF213" s="6"/>
      <c r="CG213" s="6"/>
      <c r="CH213" s="6"/>
      <c r="CI213" s="6"/>
      <c r="CJ213" s="6"/>
      <c r="CK213" s="6"/>
      <c r="CL213" s="6"/>
      <c r="CM213" s="6"/>
      <c r="CN213" s="6"/>
      <c r="CO213" s="6"/>
      <c r="CP213" s="6"/>
      <c r="CQ213" s="6"/>
      <c r="CR213" s="6"/>
      <c r="CS213" s="6"/>
      <c r="CT213" s="6"/>
      <c r="CU213" s="6"/>
      <c r="CV213" s="6"/>
      <c r="CW213" s="6"/>
      <c r="CX213" s="6"/>
      <c r="CY213" s="6"/>
      <c r="CZ213" s="6"/>
      <c r="DA213" s="6"/>
      <c r="DB213" s="6"/>
      <c r="DC213" s="6"/>
      <c r="DD213" s="6"/>
      <c r="DE213" s="6"/>
      <c r="DF213" s="6"/>
      <c r="DG213" s="6"/>
      <c r="DH213" s="6"/>
      <c r="DI213" s="6"/>
      <c r="DJ213" s="6"/>
      <c r="DK213" s="6"/>
      <c r="DL213" s="6"/>
      <c r="DM213" s="6"/>
      <c r="DN213" s="6"/>
      <c r="DO213" s="6"/>
      <c r="DP213" s="6"/>
      <c r="DQ213" s="6"/>
      <c r="DR213" s="6"/>
      <c r="DS213" s="6"/>
      <c r="DT213" s="6"/>
      <c r="DU213" s="6"/>
      <c r="DV213" s="6"/>
      <c r="DW213" s="6"/>
      <c r="DX213" s="6"/>
      <c r="DY213" s="6"/>
      <c r="DZ213" s="6"/>
      <c r="EA213" s="6"/>
      <c r="EB213" s="6"/>
      <c r="EC213" s="6"/>
      <c r="ED213" s="6"/>
      <c r="EE213" s="6"/>
      <c r="KK213" s="10"/>
      <c r="KL213" s="10"/>
      <c r="KM213" s="10"/>
      <c r="KN213" s="10"/>
      <c r="KO213" s="10"/>
      <c r="KP213" s="10"/>
      <c r="KQ213" s="10"/>
      <c r="KR213" s="10"/>
      <c r="KS213" s="10"/>
      <c r="KT213" s="10"/>
      <c r="KU213" s="10"/>
      <c r="KV213" s="10"/>
      <c r="KW213" s="10"/>
      <c r="KX213" s="10"/>
      <c r="KY213" s="10"/>
      <c r="KZ213" s="10"/>
      <c r="LA213" s="10"/>
      <c r="LB213" s="10"/>
      <c r="LC213" s="10"/>
      <c r="LD213" s="10"/>
    </row>
    <row r="214" spans="1:316" ht="15.75" customHeight="1" x14ac:dyDescent="0.25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6"/>
      <c r="BY214" s="6"/>
      <c r="BZ214" s="6"/>
      <c r="CA214" s="6"/>
      <c r="CB214" s="6"/>
      <c r="CC214" s="6"/>
      <c r="CD214" s="6"/>
      <c r="CE214" s="6"/>
      <c r="CF214" s="6"/>
      <c r="CG214" s="6"/>
      <c r="CH214" s="6"/>
      <c r="CI214" s="6"/>
      <c r="CJ214" s="6"/>
      <c r="CK214" s="6"/>
      <c r="CL214" s="6"/>
      <c r="CM214" s="6"/>
      <c r="CN214" s="6"/>
      <c r="CO214" s="6"/>
      <c r="CP214" s="6"/>
      <c r="CQ214" s="6"/>
      <c r="CR214" s="6"/>
      <c r="CS214" s="6"/>
      <c r="CT214" s="6"/>
      <c r="CU214" s="6"/>
      <c r="CV214" s="6"/>
      <c r="CW214" s="6"/>
      <c r="CX214" s="6"/>
      <c r="CY214" s="6"/>
      <c r="CZ214" s="6"/>
      <c r="DA214" s="6"/>
      <c r="DB214" s="6"/>
      <c r="DC214" s="6"/>
      <c r="DD214" s="6"/>
      <c r="DE214" s="6"/>
      <c r="DF214" s="6"/>
      <c r="DG214" s="6"/>
      <c r="DH214" s="6"/>
      <c r="DI214" s="6"/>
      <c r="DJ214" s="6"/>
      <c r="DK214" s="6"/>
      <c r="DL214" s="6"/>
      <c r="DM214" s="6"/>
      <c r="DN214" s="6"/>
      <c r="DO214" s="6"/>
      <c r="DP214" s="6"/>
      <c r="DQ214" s="6"/>
      <c r="DR214" s="6"/>
      <c r="DS214" s="6"/>
      <c r="DT214" s="6"/>
      <c r="DU214" s="6"/>
      <c r="DV214" s="6"/>
      <c r="DW214" s="6"/>
      <c r="DX214" s="6"/>
      <c r="DY214" s="6"/>
      <c r="DZ214" s="6"/>
      <c r="EA214" s="6"/>
      <c r="EB214" s="6"/>
      <c r="EC214" s="6"/>
      <c r="ED214" s="6"/>
      <c r="EE214" s="6"/>
      <c r="KK214" s="10"/>
      <c r="KL214" s="10"/>
      <c r="KM214" s="10"/>
      <c r="KN214" s="10"/>
      <c r="KO214" s="10"/>
      <c r="KP214" s="10"/>
      <c r="KQ214" s="10"/>
      <c r="KR214" s="10"/>
      <c r="KS214" s="10"/>
      <c r="KT214" s="10"/>
      <c r="KU214" s="10"/>
      <c r="KV214" s="10"/>
      <c r="KW214" s="10"/>
      <c r="KX214" s="10"/>
      <c r="KY214" s="10"/>
      <c r="KZ214" s="10"/>
      <c r="LA214" s="10"/>
      <c r="LB214" s="10"/>
      <c r="LC214" s="10"/>
      <c r="LD214" s="10"/>
    </row>
    <row r="215" spans="1:316" ht="15.75" customHeight="1" x14ac:dyDescent="0.25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6"/>
      <c r="BY215" s="6"/>
      <c r="BZ215" s="6"/>
      <c r="CA215" s="6"/>
      <c r="CB215" s="6"/>
      <c r="CC215" s="6"/>
      <c r="CD215" s="6"/>
      <c r="CE215" s="6"/>
      <c r="CF215" s="6"/>
      <c r="CG215" s="6"/>
      <c r="CH215" s="6"/>
      <c r="CI215" s="6"/>
      <c r="CJ215" s="6"/>
      <c r="CK215" s="6"/>
      <c r="CL215" s="6"/>
      <c r="CM215" s="6"/>
      <c r="CN215" s="6"/>
      <c r="CO215" s="6"/>
      <c r="CP215" s="6"/>
      <c r="CQ215" s="6"/>
      <c r="CR215" s="6"/>
      <c r="CS215" s="6"/>
      <c r="CT215" s="6"/>
      <c r="CU215" s="6"/>
      <c r="CV215" s="6"/>
      <c r="CW215" s="6"/>
      <c r="CX215" s="6"/>
      <c r="CY215" s="6"/>
      <c r="CZ215" s="6"/>
      <c r="DA215" s="6"/>
      <c r="DB215" s="6"/>
      <c r="DC215" s="6"/>
      <c r="DD215" s="6"/>
      <c r="DE215" s="6"/>
      <c r="DF215" s="6"/>
      <c r="DG215" s="6"/>
      <c r="DH215" s="6"/>
      <c r="DI215" s="6"/>
      <c r="DJ215" s="6"/>
      <c r="DK215" s="6"/>
      <c r="DL215" s="6"/>
      <c r="DM215" s="6"/>
      <c r="DN215" s="6"/>
      <c r="DO215" s="6"/>
      <c r="DP215" s="6"/>
      <c r="DQ215" s="6"/>
      <c r="DR215" s="6"/>
      <c r="DS215" s="6"/>
      <c r="DT215" s="6"/>
      <c r="DU215" s="6"/>
      <c r="DV215" s="6"/>
      <c r="DW215" s="6"/>
      <c r="DX215" s="6"/>
      <c r="DY215" s="6"/>
      <c r="DZ215" s="6"/>
      <c r="EA215" s="6"/>
      <c r="EB215" s="6"/>
      <c r="EC215" s="6"/>
      <c r="ED215" s="6"/>
      <c r="EE215" s="6"/>
      <c r="KK215" s="10"/>
      <c r="KL215" s="10"/>
      <c r="KM215" s="10"/>
      <c r="KN215" s="10"/>
      <c r="KO215" s="10"/>
      <c r="KP215" s="10"/>
      <c r="KQ215" s="10"/>
      <c r="KR215" s="10"/>
      <c r="KS215" s="10"/>
      <c r="KT215" s="10"/>
      <c r="KU215" s="10"/>
      <c r="KV215" s="10"/>
      <c r="KW215" s="10"/>
      <c r="KX215" s="10"/>
      <c r="KY215" s="10"/>
      <c r="KZ215" s="10"/>
      <c r="LA215" s="10"/>
      <c r="LB215" s="10"/>
      <c r="LC215" s="10"/>
      <c r="LD215" s="10"/>
    </row>
    <row r="216" spans="1:316" ht="15.75" customHeight="1" x14ac:dyDescent="0.25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6"/>
      <c r="BY216" s="6"/>
      <c r="BZ216" s="6"/>
      <c r="CA216" s="6"/>
      <c r="CB216" s="6"/>
      <c r="CC216" s="6"/>
      <c r="CD216" s="6"/>
      <c r="CE216" s="6"/>
      <c r="CF216" s="6"/>
      <c r="CG216" s="6"/>
      <c r="CH216" s="6"/>
      <c r="CI216" s="6"/>
      <c r="CJ216" s="6"/>
      <c r="CK216" s="6"/>
      <c r="CL216" s="6"/>
      <c r="CM216" s="6"/>
      <c r="CN216" s="6"/>
      <c r="CO216" s="6"/>
      <c r="CP216" s="6"/>
      <c r="CQ216" s="6"/>
      <c r="CR216" s="6"/>
      <c r="CS216" s="6"/>
      <c r="CT216" s="6"/>
      <c r="CU216" s="6"/>
      <c r="CV216" s="6"/>
      <c r="CW216" s="6"/>
      <c r="CX216" s="6"/>
      <c r="CY216" s="6"/>
      <c r="CZ216" s="6"/>
      <c r="DA216" s="6"/>
      <c r="DB216" s="6"/>
      <c r="DC216" s="6"/>
      <c r="DD216" s="6"/>
      <c r="DE216" s="6"/>
      <c r="DF216" s="6"/>
      <c r="DG216" s="6"/>
      <c r="DH216" s="6"/>
      <c r="DI216" s="6"/>
      <c r="DJ216" s="6"/>
      <c r="DK216" s="6"/>
      <c r="DL216" s="6"/>
      <c r="DM216" s="6"/>
      <c r="DN216" s="6"/>
      <c r="DO216" s="6"/>
      <c r="DP216" s="6"/>
      <c r="DQ216" s="6"/>
      <c r="DR216" s="6"/>
      <c r="DS216" s="6"/>
      <c r="DT216" s="6"/>
      <c r="DU216" s="6"/>
      <c r="DV216" s="6"/>
      <c r="DW216" s="6"/>
      <c r="DX216" s="6"/>
      <c r="DY216" s="6"/>
      <c r="DZ216" s="6"/>
      <c r="EA216" s="6"/>
      <c r="EB216" s="6"/>
      <c r="EC216" s="6"/>
      <c r="ED216" s="6"/>
      <c r="EE216" s="6"/>
      <c r="KK216" s="10"/>
      <c r="KL216" s="10"/>
      <c r="KM216" s="10"/>
      <c r="KN216" s="10"/>
      <c r="KO216" s="10"/>
      <c r="KP216" s="10"/>
      <c r="KQ216" s="10"/>
      <c r="KR216" s="10"/>
      <c r="KS216" s="10"/>
      <c r="KT216" s="10"/>
      <c r="KU216" s="10"/>
      <c r="KV216" s="10"/>
      <c r="KW216" s="10"/>
      <c r="KX216" s="10"/>
      <c r="KY216" s="10"/>
      <c r="KZ216" s="10"/>
      <c r="LA216" s="10"/>
      <c r="LB216" s="10"/>
      <c r="LC216" s="10"/>
      <c r="LD216" s="10"/>
    </row>
    <row r="217" spans="1:316" ht="15.75" customHeight="1" x14ac:dyDescent="0.25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6"/>
      <c r="BY217" s="6"/>
      <c r="BZ217" s="6"/>
      <c r="CA217" s="6"/>
      <c r="CB217" s="6"/>
      <c r="CC217" s="6"/>
      <c r="CD217" s="6"/>
      <c r="CE217" s="6"/>
      <c r="CF217" s="6"/>
      <c r="CG217" s="6"/>
      <c r="CH217" s="6"/>
      <c r="CI217" s="6"/>
      <c r="CJ217" s="6"/>
      <c r="CK217" s="6"/>
      <c r="CL217" s="6"/>
      <c r="CM217" s="6"/>
      <c r="CN217" s="6"/>
      <c r="CO217" s="6"/>
      <c r="CP217" s="6"/>
      <c r="CQ217" s="6"/>
      <c r="CR217" s="6"/>
      <c r="CS217" s="6"/>
      <c r="CT217" s="6"/>
      <c r="CU217" s="6"/>
      <c r="CV217" s="6"/>
      <c r="CW217" s="6"/>
      <c r="CX217" s="6"/>
      <c r="CY217" s="6"/>
      <c r="CZ217" s="6"/>
      <c r="DA217" s="6"/>
      <c r="DB217" s="6"/>
      <c r="DC217" s="6"/>
      <c r="DD217" s="6"/>
      <c r="DE217" s="6"/>
      <c r="DF217" s="6"/>
      <c r="DG217" s="6"/>
      <c r="DH217" s="6"/>
      <c r="DI217" s="6"/>
      <c r="DJ217" s="6"/>
      <c r="DK217" s="6"/>
      <c r="DL217" s="6"/>
      <c r="DM217" s="6"/>
      <c r="DN217" s="6"/>
      <c r="DO217" s="6"/>
      <c r="DP217" s="6"/>
      <c r="DQ217" s="6"/>
      <c r="DR217" s="6"/>
      <c r="DS217" s="6"/>
      <c r="DT217" s="6"/>
      <c r="DU217" s="6"/>
      <c r="DV217" s="6"/>
      <c r="DW217" s="6"/>
      <c r="DX217" s="6"/>
      <c r="DY217" s="6"/>
      <c r="DZ217" s="6"/>
      <c r="EA217" s="6"/>
      <c r="EB217" s="6"/>
      <c r="EC217" s="6"/>
      <c r="ED217" s="6"/>
      <c r="EE217" s="6"/>
      <c r="KK217" s="10"/>
      <c r="KL217" s="10"/>
      <c r="KM217" s="10"/>
      <c r="KN217" s="10"/>
      <c r="KO217" s="10"/>
      <c r="KP217" s="10"/>
      <c r="KQ217" s="10"/>
      <c r="KR217" s="10"/>
      <c r="KS217" s="10"/>
      <c r="KT217" s="10"/>
      <c r="KU217" s="10"/>
      <c r="KV217" s="10"/>
      <c r="KW217" s="10"/>
      <c r="KX217" s="10"/>
      <c r="KY217" s="10"/>
      <c r="KZ217" s="10"/>
      <c r="LA217" s="10"/>
      <c r="LB217" s="10"/>
      <c r="LC217" s="10"/>
      <c r="LD217" s="10"/>
    </row>
    <row r="218" spans="1:316" ht="15.75" customHeight="1" x14ac:dyDescent="0.25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6"/>
      <c r="BY218" s="6"/>
      <c r="BZ218" s="6"/>
      <c r="CA218" s="6"/>
      <c r="CB218" s="6"/>
      <c r="CC218" s="6"/>
      <c r="CD218" s="6"/>
      <c r="CE218" s="6"/>
      <c r="CF218" s="6"/>
      <c r="CG218" s="6"/>
      <c r="CH218" s="6"/>
      <c r="CI218" s="6"/>
      <c r="CJ218" s="6"/>
      <c r="CK218" s="6"/>
      <c r="CL218" s="6"/>
      <c r="CM218" s="6"/>
      <c r="CN218" s="6"/>
      <c r="CO218" s="6"/>
      <c r="CP218" s="6"/>
      <c r="CQ218" s="6"/>
      <c r="CR218" s="6"/>
      <c r="CS218" s="6"/>
      <c r="CT218" s="6"/>
      <c r="CU218" s="6"/>
      <c r="CV218" s="6"/>
      <c r="CW218" s="6"/>
      <c r="CX218" s="6"/>
      <c r="CY218" s="6"/>
      <c r="CZ218" s="6"/>
      <c r="DA218" s="6"/>
      <c r="DB218" s="6"/>
      <c r="DC218" s="6"/>
      <c r="DD218" s="6"/>
      <c r="DE218" s="6"/>
      <c r="DF218" s="6"/>
      <c r="DG218" s="6"/>
      <c r="DH218" s="6"/>
      <c r="DI218" s="6"/>
      <c r="DJ218" s="6"/>
      <c r="DK218" s="6"/>
      <c r="DL218" s="6"/>
      <c r="DM218" s="6"/>
      <c r="DN218" s="6"/>
      <c r="DO218" s="6"/>
      <c r="DP218" s="6"/>
      <c r="DQ218" s="6"/>
      <c r="DR218" s="6"/>
      <c r="DS218" s="6"/>
      <c r="DT218" s="6"/>
      <c r="DU218" s="6"/>
      <c r="DV218" s="6"/>
      <c r="DW218" s="6"/>
      <c r="DX218" s="6"/>
      <c r="DY218" s="6"/>
      <c r="DZ218" s="6"/>
      <c r="EA218" s="6"/>
      <c r="EB218" s="6"/>
      <c r="EC218" s="6"/>
      <c r="ED218" s="6"/>
      <c r="EE218" s="6"/>
      <c r="KK218" s="10"/>
      <c r="KL218" s="10"/>
      <c r="KM218" s="10"/>
      <c r="KN218" s="10"/>
      <c r="KO218" s="10"/>
      <c r="KP218" s="10"/>
      <c r="KQ218" s="10"/>
      <c r="KR218" s="10"/>
      <c r="KS218" s="10"/>
      <c r="KT218" s="10"/>
      <c r="KU218" s="10"/>
      <c r="KV218" s="10"/>
      <c r="KW218" s="10"/>
      <c r="KX218" s="10"/>
      <c r="KY218" s="10"/>
      <c r="KZ218" s="10"/>
      <c r="LA218" s="10"/>
      <c r="LB218" s="10"/>
      <c r="LC218" s="10"/>
      <c r="LD218" s="10"/>
    </row>
    <row r="219" spans="1:316" ht="15.75" customHeight="1" x14ac:dyDescent="0.25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6"/>
      <c r="BY219" s="6"/>
      <c r="BZ219" s="6"/>
      <c r="CA219" s="6"/>
      <c r="CB219" s="6"/>
      <c r="CC219" s="6"/>
      <c r="CD219" s="6"/>
      <c r="CE219" s="6"/>
      <c r="CF219" s="6"/>
      <c r="CG219" s="6"/>
      <c r="CH219" s="6"/>
      <c r="CI219" s="6"/>
      <c r="CJ219" s="6"/>
      <c r="CK219" s="6"/>
      <c r="CL219" s="6"/>
      <c r="CM219" s="6"/>
      <c r="CN219" s="6"/>
      <c r="CO219" s="6"/>
      <c r="CP219" s="6"/>
      <c r="CQ219" s="6"/>
      <c r="CR219" s="6"/>
      <c r="CS219" s="6"/>
      <c r="CT219" s="6"/>
      <c r="CU219" s="6"/>
      <c r="CV219" s="6"/>
      <c r="CW219" s="6"/>
      <c r="CX219" s="6"/>
      <c r="CY219" s="6"/>
      <c r="CZ219" s="6"/>
      <c r="DA219" s="6"/>
      <c r="DB219" s="6"/>
      <c r="DC219" s="6"/>
      <c r="DD219" s="6"/>
      <c r="DE219" s="6"/>
      <c r="DF219" s="6"/>
      <c r="DG219" s="6"/>
      <c r="DH219" s="6"/>
      <c r="DI219" s="6"/>
      <c r="DJ219" s="6"/>
      <c r="DK219" s="6"/>
      <c r="DL219" s="6"/>
      <c r="DM219" s="6"/>
      <c r="DN219" s="6"/>
      <c r="DO219" s="6"/>
      <c r="DP219" s="6"/>
      <c r="DQ219" s="6"/>
      <c r="DR219" s="6"/>
      <c r="DS219" s="6"/>
      <c r="DT219" s="6"/>
      <c r="DU219" s="6"/>
      <c r="DV219" s="6"/>
      <c r="DW219" s="6"/>
      <c r="DX219" s="6"/>
      <c r="DY219" s="6"/>
      <c r="DZ219" s="6"/>
      <c r="EA219" s="6"/>
      <c r="EB219" s="6"/>
      <c r="EC219" s="6"/>
      <c r="ED219" s="6"/>
      <c r="EE219" s="6"/>
      <c r="KK219" s="10"/>
      <c r="KL219" s="10"/>
      <c r="KM219" s="10"/>
      <c r="KN219" s="10"/>
      <c r="KO219" s="10"/>
      <c r="KP219" s="10"/>
      <c r="KQ219" s="10"/>
      <c r="KR219" s="10"/>
      <c r="KS219" s="10"/>
      <c r="KT219" s="10"/>
      <c r="KU219" s="10"/>
      <c r="KV219" s="10"/>
      <c r="KW219" s="10"/>
      <c r="KX219" s="10"/>
      <c r="KY219" s="10"/>
      <c r="KZ219" s="10"/>
      <c r="LA219" s="10"/>
      <c r="LB219" s="10"/>
      <c r="LC219" s="10"/>
      <c r="LD219" s="10"/>
    </row>
    <row r="220" spans="1:316" ht="15.75" customHeight="1" x14ac:dyDescent="0.25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6"/>
      <c r="BY220" s="6"/>
      <c r="BZ220" s="6"/>
      <c r="CA220" s="6"/>
      <c r="CB220" s="6"/>
      <c r="CC220" s="6"/>
      <c r="CD220" s="6"/>
      <c r="CE220" s="6"/>
      <c r="CF220" s="6"/>
      <c r="CG220" s="6"/>
      <c r="CH220" s="6"/>
      <c r="CI220" s="6"/>
      <c r="CJ220" s="6"/>
      <c r="CK220" s="6"/>
      <c r="CL220" s="6"/>
      <c r="CM220" s="6"/>
      <c r="CN220" s="6"/>
      <c r="CO220" s="6"/>
      <c r="CP220" s="6"/>
      <c r="CQ220" s="6"/>
      <c r="CR220" s="6"/>
      <c r="CS220" s="6"/>
      <c r="CT220" s="6"/>
      <c r="CU220" s="6"/>
      <c r="CV220" s="6"/>
      <c r="CW220" s="6"/>
      <c r="CX220" s="6"/>
      <c r="CY220" s="6"/>
      <c r="CZ220" s="6"/>
      <c r="DA220" s="6"/>
      <c r="DB220" s="6"/>
      <c r="DC220" s="6"/>
      <c r="DD220" s="6"/>
      <c r="DE220" s="6"/>
      <c r="DF220" s="6"/>
      <c r="DG220" s="6"/>
      <c r="DH220" s="6"/>
      <c r="DI220" s="6"/>
      <c r="DJ220" s="6"/>
      <c r="DK220" s="6"/>
      <c r="DL220" s="6"/>
      <c r="DM220" s="6"/>
      <c r="DN220" s="6"/>
      <c r="DO220" s="6"/>
      <c r="DP220" s="6"/>
      <c r="DQ220" s="6"/>
      <c r="DR220" s="6"/>
      <c r="DS220" s="6"/>
      <c r="DT220" s="6"/>
      <c r="DU220" s="6"/>
      <c r="DV220" s="6"/>
      <c r="DW220" s="6"/>
      <c r="DX220" s="6"/>
      <c r="DY220" s="6"/>
      <c r="DZ220" s="6"/>
      <c r="EA220" s="6"/>
      <c r="EB220" s="6"/>
      <c r="EC220" s="6"/>
      <c r="ED220" s="6"/>
      <c r="EE220" s="6"/>
      <c r="KK220" s="10"/>
      <c r="KL220" s="10"/>
      <c r="KM220" s="10"/>
      <c r="KN220" s="10"/>
      <c r="KO220" s="10"/>
      <c r="KP220" s="10"/>
      <c r="KQ220" s="10"/>
      <c r="KR220" s="10"/>
      <c r="KS220" s="10"/>
      <c r="KT220" s="10"/>
      <c r="KU220" s="10"/>
      <c r="KV220" s="10"/>
      <c r="KW220" s="10"/>
      <c r="KX220" s="10"/>
      <c r="KY220" s="10"/>
      <c r="KZ220" s="10"/>
      <c r="LA220" s="10"/>
      <c r="LB220" s="10"/>
      <c r="LC220" s="10"/>
      <c r="LD220" s="10"/>
    </row>
    <row r="221" spans="1:316" ht="15.75" customHeight="1" x14ac:dyDescent="0.25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6"/>
      <c r="BY221" s="6"/>
      <c r="BZ221" s="6"/>
      <c r="CA221" s="6"/>
      <c r="CB221" s="6"/>
      <c r="CC221" s="6"/>
      <c r="CD221" s="6"/>
      <c r="CE221" s="6"/>
      <c r="CF221" s="6"/>
      <c r="CG221" s="6"/>
      <c r="CH221" s="6"/>
      <c r="CI221" s="6"/>
      <c r="CJ221" s="6"/>
      <c r="CK221" s="6"/>
      <c r="CL221" s="6"/>
      <c r="CM221" s="6"/>
      <c r="CN221" s="6"/>
      <c r="CO221" s="6"/>
      <c r="CP221" s="6"/>
      <c r="CQ221" s="6"/>
      <c r="CR221" s="6"/>
      <c r="CS221" s="6"/>
      <c r="CT221" s="6"/>
      <c r="CU221" s="6"/>
      <c r="CV221" s="6"/>
      <c r="CW221" s="6"/>
      <c r="CX221" s="6"/>
      <c r="CY221" s="6"/>
      <c r="CZ221" s="6"/>
      <c r="DA221" s="6"/>
      <c r="DB221" s="6"/>
      <c r="DC221" s="6"/>
      <c r="DD221" s="6"/>
      <c r="DE221" s="6"/>
      <c r="DF221" s="6"/>
      <c r="DG221" s="6"/>
      <c r="DH221" s="6"/>
      <c r="DI221" s="6"/>
      <c r="DJ221" s="6"/>
      <c r="DK221" s="6"/>
      <c r="DL221" s="6"/>
      <c r="DM221" s="6"/>
      <c r="DN221" s="6"/>
      <c r="DO221" s="6"/>
      <c r="DP221" s="6"/>
      <c r="DQ221" s="6"/>
      <c r="DR221" s="6"/>
      <c r="DS221" s="6"/>
      <c r="DT221" s="6"/>
      <c r="DU221" s="6"/>
      <c r="DV221" s="6"/>
      <c r="DW221" s="6"/>
      <c r="DX221" s="6"/>
      <c r="DY221" s="6"/>
      <c r="DZ221" s="6"/>
      <c r="EA221" s="6"/>
      <c r="EB221" s="6"/>
      <c r="EC221" s="6"/>
      <c r="ED221" s="6"/>
      <c r="EE221" s="6"/>
      <c r="KK221" s="10"/>
      <c r="KL221" s="10"/>
      <c r="KM221" s="10"/>
      <c r="KN221" s="10"/>
      <c r="KO221" s="10"/>
      <c r="KP221" s="10"/>
      <c r="KQ221" s="10"/>
      <c r="KR221" s="10"/>
      <c r="KS221" s="10"/>
      <c r="KT221" s="10"/>
      <c r="KU221" s="10"/>
      <c r="KV221" s="10"/>
      <c r="KW221" s="10"/>
      <c r="KX221" s="10"/>
      <c r="KY221" s="10"/>
      <c r="KZ221" s="10"/>
      <c r="LA221" s="10"/>
      <c r="LB221" s="10"/>
      <c r="LC221" s="10"/>
      <c r="LD221" s="10"/>
    </row>
    <row r="222" spans="1:316" ht="15.75" customHeight="1" x14ac:dyDescent="0.25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6"/>
      <c r="BY222" s="6"/>
      <c r="BZ222" s="6"/>
      <c r="CA222" s="6"/>
      <c r="CB222" s="6"/>
      <c r="CC222" s="6"/>
      <c r="CD222" s="6"/>
      <c r="CE222" s="6"/>
      <c r="CF222" s="6"/>
      <c r="CG222" s="6"/>
      <c r="CH222" s="6"/>
      <c r="CI222" s="6"/>
      <c r="CJ222" s="6"/>
      <c r="CK222" s="6"/>
      <c r="CL222" s="6"/>
      <c r="CM222" s="6"/>
      <c r="CN222" s="6"/>
      <c r="CO222" s="6"/>
      <c r="CP222" s="6"/>
      <c r="CQ222" s="6"/>
      <c r="CR222" s="6"/>
      <c r="CS222" s="6"/>
      <c r="CT222" s="6"/>
      <c r="CU222" s="6"/>
      <c r="CV222" s="6"/>
      <c r="CW222" s="6"/>
      <c r="CX222" s="6"/>
      <c r="CY222" s="6"/>
      <c r="CZ222" s="6"/>
      <c r="DA222" s="6"/>
      <c r="DB222" s="6"/>
      <c r="DC222" s="6"/>
      <c r="DD222" s="6"/>
      <c r="DE222" s="6"/>
      <c r="DF222" s="6"/>
      <c r="DG222" s="6"/>
      <c r="DH222" s="6"/>
      <c r="DI222" s="6"/>
      <c r="DJ222" s="6"/>
      <c r="DK222" s="6"/>
      <c r="DL222" s="6"/>
      <c r="DM222" s="6"/>
      <c r="DN222" s="6"/>
      <c r="DO222" s="6"/>
      <c r="DP222" s="6"/>
      <c r="DQ222" s="6"/>
      <c r="DR222" s="6"/>
      <c r="DS222" s="6"/>
      <c r="DT222" s="6"/>
      <c r="DU222" s="6"/>
      <c r="DV222" s="6"/>
      <c r="DW222" s="6"/>
      <c r="DX222" s="6"/>
      <c r="DY222" s="6"/>
      <c r="DZ222" s="6"/>
      <c r="EA222" s="6"/>
      <c r="EB222" s="6"/>
      <c r="EC222" s="6"/>
      <c r="ED222" s="6"/>
      <c r="EE222" s="6"/>
      <c r="KK222" s="10"/>
      <c r="KL222" s="10"/>
      <c r="KM222" s="10"/>
      <c r="KN222" s="10"/>
      <c r="KO222" s="10"/>
      <c r="KP222" s="10"/>
      <c r="KQ222" s="10"/>
      <c r="KR222" s="10"/>
      <c r="KS222" s="10"/>
      <c r="KT222" s="10"/>
      <c r="KU222" s="10"/>
      <c r="KV222" s="10"/>
      <c r="KW222" s="10"/>
      <c r="KX222" s="10"/>
      <c r="KY222" s="10"/>
      <c r="KZ222" s="10"/>
      <c r="LA222" s="10"/>
      <c r="LB222" s="10"/>
      <c r="LC222" s="10"/>
      <c r="LD222" s="10"/>
    </row>
    <row r="223" spans="1:316" ht="15.75" customHeight="1" x14ac:dyDescent="0.25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6"/>
      <c r="BY223" s="6"/>
      <c r="BZ223" s="6"/>
      <c r="CA223" s="6"/>
      <c r="CB223" s="6"/>
      <c r="CC223" s="6"/>
      <c r="CD223" s="6"/>
      <c r="CE223" s="6"/>
      <c r="CF223" s="6"/>
      <c r="CG223" s="6"/>
      <c r="CH223" s="6"/>
      <c r="CI223" s="6"/>
      <c r="CJ223" s="6"/>
      <c r="CK223" s="6"/>
      <c r="CL223" s="6"/>
      <c r="CM223" s="6"/>
      <c r="CN223" s="6"/>
      <c r="CO223" s="6"/>
      <c r="CP223" s="6"/>
      <c r="CQ223" s="6"/>
      <c r="CR223" s="6"/>
      <c r="CS223" s="6"/>
      <c r="CT223" s="6"/>
      <c r="CU223" s="6"/>
      <c r="CV223" s="6"/>
      <c r="CW223" s="6"/>
      <c r="CX223" s="6"/>
      <c r="CY223" s="6"/>
      <c r="CZ223" s="6"/>
      <c r="DA223" s="6"/>
      <c r="DB223" s="6"/>
      <c r="DC223" s="6"/>
      <c r="DD223" s="6"/>
      <c r="DE223" s="6"/>
      <c r="DF223" s="6"/>
      <c r="DG223" s="6"/>
      <c r="DH223" s="6"/>
      <c r="DI223" s="6"/>
      <c r="DJ223" s="6"/>
      <c r="DK223" s="6"/>
      <c r="DL223" s="6"/>
      <c r="DM223" s="6"/>
      <c r="DN223" s="6"/>
      <c r="DO223" s="6"/>
      <c r="DP223" s="6"/>
      <c r="DQ223" s="6"/>
      <c r="DR223" s="6"/>
      <c r="DS223" s="6"/>
      <c r="DT223" s="6"/>
      <c r="DU223" s="6"/>
      <c r="DV223" s="6"/>
      <c r="DW223" s="6"/>
      <c r="DX223" s="6"/>
      <c r="DY223" s="6"/>
      <c r="DZ223" s="6"/>
      <c r="EA223" s="6"/>
      <c r="EB223" s="6"/>
      <c r="EC223" s="6"/>
      <c r="ED223" s="6"/>
      <c r="EE223" s="6"/>
      <c r="KK223" s="10"/>
      <c r="KL223" s="10"/>
      <c r="KM223" s="10"/>
      <c r="KN223" s="10"/>
      <c r="KO223" s="10"/>
      <c r="KP223" s="10"/>
      <c r="KQ223" s="10"/>
      <c r="KR223" s="10"/>
      <c r="KS223" s="10"/>
      <c r="KT223" s="10"/>
      <c r="KU223" s="10"/>
      <c r="KV223" s="10"/>
      <c r="KW223" s="10"/>
      <c r="KX223" s="10"/>
      <c r="KY223" s="10"/>
      <c r="KZ223" s="10"/>
      <c r="LA223" s="10"/>
      <c r="LB223" s="10"/>
      <c r="LC223" s="10"/>
      <c r="LD223" s="10"/>
    </row>
    <row r="224" spans="1:316" ht="15.75" customHeight="1" x14ac:dyDescent="0.25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6"/>
      <c r="BY224" s="6"/>
      <c r="BZ224" s="6"/>
      <c r="CA224" s="6"/>
      <c r="CB224" s="6"/>
      <c r="CC224" s="6"/>
      <c r="CD224" s="6"/>
      <c r="CE224" s="6"/>
      <c r="CF224" s="6"/>
      <c r="CG224" s="6"/>
      <c r="CH224" s="6"/>
      <c r="CI224" s="6"/>
      <c r="CJ224" s="6"/>
      <c r="CK224" s="6"/>
      <c r="CL224" s="6"/>
      <c r="CM224" s="6"/>
      <c r="CN224" s="6"/>
      <c r="CO224" s="6"/>
      <c r="CP224" s="6"/>
      <c r="CQ224" s="6"/>
      <c r="CR224" s="6"/>
      <c r="CS224" s="6"/>
      <c r="CT224" s="6"/>
      <c r="CU224" s="6"/>
      <c r="CV224" s="6"/>
      <c r="CW224" s="6"/>
      <c r="CX224" s="6"/>
      <c r="CY224" s="6"/>
      <c r="CZ224" s="6"/>
      <c r="DA224" s="6"/>
      <c r="DB224" s="6"/>
      <c r="DC224" s="6"/>
      <c r="DD224" s="6"/>
      <c r="DE224" s="6"/>
      <c r="DF224" s="6"/>
      <c r="DG224" s="6"/>
      <c r="DH224" s="6"/>
      <c r="DI224" s="6"/>
      <c r="DJ224" s="6"/>
      <c r="DK224" s="6"/>
      <c r="DL224" s="6"/>
      <c r="DM224" s="6"/>
      <c r="DN224" s="6"/>
      <c r="DO224" s="6"/>
      <c r="DP224" s="6"/>
      <c r="DQ224" s="6"/>
      <c r="DR224" s="6"/>
      <c r="DS224" s="6"/>
      <c r="DT224" s="6"/>
      <c r="DU224" s="6"/>
      <c r="DV224" s="6"/>
      <c r="DW224" s="6"/>
      <c r="DX224" s="6"/>
      <c r="DY224" s="6"/>
      <c r="DZ224" s="6"/>
      <c r="EA224" s="6"/>
      <c r="EB224" s="6"/>
      <c r="EC224" s="6"/>
      <c r="ED224" s="6"/>
      <c r="EE224" s="6"/>
      <c r="KK224" s="10"/>
      <c r="KL224" s="10"/>
      <c r="KM224" s="10"/>
      <c r="KN224" s="10"/>
      <c r="KO224" s="10"/>
      <c r="KP224" s="10"/>
      <c r="KQ224" s="10"/>
      <c r="KR224" s="10"/>
      <c r="KS224" s="10"/>
      <c r="KT224" s="10"/>
      <c r="KU224" s="10"/>
      <c r="KV224" s="10"/>
      <c r="KW224" s="10"/>
      <c r="KX224" s="10"/>
      <c r="KY224" s="10"/>
      <c r="KZ224" s="10"/>
      <c r="LA224" s="10"/>
      <c r="LB224" s="10"/>
      <c r="LC224" s="10"/>
      <c r="LD224" s="10"/>
    </row>
    <row r="225" spans="1:316" ht="15.75" customHeight="1" x14ac:dyDescent="0.25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6"/>
      <c r="BY225" s="6"/>
      <c r="BZ225" s="6"/>
      <c r="CA225" s="6"/>
      <c r="CB225" s="6"/>
      <c r="CC225" s="6"/>
      <c r="CD225" s="6"/>
      <c r="CE225" s="6"/>
      <c r="CF225" s="6"/>
      <c r="CG225" s="6"/>
      <c r="CH225" s="6"/>
      <c r="CI225" s="6"/>
      <c r="CJ225" s="6"/>
      <c r="CK225" s="6"/>
      <c r="CL225" s="6"/>
      <c r="CM225" s="6"/>
      <c r="CN225" s="6"/>
      <c r="CO225" s="6"/>
      <c r="CP225" s="6"/>
      <c r="CQ225" s="6"/>
      <c r="CR225" s="6"/>
      <c r="CS225" s="6"/>
      <c r="CT225" s="6"/>
      <c r="CU225" s="6"/>
      <c r="CV225" s="6"/>
      <c r="CW225" s="6"/>
      <c r="CX225" s="6"/>
      <c r="CY225" s="6"/>
      <c r="CZ225" s="6"/>
      <c r="DA225" s="6"/>
      <c r="DB225" s="6"/>
      <c r="DC225" s="6"/>
      <c r="DD225" s="6"/>
      <c r="DE225" s="6"/>
      <c r="DF225" s="6"/>
      <c r="DG225" s="6"/>
      <c r="DH225" s="6"/>
      <c r="DI225" s="6"/>
      <c r="DJ225" s="6"/>
      <c r="DK225" s="6"/>
      <c r="DL225" s="6"/>
      <c r="DM225" s="6"/>
      <c r="DN225" s="6"/>
      <c r="DO225" s="6"/>
      <c r="DP225" s="6"/>
      <c r="DQ225" s="6"/>
      <c r="DR225" s="6"/>
      <c r="DS225" s="6"/>
      <c r="DT225" s="6"/>
      <c r="DU225" s="6"/>
      <c r="DV225" s="6"/>
      <c r="DW225" s="6"/>
      <c r="DX225" s="6"/>
      <c r="DY225" s="6"/>
      <c r="DZ225" s="6"/>
      <c r="EA225" s="6"/>
      <c r="EB225" s="6"/>
      <c r="EC225" s="6"/>
      <c r="ED225" s="6"/>
      <c r="EE225" s="6"/>
      <c r="KK225" s="10"/>
      <c r="KL225" s="10"/>
      <c r="KM225" s="10"/>
      <c r="KN225" s="10"/>
      <c r="KO225" s="10"/>
      <c r="KP225" s="10"/>
      <c r="KQ225" s="10"/>
      <c r="KR225" s="10"/>
      <c r="KS225" s="10"/>
      <c r="KT225" s="10"/>
      <c r="KU225" s="10"/>
      <c r="KV225" s="10"/>
      <c r="KW225" s="10"/>
      <c r="KX225" s="10"/>
      <c r="KY225" s="10"/>
      <c r="KZ225" s="10"/>
      <c r="LA225" s="10"/>
      <c r="LB225" s="10"/>
      <c r="LC225" s="10"/>
      <c r="LD225" s="10"/>
    </row>
    <row r="226" spans="1:316" ht="15.75" customHeight="1" x14ac:dyDescent="0.25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6"/>
      <c r="BY226" s="6"/>
      <c r="BZ226" s="6"/>
      <c r="CA226" s="6"/>
      <c r="CB226" s="6"/>
      <c r="CC226" s="6"/>
      <c r="CD226" s="6"/>
      <c r="CE226" s="6"/>
      <c r="CF226" s="6"/>
      <c r="CG226" s="6"/>
      <c r="CH226" s="6"/>
      <c r="CI226" s="6"/>
      <c r="CJ226" s="6"/>
      <c r="CK226" s="6"/>
      <c r="CL226" s="6"/>
      <c r="CM226" s="6"/>
      <c r="CN226" s="6"/>
      <c r="CO226" s="6"/>
      <c r="CP226" s="6"/>
      <c r="CQ226" s="6"/>
      <c r="CR226" s="6"/>
      <c r="CS226" s="6"/>
      <c r="CT226" s="6"/>
      <c r="CU226" s="6"/>
      <c r="CV226" s="6"/>
      <c r="CW226" s="6"/>
      <c r="CX226" s="6"/>
      <c r="CY226" s="6"/>
      <c r="CZ226" s="6"/>
      <c r="DA226" s="6"/>
      <c r="DB226" s="6"/>
      <c r="DC226" s="6"/>
      <c r="DD226" s="6"/>
      <c r="DE226" s="6"/>
      <c r="DF226" s="6"/>
      <c r="DG226" s="6"/>
      <c r="DH226" s="6"/>
      <c r="DI226" s="6"/>
      <c r="DJ226" s="6"/>
      <c r="DK226" s="6"/>
      <c r="DL226" s="6"/>
      <c r="DM226" s="6"/>
      <c r="DN226" s="6"/>
      <c r="DO226" s="6"/>
      <c r="DP226" s="6"/>
      <c r="DQ226" s="6"/>
      <c r="DR226" s="6"/>
      <c r="DS226" s="6"/>
      <c r="DT226" s="6"/>
      <c r="DU226" s="6"/>
      <c r="DV226" s="6"/>
      <c r="DW226" s="6"/>
      <c r="DX226" s="6"/>
      <c r="DY226" s="6"/>
      <c r="DZ226" s="6"/>
      <c r="EA226" s="6"/>
      <c r="EB226" s="6"/>
      <c r="EC226" s="6"/>
      <c r="ED226" s="6"/>
      <c r="EE226" s="6"/>
      <c r="KK226" s="10"/>
      <c r="KL226" s="10"/>
      <c r="KM226" s="10"/>
      <c r="KN226" s="10"/>
      <c r="KO226" s="10"/>
      <c r="KP226" s="10"/>
      <c r="KQ226" s="10"/>
      <c r="KR226" s="10"/>
      <c r="KS226" s="10"/>
      <c r="KT226" s="10"/>
      <c r="KU226" s="10"/>
      <c r="KV226" s="10"/>
      <c r="KW226" s="10"/>
      <c r="KX226" s="10"/>
      <c r="KY226" s="10"/>
      <c r="KZ226" s="10"/>
      <c r="LA226" s="10"/>
      <c r="LB226" s="10"/>
      <c r="LC226" s="10"/>
      <c r="LD226" s="10"/>
    </row>
    <row r="227" spans="1:316" ht="15.75" customHeight="1" x14ac:dyDescent="0.25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6"/>
      <c r="BY227" s="6"/>
      <c r="BZ227" s="6"/>
      <c r="CA227" s="6"/>
      <c r="CB227" s="6"/>
      <c r="CC227" s="6"/>
      <c r="CD227" s="6"/>
      <c r="CE227" s="6"/>
      <c r="CF227" s="6"/>
      <c r="CG227" s="6"/>
      <c r="CH227" s="6"/>
      <c r="CI227" s="6"/>
      <c r="CJ227" s="6"/>
      <c r="CK227" s="6"/>
      <c r="CL227" s="6"/>
      <c r="CM227" s="6"/>
      <c r="CN227" s="6"/>
      <c r="CO227" s="6"/>
      <c r="CP227" s="6"/>
      <c r="CQ227" s="6"/>
      <c r="CR227" s="6"/>
      <c r="CS227" s="6"/>
      <c r="CT227" s="6"/>
      <c r="CU227" s="6"/>
      <c r="CV227" s="6"/>
      <c r="CW227" s="6"/>
      <c r="CX227" s="6"/>
      <c r="CY227" s="6"/>
      <c r="CZ227" s="6"/>
      <c r="DA227" s="6"/>
      <c r="DB227" s="6"/>
      <c r="DC227" s="6"/>
      <c r="DD227" s="6"/>
      <c r="DE227" s="6"/>
      <c r="DF227" s="6"/>
      <c r="DG227" s="6"/>
      <c r="DH227" s="6"/>
      <c r="DI227" s="6"/>
      <c r="DJ227" s="6"/>
      <c r="DK227" s="6"/>
      <c r="DL227" s="6"/>
      <c r="DM227" s="6"/>
      <c r="DN227" s="6"/>
      <c r="DO227" s="6"/>
      <c r="DP227" s="6"/>
      <c r="DQ227" s="6"/>
      <c r="DR227" s="6"/>
      <c r="DS227" s="6"/>
      <c r="DT227" s="6"/>
      <c r="DU227" s="6"/>
      <c r="DV227" s="6"/>
      <c r="DW227" s="6"/>
      <c r="DX227" s="6"/>
      <c r="DY227" s="6"/>
      <c r="DZ227" s="6"/>
      <c r="EA227" s="6"/>
      <c r="EB227" s="6"/>
      <c r="EC227" s="6"/>
      <c r="ED227" s="6"/>
      <c r="EE227" s="6"/>
      <c r="KK227" s="10"/>
      <c r="KL227" s="10"/>
      <c r="KM227" s="10"/>
      <c r="KN227" s="10"/>
      <c r="KO227" s="10"/>
      <c r="KP227" s="10"/>
      <c r="KQ227" s="10"/>
      <c r="KR227" s="10"/>
      <c r="KS227" s="10"/>
      <c r="KT227" s="10"/>
      <c r="KU227" s="10"/>
      <c r="KV227" s="10"/>
      <c r="KW227" s="10"/>
      <c r="KX227" s="10"/>
      <c r="KY227" s="10"/>
      <c r="KZ227" s="10"/>
      <c r="LA227" s="10"/>
      <c r="LB227" s="10"/>
      <c r="LC227" s="10"/>
      <c r="LD227" s="10"/>
    </row>
    <row r="228" spans="1:316" ht="15.75" customHeight="1" x14ac:dyDescent="0.25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6"/>
      <c r="BY228" s="6"/>
      <c r="BZ228" s="6"/>
      <c r="CA228" s="6"/>
      <c r="CB228" s="6"/>
      <c r="CC228" s="6"/>
      <c r="CD228" s="6"/>
      <c r="CE228" s="6"/>
      <c r="CF228" s="6"/>
      <c r="CG228" s="6"/>
      <c r="CH228" s="6"/>
      <c r="CI228" s="6"/>
      <c r="CJ228" s="6"/>
      <c r="CK228" s="6"/>
      <c r="CL228" s="6"/>
      <c r="CM228" s="6"/>
      <c r="CN228" s="6"/>
      <c r="CO228" s="6"/>
      <c r="CP228" s="6"/>
      <c r="CQ228" s="6"/>
      <c r="CR228" s="6"/>
      <c r="CS228" s="6"/>
      <c r="CT228" s="6"/>
      <c r="CU228" s="6"/>
      <c r="CV228" s="6"/>
      <c r="CW228" s="6"/>
      <c r="CX228" s="6"/>
      <c r="CY228" s="6"/>
      <c r="CZ228" s="6"/>
      <c r="DA228" s="6"/>
      <c r="DB228" s="6"/>
      <c r="DC228" s="6"/>
      <c r="DD228" s="6"/>
      <c r="DE228" s="6"/>
      <c r="DF228" s="6"/>
      <c r="DG228" s="6"/>
      <c r="DH228" s="6"/>
      <c r="DI228" s="6"/>
      <c r="DJ228" s="6"/>
      <c r="DK228" s="6"/>
      <c r="DL228" s="6"/>
      <c r="DM228" s="6"/>
      <c r="DN228" s="6"/>
      <c r="DO228" s="6"/>
      <c r="DP228" s="6"/>
      <c r="DQ228" s="6"/>
      <c r="DR228" s="6"/>
      <c r="DS228" s="6"/>
      <c r="DT228" s="6"/>
      <c r="DU228" s="6"/>
      <c r="DV228" s="6"/>
      <c r="DW228" s="6"/>
      <c r="DX228" s="6"/>
      <c r="DY228" s="6"/>
      <c r="DZ228" s="6"/>
      <c r="EA228" s="6"/>
      <c r="EB228" s="6"/>
      <c r="EC228" s="6"/>
      <c r="ED228" s="6"/>
      <c r="EE228" s="6"/>
      <c r="KK228" s="10"/>
      <c r="KL228" s="10"/>
      <c r="KM228" s="10"/>
      <c r="KN228" s="10"/>
      <c r="KO228" s="10"/>
      <c r="KP228" s="10"/>
      <c r="KQ228" s="10"/>
      <c r="KR228" s="10"/>
      <c r="KS228" s="10"/>
      <c r="KT228" s="10"/>
      <c r="KU228" s="10"/>
      <c r="KV228" s="10"/>
      <c r="KW228" s="10"/>
      <c r="KX228" s="10"/>
      <c r="KY228" s="10"/>
      <c r="KZ228" s="10"/>
      <c r="LA228" s="10"/>
      <c r="LB228" s="10"/>
      <c r="LC228" s="10"/>
      <c r="LD228" s="10"/>
    </row>
    <row r="229" spans="1:316" ht="15.75" customHeight="1" x14ac:dyDescent="0.25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6"/>
      <c r="BY229" s="6"/>
      <c r="BZ229" s="6"/>
      <c r="CA229" s="6"/>
      <c r="CB229" s="6"/>
      <c r="CC229" s="6"/>
      <c r="CD229" s="6"/>
      <c r="CE229" s="6"/>
      <c r="CF229" s="6"/>
      <c r="CG229" s="6"/>
      <c r="CH229" s="6"/>
      <c r="CI229" s="6"/>
      <c r="CJ229" s="6"/>
      <c r="CK229" s="6"/>
      <c r="CL229" s="6"/>
      <c r="CM229" s="6"/>
      <c r="CN229" s="6"/>
      <c r="CO229" s="6"/>
      <c r="CP229" s="6"/>
      <c r="CQ229" s="6"/>
      <c r="CR229" s="6"/>
      <c r="CS229" s="6"/>
      <c r="CT229" s="6"/>
      <c r="CU229" s="6"/>
      <c r="CV229" s="6"/>
      <c r="CW229" s="6"/>
      <c r="CX229" s="6"/>
      <c r="CY229" s="6"/>
      <c r="CZ229" s="6"/>
      <c r="DA229" s="6"/>
      <c r="DB229" s="6"/>
      <c r="DC229" s="6"/>
      <c r="DD229" s="6"/>
      <c r="DE229" s="6"/>
      <c r="DF229" s="6"/>
      <c r="DG229" s="6"/>
      <c r="DH229" s="6"/>
      <c r="DI229" s="6"/>
      <c r="DJ229" s="6"/>
      <c r="DK229" s="6"/>
      <c r="DL229" s="6"/>
      <c r="DM229" s="6"/>
      <c r="DN229" s="6"/>
      <c r="DO229" s="6"/>
      <c r="DP229" s="6"/>
      <c r="DQ229" s="6"/>
      <c r="DR229" s="6"/>
      <c r="DS229" s="6"/>
      <c r="DT229" s="6"/>
      <c r="DU229" s="6"/>
      <c r="DV229" s="6"/>
      <c r="DW229" s="6"/>
      <c r="DX229" s="6"/>
      <c r="DY229" s="6"/>
      <c r="DZ229" s="6"/>
      <c r="EA229" s="6"/>
      <c r="EB229" s="6"/>
      <c r="EC229" s="6"/>
      <c r="ED229" s="6"/>
      <c r="EE229" s="6"/>
      <c r="KK229" s="10"/>
      <c r="KL229" s="10"/>
      <c r="KM229" s="10"/>
      <c r="KN229" s="10"/>
      <c r="KO229" s="10"/>
      <c r="KP229" s="10"/>
      <c r="KQ229" s="10"/>
      <c r="KR229" s="10"/>
      <c r="KS229" s="10"/>
      <c r="KT229" s="10"/>
      <c r="KU229" s="10"/>
      <c r="KV229" s="10"/>
      <c r="KW229" s="10"/>
      <c r="KX229" s="10"/>
      <c r="KY229" s="10"/>
      <c r="KZ229" s="10"/>
      <c r="LA229" s="10"/>
      <c r="LB229" s="10"/>
      <c r="LC229" s="10"/>
      <c r="LD229" s="10"/>
    </row>
    <row r="230" spans="1:316" ht="15.75" customHeight="1" x14ac:dyDescent="0.25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6"/>
      <c r="BY230" s="6"/>
      <c r="BZ230" s="6"/>
      <c r="CA230" s="6"/>
      <c r="CB230" s="6"/>
      <c r="CC230" s="6"/>
      <c r="CD230" s="6"/>
      <c r="CE230" s="6"/>
      <c r="CF230" s="6"/>
      <c r="CG230" s="6"/>
      <c r="CH230" s="6"/>
      <c r="CI230" s="6"/>
      <c r="CJ230" s="6"/>
      <c r="CK230" s="6"/>
      <c r="CL230" s="6"/>
      <c r="CM230" s="6"/>
      <c r="CN230" s="6"/>
      <c r="CO230" s="6"/>
      <c r="CP230" s="6"/>
      <c r="CQ230" s="6"/>
      <c r="CR230" s="6"/>
      <c r="CS230" s="6"/>
      <c r="CT230" s="6"/>
      <c r="CU230" s="6"/>
      <c r="CV230" s="6"/>
      <c r="CW230" s="6"/>
      <c r="CX230" s="6"/>
      <c r="CY230" s="6"/>
      <c r="CZ230" s="6"/>
      <c r="DA230" s="6"/>
      <c r="DB230" s="6"/>
      <c r="DC230" s="6"/>
      <c r="DD230" s="6"/>
      <c r="DE230" s="6"/>
      <c r="DF230" s="6"/>
      <c r="DG230" s="6"/>
      <c r="DH230" s="6"/>
      <c r="DI230" s="6"/>
      <c r="DJ230" s="6"/>
      <c r="DK230" s="6"/>
      <c r="DL230" s="6"/>
      <c r="DM230" s="6"/>
      <c r="DN230" s="6"/>
      <c r="DO230" s="6"/>
      <c r="DP230" s="6"/>
      <c r="DQ230" s="6"/>
      <c r="DR230" s="6"/>
      <c r="DS230" s="6"/>
      <c r="DT230" s="6"/>
      <c r="DU230" s="6"/>
      <c r="DV230" s="6"/>
      <c r="DW230" s="6"/>
      <c r="DX230" s="6"/>
      <c r="DY230" s="6"/>
      <c r="DZ230" s="6"/>
      <c r="EA230" s="6"/>
      <c r="EB230" s="6"/>
      <c r="EC230" s="6"/>
      <c r="ED230" s="6"/>
      <c r="EE230" s="6"/>
      <c r="KK230" s="10"/>
      <c r="KL230" s="10"/>
      <c r="KM230" s="10"/>
      <c r="KN230" s="10"/>
      <c r="KO230" s="10"/>
      <c r="KP230" s="10"/>
      <c r="KQ230" s="10"/>
      <c r="KR230" s="10"/>
      <c r="KS230" s="10"/>
      <c r="KT230" s="10"/>
      <c r="KU230" s="10"/>
      <c r="KV230" s="10"/>
      <c r="KW230" s="10"/>
      <c r="KX230" s="10"/>
      <c r="KY230" s="10"/>
      <c r="KZ230" s="10"/>
      <c r="LA230" s="10"/>
      <c r="LB230" s="10"/>
      <c r="LC230" s="10"/>
      <c r="LD230" s="10"/>
    </row>
    <row r="231" spans="1:316" ht="15.75" customHeight="1" x14ac:dyDescent="0.25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6"/>
      <c r="BY231" s="6"/>
      <c r="BZ231" s="6"/>
      <c r="CA231" s="6"/>
      <c r="CB231" s="6"/>
      <c r="CC231" s="6"/>
      <c r="CD231" s="6"/>
      <c r="CE231" s="6"/>
      <c r="CF231" s="6"/>
      <c r="CG231" s="6"/>
      <c r="CH231" s="6"/>
      <c r="CI231" s="6"/>
      <c r="CJ231" s="6"/>
      <c r="CK231" s="6"/>
      <c r="CL231" s="6"/>
      <c r="CM231" s="6"/>
      <c r="CN231" s="6"/>
      <c r="CO231" s="6"/>
      <c r="CP231" s="6"/>
      <c r="CQ231" s="6"/>
      <c r="CR231" s="6"/>
      <c r="CS231" s="6"/>
      <c r="CT231" s="6"/>
      <c r="CU231" s="6"/>
      <c r="CV231" s="6"/>
      <c r="CW231" s="6"/>
      <c r="CX231" s="6"/>
      <c r="CY231" s="6"/>
      <c r="CZ231" s="6"/>
      <c r="DA231" s="6"/>
      <c r="DB231" s="6"/>
      <c r="DC231" s="6"/>
      <c r="DD231" s="6"/>
      <c r="DE231" s="6"/>
      <c r="DF231" s="6"/>
      <c r="DG231" s="6"/>
      <c r="DH231" s="6"/>
      <c r="DI231" s="6"/>
      <c r="DJ231" s="6"/>
      <c r="DK231" s="6"/>
      <c r="DL231" s="6"/>
      <c r="DM231" s="6"/>
      <c r="DN231" s="6"/>
      <c r="DO231" s="6"/>
      <c r="DP231" s="6"/>
      <c r="DQ231" s="6"/>
      <c r="DR231" s="6"/>
      <c r="DS231" s="6"/>
      <c r="DT231" s="6"/>
      <c r="DU231" s="6"/>
      <c r="DV231" s="6"/>
      <c r="DW231" s="6"/>
      <c r="DX231" s="6"/>
      <c r="DY231" s="6"/>
      <c r="DZ231" s="6"/>
      <c r="EA231" s="6"/>
      <c r="EB231" s="6"/>
      <c r="EC231" s="6"/>
      <c r="ED231" s="6"/>
      <c r="EE231" s="6"/>
      <c r="KK231" s="10"/>
      <c r="KL231" s="10"/>
      <c r="KM231" s="10"/>
      <c r="KN231" s="10"/>
      <c r="KO231" s="10"/>
      <c r="KP231" s="10"/>
      <c r="KQ231" s="10"/>
      <c r="KR231" s="10"/>
      <c r="KS231" s="10"/>
      <c r="KT231" s="10"/>
      <c r="KU231" s="10"/>
      <c r="KV231" s="10"/>
      <c r="KW231" s="10"/>
      <c r="KX231" s="10"/>
      <c r="KY231" s="10"/>
      <c r="KZ231" s="10"/>
      <c r="LA231" s="10"/>
      <c r="LB231" s="10"/>
      <c r="LC231" s="10"/>
      <c r="LD231" s="10"/>
    </row>
    <row r="232" spans="1:316" ht="15.75" customHeight="1" x14ac:dyDescent="0.25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6"/>
      <c r="BY232" s="6"/>
      <c r="BZ232" s="6"/>
      <c r="CA232" s="6"/>
      <c r="CB232" s="6"/>
      <c r="CC232" s="6"/>
      <c r="CD232" s="6"/>
      <c r="CE232" s="6"/>
      <c r="CF232" s="6"/>
      <c r="CG232" s="6"/>
      <c r="CH232" s="6"/>
      <c r="CI232" s="6"/>
      <c r="CJ232" s="6"/>
      <c r="CK232" s="6"/>
      <c r="CL232" s="6"/>
      <c r="CM232" s="6"/>
      <c r="CN232" s="6"/>
      <c r="CO232" s="6"/>
      <c r="CP232" s="6"/>
      <c r="CQ232" s="6"/>
      <c r="CR232" s="6"/>
      <c r="CS232" s="6"/>
      <c r="CT232" s="6"/>
      <c r="CU232" s="6"/>
      <c r="CV232" s="6"/>
      <c r="CW232" s="6"/>
      <c r="CX232" s="6"/>
      <c r="CY232" s="6"/>
      <c r="CZ232" s="6"/>
      <c r="DA232" s="6"/>
      <c r="DB232" s="6"/>
      <c r="DC232" s="6"/>
      <c r="DD232" s="6"/>
      <c r="DE232" s="6"/>
      <c r="DF232" s="6"/>
      <c r="DG232" s="6"/>
      <c r="DH232" s="6"/>
      <c r="DI232" s="6"/>
      <c r="DJ232" s="6"/>
      <c r="DK232" s="6"/>
      <c r="DL232" s="6"/>
      <c r="DM232" s="6"/>
      <c r="DN232" s="6"/>
      <c r="DO232" s="6"/>
      <c r="DP232" s="6"/>
      <c r="DQ232" s="6"/>
      <c r="DR232" s="6"/>
      <c r="DS232" s="6"/>
      <c r="DT232" s="6"/>
      <c r="DU232" s="6"/>
      <c r="DV232" s="6"/>
      <c r="DW232" s="6"/>
      <c r="DX232" s="6"/>
      <c r="DY232" s="6"/>
      <c r="DZ232" s="6"/>
      <c r="EA232" s="6"/>
      <c r="EB232" s="6"/>
      <c r="EC232" s="6"/>
      <c r="ED232" s="6"/>
      <c r="EE232" s="6"/>
      <c r="KK232" s="10"/>
      <c r="KL232" s="10"/>
      <c r="KM232" s="10"/>
      <c r="KN232" s="10"/>
      <c r="KO232" s="10"/>
      <c r="KP232" s="10"/>
      <c r="KQ232" s="10"/>
      <c r="KR232" s="10"/>
      <c r="KS232" s="10"/>
      <c r="KT232" s="10"/>
      <c r="KU232" s="10"/>
      <c r="KV232" s="10"/>
      <c r="KW232" s="10"/>
      <c r="KX232" s="10"/>
      <c r="KY232" s="10"/>
      <c r="KZ232" s="10"/>
      <c r="LA232" s="10"/>
      <c r="LB232" s="10"/>
      <c r="LC232" s="10"/>
      <c r="LD232" s="10"/>
    </row>
    <row r="233" spans="1:316" ht="15.75" customHeight="1" x14ac:dyDescent="0.25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6"/>
      <c r="BY233" s="6"/>
      <c r="BZ233" s="6"/>
      <c r="CA233" s="6"/>
      <c r="CB233" s="6"/>
      <c r="CC233" s="6"/>
      <c r="CD233" s="6"/>
      <c r="CE233" s="6"/>
      <c r="CF233" s="6"/>
      <c r="CG233" s="6"/>
      <c r="CH233" s="6"/>
      <c r="CI233" s="6"/>
      <c r="CJ233" s="6"/>
      <c r="CK233" s="6"/>
      <c r="CL233" s="6"/>
      <c r="CM233" s="6"/>
      <c r="CN233" s="6"/>
      <c r="CO233" s="6"/>
      <c r="CP233" s="6"/>
      <c r="CQ233" s="6"/>
      <c r="CR233" s="6"/>
      <c r="CS233" s="6"/>
      <c r="CT233" s="6"/>
      <c r="CU233" s="6"/>
      <c r="CV233" s="6"/>
      <c r="CW233" s="6"/>
      <c r="CX233" s="6"/>
      <c r="CY233" s="6"/>
      <c r="CZ233" s="6"/>
      <c r="DA233" s="6"/>
      <c r="DB233" s="6"/>
      <c r="DC233" s="6"/>
      <c r="DD233" s="6"/>
      <c r="DE233" s="6"/>
      <c r="DF233" s="6"/>
      <c r="DG233" s="6"/>
      <c r="DH233" s="6"/>
      <c r="DI233" s="6"/>
      <c r="DJ233" s="6"/>
      <c r="DK233" s="6"/>
      <c r="DL233" s="6"/>
      <c r="DM233" s="6"/>
      <c r="DN233" s="6"/>
      <c r="DO233" s="6"/>
      <c r="DP233" s="6"/>
      <c r="DQ233" s="6"/>
      <c r="DR233" s="6"/>
      <c r="DS233" s="6"/>
      <c r="DT233" s="6"/>
      <c r="DU233" s="6"/>
      <c r="DV233" s="6"/>
      <c r="DW233" s="6"/>
      <c r="DX233" s="6"/>
      <c r="DY233" s="6"/>
      <c r="DZ233" s="6"/>
      <c r="EA233" s="6"/>
      <c r="EB233" s="6"/>
      <c r="EC233" s="6"/>
      <c r="ED233" s="6"/>
      <c r="EE233" s="6"/>
      <c r="KK233" s="10"/>
      <c r="KL233" s="10"/>
      <c r="KM233" s="10"/>
      <c r="KN233" s="10"/>
      <c r="KO233" s="10"/>
      <c r="KP233" s="10"/>
      <c r="KQ233" s="10"/>
      <c r="KR233" s="10"/>
      <c r="KS233" s="10"/>
      <c r="KT233" s="10"/>
      <c r="KU233" s="10"/>
      <c r="KV233" s="10"/>
      <c r="KW233" s="10"/>
      <c r="KX233" s="10"/>
      <c r="KY233" s="10"/>
      <c r="KZ233" s="10"/>
      <c r="LA233" s="10"/>
      <c r="LB233" s="10"/>
      <c r="LC233" s="10"/>
      <c r="LD233" s="10"/>
    </row>
    <row r="234" spans="1:316" ht="15.75" customHeight="1" x14ac:dyDescent="0.25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6"/>
      <c r="BY234" s="6"/>
      <c r="BZ234" s="6"/>
      <c r="CA234" s="6"/>
      <c r="CB234" s="6"/>
      <c r="CC234" s="6"/>
      <c r="CD234" s="6"/>
      <c r="CE234" s="6"/>
      <c r="CF234" s="6"/>
      <c r="CG234" s="6"/>
      <c r="CH234" s="6"/>
      <c r="CI234" s="6"/>
      <c r="CJ234" s="6"/>
      <c r="CK234" s="6"/>
      <c r="CL234" s="6"/>
      <c r="CM234" s="6"/>
      <c r="CN234" s="6"/>
      <c r="CO234" s="6"/>
      <c r="CP234" s="6"/>
      <c r="CQ234" s="6"/>
      <c r="CR234" s="6"/>
      <c r="CS234" s="6"/>
      <c r="CT234" s="6"/>
      <c r="CU234" s="6"/>
      <c r="CV234" s="6"/>
      <c r="CW234" s="6"/>
      <c r="CX234" s="6"/>
      <c r="CY234" s="6"/>
      <c r="CZ234" s="6"/>
      <c r="DA234" s="6"/>
      <c r="DB234" s="6"/>
      <c r="DC234" s="6"/>
      <c r="DD234" s="6"/>
      <c r="DE234" s="6"/>
      <c r="DF234" s="6"/>
      <c r="DG234" s="6"/>
      <c r="DH234" s="6"/>
      <c r="DI234" s="6"/>
      <c r="DJ234" s="6"/>
      <c r="DK234" s="6"/>
      <c r="DL234" s="6"/>
      <c r="DM234" s="6"/>
      <c r="DN234" s="6"/>
      <c r="DO234" s="6"/>
      <c r="DP234" s="6"/>
      <c r="DQ234" s="6"/>
      <c r="DR234" s="6"/>
      <c r="DS234" s="6"/>
      <c r="DT234" s="6"/>
      <c r="DU234" s="6"/>
      <c r="DV234" s="6"/>
      <c r="DW234" s="6"/>
      <c r="DX234" s="6"/>
      <c r="DY234" s="6"/>
      <c r="DZ234" s="6"/>
      <c r="EA234" s="6"/>
      <c r="EB234" s="6"/>
      <c r="EC234" s="6"/>
      <c r="ED234" s="6"/>
      <c r="EE234" s="6"/>
      <c r="KK234" s="10"/>
      <c r="KL234" s="10"/>
      <c r="KM234" s="10"/>
      <c r="KN234" s="10"/>
      <c r="KO234" s="10"/>
      <c r="KP234" s="10"/>
      <c r="KQ234" s="10"/>
      <c r="KR234" s="10"/>
      <c r="KS234" s="10"/>
      <c r="KT234" s="10"/>
      <c r="KU234" s="10"/>
      <c r="KV234" s="10"/>
      <c r="KW234" s="10"/>
      <c r="KX234" s="10"/>
      <c r="KY234" s="10"/>
      <c r="KZ234" s="10"/>
      <c r="LA234" s="10"/>
      <c r="LB234" s="10"/>
      <c r="LC234" s="10"/>
      <c r="LD234" s="10"/>
    </row>
    <row r="235" spans="1:316" ht="15.75" customHeight="1" x14ac:dyDescent="0.25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6"/>
      <c r="BY235" s="6"/>
      <c r="BZ235" s="6"/>
      <c r="CA235" s="6"/>
      <c r="CB235" s="6"/>
      <c r="CC235" s="6"/>
      <c r="CD235" s="6"/>
      <c r="CE235" s="6"/>
      <c r="CF235" s="6"/>
      <c r="CG235" s="6"/>
      <c r="CH235" s="6"/>
      <c r="CI235" s="6"/>
      <c r="CJ235" s="6"/>
      <c r="CK235" s="6"/>
      <c r="CL235" s="6"/>
      <c r="CM235" s="6"/>
      <c r="CN235" s="6"/>
      <c r="CO235" s="6"/>
      <c r="CP235" s="6"/>
      <c r="CQ235" s="6"/>
      <c r="CR235" s="6"/>
      <c r="CS235" s="6"/>
      <c r="CT235" s="6"/>
      <c r="CU235" s="6"/>
      <c r="CV235" s="6"/>
      <c r="CW235" s="6"/>
      <c r="CX235" s="6"/>
      <c r="CY235" s="6"/>
      <c r="CZ235" s="6"/>
      <c r="DA235" s="6"/>
      <c r="DB235" s="6"/>
      <c r="DC235" s="6"/>
      <c r="DD235" s="6"/>
      <c r="DE235" s="6"/>
      <c r="DF235" s="6"/>
      <c r="DG235" s="6"/>
      <c r="DH235" s="6"/>
      <c r="DI235" s="6"/>
      <c r="DJ235" s="6"/>
      <c r="DK235" s="6"/>
      <c r="DL235" s="6"/>
      <c r="DM235" s="6"/>
      <c r="DN235" s="6"/>
      <c r="DO235" s="6"/>
      <c r="DP235" s="6"/>
      <c r="DQ235" s="6"/>
      <c r="DR235" s="6"/>
      <c r="DS235" s="6"/>
      <c r="DT235" s="6"/>
      <c r="DU235" s="6"/>
      <c r="DV235" s="6"/>
      <c r="DW235" s="6"/>
      <c r="DX235" s="6"/>
      <c r="DY235" s="6"/>
      <c r="DZ235" s="6"/>
      <c r="EA235" s="6"/>
      <c r="EB235" s="6"/>
      <c r="EC235" s="6"/>
      <c r="ED235" s="6"/>
      <c r="EE235" s="6"/>
      <c r="KK235" s="10"/>
      <c r="KL235" s="10"/>
      <c r="KM235" s="10"/>
      <c r="KN235" s="10"/>
      <c r="KO235" s="10"/>
      <c r="KP235" s="10"/>
      <c r="KQ235" s="10"/>
      <c r="KR235" s="10"/>
      <c r="KS235" s="10"/>
      <c r="KT235" s="10"/>
      <c r="KU235" s="10"/>
      <c r="KV235" s="10"/>
      <c r="KW235" s="10"/>
      <c r="KX235" s="10"/>
      <c r="KY235" s="10"/>
      <c r="KZ235" s="10"/>
      <c r="LA235" s="10"/>
      <c r="LB235" s="10"/>
      <c r="LC235" s="10"/>
      <c r="LD235" s="10"/>
    </row>
    <row r="236" spans="1:316" ht="15.75" customHeight="1" x14ac:dyDescent="0.25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6"/>
      <c r="BY236" s="6"/>
      <c r="BZ236" s="6"/>
      <c r="CA236" s="6"/>
      <c r="CB236" s="6"/>
      <c r="CC236" s="6"/>
      <c r="CD236" s="6"/>
      <c r="CE236" s="6"/>
      <c r="CF236" s="6"/>
      <c r="CG236" s="6"/>
      <c r="CH236" s="6"/>
      <c r="CI236" s="6"/>
      <c r="CJ236" s="6"/>
      <c r="CK236" s="6"/>
      <c r="CL236" s="6"/>
      <c r="CM236" s="6"/>
      <c r="CN236" s="6"/>
      <c r="CO236" s="6"/>
      <c r="CP236" s="6"/>
      <c r="CQ236" s="6"/>
      <c r="CR236" s="6"/>
      <c r="CS236" s="6"/>
      <c r="CT236" s="6"/>
      <c r="CU236" s="6"/>
      <c r="CV236" s="6"/>
      <c r="CW236" s="6"/>
      <c r="CX236" s="6"/>
      <c r="CY236" s="6"/>
      <c r="CZ236" s="6"/>
      <c r="DA236" s="6"/>
      <c r="DB236" s="6"/>
      <c r="DC236" s="6"/>
      <c r="DD236" s="6"/>
      <c r="DE236" s="6"/>
      <c r="DF236" s="6"/>
      <c r="DG236" s="6"/>
      <c r="DH236" s="6"/>
      <c r="DI236" s="6"/>
      <c r="DJ236" s="6"/>
      <c r="DK236" s="6"/>
      <c r="DL236" s="6"/>
      <c r="DM236" s="6"/>
      <c r="DN236" s="6"/>
      <c r="DO236" s="6"/>
      <c r="DP236" s="6"/>
      <c r="DQ236" s="6"/>
      <c r="DR236" s="6"/>
      <c r="DS236" s="6"/>
      <c r="DT236" s="6"/>
      <c r="DU236" s="6"/>
      <c r="DV236" s="6"/>
      <c r="DW236" s="6"/>
      <c r="DX236" s="6"/>
      <c r="DY236" s="6"/>
      <c r="DZ236" s="6"/>
      <c r="EA236" s="6"/>
      <c r="EB236" s="6"/>
      <c r="EC236" s="6"/>
      <c r="ED236" s="6"/>
      <c r="EE236" s="6"/>
      <c r="KK236" s="10"/>
      <c r="KL236" s="10"/>
      <c r="KM236" s="10"/>
      <c r="KN236" s="10"/>
      <c r="KO236" s="10"/>
      <c r="KP236" s="10"/>
      <c r="KQ236" s="10"/>
      <c r="KR236" s="10"/>
      <c r="KS236" s="10"/>
      <c r="KT236" s="10"/>
      <c r="KU236" s="10"/>
      <c r="KV236" s="10"/>
      <c r="KW236" s="10"/>
      <c r="KX236" s="10"/>
      <c r="KY236" s="10"/>
      <c r="KZ236" s="10"/>
      <c r="LA236" s="10"/>
      <c r="LB236" s="10"/>
      <c r="LC236" s="10"/>
      <c r="LD236" s="10"/>
    </row>
    <row r="237" spans="1:316" ht="15.75" customHeight="1" x14ac:dyDescent="0.25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6"/>
      <c r="BY237" s="6"/>
      <c r="BZ237" s="6"/>
      <c r="CA237" s="6"/>
      <c r="CB237" s="6"/>
      <c r="CC237" s="6"/>
      <c r="CD237" s="6"/>
      <c r="CE237" s="6"/>
      <c r="CF237" s="6"/>
      <c r="CG237" s="6"/>
      <c r="CH237" s="6"/>
      <c r="CI237" s="6"/>
      <c r="CJ237" s="6"/>
      <c r="CK237" s="6"/>
      <c r="CL237" s="6"/>
      <c r="CM237" s="6"/>
      <c r="CN237" s="6"/>
      <c r="CO237" s="6"/>
      <c r="CP237" s="6"/>
      <c r="CQ237" s="6"/>
      <c r="CR237" s="6"/>
      <c r="CS237" s="6"/>
      <c r="CT237" s="6"/>
      <c r="CU237" s="6"/>
      <c r="CV237" s="6"/>
      <c r="CW237" s="6"/>
      <c r="CX237" s="6"/>
      <c r="CY237" s="6"/>
      <c r="CZ237" s="6"/>
      <c r="DA237" s="6"/>
      <c r="DB237" s="6"/>
      <c r="DC237" s="6"/>
      <c r="DD237" s="6"/>
      <c r="DE237" s="6"/>
      <c r="DF237" s="6"/>
      <c r="DG237" s="6"/>
      <c r="DH237" s="6"/>
      <c r="DI237" s="6"/>
      <c r="DJ237" s="6"/>
      <c r="DK237" s="6"/>
      <c r="DL237" s="6"/>
      <c r="DM237" s="6"/>
      <c r="DN237" s="6"/>
      <c r="DO237" s="6"/>
      <c r="DP237" s="6"/>
      <c r="DQ237" s="6"/>
      <c r="DR237" s="6"/>
      <c r="DS237" s="6"/>
      <c r="DT237" s="6"/>
      <c r="DU237" s="6"/>
      <c r="DV237" s="6"/>
      <c r="DW237" s="6"/>
      <c r="DX237" s="6"/>
      <c r="DY237" s="6"/>
      <c r="DZ237" s="6"/>
      <c r="EA237" s="6"/>
      <c r="EB237" s="6"/>
      <c r="EC237" s="6"/>
      <c r="ED237" s="6"/>
      <c r="EE237" s="6"/>
      <c r="KK237" s="10"/>
      <c r="KL237" s="10"/>
      <c r="KM237" s="10"/>
      <c r="KN237" s="10"/>
      <c r="KO237" s="10"/>
      <c r="KP237" s="10"/>
      <c r="KQ237" s="10"/>
      <c r="KR237" s="10"/>
      <c r="KS237" s="10"/>
      <c r="KT237" s="10"/>
      <c r="KU237" s="10"/>
      <c r="KV237" s="10"/>
      <c r="KW237" s="10"/>
      <c r="KX237" s="10"/>
      <c r="KY237" s="10"/>
      <c r="KZ237" s="10"/>
      <c r="LA237" s="10"/>
      <c r="LB237" s="10"/>
      <c r="LC237" s="10"/>
      <c r="LD237" s="10"/>
    </row>
    <row r="238" spans="1:316" ht="15.75" customHeight="1" x14ac:dyDescent="0.25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6"/>
      <c r="BY238" s="6"/>
      <c r="BZ238" s="6"/>
      <c r="CA238" s="6"/>
      <c r="CB238" s="6"/>
      <c r="CC238" s="6"/>
      <c r="CD238" s="6"/>
      <c r="CE238" s="6"/>
      <c r="CF238" s="6"/>
      <c r="CG238" s="6"/>
      <c r="CH238" s="6"/>
      <c r="CI238" s="6"/>
      <c r="CJ238" s="6"/>
      <c r="CK238" s="6"/>
      <c r="CL238" s="6"/>
      <c r="CM238" s="6"/>
      <c r="CN238" s="6"/>
      <c r="CO238" s="6"/>
      <c r="CP238" s="6"/>
      <c r="CQ238" s="6"/>
      <c r="CR238" s="6"/>
      <c r="CS238" s="6"/>
      <c r="CT238" s="6"/>
      <c r="CU238" s="6"/>
      <c r="CV238" s="6"/>
      <c r="CW238" s="6"/>
      <c r="CX238" s="6"/>
      <c r="CY238" s="6"/>
      <c r="CZ238" s="6"/>
      <c r="DA238" s="6"/>
      <c r="DB238" s="6"/>
      <c r="DC238" s="6"/>
      <c r="DD238" s="6"/>
      <c r="DE238" s="6"/>
      <c r="DF238" s="6"/>
      <c r="DG238" s="6"/>
      <c r="DH238" s="6"/>
      <c r="DI238" s="6"/>
      <c r="DJ238" s="6"/>
      <c r="DK238" s="6"/>
      <c r="DL238" s="6"/>
      <c r="DM238" s="6"/>
      <c r="DN238" s="6"/>
      <c r="DO238" s="6"/>
      <c r="DP238" s="6"/>
      <c r="DQ238" s="6"/>
      <c r="DR238" s="6"/>
      <c r="DS238" s="6"/>
      <c r="DT238" s="6"/>
      <c r="DU238" s="6"/>
      <c r="DV238" s="6"/>
      <c r="DW238" s="6"/>
      <c r="DX238" s="6"/>
      <c r="DY238" s="6"/>
      <c r="DZ238" s="6"/>
      <c r="EA238" s="6"/>
      <c r="EB238" s="6"/>
      <c r="EC238" s="6"/>
      <c r="ED238" s="6"/>
      <c r="EE238" s="6"/>
      <c r="KK238" s="10"/>
      <c r="KL238" s="10"/>
      <c r="KM238" s="10"/>
      <c r="KN238" s="10"/>
      <c r="KO238" s="10"/>
      <c r="KP238" s="10"/>
      <c r="KQ238" s="10"/>
      <c r="KR238" s="10"/>
      <c r="KS238" s="10"/>
      <c r="KT238" s="10"/>
      <c r="KU238" s="10"/>
      <c r="KV238" s="10"/>
      <c r="KW238" s="10"/>
      <c r="KX238" s="10"/>
      <c r="KY238" s="10"/>
      <c r="KZ238" s="10"/>
      <c r="LA238" s="10"/>
      <c r="LB238" s="10"/>
      <c r="LC238" s="10"/>
      <c r="LD238" s="10"/>
    </row>
    <row r="239" spans="1:316" ht="15.75" customHeight="1" x14ac:dyDescent="0.25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6"/>
      <c r="BY239" s="6"/>
      <c r="BZ239" s="6"/>
      <c r="CA239" s="6"/>
      <c r="CB239" s="6"/>
      <c r="CC239" s="6"/>
      <c r="CD239" s="6"/>
      <c r="CE239" s="6"/>
      <c r="CF239" s="6"/>
      <c r="CG239" s="6"/>
      <c r="CH239" s="6"/>
      <c r="CI239" s="6"/>
      <c r="CJ239" s="6"/>
      <c r="CK239" s="6"/>
      <c r="CL239" s="6"/>
      <c r="CM239" s="6"/>
      <c r="CN239" s="6"/>
      <c r="CO239" s="6"/>
      <c r="CP239" s="6"/>
      <c r="CQ239" s="6"/>
      <c r="CR239" s="6"/>
      <c r="CS239" s="6"/>
      <c r="CT239" s="6"/>
      <c r="CU239" s="6"/>
      <c r="CV239" s="6"/>
      <c r="CW239" s="6"/>
      <c r="CX239" s="6"/>
      <c r="CY239" s="6"/>
      <c r="CZ239" s="6"/>
      <c r="DA239" s="6"/>
      <c r="DB239" s="6"/>
      <c r="DC239" s="6"/>
      <c r="DD239" s="6"/>
      <c r="DE239" s="6"/>
      <c r="DF239" s="6"/>
      <c r="DG239" s="6"/>
      <c r="DH239" s="6"/>
      <c r="DI239" s="6"/>
      <c r="DJ239" s="6"/>
      <c r="DK239" s="6"/>
      <c r="DL239" s="6"/>
      <c r="DM239" s="6"/>
      <c r="DN239" s="6"/>
      <c r="DO239" s="6"/>
      <c r="DP239" s="6"/>
      <c r="DQ239" s="6"/>
      <c r="DR239" s="6"/>
      <c r="DS239" s="6"/>
      <c r="DT239" s="6"/>
      <c r="DU239" s="6"/>
      <c r="DV239" s="6"/>
      <c r="DW239" s="6"/>
      <c r="DX239" s="6"/>
      <c r="DY239" s="6"/>
      <c r="DZ239" s="6"/>
      <c r="EA239" s="6"/>
      <c r="EB239" s="6"/>
      <c r="EC239" s="6"/>
      <c r="ED239" s="6"/>
      <c r="EE239" s="6"/>
      <c r="KK239" s="10"/>
      <c r="KL239" s="10"/>
      <c r="KM239" s="10"/>
      <c r="KN239" s="10"/>
      <c r="KO239" s="10"/>
      <c r="KP239" s="10"/>
      <c r="KQ239" s="10"/>
      <c r="KR239" s="10"/>
      <c r="KS239" s="10"/>
      <c r="KT239" s="10"/>
      <c r="KU239" s="10"/>
      <c r="KV239" s="10"/>
      <c r="KW239" s="10"/>
      <c r="KX239" s="10"/>
      <c r="KY239" s="10"/>
      <c r="KZ239" s="10"/>
      <c r="LA239" s="10"/>
      <c r="LB239" s="10"/>
      <c r="LC239" s="10"/>
      <c r="LD239" s="10"/>
    </row>
    <row r="240" spans="1:316" ht="15.75" customHeight="1" x14ac:dyDescent="0.25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6"/>
      <c r="BY240" s="6"/>
      <c r="BZ240" s="6"/>
      <c r="CA240" s="6"/>
      <c r="CB240" s="6"/>
      <c r="CC240" s="6"/>
      <c r="CD240" s="6"/>
      <c r="CE240" s="6"/>
      <c r="CF240" s="6"/>
      <c r="CG240" s="6"/>
      <c r="CH240" s="6"/>
      <c r="CI240" s="6"/>
      <c r="CJ240" s="6"/>
      <c r="CK240" s="6"/>
      <c r="CL240" s="6"/>
      <c r="CM240" s="6"/>
      <c r="CN240" s="6"/>
      <c r="CO240" s="6"/>
      <c r="CP240" s="6"/>
      <c r="CQ240" s="6"/>
      <c r="CR240" s="6"/>
      <c r="CS240" s="6"/>
      <c r="CT240" s="6"/>
      <c r="CU240" s="6"/>
      <c r="CV240" s="6"/>
      <c r="CW240" s="6"/>
      <c r="CX240" s="6"/>
      <c r="CY240" s="6"/>
      <c r="CZ240" s="6"/>
      <c r="DA240" s="6"/>
      <c r="DB240" s="6"/>
      <c r="DC240" s="6"/>
      <c r="DD240" s="6"/>
      <c r="DE240" s="6"/>
      <c r="DF240" s="6"/>
      <c r="DG240" s="6"/>
      <c r="DH240" s="6"/>
      <c r="DI240" s="6"/>
      <c r="DJ240" s="6"/>
      <c r="DK240" s="6"/>
      <c r="DL240" s="6"/>
      <c r="DM240" s="6"/>
      <c r="DN240" s="6"/>
      <c r="DO240" s="6"/>
      <c r="DP240" s="6"/>
      <c r="DQ240" s="6"/>
      <c r="DR240" s="6"/>
      <c r="DS240" s="6"/>
      <c r="DT240" s="6"/>
      <c r="DU240" s="6"/>
      <c r="DV240" s="6"/>
      <c r="DW240" s="6"/>
      <c r="DX240" s="6"/>
      <c r="DY240" s="6"/>
      <c r="DZ240" s="6"/>
      <c r="EA240" s="6"/>
      <c r="EB240" s="6"/>
      <c r="EC240" s="6"/>
      <c r="ED240" s="6"/>
      <c r="EE240" s="6"/>
      <c r="KK240" s="10"/>
      <c r="KL240" s="10"/>
      <c r="KM240" s="10"/>
      <c r="KN240" s="10"/>
      <c r="KO240" s="10"/>
      <c r="KP240" s="10"/>
      <c r="KQ240" s="10"/>
      <c r="KR240" s="10"/>
      <c r="KS240" s="10"/>
      <c r="KT240" s="10"/>
      <c r="KU240" s="10"/>
      <c r="KV240" s="10"/>
      <c r="KW240" s="10"/>
      <c r="KX240" s="10"/>
      <c r="KY240" s="10"/>
      <c r="KZ240" s="10"/>
      <c r="LA240" s="10"/>
      <c r="LB240" s="10"/>
      <c r="LC240" s="10"/>
      <c r="LD240" s="10"/>
    </row>
    <row r="241" spans="1:316" ht="15.75" customHeight="1" x14ac:dyDescent="0.25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6"/>
      <c r="BY241" s="6"/>
      <c r="BZ241" s="6"/>
      <c r="CA241" s="6"/>
      <c r="CB241" s="6"/>
      <c r="CC241" s="6"/>
      <c r="CD241" s="6"/>
      <c r="CE241" s="6"/>
      <c r="CF241" s="6"/>
      <c r="CG241" s="6"/>
      <c r="CH241" s="6"/>
      <c r="CI241" s="6"/>
      <c r="CJ241" s="6"/>
      <c r="CK241" s="6"/>
      <c r="CL241" s="6"/>
      <c r="CM241" s="6"/>
      <c r="CN241" s="6"/>
      <c r="CO241" s="6"/>
      <c r="CP241" s="6"/>
      <c r="CQ241" s="6"/>
      <c r="CR241" s="6"/>
      <c r="CS241" s="6"/>
      <c r="CT241" s="6"/>
      <c r="CU241" s="6"/>
      <c r="CV241" s="6"/>
      <c r="CW241" s="6"/>
      <c r="CX241" s="6"/>
      <c r="CY241" s="6"/>
      <c r="CZ241" s="6"/>
      <c r="DA241" s="6"/>
      <c r="DB241" s="6"/>
      <c r="DC241" s="6"/>
      <c r="DD241" s="6"/>
      <c r="DE241" s="6"/>
      <c r="DF241" s="6"/>
      <c r="DG241" s="6"/>
      <c r="DH241" s="6"/>
      <c r="DI241" s="6"/>
      <c r="DJ241" s="6"/>
      <c r="DK241" s="6"/>
      <c r="DL241" s="6"/>
      <c r="DM241" s="6"/>
      <c r="DN241" s="6"/>
      <c r="DO241" s="6"/>
      <c r="DP241" s="6"/>
      <c r="DQ241" s="6"/>
      <c r="DR241" s="6"/>
      <c r="DS241" s="6"/>
      <c r="DT241" s="6"/>
      <c r="DU241" s="6"/>
      <c r="DV241" s="6"/>
      <c r="DW241" s="6"/>
      <c r="DX241" s="6"/>
      <c r="DY241" s="6"/>
      <c r="DZ241" s="6"/>
      <c r="EA241" s="6"/>
      <c r="EB241" s="6"/>
      <c r="EC241" s="6"/>
      <c r="ED241" s="6"/>
      <c r="EE241" s="6"/>
      <c r="KK241" s="10"/>
      <c r="KL241" s="10"/>
      <c r="KM241" s="10"/>
      <c r="KN241" s="10"/>
      <c r="KO241" s="10"/>
      <c r="KP241" s="10"/>
      <c r="KQ241" s="10"/>
      <c r="KR241" s="10"/>
      <c r="KS241" s="10"/>
      <c r="KT241" s="10"/>
      <c r="KU241" s="10"/>
      <c r="KV241" s="10"/>
      <c r="KW241" s="10"/>
      <c r="KX241" s="10"/>
      <c r="KY241" s="10"/>
      <c r="KZ241" s="10"/>
      <c r="LA241" s="10"/>
      <c r="LB241" s="10"/>
      <c r="LC241" s="10"/>
      <c r="LD241" s="10"/>
    </row>
    <row r="242" spans="1:316" ht="15.75" customHeight="1" x14ac:dyDescent="0.25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6"/>
      <c r="BY242" s="6"/>
      <c r="BZ242" s="6"/>
      <c r="CA242" s="6"/>
      <c r="CB242" s="6"/>
      <c r="CC242" s="6"/>
      <c r="CD242" s="6"/>
      <c r="CE242" s="6"/>
      <c r="CF242" s="6"/>
      <c r="CG242" s="6"/>
      <c r="CH242" s="6"/>
      <c r="CI242" s="6"/>
      <c r="CJ242" s="6"/>
      <c r="CK242" s="6"/>
      <c r="CL242" s="6"/>
      <c r="CM242" s="6"/>
      <c r="CN242" s="6"/>
      <c r="CO242" s="6"/>
      <c r="CP242" s="6"/>
      <c r="CQ242" s="6"/>
      <c r="CR242" s="6"/>
      <c r="CS242" s="6"/>
      <c r="CT242" s="6"/>
      <c r="CU242" s="6"/>
      <c r="CV242" s="6"/>
      <c r="CW242" s="6"/>
      <c r="CX242" s="6"/>
      <c r="CY242" s="6"/>
      <c r="CZ242" s="6"/>
      <c r="DA242" s="6"/>
      <c r="DB242" s="6"/>
      <c r="DC242" s="6"/>
      <c r="DD242" s="6"/>
      <c r="DE242" s="6"/>
      <c r="DF242" s="6"/>
      <c r="DG242" s="6"/>
      <c r="DH242" s="6"/>
      <c r="DI242" s="6"/>
      <c r="DJ242" s="6"/>
      <c r="DK242" s="6"/>
      <c r="DL242" s="6"/>
      <c r="DM242" s="6"/>
      <c r="DN242" s="6"/>
      <c r="DO242" s="6"/>
      <c r="DP242" s="6"/>
      <c r="DQ242" s="6"/>
      <c r="DR242" s="6"/>
      <c r="DS242" s="6"/>
      <c r="DT242" s="6"/>
      <c r="DU242" s="6"/>
      <c r="DV242" s="6"/>
      <c r="DW242" s="6"/>
      <c r="DX242" s="6"/>
      <c r="DY242" s="6"/>
      <c r="DZ242" s="6"/>
      <c r="EA242" s="6"/>
      <c r="EB242" s="6"/>
      <c r="EC242" s="6"/>
      <c r="ED242" s="6"/>
      <c r="EE242" s="6"/>
      <c r="KK242" s="10"/>
      <c r="KL242" s="10"/>
      <c r="KM242" s="10"/>
      <c r="KN242" s="10"/>
      <c r="KO242" s="10"/>
      <c r="KP242" s="10"/>
      <c r="KQ242" s="10"/>
      <c r="KR242" s="10"/>
      <c r="KS242" s="10"/>
      <c r="KT242" s="10"/>
      <c r="KU242" s="10"/>
      <c r="KV242" s="10"/>
      <c r="KW242" s="10"/>
      <c r="KX242" s="10"/>
      <c r="KY242" s="10"/>
      <c r="KZ242" s="10"/>
      <c r="LA242" s="10"/>
      <c r="LB242" s="10"/>
      <c r="LC242" s="10"/>
      <c r="LD242" s="10"/>
    </row>
    <row r="243" spans="1:316" ht="15.75" customHeight="1" x14ac:dyDescent="0.25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6"/>
      <c r="BY243" s="6"/>
      <c r="BZ243" s="6"/>
      <c r="CA243" s="6"/>
      <c r="CB243" s="6"/>
      <c r="CC243" s="6"/>
      <c r="CD243" s="6"/>
      <c r="CE243" s="6"/>
      <c r="CF243" s="6"/>
      <c r="CG243" s="6"/>
      <c r="CH243" s="6"/>
      <c r="CI243" s="6"/>
      <c r="CJ243" s="6"/>
      <c r="CK243" s="6"/>
      <c r="CL243" s="6"/>
      <c r="CM243" s="6"/>
      <c r="CN243" s="6"/>
      <c r="CO243" s="6"/>
      <c r="CP243" s="6"/>
      <c r="CQ243" s="6"/>
      <c r="CR243" s="6"/>
      <c r="CS243" s="6"/>
      <c r="CT243" s="6"/>
      <c r="CU243" s="6"/>
      <c r="CV243" s="6"/>
      <c r="CW243" s="6"/>
      <c r="CX243" s="6"/>
      <c r="CY243" s="6"/>
      <c r="CZ243" s="6"/>
      <c r="DA243" s="6"/>
      <c r="DB243" s="6"/>
      <c r="DC243" s="6"/>
      <c r="DD243" s="6"/>
      <c r="DE243" s="6"/>
      <c r="DF243" s="6"/>
      <c r="DG243" s="6"/>
      <c r="DH243" s="6"/>
      <c r="DI243" s="6"/>
      <c r="DJ243" s="6"/>
      <c r="DK243" s="6"/>
      <c r="DL243" s="6"/>
      <c r="DM243" s="6"/>
      <c r="DN243" s="6"/>
      <c r="DO243" s="6"/>
      <c r="DP243" s="6"/>
      <c r="DQ243" s="6"/>
      <c r="DR243" s="6"/>
      <c r="DS243" s="6"/>
      <c r="DT243" s="6"/>
      <c r="DU243" s="6"/>
      <c r="DV243" s="6"/>
      <c r="DW243" s="6"/>
      <c r="DX243" s="6"/>
      <c r="DY243" s="6"/>
      <c r="DZ243" s="6"/>
      <c r="EA243" s="6"/>
      <c r="EB243" s="6"/>
      <c r="EC243" s="6"/>
      <c r="ED243" s="6"/>
      <c r="EE243" s="6"/>
      <c r="KK243" s="10"/>
      <c r="KL243" s="10"/>
      <c r="KM243" s="10"/>
      <c r="KN243" s="10"/>
      <c r="KO243" s="10"/>
      <c r="KP243" s="10"/>
      <c r="KQ243" s="10"/>
      <c r="KR243" s="10"/>
      <c r="KS243" s="10"/>
      <c r="KT243" s="10"/>
      <c r="KU243" s="10"/>
      <c r="KV243" s="10"/>
      <c r="KW243" s="10"/>
      <c r="KX243" s="10"/>
      <c r="KY243" s="10"/>
      <c r="KZ243" s="10"/>
      <c r="LA243" s="10"/>
      <c r="LB243" s="10"/>
      <c r="LC243" s="10"/>
      <c r="LD243" s="10"/>
    </row>
    <row r="244" spans="1:316" ht="15.75" customHeight="1" x14ac:dyDescent="0.25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6"/>
      <c r="BY244" s="6"/>
      <c r="BZ244" s="6"/>
      <c r="CA244" s="6"/>
      <c r="CB244" s="6"/>
      <c r="CC244" s="6"/>
      <c r="CD244" s="6"/>
      <c r="CE244" s="6"/>
      <c r="CF244" s="6"/>
      <c r="CG244" s="6"/>
      <c r="CH244" s="6"/>
      <c r="CI244" s="6"/>
      <c r="CJ244" s="6"/>
      <c r="CK244" s="6"/>
      <c r="CL244" s="6"/>
      <c r="CM244" s="6"/>
      <c r="CN244" s="6"/>
      <c r="CO244" s="6"/>
      <c r="CP244" s="6"/>
      <c r="CQ244" s="6"/>
      <c r="CR244" s="6"/>
      <c r="CS244" s="6"/>
      <c r="CT244" s="6"/>
      <c r="CU244" s="6"/>
      <c r="CV244" s="6"/>
      <c r="CW244" s="6"/>
      <c r="CX244" s="6"/>
      <c r="CY244" s="6"/>
      <c r="CZ244" s="6"/>
      <c r="DA244" s="6"/>
      <c r="DB244" s="6"/>
      <c r="DC244" s="6"/>
      <c r="DD244" s="6"/>
      <c r="DE244" s="6"/>
      <c r="DF244" s="6"/>
      <c r="DG244" s="6"/>
      <c r="DH244" s="6"/>
      <c r="DI244" s="6"/>
      <c r="DJ244" s="6"/>
      <c r="DK244" s="6"/>
      <c r="DL244" s="6"/>
      <c r="DM244" s="6"/>
      <c r="DN244" s="6"/>
      <c r="DO244" s="6"/>
      <c r="DP244" s="6"/>
      <c r="DQ244" s="6"/>
      <c r="DR244" s="6"/>
      <c r="DS244" s="6"/>
      <c r="DT244" s="6"/>
      <c r="DU244" s="6"/>
      <c r="DV244" s="6"/>
      <c r="DW244" s="6"/>
      <c r="DX244" s="6"/>
      <c r="DY244" s="6"/>
      <c r="DZ244" s="6"/>
      <c r="EA244" s="6"/>
      <c r="EB244" s="6"/>
      <c r="EC244" s="6"/>
      <c r="ED244" s="6"/>
      <c r="EE244" s="6"/>
      <c r="KK244" s="10"/>
      <c r="KL244" s="10"/>
      <c r="KM244" s="10"/>
      <c r="KN244" s="10"/>
      <c r="KO244" s="10"/>
      <c r="KP244" s="10"/>
      <c r="KQ244" s="10"/>
      <c r="KR244" s="10"/>
      <c r="KS244" s="10"/>
      <c r="KT244" s="10"/>
      <c r="KU244" s="10"/>
      <c r="KV244" s="10"/>
      <c r="KW244" s="10"/>
      <c r="KX244" s="10"/>
      <c r="KY244" s="10"/>
      <c r="KZ244" s="10"/>
      <c r="LA244" s="10"/>
      <c r="LB244" s="10"/>
      <c r="LC244" s="10"/>
      <c r="LD244" s="10"/>
    </row>
    <row r="245" spans="1:316" ht="15.75" customHeight="1" x14ac:dyDescent="0.25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6"/>
      <c r="BY245" s="6"/>
      <c r="BZ245" s="6"/>
      <c r="CA245" s="6"/>
      <c r="CB245" s="6"/>
      <c r="CC245" s="6"/>
      <c r="CD245" s="6"/>
      <c r="CE245" s="6"/>
      <c r="CF245" s="6"/>
      <c r="CG245" s="6"/>
      <c r="CH245" s="6"/>
      <c r="CI245" s="6"/>
      <c r="CJ245" s="6"/>
      <c r="CK245" s="6"/>
      <c r="CL245" s="6"/>
      <c r="CM245" s="6"/>
      <c r="CN245" s="6"/>
      <c r="CO245" s="6"/>
      <c r="CP245" s="6"/>
      <c r="CQ245" s="6"/>
      <c r="CR245" s="6"/>
      <c r="CS245" s="6"/>
      <c r="CT245" s="6"/>
      <c r="CU245" s="6"/>
      <c r="CV245" s="6"/>
      <c r="CW245" s="6"/>
      <c r="CX245" s="6"/>
      <c r="CY245" s="6"/>
      <c r="CZ245" s="6"/>
      <c r="DA245" s="6"/>
      <c r="DB245" s="6"/>
      <c r="DC245" s="6"/>
      <c r="DD245" s="6"/>
      <c r="DE245" s="6"/>
      <c r="DF245" s="6"/>
      <c r="DG245" s="6"/>
      <c r="DH245" s="6"/>
      <c r="DI245" s="6"/>
      <c r="DJ245" s="6"/>
      <c r="DK245" s="6"/>
      <c r="DL245" s="6"/>
      <c r="DM245" s="6"/>
      <c r="DN245" s="6"/>
      <c r="DO245" s="6"/>
      <c r="DP245" s="6"/>
      <c r="DQ245" s="6"/>
      <c r="DR245" s="6"/>
      <c r="DS245" s="6"/>
      <c r="DT245" s="6"/>
      <c r="DU245" s="6"/>
      <c r="DV245" s="6"/>
      <c r="DW245" s="6"/>
      <c r="DX245" s="6"/>
      <c r="DY245" s="6"/>
      <c r="DZ245" s="6"/>
      <c r="EA245" s="6"/>
      <c r="EB245" s="6"/>
      <c r="EC245" s="6"/>
      <c r="ED245" s="6"/>
      <c r="EE245" s="6"/>
      <c r="KK245" s="10"/>
      <c r="KL245" s="10"/>
      <c r="KM245" s="10"/>
      <c r="KN245" s="10"/>
      <c r="KO245" s="10"/>
      <c r="KP245" s="10"/>
      <c r="KQ245" s="10"/>
      <c r="KR245" s="10"/>
      <c r="KS245" s="10"/>
      <c r="KT245" s="10"/>
      <c r="KU245" s="10"/>
      <c r="KV245" s="10"/>
      <c r="KW245" s="10"/>
      <c r="KX245" s="10"/>
      <c r="KY245" s="10"/>
      <c r="KZ245" s="10"/>
      <c r="LA245" s="10"/>
      <c r="LB245" s="10"/>
      <c r="LC245" s="10"/>
      <c r="LD245" s="10"/>
    </row>
    <row r="246" spans="1:316" ht="15.75" customHeight="1" x14ac:dyDescent="0.25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6"/>
      <c r="BY246" s="6"/>
      <c r="BZ246" s="6"/>
      <c r="CA246" s="6"/>
      <c r="CB246" s="6"/>
      <c r="CC246" s="6"/>
      <c r="CD246" s="6"/>
      <c r="CE246" s="6"/>
      <c r="CF246" s="6"/>
      <c r="CG246" s="6"/>
      <c r="CH246" s="6"/>
      <c r="CI246" s="6"/>
      <c r="CJ246" s="6"/>
      <c r="CK246" s="6"/>
      <c r="CL246" s="6"/>
      <c r="CM246" s="6"/>
      <c r="CN246" s="6"/>
      <c r="CO246" s="6"/>
      <c r="CP246" s="6"/>
      <c r="CQ246" s="6"/>
      <c r="CR246" s="6"/>
      <c r="CS246" s="6"/>
      <c r="CT246" s="6"/>
      <c r="CU246" s="6"/>
      <c r="CV246" s="6"/>
      <c r="CW246" s="6"/>
      <c r="CX246" s="6"/>
      <c r="CY246" s="6"/>
      <c r="CZ246" s="6"/>
      <c r="DA246" s="6"/>
      <c r="DB246" s="6"/>
      <c r="DC246" s="6"/>
      <c r="DD246" s="6"/>
      <c r="DE246" s="6"/>
      <c r="DF246" s="6"/>
      <c r="DG246" s="6"/>
      <c r="DH246" s="6"/>
      <c r="DI246" s="6"/>
      <c r="DJ246" s="6"/>
      <c r="DK246" s="6"/>
      <c r="DL246" s="6"/>
      <c r="DM246" s="6"/>
      <c r="DN246" s="6"/>
      <c r="DO246" s="6"/>
      <c r="DP246" s="6"/>
      <c r="DQ246" s="6"/>
      <c r="DR246" s="6"/>
      <c r="DS246" s="6"/>
      <c r="DT246" s="6"/>
      <c r="DU246" s="6"/>
      <c r="DV246" s="6"/>
      <c r="DW246" s="6"/>
      <c r="DX246" s="6"/>
      <c r="DY246" s="6"/>
      <c r="DZ246" s="6"/>
      <c r="EA246" s="6"/>
      <c r="EB246" s="6"/>
      <c r="EC246" s="6"/>
      <c r="ED246" s="6"/>
      <c r="EE246" s="6"/>
      <c r="KK246" s="10"/>
      <c r="KL246" s="10"/>
      <c r="KM246" s="10"/>
      <c r="KN246" s="10"/>
      <c r="KO246" s="10"/>
      <c r="KP246" s="10"/>
      <c r="KQ246" s="10"/>
      <c r="KR246" s="10"/>
      <c r="KS246" s="10"/>
      <c r="KT246" s="10"/>
      <c r="KU246" s="10"/>
      <c r="KV246" s="10"/>
      <c r="KW246" s="10"/>
      <c r="KX246" s="10"/>
      <c r="KY246" s="10"/>
      <c r="KZ246" s="10"/>
      <c r="LA246" s="10"/>
      <c r="LB246" s="10"/>
      <c r="LC246" s="10"/>
      <c r="LD246" s="10"/>
    </row>
    <row r="247" spans="1:316" ht="15.75" customHeight="1" x14ac:dyDescent="0.25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6"/>
      <c r="BY247" s="6"/>
      <c r="BZ247" s="6"/>
      <c r="CA247" s="6"/>
      <c r="CB247" s="6"/>
      <c r="CC247" s="6"/>
      <c r="CD247" s="6"/>
      <c r="CE247" s="6"/>
      <c r="CF247" s="6"/>
      <c r="CG247" s="6"/>
      <c r="CH247" s="6"/>
      <c r="CI247" s="6"/>
      <c r="CJ247" s="6"/>
      <c r="CK247" s="6"/>
      <c r="CL247" s="6"/>
      <c r="CM247" s="6"/>
      <c r="CN247" s="6"/>
      <c r="CO247" s="6"/>
      <c r="CP247" s="6"/>
      <c r="CQ247" s="6"/>
      <c r="CR247" s="6"/>
      <c r="CS247" s="6"/>
      <c r="CT247" s="6"/>
      <c r="CU247" s="6"/>
      <c r="CV247" s="6"/>
      <c r="CW247" s="6"/>
      <c r="CX247" s="6"/>
      <c r="CY247" s="6"/>
      <c r="CZ247" s="6"/>
      <c r="DA247" s="6"/>
      <c r="DB247" s="6"/>
      <c r="DC247" s="6"/>
      <c r="DD247" s="6"/>
      <c r="DE247" s="6"/>
      <c r="DF247" s="6"/>
      <c r="DG247" s="6"/>
      <c r="DH247" s="6"/>
      <c r="DI247" s="6"/>
      <c r="DJ247" s="6"/>
      <c r="DK247" s="6"/>
      <c r="DL247" s="6"/>
      <c r="DM247" s="6"/>
      <c r="DN247" s="6"/>
      <c r="DO247" s="6"/>
      <c r="DP247" s="6"/>
      <c r="DQ247" s="6"/>
      <c r="DR247" s="6"/>
      <c r="DS247" s="6"/>
      <c r="DT247" s="6"/>
      <c r="DU247" s="6"/>
      <c r="DV247" s="6"/>
      <c r="DW247" s="6"/>
      <c r="DX247" s="6"/>
      <c r="DY247" s="6"/>
      <c r="DZ247" s="6"/>
      <c r="EA247" s="6"/>
      <c r="EB247" s="6"/>
      <c r="EC247" s="6"/>
      <c r="ED247" s="6"/>
      <c r="EE247" s="6"/>
      <c r="KK247" s="10"/>
      <c r="KL247" s="10"/>
      <c r="KM247" s="10"/>
      <c r="KN247" s="10"/>
      <c r="KO247" s="10"/>
      <c r="KP247" s="10"/>
      <c r="KQ247" s="10"/>
      <c r="KR247" s="10"/>
      <c r="KS247" s="10"/>
      <c r="KT247" s="10"/>
      <c r="KU247" s="10"/>
      <c r="KV247" s="10"/>
      <c r="KW247" s="10"/>
      <c r="KX247" s="10"/>
      <c r="KY247" s="10"/>
      <c r="KZ247" s="10"/>
      <c r="LA247" s="10"/>
      <c r="LB247" s="10"/>
      <c r="LC247" s="10"/>
      <c r="LD247" s="10"/>
    </row>
    <row r="248" spans="1:316" ht="15.75" customHeight="1" x14ac:dyDescent="0.25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6"/>
      <c r="BY248" s="6"/>
      <c r="BZ248" s="6"/>
      <c r="CA248" s="6"/>
      <c r="CB248" s="6"/>
      <c r="CC248" s="6"/>
      <c r="CD248" s="6"/>
      <c r="CE248" s="6"/>
      <c r="CF248" s="6"/>
      <c r="CG248" s="6"/>
      <c r="CH248" s="6"/>
      <c r="CI248" s="6"/>
      <c r="CJ248" s="6"/>
      <c r="CK248" s="6"/>
      <c r="CL248" s="6"/>
      <c r="CM248" s="6"/>
      <c r="CN248" s="6"/>
      <c r="CO248" s="6"/>
      <c r="CP248" s="6"/>
      <c r="CQ248" s="6"/>
      <c r="CR248" s="6"/>
      <c r="CS248" s="6"/>
      <c r="CT248" s="6"/>
      <c r="CU248" s="6"/>
      <c r="CV248" s="6"/>
      <c r="CW248" s="6"/>
      <c r="CX248" s="6"/>
      <c r="CY248" s="6"/>
      <c r="CZ248" s="6"/>
      <c r="DA248" s="6"/>
      <c r="DB248" s="6"/>
      <c r="DC248" s="6"/>
      <c r="DD248" s="6"/>
      <c r="DE248" s="6"/>
      <c r="DF248" s="6"/>
      <c r="DG248" s="6"/>
      <c r="DH248" s="6"/>
      <c r="DI248" s="6"/>
      <c r="DJ248" s="6"/>
      <c r="DK248" s="6"/>
      <c r="DL248" s="6"/>
      <c r="DM248" s="6"/>
      <c r="DN248" s="6"/>
      <c r="DO248" s="6"/>
      <c r="DP248" s="6"/>
      <c r="DQ248" s="6"/>
      <c r="DR248" s="6"/>
      <c r="DS248" s="6"/>
      <c r="DT248" s="6"/>
      <c r="DU248" s="6"/>
      <c r="DV248" s="6"/>
      <c r="DW248" s="6"/>
      <c r="DX248" s="6"/>
      <c r="DY248" s="6"/>
      <c r="DZ248" s="6"/>
      <c r="EA248" s="6"/>
      <c r="EB248" s="6"/>
      <c r="EC248" s="6"/>
      <c r="ED248" s="6"/>
      <c r="EE248" s="6"/>
      <c r="KK248" s="10"/>
      <c r="KL248" s="10"/>
      <c r="KM248" s="10"/>
      <c r="KN248" s="10"/>
      <c r="KO248" s="10"/>
      <c r="KP248" s="10"/>
      <c r="KQ248" s="10"/>
      <c r="KR248" s="10"/>
      <c r="KS248" s="10"/>
      <c r="KT248" s="10"/>
      <c r="KU248" s="10"/>
      <c r="KV248" s="10"/>
      <c r="KW248" s="10"/>
      <c r="KX248" s="10"/>
      <c r="KY248" s="10"/>
      <c r="KZ248" s="10"/>
      <c r="LA248" s="10"/>
      <c r="LB248" s="10"/>
      <c r="LC248" s="10"/>
      <c r="LD248" s="10"/>
    </row>
    <row r="249" spans="1:316" ht="15.75" customHeight="1" x14ac:dyDescent="0.25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6"/>
      <c r="BY249" s="6"/>
      <c r="BZ249" s="6"/>
      <c r="CA249" s="6"/>
      <c r="CB249" s="6"/>
      <c r="CC249" s="6"/>
      <c r="CD249" s="6"/>
      <c r="CE249" s="6"/>
      <c r="CF249" s="6"/>
      <c r="CG249" s="6"/>
      <c r="CH249" s="6"/>
      <c r="CI249" s="6"/>
      <c r="CJ249" s="6"/>
      <c r="CK249" s="6"/>
      <c r="CL249" s="6"/>
      <c r="CM249" s="6"/>
      <c r="CN249" s="6"/>
      <c r="CO249" s="6"/>
      <c r="CP249" s="6"/>
      <c r="CQ249" s="6"/>
      <c r="CR249" s="6"/>
      <c r="CS249" s="6"/>
      <c r="CT249" s="6"/>
      <c r="CU249" s="6"/>
      <c r="CV249" s="6"/>
      <c r="CW249" s="6"/>
      <c r="CX249" s="6"/>
      <c r="CY249" s="6"/>
      <c r="CZ249" s="6"/>
      <c r="DA249" s="6"/>
      <c r="DB249" s="6"/>
      <c r="DC249" s="6"/>
      <c r="DD249" s="6"/>
      <c r="DE249" s="6"/>
      <c r="DF249" s="6"/>
      <c r="DG249" s="6"/>
      <c r="DH249" s="6"/>
      <c r="DI249" s="6"/>
      <c r="DJ249" s="6"/>
      <c r="DK249" s="6"/>
      <c r="DL249" s="6"/>
      <c r="DM249" s="6"/>
      <c r="DN249" s="6"/>
      <c r="DO249" s="6"/>
      <c r="DP249" s="6"/>
      <c r="DQ249" s="6"/>
      <c r="DR249" s="6"/>
      <c r="DS249" s="6"/>
      <c r="DT249" s="6"/>
      <c r="DU249" s="6"/>
      <c r="DV249" s="6"/>
      <c r="DW249" s="6"/>
      <c r="DX249" s="6"/>
      <c r="DY249" s="6"/>
      <c r="DZ249" s="6"/>
      <c r="EA249" s="6"/>
      <c r="EB249" s="6"/>
      <c r="EC249" s="6"/>
      <c r="ED249" s="6"/>
      <c r="EE249" s="6"/>
      <c r="KK249" s="10"/>
      <c r="KL249" s="10"/>
      <c r="KM249" s="10"/>
      <c r="KN249" s="10"/>
      <c r="KO249" s="10"/>
      <c r="KP249" s="10"/>
      <c r="KQ249" s="10"/>
      <c r="KR249" s="10"/>
      <c r="KS249" s="10"/>
      <c r="KT249" s="10"/>
      <c r="KU249" s="10"/>
      <c r="KV249" s="10"/>
      <c r="KW249" s="10"/>
      <c r="KX249" s="10"/>
      <c r="KY249" s="10"/>
      <c r="KZ249" s="10"/>
      <c r="LA249" s="10"/>
      <c r="LB249" s="10"/>
      <c r="LC249" s="10"/>
      <c r="LD249" s="10"/>
    </row>
    <row r="250" spans="1:316" ht="15.75" customHeight="1" x14ac:dyDescent="0.25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6"/>
      <c r="BY250" s="6"/>
      <c r="BZ250" s="6"/>
      <c r="CA250" s="6"/>
      <c r="CB250" s="6"/>
      <c r="CC250" s="6"/>
      <c r="CD250" s="6"/>
      <c r="CE250" s="6"/>
      <c r="CF250" s="6"/>
      <c r="CG250" s="6"/>
      <c r="CH250" s="6"/>
      <c r="CI250" s="6"/>
      <c r="CJ250" s="6"/>
      <c r="CK250" s="6"/>
      <c r="CL250" s="6"/>
      <c r="CM250" s="6"/>
      <c r="CN250" s="6"/>
      <c r="CO250" s="6"/>
      <c r="CP250" s="6"/>
      <c r="CQ250" s="6"/>
      <c r="CR250" s="6"/>
      <c r="CS250" s="6"/>
      <c r="CT250" s="6"/>
      <c r="CU250" s="6"/>
      <c r="CV250" s="6"/>
      <c r="CW250" s="6"/>
      <c r="CX250" s="6"/>
      <c r="CY250" s="6"/>
      <c r="CZ250" s="6"/>
      <c r="DA250" s="6"/>
      <c r="DB250" s="6"/>
      <c r="DC250" s="6"/>
      <c r="DD250" s="6"/>
      <c r="DE250" s="6"/>
      <c r="DF250" s="6"/>
      <c r="DG250" s="6"/>
      <c r="DH250" s="6"/>
      <c r="DI250" s="6"/>
      <c r="DJ250" s="6"/>
      <c r="DK250" s="6"/>
      <c r="DL250" s="6"/>
      <c r="DM250" s="6"/>
      <c r="DN250" s="6"/>
      <c r="DO250" s="6"/>
      <c r="DP250" s="6"/>
      <c r="DQ250" s="6"/>
      <c r="DR250" s="6"/>
      <c r="DS250" s="6"/>
      <c r="DT250" s="6"/>
      <c r="DU250" s="6"/>
      <c r="DV250" s="6"/>
      <c r="DW250" s="6"/>
      <c r="DX250" s="6"/>
      <c r="DY250" s="6"/>
      <c r="DZ250" s="6"/>
      <c r="EA250" s="6"/>
      <c r="EB250" s="6"/>
      <c r="EC250" s="6"/>
      <c r="ED250" s="6"/>
      <c r="EE250" s="6"/>
      <c r="KK250" s="10"/>
      <c r="KL250" s="10"/>
      <c r="KM250" s="10"/>
      <c r="KN250" s="10"/>
      <c r="KO250" s="10"/>
      <c r="KP250" s="10"/>
      <c r="KQ250" s="10"/>
      <c r="KR250" s="10"/>
      <c r="KS250" s="10"/>
      <c r="KT250" s="10"/>
      <c r="KU250" s="10"/>
      <c r="KV250" s="10"/>
      <c r="KW250" s="10"/>
      <c r="KX250" s="10"/>
      <c r="KY250" s="10"/>
      <c r="KZ250" s="10"/>
      <c r="LA250" s="10"/>
      <c r="LB250" s="10"/>
      <c r="LC250" s="10"/>
      <c r="LD250" s="10"/>
    </row>
    <row r="251" spans="1:316" ht="15.75" customHeight="1" x14ac:dyDescent="0.25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6"/>
      <c r="BY251" s="6"/>
      <c r="BZ251" s="6"/>
      <c r="CA251" s="6"/>
      <c r="CB251" s="6"/>
      <c r="CC251" s="6"/>
      <c r="CD251" s="6"/>
      <c r="CE251" s="6"/>
      <c r="CF251" s="6"/>
      <c r="CG251" s="6"/>
      <c r="CH251" s="6"/>
      <c r="CI251" s="6"/>
      <c r="CJ251" s="6"/>
      <c r="CK251" s="6"/>
      <c r="CL251" s="6"/>
      <c r="CM251" s="6"/>
      <c r="CN251" s="6"/>
      <c r="CO251" s="6"/>
      <c r="CP251" s="6"/>
      <c r="CQ251" s="6"/>
      <c r="CR251" s="6"/>
      <c r="CS251" s="6"/>
      <c r="CT251" s="6"/>
      <c r="CU251" s="6"/>
      <c r="CV251" s="6"/>
      <c r="CW251" s="6"/>
      <c r="CX251" s="6"/>
      <c r="CY251" s="6"/>
      <c r="CZ251" s="6"/>
      <c r="DA251" s="6"/>
      <c r="DB251" s="6"/>
      <c r="DC251" s="6"/>
      <c r="DD251" s="6"/>
      <c r="DE251" s="6"/>
      <c r="DF251" s="6"/>
      <c r="DG251" s="6"/>
      <c r="DH251" s="6"/>
      <c r="DI251" s="6"/>
      <c r="DJ251" s="6"/>
      <c r="DK251" s="6"/>
      <c r="DL251" s="6"/>
      <c r="DM251" s="6"/>
      <c r="DN251" s="6"/>
      <c r="DO251" s="6"/>
      <c r="DP251" s="6"/>
      <c r="DQ251" s="6"/>
      <c r="DR251" s="6"/>
      <c r="DS251" s="6"/>
      <c r="DT251" s="6"/>
      <c r="DU251" s="6"/>
      <c r="DV251" s="6"/>
      <c r="DW251" s="6"/>
      <c r="DX251" s="6"/>
      <c r="DY251" s="6"/>
      <c r="DZ251" s="6"/>
      <c r="EA251" s="6"/>
      <c r="EB251" s="6"/>
      <c r="EC251" s="6"/>
      <c r="ED251" s="6"/>
      <c r="EE251" s="6"/>
      <c r="KK251" s="10"/>
      <c r="KL251" s="10"/>
      <c r="KM251" s="10"/>
      <c r="KN251" s="10"/>
      <c r="KO251" s="10"/>
      <c r="KP251" s="10"/>
      <c r="KQ251" s="10"/>
      <c r="KR251" s="10"/>
      <c r="KS251" s="10"/>
      <c r="KT251" s="10"/>
      <c r="KU251" s="10"/>
      <c r="KV251" s="10"/>
      <c r="KW251" s="10"/>
      <c r="KX251" s="10"/>
      <c r="KY251" s="10"/>
      <c r="KZ251" s="10"/>
      <c r="LA251" s="10"/>
      <c r="LB251" s="10"/>
      <c r="LC251" s="10"/>
      <c r="LD251" s="10"/>
    </row>
    <row r="252" spans="1:316" ht="15.75" customHeight="1" x14ac:dyDescent="0.25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6"/>
      <c r="BY252" s="6"/>
      <c r="BZ252" s="6"/>
      <c r="CA252" s="6"/>
      <c r="CB252" s="6"/>
      <c r="CC252" s="6"/>
      <c r="CD252" s="6"/>
      <c r="CE252" s="6"/>
      <c r="CF252" s="6"/>
      <c r="CG252" s="6"/>
      <c r="CH252" s="6"/>
      <c r="CI252" s="6"/>
      <c r="CJ252" s="6"/>
      <c r="CK252" s="6"/>
      <c r="CL252" s="6"/>
      <c r="CM252" s="6"/>
      <c r="CN252" s="6"/>
      <c r="CO252" s="6"/>
      <c r="CP252" s="6"/>
      <c r="CQ252" s="6"/>
      <c r="CR252" s="6"/>
      <c r="CS252" s="6"/>
      <c r="CT252" s="6"/>
      <c r="CU252" s="6"/>
      <c r="CV252" s="6"/>
      <c r="CW252" s="6"/>
      <c r="CX252" s="6"/>
      <c r="CY252" s="6"/>
      <c r="CZ252" s="6"/>
      <c r="DA252" s="6"/>
      <c r="DB252" s="6"/>
      <c r="DC252" s="6"/>
      <c r="DD252" s="6"/>
      <c r="DE252" s="6"/>
      <c r="DF252" s="6"/>
      <c r="DG252" s="6"/>
      <c r="DH252" s="6"/>
      <c r="DI252" s="6"/>
      <c r="DJ252" s="6"/>
      <c r="DK252" s="6"/>
      <c r="DL252" s="6"/>
      <c r="DM252" s="6"/>
      <c r="DN252" s="6"/>
      <c r="DO252" s="6"/>
      <c r="DP252" s="6"/>
      <c r="DQ252" s="6"/>
      <c r="DR252" s="6"/>
      <c r="DS252" s="6"/>
      <c r="DT252" s="6"/>
      <c r="DU252" s="6"/>
      <c r="DV252" s="6"/>
      <c r="DW252" s="6"/>
      <c r="DX252" s="6"/>
      <c r="DY252" s="6"/>
      <c r="DZ252" s="6"/>
      <c r="EA252" s="6"/>
      <c r="EB252" s="6"/>
      <c r="EC252" s="6"/>
      <c r="ED252" s="6"/>
      <c r="EE252" s="6"/>
      <c r="KK252" s="10"/>
      <c r="KL252" s="10"/>
      <c r="KM252" s="10"/>
      <c r="KN252" s="10"/>
      <c r="KO252" s="10"/>
      <c r="KP252" s="10"/>
      <c r="KQ252" s="10"/>
      <c r="KR252" s="10"/>
      <c r="KS252" s="10"/>
      <c r="KT252" s="10"/>
      <c r="KU252" s="10"/>
      <c r="KV252" s="10"/>
      <c r="KW252" s="10"/>
      <c r="KX252" s="10"/>
      <c r="KY252" s="10"/>
      <c r="KZ252" s="10"/>
      <c r="LA252" s="10"/>
      <c r="LB252" s="10"/>
      <c r="LC252" s="10"/>
      <c r="LD252" s="10"/>
    </row>
    <row r="253" spans="1:316" ht="15.75" customHeight="1" x14ac:dyDescent="0.25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6"/>
      <c r="BY253" s="6"/>
      <c r="BZ253" s="6"/>
      <c r="CA253" s="6"/>
      <c r="CB253" s="6"/>
      <c r="CC253" s="6"/>
      <c r="CD253" s="6"/>
      <c r="CE253" s="6"/>
      <c r="CF253" s="6"/>
      <c r="CG253" s="6"/>
      <c r="CH253" s="6"/>
      <c r="CI253" s="6"/>
      <c r="CJ253" s="6"/>
      <c r="CK253" s="6"/>
      <c r="CL253" s="6"/>
      <c r="CM253" s="6"/>
      <c r="CN253" s="6"/>
      <c r="CO253" s="6"/>
      <c r="CP253" s="6"/>
      <c r="CQ253" s="6"/>
      <c r="CR253" s="6"/>
      <c r="CS253" s="6"/>
      <c r="CT253" s="6"/>
      <c r="CU253" s="6"/>
      <c r="CV253" s="6"/>
      <c r="CW253" s="6"/>
      <c r="CX253" s="6"/>
      <c r="CY253" s="6"/>
      <c r="CZ253" s="6"/>
      <c r="DA253" s="6"/>
      <c r="DB253" s="6"/>
      <c r="DC253" s="6"/>
      <c r="DD253" s="6"/>
      <c r="DE253" s="6"/>
      <c r="DF253" s="6"/>
      <c r="DG253" s="6"/>
      <c r="DH253" s="6"/>
      <c r="DI253" s="6"/>
      <c r="DJ253" s="6"/>
      <c r="DK253" s="6"/>
      <c r="DL253" s="6"/>
      <c r="DM253" s="6"/>
      <c r="DN253" s="6"/>
      <c r="DO253" s="6"/>
      <c r="DP253" s="6"/>
      <c r="DQ253" s="6"/>
      <c r="DR253" s="6"/>
      <c r="DS253" s="6"/>
      <c r="DT253" s="6"/>
      <c r="DU253" s="6"/>
      <c r="DV253" s="6"/>
      <c r="DW253" s="6"/>
      <c r="DX253" s="6"/>
      <c r="DY253" s="6"/>
      <c r="DZ253" s="6"/>
      <c r="EA253" s="6"/>
      <c r="EB253" s="6"/>
      <c r="EC253" s="6"/>
      <c r="ED253" s="6"/>
      <c r="EE253" s="6"/>
      <c r="KK253" s="10"/>
      <c r="KL253" s="10"/>
      <c r="KM253" s="10"/>
      <c r="KN253" s="10"/>
      <c r="KO253" s="10"/>
      <c r="KP253" s="10"/>
      <c r="KQ253" s="10"/>
      <c r="KR253" s="10"/>
      <c r="KS253" s="10"/>
      <c r="KT253" s="10"/>
      <c r="KU253" s="10"/>
      <c r="KV253" s="10"/>
      <c r="KW253" s="10"/>
      <c r="KX253" s="10"/>
      <c r="KY253" s="10"/>
      <c r="KZ253" s="10"/>
      <c r="LA253" s="10"/>
      <c r="LB253" s="10"/>
      <c r="LC253" s="10"/>
      <c r="LD253" s="10"/>
    </row>
    <row r="254" spans="1:316" ht="15.75" customHeight="1" x14ac:dyDescent="0.25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6"/>
      <c r="BY254" s="6"/>
      <c r="BZ254" s="6"/>
      <c r="CA254" s="6"/>
      <c r="CB254" s="6"/>
      <c r="CC254" s="6"/>
      <c r="CD254" s="6"/>
      <c r="CE254" s="6"/>
      <c r="CF254" s="6"/>
      <c r="CG254" s="6"/>
      <c r="CH254" s="6"/>
      <c r="CI254" s="6"/>
      <c r="CJ254" s="6"/>
      <c r="CK254" s="6"/>
      <c r="CL254" s="6"/>
      <c r="CM254" s="6"/>
      <c r="CN254" s="6"/>
      <c r="CO254" s="6"/>
      <c r="CP254" s="6"/>
      <c r="CQ254" s="6"/>
      <c r="CR254" s="6"/>
      <c r="CS254" s="6"/>
      <c r="CT254" s="6"/>
      <c r="CU254" s="6"/>
      <c r="CV254" s="6"/>
      <c r="CW254" s="6"/>
      <c r="CX254" s="6"/>
      <c r="CY254" s="6"/>
      <c r="CZ254" s="6"/>
      <c r="DA254" s="6"/>
      <c r="DB254" s="6"/>
      <c r="DC254" s="6"/>
      <c r="DD254" s="6"/>
      <c r="DE254" s="6"/>
      <c r="DF254" s="6"/>
      <c r="DG254" s="6"/>
      <c r="DH254" s="6"/>
      <c r="DI254" s="6"/>
      <c r="DJ254" s="6"/>
      <c r="DK254" s="6"/>
      <c r="DL254" s="6"/>
      <c r="DM254" s="6"/>
      <c r="DN254" s="6"/>
      <c r="DO254" s="6"/>
      <c r="DP254" s="6"/>
      <c r="DQ254" s="6"/>
      <c r="DR254" s="6"/>
      <c r="DS254" s="6"/>
      <c r="DT254" s="6"/>
      <c r="DU254" s="6"/>
      <c r="DV254" s="6"/>
      <c r="DW254" s="6"/>
      <c r="DX254" s="6"/>
      <c r="DY254" s="6"/>
      <c r="DZ254" s="6"/>
      <c r="EA254" s="6"/>
      <c r="EB254" s="6"/>
      <c r="EC254" s="6"/>
      <c r="ED254" s="6"/>
      <c r="EE254" s="6"/>
      <c r="KK254" s="10"/>
      <c r="KL254" s="10"/>
      <c r="KM254" s="10"/>
      <c r="KN254" s="10"/>
      <c r="KO254" s="10"/>
      <c r="KP254" s="10"/>
      <c r="KQ254" s="10"/>
      <c r="KR254" s="10"/>
      <c r="KS254" s="10"/>
      <c r="KT254" s="10"/>
      <c r="KU254" s="10"/>
      <c r="KV254" s="10"/>
      <c r="KW254" s="10"/>
      <c r="KX254" s="10"/>
      <c r="KY254" s="10"/>
      <c r="KZ254" s="10"/>
      <c r="LA254" s="10"/>
      <c r="LB254" s="10"/>
      <c r="LC254" s="10"/>
      <c r="LD254" s="10"/>
    </row>
    <row r="255" spans="1:316" ht="15.75" customHeight="1" x14ac:dyDescent="0.25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6"/>
      <c r="BY255" s="6"/>
      <c r="BZ255" s="6"/>
      <c r="CA255" s="6"/>
      <c r="CB255" s="6"/>
      <c r="CC255" s="6"/>
      <c r="CD255" s="6"/>
      <c r="CE255" s="6"/>
      <c r="CF255" s="6"/>
      <c r="CG255" s="6"/>
      <c r="CH255" s="6"/>
      <c r="CI255" s="6"/>
      <c r="CJ255" s="6"/>
      <c r="CK255" s="6"/>
      <c r="CL255" s="6"/>
      <c r="CM255" s="6"/>
      <c r="CN255" s="6"/>
      <c r="CO255" s="6"/>
      <c r="CP255" s="6"/>
      <c r="CQ255" s="6"/>
      <c r="CR255" s="6"/>
      <c r="CS255" s="6"/>
      <c r="CT255" s="6"/>
      <c r="CU255" s="6"/>
      <c r="CV255" s="6"/>
      <c r="CW255" s="6"/>
      <c r="CX255" s="6"/>
      <c r="CY255" s="6"/>
      <c r="CZ255" s="6"/>
      <c r="DA255" s="6"/>
      <c r="DB255" s="6"/>
      <c r="DC255" s="6"/>
      <c r="DD255" s="6"/>
      <c r="DE255" s="6"/>
      <c r="DF255" s="6"/>
      <c r="DG255" s="6"/>
      <c r="DH255" s="6"/>
      <c r="DI255" s="6"/>
      <c r="DJ255" s="6"/>
      <c r="DK255" s="6"/>
      <c r="DL255" s="6"/>
      <c r="DM255" s="6"/>
      <c r="DN255" s="6"/>
      <c r="DO255" s="6"/>
      <c r="DP255" s="6"/>
      <c r="DQ255" s="6"/>
      <c r="DR255" s="6"/>
      <c r="DS255" s="6"/>
      <c r="DT255" s="6"/>
      <c r="DU255" s="6"/>
      <c r="DV255" s="6"/>
      <c r="DW255" s="6"/>
      <c r="DX255" s="6"/>
      <c r="DY255" s="6"/>
      <c r="DZ255" s="6"/>
      <c r="EA255" s="6"/>
      <c r="EB255" s="6"/>
      <c r="EC255" s="6"/>
      <c r="ED255" s="6"/>
      <c r="EE255" s="6"/>
      <c r="KK255" s="10"/>
      <c r="KL255" s="10"/>
      <c r="KM255" s="10"/>
      <c r="KN255" s="10"/>
      <c r="KO255" s="10"/>
      <c r="KP255" s="10"/>
      <c r="KQ255" s="10"/>
      <c r="KR255" s="10"/>
      <c r="KS255" s="10"/>
      <c r="KT255" s="10"/>
      <c r="KU255" s="10"/>
      <c r="KV255" s="10"/>
      <c r="KW255" s="10"/>
      <c r="KX255" s="10"/>
      <c r="KY255" s="10"/>
      <c r="KZ255" s="10"/>
      <c r="LA255" s="10"/>
      <c r="LB255" s="10"/>
      <c r="LC255" s="10"/>
      <c r="LD255" s="10"/>
    </row>
    <row r="256" spans="1:316" ht="15.75" customHeight="1" x14ac:dyDescent="0.25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6"/>
      <c r="BY256" s="6"/>
      <c r="BZ256" s="6"/>
      <c r="CA256" s="6"/>
      <c r="CB256" s="6"/>
      <c r="CC256" s="6"/>
      <c r="CD256" s="6"/>
      <c r="CE256" s="6"/>
      <c r="CF256" s="6"/>
      <c r="CG256" s="6"/>
      <c r="CH256" s="6"/>
      <c r="CI256" s="6"/>
      <c r="CJ256" s="6"/>
      <c r="CK256" s="6"/>
      <c r="CL256" s="6"/>
      <c r="CM256" s="6"/>
      <c r="CN256" s="6"/>
      <c r="CO256" s="6"/>
      <c r="CP256" s="6"/>
      <c r="CQ256" s="6"/>
      <c r="CR256" s="6"/>
      <c r="CS256" s="6"/>
      <c r="CT256" s="6"/>
      <c r="CU256" s="6"/>
      <c r="CV256" s="6"/>
      <c r="CW256" s="6"/>
      <c r="CX256" s="6"/>
      <c r="CY256" s="6"/>
      <c r="CZ256" s="6"/>
      <c r="DA256" s="6"/>
      <c r="DB256" s="6"/>
      <c r="DC256" s="6"/>
      <c r="DD256" s="6"/>
      <c r="DE256" s="6"/>
      <c r="DF256" s="6"/>
      <c r="DG256" s="6"/>
      <c r="DH256" s="6"/>
      <c r="DI256" s="6"/>
      <c r="DJ256" s="6"/>
      <c r="DK256" s="6"/>
      <c r="DL256" s="6"/>
      <c r="DM256" s="6"/>
      <c r="DN256" s="6"/>
      <c r="DO256" s="6"/>
      <c r="DP256" s="6"/>
      <c r="DQ256" s="6"/>
      <c r="DR256" s="6"/>
      <c r="DS256" s="6"/>
      <c r="DT256" s="6"/>
      <c r="DU256" s="6"/>
      <c r="DV256" s="6"/>
      <c r="DW256" s="6"/>
      <c r="DX256" s="6"/>
      <c r="DY256" s="6"/>
      <c r="DZ256" s="6"/>
      <c r="EA256" s="6"/>
      <c r="EB256" s="6"/>
      <c r="EC256" s="6"/>
      <c r="ED256" s="6"/>
      <c r="EE256" s="6"/>
      <c r="KK256" s="10"/>
      <c r="KL256" s="10"/>
      <c r="KM256" s="10"/>
      <c r="KN256" s="10"/>
      <c r="KO256" s="10"/>
      <c r="KP256" s="10"/>
      <c r="KQ256" s="10"/>
      <c r="KR256" s="10"/>
      <c r="KS256" s="10"/>
      <c r="KT256" s="10"/>
      <c r="KU256" s="10"/>
      <c r="KV256" s="10"/>
      <c r="KW256" s="10"/>
      <c r="KX256" s="10"/>
      <c r="KY256" s="10"/>
      <c r="KZ256" s="10"/>
      <c r="LA256" s="10"/>
      <c r="LB256" s="10"/>
      <c r="LC256" s="10"/>
      <c r="LD256" s="10"/>
    </row>
    <row r="257" spans="1:316" ht="15.75" customHeight="1" x14ac:dyDescent="0.25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6"/>
      <c r="BY257" s="6"/>
      <c r="BZ257" s="6"/>
      <c r="CA257" s="6"/>
      <c r="CB257" s="6"/>
      <c r="CC257" s="6"/>
      <c r="CD257" s="6"/>
      <c r="CE257" s="6"/>
      <c r="CF257" s="6"/>
      <c r="CG257" s="6"/>
      <c r="CH257" s="6"/>
      <c r="CI257" s="6"/>
      <c r="CJ257" s="6"/>
      <c r="CK257" s="6"/>
      <c r="CL257" s="6"/>
      <c r="CM257" s="6"/>
      <c r="CN257" s="6"/>
      <c r="CO257" s="6"/>
      <c r="CP257" s="6"/>
      <c r="CQ257" s="6"/>
      <c r="CR257" s="6"/>
      <c r="CS257" s="6"/>
      <c r="CT257" s="6"/>
      <c r="CU257" s="6"/>
      <c r="CV257" s="6"/>
      <c r="CW257" s="6"/>
      <c r="CX257" s="6"/>
      <c r="CY257" s="6"/>
      <c r="CZ257" s="6"/>
      <c r="DA257" s="6"/>
      <c r="DB257" s="6"/>
      <c r="DC257" s="6"/>
      <c r="DD257" s="6"/>
      <c r="DE257" s="6"/>
      <c r="DF257" s="6"/>
      <c r="DG257" s="6"/>
      <c r="DH257" s="6"/>
      <c r="DI257" s="6"/>
      <c r="DJ257" s="6"/>
      <c r="DK257" s="6"/>
      <c r="DL257" s="6"/>
      <c r="DM257" s="6"/>
      <c r="DN257" s="6"/>
      <c r="DO257" s="6"/>
      <c r="DP257" s="6"/>
      <c r="DQ257" s="6"/>
      <c r="DR257" s="6"/>
      <c r="DS257" s="6"/>
      <c r="DT257" s="6"/>
      <c r="DU257" s="6"/>
      <c r="DV257" s="6"/>
      <c r="DW257" s="6"/>
      <c r="DX257" s="6"/>
      <c r="DY257" s="6"/>
      <c r="DZ257" s="6"/>
      <c r="EA257" s="6"/>
      <c r="EB257" s="6"/>
      <c r="EC257" s="6"/>
      <c r="ED257" s="6"/>
      <c r="EE257" s="6"/>
      <c r="KK257" s="10"/>
      <c r="KL257" s="10"/>
      <c r="KM257" s="10"/>
      <c r="KN257" s="10"/>
      <c r="KO257" s="10"/>
      <c r="KP257" s="10"/>
      <c r="KQ257" s="10"/>
      <c r="KR257" s="10"/>
      <c r="KS257" s="10"/>
      <c r="KT257" s="10"/>
      <c r="KU257" s="10"/>
      <c r="KV257" s="10"/>
      <c r="KW257" s="10"/>
      <c r="KX257" s="10"/>
      <c r="KY257" s="10"/>
      <c r="KZ257" s="10"/>
      <c r="LA257" s="10"/>
      <c r="LB257" s="10"/>
      <c r="LC257" s="10"/>
      <c r="LD257" s="10"/>
    </row>
    <row r="258" spans="1:316" ht="15.75" customHeight="1" x14ac:dyDescent="0.25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6"/>
      <c r="BY258" s="6"/>
      <c r="BZ258" s="6"/>
      <c r="CA258" s="6"/>
      <c r="CB258" s="6"/>
      <c r="CC258" s="6"/>
      <c r="CD258" s="6"/>
      <c r="CE258" s="6"/>
      <c r="CF258" s="6"/>
      <c r="CG258" s="6"/>
      <c r="CH258" s="6"/>
      <c r="CI258" s="6"/>
      <c r="CJ258" s="6"/>
      <c r="CK258" s="6"/>
      <c r="CL258" s="6"/>
      <c r="CM258" s="6"/>
      <c r="CN258" s="6"/>
      <c r="CO258" s="6"/>
      <c r="CP258" s="6"/>
      <c r="CQ258" s="6"/>
      <c r="CR258" s="6"/>
      <c r="CS258" s="6"/>
      <c r="CT258" s="6"/>
      <c r="CU258" s="6"/>
      <c r="CV258" s="6"/>
      <c r="CW258" s="6"/>
      <c r="CX258" s="6"/>
      <c r="CY258" s="6"/>
      <c r="CZ258" s="6"/>
      <c r="DA258" s="6"/>
      <c r="DB258" s="6"/>
      <c r="DC258" s="6"/>
      <c r="DD258" s="6"/>
      <c r="DE258" s="6"/>
      <c r="DF258" s="6"/>
      <c r="DG258" s="6"/>
      <c r="DH258" s="6"/>
      <c r="DI258" s="6"/>
      <c r="DJ258" s="6"/>
      <c r="DK258" s="6"/>
      <c r="DL258" s="6"/>
      <c r="DM258" s="6"/>
      <c r="DN258" s="6"/>
      <c r="DO258" s="6"/>
      <c r="DP258" s="6"/>
      <c r="DQ258" s="6"/>
      <c r="DR258" s="6"/>
      <c r="DS258" s="6"/>
      <c r="DT258" s="6"/>
      <c r="DU258" s="6"/>
      <c r="DV258" s="6"/>
      <c r="DW258" s="6"/>
      <c r="DX258" s="6"/>
      <c r="DY258" s="6"/>
      <c r="DZ258" s="6"/>
      <c r="EA258" s="6"/>
      <c r="EB258" s="6"/>
      <c r="EC258" s="6"/>
      <c r="ED258" s="6"/>
      <c r="EE258" s="6"/>
      <c r="KK258" s="10"/>
      <c r="KL258" s="10"/>
      <c r="KM258" s="10"/>
      <c r="KN258" s="10"/>
      <c r="KO258" s="10"/>
      <c r="KP258" s="10"/>
      <c r="KQ258" s="10"/>
      <c r="KR258" s="10"/>
      <c r="KS258" s="10"/>
      <c r="KT258" s="10"/>
      <c r="KU258" s="10"/>
      <c r="KV258" s="10"/>
      <c r="KW258" s="10"/>
      <c r="KX258" s="10"/>
      <c r="KY258" s="10"/>
      <c r="KZ258" s="10"/>
      <c r="LA258" s="10"/>
      <c r="LB258" s="10"/>
      <c r="LC258" s="10"/>
      <c r="LD258" s="10"/>
    </row>
    <row r="259" spans="1:316" ht="15.75" customHeight="1" x14ac:dyDescent="0.25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6"/>
      <c r="BY259" s="6"/>
      <c r="BZ259" s="6"/>
      <c r="CA259" s="6"/>
      <c r="CB259" s="6"/>
      <c r="CC259" s="6"/>
      <c r="CD259" s="6"/>
      <c r="CE259" s="6"/>
      <c r="CF259" s="6"/>
      <c r="CG259" s="6"/>
      <c r="CH259" s="6"/>
      <c r="CI259" s="6"/>
      <c r="CJ259" s="6"/>
      <c r="CK259" s="6"/>
      <c r="CL259" s="6"/>
      <c r="CM259" s="6"/>
      <c r="CN259" s="6"/>
      <c r="CO259" s="6"/>
      <c r="CP259" s="6"/>
      <c r="CQ259" s="6"/>
      <c r="CR259" s="6"/>
      <c r="CS259" s="6"/>
      <c r="CT259" s="6"/>
      <c r="CU259" s="6"/>
      <c r="CV259" s="6"/>
      <c r="CW259" s="6"/>
      <c r="CX259" s="6"/>
      <c r="CY259" s="6"/>
      <c r="CZ259" s="6"/>
      <c r="DA259" s="6"/>
      <c r="DB259" s="6"/>
      <c r="DC259" s="6"/>
      <c r="DD259" s="6"/>
      <c r="DE259" s="6"/>
      <c r="DF259" s="6"/>
      <c r="DG259" s="6"/>
      <c r="DH259" s="6"/>
      <c r="DI259" s="6"/>
      <c r="DJ259" s="6"/>
      <c r="DK259" s="6"/>
      <c r="DL259" s="6"/>
      <c r="DM259" s="6"/>
      <c r="DN259" s="6"/>
      <c r="DO259" s="6"/>
      <c r="DP259" s="6"/>
      <c r="DQ259" s="6"/>
      <c r="DR259" s="6"/>
      <c r="DS259" s="6"/>
      <c r="DT259" s="6"/>
      <c r="DU259" s="6"/>
      <c r="DV259" s="6"/>
      <c r="DW259" s="6"/>
      <c r="DX259" s="6"/>
      <c r="DY259" s="6"/>
      <c r="DZ259" s="6"/>
      <c r="EA259" s="6"/>
      <c r="EB259" s="6"/>
      <c r="EC259" s="6"/>
      <c r="ED259" s="6"/>
      <c r="EE259" s="6"/>
      <c r="KK259" s="10"/>
      <c r="KL259" s="10"/>
      <c r="KM259" s="10"/>
      <c r="KN259" s="10"/>
      <c r="KO259" s="10"/>
      <c r="KP259" s="10"/>
      <c r="KQ259" s="10"/>
      <c r="KR259" s="10"/>
      <c r="KS259" s="10"/>
      <c r="KT259" s="10"/>
      <c r="KU259" s="10"/>
      <c r="KV259" s="10"/>
      <c r="KW259" s="10"/>
      <c r="KX259" s="10"/>
      <c r="KY259" s="10"/>
      <c r="KZ259" s="10"/>
      <c r="LA259" s="10"/>
      <c r="LB259" s="10"/>
      <c r="LC259" s="10"/>
      <c r="LD259" s="10"/>
    </row>
    <row r="260" spans="1:316" ht="15.75" customHeight="1" x14ac:dyDescent="0.25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6"/>
      <c r="BY260" s="6"/>
      <c r="BZ260" s="6"/>
      <c r="CA260" s="6"/>
      <c r="CB260" s="6"/>
      <c r="CC260" s="6"/>
      <c r="CD260" s="6"/>
      <c r="CE260" s="6"/>
      <c r="CF260" s="6"/>
      <c r="CG260" s="6"/>
      <c r="CH260" s="6"/>
      <c r="CI260" s="6"/>
      <c r="CJ260" s="6"/>
      <c r="CK260" s="6"/>
      <c r="CL260" s="6"/>
      <c r="CM260" s="6"/>
      <c r="CN260" s="6"/>
      <c r="CO260" s="6"/>
      <c r="CP260" s="6"/>
      <c r="CQ260" s="6"/>
      <c r="CR260" s="6"/>
      <c r="CS260" s="6"/>
      <c r="CT260" s="6"/>
      <c r="CU260" s="6"/>
      <c r="CV260" s="6"/>
      <c r="CW260" s="6"/>
      <c r="CX260" s="6"/>
      <c r="CY260" s="6"/>
      <c r="CZ260" s="6"/>
      <c r="DA260" s="6"/>
      <c r="DB260" s="6"/>
      <c r="DC260" s="6"/>
      <c r="DD260" s="6"/>
      <c r="DE260" s="6"/>
      <c r="DF260" s="6"/>
      <c r="DG260" s="6"/>
      <c r="DH260" s="6"/>
      <c r="DI260" s="6"/>
      <c r="DJ260" s="6"/>
      <c r="DK260" s="6"/>
      <c r="DL260" s="6"/>
      <c r="DM260" s="6"/>
      <c r="DN260" s="6"/>
      <c r="DO260" s="6"/>
      <c r="DP260" s="6"/>
      <c r="DQ260" s="6"/>
      <c r="DR260" s="6"/>
      <c r="DS260" s="6"/>
      <c r="DT260" s="6"/>
      <c r="DU260" s="6"/>
      <c r="DV260" s="6"/>
      <c r="DW260" s="6"/>
      <c r="DX260" s="6"/>
      <c r="DY260" s="6"/>
      <c r="DZ260" s="6"/>
      <c r="EA260" s="6"/>
      <c r="EB260" s="6"/>
      <c r="EC260" s="6"/>
      <c r="ED260" s="6"/>
      <c r="EE260" s="6"/>
      <c r="KK260" s="10"/>
      <c r="KL260" s="10"/>
      <c r="KM260" s="10"/>
      <c r="KN260" s="10"/>
      <c r="KO260" s="10"/>
      <c r="KP260" s="10"/>
      <c r="KQ260" s="10"/>
      <c r="KR260" s="10"/>
      <c r="KS260" s="10"/>
      <c r="KT260" s="10"/>
      <c r="KU260" s="10"/>
      <c r="KV260" s="10"/>
      <c r="KW260" s="10"/>
      <c r="KX260" s="10"/>
      <c r="KY260" s="10"/>
      <c r="KZ260" s="10"/>
      <c r="LA260" s="10"/>
      <c r="LB260" s="10"/>
      <c r="LC260" s="10"/>
      <c r="LD260" s="10"/>
    </row>
    <row r="261" spans="1:316" ht="15.75" customHeight="1" x14ac:dyDescent="0.25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6"/>
      <c r="BY261" s="6"/>
      <c r="BZ261" s="6"/>
      <c r="CA261" s="6"/>
      <c r="CB261" s="6"/>
      <c r="CC261" s="6"/>
      <c r="CD261" s="6"/>
      <c r="CE261" s="6"/>
      <c r="CF261" s="6"/>
      <c r="CG261" s="6"/>
      <c r="CH261" s="6"/>
      <c r="CI261" s="6"/>
      <c r="CJ261" s="6"/>
      <c r="CK261" s="6"/>
      <c r="CL261" s="6"/>
      <c r="CM261" s="6"/>
      <c r="CN261" s="6"/>
      <c r="CO261" s="6"/>
      <c r="CP261" s="6"/>
      <c r="CQ261" s="6"/>
      <c r="CR261" s="6"/>
      <c r="CS261" s="6"/>
      <c r="CT261" s="6"/>
      <c r="CU261" s="6"/>
      <c r="CV261" s="6"/>
      <c r="CW261" s="6"/>
      <c r="CX261" s="6"/>
      <c r="CY261" s="6"/>
      <c r="CZ261" s="6"/>
      <c r="DA261" s="6"/>
      <c r="DB261" s="6"/>
      <c r="DC261" s="6"/>
      <c r="DD261" s="6"/>
      <c r="DE261" s="6"/>
      <c r="DF261" s="6"/>
      <c r="DG261" s="6"/>
      <c r="DH261" s="6"/>
      <c r="DI261" s="6"/>
      <c r="DJ261" s="6"/>
      <c r="DK261" s="6"/>
      <c r="DL261" s="6"/>
      <c r="DM261" s="6"/>
      <c r="DN261" s="6"/>
      <c r="DO261" s="6"/>
      <c r="DP261" s="6"/>
      <c r="DQ261" s="6"/>
      <c r="DR261" s="6"/>
      <c r="DS261" s="6"/>
      <c r="DT261" s="6"/>
      <c r="DU261" s="6"/>
      <c r="DV261" s="6"/>
      <c r="DW261" s="6"/>
      <c r="DX261" s="6"/>
      <c r="DY261" s="6"/>
      <c r="DZ261" s="6"/>
      <c r="EA261" s="6"/>
      <c r="EB261" s="6"/>
      <c r="EC261" s="6"/>
      <c r="ED261" s="6"/>
      <c r="EE261" s="6"/>
      <c r="KK261" s="10"/>
      <c r="KL261" s="10"/>
      <c r="KM261" s="10"/>
      <c r="KN261" s="10"/>
      <c r="KO261" s="10"/>
      <c r="KP261" s="10"/>
      <c r="KQ261" s="10"/>
      <c r="KR261" s="10"/>
      <c r="KS261" s="10"/>
      <c r="KT261" s="10"/>
      <c r="KU261" s="10"/>
      <c r="KV261" s="10"/>
      <c r="KW261" s="10"/>
      <c r="KX261" s="10"/>
      <c r="KY261" s="10"/>
      <c r="KZ261" s="10"/>
      <c r="LA261" s="10"/>
      <c r="LB261" s="10"/>
      <c r="LC261" s="10"/>
      <c r="LD261" s="10"/>
    </row>
    <row r="262" spans="1:316" ht="15.75" customHeight="1" x14ac:dyDescent="0.25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6"/>
      <c r="BY262" s="6"/>
      <c r="BZ262" s="6"/>
      <c r="CA262" s="6"/>
      <c r="CB262" s="6"/>
      <c r="CC262" s="6"/>
      <c r="CD262" s="6"/>
      <c r="CE262" s="6"/>
      <c r="CF262" s="6"/>
      <c r="CG262" s="6"/>
      <c r="CH262" s="6"/>
      <c r="CI262" s="6"/>
      <c r="CJ262" s="6"/>
      <c r="CK262" s="6"/>
      <c r="CL262" s="6"/>
      <c r="CM262" s="6"/>
      <c r="CN262" s="6"/>
      <c r="CO262" s="6"/>
      <c r="CP262" s="6"/>
      <c r="CQ262" s="6"/>
      <c r="CR262" s="6"/>
      <c r="CS262" s="6"/>
      <c r="CT262" s="6"/>
      <c r="CU262" s="6"/>
      <c r="CV262" s="6"/>
      <c r="CW262" s="6"/>
      <c r="CX262" s="6"/>
      <c r="CY262" s="6"/>
      <c r="CZ262" s="6"/>
      <c r="DA262" s="6"/>
      <c r="DB262" s="6"/>
      <c r="DC262" s="6"/>
      <c r="DD262" s="6"/>
      <c r="DE262" s="6"/>
      <c r="DF262" s="6"/>
      <c r="DG262" s="6"/>
      <c r="DH262" s="6"/>
      <c r="DI262" s="6"/>
      <c r="DJ262" s="6"/>
      <c r="DK262" s="6"/>
      <c r="DL262" s="6"/>
      <c r="DM262" s="6"/>
      <c r="DN262" s="6"/>
      <c r="DO262" s="6"/>
      <c r="DP262" s="6"/>
      <c r="DQ262" s="6"/>
      <c r="DR262" s="6"/>
      <c r="DS262" s="6"/>
      <c r="DT262" s="6"/>
      <c r="DU262" s="6"/>
      <c r="DV262" s="6"/>
      <c r="DW262" s="6"/>
      <c r="DX262" s="6"/>
      <c r="DY262" s="6"/>
      <c r="DZ262" s="6"/>
      <c r="EA262" s="6"/>
      <c r="EB262" s="6"/>
      <c r="EC262" s="6"/>
      <c r="ED262" s="6"/>
      <c r="EE262" s="6"/>
      <c r="KK262" s="10"/>
      <c r="KL262" s="10"/>
      <c r="KM262" s="10"/>
      <c r="KN262" s="10"/>
      <c r="KO262" s="10"/>
      <c r="KP262" s="10"/>
      <c r="KQ262" s="10"/>
      <c r="KR262" s="10"/>
      <c r="KS262" s="10"/>
      <c r="KT262" s="10"/>
      <c r="KU262" s="10"/>
      <c r="KV262" s="10"/>
      <c r="KW262" s="10"/>
      <c r="KX262" s="10"/>
      <c r="KY262" s="10"/>
      <c r="KZ262" s="10"/>
      <c r="LA262" s="10"/>
      <c r="LB262" s="10"/>
      <c r="LC262" s="10"/>
      <c r="LD262" s="10"/>
    </row>
    <row r="263" spans="1:316" ht="15.75" customHeight="1" x14ac:dyDescent="0.25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6"/>
      <c r="BY263" s="6"/>
      <c r="BZ263" s="6"/>
      <c r="CA263" s="6"/>
      <c r="CB263" s="6"/>
      <c r="CC263" s="6"/>
      <c r="CD263" s="6"/>
      <c r="CE263" s="6"/>
      <c r="CF263" s="6"/>
      <c r="CG263" s="6"/>
      <c r="CH263" s="6"/>
      <c r="CI263" s="6"/>
      <c r="CJ263" s="6"/>
      <c r="CK263" s="6"/>
      <c r="CL263" s="6"/>
      <c r="CM263" s="6"/>
      <c r="CN263" s="6"/>
      <c r="CO263" s="6"/>
      <c r="CP263" s="6"/>
      <c r="CQ263" s="6"/>
      <c r="CR263" s="6"/>
      <c r="CS263" s="6"/>
      <c r="CT263" s="6"/>
      <c r="CU263" s="6"/>
      <c r="CV263" s="6"/>
      <c r="CW263" s="6"/>
      <c r="CX263" s="6"/>
      <c r="CY263" s="6"/>
      <c r="CZ263" s="6"/>
      <c r="DA263" s="6"/>
      <c r="DB263" s="6"/>
      <c r="DC263" s="6"/>
      <c r="DD263" s="6"/>
      <c r="DE263" s="6"/>
      <c r="DF263" s="6"/>
      <c r="DG263" s="6"/>
      <c r="DH263" s="6"/>
      <c r="DI263" s="6"/>
      <c r="DJ263" s="6"/>
      <c r="DK263" s="6"/>
      <c r="DL263" s="6"/>
      <c r="DM263" s="6"/>
      <c r="DN263" s="6"/>
      <c r="DO263" s="6"/>
      <c r="DP263" s="6"/>
      <c r="DQ263" s="6"/>
      <c r="DR263" s="6"/>
      <c r="DS263" s="6"/>
      <c r="DT263" s="6"/>
      <c r="DU263" s="6"/>
      <c r="DV263" s="6"/>
      <c r="DW263" s="6"/>
      <c r="DX263" s="6"/>
      <c r="DY263" s="6"/>
      <c r="DZ263" s="6"/>
      <c r="EA263" s="6"/>
      <c r="EB263" s="6"/>
      <c r="EC263" s="6"/>
      <c r="ED263" s="6"/>
      <c r="EE263" s="6"/>
      <c r="KK263" s="10"/>
      <c r="KL263" s="10"/>
      <c r="KM263" s="10"/>
      <c r="KN263" s="10"/>
      <c r="KO263" s="10"/>
      <c r="KP263" s="10"/>
      <c r="KQ263" s="10"/>
      <c r="KR263" s="10"/>
      <c r="KS263" s="10"/>
      <c r="KT263" s="10"/>
      <c r="KU263" s="10"/>
      <c r="KV263" s="10"/>
      <c r="KW263" s="10"/>
      <c r="KX263" s="10"/>
      <c r="KY263" s="10"/>
      <c r="KZ263" s="10"/>
      <c r="LA263" s="10"/>
      <c r="LB263" s="10"/>
      <c r="LC263" s="10"/>
      <c r="LD263" s="10"/>
    </row>
    <row r="264" spans="1:316" ht="15.75" customHeight="1" x14ac:dyDescent="0.25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6"/>
      <c r="BY264" s="6"/>
      <c r="BZ264" s="6"/>
      <c r="CA264" s="6"/>
      <c r="CB264" s="6"/>
      <c r="CC264" s="6"/>
      <c r="CD264" s="6"/>
      <c r="CE264" s="6"/>
      <c r="CF264" s="6"/>
      <c r="CG264" s="6"/>
      <c r="CH264" s="6"/>
      <c r="CI264" s="6"/>
      <c r="CJ264" s="6"/>
      <c r="CK264" s="6"/>
      <c r="CL264" s="6"/>
      <c r="CM264" s="6"/>
      <c r="CN264" s="6"/>
      <c r="CO264" s="6"/>
      <c r="CP264" s="6"/>
      <c r="CQ264" s="6"/>
      <c r="CR264" s="6"/>
      <c r="CS264" s="6"/>
      <c r="CT264" s="6"/>
      <c r="CU264" s="6"/>
      <c r="CV264" s="6"/>
      <c r="CW264" s="6"/>
      <c r="CX264" s="6"/>
      <c r="CY264" s="6"/>
      <c r="CZ264" s="6"/>
      <c r="DA264" s="6"/>
      <c r="DB264" s="6"/>
      <c r="DC264" s="6"/>
      <c r="DD264" s="6"/>
      <c r="DE264" s="6"/>
      <c r="DF264" s="6"/>
      <c r="DG264" s="6"/>
      <c r="DH264" s="6"/>
      <c r="DI264" s="6"/>
      <c r="DJ264" s="6"/>
      <c r="DK264" s="6"/>
      <c r="DL264" s="6"/>
      <c r="DM264" s="6"/>
      <c r="DN264" s="6"/>
      <c r="DO264" s="6"/>
      <c r="DP264" s="6"/>
      <c r="DQ264" s="6"/>
      <c r="DR264" s="6"/>
      <c r="DS264" s="6"/>
      <c r="DT264" s="6"/>
      <c r="DU264" s="6"/>
      <c r="DV264" s="6"/>
      <c r="DW264" s="6"/>
      <c r="DX264" s="6"/>
      <c r="DY264" s="6"/>
      <c r="DZ264" s="6"/>
      <c r="EA264" s="6"/>
      <c r="EB264" s="6"/>
      <c r="EC264" s="6"/>
      <c r="ED264" s="6"/>
      <c r="EE264" s="6"/>
      <c r="KK264" s="10"/>
      <c r="KL264" s="10"/>
      <c r="KM264" s="10"/>
      <c r="KN264" s="10"/>
      <c r="KO264" s="10"/>
      <c r="KP264" s="10"/>
      <c r="KQ264" s="10"/>
      <c r="KR264" s="10"/>
      <c r="KS264" s="10"/>
      <c r="KT264" s="10"/>
      <c r="KU264" s="10"/>
      <c r="KV264" s="10"/>
      <c r="KW264" s="10"/>
      <c r="KX264" s="10"/>
      <c r="KY264" s="10"/>
      <c r="KZ264" s="10"/>
      <c r="LA264" s="10"/>
      <c r="LB264" s="10"/>
      <c r="LC264" s="10"/>
      <c r="LD264" s="10"/>
    </row>
    <row r="265" spans="1:316" ht="15.75" customHeight="1" x14ac:dyDescent="0.25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6"/>
      <c r="BY265" s="6"/>
      <c r="BZ265" s="6"/>
      <c r="CA265" s="6"/>
      <c r="CB265" s="6"/>
      <c r="CC265" s="6"/>
      <c r="CD265" s="6"/>
      <c r="CE265" s="6"/>
      <c r="CF265" s="6"/>
      <c r="CG265" s="6"/>
      <c r="CH265" s="6"/>
      <c r="CI265" s="6"/>
      <c r="CJ265" s="6"/>
      <c r="CK265" s="6"/>
      <c r="CL265" s="6"/>
      <c r="CM265" s="6"/>
      <c r="CN265" s="6"/>
      <c r="CO265" s="6"/>
      <c r="CP265" s="6"/>
      <c r="CQ265" s="6"/>
      <c r="CR265" s="6"/>
      <c r="CS265" s="6"/>
      <c r="CT265" s="6"/>
      <c r="CU265" s="6"/>
      <c r="CV265" s="6"/>
      <c r="CW265" s="6"/>
      <c r="CX265" s="6"/>
      <c r="CY265" s="6"/>
      <c r="CZ265" s="6"/>
      <c r="DA265" s="6"/>
      <c r="DB265" s="6"/>
      <c r="DC265" s="6"/>
      <c r="DD265" s="6"/>
      <c r="DE265" s="6"/>
      <c r="DF265" s="6"/>
      <c r="DG265" s="6"/>
      <c r="DH265" s="6"/>
      <c r="DI265" s="6"/>
      <c r="DJ265" s="6"/>
      <c r="DK265" s="6"/>
      <c r="DL265" s="6"/>
      <c r="DM265" s="6"/>
      <c r="DN265" s="6"/>
      <c r="DO265" s="6"/>
      <c r="DP265" s="6"/>
      <c r="DQ265" s="6"/>
      <c r="DR265" s="6"/>
      <c r="DS265" s="6"/>
      <c r="DT265" s="6"/>
      <c r="DU265" s="6"/>
      <c r="DV265" s="6"/>
      <c r="DW265" s="6"/>
      <c r="DX265" s="6"/>
      <c r="DY265" s="6"/>
      <c r="DZ265" s="6"/>
      <c r="EA265" s="6"/>
      <c r="EB265" s="6"/>
      <c r="EC265" s="6"/>
      <c r="ED265" s="6"/>
      <c r="EE265" s="6"/>
      <c r="KK265" s="10"/>
      <c r="KL265" s="10"/>
      <c r="KM265" s="10"/>
      <c r="KN265" s="10"/>
      <c r="KO265" s="10"/>
      <c r="KP265" s="10"/>
      <c r="KQ265" s="10"/>
      <c r="KR265" s="10"/>
      <c r="KS265" s="10"/>
      <c r="KT265" s="10"/>
      <c r="KU265" s="10"/>
      <c r="KV265" s="10"/>
      <c r="KW265" s="10"/>
      <c r="KX265" s="10"/>
      <c r="KY265" s="10"/>
      <c r="KZ265" s="10"/>
      <c r="LA265" s="10"/>
      <c r="LB265" s="10"/>
      <c r="LC265" s="10"/>
      <c r="LD265" s="10"/>
    </row>
    <row r="266" spans="1:316" ht="15.75" customHeight="1" x14ac:dyDescent="0.25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6"/>
      <c r="BY266" s="6"/>
      <c r="BZ266" s="6"/>
      <c r="CA266" s="6"/>
      <c r="CB266" s="6"/>
      <c r="CC266" s="6"/>
      <c r="CD266" s="6"/>
      <c r="CE266" s="6"/>
      <c r="CF266" s="6"/>
      <c r="CG266" s="6"/>
      <c r="CH266" s="6"/>
      <c r="CI266" s="6"/>
      <c r="CJ266" s="6"/>
      <c r="CK266" s="6"/>
      <c r="CL266" s="6"/>
      <c r="CM266" s="6"/>
      <c r="CN266" s="6"/>
      <c r="CO266" s="6"/>
      <c r="CP266" s="6"/>
      <c r="CQ266" s="6"/>
      <c r="CR266" s="6"/>
      <c r="CS266" s="6"/>
      <c r="CT266" s="6"/>
      <c r="CU266" s="6"/>
      <c r="CV266" s="6"/>
      <c r="CW266" s="6"/>
      <c r="CX266" s="6"/>
      <c r="CY266" s="6"/>
      <c r="CZ266" s="6"/>
      <c r="DA266" s="6"/>
      <c r="DB266" s="6"/>
      <c r="DC266" s="6"/>
      <c r="DD266" s="6"/>
      <c r="DE266" s="6"/>
      <c r="DF266" s="6"/>
      <c r="DG266" s="6"/>
      <c r="DH266" s="6"/>
      <c r="DI266" s="6"/>
      <c r="DJ266" s="6"/>
      <c r="DK266" s="6"/>
      <c r="DL266" s="6"/>
      <c r="DM266" s="6"/>
      <c r="DN266" s="6"/>
      <c r="DO266" s="6"/>
      <c r="DP266" s="6"/>
      <c r="DQ266" s="6"/>
      <c r="DR266" s="6"/>
      <c r="DS266" s="6"/>
      <c r="DT266" s="6"/>
      <c r="DU266" s="6"/>
      <c r="DV266" s="6"/>
      <c r="DW266" s="6"/>
      <c r="DX266" s="6"/>
      <c r="DY266" s="6"/>
      <c r="DZ266" s="6"/>
      <c r="EA266" s="6"/>
      <c r="EB266" s="6"/>
      <c r="EC266" s="6"/>
      <c r="ED266" s="6"/>
      <c r="EE266" s="6"/>
      <c r="KK266" s="10"/>
      <c r="KL266" s="10"/>
      <c r="KM266" s="10"/>
      <c r="KN266" s="10"/>
      <c r="KO266" s="10"/>
      <c r="KP266" s="10"/>
      <c r="KQ266" s="10"/>
      <c r="KR266" s="10"/>
      <c r="KS266" s="10"/>
      <c r="KT266" s="10"/>
      <c r="KU266" s="10"/>
      <c r="KV266" s="10"/>
      <c r="KW266" s="10"/>
      <c r="KX266" s="10"/>
      <c r="KY266" s="10"/>
      <c r="KZ266" s="10"/>
      <c r="LA266" s="10"/>
      <c r="LB266" s="10"/>
      <c r="LC266" s="10"/>
      <c r="LD266" s="10"/>
    </row>
    <row r="267" spans="1:316" ht="15.75" customHeight="1" x14ac:dyDescent="0.25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6"/>
      <c r="BY267" s="6"/>
      <c r="BZ267" s="6"/>
      <c r="CA267" s="6"/>
      <c r="CB267" s="6"/>
      <c r="CC267" s="6"/>
      <c r="CD267" s="6"/>
      <c r="CE267" s="6"/>
      <c r="CF267" s="6"/>
      <c r="CG267" s="6"/>
      <c r="CH267" s="6"/>
      <c r="CI267" s="6"/>
      <c r="CJ267" s="6"/>
      <c r="CK267" s="6"/>
      <c r="CL267" s="6"/>
      <c r="CM267" s="6"/>
      <c r="CN267" s="6"/>
      <c r="CO267" s="6"/>
      <c r="CP267" s="6"/>
      <c r="CQ267" s="6"/>
      <c r="CR267" s="6"/>
      <c r="CS267" s="6"/>
      <c r="CT267" s="6"/>
      <c r="CU267" s="6"/>
      <c r="CV267" s="6"/>
      <c r="CW267" s="6"/>
      <c r="CX267" s="6"/>
      <c r="CY267" s="6"/>
      <c r="CZ267" s="6"/>
      <c r="DA267" s="6"/>
      <c r="DB267" s="6"/>
      <c r="DC267" s="6"/>
      <c r="DD267" s="6"/>
      <c r="DE267" s="6"/>
      <c r="DF267" s="6"/>
      <c r="DG267" s="6"/>
      <c r="DH267" s="6"/>
      <c r="DI267" s="6"/>
      <c r="DJ267" s="6"/>
      <c r="DK267" s="6"/>
      <c r="DL267" s="6"/>
      <c r="DM267" s="6"/>
      <c r="DN267" s="6"/>
      <c r="DO267" s="6"/>
      <c r="DP267" s="6"/>
      <c r="DQ267" s="6"/>
      <c r="DR267" s="6"/>
      <c r="DS267" s="6"/>
      <c r="DT267" s="6"/>
      <c r="DU267" s="6"/>
      <c r="DV267" s="6"/>
      <c r="DW267" s="6"/>
      <c r="DX267" s="6"/>
      <c r="DY267" s="6"/>
      <c r="DZ267" s="6"/>
      <c r="EA267" s="6"/>
      <c r="EB267" s="6"/>
      <c r="EC267" s="6"/>
      <c r="ED267" s="6"/>
      <c r="EE267" s="6"/>
      <c r="KK267" s="10"/>
      <c r="KL267" s="10"/>
      <c r="KM267" s="10"/>
      <c r="KN267" s="10"/>
      <c r="KO267" s="10"/>
      <c r="KP267" s="10"/>
      <c r="KQ267" s="10"/>
      <c r="KR267" s="10"/>
      <c r="KS267" s="10"/>
      <c r="KT267" s="10"/>
      <c r="KU267" s="10"/>
      <c r="KV267" s="10"/>
      <c r="KW267" s="10"/>
      <c r="KX267" s="10"/>
      <c r="KY267" s="10"/>
      <c r="KZ267" s="10"/>
      <c r="LA267" s="10"/>
      <c r="LB267" s="10"/>
      <c r="LC267" s="10"/>
      <c r="LD267" s="10"/>
    </row>
    <row r="268" spans="1:316" ht="15.75" customHeight="1" x14ac:dyDescent="0.25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6"/>
      <c r="BY268" s="6"/>
      <c r="BZ268" s="6"/>
      <c r="CA268" s="6"/>
      <c r="CB268" s="6"/>
      <c r="CC268" s="6"/>
      <c r="CD268" s="6"/>
      <c r="CE268" s="6"/>
      <c r="CF268" s="6"/>
      <c r="CG268" s="6"/>
      <c r="CH268" s="6"/>
      <c r="CI268" s="6"/>
      <c r="CJ268" s="6"/>
      <c r="CK268" s="6"/>
      <c r="CL268" s="6"/>
      <c r="CM268" s="6"/>
      <c r="CN268" s="6"/>
      <c r="CO268" s="6"/>
      <c r="CP268" s="6"/>
      <c r="CQ268" s="6"/>
      <c r="CR268" s="6"/>
      <c r="CS268" s="6"/>
      <c r="CT268" s="6"/>
      <c r="CU268" s="6"/>
      <c r="CV268" s="6"/>
      <c r="CW268" s="6"/>
      <c r="CX268" s="6"/>
      <c r="CY268" s="6"/>
      <c r="CZ268" s="6"/>
      <c r="DA268" s="6"/>
      <c r="DB268" s="6"/>
      <c r="DC268" s="6"/>
      <c r="DD268" s="6"/>
      <c r="DE268" s="6"/>
      <c r="DF268" s="6"/>
      <c r="DG268" s="6"/>
      <c r="DH268" s="6"/>
      <c r="DI268" s="6"/>
      <c r="DJ268" s="6"/>
      <c r="DK268" s="6"/>
      <c r="DL268" s="6"/>
      <c r="DM268" s="6"/>
      <c r="DN268" s="6"/>
      <c r="DO268" s="6"/>
      <c r="DP268" s="6"/>
      <c r="DQ268" s="6"/>
      <c r="DR268" s="6"/>
      <c r="DS268" s="6"/>
      <c r="DT268" s="6"/>
      <c r="DU268" s="6"/>
      <c r="DV268" s="6"/>
      <c r="DW268" s="6"/>
      <c r="DX268" s="6"/>
      <c r="DY268" s="6"/>
      <c r="DZ268" s="6"/>
      <c r="EA268" s="6"/>
      <c r="EB268" s="6"/>
      <c r="EC268" s="6"/>
      <c r="ED268" s="6"/>
      <c r="EE268" s="6"/>
      <c r="KK268" s="10"/>
      <c r="KL268" s="10"/>
      <c r="KM268" s="10"/>
      <c r="KN268" s="10"/>
      <c r="KO268" s="10"/>
      <c r="KP268" s="10"/>
      <c r="KQ268" s="10"/>
      <c r="KR268" s="10"/>
      <c r="KS268" s="10"/>
      <c r="KT268" s="10"/>
      <c r="KU268" s="10"/>
      <c r="KV268" s="10"/>
      <c r="KW268" s="10"/>
      <c r="KX268" s="10"/>
      <c r="KY268" s="10"/>
      <c r="KZ268" s="10"/>
      <c r="LA268" s="10"/>
      <c r="LB268" s="10"/>
      <c r="LC268" s="10"/>
      <c r="LD268" s="10"/>
    </row>
    <row r="269" spans="1:316" ht="15.75" customHeight="1" x14ac:dyDescent="0.25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6"/>
      <c r="BY269" s="6"/>
      <c r="BZ269" s="6"/>
      <c r="CA269" s="6"/>
      <c r="CB269" s="6"/>
      <c r="CC269" s="6"/>
      <c r="CD269" s="6"/>
      <c r="CE269" s="6"/>
      <c r="CF269" s="6"/>
      <c r="CG269" s="6"/>
      <c r="CH269" s="6"/>
      <c r="CI269" s="6"/>
      <c r="CJ269" s="6"/>
      <c r="CK269" s="6"/>
      <c r="CL269" s="6"/>
      <c r="CM269" s="6"/>
      <c r="CN269" s="6"/>
      <c r="CO269" s="6"/>
      <c r="CP269" s="6"/>
      <c r="CQ269" s="6"/>
      <c r="CR269" s="6"/>
      <c r="CS269" s="6"/>
      <c r="CT269" s="6"/>
      <c r="CU269" s="6"/>
      <c r="CV269" s="6"/>
      <c r="CW269" s="6"/>
      <c r="CX269" s="6"/>
      <c r="CY269" s="6"/>
      <c r="CZ269" s="6"/>
      <c r="DA269" s="6"/>
      <c r="DB269" s="6"/>
      <c r="DC269" s="6"/>
      <c r="DD269" s="6"/>
      <c r="DE269" s="6"/>
      <c r="DF269" s="6"/>
      <c r="DG269" s="6"/>
      <c r="DH269" s="6"/>
      <c r="DI269" s="6"/>
      <c r="DJ269" s="6"/>
      <c r="DK269" s="6"/>
      <c r="DL269" s="6"/>
      <c r="DM269" s="6"/>
      <c r="DN269" s="6"/>
      <c r="DO269" s="6"/>
      <c r="DP269" s="6"/>
      <c r="DQ269" s="6"/>
      <c r="DR269" s="6"/>
      <c r="DS269" s="6"/>
      <c r="DT269" s="6"/>
      <c r="DU269" s="6"/>
      <c r="DV269" s="6"/>
      <c r="DW269" s="6"/>
      <c r="DX269" s="6"/>
      <c r="DY269" s="6"/>
      <c r="DZ269" s="6"/>
      <c r="EA269" s="6"/>
      <c r="EB269" s="6"/>
      <c r="EC269" s="6"/>
      <c r="ED269" s="6"/>
      <c r="EE269" s="6"/>
      <c r="KK269" s="10"/>
      <c r="KL269" s="10"/>
      <c r="KM269" s="10"/>
      <c r="KN269" s="10"/>
      <c r="KO269" s="10"/>
      <c r="KP269" s="10"/>
      <c r="KQ269" s="10"/>
      <c r="KR269" s="10"/>
      <c r="KS269" s="10"/>
      <c r="KT269" s="10"/>
      <c r="KU269" s="10"/>
      <c r="KV269" s="10"/>
      <c r="KW269" s="10"/>
      <c r="KX269" s="10"/>
      <c r="KY269" s="10"/>
      <c r="KZ269" s="10"/>
      <c r="LA269" s="10"/>
      <c r="LB269" s="10"/>
      <c r="LC269" s="10"/>
      <c r="LD269" s="10"/>
    </row>
    <row r="270" spans="1:316" ht="15.75" customHeight="1" x14ac:dyDescent="0.25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6"/>
      <c r="BY270" s="6"/>
      <c r="BZ270" s="6"/>
      <c r="CA270" s="6"/>
      <c r="CB270" s="6"/>
      <c r="CC270" s="6"/>
      <c r="CD270" s="6"/>
      <c r="CE270" s="6"/>
      <c r="CF270" s="6"/>
      <c r="CG270" s="6"/>
      <c r="CH270" s="6"/>
      <c r="CI270" s="6"/>
      <c r="CJ270" s="6"/>
      <c r="CK270" s="6"/>
      <c r="CL270" s="6"/>
      <c r="CM270" s="6"/>
      <c r="CN270" s="6"/>
      <c r="CO270" s="6"/>
      <c r="CP270" s="6"/>
      <c r="CQ270" s="6"/>
      <c r="CR270" s="6"/>
      <c r="CS270" s="6"/>
      <c r="CT270" s="6"/>
      <c r="CU270" s="6"/>
      <c r="CV270" s="6"/>
      <c r="CW270" s="6"/>
      <c r="CX270" s="6"/>
      <c r="CY270" s="6"/>
      <c r="CZ270" s="6"/>
      <c r="DA270" s="6"/>
      <c r="DB270" s="6"/>
      <c r="DC270" s="6"/>
      <c r="DD270" s="6"/>
      <c r="DE270" s="6"/>
      <c r="DF270" s="6"/>
      <c r="DG270" s="6"/>
      <c r="DH270" s="6"/>
      <c r="DI270" s="6"/>
      <c r="DJ270" s="6"/>
      <c r="DK270" s="6"/>
      <c r="DL270" s="6"/>
      <c r="DM270" s="6"/>
      <c r="DN270" s="6"/>
      <c r="DO270" s="6"/>
      <c r="DP270" s="6"/>
      <c r="DQ270" s="6"/>
      <c r="DR270" s="6"/>
      <c r="DS270" s="6"/>
      <c r="DT270" s="6"/>
      <c r="DU270" s="6"/>
      <c r="DV270" s="6"/>
      <c r="DW270" s="6"/>
      <c r="DX270" s="6"/>
      <c r="DY270" s="6"/>
      <c r="DZ270" s="6"/>
      <c r="EA270" s="6"/>
      <c r="EB270" s="6"/>
      <c r="EC270" s="6"/>
      <c r="ED270" s="6"/>
      <c r="EE270" s="6"/>
      <c r="KK270" s="10"/>
      <c r="KL270" s="10"/>
      <c r="KM270" s="10"/>
      <c r="KN270" s="10"/>
      <c r="KO270" s="10"/>
      <c r="KP270" s="10"/>
      <c r="KQ270" s="10"/>
      <c r="KR270" s="10"/>
      <c r="KS270" s="10"/>
      <c r="KT270" s="10"/>
      <c r="KU270" s="10"/>
      <c r="KV270" s="10"/>
      <c r="KW270" s="10"/>
      <c r="KX270" s="10"/>
      <c r="KY270" s="10"/>
      <c r="KZ270" s="10"/>
      <c r="LA270" s="10"/>
      <c r="LB270" s="10"/>
      <c r="LC270" s="10"/>
      <c r="LD270" s="10"/>
    </row>
    <row r="271" spans="1:316" ht="15.75" customHeight="1" x14ac:dyDescent="0.25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6"/>
      <c r="BY271" s="6"/>
      <c r="BZ271" s="6"/>
      <c r="CA271" s="6"/>
      <c r="CB271" s="6"/>
      <c r="CC271" s="6"/>
      <c r="CD271" s="6"/>
      <c r="CE271" s="6"/>
      <c r="CF271" s="6"/>
      <c r="CG271" s="6"/>
      <c r="CH271" s="6"/>
      <c r="CI271" s="6"/>
      <c r="CJ271" s="6"/>
      <c r="CK271" s="6"/>
      <c r="CL271" s="6"/>
      <c r="CM271" s="6"/>
      <c r="CN271" s="6"/>
      <c r="CO271" s="6"/>
      <c r="CP271" s="6"/>
      <c r="CQ271" s="6"/>
      <c r="CR271" s="6"/>
      <c r="CS271" s="6"/>
      <c r="CT271" s="6"/>
      <c r="CU271" s="6"/>
      <c r="CV271" s="6"/>
      <c r="CW271" s="6"/>
      <c r="CX271" s="6"/>
      <c r="CY271" s="6"/>
      <c r="CZ271" s="6"/>
      <c r="DA271" s="6"/>
      <c r="DB271" s="6"/>
      <c r="DC271" s="6"/>
      <c r="DD271" s="6"/>
      <c r="DE271" s="6"/>
      <c r="DF271" s="6"/>
      <c r="DG271" s="6"/>
      <c r="DH271" s="6"/>
      <c r="DI271" s="6"/>
      <c r="DJ271" s="6"/>
      <c r="DK271" s="6"/>
      <c r="DL271" s="6"/>
      <c r="DM271" s="6"/>
      <c r="DN271" s="6"/>
      <c r="DO271" s="6"/>
      <c r="DP271" s="6"/>
      <c r="DQ271" s="6"/>
      <c r="DR271" s="6"/>
      <c r="DS271" s="6"/>
      <c r="DT271" s="6"/>
      <c r="DU271" s="6"/>
      <c r="DV271" s="6"/>
      <c r="DW271" s="6"/>
      <c r="DX271" s="6"/>
      <c r="DY271" s="6"/>
      <c r="DZ271" s="6"/>
      <c r="EA271" s="6"/>
      <c r="EB271" s="6"/>
      <c r="EC271" s="6"/>
      <c r="ED271" s="6"/>
      <c r="EE271" s="6"/>
      <c r="KK271" s="10"/>
      <c r="KL271" s="10"/>
      <c r="KM271" s="10"/>
      <c r="KN271" s="10"/>
      <c r="KO271" s="10"/>
      <c r="KP271" s="10"/>
      <c r="KQ271" s="10"/>
      <c r="KR271" s="10"/>
      <c r="KS271" s="10"/>
      <c r="KT271" s="10"/>
      <c r="KU271" s="10"/>
      <c r="KV271" s="10"/>
      <c r="KW271" s="10"/>
      <c r="KX271" s="10"/>
      <c r="KY271" s="10"/>
      <c r="KZ271" s="10"/>
      <c r="LA271" s="10"/>
      <c r="LB271" s="10"/>
      <c r="LC271" s="10"/>
      <c r="LD271" s="10"/>
    </row>
    <row r="272" spans="1:316" ht="15.75" customHeight="1" x14ac:dyDescent="0.25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6"/>
      <c r="BY272" s="6"/>
      <c r="BZ272" s="6"/>
      <c r="CA272" s="6"/>
      <c r="CB272" s="6"/>
      <c r="CC272" s="6"/>
      <c r="CD272" s="6"/>
      <c r="CE272" s="6"/>
      <c r="CF272" s="6"/>
      <c r="CG272" s="6"/>
      <c r="CH272" s="6"/>
      <c r="CI272" s="6"/>
      <c r="CJ272" s="6"/>
      <c r="CK272" s="6"/>
      <c r="CL272" s="6"/>
      <c r="CM272" s="6"/>
      <c r="CN272" s="6"/>
      <c r="CO272" s="6"/>
      <c r="CP272" s="6"/>
      <c r="CQ272" s="6"/>
      <c r="CR272" s="6"/>
      <c r="CS272" s="6"/>
      <c r="CT272" s="6"/>
      <c r="CU272" s="6"/>
      <c r="CV272" s="6"/>
      <c r="CW272" s="6"/>
      <c r="CX272" s="6"/>
      <c r="CY272" s="6"/>
      <c r="CZ272" s="6"/>
      <c r="DA272" s="6"/>
      <c r="DB272" s="6"/>
      <c r="DC272" s="6"/>
      <c r="DD272" s="6"/>
      <c r="DE272" s="6"/>
      <c r="DF272" s="6"/>
      <c r="DG272" s="6"/>
      <c r="DH272" s="6"/>
      <c r="DI272" s="6"/>
      <c r="DJ272" s="6"/>
      <c r="DK272" s="6"/>
      <c r="DL272" s="6"/>
      <c r="DM272" s="6"/>
      <c r="DN272" s="6"/>
      <c r="DO272" s="6"/>
      <c r="DP272" s="6"/>
      <c r="DQ272" s="6"/>
      <c r="DR272" s="6"/>
      <c r="DS272" s="6"/>
      <c r="DT272" s="6"/>
      <c r="DU272" s="6"/>
      <c r="DV272" s="6"/>
      <c r="DW272" s="6"/>
      <c r="DX272" s="6"/>
      <c r="DY272" s="6"/>
      <c r="DZ272" s="6"/>
      <c r="EA272" s="6"/>
      <c r="EB272" s="6"/>
      <c r="EC272" s="6"/>
      <c r="ED272" s="6"/>
      <c r="EE272" s="6"/>
      <c r="KK272" s="10"/>
      <c r="KL272" s="10"/>
      <c r="KM272" s="10"/>
      <c r="KN272" s="10"/>
      <c r="KO272" s="10"/>
      <c r="KP272" s="10"/>
      <c r="KQ272" s="10"/>
      <c r="KR272" s="10"/>
      <c r="KS272" s="10"/>
      <c r="KT272" s="10"/>
      <c r="KU272" s="10"/>
      <c r="KV272" s="10"/>
      <c r="KW272" s="10"/>
      <c r="KX272" s="10"/>
      <c r="KY272" s="10"/>
      <c r="KZ272" s="10"/>
      <c r="LA272" s="10"/>
      <c r="LB272" s="10"/>
      <c r="LC272" s="10"/>
      <c r="LD272" s="10"/>
    </row>
    <row r="273" spans="1:316" ht="15.75" customHeight="1" x14ac:dyDescent="0.25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6"/>
      <c r="BY273" s="6"/>
      <c r="BZ273" s="6"/>
      <c r="CA273" s="6"/>
      <c r="CB273" s="6"/>
      <c r="CC273" s="6"/>
      <c r="CD273" s="6"/>
      <c r="CE273" s="6"/>
      <c r="CF273" s="6"/>
      <c r="CG273" s="6"/>
      <c r="CH273" s="6"/>
      <c r="CI273" s="6"/>
      <c r="CJ273" s="6"/>
      <c r="CK273" s="6"/>
      <c r="CL273" s="6"/>
      <c r="CM273" s="6"/>
      <c r="CN273" s="6"/>
      <c r="CO273" s="6"/>
      <c r="CP273" s="6"/>
      <c r="CQ273" s="6"/>
      <c r="CR273" s="6"/>
      <c r="CS273" s="6"/>
      <c r="CT273" s="6"/>
      <c r="CU273" s="6"/>
      <c r="CV273" s="6"/>
      <c r="CW273" s="6"/>
      <c r="CX273" s="6"/>
      <c r="CY273" s="6"/>
      <c r="CZ273" s="6"/>
      <c r="DA273" s="6"/>
      <c r="DB273" s="6"/>
      <c r="DC273" s="6"/>
      <c r="DD273" s="6"/>
      <c r="DE273" s="6"/>
      <c r="DF273" s="6"/>
      <c r="DG273" s="6"/>
      <c r="DH273" s="6"/>
      <c r="DI273" s="6"/>
      <c r="DJ273" s="6"/>
      <c r="DK273" s="6"/>
      <c r="DL273" s="6"/>
      <c r="DM273" s="6"/>
      <c r="DN273" s="6"/>
      <c r="DO273" s="6"/>
      <c r="DP273" s="6"/>
      <c r="DQ273" s="6"/>
      <c r="DR273" s="6"/>
      <c r="DS273" s="6"/>
      <c r="DT273" s="6"/>
      <c r="DU273" s="6"/>
      <c r="DV273" s="6"/>
      <c r="DW273" s="6"/>
      <c r="DX273" s="6"/>
      <c r="DY273" s="6"/>
      <c r="DZ273" s="6"/>
      <c r="EA273" s="6"/>
      <c r="EB273" s="6"/>
      <c r="EC273" s="6"/>
      <c r="ED273" s="6"/>
      <c r="EE273" s="6"/>
      <c r="KK273" s="10"/>
      <c r="KL273" s="10"/>
      <c r="KM273" s="10"/>
      <c r="KN273" s="10"/>
      <c r="KO273" s="10"/>
      <c r="KP273" s="10"/>
      <c r="KQ273" s="10"/>
      <c r="KR273" s="10"/>
      <c r="KS273" s="10"/>
      <c r="KT273" s="10"/>
      <c r="KU273" s="10"/>
      <c r="KV273" s="10"/>
      <c r="KW273" s="10"/>
      <c r="KX273" s="10"/>
      <c r="KY273" s="10"/>
      <c r="KZ273" s="10"/>
      <c r="LA273" s="10"/>
      <c r="LB273" s="10"/>
      <c r="LC273" s="10"/>
      <c r="LD273" s="10"/>
    </row>
    <row r="274" spans="1:316" ht="15.75" customHeight="1" x14ac:dyDescent="0.25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6"/>
      <c r="BY274" s="6"/>
      <c r="BZ274" s="6"/>
      <c r="CA274" s="6"/>
      <c r="CB274" s="6"/>
      <c r="CC274" s="6"/>
      <c r="CD274" s="6"/>
      <c r="CE274" s="6"/>
      <c r="CF274" s="6"/>
      <c r="CG274" s="6"/>
      <c r="CH274" s="6"/>
      <c r="CI274" s="6"/>
      <c r="CJ274" s="6"/>
      <c r="CK274" s="6"/>
      <c r="CL274" s="6"/>
      <c r="CM274" s="6"/>
      <c r="CN274" s="6"/>
      <c r="CO274" s="6"/>
      <c r="CP274" s="6"/>
      <c r="CQ274" s="6"/>
      <c r="CR274" s="6"/>
      <c r="CS274" s="6"/>
      <c r="CT274" s="6"/>
      <c r="CU274" s="6"/>
      <c r="CV274" s="6"/>
      <c r="CW274" s="6"/>
      <c r="CX274" s="6"/>
      <c r="CY274" s="6"/>
      <c r="CZ274" s="6"/>
      <c r="DA274" s="6"/>
      <c r="DB274" s="6"/>
      <c r="DC274" s="6"/>
      <c r="DD274" s="6"/>
      <c r="DE274" s="6"/>
      <c r="DF274" s="6"/>
      <c r="DG274" s="6"/>
      <c r="DH274" s="6"/>
      <c r="DI274" s="6"/>
      <c r="DJ274" s="6"/>
      <c r="DK274" s="6"/>
      <c r="DL274" s="6"/>
      <c r="DM274" s="6"/>
      <c r="DN274" s="6"/>
      <c r="DO274" s="6"/>
      <c r="DP274" s="6"/>
      <c r="DQ274" s="6"/>
      <c r="DR274" s="6"/>
      <c r="DS274" s="6"/>
      <c r="DT274" s="6"/>
      <c r="DU274" s="6"/>
      <c r="DV274" s="6"/>
      <c r="DW274" s="6"/>
      <c r="DX274" s="6"/>
      <c r="DY274" s="6"/>
      <c r="DZ274" s="6"/>
      <c r="EA274" s="6"/>
      <c r="EB274" s="6"/>
      <c r="EC274" s="6"/>
      <c r="ED274" s="6"/>
      <c r="EE274" s="6"/>
      <c r="KK274" s="10"/>
      <c r="KL274" s="10"/>
      <c r="KM274" s="10"/>
      <c r="KN274" s="10"/>
      <c r="KO274" s="10"/>
      <c r="KP274" s="10"/>
      <c r="KQ274" s="10"/>
      <c r="KR274" s="10"/>
      <c r="KS274" s="10"/>
      <c r="KT274" s="10"/>
      <c r="KU274" s="10"/>
      <c r="KV274" s="10"/>
      <c r="KW274" s="10"/>
      <c r="KX274" s="10"/>
      <c r="KY274" s="10"/>
      <c r="KZ274" s="10"/>
      <c r="LA274" s="10"/>
      <c r="LB274" s="10"/>
      <c r="LC274" s="10"/>
      <c r="LD274" s="10"/>
    </row>
    <row r="275" spans="1:316" ht="15.75" customHeight="1" x14ac:dyDescent="0.25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6"/>
      <c r="BY275" s="6"/>
      <c r="BZ275" s="6"/>
      <c r="CA275" s="6"/>
      <c r="CB275" s="6"/>
      <c r="CC275" s="6"/>
      <c r="CD275" s="6"/>
      <c r="CE275" s="6"/>
      <c r="CF275" s="6"/>
      <c r="CG275" s="6"/>
      <c r="CH275" s="6"/>
      <c r="CI275" s="6"/>
      <c r="CJ275" s="6"/>
      <c r="CK275" s="6"/>
      <c r="CL275" s="6"/>
      <c r="CM275" s="6"/>
      <c r="CN275" s="6"/>
      <c r="CO275" s="6"/>
      <c r="CP275" s="6"/>
      <c r="CQ275" s="6"/>
      <c r="CR275" s="6"/>
      <c r="CS275" s="6"/>
      <c r="CT275" s="6"/>
      <c r="CU275" s="6"/>
      <c r="CV275" s="6"/>
      <c r="CW275" s="6"/>
      <c r="CX275" s="6"/>
      <c r="CY275" s="6"/>
      <c r="CZ275" s="6"/>
      <c r="DA275" s="6"/>
      <c r="DB275" s="6"/>
      <c r="DC275" s="6"/>
      <c r="DD275" s="6"/>
      <c r="DE275" s="6"/>
      <c r="DF275" s="6"/>
      <c r="DG275" s="6"/>
      <c r="DH275" s="6"/>
      <c r="DI275" s="6"/>
      <c r="DJ275" s="6"/>
      <c r="DK275" s="6"/>
      <c r="DL275" s="6"/>
      <c r="DM275" s="6"/>
      <c r="DN275" s="6"/>
      <c r="DO275" s="6"/>
      <c r="DP275" s="6"/>
      <c r="DQ275" s="6"/>
      <c r="DR275" s="6"/>
      <c r="DS275" s="6"/>
      <c r="DT275" s="6"/>
      <c r="DU275" s="6"/>
      <c r="DV275" s="6"/>
      <c r="DW275" s="6"/>
      <c r="DX275" s="6"/>
      <c r="DY275" s="6"/>
      <c r="DZ275" s="6"/>
      <c r="EA275" s="6"/>
      <c r="EB275" s="6"/>
      <c r="EC275" s="6"/>
      <c r="ED275" s="6"/>
      <c r="EE275" s="6"/>
      <c r="KK275" s="10"/>
      <c r="KL275" s="10"/>
      <c r="KM275" s="10"/>
      <c r="KN275" s="10"/>
      <c r="KO275" s="10"/>
      <c r="KP275" s="10"/>
      <c r="KQ275" s="10"/>
      <c r="KR275" s="10"/>
      <c r="KS275" s="10"/>
      <c r="KT275" s="10"/>
      <c r="KU275" s="10"/>
      <c r="KV275" s="10"/>
      <c r="KW275" s="10"/>
      <c r="KX275" s="10"/>
      <c r="KY275" s="10"/>
      <c r="KZ275" s="10"/>
      <c r="LA275" s="10"/>
      <c r="LB275" s="10"/>
      <c r="LC275" s="10"/>
      <c r="LD275" s="10"/>
    </row>
    <row r="276" spans="1:316" ht="15.75" customHeight="1" x14ac:dyDescent="0.25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6"/>
      <c r="BY276" s="6"/>
      <c r="BZ276" s="6"/>
      <c r="CA276" s="6"/>
      <c r="CB276" s="6"/>
      <c r="CC276" s="6"/>
      <c r="CD276" s="6"/>
      <c r="CE276" s="6"/>
      <c r="CF276" s="6"/>
      <c r="CG276" s="6"/>
      <c r="CH276" s="6"/>
      <c r="CI276" s="6"/>
      <c r="CJ276" s="6"/>
      <c r="CK276" s="6"/>
      <c r="CL276" s="6"/>
      <c r="CM276" s="6"/>
      <c r="CN276" s="6"/>
      <c r="CO276" s="6"/>
      <c r="CP276" s="6"/>
      <c r="CQ276" s="6"/>
      <c r="CR276" s="6"/>
      <c r="CS276" s="6"/>
      <c r="CT276" s="6"/>
      <c r="CU276" s="6"/>
      <c r="CV276" s="6"/>
      <c r="CW276" s="6"/>
      <c r="CX276" s="6"/>
      <c r="CY276" s="6"/>
      <c r="CZ276" s="6"/>
      <c r="DA276" s="6"/>
      <c r="DB276" s="6"/>
      <c r="DC276" s="6"/>
      <c r="DD276" s="6"/>
      <c r="DE276" s="6"/>
      <c r="DF276" s="6"/>
      <c r="DG276" s="6"/>
      <c r="DH276" s="6"/>
      <c r="DI276" s="6"/>
      <c r="DJ276" s="6"/>
      <c r="DK276" s="6"/>
      <c r="DL276" s="6"/>
      <c r="DM276" s="6"/>
      <c r="DN276" s="6"/>
      <c r="DO276" s="6"/>
      <c r="DP276" s="6"/>
      <c r="DQ276" s="6"/>
      <c r="DR276" s="6"/>
      <c r="DS276" s="6"/>
      <c r="DT276" s="6"/>
      <c r="DU276" s="6"/>
      <c r="DV276" s="6"/>
      <c r="DW276" s="6"/>
      <c r="DX276" s="6"/>
      <c r="DY276" s="6"/>
      <c r="DZ276" s="6"/>
      <c r="EA276" s="6"/>
      <c r="EB276" s="6"/>
      <c r="EC276" s="6"/>
      <c r="ED276" s="6"/>
      <c r="EE276" s="6"/>
      <c r="KK276" s="10"/>
      <c r="KL276" s="10"/>
      <c r="KM276" s="10"/>
      <c r="KN276" s="10"/>
      <c r="KO276" s="10"/>
      <c r="KP276" s="10"/>
      <c r="KQ276" s="10"/>
      <c r="KR276" s="10"/>
      <c r="KS276" s="10"/>
      <c r="KT276" s="10"/>
      <c r="KU276" s="10"/>
      <c r="KV276" s="10"/>
      <c r="KW276" s="10"/>
      <c r="KX276" s="10"/>
      <c r="KY276" s="10"/>
      <c r="KZ276" s="10"/>
      <c r="LA276" s="10"/>
      <c r="LB276" s="10"/>
      <c r="LC276" s="10"/>
      <c r="LD276" s="10"/>
    </row>
    <row r="277" spans="1:316" ht="15.75" customHeight="1" x14ac:dyDescent="0.25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6"/>
      <c r="BY277" s="6"/>
      <c r="BZ277" s="6"/>
      <c r="CA277" s="6"/>
      <c r="CB277" s="6"/>
      <c r="CC277" s="6"/>
      <c r="CD277" s="6"/>
      <c r="CE277" s="6"/>
      <c r="CF277" s="6"/>
      <c r="CG277" s="6"/>
      <c r="CH277" s="6"/>
      <c r="CI277" s="6"/>
      <c r="CJ277" s="6"/>
      <c r="CK277" s="6"/>
      <c r="CL277" s="6"/>
      <c r="CM277" s="6"/>
      <c r="CN277" s="6"/>
      <c r="CO277" s="6"/>
      <c r="CP277" s="6"/>
      <c r="CQ277" s="6"/>
      <c r="CR277" s="6"/>
      <c r="CS277" s="6"/>
      <c r="CT277" s="6"/>
      <c r="CU277" s="6"/>
      <c r="CV277" s="6"/>
      <c r="CW277" s="6"/>
      <c r="CX277" s="6"/>
      <c r="CY277" s="6"/>
      <c r="CZ277" s="6"/>
      <c r="DA277" s="6"/>
      <c r="DB277" s="6"/>
      <c r="DC277" s="6"/>
      <c r="DD277" s="6"/>
      <c r="DE277" s="6"/>
      <c r="DF277" s="6"/>
      <c r="DG277" s="6"/>
      <c r="DH277" s="6"/>
      <c r="DI277" s="6"/>
      <c r="DJ277" s="6"/>
      <c r="DK277" s="6"/>
      <c r="DL277" s="6"/>
      <c r="DM277" s="6"/>
      <c r="DN277" s="6"/>
      <c r="DO277" s="6"/>
      <c r="DP277" s="6"/>
      <c r="DQ277" s="6"/>
      <c r="DR277" s="6"/>
      <c r="DS277" s="6"/>
      <c r="DT277" s="6"/>
      <c r="DU277" s="6"/>
      <c r="DV277" s="6"/>
      <c r="DW277" s="6"/>
      <c r="DX277" s="6"/>
      <c r="DY277" s="6"/>
      <c r="DZ277" s="6"/>
      <c r="EA277" s="6"/>
      <c r="EB277" s="6"/>
      <c r="EC277" s="6"/>
      <c r="ED277" s="6"/>
      <c r="EE277" s="6"/>
      <c r="KK277" s="10"/>
      <c r="KL277" s="10"/>
      <c r="KM277" s="10"/>
      <c r="KN277" s="10"/>
      <c r="KO277" s="10"/>
      <c r="KP277" s="10"/>
      <c r="KQ277" s="10"/>
      <c r="KR277" s="10"/>
      <c r="KS277" s="10"/>
      <c r="KT277" s="10"/>
      <c r="KU277" s="10"/>
      <c r="KV277" s="10"/>
      <c r="KW277" s="10"/>
      <c r="KX277" s="10"/>
      <c r="KY277" s="10"/>
      <c r="KZ277" s="10"/>
      <c r="LA277" s="10"/>
      <c r="LB277" s="10"/>
      <c r="LC277" s="10"/>
      <c r="LD277" s="10"/>
    </row>
    <row r="278" spans="1:316" ht="15.75" customHeight="1" x14ac:dyDescent="0.25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6"/>
      <c r="BY278" s="6"/>
      <c r="BZ278" s="6"/>
      <c r="CA278" s="6"/>
      <c r="CB278" s="6"/>
      <c r="CC278" s="6"/>
      <c r="CD278" s="6"/>
      <c r="CE278" s="6"/>
      <c r="CF278" s="6"/>
      <c r="CG278" s="6"/>
      <c r="CH278" s="6"/>
      <c r="CI278" s="6"/>
      <c r="CJ278" s="6"/>
      <c r="CK278" s="6"/>
      <c r="CL278" s="6"/>
      <c r="CM278" s="6"/>
      <c r="CN278" s="6"/>
      <c r="CO278" s="6"/>
      <c r="CP278" s="6"/>
      <c r="CQ278" s="6"/>
      <c r="CR278" s="6"/>
      <c r="CS278" s="6"/>
      <c r="CT278" s="6"/>
      <c r="CU278" s="6"/>
      <c r="CV278" s="6"/>
      <c r="CW278" s="6"/>
      <c r="CX278" s="6"/>
      <c r="CY278" s="6"/>
      <c r="CZ278" s="6"/>
      <c r="DA278" s="6"/>
      <c r="DB278" s="6"/>
      <c r="DC278" s="6"/>
      <c r="DD278" s="6"/>
      <c r="DE278" s="6"/>
      <c r="DF278" s="6"/>
      <c r="DG278" s="6"/>
      <c r="DH278" s="6"/>
      <c r="DI278" s="6"/>
      <c r="DJ278" s="6"/>
      <c r="DK278" s="6"/>
      <c r="DL278" s="6"/>
      <c r="DM278" s="6"/>
      <c r="DN278" s="6"/>
      <c r="DO278" s="6"/>
      <c r="DP278" s="6"/>
      <c r="DQ278" s="6"/>
      <c r="DR278" s="6"/>
      <c r="DS278" s="6"/>
      <c r="DT278" s="6"/>
      <c r="DU278" s="6"/>
      <c r="DV278" s="6"/>
      <c r="DW278" s="6"/>
      <c r="DX278" s="6"/>
      <c r="DY278" s="6"/>
      <c r="DZ278" s="6"/>
      <c r="EA278" s="6"/>
      <c r="EB278" s="6"/>
      <c r="EC278" s="6"/>
      <c r="ED278" s="6"/>
      <c r="EE278" s="6"/>
      <c r="KK278" s="10"/>
      <c r="KL278" s="10"/>
      <c r="KM278" s="10"/>
      <c r="KN278" s="10"/>
      <c r="KO278" s="10"/>
      <c r="KP278" s="10"/>
      <c r="KQ278" s="10"/>
      <c r="KR278" s="10"/>
      <c r="KS278" s="10"/>
      <c r="KT278" s="10"/>
      <c r="KU278" s="10"/>
      <c r="KV278" s="10"/>
      <c r="KW278" s="10"/>
      <c r="KX278" s="10"/>
      <c r="KY278" s="10"/>
      <c r="KZ278" s="10"/>
      <c r="LA278" s="10"/>
      <c r="LB278" s="10"/>
      <c r="LC278" s="10"/>
      <c r="LD278" s="10"/>
    </row>
    <row r="279" spans="1:316" ht="15.75" customHeight="1" x14ac:dyDescent="0.25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6"/>
      <c r="BY279" s="6"/>
      <c r="BZ279" s="6"/>
      <c r="CA279" s="6"/>
      <c r="CB279" s="6"/>
      <c r="CC279" s="6"/>
      <c r="CD279" s="6"/>
      <c r="CE279" s="6"/>
      <c r="CF279" s="6"/>
      <c r="CG279" s="6"/>
      <c r="CH279" s="6"/>
      <c r="CI279" s="6"/>
      <c r="CJ279" s="6"/>
      <c r="CK279" s="6"/>
      <c r="CL279" s="6"/>
      <c r="CM279" s="6"/>
      <c r="CN279" s="6"/>
      <c r="CO279" s="6"/>
      <c r="CP279" s="6"/>
      <c r="CQ279" s="6"/>
      <c r="CR279" s="6"/>
      <c r="CS279" s="6"/>
      <c r="CT279" s="6"/>
      <c r="CU279" s="6"/>
      <c r="CV279" s="6"/>
      <c r="CW279" s="6"/>
      <c r="CX279" s="6"/>
      <c r="CY279" s="6"/>
      <c r="CZ279" s="6"/>
      <c r="DA279" s="6"/>
      <c r="DB279" s="6"/>
      <c r="DC279" s="6"/>
      <c r="DD279" s="6"/>
      <c r="DE279" s="6"/>
      <c r="DF279" s="6"/>
      <c r="DG279" s="6"/>
      <c r="DH279" s="6"/>
      <c r="DI279" s="6"/>
      <c r="DJ279" s="6"/>
      <c r="DK279" s="6"/>
      <c r="DL279" s="6"/>
      <c r="DM279" s="6"/>
      <c r="DN279" s="6"/>
      <c r="DO279" s="6"/>
      <c r="DP279" s="6"/>
      <c r="DQ279" s="6"/>
      <c r="DR279" s="6"/>
      <c r="DS279" s="6"/>
      <c r="DT279" s="6"/>
      <c r="DU279" s="6"/>
      <c r="DV279" s="6"/>
      <c r="DW279" s="6"/>
      <c r="DX279" s="6"/>
      <c r="DY279" s="6"/>
      <c r="DZ279" s="6"/>
      <c r="EA279" s="6"/>
      <c r="EB279" s="6"/>
      <c r="EC279" s="6"/>
      <c r="ED279" s="6"/>
      <c r="EE279" s="6"/>
      <c r="KK279" s="10"/>
      <c r="KL279" s="10"/>
      <c r="KM279" s="10"/>
      <c r="KN279" s="10"/>
      <c r="KO279" s="10"/>
      <c r="KP279" s="10"/>
      <c r="KQ279" s="10"/>
      <c r="KR279" s="10"/>
      <c r="KS279" s="10"/>
      <c r="KT279" s="10"/>
      <c r="KU279" s="10"/>
      <c r="KV279" s="10"/>
      <c r="KW279" s="10"/>
      <c r="KX279" s="10"/>
      <c r="KY279" s="10"/>
      <c r="KZ279" s="10"/>
      <c r="LA279" s="10"/>
      <c r="LB279" s="10"/>
      <c r="LC279" s="10"/>
      <c r="LD279" s="10"/>
    </row>
    <row r="280" spans="1:316" ht="15.75" customHeight="1" x14ac:dyDescent="0.25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6"/>
      <c r="BY280" s="6"/>
      <c r="BZ280" s="6"/>
      <c r="CA280" s="6"/>
      <c r="CB280" s="6"/>
      <c r="CC280" s="6"/>
      <c r="CD280" s="6"/>
      <c r="CE280" s="6"/>
      <c r="CF280" s="6"/>
      <c r="CG280" s="6"/>
      <c r="CH280" s="6"/>
      <c r="CI280" s="6"/>
      <c r="CJ280" s="6"/>
      <c r="CK280" s="6"/>
      <c r="CL280" s="6"/>
      <c r="CM280" s="6"/>
      <c r="CN280" s="6"/>
      <c r="CO280" s="6"/>
      <c r="CP280" s="6"/>
      <c r="CQ280" s="6"/>
      <c r="CR280" s="6"/>
      <c r="CS280" s="6"/>
      <c r="CT280" s="6"/>
      <c r="CU280" s="6"/>
      <c r="CV280" s="6"/>
      <c r="CW280" s="6"/>
      <c r="CX280" s="6"/>
      <c r="CY280" s="6"/>
      <c r="CZ280" s="6"/>
      <c r="DA280" s="6"/>
      <c r="DB280" s="6"/>
      <c r="DC280" s="6"/>
      <c r="DD280" s="6"/>
      <c r="DE280" s="6"/>
      <c r="DF280" s="6"/>
      <c r="DG280" s="6"/>
      <c r="DH280" s="6"/>
      <c r="DI280" s="6"/>
      <c r="DJ280" s="6"/>
      <c r="DK280" s="6"/>
      <c r="DL280" s="6"/>
      <c r="DM280" s="6"/>
      <c r="DN280" s="6"/>
      <c r="DO280" s="6"/>
      <c r="DP280" s="6"/>
      <c r="DQ280" s="6"/>
      <c r="DR280" s="6"/>
      <c r="DS280" s="6"/>
      <c r="DT280" s="6"/>
      <c r="DU280" s="6"/>
      <c r="DV280" s="6"/>
      <c r="DW280" s="6"/>
      <c r="DX280" s="6"/>
      <c r="DY280" s="6"/>
      <c r="DZ280" s="6"/>
      <c r="EA280" s="6"/>
      <c r="EB280" s="6"/>
      <c r="EC280" s="6"/>
      <c r="ED280" s="6"/>
      <c r="EE280" s="6"/>
      <c r="KK280" s="10"/>
      <c r="KL280" s="10"/>
      <c r="KM280" s="10"/>
      <c r="KN280" s="10"/>
      <c r="KO280" s="10"/>
      <c r="KP280" s="10"/>
      <c r="KQ280" s="10"/>
      <c r="KR280" s="10"/>
      <c r="KS280" s="10"/>
      <c r="KT280" s="10"/>
      <c r="KU280" s="10"/>
      <c r="KV280" s="10"/>
      <c r="KW280" s="10"/>
      <c r="KX280" s="10"/>
      <c r="KY280" s="10"/>
      <c r="KZ280" s="10"/>
      <c r="LA280" s="10"/>
      <c r="LB280" s="10"/>
      <c r="LC280" s="10"/>
      <c r="LD280" s="10"/>
    </row>
    <row r="281" spans="1:316" ht="15.75" customHeight="1" x14ac:dyDescent="0.25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6"/>
      <c r="BY281" s="6"/>
      <c r="BZ281" s="6"/>
      <c r="CA281" s="6"/>
      <c r="CB281" s="6"/>
      <c r="CC281" s="6"/>
      <c r="CD281" s="6"/>
      <c r="CE281" s="6"/>
      <c r="CF281" s="6"/>
      <c r="CG281" s="6"/>
      <c r="CH281" s="6"/>
      <c r="CI281" s="6"/>
      <c r="CJ281" s="6"/>
      <c r="CK281" s="6"/>
      <c r="CL281" s="6"/>
      <c r="CM281" s="6"/>
      <c r="CN281" s="6"/>
      <c r="CO281" s="6"/>
      <c r="CP281" s="6"/>
      <c r="CQ281" s="6"/>
      <c r="CR281" s="6"/>
      <c r="CS281" s="6"/>
      <c r="CT281" s="6"/>
      <c r="CU281" s="6"/>
      <c r="CV281" s="6"/>
      <c r="CW281" s="6"/>
      <c r="CX281" s="6"/>
      <c r="CY281" s="6"/>
      <c r="CZ281" s="6"/>
      <c r="DA281" s="6"/>
      <c r="DB281" s="6"/>
      <c r="DC281" s="6"/>
      <c r="DD281" s="6"/>
      <c r="DE281" s="6"/>
      <c r="DF281" s="6"/>
      <c r="DG281" s="6"/>
      <c r="DH281" s="6"/>
      <c r="DI281" s="6"/>
      <c r="DJ281" s="6"/>
      <c r="DK281" s="6"/>
      <c r="DL281" s="6"/>
      <c r="DM281" s="6"/>
      <c r="DN281" s="6"/>
      <c r="DO281" s="6"/>
      <c r="DP281" s="6"/>
      <c r="DQ281" s="6"/>
      <c r="DR281" s="6"/>
      <c r="DS281" s="6"/>
      <c r="DT281" s="6"/>
      <c r="DU281" s="6"/>
      <c r="DV281" s="6"/>
      <c r="DW281" s="6"/>
      <c r="DX281" s="6"/>
      <c r="DY281" s="6"/>
      <c r="DZ281" s="6"/>
      <c r="EA281" s="6"/>
      <c r="EB281" s="6"/>
      <c r="EC281" s="6"/>
      <c r="ED281" s="6"/>
      <c r="EE281" s="6"/>
      <c r="KK281" s="10"/>
      <c r="KL281" s="10"/>
      <c r="KM281" s="10"/>
      <c r="KN281" s="10"/>
      <c r="KO281" s="10"/>
      <c r="KP281" s="10"/>
      <c r="KQ281" s="10"/>
      <c r="KR281" s="10"/>
      <c r="KS281" s="10"/>
      <c r="KT281" s="10"/>
      <c r="KU281" s="10"/>
      <c r="KV281" s="10"/>
      <c r="KW281" s="10"/>
      <c r="KX281" s="10"/>
      <c r="KY281" s="10"/>
      <c r="KZ281" s="10"/>
      <c r="LA281" s="10"/>
      <c r="LB281" s="10"/>
      <c r="LC281" s="10"/>
      <c r="LD281" s="10"/>
    </row>
    <row r="282" spans="1:316" ht="15.75" customHeight="1" x14ac:dyDescent="0.25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6"/>
      <c r="BY282" s="6"/>
      <c r="BZ282" s="6"/>
      <c r="CA282" s="6"/>
      <c r="CB282" s="6"/>
      <c r="CC282" s="6"/>
      <c r="CD282" s="6"/>
      <c r="CE282" s="6"/>
      <c r="CF282" s="6"/>
      <c r="CG282" s="6"/>
      <c r="CH282" s="6"/>
      <c r="CI282" s="6"/>
      <c r="CJ282" s="6"/>
      <c r="CK282" s="6"/>
      <c r="CL282" s="6"/>
      <c r="CM282" s="6"/>
      <c r="CN282" s="6"/>
      <c r="CO282" s="6"/>
      <c r="CP282" s="6"/>
      <c r="CQ282" s="6"/>
      <c r="CR282" s="6"/>
      <c r="CS282" s="6"/>
      <c r="CT282" s="6"/>
      <c r="CU282" s="6"/>
      <c r="CV282" s="6"/>
      <c r="CW282" s="6"/>
      <c r="CX282" s="6"/>
      <c r="CY282" s="6"/>
      <c r="CZ282" s="6"/>
      <c r="DA282" s="6"/>
      <c r="DB282" s="6"/>
      <c r="DC282" s="6"/>
      <c r="DD282" s="6"/>
      <c r="DE282" s="6"/>
      <c r="DF282" s="6"/>
      <c r="DG282" s="6"/>
      <c r="DH282" s="6"/>
      <c r="DI282" s="6"/>
      <c r="DJ282" s="6"/>
      <c r="DK282" s="6"/>
      <c r="DL282" s="6"/>
      <c r="DM282" s="6"/>
      <c r="DN282" s="6"/>
      <c r="DO282" s="6"/>
      <c r="DP282" s="6"/>
      <c r="DQ282" s="6"/>
      <c r="DR282" s="6"/>
      <c r="DS282" s="6"/>
      <c r="DT282" s="6"/>
      <c r="DU282" s="6"/>
      <c r="DV282" s="6"/>
      <c r="DW282" s="6"/>
      <c r="DX282" s="6"/>
      <c r="DY282" s="6"/>
      <c r="DZ282" s="6"/>
      <c r="EA282" s="6"/>
      <c r="EB282" s="6"/>
      <c r="EC282" s="6"/>
      <c r="ED282" s="6"/>
      <c r="EE282" s="6"/>
      <c r="KK282" s="10"/>
      <c r="KL282" s="10"/>
      <c r="KM282" s="10"/>
      <c r="KN282" s="10"/>
      <c r="KO282" s="10"/>
      <c r="KP282" s="10"/>
      <c r="KQ282" s="10"/>
      <c r="KR282" s="10"/>
      <c r="KS282" s="10"/>
      <c r="KT282" s="10"/>
      <c r="KU282" s="10"/>
      <c r="KV282" s="10"/>
      <c r="KW282" s="10"/>
      <c r="KX282" s="10"/>
      <c r="KY282" s="10"/>
      <c r="KZ282" s="10"/>
      <c r="LA282" s="10"/>
      <c r="LB282" s="10"/>
      <c r="LC282" s="10"/>
      <c r="LD282" s="10"/>
    </row>
    <row r="283" spans="1:316" ht="15.75" customHeight="1" x14ac:dyDescent="0.25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6"/>
      <c r="BY283" s="6"/>
      <c r="BZ283" s="6"/>
      <c r="CA283" s="6"/>
      <c r="CB283" s="6"/>
      <c r="CC283" s="6"/>
      <c r="CD283" s="6"/>
      <c r="CE283" s="6"/>
      <c r="CF283" s="6"/>
      <c r="CG283" s="6"/>
      <c r="CH283" s="6"/>
      <c r="CI283" s="6"/>
      <c r="CJ283" s="6"/>
      <c r="CK283" s="6"/>
      <c r="CL283" s="6"/>
      <c r="CM283" s="6"/>
      <c r="CN283" s="6"/>
      <c r="CO283" s="6"/>
      <c r="CP283" s="6"/>
      <c r="CQ283" s="6"/>
      <c r="CR283" s="6"/>
      <c r="CS283" s="6"/>
      <c r="CT283" s="6"/>
      <c r="CU283" s="6"/>
      <c r="CV283" s="6"/>
      <c r="CW283" s="6"/>
      <c r="CX283" s="6"/>
      <c r="CY283" s="6"/>
      <c r="CZ283" s="6"/>
      <c r="DA283" s="6"/>
      <c r="DB283" s="6"/>
      <c r="DC283" s="6"/>
      <c r="DD283" s="6"/>
      <c r="DE283" s="6"/>
      <c r="DF283" s="6"/>
      <c r="DG283" s="6"/>
      <c r="DH283" s="6"/>
      <c r="DI283" s="6"/>
      <c r="DJ283" s="6"/>
      <c r="DK283" s="6"/>
      <c r="DL283" s="6"/>
      <c r="DM283" s="6"/>
      <c r="DN283" s="6"/>
      <c r="DO283" s="6"/>
      <c r="DP283" s="6"/>
      <c r="DQ283" s="6"/>
      <c r="DR283" s="6"/>
      <c r="DS283" s="6"/>
      <c r="DT283" s="6"/>
      <c r="DU283" s="6"/>
      <c r="DV283" s="6"/>
      <c r="DW283" s="6"/>
      <c r="DX283" s="6"/>
      <c r="DY283" s="6"/>
      <c r="DZ283" s="6"/>
      <c r="EA283" s="6"/>
      <c r="EB283" s="6"/>
      <c r="EC283" s="6"/>
      <c r="ED283" s="6"/>
      <c r="EE283" s="6"/>
      <c r="KK283" s="10"/>
      <c r="KL283" s="10"/>
      <c r="KM283" s="10"/>
      <c r="KN283" s="10"/>
      <c r="KO283" s="10"/>
      <c r="KP283" s="10"/>
      <c r="KQ283" s="10"/>
      <c r="KR283" s="10"/>
      <c r="KS283" s="10"/>
      <c r="KT283" s="10"/>
      <c r="KU283" s="10"/>
      <c r="KV283" s="10"/>
      <c r="KW283" s="10"/>
      <c r="KX283" s="10"/>
      <c r="KY283" s="10"/>
      <c r="KZ283" s="10"/>
      <c r="LA283" s="10"/>
      <c r="LB283" s="10"/>
      <c r="LC283" s="10"/>
      <c r="LD283" s="10"/>
    </row>
    <row r="284" spans="1:316" ht="15.75" customHeight="1" x14ac:dyDescent="0.25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6"/>
      <c r="BY284" s="6"/>
      <c r="BZ284" s="6"/>
      <c r="CA284" s="6"/>
      <c r="CB284" s="6"/>
      <c r="CC284" s="6"/>
      <c r="CD284" s="6"/>
      <c r="CE284" s="6"/>
      <c r="CF284" s="6"/>
      <c r="CG284" s="6"/>
      <c r="CH284" s="6"/>
      <c r="CI284" s="6"/>
      <c r="CJ284" s="6"/>
      <c r="CK284" s="6"/>
      <c r="CL284" s="6"/>
      <c r="CM284" s="6"/>
      <c r="CN284" s="6"/>
      <c r="CO284" s="6"/>
      <c r="CP284" s="6"/>
      <c r="CQ284" s="6"/>
      <c r="CR284" s="6"/>
      <c r="CS284" s="6"/>
      <c r="CT284" s="6"/>
      <c r="CU284" s="6"/>
      <c r="CV284" s="6"/>
      <c r="CW284" s="6"/>
      <c r="CX284" s="6"/>
      <c r="CY284" s="6"/>
      <c r="CZ284" s="6"/>
      <c r="DA284" s="6"/>
      <c r="DB284" s="6"/>
      <c r="DC284" s="6"/>
      <c r="DD284" s="6"/>
      <c r="DE284" s="6"/>
      <c r="DF284" s="6"/>
      <c r="DG284" s="6"/>
      <c r="DH284" s="6"/>
      <c r="DI284" s="6"/>
      <c r="DJ284" s="6"/>
      <c r="DK284" s="6"/>
      <c r="DL284" s="6"/>
      <c r="DM284" s="6"/>
      <c r="DN284" s="6"/>
      <c r="DO284" s="6"/>
      <c r="DP284" s="6"/>
      <c r="DQ284" s="6"/>
      <c r="DR284" s="6"/>
      <c r="DS284" s="6"/>
      <c r="DT284" s="6"/>
      <c r="DU284" s="6"/>
      <c r="DV284" s="6"/>
      <c r="DW284" s="6"/>
      <c r="DX284" s="6"/>
      <c r="DY284" s="6"/>
      <c r="DZ284" s="6"/>
      <c r="EA284" s="6"/>
      <c r="EB284" s="6"/>
      <c r="EC284" s="6"/>
      <c r="ED284" s="6"/>
      <c r="EE284" s="6"/>
      <c r="KK284" s="10"/>
      <c r="KL284" s="10"/>
      <c r="KM284" s="10"/>
      <c r="KN284" s="10"/>
      <c r="KO284" s="10"/>
      <c r="KP284" s="10"/>
      <c r="KQ284" s="10"/>
      <c r="KR284" s="10"/>
      <c r="KS284" s="10"/>
      <c r="KT284" s="10"/>
      <c r="KU284" s="10"/>
      <c r="KV284" s="10"/>
      <c r="KW284" s="10"/>
      <c r="KX284" s="10"/>
      <c r="KY284" s="10"/>
      <c r="KZ284" s="10"/>
      <c r="LA284" s="10"/>
      <c r="LB284" s="10"/>
      <c r="LC284" s="10"/>
      <c r="LD284" s="10"/>
    </row>
    <row r="285" spans="1:316" ht="15.75" customHeight="1" x14ac:dyDescent="0.25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6"/>
      <c r="BY285" s="6"/>
      <c r="BZ285" s="6"/>
      <c r="CA285" s="6"/>
      <c r="CB285" s="6"/>
      <c r="CC285" s="6"/>
      <c r="CD285" s="6"/>
      <c r="CE285" s="6"/>
      <c r="CF285" s="6"/>
      <c r="CG285" s="6"/>
      <c r="CH285" s="6"/>
      <c r="CI285" s="6"/>
      <c r="CJ285" s="6"/>
      <c r="CK285" s="6"/>
      <c r="CL285" s="6"/>
      <c r="CM285" s="6"/>
      <c r="CN285" s="6"/>
      <c r="CO285" s="6"/>
      <c r="CP285" s="6"/>
      <c r="CQ285" s="6"/>
      <c r="CR285" s="6"/>
      <c r="CS285" s="6"/>
      <c r="CT285" s="6"/>
      <c r="CU285" s="6"/>
      <c r="CV285" s="6"/>
      <c r="CW285" s="6"/>
      <c r="CX285" s="6"/>
      <c r="CY285" s="6"/>
      <c r="CZ285" s="6"/>
      <c r="DA285" s="6"/>
      <c r="DB285" s="6"/>
      <c r="DC285" s="6"/>
      <c r="DD285" s="6"/>
      <c r="DE285" s="6"/>
      <c r="DF285" s="6"/>
      <c r="DG285" s="6"/>
      <c r="DH285" s="6"/>
      <c r="DI285" s="6"/>
      <c r="DJ285" s="6"/>
      <c r="DK285" s="6"/>
      <c r="DL285" s="6"/>
      <c r="DM285" s="6"/>
      <c r="DN285" s="6"/>
      <c r="DO285" s="6"/>
      <c r="DP285" s="6"/>
      <c r="DQ285" s="6"/>
      <c r="DR285" s="6"/>
      <c r="DS285" s="6"/>
      <c r="DT285" s="6"/>
      <c r="DU285" s="6"/>
      <c r="DV285" s="6"/>
      <c r="DW285" s="6"/>
      <c r="DX285" s="6"/>
      <c r="DY285" s="6"/>
      <c r="DZ285" s="6"/>
      <c r="EA285" s="6"/>
      <c r="EB285" s="6"/>
      <c r="EC285" s="6"/>
      <c r="ED285" s="6"/>
      <c r="EE285" s="6"/>
      <c r="KK285" s="10"/>
      <c r="KL285" s="10"/>
      <c r="KM285" s="10"/>
      <c r="KN285" s="10"/>
      <c r="KO285" s="10"/>
      <c r="KP285" s="10"/>
      <c r="KQ285" s="10"/>
      <c r="KR285" s="10"/>
      <c r="KS285" s="10"/>
      <c r="KT285" s="10"/>
      <c r="KU285" s="10"/>
      <c r="KV285" s="10"/>
      <c r="KW285" s="10"/>
      <c r="KX285" s="10"/>
      <c r="KY285" s="10"/>
      <c r="KZ285" s="10"/>
      <c r="LA285" s="10"/>
      <c r="LB285" s="10"/>
      <c r="LC285" s="10"/>
      <c r="LD285" s="10"/>
    </row>
    <row r="286" spans="1:316" ht="15.75" customHeight="1" x14ac:dyDescent="0.25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6"/>
      <c r="BY286" s="6"/>
      <c r="BZ286" s="6"/>
      <c r="CA286" s="6"/>
      <c r="CB286" s="6"/>
      <c r="CC286" s="6"/>
      <c r="CD286" s="6"/>
      <c r="CE286" s="6"/>
      <c r="CF286" s="6"/>
      <c r="CG286" s="6"/>
      <c r="CH286" s="6"/>
      <c r="CI286" s="6"/>
      <c r="CJ286" s="6"/>
      <c r="CK286" s="6"/>
      <c r="CL286" s="6"/>
      <c r="CM286" s="6"/>
      <c r="CN286" s="6"/>
      <c r="CO286" s="6"/>
      <c r="CP286" s="6"/>
      <c r="CQ286" s="6"/>
      <c r="CR286" s="6"/>
      <c r="CS286" s="6"/>
      <c r="CT286" s="6"/>
      <c r="CU286" s="6"/>
      <c r="CV286" s="6"/>
      <c r="CW286" s="6"/>
      <c r="CX286" s="6"/>
      <c r="CY286" s="6"/>
      <c r="CZ286" s="6"/>
      <c r="DA286" s="6"/>
      <c r="DB286" s="6"/>
      <c r="DC286" s="6"/>
      <c r="DD286" s="6"/>
      <c r="DE286" s="6"/>
      <c r="DF286" s="6"/>
      <c r="DG286" s="6"/>
      <c r="DH286" s="6"/>
      <c r="DI286" s="6"/>
      <c r="DJ286" s="6"/>
      <c r="DK286" s="6"/>
      <c r="DL286" s="6"/>
      <c r="DM286" s="6"/>
      <c r="DN286" s="6"/>
      <c r="DO286" s="6"/>
      <c r="DP286" s="6"/>
      <c r="DQ286" s="6"/>
      <c r="DR286" s="6"/>
      <c r="DS286" s="6"/>
      <c r="DT286" s="6"/>
      <c r="DU286" s="6"/>
      <c r="DV286" s="6"/>
      <c r="DW286" s="6"/>
      <c r="DX286" s="6"/>
      <c r="DY286" s="6"/>
      <c r="DZ286" s="6"/>
      <c r="EA286" s="6"/>
      <c r="EB286" s="6"/>
      <c r="EC286" s="6"/>
      <c r="ED286" s="6"/>
      <c r="EE286" s="6"/>
      <c r="KK286" s="10"/>
      <c r="KL286" s="10"/>
      <c r="KM286" s="10"/>
      <c r="KN286" s="10"/>
      <c r="KO286" s="10"/>
      <c r="KP286" s="10"/>
      <c r="KQ286" s="10"/>
      <c r="KR286" s="10"/>
      <c r="KS286" s="10"/>
      <c r="KT286" s="10"/>
      <c r="KU286" s="10"/>
      <c r="KV286" s="10"/>
      <c r="KW286" s="10"/>
      <c r="KX286" s="10"/>
      <c r="KY286" s="10"/>
      <c r="KZ286" s="10"/>
      <c r="LA286" s="10"/>
      <c r="LB286" s="10"/>
      <c r="LC286" s="10"/>
      <c r="LD286" s="10"/>
    </row>
    <row r="287" spans="1:316" ht="15.75" customHeight="1" x14ac:dyDescent="0.25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6"/>
      <c r="BY287" s="6"/>
      <c r="BZ287" s="6"/>
      <c r="CA287" s="6"/>
      <c r="CB287" s="6"/>
      <c r="CC287" s="6"/>
      <c r="CD287" s="6"/>
      <c r="CE287" s="6"/>
      <c r="CF287" s="6"/>
      <c r="CG287" s="6"/>
      <c r="CH287" s="6"/>
      <c r="CI287" s="6"/>
      <c r="CJ287" s="6"/>
      <c r="CK287" s="6"/>
      <c r="CL287" s="6"/>
      <c r="CM287" s="6"/>
      <c r="CN287" s="6"/>
      <c r="CO287" s="6"/>
      <c r="CP287" s="6"/>
      <c r="CQ287" s="6"/>
      <c r="CR287" s="6"/>
      <c r="CS287" s="6"/>
      <c r="CT287" s="6"/>
      <c r="CU287" s="6"/>
      <c r="CV287" s="6"/>
      <c r="CW287" s="6"/>
      <c r="CX287" s="6"/>
      <c r="CY287" s="6"/>
      <c r="CZ287" s="6"/>
      <c r="DA287" s="6"/>
      <c r="DB287" s="6"/>
      <c r="DC287" s="6"/>
      <c r="DD287" s="6"/>
      <c r="DE287" s="6"/>
      <c r="DF287" s="6"/>
      <c r="DG287" s="6"/>
      <c r="DH287" s="6"/>
      <c r="DI287" s="6"/>
      <c r="DJ287" s="6"/>
      <c r="DK287" s="6"/>
      <c r="DL287" s="6"/>
      <c r="DM287" s="6"/>
      <c r="DN287" s="6"/>
      <c r="DO287" s="6"/>
      <c r="DP287" s="6"/>
      <c r="DQ287" s="6"/>
      <c r="DR287" s="6"/>
      <c r="DS287" s="6"/>
      <c r="DT287" s="6"/>
      <c r="DU287" s="6"/>
      <c r="DV287" s="6"/>
      <c r="DW287" s="6"/>
      <c r="DX287" s="6"/>
      <c r="DY287" s="6"/>
      <c r="DZ287" s="6"/>
      <c r="EA287" s="6"/>
      <c r="EB287" s="6"/>
      <c r="EC287" s="6"/>
      <c r="ED287" s="6"/>
      <c r="EE287" s="6"/>
      <c r="KK287" s="10"/>
      <c r="KL287" s="10"/>
      <c r="KM287" s="10"/>
      <c r="KN287" s="10"/>
      <c r="KO287" s="10"/>
      <c r="KP287" s="10"/>
      <c r="KQ287" s="10"/>
      <c r="KR287" s="10"/>
      <c r="KS287" s="10"/>
      <c r="KT287" s="10"/>
      <c r="KU287" s="10"/>
      <c r="KV287" s="10"/>
      <c r="KW287" s="10"/>
      <c r="KX287" s="10"/>
      <c r="KY287" s="10"/>
      <c r="KZ287" s="10"/>
      <c r="LA287" s="10"/>
      <c r="LB287" s="10"/>
      <c r="LC287" s="10"/>
      <c r="LD287" s="10"/>
    </row>
    <row r="288" spans="1:316" ht="15.75" customHeight="1" x14ac:dyDescent="0.25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6"/>
      <c r="BY288" s="6"/>
      <c r="BZ288" s="6"/>
      <c r="CA288" s="6"/>
      <c r="CB288" s="6"/>
      <c r="CC288" s="6"/>
      <c r="CD288" s="6"/>
      <c r="CE288" s="6"/>
      <c r="CF288" s="6"/>
      <c r="CG288" s="6"/>
      <c r="CH288" s="6"/>
      <c r="CI288" s="6"/>
      <c r="CJ288" s="6"/>
      <c r="CK288" s="6"/>
      <c r="CL288" s="6"/>
      <c r="CM288" s="6"/>
      <c r="CN288" s="6"/>
      <c r="CO288" s="6"/>
      <c r="CP288" s="6"/>
      <c r="CQ288" s="6"/>
      <c r="CR288" s="6"/>
      <c r="CS288" s="6"/>
      <c r="CT288" s="6"/>
      <c r="CU288" s="6"/>
      <c r="CV288" s="6"/>
      <c r="CW288" s="6"/>
      <c r="CX288" s="6"/>
      <c r="CY288" s="6"/>
      <c r="CZ288" s="6"/>
      <c r="DA288" s="6"/>
      <c r="DB288" s="6"/>
      <c r="DC288" s="6"/>
      <c r="DD288" s="6"/>
      <c r="DE288" s="6"/>
      <c r="DF288" s="6"/>
      <c r="DG288" s="6"/>
      <c r="DH288" s="6"/>
      <c r="DI288" s="6"/>
      <c r="DJ288" s="6"/>
      <c r="DK288" s="6"/>
      <c r="DL288" s="6"/>
      <c r="DM288" s="6"/>
      <c r="DN288" s="6"/>
      <c r="DO288" s="6"/>
      <c r="DP288" s="6"/>
      <c r="DQ288" s="6"/>
      <c r="DR288" s="6"/>
      <c r="DS288" s="6"/>
      <c r="DT288" s="6"/>
      <c r="DU288" s="6"/>
      <c r="DV288" s="6"/>
      <c r="DW288" s="6"/>
      <c r="DX288" s="6"/>
      <c r="DY288" s="6"/>
      <c r="DZ288" s="6"/>
      <c r="EA288" s="6"/>
      <c r="EB288" s="6"/>
      <c r="EC288" s="6"/>
      <c r="ED288" s="6"/>
      <c r="EE288" s="6"/>
      <c r="KK288" s="10"/>
      <c r="KL288" s="10"/>
      <c r="KM288" s="10"/>
      <c r="KN288" s="10"/>
      <c r="KO288" s="10"/>
      <c r="KP288" s="10"/>
      <c r="KQ288" s="10"/>
      <c r="KR288" s="10"/>
      <c r="KS288" s="10"/>
      <c r="KT288" s="10"/>
      <c r="KU288" s="10"/>
      <c r="KV288" s="10"/>
      <c r="KW288" s="10"/>
      <c r="KX288" s="10"/>
      <c r="KY288" s="10"/>
      <c r="KZ288" s="10"/>
      <c r="LA288" s="10"/>
      <c r="LB288" s="10"/>
      <c r="LC288" s="10"/>
      <c r="LD288" s="10"/>
    </row>
    <row r="289" spans="1:316" ht="15.75" customHeight="1" x14ac:dyDescent="0.25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6"/>
      <c r="BY289" s="6"/>
      <c r="BZ289" s="6"/>
      <c r="CA289" s="6"/>
      <c r="CB289" s="6"/>
      <c r="CC289" s="6"/>
      <c r="CD289" s="6"/>
      <c r="CE289" s="6"/>
      <c r="CF289" s="6"/>
      <c r="CG289" s="6"/>
      <c r="CH289" s="6"/>
      <c r="CI289" s="6"/>
      <c r="CJ289" s="6"/>
      <c r="CK289" s="6"/>
      <c r="CL289" s="6"/>
      <c r="CM289" s="6"/>
      <c r="CN289" s="6"/>
      <c r="CO289" s="6"/>
      <c r="CP289" s="6"/>
      <c r="CQ289" s="6"/>
      <c r="CR289" s="6"/>
      <c r="CS289" s="6"/>
      <c r="CT289" s="6"/>
      <c r="CU289" s="6"/>
      <c r="CV289" s="6"/>
      <c r="CW289" s="6"/>
      <c r="CX289" s="6"/>
      <c r="CY289" s="6"/>
      <c r="CZ289" s="6"/>
      <c r="DA289" s="6"/>
      <c r="DB289" s="6"/>
      <c r="DC289" s="6"/>
      <c r="DD289" s="6"/>
      <c r="DE289" s="6"/>
      <c r="DF289" s="6"/>
      <c r="DG289" s="6"/>
      <c r="DH289" s="6"/>
      <c r="DI289" s="6"/>
      <c r="DJ289" s="6"/>
      <c r="DK289" s="6"/>
      <c r="DL289" s="6"/>
      <c r="DM289" s="6"/>
      <c r="DN289" s="6"/>
      <c r="DO289" s="6"/>
      <c r="DP289" s="6"/>
      <c r="DQ289" s="6"/>
      <c r="DR289" s="6"/>
      <c r="DS289" s="6"/>
      <c r="DT289" s="6"/>
      <c r="DU289" s="6"/>
      <c r="DV289" s="6"/>
      <c r="DW289" s="6"/>
      <c r="DX289" s="6"/>
      <c r="DY289" s="6"/>
      <c r="DZ289" s="6"/>
      <c r="EA289" s="6"/>
      <c r="EB289" s="6"/>
      <c r="EC289" s="6"/>
      <c r="ED289" s="6"/>
      <c r="EE289" s="6"/>
      <c r="KK289" s="10"/>
      <c r="KL289" s="10"/>
      <c r="KM289" s="10"/>
      <c r="KN289" s="10"/>
      <c r="KO289" s="10"/>
      <c r="KP289" s="10"/>
      <c r="KQ289" s="10"/>
      <c r="KR289" s="10"/>
      <c r="KS289" s="10"/>
      <c r="KT289" s="10"/>
      <c r="KU289" s="10"/>
      <c r="KV289" s="10"/>
      <c r="KW289" s="10"/>
      <c r="KX289" s="10"/>
      <c r="KY289" s="10"/>
      <c r="KZ289" s="10"/>
      <c r="LA289" s="10"/>
      <c r="LB289" s="10"/>
      <c r="LC289" s="10"/>
      <c r="LD289" s="10"/>
    </row>
    <row r="290" spans="1:316" ht="15.75" customHeight="1" x14ac:dyDescent="0.25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6"/>
      <c r="BY290" s="6"/>
      <c r="BZ290" s="6"/>
      <c r="CA290" s="6"/>
      <c r="CB290" s="6"/>
      <c r="CC290" s="6"/>
      <c r="CD290" s="6"/>
      <c r="CE290" s="6"/>
      <c r="CF290" s="6"/>
      <c r="CG290" s="6"/>
      <c r="CH290" s="6"/>
      <c r="CI290" s="6"/>
      <c r="CJ290" s="6"/>
      <c r="CK290" s="6"/>
      <c r="CL290" s="6"/>
      <c r="CM290" s="6"/>
      <c r="CN290" s="6"/>
      <c r="CO290" s="6"/>
      <c r="CP290" s="6"/>
      <c r="CQ290" s="6"/>
      <c r="CR290" s="6"/>
      <c r="CS290" s="6"/>
      <c r="CT290" s="6"/>
      <c r="CU290" s="6"/>
      <c r="CV290" s="6"/>
      <c r="CW290" s="6"/>
      <c r="CX290" s="6"/>
      <c r="CY290" s="6"/>
      <c r="CZ290" s="6"/>
      <c r="DA290" s="6"/>
      <c r="DB290" s="6"/>
      <c r="DC290" s="6"/>
      <c r="DD290" s="6"/>
      <c r="DE290" s="6"/>
      <c r="DF290" s="6"/>
      <c r="DG290" s="6"/>
      <c r="DH290" s="6"/>
      <c r="DI290" s="6"/>
      <c r="DJ290" s="6"/>
      <c r="DK290" s="6"/>
      <c r="DL290" s="6"/>
      <c r="DM290" s="6"/>
      <c r="DN290" s="6"/>
      <c r="DO290" s="6"/>
      <c r="DP290" s="6"/>
      <c r="DQ290" s="6"/>
      <c r="DR290" s="6"/>
      <c r="DS290" s="6"/>
      <c r="DT290" s="6"/>
      <c r="DU290" s="6"/>
      <c r="DV290" s="6"/>
      <c r="DW290" s="6"/>
      <c r="DX290" s="6"/>
      <c r="DY290" s="6"/>
      <c r="DZ290" s="6"/>
      <c r="EA290" s="6"/>
      <c r="EB290" s="6"/>
      <c r="EC290" s="6"/>
      <c r="ED290" s="6"/>
      <c r="EE290" s="6"/>
      <c r="KK290" s="10"/>
      <c r="KL290" s="10"/>
      <c r="KM290" s="10"/>
      <c r="KN290" s="10"/>
      <c r="KO290" s="10"/>
      <c r="KP290" s="10"/>
      <c r="KQ290" s="10"/>
      <c r="KR290" s="10"/>
      <c r="KS290" s="10"/>
      <c r="KT290" s="10"/>
      <c r="KU290" s="10"/>
      <c r="KV290" s="10"/>
      <c r="KW290" s="10"/>
      <c r="KX290" s="10"/>
      <c r="KY290" s="10"/>
      <c r="KZ290" s="10"/>
      <c r="LA290" s="10"/>
      <c r="LB290" s="10"/>
      <c r="LC290" s="10"/>
      <c r="LD290" s="10"/>
    </row>
    <row r="291" spans="1:316" ht="15.75" customHeight="1" x14ac:dyDescent="0.25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6"/>
      <c r="BY291" s="6"/>
      <c r="BZ291" s="6"/>
      <c r="CA291" s="6"/>
      <c r="CB291" s="6"/>
      <c r="CC291" s="6"/>
      <c r="CD291" s="6"/>
      <c r="CE291" s="6"/>
      <c r="CF291" s="6"/>
      <c r="CG291" s="6"/>
      <c r="CH291" s="6"/>
      <c r="CI291" s="6"/>
      <c r="CJ291" s="6"/>
      <c r="CK291" s="6"/>
      <c r="CL291" s="6"/>
      <c r="CM291" s="6"/>
      <c r="CN291" s="6"/>
      <c r="CO291" s="6"/>
      <c r="CP291" s="6"/>
      <c r="CQ291" s="6"/>
      <c r="CR291" s="6"/>
      <c r="CS291" s="6"/>
      <c r="CT291" s="6"/>
      <c r="CU291" s="6"/>
      <c r="CV291" s="6"/>
      <c r="CW291" s="6"/>
      <c r="CX291" s="6"/>
      <c r="CY291" s="6"/>
      <c r="CZ291" s="6"/>
      <c r="DA291" s="6"/>
      <c r="DB291" s="6"/>
      <c r="DC291" s="6"/>
      <c r="DD291" s="6"/>
      <c r="DE291" s="6"/>
      <c r="DF291" s="6"/>
      <c r="DG291" s="6"/>
      <c r="DH291" s="6"/>
      <c r="DI291" s="6"/>
      <c r="DJ291" s="6"/>
      <c r="DK291" s="6"/>
      <c r="DL291" s="6"/>
      <c r="DM291" s="6"/>
      <c r="DN291" s="6"/>
      <c r="DO291" s="6"/>
      <c r="DP291" s="6"/>
      <c r="DQ291" s="6"/>
      <c r="DR291" s="6"/>
      <c r="DS291" s="6"/>
      <c r="DT291" s="6"/>
      <c r="DU291" s="6"/>
      <c r="DV291" s="6"/>
      <c r="DW291" s="6"/>
      <c r="DX291" s="6"/>
      <c r="DY291" s="6"/>
      <c r="DZ291" s="6"/>
      <c r="EA291" s="6"/>
      <c r="EB291" s="6"/>
      <c r="EC291" s="6"/>
      <c r="ED291" s="6"/>
      <c r="EE291" s="6"/>
      <c r="KK291" s="10"/>
      <c r="KL291" s="10"/>
      <c r="KM291" s="10"/>
      <c r="KN291" s="10"/>
      <c r="KO291" s="10"/>
      <c r="KP291" s="10"/>
      <c r="KQ291" s="10"/>
      <c r="KR291" s="10"/>
      <c r="KS291" s="10"/>
      <c r="KT291" s="10"/>
      <c r="KU291" s="10"/>
      <c r="KV291" s="10"/>
      <c r="KW291" s="10"/>
      <c r="KX291" s="10"/>
      <c r="KY291" s="10"/>
      <c r="KZ291" s="10"/>
      <c r="LA291" s="10"/>
      <c r="LB291" s="10"/>
      <c r="LC291" s="10"/>
      <c r="LD291" s="10"/>
    </row>
    <row r="292" spans="1:316" ht="15.75" customHeight="1" x14ac:dyDescent="0.25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6"/>
      <c r="BY292" s="6"/>
      <c r="BZ292" s="6"/>
      <c r="CA292" s="6"/>
      <c r="CB292" s="6"/>
      <c r="CC292" s="6"/>
      <c r="CD292" s="6"/>
      <c r="CE292" s="6"/>
      <c r="CF292" s="6"/>
      <c r="CG292" s="6"/>
      <c r="CH292" s="6"/>
      <c r="CI292" s="6"/>
      <c r="CJ292" s="6"/>
      <c r="CK292" s="6"/>
      <c r="CL292" s="6"/>
      <c r="CM292" s="6"/>
      <c r="CN292" s="6"/>
      <c r="CO292" s="6"/>
      <c r="CP292" s="6"/>
      <c r="CQ292" s="6"/>
      <c r="CR292" s="6"/>
      <c r="CS292" s="6"/>
      <c r="CT292" s="6"/>
      <c r="CU292" s="6"/>
      <c r="CV292" s="6"/>
      <c r="CW292" s="6"/>
      <c r="CX292" s="6"/>
      <c r="CY292" s="6"/>
      <c r="CZ292" s="6"/>
      <c r="DA292" s="6"/>
      <c r="DB292" s="6"/>
      <c r="DC292" s="6"/>
      <c r="DD292" s="6"/>
      <c r="DE292" s="6"/>
      <c r="DF292" s="6"/>
      <c r="DG292" s="6"/>
      <c r="DH292" s="6"/>
      <c r="DI292" s="6"/>
      <c r="DJ292" s="6"/>
      <c r="DK292" s="6"/>
      <c r="DL292" s="6"/>
      <c r="DM292" s="6"/>
      <c r="DN292" s="6"/>
      <c r="DO292" s="6"/>
      <c r="DP292" s="6"/>
      <c r="DQ292" s="6"/>
      <c r="DR292" s="6"/>
      <c r="DS292" s="6"/>
      <c r="DT292" s="6"/>
      <c r="DU292" s="6"/>
      <c r="DV292" s="6"/>
      <c r="DW292" s="6"/>
      <c r="DX292" s="6"/>
      <c r="DY292" s="6"/>
      <c r="DZ292" s="6"/>
      <c r="EA292" s="6"/>
      <c r="EB292" s="6"/>
      <c r="EC292" s="6"/>
      <c r="ED292" s="6"/>
      <c r="EE292" s="6"/>
      <c r="KK292" s="10"/>
      <c r="KL292" s="10"/>
      <c r="KM292" s="10"/>
      <c r="KN292" s="10"/>
      <c r="KO292" s="10"/>
      <c r="KP292" s="10"/>
      <c r="KQ292" s="10"/>
      <c r="KR292" s="10"/>
      <c r="KS292" s="10"/>
      <c r="KT292" s="10"/>
      <c r="KU292" s="10"/>
      <c r="KV292" s="10"/>
      <c r="KW292" s="10"/>
      <c r="KX292" s="10"/>
      <c r="KY292" s="10"/>
      <c r="KZ292" s="10"/>
      <c r="LA292" s="10"/>
      <c r="LB292" s="10"/>
      <c r="LC292" s="10"/>
      <c r="LD292" s="10"/>
    </row>
    <row r="293" spans="1:316" ht="15.75" customHeight="1" x14ac:dyDescent="0.25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6"/>
      <c r="BY293" s="6"/>
      <c r="BZ293" s="6"/>
      <c r="CA293" s="6"/>
      <c r="CB293" s="6"/>
      <c r="CC293" s="6"/>
      <c r="CD293" s="6"/>
      <c r="CE293" s="6"/>
      <c r="CF293" s="6"/>
      <c r="CG293" s="6"/>
      <c r="CH293" s="6"/>
      <c r="CI293" s="6"/>
      <c r="CJ293" s="6"/>
      <c r="CK293" s="6"/>
      <c r="CL293" s="6"/>
      <c r="CM293" s="6"/>
      <c r="CN293" s="6"/>
      <c r="CO293" s="6"/>
      <c r="CP293" s="6"/>
      <c r="CQ293" s="6"/>
      <c r="CR293" s="6"/>
      <c r="CS293" s="6"/>
      <c r="CT293" s="6"/>
      <c r="CU293" s="6"/>
      <c r="CV293" s="6"/>
      <c r="CW293" s="6"/>
      <c r="CX293" s="6"/>
      <c r="CY293" s="6"/>
      <c r="CZ293" s="6"/>
      <c r="DA293" s="6"/>
      <c r="DB293" s="6"/>
      <c r="DC293" s="6"/>
      <c r="DD293" s="6"/>
      <c r="DE293" s="6"/>
      <c r="DF293" s="6"/>
      <c r="DG293" s="6"/>
      <c r="DH293" s="6"/>
      <c r="DI293" s="6"/>
      <c r="DJ293" s="6"/>
      <c r="DK293" s="6"/>
      <c r="DL293" s="6"/>
      <c r="DM293" s="6"/>
      <c r="DN293" s="6"/>
      <c r="DO293" s="6"/>
      <c r="DP293" s="6"/>
      <c r="DQ293" s="6"/>
      <c r="DR293" s="6"/>
      <c r="DS293" s="6"/>
      <c r="DT293" s="6"/>
      <c r="DU293" s="6"/>
      <c r="DV293" s="6"/>
      <c r="DW293" s="6"/>
      <c r="DX293" s="6"/>
      <c r="DY293" s="6"/>
      <c r="DZ293" s="6"/>
      <c r="EA293" s="6"/>
      <c r="EB293" s="6"/>
      <c r="EC293" s="6"/>
      <c r="ED293" s="6"/>
      <c r="EE293" s="6"/>
      <c r="KK293" s="10"/>
      <c r="KL293" s="10"/>
      <c r="KM293" s="10"/>
      <c r="KN293" s="10"/>
      <c r="KO293" s="10"/>
      <c r="KP293" s="10"/>
      <c r="KQ293" s="10"/>
      <c r="KR293" s="10"/>
      <c r="KS293" s="10"/>
      <c r="KT293" s="10"/>
      <c r="KU293" s="10"/>
      <c r="KV293" s="10"/>
      <c r="KW293" s="10"/>
      <c r="KX293" s="10"/>
      <c r="KY293" s="10"/>
      <c r="KZ293" s="10"/>
      <c r="LA293" s="10"/>
      <c r="LB293" s="10"/>
      <c r="LC293" s="10"/>
      <c r="LD293" s="10"/>
    </row>
    <row r="294" spans="1:316" ht="15.75" customHeight="1" x14ac:dyDescent="0.25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6"/>
      <c r="BY294" s="6"/>
      <c r="BZ294" s="6"/>
      <c r="CA294" s="6"/>
      <c r="CB294" s="6"/>
      <c r="CC294" s="6"/>
      <c r="CD294" s="6"/>
      <c r="CE294" s="6"/>
      <c r="CF294" s="6"/>
      <c r="CG294" s="6"/>
      <c r="CH294" s="6"/>
      <c r="CI294" s="6"/>
      <c r="CJ294" s="6"/>
      <c r="CK294" s="6"/>
      <c r="CL294" s="6"/>
      <c r="CM294" s="6"/>
      <c r="CN294" s="6"/>
      <c r="CO294" s="6"/>
      <c r="CP294" s="6"/>
      <c r="CQ294" s="6"/>
      <c r="CR294" s="6"/>
      <c r="CS294" s="6"/>
      <c r="CT294" s="6"/>
      <c r="CU294" s="6"/>
      <c r="CV294" s="6"/>
      <c r="CW294" s="6"/>
      <c r="CX294" s="6"/>
      <c r="CY294" s="6"/>
      <c r="CZ294" s="6"/>
      <c r="DA294" s="6"/>
      <c r="DB294" s="6"/>
      <c r="DC294" s="6"/>
      <c r="DD294" s="6"/>
      <c r="DE294" s="6"/>
      <c r="DF294" s="6"/>
      <c r="DG294" s="6"/>
      <c r="DH294" s="6"/>
      <c r="DI294" s="6"/>
      <c r="DJ294" s="6"/>
      <c r="DK294" s="6"/>
      <c r="DL294" s="6"/>
      <c r="DM294" s="6"/>
      <c r="DN294" s="6"/>
      <c r="DO294" s="6"/>
      <c r="DP294" s="6"/>
      <c r="DQ294" s="6"/>
      <c r="DR294" s="6"/>
      <c r="DS294" s="6"/>
      <c r="DT294" s="6"/>
      <c r="DU294" s="6"/>
      <c r="DV294" s="6"/>
      <c r="DW294" s="6"/>
      <c r="DX294" s="6"/>
      <c r="DY294" s="6"/>
      <c r="DZ294" s="6"/>
      <c r="EA294" s="6"/>
      <c r="EB294" s="6"/>
      <c r="EC294" s="6"/>
      <c r="ED294" s="6"/>
      <c r="EE294" s="6"/>
      <c r="KK294" s="10"/>
      <c r="KL294" s="10"/>
      <c r="KM294" s="10"/>
      <c r="KN294" s="10"/>
      <c r="KO294" s="10"/>
      <c r="KP294" s="10"/>
      <c r="KQ294" s="10"/>
      <c r="KR294" s="10"/>
      <c r="KS294" s="10"/>
      <c r="KT294" s="10"/>
      <c r="KU294" s="10"/>
      <c r="KV294" s="10"/>
      <c r="KW294" s="10"/>
      <c r="KX294" s="10"/>
      <c r="KY294" s="10"/>
      <c r="KZ294" s="10"/>
      <c r="LA294" s="10"/>
      <c r="LB294" s="10"/>
      <c r="LC294" s="10"/>
      <c r="LD294" s="10"/>
    </row>
    <row r="295" spans="1:316" ht="15.75" customHeight="1" x14ac:dyDescent="0.25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6"/>
      <c r="BY295" s="6"/>
      <c r="BZ295" s="6"/>
      <c r="CA295" s="6"/>
      <c r="CB295" s="6"/>
      <c r="CC295" s="6"/>
      <c r="CD295" s="6"/>
      <c r="CE295" s="6"/>
      <c r="CF295" s="6"/>
      <c r="CG295" s="6"/>
      <c r="CH295" s="6"/>
      <c r="CI295" s="6"/>
      <c r="CJ295" s="6"/>
      <c r="CK295" s="6"/>
      <c r="CL295" s="6"/>
      <c r="CM295" s="6"/>
      <c r="CN295" s="6"/>
      <c r="CO295" s="6"/>
      <c r="CP295" s="6"/>
      <c r="CQ295" s="6"/>
      <c r="CR295" s="6"/>
      <c r="CS295" s="6"/>
      <c r="CT295" s="6"/>
      <c r="CU295" s="6"/>
      <c r="CV295" s="6"/>
      <c r="CW295" s="6"/>
      <c r="CX295" s="6"/>
      <c r="CY295" s="6"/>
      <c r="CZ295" s="6"/>
      <c r="DA295" s="6"/>
      <c r="DB295" s="6"/>
      <c r="DC295" s="6"/>
      <c r="DD295" s="6"/>
      <c r="DE295" s="6"/>
      <c r="DF295" s="6"/>
      <c r="DG295" s="6"/>
      <c r="DH295" s="6"/>
      <c r="DI295" s="6"/>
      <c r="DJ295" s="6"/>
      <c r="DK295" s="6"/>
      <c r="DL295" s="6"/>
      <c r="DM295" s="6"/>
      <c r="DN295" s="6"/>
      <c r="DO295" s="6"/>
      <c r="DP295" s="6"/>
      <c r="DQ295" s="6"/>
      <c r="DR295" s="6"/>
      <c r="DS295" s="6"/>
      <c r="DT295" s="6"/>
      <c r="DU295" s="6"/>
      <c r="DV295" s="6"/>
      <c r="DW295" s="6"/>
      <c r="DX295" s="6"/>
      <c r="DY295" s="6"/>
      <c r="DZ295" s="6"/>
      <c r="EA295" s="6"/>
      <c r="EB295" s="6"/>
      <c r="EC295" s="6"/>
      <c r="ED295" s="6"/>
      <c r="EE295" s="6"/>
      <c r="KK295" s="10"/>
      <c r="KL295" s="10"/>
      <c r="KM295" s="10"/>
      <c r="KN295" s="10"/>
      <c r="KO295" s="10"/>
      <c r="KP295" s="10"/>
      <c r="KQ295" s="10"/>
      <c r="KR295" s="10"/>
      <c r="KS295" s="10"/>
      <c r="KT295" s="10"/>
      <c r="KU295" s="10"/>
      <c r="KV295" s="10"/>
      <c r="KW295" s="10"/>
      <c r="KX295" s="10"/>
      <c r="KY295" s="10"/>
      <c r="KZ295" s="10"/>
      <c r="LA295" s="10"/>
      <c r="LB295" s="10"/>
      <c r="LC295" s="10"/>
      <c r="LD295" s="10"/>
    </row>
    <row r="296" spans="1:316" ht="15.75" customHeight="1" x14ac:dyDescent="0.25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6"/>
      <c r="BY296" s="6"/>
      <c r="BZ296" s="6"/>
      <c r="CA296" s="6"/>
      <c r="CB296" s="6"/>
      <c r="CC296" s="6"/>
      <c r="CD296" s="6"/>
      <c r="CE296" s="6"/>
      <c r="CF296" s="6"/>
      <c r="CG296" s="6"/>
      <c r="CH296" s="6"/>
      <c r="CI296" s="6"/>
      <c r="CJ296" s="6"/>
      <c r="CK296" s="6"/>
      <c r="CL296" s="6"/>
      <c r="CM296" s="6"/>
      <c r="CN296" s="6"/>
      <c r="CO296" s="6"/>
      <c r="CP296" s="6"/>
      <c r="CQ296" s="6"/>
      <c r="CR296" s="6"/>
      <c r="CS296" s="6"/>
      <c r="CT296" s="6"/>
      <c r="CU296" s="6"/>
      <c r="CV296" s="6"/>
      <c r="CW296" s="6"/>
      <c r="CX296" s="6"/>
      <c r="CY296" s="6"/>
      <c r="CZ296" s="6"/>
      <c r="DA296" s="6"/>
      <c r="DB296" s="6"/>
      <c r="DC296" s="6"/>
      <c r="DD296" s="6"/>
      <c r="DE296" s="6"/>
      <c r="DF296" s="6"/>
      <c r="DG296" s="6"/>
      <c r="DH296" s="6"/>
      <c r="DI296" s="6"/>
      <c r="DJ296" s="6"/>
      <c r="DK296" s="6"/>
      <c r="DL296" s="6"/>
      <c r="DM296" s="6"/>
      <c r="DN296" s="6"/>
      <c r="DO296" s="6"/>
      <c r="DP296" s="6"/>
      <c r="DQ296" s="6"/>
      <c r="DR296" s="6"/>
      <c r="DS296" s="6"/>
      <c r="DT296" s="6"/>
      <c r="DU296" s="6"/>
      <c r="DV296" s="6"/>
      <c r="DW296" s="6"/>
      <c r="DX296" s="6"/>
      <c r="DY296" s="6"/>
      <c r="DZ296" s="6"/>
      <c r="EA296" s="6"/>
      <c r="EB296" s="6"/>
      <c r="EC296" s="6"/>
      <c r="ED296" s="6"/>
      <c r="EE296" s="6"/>
      <c r="KK296" s="10"/>
      <c r="KL296" s="10"/>
      <c r="KM296" s="10"/>
      <c r="KN296" s="10"/>
      <c r="KO296" s="10"/>
      <c r="KP296" s="10"/>
      <c r="KQ296" s="10"/>
      <c r="KR296" s="10"/>
      <c r="KS296" s="10"/>
      <c r="KT296" s="10"/>
      <c r="KU296" s="10"/>
      <c r="KV296" s="10"/>
      <c r="KW296" s="10"/>
      <c r="KX296" s="10"/>
      <c r="KY296" s="10"/>
      <c r="KZ296" s="10"/>
      <c r="LA296" s="10"/>
      <c r="LB296" s="10"/>
      <c r="LC296" s="10"/>
      <c r="LD296" s="10"/>
    </row>
    <row r="297" spans="1:316" ht="15.75" customHeight="1" x14ac:dyDescent="0.25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6"/>
      <c r="BY297" s="6"/>
      <c r="BZ297" s="6"/>
      <c r="CA297" s="6"/>
      <c r="CB297" s="6"/>
      <c r="CC297" s="6"/>
      <c r="CD297" s="6"/>
      <c r="CE297" s="6"/>
      <c r="CF297" s="6"/>
      <c r="CG297" s="6"/>
      <c r="CH297" s="6"/>
      <c r="CI297" s="6"/>
      <c r="CJ297" s="6"/>
      <c r="CK297" s="6"/>
      <c r="CL297" s="6"/>
      <c r="CM297" s="6"/>
      <c r="CN297" s="6"/>
      <c r="CO297" s="6"/>
      <c r="CP297" s="6"/>
      <c r="CQ297" s="6"/>
      <c r="CR297" s="6"/>
      <c r="CS297" s="6"/>
      <c r="CT297" s="6"/>
      <c r="CU297" s="6"/>
      <c r="CV297" s="6"/>
      <c r="CW297" s="6"/>
      <c r="CX297" s="6"/>
      <c r="CY297" s="6"/>
      <c r="CZ297" s="6"/>
      <c r="DA297" s="6"/>
      <c r="DB297" s="6"/>
      <c r="DC297" s="6"/>
      <c r="DD297" s="6"/>
      <c r="DE297" s="6"/>
      <c r="DF297" s="6"/>
      <c r="DG297" s="6"/>
      <c r="DH297" s="6"/>
      <c r="DI297" s="6"/>
      <c r="DJ297" s="6"/>
      <c r="DK297" s="6"/>
      <c r="DL297" s="6"/>
      <c r="DM297" s="6"/>
      <c r="DN297" s="6"/>
      <c r="DO297" s="6"/>
      <c r="DP297" s="6"/>
      <c r="DQ297" s="6"/>
      <c r="DR297" s="6"/>
      <c r="DS297" s="6"/>
      <c r="DT297" s="6"/>
      <c r="DU297" s="6"/>
      <c r="DV297" s="6"/>
      <c r="DW297" s="6"/>
      <c r="DX297" s="6"/>
      <c r="DY297" s="6"/>
      <c r="DZ297" s="6"/>
      <c r="EA297" s="6"/>
      <c r="EB297" s="6"/>
      <c r="EC297" s="6"/>
      <c r="ED297" s="6"/>
      <c r="EE297" s="6"/>
      <c r="KK297" s="10"/>
      <c r="KL297" s="10"/>
      <c r="KM297" s="10"/>
      <c r="KN297" s="10"/>
      <c r="KO297" s="10"/>
      <c r="KP297" s="10"/>
      <c r="KQ297" s="10"/>
      <c r="KR297" s="10"/>
      <c r="KS297" s="10"/>
      <c r="KT297" s="10"/>
      <c r="KU297" s="10"/>
      <c r="KV297" s="10"/>
      <c r="KW297" s="10"/>
      <c r="KX297" s="10"/>
      <c r="KY297" s="10"/>
      <c r="KZ297" s="10"/>
      <c r="LA297" s="10"/>
      <c r="LB297" s="10"/>
      <c r="LC297" s="10"/>
      <c r="LD297" s="10"/>
    </row>
  </sheetData>
  <mergeCells count="58">
    <mergeCell ref="EV48:FX48"/>
    <mergeCell ref="FY48:HA48"/>
    <mergeCell ref="B3:B12"/>
    <mergeCell ref="B13:B22"/>
    <mergeCell ref="A24:A46"/>
    <mergeCell ref="B26:B35"/>
    <mergeCell ref="B36:B45"/>
    <mergeCell ref="A48:A70"/>
    <mergeCell ref="B48:F48"/>
    <mergeCell ref="G48:AI48"/>
    <mergeCell ref="AJ48:BL48"/>
    <mergeCell ref="BM48:CO48"/>
    <mergeCell ref="CP48:DR48"/>
    <mergeCell ref="DS48:EU48"/>
    <mergeCell ref="HB48:ID48"/>
    <mergeCell ref="IE48:JG48"/>
    <mergeCell ref="JH48:KJ48"/>
    <mergeCell ref="FY72:HA72"/>
    <mergeCell ref="HB72:ID72"/>
    <mergeCell ref="IE72:JG72"/>
    <mergeCell ref="JH72:KJ72"/>
    <mergeCell ref="JH24:KJ24"/>
    <mergeCell ref="B24:F24"/>
    <mergeCell ref="G24:AI24"/>
    <mergeCell ref="AJ24:BL24"/>
    <mergeCell ref="BM24:CO24"/>
    <mergeCell ref="CP24:DR24"/>
    <mergeCell ref="DS24:EU24"/>
    <mergeCell ref="EV24:FX24"/>
    <mergeCell ref="CP1:DR1"/>
    <mergeCell ref="DS1:EU1"/>
    <mergeCell ref="FY24:HA24"/>
    <mergeCell ref="HB24:ID24"/>
    <mergeCell ref="IE24:JG24"/>
    <mergeCell ref="A1:A23"/>
    <mergeCell ref="B1:F1"/>
    <mergeCell ref="G1:AI1"/>
    <mergeCell ref="AJ1:BL1"/>
    <mergeCell ref="BM1:CO1"/>
    <mergeCell ref="EV1:FX1"/>
    <mergeCell ref="FY1:HA1"/>
    <mergeCell ref="HB1:ID1"/>
    <mergeCell ref="IE1:JG1"/>
    <mergeCell ref="JH1:KJ1"/>
    <mergeCell ref="B50:B59"/>
    <mergeCell ref="B60:B69"/>
    <mergeCell ref="A72:A94"/>
    <mergeCell ref="G72:AI72"/>
    <mergeCell ref="AJ72:BL72"/>
    <mergeCell ref="B72:F72"/>
    <mergeCell ref="DS72:EU72"/>
    <mergeCell ref="EV72:FX72"/>
    <mergeCell ref="B74:B83"/>
    <mergeCell ref="B84:B93"/>
    <mergeCell ref="A95:A97"/>
    <mergeCell ref="B95:B97"/>
    <mergeCell ref="BM72:CO72"/>
    <mergeCell ref="CP72:DR72"/>
  </mergeCells>
  <pageMargins left="0.7" right="0.7" top="0.78740157499999996" bottom="0.78740157499999996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62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69" t="s">
        <v>17</v>
      </c>
      <c r="B3" s="69">
        <f>Rohdaten!G23</f>
        <v>87</v>
      </c>
      <c r="C3" s="70">
        <f>Rohdaten!AJ23</f>
        <v>82</v>
      </c>
      <c r="D3" s="70">
        <f>Rohdaten!BM23</f>
        <v>100</v>
      </c>
      <c r="E3" s="70">
        <f>Rohdaten!CP23</f>
        <v>99</v>
      </c>
      <c r="F3" s="70">
        <f>Rohdaten!DS23</f>
        <v>137</v>
      </c>
      <c r="G3" s="70">
        <f>Rohdaten!EV23</f>
        <v>102</v>
      </c>
      <c r="H3" s="70">
        <f>Rohdaten!FY23</f>
        <v>131</v>
      </c>
      <c r="I3" s="70">
        <f>Rohdaten!HB23</f>
        <v>95</v>
      </c>
      <c r="J3" s="70"/>
      <c r="K3" s="71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72" t="s">
        <v>64</v>
      </c>
      <c r="B4" s="72">
        <f>Rohdaten!G12</f>
        <v>44</v>
      </c>
      <c r="C4" s="64">
        <f>Rohdaten!AJ12</f>
        <v>41</v>
      </c>
      <c r="D4" s="64">
        <f>Rohdaten!BM12</f>
        <v>48</v>
      </c>
      <c r="E4" s="64">
        <f>Rohdaten!CP12</f>
        <v>45</v>
      </c>
      <c r="F4" s="64">
        <f>Rohdaten!DS12</f>
        <v>67</v>
      </c>
      <c r="G4" s="64">
        <f>Rohdaten!EV12</f>
        <v>51</v>
      </c>
      <c r="H4" s="64">
        <f>Rohdaten!FY12</f>
        <v>66</v>
      </c>
      <c r="I4" s="64">
        <f>Rohdaten!HB12</f>
        <v>47</v>
      </c>
      <c r="J4" s="64"/>
      <c r="K4" s="73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72" t="s">
        <v>65</v>
      </c>
      <c r="B5" s="72">
        <f>Rohdaten!G22</f>
        <v>43</v>
      </c>
      <c r="C5" s="64">
        <f>Rohdaten!AJ22</f>
        <v>41</v>
      </c>
      <c r="D5" s="64">
        <f>Rohdaten!BM22</f>
        <v>52</v>
      </c>
      <c r="E5" s="64">
        <f>Rohdaten!CP22</f>
        <v>54</v>
      </c>
      <c r="F5" s="64">
        <f>Rohdaten!DS22</f>
        <v>70</v>
      </c>
      <c r="G5" s="64">
        <f>Rohdaten!EV22</f>
        <v>51</v>
      </c>
      <c r="H5" s="64">
        <f>Rohdaten!FY22</f>
        <v>65</v>
      </c>
      <c r="I5" s="64">
        <f>Rohdaten!HB22</f>
        <v>48</v>
      </c>
      <c r="J5" s="64"/>
      <c r="K5" s="73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72" t="s">
        <v>66</v>
      </c>
      <c r="B6" s="74">
        <f>B3-Rohdaten!$E23</f>
        <v>15</v>
      </c>
      <c r="C6" s="75">
        <f>C3-Rohdaten!$E23</f>
        <v>10</v>
      </c>
      <c r="D6" s="75">
        <f>D3-Rohdaten!$E23</f>
        <v>28</v>
      </c>
      <c r="E6" s="75">
        <f>E3-Rohdaten!$E23</f>
        <v>27</v>
      </c>
      <c r="F6" s="75">
        <f>F3-Rohdaten!$E23</f>
        <v>65</v>
      </c>
      <c r="G6" s="75">
        <f>G3-Rohdaten!$E23</f>
        <v>30</v>
      </c>
      <c r="H6" s="75">
        <f>H3-Rohdaten!$E23</f>
        <v>59</v>
      </c>
      <c r="I6" s="75">
        <f>I3-Rohdaten!$E23</f>
        <v>23</v>
      </c>
      <c r="J6" s="75"/>
      <c r="K6" s="76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72" t="s">
        <v>67</v>
      </c>
      <c r="B7" s="74">
        <f>Rohdaten!AH23</f>
        <v>67</v>
      </c>
      <c r="C7" s="75">
        <f>Rohdaten!BK23</f>
        <v>70</v>
      </c>
      <c r="D7" s="75">
        <f>Rohdaten!CN23</f>
        <v>76</v>
      </c>
      <c r="E7" s="75">
        <f>Rohdaten!DQ23</f>
        <v>76</v>
      </c>
      <c r="F7" s="75">
        <f>Rohdaten!ET23</f>
        <v>83</v>
      </c>
      <c r="G7" s="75">
        <f>Rohdaten!FW23</f>
        <v>75</v>
      </c>
      <c r="H7" s="75">
        <f>Rohdaten!GZ23</f>
        <v>77</v>
      </c>
      <c r="I7" s="75">
        <f>Rohdaten!IC23</f>
        <v>77</v>
      </c>
      <c r="J7" s="75"/>
      <c r="K7" s="76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72" t="s">
        <v>68</v>
      </c>
      <c r="B8" s="74">
        <f>B7-Rohdaten!$E23</f>
        <v>-5</v>
      </c>
      <c r="C8" s="75">
        <f>C7-Rohdaten!$E23</f>
        <v>-2</v>
      </c>
      <c r="D8" s="75">
        <f>D7-Rohdaten!$E23</f>
        <v>4</v>
      </c>
      <c r="E8" s="75">
        <f>E7-Rohdaten!$E23</f>
        <v>4</v>
      </c>
      <c r="F8" s="75">
        <f>F7-Rohdaten!$E23</f>
        <v>11</v>
      </c>
      <c r="G8" s="75">
        <f>G7-Rohdaten!$E23</f>
        <v>3</v>
      </c>
      <c r="H8" s="75">
        <f>H7-Rohdaten!$E23</f>
        <v>5</v>
      </c>
      <c r="I8" s="75">
        <f>I7-Rohdaten!$E23</f>
        <v>5</v>
      </c>
      <c r="J8" s="75"/>
      <c r="K8" s="76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77" t="s">
        <v>69</v>
      </c>
      <c r="B9" s="78">
        <f t="shared" ref="B9:I9" si="0">_xlfn.RANK.EQ(B8,$B8:$K8,1)</f>
        <v>1</v>
      </c>
      <c r="C9" s="79">
        <f t="shared" si="0"/>
        <v>2</v>
      </c>
      <c r="D9" s="79">
        <f t="shared" si="0"/>
        <v>4</v>
      </c>
      <c r="E9" s="79">
        <f t="shared" si="0"/>
        <v>4</v>
      </c>
      <c r="F9" s="79">
        <f t="shared" si="0"/>
        <v>8</v>
      </c>
      <c r="G9" s="79">
        <f t="shared" si="0"/>
        <v>3</v>
      </c>
      <c r="H9" s="79">
        <f t="shared" si="0"/>
        <v>6</v>
      </c>
      <c r="I9" s="79">
        <f t="shared" si="0"/>
        <v>6</v>
      </c>
      <c r="J9" s="79"/>
      <c r="K9" s="80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69" t="s">
        <v>19</v>
      </c>
      <c r="B10" s="69">
        <f>Rohdaten!I23</f>
        <v>36</v>
      </c>
      <c r="C10" s="70">
        <f>Rohdaten!AL23</f>
        <v>35</v>
      </c>
      <c r="D10" s="70">
        <f>Rohdaten!BO23</f>
        <v>36</v>
      </c>
      <c r="E10" s="70">
        <f>Rohdaten!CR23</f>
        <v>38</v>
      </c>
      <c r="F10" s="70">
        <f>Rohdaten!DU23</f>
        <v>42</v>
      </c>
      <c r="G10" s="70">
        <f>Rohdaten!EX23</f>
        <v>42</v>
      </c>
      <c r="H10" s="70">
        <f>Rohdaten!GA23</f>
        <v>42</v>
      </c>
      <c r="I10" s="70">
        <f>Rohdaten!HD23</f>
        <v>39</v>
      </c>
      <c r="J10" s="70"/>
      <c r="K10" s="71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70</v>
      </c>
      <c r="B11" s="72">
        <f>Rohdaten!I12</f>
        <v>18</v>
      </c>
      <c r="C11" s="64">
        <f>Rohdaten!AL12</f>
        <v>20</v>
      </c>
      <c r="D11" s="64">
        <f>Rohdaten!BO12</f>
        <v>18</v>
      </c>
      <c r="E11" s="64">
        <f>Rohdaten!CR12</f>
        <v>17</v>
      </c>
      <c r="F11" s="64">
        <f>Rohdaten!DU12</f>
        <v>23</v>
      </c>
      <c r="G11" s="64">
        <f>Rohdaten!EX12</f>
        <v>21</v>
      </c>
      <c r="H11" s="64">
        <f>Rohdaten!GA12</f>
        <v>22</v>
      </c>
      <c r="I11" s="64">
        <f>Rohdaten!HD12</f>
        <v>20</v>
      </c>
      <c r="J11" s="64"/>
      <c r="K11" s="73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72" t="s">
        <v>71</v>
      </c>
      <c r="B12" s="72">
        <f>Rohdaten!I22</f>
        <v>18</v>
      </c>
      <c r="C12" s="64">
        <f>Rohdaten!AL22</f>
        <v>15</v>
      </c>
      <c r="D12" s="64">
        <f>Rohdaten!BO22</f>
        <v>18</v>
      </c>
      <c r="E12" s="64">
        <f>Rohdaten!CR22</f>
        <v>21</v>
      </c>
      <c r="F12" s="64">
        <f>Rohdaten!DU22</f>
        <v>19</v>
      </c>
      <c r="G12" s="64">
        <f>Rohdaten!EX22</f>
        <v>21</v>
      </c>
      <c r="H12" s="64">
        <f>Rohdaten!GA22</f>
        <v>20</v>
      </c>
      <c r="I12" s="64">
        <f>Rohdaten!HD22</f>
        <v>19</v>
      </c>
      <c r="J12" s="64"/>
      <c r="K12" s="73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>
        <f>Rohdaten!K23</f>
        <v>8</v>
      </c>
      <c r="C13" s="64">
        <f>Rohdaten!AN23</f>
        <v>10</v>
      </c>
      <c r="D13" s="64">
        <f>Rohdaten!BQ23</f>
        <v>4</v>
      </c>
      <c r="E13" s="64">
        <f>Rohdaten!CT23</f>
        <v>4</v>
      </c>
      <c r="F13" s="64">
        <f>Rohdaten!DW23</f>
        <v>1</v>
      </c>
      <c r="G13" s="64">
        <f>Rohdaten!EZ23</f>
        <v>4</v>
      </c>
      <c r="H13" s="64">
        <f>Rohdaten!GC23</f>
        <v>1</v>
      </c>
      <c r="I13" s="64">
        <f>Rohdaten!HF23</f>
        <v>7</v>
      </c>
      <c r="J13" s="64"/>
      <c r="K13" s="73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>
        <f>Rohdaten!M23</f>
        <v>1</v>
      </c>
      <c r="C14" s="82">
        <f>Rohdaten!AP23</f>
        <v>3</v>
      </c>
      <c r="D14" s="82">
        <f>Rohdaten!BS23</f>
        <v>1</v>
      </c>
      <c r="E14" s="82">
        <f>Rohdaten!CV23</f>
        <v>2</v>
      </c>
      <c r="F14" s="82">
        <f>Rohdaten!DY23</f>
        <v>0</v>
      </c>
      <c r="G14" s="82">
        <f>Rohdaten!FB23</f>
        <v>0</v>
      </c>
      <c r="H14" s="82">
        <f>Rohdaten!GE23</f>
        <v>0</v>
      </c>
      <c r="I14" s="82">
        <f>Rohdaten!HH23</f>
        <v>2</v>
      </c>
      <c r="J14" s="82"/>
      <c r="K14" s="8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>
        <f>Rohdaten!O23</f>
        <v>1</v>
      </c>
      <c r="C15" s="70">
        <f>Rohdaten!AR23</f>
        <v>0</v>
      </c>
      <c r="D15" s="70">
        <f>Rohdaten!BU23</f>
        <v>0</v>
      </c>
      <c r="E15" s="70">
        <f>Rohdaten!CX23</f>
        <v>0</v>
      </c>
      <c r="F15" s="70">
        <f>Rohdaten!EA23</f>
        <v>0</v>
      </c>
      <c r="G15" s="70">
        <f>Rohdaten!FD23</f>
        <v>0</v>
      </c>
      <c r="H15" s="70">
        <f>Rohdaten!GG23</f>
        <v>0</v>
      </c>
      <c r="I15" s="70">
        <f>Rohdaten!HJ23</f>
        <v>0</v>
      </c>
      <c r="J15" s="70"/>
      <c r="K15" s="71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>
        <f>Rohdaten!Q23</f>
        <v>6</v>
      </c>
      <c r="C16" s="64">
        <f>Rohdaten!AT23</f>
        <v>10</v>
      </c>
      <c r="D16" s="64">
        <f>Rohdaten!BW23</f>
        <v>5</v>
      </c>
      <c r="E16" s="64">
        <f>Rohdaten!CZ23</f>
        <v>4</v>
      </c>
      <c r="F16" s="64">
        <f>Rohdaten!EC23</f>
        <v>1</v>
      </c>
      <c r="G16" s="64">
        <f>Rohdaten!FF23</f>
        <v>2</v>
      </c>
      <c r="H16" s="64">
        <f>Rohdaten!GI23</f>
        <v>0</v>
      </c>
      <c r="I16" s="64">
        <f>Rohdaten!HL23</f>
        <v>5</v>
      </c>
      <c r="J16" s="64"/>
      <c r="K16" s="7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>
        <f>Rohdaten!S23</f>
        <v>7</v>
      </c>
      <c r="C17" s="64">
        <f>Rohdaten!AV23</f>
        <v>6</v>
      </c>
      <c r="D17" s="64">
        <f>Rohdaten!BY23</f>
        <v>5</v>
      </c>
      <c r="E17" s="64">
        <f>Rohdaten!DB23</f>
        <v>5</v>
      </c>
      <c r="F17" s="64">
        <f>Rohdaten!EE23</f>
        <v>1</v>
      </c>
      <c r="G17" s="64">
        <f>Rohdaten!FH23</f>
        <v>5</v>
      </c>
      <c r="H17" s="64">
        <f>Rohdaten!GK23</f>
        <v>2</v>
      </c>
      <c r="I17" s="64">
        <f>Rohdaten!HN23</f>
        <v>8</v>
      </c>
      <c r="J17" s="64"/>
      <c r="K17" s="73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>
        <f>Rohdaten!U23</f>
        <v>4</v>
      </c>
      <c r="C18" s="82">
        <f>Rohdaten!AX23</f>
        <v>2</v>
      </c>
      <c r="D18" s="82">
        <f>Rohdaten!CA23</f>
        <v>8</v>
      </c>
      <c r="E18" s="82">
        <f>Rohdaten!DD23</f>
        <v>9</v>
      </c>
      <c r="F18" s="82">
        <f>Rohdaten!EG23</f>
        <v>16</v>
      </c>
      <c r="G18" s="82">
        <f>Rohdaten!FJ23</f>
        <v>11</v>
      </c>
      <c r="H18" s="82">
        <f>Rohdaten!GM23</f>
        <v>16</v>
      </c>
      <c r="I18" s="82">
        <f>Rohdaten!HP23</f>
        <v>5</v>
      </c>
      <c r="J18" s="82"/>
      <c r="K18" s="83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>
        <f>Rohdaten!W23</f>
        <v>0</v>
      </c>
      <c r="C19" s="70">
        <f>Rohdaten!AZ23</f>
        <v>0</v>
      </c>
      <c r="D19" s="70">
        <f>Rohdaten!CC23</f>
        <v>0</v>
      </c>
      <c r="E19" s="70">
        <f>Rohdaten!DF23</f>
        <v>0</v>
      </c>
      <c r="F19" s="70">
        <f>Rohdaten!EI23</f>
        <v>0</v>
      </c>
      <c r="G19" s="70">
        <f>Rohdaten!FL23</f>
        <v>0</v>
      </c>
      <c r="H19" s="70">
        <f>Rohdaten!GO23</f>
        <v>0</v>
      </c>
      <c r="I19" s="70">
        <f>Rohdaten!HR23</f>
        <v>0</v>
      </c>
      <c r="J19" s="70"/>
      <c r="K19" s="71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>
        <f>Rohdaten!Y23</f>
        <v>4</v>
      </c>
      <c r="C20" s="64">
        <f>Rohdaten!BB23</f>
        <v>4</v>
      </c>
      <c r="D20" s="64">
        <f>Rohdaten!CE23</f>
        <v>3</v>
      </c>
      <c r="E20" s="64">
        <f>Rohdaten!DH23</f>
        <v>3</v>
      </c>
      <c r="F20" s="64">
        <f>Rohdaten!EK23</f>
        <v>0</v>
      </c>
      <c r="G20" s="64">
        <f>Rohdaten!FN23</f>
        <v>1</v>
      </c>
      <c r="H20" s="64">
        <f>Rohdaten!GQ23</f>
        <v>2</v>
      </c>
      <c r="I20" s="64">
        <f>Rohdaten!HT23</f>
        <v>2</v>
      </c>
      <c r="J20" s="64"/>
      <c r="K20" s="73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>
        <f>Rohdaten!AA23</f>
        <v>11</v>
      </c>
      <c r="C21" s="64">
        <f>Rohdaten!BD23</f>
        <v>11</v>
      </c>
      <c r="D21" s="64">
        <f>Rohdaten!CG23</f>
        <v>12</v>
      </c>
      <c r="E21" s="64">
        <f>Rohdaten!DJ23</f>
        <v>10</v>
      </c>
      <c r="F21" s="64">
        <f>Rohdaten!EM23</f>
        <v>13</v>
      </c>
      <c r="G21" s="64">
        <f>Rohdaten!FP23</f>
        <v>10</v>
      </c>
      <c r="H21" s="64">
        <f>Rohdaten!GS23</f>
        <v>8</v>
      </c>
      <c r="I21" s="64">
        <f>Rohdaten!HV23</f>
        <v>11</v>
      </c>
      <c r="J21" s="64"/>
      <c r="K21" s="73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>
        <f>Rohdaten!AC23</f>
        <v>3</v>
      </c>
      <c r="C22" s="82">
        <f>Rohdaten!BF23</f>
        <v>3</v>
      </c>
      <c r="D22" s="82">
        <f>Rohdaten!CI23</f>
        <v>3</v>
      </c>
      <c r="E22" s="82">
        <f>Rohdaten!DL23</f>
        <v>5</v>
      </c>
      <c r="F22" s="82">
        <f>Rohdaten!EO23</f>
        <v>5</v>
      </c>
      <c r="G22" s="82">
        <f>Rohdaten!FR23</f>
        <v>7</v>
      </c>
      <c r="H22" s="82">
        <f>Rohdaten!GU23</f>
        <v>8</v>
      </c>
      <c r="I22" s="82">
        <f>Rohdaten!HX23</f>
        <v>5</v>
      </c>
      <c r="J22" s="82"/>
      <c r="K22" s="83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75</v>
      </c>
      <c r="B23" s="84">
        <f t="shared" ref="B23:I23" si="1">B10/18</f>
        <v>2</v>
      </c>
      <c r="C23" s="85">
        <f t="shared" si="1"/>
        <v>1.9444444444444444</v>
      </c>
      <c r="D23" s="85">
        <f t="shared" si="1"/>
        <v>2</v>
      </c>
      <c r="E23" s="85">
        <f t="shared" si="1"/>
        <v>2.1111111111111112</v>
      </c>
      <c r="F23" s="85">
        <f t="shared" si="1"/>
        <v>2.3333333333333335</v>
      </c>
      <c r="G23" s="85">
        <f t="shared" si="1"/>
        <v>2.3333333333333335</v>
      </c>
      <c r="H23" s="85">
        <f t="shared" si="1"/>
        <v>2.3333333333333335</v>
      </c>
      <c r="I23" s="85">
        <f t="shared" si="1"/>
        <v>2.1666666666666665</v>
      </c>
      <c r="J23" s="85"/>
      <c r="K23" s="86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69" t="s">
        <v>41</v>
      </c>
      <c r="B24" s="87">
        <f>Rohdaten!AE23</f>
        <v>1</v>
      </c>
      <c r="C24" s="88">
        <f>Rohdaten!BH23</f>
        <v>1</v>
      </c>
      <c r="D24" s="88">
        <f>Rohdaten!CK23</f>
        <v>1.25</v>
      </c>
      <c r="E24" s="88">
        <f>Rohdaten!DN23</f>
        <v>1.5</v>
      </c>
      <c r="F24" s="88">
        <f>Rohdaten!EQ23</f>
        <v>2.5</v>
      </c>
      <c r="G24" s="88">
        <f>Rohdaten!FT23</f>
        <v>1.5</v>
      </c>
      <c r="H24" s="88">
        <f>Rohdaten!GW23</f>
        <v>2.25</v>
      </c>
      <c r="I24" s="88">
        <f>Rohdaten!HZ23</f>
        <v>0.75</v>
      </c>
      <c r="J24" s="88"/>
      <c r="K24" s="89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72" t="s">
        <v>42</v>
      </c>
      <c r="B25" s="90">
        <f>Rohdaten!AF23</f>
        <v>0.7</v>
      </c>
      <c r="C25" s="91">
        <f>Rohdaten!BI23</f>
        <v>0.6</v>
      </c>
      <c r="D25" s="91">
        <f>Rohdaten!CL23</f>
        <v>1.7</v>
      </c>
      <c r="E25" s="91">
        <f>Rohdaten!DO23</f>
        <v>1.2</v>
      </c>
      <c r="F25" s="91">
        <f>Rohdaten!ER23</f>
        <v>3.8</v>
      </c>
      <c r="G25" s="91">
        <f>Rohdaten!FU23</f>
        <v>1.9</v>
      </c>
      <c r="H25" s="91">
        <f>Rohdaten!GX23</f>
        <v>3.7</v>
      </c>
      <c r="I25" s="91">
        <f>Rohdaten!IA23</f>
        <v>1.3</v>
      </c>
      <c r="J25" s="91"/>
      <c r="K25" s="92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81" t="s">
        <v>43</v>
      </c>
      <c r="B26" s="93">
        <f>Rohdaten!AG23</f>
        <v>1</v>
      </c>
      <c r="C26" s="94">
        <f>Rohdaten!BJ23</f>
        <v>0</v>
      </c>
      <c r="D26" s="94">
        <f>Rohdaten!CM23</f>
        <v>1.5</v>
      </c>
      <c r="E26" s="94">
        <f>Rohdaten!DP23</f>
        <v>2.25</v>
      </c>
      <c r="F26" s="94">
        <f>Rohdaten!ES23</f>
        <v>4.25</v>
      </c>
      <c r="G26" s="94">
        <f>Rohdaten!FV23</f>
        <v>1.25</v>
      </c>
      <c r="H26" s="94">
        <f>Rohdaten!GY23</f>
        <v>3.25</v>
      </c>
      <c r="I26" s="94">
        <f>Rohdaten!IB23</f>
        <v>1.75</v>
      </c>
      <c r="J26" s="94"/>
      <c r="K26" s="95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76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96" t="s">
        <v>17</v>
      </c>
      <c r="B3" s="69">
        <f>Rohdaten!G46</f>
        <v>90</v>
      </c>
      <c r="C3" s="70">
        <f>Rohdaten!AJ46</f>
        <v>81</v>
      </c>
      <c r="D3" s="70">
        <f>Rohdaten!BM46</f>
        <v>100</v>
      </c>
      <c r="E3" s="70">
        <f>Rohdaten!CP46</f>
        <v>89</v>
      </c>
      <c r="F3" s="70">
        <f>Rohdaten!DS46</f>
        <v>140</v>
      </c>
      <c r="G3" s="70">
        <f>Rohdaten!EV46</f>
        <v>99</v>
      </c>
      <c r="H3" s="70">
        <f>Rohdaten!FY46</f>
        <v>132</v>
      </c>
      <c r="I3" s="70">
        <f>Rohdaten!HB46</f>
        <v>96</v>
      </c>
      <c r="J3" s="70"/>
      <c r="K3" s="71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72" t="s">
        <v>64</v>
      </c>
      <c r="B4" s="72">
        <f>Rohdaten!G35</f>
        <v>50</v>
      </c>
      <c r="C4" s="64">
        <f>Rohdaten!AJ35</f>
        <v>40</v>
      </c>
      <c r="D4" s="64">
        <f>Rohdaten!BM35</f>
        <v>51</v>
      </c>
      <c r="E4" s="64">
        <f>Rohdaten!CP35</f>
        <v>45</v>
      </c>
      <c r="F4" s="64">
        <f>Rohdaten!DS35</f>
        <v>70</v>
      </c>
      <c r="G4" s="64">
        <f>Rohdaten!EV35</f>
        <v>49</v>
      </c>
      <c r="H4" s="64">
        <f>Rohdaten!FY35</f>
        <v>70</v>
      </c>
      <c r="I4" s="64">
        <f>Rohdaten!HB35</f>
        <v>51</v>
      </c>
      <c r="J4" s="64"/>
      <c r="K4" s="73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72" t="s">
        <v>65</v>
      </c>
      <c r="B5" s="72">
        <f>Rohdaten!G45</f>
        <v>40</v>
      </c>
      <c r="C5" s="64">
        <f>Rohdaten!AJ45</f>
        <v>41</v>
      </c>
      <c r="D5" s="64">
        <f>Rohdaten!BM45</f>
        <v>49</v>
      </c>
      <c r="E5" s="64">
        <f>Rohdaten!CP45</f>
        <v>44</v>
      </c>
      <c r="F5" s="64">
        <f>Rohdaten!DS45</f>
        <v>70</v>
      </c>
      <c r="G5" s="64">
        <f>Rohdaten!EV45</f>
        <v>50</v>
      </c>
      <c r="H5" s="64">
        <f>Rohdaten!FY45</f>
        <v>62</v>
      </c>
      <c r="I5" s="64">
        <f>Rohdaten!HB45</f>
        <v>45</v>
      </c>
      <c r="J5" s="64"/>
      <c r="K5" s="73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97" t="s">
        <v>66</v>
      </c>
      <c r="B6" s="74">
        <f>B3-Rohdaten!$E46</f>
        <v>18</v>
      </c>
      <c r="C6" s="75">
        <f>C3-Rohdaten!$E46</f>
        <v>9</v>
      </c>
      <c r="D6" s="75">
        <f>D3-Rohdaten!$E46</f>
        <v>28</v>
      </c>
      <c r="E6" s="75">
        <f>E3-Rohdaten!$E46</f>
        <v>17</v>
      </c>
      <c r="F6" s="75">
        <f>F3-Rohdaten!$E46</f>
        <v>68</v>
      </c>
      <c r="G6" s="75">
        <f>G3-Rohdaten!$E46</f>
        <v>27</v>
      </c>
      <c r="H6" s="75">
        <f>H3-Rohdaten!$E46</f>
        <v>60</v>
      </c>
      <c r="I6" s="75">
        <f>I3-Rohdaten!$E46</f>
        <v>24</v>
      </c>
      <c r="J6" s="75"/>
      <c r="K6" s="76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97" t="s">
        <v>67</v>
      </c>
      <c r="B7" s="74">
        <f>Rohdaten!AH46</f>
        <v>70</v>
      </c>
      <c r="C7" s="75">
        <f>Rohdaten!BK46</f>
        <v>68.999999999999986</v>
      </c>
      <c r="D7" s="75">
        <f>Rohdaten!CN46</f>
        <v>76</v>
      </c>
      <c r="E7" s="75">
        <f>Rohdaten!DQ46</f>
        <v>66</v>
      </c>
      <c r="F7" s="75">
        <f>Rohdaten!ET46</f>
        <v>86</v>
      </c>
      <c r="G7" s="75">
        <f>Rohdaten!FW46</f>
        <v>72</v>
      </c>
      <c r="H7" s="75">
        <f>Rohdaten!GZ46</f>
        <v>78</v>
      </c>
      <c r="I7" s="75">
        <f>Rohdaten!IC46</f>
        <v>78</v>
      </c>
      <c r="J7" s="75"/>
      <c r="K7" s="76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97" t="s">
        <v>68</v>
      </c>
      <c r="B8" s="74">
        <f>B7-Rohdaten!$E46</f>
        <v>-2</v>
      </c>
      <c r="C8" s="75">
        <f>C7-Rohdaten!$E46</f>
        <v>-3.0000000000000142</v>
      </c>
      <c r="D8" s="75">
        <f>D7-Rohdaten!$E46</f>
        <v>4</v>
      </c>
      <c r="E8" s="75">
        <f>E7-Rohdaten!$E46</f>
        <v>-6</v>
      </c>
      <c r="F8" s="75">
        <f>F7-Rohdaten!$E46</f>
        <v>14</v>
      </c>
      <c r="G8" s="75">
        <f>G7-Rohdaten!$E46</f>
        <v>0</v>
      </c>
      <c r="H8" s="75">
        <f>H7-Rohdaten!$E46</f>
        <v>6</v>
      </c>
      <c r="I8" s="75">
        <f>I7-Rohdaten!$E46</f>
        <v>6</v>
      </c>
      <c r="J8" s="75"/>
      <c r="K8" s="76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98" t="s">
        <v>69</v>
      </c>
      <c r="B9" s="78">
        <f t="shared" ref="B9:I9" si="0">_xlfn.RANK.EQ(B8,$B8:$K8,1)</f>
        <v>3</v>
      </c>
      <c r="C9" s="79">
        <f t="shared" si="0"/>
        <v>2</v>
      </c>
      <c r="D9" s="79">
        <f t="shared" si="0"/>
        <v>5</v>
      </c>
      <c r="E9" s="79">
        <f t="shared" si="0"/>
        <v>1</v>
      </c>
      <c r="F9" s="79">
        <f t="shared" si="0"/>
        <v>8</v>
      </c>
      <c r="G9" s="79">
        <f t="shared" si="0"/>
        <v>4</v>
      </c>
      <c r="H9" s="79">
        <f t="shared" si="0"/>
        <v>6</v>
      </c>
      <c r="I9" s="79">
        <f t="shared" si="0"/>
        <v>6</v>
      </c>
      <c r="J9" s="79"/>
      <c r="K9" s="80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69" t="s">
        <v>19</v>
      </c>
      <c r="B10" s="69">
        <f>Rohdaten!I46</f>
        <v>35</v>
      </c>
      <c r="C10" s="70">
        <f>Rohdaten!AL46</f>
        <v>31</v>
      </c>
      <c r="D10" s="70">
        <f>Rohdaten!BO46</f>
        <v>37</v>
      </c>
      <c r="E10" s="70">
        <f>Rohdaten!CR46</f>
        <v>35</v>
      </c>
      <c r="F10" s="70">
        <f>Rohdaten!DU46</f>
        <v>37</v>
      </c>
      <c r="G10" s="70">
        <f>Rohdaten!EX46</f>
        <v>35</v>
      </c>
      <c r="H10" s="70">
        <f>Rohdaten!GA46</f>
        <v>43</v>
      </c>
      <c r="I10" s="70">
        <f>Rohdaten!HD46</f>
        <v>35</v>
      </c>
      <c r="J10" s="70"/>
      <c r="K10" s="71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70</v>
      </c>
      <c r="B11" s="72">
        <f>Rohdaten!I35</f>
        <v>19</v>
      </c>
      <c r="C11" s="64">
        <f>Rohdaten!AL35</f>
        <v>16</v>
      </c>
      <c r="D11" s="64">
        <f>Rohdaten!BO35</f>
        <v>20</v>
      </c>
      <c r="E11" s="64">
        <f>Rohdaten!CR35</f>
        <v>17</v>
      </c>
      <c r="F11" s="64">
        <f>Rohdaten!DU35</f>
        <v>19</v>
      </c>
      <c r="G11" s="64">
        <f>Rohdaten!EX35</f>
        <v>17</v>
      </c>
      <c r="H11" s="64">
        <f>Rohdaten!GA35</f>
        <v>23</v>
      </c>
      <c r="I11" s="64">
        <f>Rohdaten!HD35</f>
        <v>18</v>
      </c>
      <c r="J11" s="64"/>
      <c r="K11" s="73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72" t="s">
        <v>71</v>
      </c>
      <c r="B12" s="72">
        <f>Rohdaten!I45</f>
        <v>16</v>
      </c>
      <c r="C12" s="64">
        <f>Rohdaten!AL45</f>
        <v>15</v>
      </c>
      <c r="D12" s="64">
        <f>Rohdaten!BO45</f>
        <v>17</v>
      </c>
      <c r="E12" s="64">
        <f>Rohdaten!CR45</f>
        <v>18</v>
      </c>
      <c r="F12" s="64">
        <f>Rohdaten!DU45</f>
        <v>18</v>
      </c>
      <c r="G12" s="64">
        <f>Rohdaten!EX45</f>
        <v>18</v>
      </c>
      <c r="H12" s="64">
        <f>Rohdaten!GA45</f>
        <v>20</v>
      </c>
      <c r="I12" s="64">
        <f>Rohdaten!HD45</f>
        <v>17</v>
      </c>
      <c r="J12" s="64"/>
      <c r="K12" s="73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>
        <f>Rohdaten!K46</f>
        <v>7</v>
      </c>
      <c r="C13" s="64">
        <f>Rohdaten!AN46</f>
        <v>10</v>
      </c>
      <c r="D13" s="64">
        <f>Rohdaten!BQ46</f>
        <v>2</v>
      </c>
      <c r="E13" s="64">
        <f>Rohdaten!CT46</f>
        <v>4</v>
      </c>
      <c r="F13" s="64">
        <f>Rohdaten!DW46</f>
        <v>0</v>
      </c>
      <c r="G13" s="64">
        <f>Rohdaten!EZ46</f>
        <v>4</v>
      </c>
      <c r="H13" s="64">
        <f>Rohdaten!GC46</f>
        <v>1</v>
      </c>
      <c r="I13" s="64">
        <f>Rohdaten!HF46</f>
        <v>3</v>
      </c>
      <c r="J13" s="64"/>
      <c r="K13" s="73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>
        <f>Rohdaten!M46</f>
        <v>2</v>
      </c>
      <c r="C14" s="82">
        <f>Rohdaten!AP46</f>
        <v>2</v>
      </c>
      <c r="D14" s="82">
        <f>Rohdaten!BS46</f>
        <v>2</v>
      </c>
      <c r="E14" s="82">
        <f>Rohdaten!CV46</f>
        <v>1</v>
      </c>
      <c r="F14" s="82">
        <f>Rohdaten!DY46</f>
        <v>0</v>
      </c>
      <c r="G14" s="82">
        <f>Rohdaten!FB46</f>
        <v>0</v>
      </c>
      <c r="H14" s="82">
        <f>Rohdaten!GE46</f>
        <v>0</v>
      </c>
      <c r="I14" s="82">
        <f>Rohdaten!HH46</f>
        <v>2</v>
      </c>
      <c r="J14" s="82"/>
      <c r="K14" s="8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>
        <f>Rohdaten!O46</f>
        <v>0</v>
      </c>
      <c r="C15" s="70">
        <f>Rohdaten!AR46</f>
        <v>3</v>
      </c>
      <c r="D15" s="70">
        <f>Rohdaten!BU46</f>
        <v>1</v>
      </c>
      <c r="E15" s="70">
        <f>Rohdaten!CX46</f>
        <v>0</v>
      </c>
      <c r="F15" s="70">
        <f>Rohdaten!EA46</f>
        <v>0</v>
      </c>
      <c r="G15" s="70">
        <f>Rohdaten!FD46</f>
        <v>2</v>
      </c>
      <c r="H15" s="70">
        <f>Rohdaten!GG46</f>
        <v>0</v>
      </c>
      <c r="I15" s="70">
        <f>Rohdaten!HJ46</f>
        <v>0</v>
      </c>
      <c r="J15" s="70"/>
      <c r="K15" s="71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>
        <f>Rohdaten!Q46</f>
        <v>8</v>
      </c>
      <c r="C16" s="64">
        <f>Rohdaten!AT46</f>
        <v>9</v>
      </c>
      <c r="D16" s="64">
        <f>Rohdaten!BW46</f>
        <v>3</v>
      </c>
      <c r="E16" s="64">
        <f>Rohdaten!CZ46</f>
        <v>4</v>
      </c>
      <c r="F16" s="64">
        <f>Rohdaten!EC46</f>
        <v>0</v>
      </c>
      <c r="G16" s="64">
        <f>Rohdaten!FF46</f>
        <v>2</v>
      </c>
      <c r="H16" s="64">
        <f>Rohdaten!GI46</f>
        <v>0</v>
      </c>
      <c r="I16" s="64">
        <f>Rohdaten!HL46</f>
        <v>4</v>
      </c>
      <c r="J16" s="64"/>
      <c r="K16" s="7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>
        <f>Rohdaten!S46</f>
        <v>5</v>
      </c>
      <c r="C17" s="64">
        <f>Rohdaten!AV46</f>
        <v>2</v>
      </c>
      <c r="D17" s="64">
        <f>Rohdaten!BY46</f>
        <v>4</v>
      </c>
      <c r="E17" s="64">
        <f>Rohdaten!DB46</f>
        <v>11</v>
      </c>
      <c r="F17" s="64">
        <f>Rohdaten!EE46</f>
        <v>1</v>
      </c>
      <c r="G17" s="64">
        <f>Rohdaten!FH46</f>
        <v>5</v>
      </c>
      <c r="H17" s="64">
        <f>Rohdaten!GK46</f>
        <v>3</v>
      </c>
      <c r="I17" s="64">
        <f>Rohdaten!GL46</f>
        <v>0</v>
      </c>
      <c r="J17" s="64"/>
      <c r="K17" s="73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>
        <f>Rohdaten!U46</f>
        <v>5</v>
      </c>
      <c r="C18" s="82">
        <f>Rohdaten!AX46</f>
        <v>4</v>
      </c>
      <c r="D18" s="82">
        <f>Rohdaten!CA46</f>
        <v>10</v>
      </c>
      <c r="E18" s="82">
        <f>Rohdaten!DD46</f>
        <v>3</v>
      </c>
      <c r="F18" s="82">
        <f>Rohdaten!EG46</f>
        <v>17</v>
      </c>
      <c r="G18" s="82">
        <f>Rohdaten!FJ46</f>
        <v>9</v>
      </c>
      <c r="H18" s="82">
        <f>Rohdaten!GM46</f>
        <v>15</v>
      </c>
      <c r="I18" s="82">
        <f>Rohdaten!HP46</f>
        <v>5</v>
      </c>
      <c r="J18" s="82"/>
      <c r="K18" s="83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>
        <f>Rohdaten!W46</f>
        <v>0</v>
      </c>
      <c r="C19" s="70">
        <f>Rohdaten!AZ46</f>
        <v>0</v>
      </c>
      <c r="D19" s="70">
        <f>Rohdaten!CC46</f>
        <v>0</v>
      </c>
      <c r="E19" s="70">
        <f>Rohdaten!DF46</f>
        <v>0</v>
      </c>
      <c r="F19" s="70">
        <f>Rohdaten!EI46</f>
        <v>0</v>
      </c>
      <c r="G19" s="70">
        <f>Rohdaten!FL46</f>
        <v>0</v>
      </c>
      <c r="H19" s="70">
        <f>Rohdaten!GO46</f>
        <v>0</v>
      </c>
      <c r="I19" s="70">
        <f>Rohdaten!HR46</f>
        <v>0</v>
      </c>
      <c r="J19" s="70"/>
      <c r="K19" s="71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>
        <f>Rohdaten!Y46</f>
        <v>3</v>
      </c>
      <c r="C20" s="64">
        <f>Rohdaten!BB46</f>
        <v>6</v>
      </c>
      <c r="D20" s="64">
        <f>Rohdaten!CE46</f>
        <v>3</v>
      </c>
      <c r="E20" s="64">
        <f>Rohdaten!DH46</f>
        <v>3</v>
      </c>
      <c r="F20" s="64">
        <f>Rohdaten!EK46</f>
        <v>2</v>
      </c>
      <c r="G20" s="64">
        <f>Rohdaten!FN46</f>
        <v>2</v>
      </c>
      <c r="H20" s="64">
        <f>Rohdaten!GQ46</f>
        <v>0</v>
      </c>
      <c r="I20" s="64">
        <f>Rohdaten!HT46</f>
        <v>3</v>
      </c>
      <c r="J20" s="64"/>
      <c r="K20" s="73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>
        <f>Rohdaten!AA46</f>
        <v>13</v>
      </c>
      <c r="C21" s="64">
        <f>Rohdaten!BD46</f>
        <v>11</v>
      </c>
      <c r="D21" s="64">
        <f>Rohdaten!CG46</f>
        <v>11</v>
      </c>
      <c r="E21" s="64">
        <f>Rohdaten!DJ46</f>
        <v>13</v>
      </c>
      <c r="F21" s="64">
        <f>Rohdaten!EM46</f>
        <v>13</v>
      </c>
      <c r="G21" s="64">
        <f>Rohdaten!FP46</f>
        <v>15</v>
      </c>
      <c r="H21" s="64">
        <f>Rohdaten!GS46</f>
        <v>11</v>
      </c>
      <c r="I21" s="64">
        <f>Rohdaten!HV46</f>
        <v>13</v>
      </c>
      <c r="J21" s="64"/>
      <c r="K21" s="73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>
        <f>Rohdaten!AC46</f>
        <v>2</v>
      </c>
      <c r="C22" s="82">
        <f>Rohdaten!BF46</f>
        <v>1</v>
      </c>
      <c r="D22" s="82">
        <f>Rohdaten!CI46</f>
        <v>4</v>
      </c>
      <c r="E22" s="82">
        <f>Rohdaten!DL46</f>
        <v>2</v>
      </c>
      <c r="F22" s="82">
        <f>Rohdaten!EO46</f>
        <v>3</v>
      </c>
      <c r="G22" s="82">
        <f>Rohdaten!FR46</f>
        <v>1</v>
      </c>
      <c r="H22" s="82">
        <f>Rohdaten!GU46</f>
        <v>7</v>
      </c>
      <c r="I22" s="82">
        <f>Rohdaten!HX46</f>
        <v>2</v>
      </c>
      <c r="J22" s="82"/>
      <c r="K22" s="83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77</v>
      </c>
      <c r="B23" s="84">
        <f t="shared" ref="B23:I23" si="1">B10/18</f>
        <v>1.9444444444444444</v>
      </c>
      <c r="C23" s="85">
        <f t="shared" si="1"/>
        <v>1.7222222222222223</v>
      </c>
      <c r="D23" s="85">
        <f t="shared" si="1"/>
        <v>2.0555555555555554</v>
      </c>
      <c r="E23" s="85">
        <f t="shared" si="1"/>
        <v>1.9444444444444444</v>
      </c>
      <c r="F23" s="85">
        <f t="shared" si="1"/>
        <v>2.0555555555555554</v>
      </c>
      <c r="G23" s="85">
        <f t="shared" si="1"/>
        <v>1.9444444444444444</v>
      </c>
      <c r="H23" s="85">
        <f t="shared" si="1"/>
        <v>2.3888888888888888</v>
      </c>
      <c r="I23" s="85">
        <f t="shared" si="1"/>
        <v>1.9444444444444444</v>
      </c>
      <c r="J23" s="85"/>
      <c r="K23" s="86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69" t="s">
        <v>41</v>
      </c>
      <c r="B24" s="87">
        <f>Rohdaten!AE46</f>
        <v>0.5</v>
      </c>
      <c r="C24" s="88">
        <f>Rohdaten!BH46</f>
        <v>-0.25</v>
      </c>
      <c r="D24" s="88">
        <f>Rohdaten!CK46</f>
        <v>1</v>
      </c>
      <c r="E24" s="88">
        <f>Rohdaten!DN46</f>
        <v>1.25</v>
      </c>
      <c r="F24" s="88">
        <f>Rohdaten!EQ46</f>
        <v>2.75</v>
      </c>
      <c r="G24" s="88">
        <f>Rohdaten!FT46</f>
        <v>2.5</v>
      </c>
      <c r="H24" s="88">
        <f>Rohdaten!GW46</f>
        <v>2.25</v>
      </c>
      <c r="I24" s="88">
        <f>Rohdaten!HZ46</f>
        <v>1.25</v>
      </c>
      <c r="J24" s="88"/>
      <c r="K24" s="89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72" t="s">
        <v>42</v>
      </c>
      <c r="B25" s="90">
        <f>Rohdaten!AF46</f>
        <v>1.5</v>
      </c>
      <c r="C25" s="91">
        <f>Rohdaten!BI46</f>
        <v>0.8</v>
      </c>
      <c r="D25" s="91">
        <f>Rohdaten!CL46</f>
        <v>1.7</v>
      </c>
      <c r="E25" s="91">
        <f>Rohdaten!DO46</f>
        <v>0.9</v>
      </c>
      <c r="F25" s="91">
        <f>Rohdaten!ER46</f>
        <v>4</v>
      </c>
      <c r="G25" s="91">
        <f>Rohdaten!FU46</f>
        <v>1.1000000000000001</v>
      </c>
      <c r="H25" s="91">
        <f>Rohdaten!GX46</f>
        <v>4.2</v>
      </c>
      <c r="I25" s="91">
        <f>Rohdaten!IA46</f>
        <v>1.4</v>
      </c>
      <c r="J25" s="91"/>
      <c r="K25" s="92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81" t="s">
        <v>43</v>
      </c>
      <c r="B26" s="93">
        <f>Rohdaten!AG46</f>
        <v>0.25</v>
      </c>
      <c r="C26" s="94">
        <f>Rohdaten!BJ46</f>
        <v>0.5</v>
      </c>
      <c r="D26" s="94">
        <f>Rohdaten!CM46</f>
        <v>1.75</v>
      </c>
      <c r="E26" s="94">
        <f>Rohdaten!DP46</f>
        <v>0.75</v>
      </c>
      <c r="F26" s="94">
        <f>Rohdaten!ES46</f>
        <v>4.25</v>
      </c>
      <c r="G26" s="94">
        <f>Rohdaten!FV46</f>
        <v>1.5</v>
      </c>
      <c r="H26" s="94">
        <f>Rohdaten!GY46</f>
        <v>2.25</v>
      </c>
      <c r="I26" s="94">
        <f>Rohdaten!IB46</f>
        <v>1.25</v>
      </c>
      <c r="J26" s="94"/>
      <c r="K26" s="95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78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96" t="s">
        <v>17</v>
      </c>
      <c r="B3" s="69">
        <f>Rohdaten!G47</f>
        <v>177</v>
      </c>
      <c r="C3" s="70">
        <f>Rohdaten!AJ47</f>
        <v>163</v>
      </c>
      <c r="D3" s="70">
        <f>Rohdaten!BM47</f>
        <v>200</v>
      </c>
      <c r="E3" s="70">
        <f>Rohdaten!CP47</f>
        <v>188</v>
      </c>
      <c r="F3" s="70">
        <f>Rohdaten!DS47</f>
        <v>277</v>
      </c>
      <c r="G3" s="70">
        <f>Rohdaten!EV47</f>
        <v>201</v>
      </c>
      <c r="H3" s="70">
        <f>Rohdaten!FY47</f>
        <v>263</v>
      </c>
      <c r="I3" s="70">
        <f>Rohdaten!HB47</f>
        <v>191</v>
      </c>
      <c r="J3" s="70"/>
      <c r="K3" s="71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97" t="s">
        <v>79</v>
      </c>
      <c r="B4" s="72">
        <f>B3-Rohdaten!$E47</f>
        <v>33</v>
      </c>
      <c r="C4" s="64">
        <f>C3-Rohdaten!$E47</f>
        <v>19</v>
      </c>
      <c r="D4" s="64">
        <f>D3-Rohdaten!$E47</f>
        <v>56</v>
      </c>
      <c r="E4" s="64">
        <f>E3-Rohdaten!$E47</f>
        <v>44</v>
      </c>
      <c r="F4" s="64">
        <f>F3-Rohdaten!$E47</f>
        <v>133</v>
      </c>
      <c r="G4" s="64">
        <f>G3-Rohdaten!$E47</f>
        <v>57</v>
      </c>
      <c r="H4" s="64">
        <f>H3-Rohdaten!$E47</f>
        <v>119</v>
      </c>
      <c r="I4" s="64">
        <f>I3-Rohdaten!$E47</f>
        <v>47</v>
      </c>
      <c r="J4" s="64"/>
      <c r="K4" s="73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97" t="s">
        <v>80</v>
      </c>
      <c r="B5" s="72">
        <f t="shared" ref="B5:I5" si="0">B4/2</f>
        <v>16.5</v>
      </c>
      <c r="C5" s="64">
        <f t="shared" si="0"/>
        <v>9.5</v>
      </c>
      <c r="D5" s="64">
        <f t="shared" si="0"/>
        <v>28</v>
      </c>
      <c r="E5" s="64">
        <f t="shared" si="0"/>
        <v>22</v>
      </c>
      <c r="F5" s="64">
        <f t="shared" si="0"/>
        <v>66.5</v>
      </c>
      <c r="G5" s="64">
        <f t="shared" si="0"/>
        <v>28.5</v>
      </c>
      <c r="H5" s="64">
        <f t="shared" si="0"/>
        <v>59.5</v>
      </c>
      <c r="I5" s="64">
        <f t="shared" si="0"/>
        <v>23.5</v>
      </c>
      <c r="J5" s="64"/>
      <c r="K5" s="73"/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97" t="s">
        <v>67</v>
      </c>
      <c r="B6" s="74">
        <f>Rohdaten!AH47</f>
        <v>137</v>
      </c>
      <c r="C6" s="75">
        <f>Rohdaten!BK47</f>
        <v>139</v>
      </c>
      <c r="D6" s="75">
        <f>Rohdaten!CN47</f>
        <v>152</v>
      </c>
      <c r="E6" s="75">
        <f>Rohdaten!DQ47</f>
        <v>142</v>
      </c>
      <c r="F6" s="75">
        <f>Rohdaten!ET47</f>
        <v>169</v>
      </c>
      <c r="G6" s="75">
        <f>Rohdaten!FW47</f>
        <v>147</v>
      </c>
      <c r="H6" s="75">
        <f>Rohdaten!GZ47</f>
        <v>155</v>
      </c>
      <c r="I6" s="75">
        <f>Rohdaten!IC47</f>
        <v>155</v>
      </c>
      <c r="J6" s="75"/>
      <c r="K6" s="76"/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97" t="s">
        <v>68</v>
      </c>
      <c r="B7" s="74">
        <f>B6-Rohdaten!$E47</f>
        <v>-7</v>
      </c>
      <c r="C7" s="75">
        <f>C6-Rohdaten!$E47</f>
        <v>-5</v>
      </c>
      <c r="D7" s="75">
        <f>D6-Rohdaten!$E47</f>
        <v>8</v>
      </c>
      <c r="E7" s="75">
        <f>E6-Rohdaten!$E47</f>
        <v>-2</v>
      </c>
      <c r="F7" s="75">
        <f>F6-Rohdaten!$E47</f>
        <v>25</v>
      </c>
      <c r="G7" s="75">
        <f>G6-Rohdaten!$E47</f>
        <v>3</v>
      </c>
      <c r="H7" s="75">
        <f>H6-Rohdaten!$E47</f>
        <v>11</v>
      </c>
      <c r="I7" s="75">
        <f>I6-Rohdaten!$E47</f>
        <v>11</v>
      </c>
      <c r="J7" s="75"/>
      <c r="K7" s="76"/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98" t="s">
        <v>69</v>
      </c>
      <c r="B8" s="78">
        <f t="shared" ref="B8:I8" si="1">_xlfn.RANK.EQ(B7,$B7:$K7,1)</f>
        <v>1</v>
      </c>
      <c r="C8" s="79">
        <f t="shared" si="1"/>
        <v>2</v>
      </c>
      <c r="D8" s="79">
        <f t="shared" si="1"/>
        <v>5</v>
      </c>
      <c r="E8" s="79">
        <f t="shared" si="1"/>
        <v>3</v>
      </c>
      <c r="F8" s="79">
        <f t="shared" si="1"/>
        <v>8</v>
      </c>
      <c r="G8" s="79">
        <f t="shared" si="1"/>
        <v>4</v>
      </c>
      <c r="H8" s="79">
        <f t="shared" si="1"/>
        <v>6</v>
      </c>
      <c r="I8" s="79">
        <f t="shared" si="1"/>
        <v>6</v>
      </c>
      <c r="J8" s="79"/>
      <c r="K8" s="80"/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72" t="s">
        <v>81</v>
      </c>
      <c r="B9" s="72">
        <f>MAX(Rohdaten!G23,Rohdaten!G46)</f>
        <v>90</v>
      </c>
      <c r="C9" s="64">
        <f>MAX(Rohdaten!AJ23,Rohdaten!AJ46)</f>
        <v>82</v>
      </c>
      <c r="D9" s="64">
        <f>MAX(Rohdaten!BM23,Rohdaten!BM46)</f>
        <v>100</v>
      </c>
      <c r="E9" s="64">
        <f>MAX(Rohdaten!CP23,Rohdaten!CP46)</f>
        <v>99</v>
      </c>
      <c r="F9" s="64">
        <f>MAX(Rohdaten!DS23,Rohdaten!DS46)</f>
        <v>140</v>
      </c>
      <c r="G9" s="64">
        <f>MAX(Rohdaten!EV23,Rohdaten!EV46)</f>
        <v>102</v>
      </c>
      <c r="H9" s="64">
        <f>MAX(Rohdaten!FY23,Rohdaten!FY46)</f>
        <v>132</v>
      </c>
      <c r="I9" s="64">
        <f>MAX(Rohdaten!HB23,Rohdaten!HB46)</f>
        <v>96</v>
      </c>
      <c r="J9" s="64"/>
      <c r="K9" s="73"/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72" t="s">
        <v>82</v>
      </c>
      <c r="B10" s="72">
        <f>MIN(Rohdaten!G23,Rohdaten!G46)</f>
        <v>87</v>
      </c>
      <c r="C10" s="64">
        <f>MIN(Rohdaten!AJ23,Rohdaten!AJ46)</f>
        <v>81</v>
      </c>
      <c r="D10" s="64">
        <f>MIN(Rohdaten!BM23,Rohdaten!BM46)</f>
        <v>100</v>
      </c>
      <c r="E10" s="64">
        <f>MIN(Rohdaten!CP23,Rohdaten!CP46)</f>
        <v>89</v>
      </c>
      <c r="F10" s="64">
        <f>MIN(Rohdaten!DS23,Rohdaten!DS46)</f>
        <v>137</v>
      </c>
      <c r="G10" s="64">
        <f>MIN(Rohdaten!EV23,Rohdaten!EV46)</f>
        <v>99</v>
      </c>
      <c r="H10" s="64">
        <f>MIN(Rohdaten!FY23,Rohdaten!FY46)</f>
        <v>131</v>
      </c>
      <c r="I10" s="64">
        <f>MIN(Rohdaten!HB23,Rohdaten!HB46)</f>
        <v>95</v>
      </c>
      <c r="J10" s="64"/>
      <c r="K10" s="73"/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83</v>
      </c>
      <c r="B11" s="81">
        <f>AVERAGE(Rohdaten!G23,Rohdaten!G46)</f>
        <v>88.5</v>
      </c>
      <c r="C11" s="82">
        <f>AVERAGE(Rohdaten!AJ23,Rohdaten!AJ46)</f>
        <v>81.5</v>
      </c>
      <c r="D11" s="82">
        <f>AVERAGE(Rohdaten!BM23,Rohdaten!BM46)</f>
        <v>100</v>
      </c>
      <c r="E11" s="82">
        <f>AVERAGE(Rohdaten!CP23,Rohdaten!CP46)</f>
        <v>94</v>
      </c>
      <c r="F11" s="82">
        <f>AVERAGE(Rohdaten!DS23,Rohdaten!DS46)</f>
        <v>138.5</v>
      </c>
      <c r="G11" s="82">
        <f>AVERAGE(Rohdaten!EV23,Rohdaten!EV46)</f>
        <v>100.5</v>
      </c>
      <c r="H11" s="82">
        <f>AVERAGE(Rohdaten!FY23,Rohdaten!FY46)</f>
        <v>131.5</v>
      </c>
      <c r="I11" s="82">
        <f>AVERAGE(Rohdaten!HB23,Rohdaten!HB46)</f>
        <v>95.5</v>
      </c>
      <c r="J11" s="82"/>
      <c r="K11" s="83"/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69" t="s">
        <v>19</v>
      </c>
      <c r="B12" s="69">
        <f>Rohdaten!I47</f>
        <v>71</v>
      </c>
      <c r="C12" s="70">
        <f>Rohdaten!AL47</f>
        <v>66</v>
      </c>
      <c r="D12" s="70">
        <f>Rohdaten!BO47</f>
        <v>73</v>
      </c>
      <c r="E12" s="70">
        <f>Rohdaten!CR47</f>
        <v>73</v>
      </c>
      <c r="F12" s="70">
        <f>Rohdaten!DU47</f>
        <v>60</v>
      </c>
      <c r="G12" s="70">
        <f>Rohdaten!EX47</f>
        <v>77</v>
      </c>
      <c r="H12" s="70">
        <f>Rohdaten!GA47</f>
        <v>85</v>
      </c>
      <c r="I12" s="70">
        <f>Rohdaten!HD47</f>
        <v>74</v>
      </c>
      <c r="J12" s="70"/>
      <c r="K12" s="71"/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>
        <f>Rohdaten!K47</f>
        <v>15</v>
      </c>
      <c r="C13" s="64">
        <f>Rohdaten!AN47</f>
        <v>20</v>
      </c>
      <c r="D13" s="64">
        <f>Rohdaten!BQ47</f>
        <v>6</v>
      </c>
      <c r="E13" s="64">
        <f>Rohdaten!CT47</f>
        <v>8</v>
      </c>
      <c r="F13" s="64">
        <f>Rohdaten!DW47</f>
        <v>1</v>
      </c>
      <c r="G13" s="64">
        <f>Rohdaten!EZ47</f>
        <v>8</v>
      </c>
      <c r="H13" s="64">
        <f>Rohdaten!GC47</f>
        <v>2</v>
      </c>
      <c r="I13" s="64">
        <f>Rohdaten!HF47</f>
        <v>10</v>
      </c>
      <c r="J13" s="64"/>
      <c r="K13" s="73"/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>
        <f>Rohdaten!M47</f>
        <v>3</v>
      </c>
      <c r="C14" s="82">
        <f>Rohdaten!AP47</f>
        <v>5</v>
      </c>
      <c r="D14" s="82">
        <f>Rohdaten!BS47</f>
        <v>3</v>
      </c>
      <c r="E14" s="82">
        <f>Rohdaten!CV47</f>
        <v>3</v>
      </c>
      <c r="F14" s="82">
        <f>Rohdaten!DY47</f>
        <v>0</v>
      </c>
      <c r="G14" s="82">
        <f>Rohdaten!FB47</f>
        <v>0</v>
      </c>
      <c r="H14" s="82">
        <f>Rohdaten!GE47</f>
        <v>0</v>
      </c>
      <c r="I14" s="82">
        <f>Rohdaten!HH47</f>
        <v>4</v>
      </c>
      <c r="J14" s="82"/>
      <c r="K14" s="83"/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>
        <f>Rohdaten!O47</f>
        <v>1</v>
      </c>
      <c r="C15" s="70">
        <f>Rohdaten!AR47</f>
        <v>3</v>
      </c>
      <c r="D15" s="70">
        <f>Rohdaten!BU47</f>
        <v>1</v>
      </c>
      <c r="E15" s="70">
        <f>Rohdaten!CX47</f>
        <v>0</v>
      </c>
      <c r="F15" s="70">
        <f>Rohdaten!EA47</f>
        <v>0</v>
      </c>
      <c r="G15" s="70">
        <f>Rohdaten!FD47</f>
        <v>2</v>
      </c>
      <c r="H15" s="70">
        <f>Rohdaten!GG47</f>
        <v>0</v>
      </c>
      <c r="I15" s="70">
        <f>Rohdaten!HJ47</f>
        <v>0</v>
      </c>
      <c r="J15" s="70"/>
      <c r="K15" s="71"/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>
        <f>Rohdaten!Q47</f>
        <v>14</v>
      </c>
      <c r="C16" s="64">
        <f>Rohdaten!AT47</f>
        <v>19</v>
      </c>
      <c r="D16" s="64">
        <f>Rohdaten!BW47</f>
        <v>8</v>
      </c>
      <c r="E16" s="64">
        <f>Rohdaten!CZ47</f>
        <v>8</v>
      </c>
      <c r="F16" s="64">
        <f>Rohdaten!EC47</f>
        <v>1</v>
      </c>
      <c r="G16" s="64">
        <f>Rohdaten!FF47</f>
        <v>4</v>
      </c>
      <c r="H16" s="64">
        <f>Rohdaten!GI47</f>
        <v>0</v>
      </c>
      <c r="I16" s="64">
        <f>Rohdaten!HL47</f>
        <v>9</v>
      </c>
      <c r="J16" s="64"/>
      <c r="K16" s="73"/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>
        <f>Rohdaten!S47</f>
        <v>12</v>
      </c>
      <c r="C17" s="64">
        <f>Rohdaten!AV47</f>
        <v>8</v>
      </c>
      <c r="D17" s="64">
        <f>Rohdaten!BY47</f>
        <v>9</v>
      </c>
      <c r="E17" s="64">
        <f>Rohdaten!DB47</f>
        <v>16</v>
      </c>
      <c r="F17" s="64">
        <f>Rohdaten!EE47</f>
        <v>2</v>
      </c>
      <c r="G17" s="64">
        <f>Rohdaten!FH47</f>
        <v>10</v>
      </c>
      <c r="H17" s="64">
        <f>Rohdaten!GK47</f>
        <v>5</v>
      </c>
      <c r="I17" s="64">
        <f>Rohdaten!GL47</f>
        <v>0</v>
      </c>
      <c r="J17" s="64"/>
      <c r="K17" s="73"/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>
        <f>Rohdaten!U47</f>
        <v>9</v>
      </c>
      <c r="C18" s="82">
        <f>Rohdaten!AX47</f>
        <v>6</v>
      </c>
      <c r="D18" s="82">
        <f>Rohdaten!CA47</f>
        <v>18</v>
      </c>
      <c r="E18" s="82">
        <f>Rohdaten!DD47</f>
        <v>12</v>
      </c>
      <c r="F18" s="82">
        <f>Rohdaten!EG47</f>
        <v>33</v>
      </c>
      <c r="G18" s="82">
        <f>Rohdaten!FJ47</f>
        <v>20</v>
      </c>
      <c r="H18" s="82">
        <f>Rohdaten!GM47</f>
        <v>31</v>
      </c>
      <c r="I18" s="82">
        <f>Rohdaten!HP47</f>
        <v>10</v>
      </c>
      <c r="J18" s="82"/>
      <c r="K18" s="83"/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>
        <f>Rohdaten!W47</f>
        <v>0</v>
      </c>
      <c r="C19" s="70">
        <f>Rohdaten!AZ47</f>
        <v>0</v>
      </c>
      <c r="D19" s="70">
        <f>Rohdaten!CC47</f>
        <v>0</v>
      </c>
      <c r="E19" s="70">
        <f>Rohdaten!DF47</f>
        <v>0</v>
      </c>
      <c r="F19" s="70">
        <f>Rohdaten!EI47</f>
        <v>0</v>
      </c>
      <c r="G19" s="70">
        <f>Rohdaten!FL47</f>
        <v>0</v>
      </c>
      <c r="H19" s="70">
        <f>Rohdaten!GO47</f>
        <v>0</v>
      </c>
      <c r="I19" s="70">
        <f>Rohdaten!HR47</f>
        <v>0</v>
      </c>
      <c r="J19" s="70"/>
      <c r="K19" s="71"/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>
        <f>Rohdaten!Y47</f>
        <v>7</v>
      </c>
      <c r="C20" s="64">
        <f>Rohdaten!BB47</f>
        <v>10</v>
      </c>
      <c r="D20" s="64">
        <f>Rohdaten!CE47</f>
        <v>6</v>
      </c>
      <c r="E20" s="64">
        <f>Rohdaten!DH47</f>
        <v>6</v>
      </c>
      <c r="F20" s="64">
        <f>Rohdaten!EK47</f>
        <v>2</v>
      </c>
      <c r="G20" s="64">
        <f>Rohdaten!FN47</f>
        <v>3</v>
      </c>
      <c r="H20" s="64">
        <f>Rohdaten!GQ47</f>
        <v>2</v>
      </c>
      <c r="I20" s="64">
        <f>Rohdaten!HT47</f>
        <v>5</v>
      </c>
      <c r="J20" s="64"/>
      <c r="K20" s="73"/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>
        <f>Rohdaten!AA47</f>
        <v>24</v>
      </c>
      <c r="C21" s="64">
        <f>Rohdaten!BD47</f>
        <v>22</v>
      </c>
      <c r="D21" s="64">
        <f>Rohdaten!CG47</f>
        <v>23</v>
      </c>
      <c r="E21" s="64">
        <f>Rohdaten!DJ47</f>
        <v>23</v>
      </c>
      <c r="F21" s="64">
        <f>Rohdaten!EM47</f>
        <v>26</v>
      </c>
      <c r="G21" s="64">
        <f>Rohdaten!FP47</f>
        <v>25</v>
      </c>
      <c r="H21" s="64">
        <f>Rohdaten!GS47</f>
        <v>19</v>
      </c>
      <c r="I21" s="64">
        <f>Rohdaten!HV47</f>
        <v>24</v>
      </c>
      <c r="J21" s="64"/>
      <c r="K21" s="73"/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>
        <f>Rohdaten!AC47</f>
        <v>5</v>
      </c>
      <c r="C22" s="82">
        <f>Rohdaten!BF47</f>
        <v>4</v>
      </c>
      <c r="D22" s="82">
        <f>Rohdaten!CI47</f>
        <v>7</v>
      </c>
      <c r="E22" s="82">
        <f>Rohdaten!DL47</f>
        <v>7</v>
      </c>
      <c r="F22" s="82">
        <f>Rohdaten!EO47</f>
        <v>8</v>
      </c>
      <c r="G22" s="82">
        <f>Rohdaten!FR47</f>
        <v>8</v>
      </c>
      <c r="H22" s="82">
        <f>Rohdaten!GU47</f>
        <v>15</v>
      </c>
      <c r="I22" s="82">
        <f>Rohdaten!HX47</f>
        <v>7</v>
      </c>
      <c r="J22" s="82"/>
      <c r="K22" s="83"/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84</v>
      </c>
      <c r="B23" s="87">
        <f t="shared" ref="B23:I23" si="2">B12/36</f>
        <v>1.9722222222222223</v>
      </c>
      <c r="C23" s="88">
        <f t="shared" si="2"/>
        <v>1.8333333333333333</v>
      </c>
      <c r="D23" s="88">
        <f t="shared" si="2"/>
        <v>2.0277777777777777</v>
      </c>
      <c r="E23" s="88">
        <f t="shared" si="2"/>
        <v>2.0277777777777777</v>
      </c>
      <c r="F23" s="88">
        <f t="shared" si="2"/>
        <v>1.6666666666666667</v>
      </c>
      <c r="G23" s="88">
        <f t="shared" si="2"/>
        <v>2.1388888888888888</v>
      </c>
      <c r="H23" s="88">
        <f t="shared" si="2"/>
        <v>2.3611111111111112</v>
      </c>
      <c r="I23" s="88">
        <f t="shared" si="2"/>
        <v>2.0555555555555554</v>
      </c>
      <c r="J23" s="88"/>
      <c r="K23" s="89"/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72" t="s">
        <v>85</v>
      </c>
      <c r="B24" s="90">
        <f t="shared" ref="B24:I24" si="3">B13/2</f>
        <v>7.5</v>
      </c>
      <c r="C24" s="91">
        <f t="shared" si="3"/>
        <v>10</v>
      </c>
      <c r="D24" s="91">
        <f t="shared" si="3"/>
        <v>3</v>
      </c>
      <c r="E24" s="91">
        <f t="shared" si="3"/>
        <v>4</v>
      </c>
      <c r="F24" s="91">
        <f t="shared" si="3"/>
        <v>0.5</v>
      </c>
      <c r="G24" s="91">
        <f t="shared" si="3"/>
        <v>4</v>
      </c>
      <c r="H24" s="91">
        <f t="shared" si="3"/>
        <v>1</v>
      </c>
      <c r="I24" s="91">
        <f t="shared" si="3"/>
        <v>5</v>
      </c>
      <c r="J24" s="91"/>
      <c r="K24" s="92"/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81" t="s">
        <v>86</v>
      </c>
      <c r="B25" s="93">
        <f t="shared" ref="B25:I25" si="4">B14/2</f>
        <v>1.5</v>
      </c>
      <c r="C25" s="94">
        <f t="shared" si="4"/>
        <v>2.5</v>
      </c>
      <c r="D25" s="94">
        <f t="shared" si="4"/>
        <v>1.5</v>
      </c>
      <c r="E25" s="94">
        <f t="shared" si="4"/>
        <v>1.5</v>
      </c>
      <c r="F25" s="94">
        <f t="shared" si="4"/>
        <v>0</v>
      </c>
      <c r="G25" s="94">
        <f t="shared" si="4"/>
        <v>0</v>
      </c>
      <c r="H25" s="94">
        <f t="shared" si="4"/>
        <v>0</v>
      </c>
      <c r="I25" s="94">
        <f t="shared" si="4"/>
        <v>2</v>
      </c>
      <c r="J25" s="94"/>
      <c r="K25" s="95"/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69" t="s">
        <v>87</v>
      </c>
      <c r="B26" s="87">
        <f t="shared" ref="B26:I26" si="5">B15/2</f>
        <v>0.5</v>
      </c>
      <c r="C26" s="88">
        <f t="shared" si="5"/>
        <v>1.5</v>
      </c>
      <c r="D26" s="88">
        <f t="shared" si="5"/>
        <v>0.5</v>
      </c>
      <c r="E26" s="88">
        <f t="shared" si="5"/>
        <v>0</v>
      </c>
      <c r="F26" s="88">
        <f t="shared" si="5"/>
        <v>0</v>
      </c>
      <c r="G26" s="88">
        <f t="shared" si="5"/>
        <v>1</v>
      </c>
      <c r="H26" s="88">
        <f t="shared" si="5"/>
        <v>0</v>
      </c>
      <c r="I26" s="88">
        <f t="shared" si="5"/>
        <v>0</v>
      </c>
      <c r="J26" s="88"/>
      <c r="K26" s="89"/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72" t="s">
        <v>88</v>
      </c>
      <c r="B27" s="90">
        <f t="shared" ref="B27:I27" si="6">B16/2</f>
        <v>7</v>
      </c>
      <c r="C27" s="91">
        <f t="shared" si="6"/>
        <v>9.5</v>
      </c>
      <c r="D27" s="91">
        <f t="shared" si="6"/>
        <v>4</v>
      </c>
      <c r="E27" s="91">
        <f t="shared" si="6"/>
        <v>4</v>
      </c>
      <c r="F27" s="91">
        <f t="shared" si="6"/>
        <v>0.5</v>
      </c>
      <c r="G27" s="91">
        <f t="shared" si="6"/>
        <v>2</v>
      </c>
      <c r="H27" s="91">
        <f t="shared" si="6"/>
        <v>0</v>
      </c>
      <c r="I27" s="91">
        <f t="shared" si="6"/>
        <v>4.5</v>
      </c>
      <c r="J27" s="91"/>
      <c r="K27" s="92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72" t="s">
        <v>89</v>
      </c>
      <c r="B28" s="90">
        <f t="shared" ref="B28:I28" si="7">B17/2</f>
        <v>6</v>
      </c>
      <c r="C28" s="91">
        <f t="shared" si="7"/>
        <v>4</v>
      </c>
      <c r="D28" s="91">
        <f t="shared" si="7"/>
        <v>4.5</v>
      </c>
      <c r="E28" s="91">
        <f t="shared" si="7"/>
        <v>8</v>
      </c>
      <c r="F28" s="91">
        <f t="shared" si="7"/>
        <v>1</v>
      </c>
      <c r="G28" s="91">
        <f t="shared" si="7"/>
        <v>5</v>
      </c>
      <c r="H28" s="91">
        <f t="shared" si="7"/>
        <v>2.5</v>
      </c>
      <c r="I28" s="91">
        <f t="shared" si="7"/>
        <v>0</v>
      </c>
      <c r="J28" s="91"/>
      <c r="K28" s="92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81" t="s">
        <v>90</v>
      </c>
      <c r="B29" s="93">
        <f t="shared" ref="B29:I29" si="8">B18/2</f>
        <v>4.5</v>
      </c>
      <c r="C29" s="94">
        <f t="shared" si="8"/>
        <v>3</v>
      </c>
      <c r="D29" s="94">
        <f t="shared" si="8"/>
        <v>9</v>
      </c>
      <c r="E29" s="94">
        <f t="shared" si="8"/>
        <v>6</v>
      </c>
      <c r="F29" s="94">
        <f t="shared" si="8"/>
        <v>16.5</v>
      </c>
      <c r="G29" s="94">
        <f t="shared" si="8"/>
        <v>10</v>
      </c>
      <c r="H29" s="94">
        <f t="shared" si="8"/>
        <v>15.5</v>
      </c>
      <c r="I29" s="94">
        <f t="shared" si="8"/>
        <v>5</v>
      </c>
      <c r="J29" s="94"/>
      <c r="K29" s="95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9" t="s">
        <v>91</v>
      </c>
      <c r="B30" s="87">
        <f t="shared" ref="B30:I30" si="9">B19/2</f>
        <v>0</v>
      </c>
      <c r="C30" s="88">
        <f t="shared" si="9"/>
        <v>0</v>
      </c>
      <c r="D30" s="88">
        <f t="shared" si="9"/>
        <v>0</v>
      </c>
      <c r="E30" s="88">
        <f t="shared" si="9"/>
        <v>0</v>
      </c>
      <c r="F30" s="88">
        <f t="shared" si="9"/>
        <v>0</v>
      </c>
      <c r="G30" s="88">
        <f t="shared" si="9"/>
        <v>0</v>
      </c>
      <c r="H30" s="88">
        <f t="shared" si="9"/>
        <v>0</v>
      </c>
      <c r="I30" s="88">
        <f t="shared" si="9"/>
        <v>0</v>
      </c>
      <c r="J30" s="88"/>
      <c r="K30" s="89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72" t="s">
        <v>92</v>
      </c>
      <c r="B31" s="90">
        <f t="shared" ref="B31:I31" si="10">B20/2</f>
        <v>3.5</v>
      </c>
      <c r="C31" s="91">
        <f t="shared" si="10"/>
        <v>5</v>
      </c>
      <c r="D31" s="91">
        <f t="shared" si="10"/>
        <v>3</v>
      </c>
      <c r="E31" s="91">
        <f t="shared" si="10"/>
        <v>3</v>
      </c>
      <c r="F31" s="91">
        <f t="shared" si="10"/>
        <v>1</v>
      </c>
      <c r="G31" s="91">
        <f t="shared" si="10"/>
        <v>1.5</v>
      </c>
      <c r="H31" s="91">
        <f t="shared" si="10"/>
        <v>1</v>
      </c>
      <c r="I31" s="91">
        <f t="shared" si="10"/>
        <v>2.5</v>
      </c>
      <c r="J31" s="91"/>
      <c r="K31" s="92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72" t="s">
        <v>93</v>
      </c>
      <c r="B32" s="90">
        <f t="shared" ref="B32:I32" si="11">B21/2</f>
        <v>12</v>
      </c>
      <c r="C32" s="91">
        <f t="shared" si="11"/>
        <v>11</v>
      </c>
      <c r="D32" s="91">
        <f t="shared" si="11"/>
        <v>11.5</v>
      </c>
      <c r="E32" s="91">
        <f t="shared" si="11"/>
        <v>11.5</v>
      </c>
      <c r="F32" s="91">
        <f t="shared" si="11"/>
        <v>13</v>
      </c>
      <c r="G32" s="91">
        <f t="shared" si="11"/>
        <v>12.5</v>
      </c>
      <c r="H32" s="91">
        <f t="shared" si="11"/>
        <v>9.5</v>
      </c>
      <c r="I32" s="91">
        <f t="shared" si="11"/>
        <v>12</v>
      </c>
      <c r="J32" s="91"/>
      <c r="K32" s="92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81" t="s">
        <v>94</v>
      </c>
      <c r="B33" s="93">
        <f t="shared" ref="B33:I33" si="12">B22/2</f>
        <v>2.5</v>
      </c>
      <c r="C33" s="94">
        <f t="shared" si="12"/>
        <v>2</v>
      </c>
      <c r="D33" s="94">
        <f t="shared" si="12"/>
        <v>3.5</v>
      </c>
      <c r="E33" s="94">
        <f t="shared" si="12"/>
        <v>3.5</v>
      </c>
      <c r="F33" s="94">
        <f t="shared" si="12"/>
        <v>4</v>
      </c>
      <c r="G33" s="94">
        <f t="shared" si="12"/>
        <v>4</v>
      </c>
      <c r="H33" s="94">
        <f t="shared" si="12"/>
        <v>7.5</v>
      </c>
      <c r="I33" s="94">
        <f t="shared" si="12"/>
        <v>3.5</v>
      </c>
      <c r="J33" s="94"/>
      <c r="K33" s="95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9" t="s">
        <v>41</v>
      </c>
      <c r="B34" s="87">
        <f>Rohdaten!AE47</f>
        <v>0.75</v>
      </c>
      <c r="C34" s="88">
        <f>Rohdaten!BH47</f>
        <v>0.375</v>
      </c>
      <c r="D34" s="88">
        <f>Rohdaten!CK47</f>
        <v>1.125</v>
      </c>
      <c r="E34" s="88">
        <f>Rohdaten!DN47</f>
        <v>1.375</v>
      </c>
      <c r="F34" s="88">
        <f>Rohdaten!EQ47</f>
        <v>2.625</v>
      </c>
      <c r="G34" s="88">
        <f>Rohdaten!FT47</f>
        <v>2</v>
      </c>
      <c r="H34" s="88">
        <f>Rohdaten!GW47</f>
        <v>2.25</v>
      </c>
      <c r="I34" s="88">
        <f>Rohdaten!HZ47</f>
        <v>1</v>
      </c>
      <c r="J34" s="88"/>
      <c r="K34" s="89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72" t="s">
        <v>42</v>
      </c>
      <c r="B35" s="90">
        <f>Rohdaten!AF47</f>
        <v>1.1000000000000001</v>
      </c>
      <c r="C35" s="91">
        <f>Rohdaten!BI47</f>
        <v>0.7</v>
      </c>
      <c r="D35" s="91">
        <f>Rohdaten!CL47</f>
        <v>1.7</v>
      </c>
      <c r="E35" s="91">
        <f>Rohdaten!DO47</f>
        <v>1.05</v>
      </c>
      <c r="F35" s="91">
        <f>Rohdaten!ER47</f>
        <v>3.9</v>
      </c>
      <c r="G35" s="91">
        <f>Rohdaten!FU47</f>
        <v>1.5</v>
      </c>
      <c r="H35" s="91">
        <f>Rohdaten!GX47</f>
        <v>3.95</v>
      </c>
      <c r="I35" s="91">
        <f>Rohdaten!IA47</f>
        <v>1.35</v>
      </c>
      <c r="J35" s="91"/>
      <c r="K35" s="92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81" t="s">
        <v>43</v>
      </c>
      <c r="B36" s="93">
        <f>Rohdaten!AG47</f>
        <v>0.625</v>
      </c>
      <c r="C36" s="94">
        <f>Rohdaten!BJ47</f>
        <v>0.25</v>
      </c>
      <c r="D36" s="94">
        <f>Rohdaten!CM47</f>
        <v>1.625</v>
      </c>
      <c r="E36" s="94">
        <f>Rohdaten!DP47</f>
        <v>1.5</v>
      </c>
      <c r="F36" s="94">
        <f>Rohdaten!ES47</f>
        <v>4.25</v>
      </c>
      <c r="G36" s="94">
        <f>Rohdaten!FV47</f>
        <v>1.375</v>
      </c>
      <c r="H36" s="94">
        <f>Rohdaten!GY47</f>
        <v>2.75</v>
      </c>
      <c r="I36" s="94">
        <f>Rohdaten!IB47</f>
        <v>1.5</v>
      </c>
      <c r="J36" s="94"/>
      <c r="K36" s="95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95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96" t="s">
        <v>17</v>
      </c>
      <c r="B3" s="69"/>
      <c r="C3" s="70"/>
      <c r="D3" s="70">
        <f>Rohdaten!BM70</f>
        <v>104</v>
      </c>
      <c r="E3" s="70">
        <f>Rohdaten!CP70</f>
        <v>97</v>
      </c>
      <c r="F3" s="70">
        <f>Rohdaten!DS70</f>
        <v>141</v>
      </c>
      <c r="G3" s="70">
        <f>Rohdaten!EV70</f>
        <v>103</v>
      </c>
      <c r="H3" s="70">
        <f>Rohdaten!FY70</f>
        <v>129</v>
      </c>
      <c r="I3" s="70">
        <f>Rohdaten!HB70</f>
        <v>97</v>
      </c>
      <c r="J3" s="70">
        <f>Rohdaten!IE70</f>
        <v>131</v>
      </c>
      <c r="K3" s="71">
        <f>Rohdaten!JH70</f>
        <v>85</v>
      </c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72" t="s">
        <v>64</v>
      </c>
      <c r="B4" s="72"/>
      <c r="C4" s="64"/>
      <c r="D4" s="64">
        <f>Rohdaten!BM59</f>
        <v>51</v>
      </c>
      <c r="E4" s="64">
        <f>Rohdaten!CP59</f>
        <v>48</v>
      </c>
      <c r="F4" s="64">
        <f>Rohdaten!DS59</f>
        <v>72</v>
      </c>
      <c r="G4" s="64">
        <f>Rohdaten!EV59</f>
        <v>53</v>
      </c>
      <c r="H4" s="64">
        <f>Rohdaten!FY59</f>
        <v>63</v>
      </c>
      <c r="I4" s="64">
        <f>Rohdaten!HB59</f>
        <v>48</v>
      </c>
      <c r="J4" s="64">
        <f>Rohdaten!IE59</f>
        <v>69</v>
      </c>
      <c r="K4" s="73">
        <f>Rohdaten!JH59</f>
        <v>46</v>
      </c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72" t="s">
        <v>65</v>
      </c>
      <c r="B5" s="72"/>
      <c r="C5" s="64"/>
      <c r="D5" s="64">
        <f>Rohdaten!BM69</f>
        <v>53</v>
      </c>
      <c r="E5" s="64">
        <f>Rohdaten!CP69</f>
        <v>49</v>
      </c>
      <c r="F5" s="64">
        <f>Rohdaten!DS69</f>
        <v>69</v>
      </c>
      <c r="G5" s="64">
        <f>Rohdaten!EV69</f>
        <v>50</v>
      </c>
      <c r="H5" s="64">
        <f>Rohdaten!FY69</f>
        <v>66</v>
      </c>
      <c r="I5" s="64">
        <f>Rohdaten!HB69</f>
        <v>49</v>
      </c>
      <c r="J5" s="64">
        <f>Rohdaten!IE69</f>
        <v>62</v>
      </c>
      <c r="K5" s="73">
        <f>Rohdaten!JH69</f>
        <v>39</v>
      </c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97" t="s">
        <v>66</v>
      </c>
      <c r="B6" s="74"/>
      <c r="C6" s="75"/>
      <c r="D6" s="75">
        <f>D3-Rohdaten!$E70</f>
        <v>32</v>
      </c>
      <c r="E6" s="75">
        <f>E3-Rohdaten!$E70</f>
        <v>25</v>
      </c>
      <c r="F6" s="75">
        <f>F3-Rohdaten!$E70</f>
        <v>69</v>
      </c>
      <c r="G6" s="75">
        <f>G3-Rohdaten!$E70</f>
        <v>31</v>
      </c>
      <c r="H6" s="75">
        <f>H3-Rohdaten!$E70</f>
        <v>57</v>
      </c>
      <c r="I6" s="75">
        <f>I3-Rohdaten!$E70</f>
        <v>25</v>
      </c>
      <c r="J6" s="75">
        <f>J3-Rohdaten!$E70</f>
        <v>59</v>
      </c>
      <c r="K6" s="76">
        <f>K3-Rohdaten!$E70</f>
        <v>13</v>
      </c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97" t="s">
        <v>67</v>
      </c>
      <c r="B7" s="74"/>
      <c r="C7" s="75"/>
      <c r="D7" s="75">
        <f>Rohdaten!CN70</f>
        <v>80</v>
      </c>
      <c r="E7" s="75">
        <f>Rohdaten!DQ70</f>
        <v>74</v>
      </c>
      <c r="F7" s="75">
        <f>Rohdaten!ET70</f>
        <v>87</v>
      </c>
      <c r="G7" s="75">
        <f>Rohdaten!FW70</f>
        <v>76</v>
      </c>
      <c r="H7" s="75">
        <f>Rohdaten!GZ70</f>
        <v>75</v>
      </c>
      <c r="I7" s="75">
        <f>Rohdaten!IC70</f>
        <v>79</v>
      </c>
      <c r="J7" s="75">
        <f>Rohdaten!JF70</f>
        <v>77</v>
      </c>
      <c r="K7" s="76">
        <f>Rohdaten!KI70</f>
        <v>71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97" t="s">
        <v>68</v>
      </c>
      <c r="B8" s="74"/>
      <c r="C8" s="75"/>
      <c r="D8" s="75">
        <f>D7-Rohdaten!$E70</f>
        <v>8</v>
      </c>
      <c r="E8" s="75">
        <f>E7-Rohdaten!$E70</f>
        <v>2</v>
      </c>
      <c r="F8" s="75">
        <f>F7-Rohdaten!$E70</f>
        <v>15</v>
      </c>
      <c r="G8" s="75">
        <f>G7-Rohdaten!$E70</f>
        <v>4</v>
      </c>
      <c r="H8" s="75">
        <f>H7-Rohdaten!$E70</f>
        <v>3</v>
      </c>
      <c r="I8" s="75">
        <f>I7-Rohdaten!$E70</f>
        <v>7</v>
      </c>
      <c r="J8" s="75">
        <f>J7-Rohdaten!$E70</f>
        <v>5</v>
      </c>
      <c r="K8" s="76">
        <f>K7-Rohdaten!$E70</f>
        <v>-1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98" t="s">
        <v>69</v>
      </c>
      <c r="B9" s="78"/>
      <c r="C9" s="79"/>
      <c r="D9" s="79">
        <f t="shared" ref="D9:K9" si="0">_xlfn.RANK.EQ(D8,$B8:$K8,1)</f>
        <v>7</v>
      </c>
      <c r="E9" s="79">
        <f t="shared" si="0"/>
        <v>2</v>
      </c>
      <c r="F9" s="79">
        <f t="shared" si="0"/>
        <v>8</v>
      </c>
      <c r="G9" s="79">
        <f t="shared" si="0"/>
        <v>4</v>
      </c>
      <c r="H9" s="79">
        <f t="shared" si="0"/>
        <v>3</v>
      </c>
      <c r="I9" s="79">
        <f t="shared" si="0"/>
        <v>6</v>
      </c>
      <c r="J9" s="79">
        <f t="shared" si="0"/>
        <v>5</v>
      </c>
      <c r="K9" s="80">
        <f t="shared" si="0"/>
        <v>1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69" t="s">
        <v>19</v>
      </c>
      <c r="B10" s="69"/>
      <c r="C10" s="70"/>
      <c r="D10" s="70">
        <f>Rohdaten!BO70</f>
        <v>40</v>
      </c>
      <c r="E10" s="70">
        <f>Rohdaten!CR70</f>
        <v>37</v>
      </c>
      <c r="F10" s="70">
        <f>Rohdaten!DU70</f>
        <v>42</v>
      </c>
      <c r="G10" s="70">
        <f>Rohdaten!EX70</f>
        <v>36</v>
      </c>
      <c r="H10" s="70">
        <f>Rohdaten!GA70</f>
        <v>43</v>
      </c>
      <c r="I10" s="70">
        <f>Rohdaten!HD70</f>
        <v>41</v>
      </c>
      <c r="J10" s="70">
        <f>Rohdaten!IG70</f>
        <v>51</v>
      </c>
      <c r="K10" s="71">
        <f>Rohdaten!JJ70</f>
        <v>34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70</v>
      </c>
      <c r="B11" s="72"/>
      <c r="C11" s="64"/>
      <c r="D11" s="64">
        <f>Rohdaten!BO59</f>
        <v>21</v>
      </c>
      <c r="E11" s="64">
        <f>Rohdaten!CR59</f>
        <v>19</v>
      </c>
      <c r="F11" s="64">
        <f>Rohdaten!DU59</f>
        <v>22</v>
      </c>
      <c r="G11" s="64">
        <f>Rohdaten!EX59</f>
        <v>16</v>
      </c>
      <c r="H11" s="64">
        <f>Rohdaten!GA59</f>
        <v>23</v>
      </c>
      <c r="I11" s="64">
        <f>Rohdaten!HD59</f>
        <v>21</v>
      </c>
      <c r="J11" s="64">
        <f>Rohdaten!IG59</f>
        <v>25</v>
      </c>
      <c r="K11" s="73">
        <f>Rohdaten!JJ59</f>
        <v>17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72" t="s">
        <v>71</v>
      </c>
      <c r="B12" s="72"/>
      <c r="C12" s="64"/>
      <c r="D12" s="64">
        <f>Rohdaten!BO69</f>
        <v>19</v>
      </c>
      <c r="E12" s="64">
        <f>Rohdaten!CR69</f>
        <v>18</v>
      </c>
      <c r="F12" s="64">
        <f>Rohdaten!DU69</f>
        <v>20</v>
      </c>
      <c r="G12" s="64">
        <f>Rohdaten!EX69</f>
        <v>20</v>
      </c>
      <c r="H12" s="64">
        <f>Rohdaten!GA69</f>
        <v>20</v>
      </c>
      <c r="I12" s="64">
        <f>Rohdaten!HD69</f>
        <v>20</v>
      </c>
      <c r="J12" s="64">
        <f>Rohdaten!IG69</f>
        <v>26</v>
      </c>
      <c r="K12" s="73">
        <f>Rohdaten!JJ69</f>
        <v>17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/>
      <c r="C13" s="64"/>
      <c r="D13" s="64">
        <f>Rohdaten!BQ70</f>
        <v>2</v>
      </c>
      <c r="E13" s="64">
        <f>Rohdaten!CT70</f>
        <v>2</v>
      </c>
      <c r="F13" s="64">
        <f>Rohdaten!DW70</f>
        <v>0</v>
      </c>
      <c r="G13" s="64">
        <f>Rohdaten!EZ70</f>
        <v>2</v>
      </c>
      <c r="H13" s="64">
        <f>Rohdaten!GC70</f>
        <v>0</v>
      </c>
      <c r="I13" s="64">
        <f>Rohdaten!HF70</f>
        <v>8</v>
      </c>
      <c r="J13" s="64">
        <f>Rohdaten!II70</f>
        <v>1</v>
      </c>
      <c r="K13" s="73">
        <f>Rohdaten!JL70</f>
        <v>8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/>
      <c r="C14" s="82"/>
      <c r="D14" s="82">
        <f>Rohdaten!BS70</f>
        <v>1</v>
      </c>
      <c r="E14" s="82">
        <f>Rohdaten!CV70</f>
        <v>3</v>
      </c>
      <c r="F14" s="82">
        <f>Rohdaten!DY70</f>
        <v>0</v>
      </c>
      <c r="G14" s="82">
        <f>Rohdaten!FB70</f>
        <v>1</v>
      </c>
      <c r="H14" s="82">
        <f>Rohdaten!GE70</f>
        <v>0</v>
      </c>
      <c r="I14" s="82">
        <f>Rohdaten!HH70</f>
        <v>0</v>
      </c>
      <c r="J14" s="82">
        <f>Rohdaten!IK70</f>
        <v>0</v>
      </c>
      <c r="K14" s="83">
        <f>Rohdaten!JN70</f>
        <v>1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/>
      <c r="C15" s="70"/>
      <c r="D15" s="70">
        <f>Rohdaten!BU70</f>
        <v>0</v>
      </c>
      <c r="E15" s="70">
        <f>Rohdaten!CX70</f>
        <v>0</v>
      </c>
      <c r="F15" s="70">
        <f>Rohdaten!EA70</f>
        <v>0</v>
      </c>
      <c r="G15" s="70">
        <f>Rohdaten!FD70</f>
        <v>0</v>
      </c>
      <c r="H15" s="70">
        <f>Rohdaten!GG70</f>
        <v>0</v>
      </c>
      <c r="I15" s="70">
        <f>Rohdaten!HJ70</f>
        <v>0</v>
      </c>
      <c r="J15" s="70">
        <f>Rohdaten!IM70</f>
        <v>0</v>
      </c>
      <c r="K15" s="71">
        <f>Rohdaten!JP70</f>
        <v>2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/>
      <c r="C16" s="64"/>
      <c r="D16" s="64">
        <f>Rohdaten!BW70</f>
        <v>2</v>
      </c>
      <c r="E16" s="64">
        <f>Rohdaten!CZ70</f>
        <v>4</v>
      </c>
      <c r="F16" s="64">
        <f>Rohdaten!EC70</f>
        <v>0</v>
      </c>
      <c r="G16" s="64">
        <f>Rohdaten!FF70</f>
        <v>1</v>
      </c>
      <c r="H16" s="64">
        <f>Rohdaten!GI70</f>
        <v>0</v>
      </c>
      <c r="I16" s="64">
        <f>Rohdaten!HL70</f>
        <v>4</v>
      </c>
      <c r="J16" s="64">
        <f>Rohdaten!IO70</f>
        <v>0</v>
      </c>
      <c r="K16" s="73">
        <f>Rohdaten!JR70</f>
        <v>7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/>
      <c r="C17" s="64"/>
      <c r="D17" s="64">
        <f>Rohdaten!BY70</f>
        <v>7</v>
      </c>
      <c r="E17" s="64">
        <f>Rohdaten!DB70</f>
        <v>6</v>
      </c>
      <c r="F17" s="64">
        <f>Rohdaten!EE70</f>
        <v>0</v>
      </c>
      <c r="G17" s="64">
        <f>Rohdaten!FH70</f>
        <v>9</v>
      </c>
      <c r="H17" s="64">
        <f>Rohdaten!GK70</f>
        <v>1</v>
      </c>
      <c r="I17" s="64">
        <f>Rohdaten!HN70</f>
        <v>7</v>
      </c>
      <c r="J17" s="64">
        <f>Rohdaten!IQ70</f>
        <v>3</v>
      </c>
      <c r="K17" s="73">
        <f>Rohdaten!JT70</f>
        <v>4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/>
      <c r="C18" s="82"/>
      <c r="D18" s="82">
        <f>Rohdaten!CA70</f>
        <v>9</v>
      </c>
      <c r="E18" s="82">
        <f>Rohdaten!DD70</f>
        <v>8</v>
      </c>
      <c r="F18" s="82">
        <f>Rohdaten!EG70</f>
        <v>18</v>
      </c>
      <c r="G18" s="82">
        <f>Rohdaten!FJ70</f>
        <v>8</v>
      </c>
      <c r="H18" s="82">
        <f>Rohdaten!GM70</f>
        <v>17</v>
      </c>
      <c r="I18" s="82">
        <f>Rohdaten!HP70</f>
        <v>7</v>
      </c>
      <c r="J18" s="82">
        <f>Rohdaten!IS70</f>
        <v>15</v>
      </c>
      <c r="K18" s="83">
        <f>Rohdaten!JV70</f>
        <v>5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/>
      <c r="C19" s="70"/>
      <c r="D19" s="70">
        <f>Rohdaten!CC70</f>
        <v>0</v>
      </c>
      <c r="E19" s="70">
        <f>Rohdaten!DF70</f>
        <v>0</v>
      </c>
      <c r="F19" s="70">
        <f>Rohdaten!EI70</f>
        <v>0</v>
      </c>
      <c r="G19" s="70">
        <f>Rohdaten!FL70</f>
        <v>0</v>
      </c>
      <c r="H19" s="70">
        <f>Rohdaten!GO70</f>
        <v>0</v>
      </c>
      <c r="I19" s="70">
        <f>Rohdaten!HR70</f>
        <v>0</v>
      </c>
      <c r="J19" s="70">
        <f>Rohdaten!IU70</f>
        <v>0</v>
      </c>
      <c r="K19" s="71">
        <f>Rohdaten!JX70</f>
        <v>0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/>
      <c r="C20" s="64"/>
      <c r="D20" s="64">
        <f>Rohdaten!CE70</f>
        <v>3</v>
      </c>
      <c r="E20" s="64">
        <f>Rohdaten!DH70</f>
        <v>5</v>
      </c>
      <c r="F20" s="64">
        <f>Rohdaten!EK70</f>
        <v>0</v>
      </c>
      <c r="G20" s="64">
        <f>Rohdaten!FN70</f>
        <v>4</v>
      </c>
      <c r="H20" s="64">
        <f>Rohdaten!GQ70</f>
        <v>0</v>
      </c>
      <c r="I20" s="64">
        <f>Rohdaten!HT70</f>
        <v>1</v>
      </c>
      <c r="J20" s="64">
        <f>Rohdaten!IW70</f>
        <v>0</v>
      </c>
      <c r="K20" s="73">
        <f>Rohdaten!JZ70</f>
        <v>3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/>
      <c r="C21" s="64"/>
      <c r="D21" s="64">
        <f>Rohdaten!CG70</f>
        <v>8</v>
      </c>
      <c r="E21" s="64">
        <f>Rohdaten!DJ70</f>
        <v>7</v>
      </c>
      <c r="F21" s="64">
        <f>Rohdaten!EM70</f>
        <v>13</v>
      </c>
      <c r="G21" s="64">
        <f>Rohdaten!FP70</f>
        <v>10</v>
      </c>
      <c r="H21" s="64">
        <f>Rohdaten!GS70</f>
        <v>11</v>
      </c>
      <c r="I21" s="64">
        <f>Rohdaten!HV70</f>
        <v>11</v>
      </c>
      <c r="J21" s="64">
        <f>Rohdaten!IY70</f>
        <v>7</v>
      </c>
      <c r="K21" s="73">
        <f>Rohdaten!KB70</f>
        <v>14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/>
      <c r="C22" s="82"/>
      <c r="D22" s="82">
        <f>Rohdaten!CI70</f>
        <v>7</v>
      </c>
      <c r="E22" s="82">
        <f>Rohdaten!DL70</f>
        <v>6</v>
      </c>
      <c r="F22" s="82">
        <f>Rohdaten!EO70</f>
        <v>5</v>
      </c>
      <c r="G22" s="82">
        <f>Rohdaten!FR70</f>
        <v>4</v>
      </c>
      <c r="H22" s="82">
        <f>Rohdaten!GU70</f>
        <v>7</v>
      </c>
      <c r="I22" s="82">
        <f>Rohdaten!HX70</f>
        <v>6</v>
      </c>
      <c r="J22" s="82">
        <f>Rohdaten!JA70</f>
        <v>11</v>
      </c>
      <c r="K22" s="83">
        <f>Rohdaten!KD70</f>
        <v>1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96</v>
      </c>
      <c r="B23" s="84"/>
      <c r="C23" s="85"/>
      <c r="D23" s="85">
        <f t="shared" ref="D23:K23" si="1">D10/18</f>
        <v>2.2222222222222223</v>
      </c>
      <c r="E23" s="85">
        <f t="shared" si="1"/>
        <v>2.0555555555555554</v>
      </c>
      <c r="F23" s="85">
        <f t="shared" si="1"/>
        <v>2.3333333333333335</v>
      </c>
      <c r="G23" s="85">
        <f t="shared" si="1"/>
        <v>2</v>
      </c>
      <c r="H23" s="85">
        <f t="shared" si="1"/>
        <v>2.3888888888888888</v>
      </c>
      <c r="I23" s="85">
        <f t="shared" si="1"/>
        <v>2.2777777777777777</v>
      </c>
      <c r="J23" s="85">
        <f t="shared" si="1"/>
        <v>2.8333333333333335</v>
      </c>
      <c r="K23" s="86">
        <f t="shared" si="1"/>
        <v>1.8888888888888888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69" t="s">
        <v>41</v>
      </c>
      <c r="B24" s="87"/>
      <c r="C24" s="88"/>
      <c r="D24" s="88">
        <f>Rohdaten!CK70</f>
        <v>1.25</v>
      </c>
      <c r="E24" s="88">
        <f>Rohdaten!DN70</f>
        <v>1</v>
      </c>
      <c r="F24" s="88">
        <f>Rohdaten!EQ70</f>
        <v>3</v>
      </c>
      <c r="G24" s="88">
        <f>Rohdaten!FT70</f>
        <v>1.25</v>
      </c>
      <c r="H24" s="88">
        <f>Rohdaten!GW70</f>
        <v>2.5</v>
      </c>
      <c r="I24" s="88">
        <f>Rohdaten!HZ70</f>
        <v>0.75</v>
      </c>
      <c r="J24" s="88">
        <f>Rohdaten!JC70</f>
        <v>2.25</v>
      </c>
      <c r="K24" s="89">
        <f>Rohdaten!KF70</f>
        <v>0.5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72" t="s">
        <v>42</v>
      </c>
      <c r="B25" s="90"/>
      <c r="C25" s="91"/>
      <c r="D25" s="91">
        <f>Rohdaten!CL70</f>
        <v>2</v>
      </c>
      <c r="E25" s="91">
        <f>Rohdaten!DO70</f>
        <v>1.7</v>
      </c>
      <c r="F25" s="91">
        <f>Rohdaten!ER70</f>
        <v>4.0999999999999996</v>
      </c>
      <c r="G25" s="91">
        <f>Rohdaten!FU70</f>
        <v>2</v>
      </c>
      <c r="H25" s="91">
        <f>Rohdaten!GX70</f>
        <v>3</v>
      </c>
      <c r="I25" s="91">
        <f>Rohdaten!IA70</f>
        <v>1.4</v>
      </c>
      <c r="J25" s="91">
        <f>Rohdaten!JD70</f>
        <v>3.6</v>
      </c>
      <c r="K25" s="92">
        <f>Rohdaten!KG70</f>
        <v>0.9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81" t="s">
        <v>43</v>
      </c>
      <c r="B26" s="93"/>
      <c r="C26" s="94"/>
      <c r="D26" s="94">
        <f>Rohdaten!CM70</f>
        <v>1.75</v>
      </c>
      <c r="E26" s="94">
        <f>Rohdaten!DP70</f>
        <v>1</v>
      </c>
      <c r="F26" s="94">
        <f>Rohdaten!ES70</f>
        <v>4</v>
      </c>
      <c r="G26" s="94">
        <f>Rohdaten!FV70</f>
        <v>1.5</v>
      </c>
      <c r="H26" s="94">
        <f>Rohdaten!GY70</f>
        <v>4.25</v>
      </c>
      <c r="I26" s="94">
        <f>Rohdaten!IB70</f>
        <v>2</v>
      </c>
      <c r="J26" s="94">
        <f>Rohdaten!JE70</f>
        <v>3.5</v>
      </c>
      <c r="K26" s="95">
        <f>Rohdaten!KH70</f>
        <v>0.5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97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96" t="s">
        <v>17</v>
      </c>
      <c r="B3" s="70">
        <f>'Zusammenfassung Tag1-4'!B3</f>
        <v>177</v>
      </c>
      <c r="C3" s="70">
        <f>Rohdaten!AJ71</f>
        <v>248</v>
      </c>
      <c r="D3" s="70">
        <f>Rohdaten!BM71</f>
        <v>304</v>
      </c>
      <c r="E3" s="70">
        <f>Rohdaten!CP71</f>
        <v>285</v>
      </c>
      <c r="F3" s="70">
        <f>Rohdaten!DS71</f>
        <v>418</v>
      </c>
      <c r="G3" s="70">
        <f>Rohdaten!EV71</f>
        <v>304</v>
      </c>
      <c r="H3" s="70">
        <f>Rohdaten!FY71</f>
        <v>392</v>
      </c>
      <c r="I3" s="70">
        <f>Rohdaten!HB71</f>
        <v>288</v>
      </c>
      <c r="J3" s="70">
        <f>Rohdaten!IE71</f>
        <v>131</v>
      </c>
      <c r="K3" s="71">
        <f>Rohdaten!JH71</f>
        <v>85</v>
      </c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97" t="s">
        <v>79</v>
      </c>
      <c r="B4" s="64">
        <f>'Zusammenfassung Tag1-4'!B4</f>
        <v>33</v>
      </c>
      <c r="C4" s="64">
        <f>C3-Rohdaten!$E71</f>
        <v>32</v>
      </c>
      <c r="D4" s="64">
        <f>D3-Rohdaten!$E71</f>
        <v>88</v>
      </c>
      <c r="E4" s="64">
        <f>E3-Rohdaten!$E71</f>
        <v>69</v>
      </c>
      <c r="F4" s="64">
        <f>F3-Rohdaten!$E71</f>
        <v>202</v>
      </c>
      <c r="G4" s="64">
        <f>G3-Rohdaten!$E71</f>
        <v>88</v>
      </c>
      <c r="H4" s="64">
        <f>H3-Rohdaten!$E71</f>
        <v>176</v>
      </c>
      <c r="I4" s="64">
        <f>I3-Rohdaten!$E71</f>
        <v>72</v>
      </c>
      <c r="J4" s="64">
        <f>J3-(Rohdaten!$E71-2*72)</f>
        <v>59</v>
      </c>
      <c r="K4" s="73">
        <f>K3-(Rohdaten!$E71-2*72)</f>
        <v>13</v>
      </c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97" t="s">
        <v>80</v>
      </c>
      <c r="B5" s="64">
        <f>'Zusammenfassung Tag1-4'!B5</f>
        <v>16.5</v>
      </c>
      <c r="C5" s="64">
        <f>C4/3</f>
        <v>10.666666666666666</v>
      </c>
      <c r="D5" s="64">
        <f t="shared" ref="D5:I5" si="0">D4/2</f>
        <v>44</v>
      </c>
      <c r="E5" s="64">
        <f t="shared" si="0"/>
        <v>34.5</v>
      </c>
      <c r="F5" s="64">
        <f t="shared" si="0"/>
        <v>101</v>
      </c>
      <c r="G5" s="64">
        <f t="shared" si="0"/>
        <v>44</v>
      </c>
      <c r="H5" s="64">
        <f t="shared" si="0"/>
        <v>88</v>
      </c>
      <c r="I5" s="64">
        <f t="shared" si="0"/>
        <v>36</v>
      </c>
      <c r="J5" s="64">
        <f t="shared" ref="J5:K5" si="1">J4</f>
        <v>59</v>
      </c>
      <c r="K5" s="73">
        <f t="shared" si="1"/>
        <v>13</v>
      </c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97" t="s">
        <v>67</v>
      </c>
      <c r="B6" s="75">
        <f>'Zusammenfassung Tag1-4'!B6</f>
        <v>137</v>
      </c>
      <c r="C6" s="75">
        <f>Rohdaten!BK71</f>
        <v>212</v>
      </c>
      <c r="D6" s="75">
        <f>Rohdaten!CN71</f>
        <v>232</v>
      </c>
      <c r="E6" s="75">
        <f>Rohdaten!DQ71</f>
        <v>216</v>
      </c>
      <c r="F6" s="75">
        <f>Rohdaten!ET71</f>
        <v>256</v>
      </c>
      <c r="G6" s="75">
        <f>Rohdaten!FW71</f>
        <v>223</v>
      </c>
      <c r="H6" s="75">
        <f>Rohdaten!GZ71</f>
        <v>230</v>
      </c>
      <c r="I6" s="75">
        <f>Rohdaten!IC71</f>
        <v>234</v>
      </c>
      <c r="J6" s="75">
        <f>Rohdaten!JF71</f>
        <v>77</v>
      </c>
      <c r="K6" s="76">
        <f>Rohdaten!KI71</f>
        <v>71</v>
      </c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97" t="s">
        <v>68</v>
      </c>
      <c r="B7" s="75">
        <f>'Zusammenfassung Tag1-4'!B7</f>
        <v>-7</v>
      </c>
      <c r="C7" s="75">
        <f>C6-Rohdaten!$E71</f>
        <v>-4</v>
      </c>
      <c r="D7" s="75">
        <f>D6-Rohdaten!$E71</f>
        <v>16</v>
      </c>
      <c r="E7" s="75">
        <f>E6-Rohdaten!$E71</f>
        <v>0</v>
      </c>
      <c r="F7" s="75">
        <f>F6-Rohdaten!$E71</f>
        <v>40</v>
      </c>
      <c r="G7" s="75">
        <f>G6-Rohdaten!$E71</f>
        <v>7</v>
      </c>
      <c r="H7" s="75">
        <f>H6-Rohdaten!$E71</f>
        <v>14</v>
      </c>
      <c r="I7" s="75">
        <f>I6-Rohdaten!$E71</f>
        <v>18</v>
      </c>
      <c r="J7" s="75">
        <f>J6-(Rohdaten!$E71-2*72)</f>
        <v>5</v>
      </c>
      <c r="K7" s="76">
        <f>K6-(Rohdaten!$E71-2*72)</f>
        <v>-1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98" t="s">
        <v>69</v>
      </c>
      <c r="B8" s="79">
        <f>'Zusammenfassung Tag1-4'!B8</f>
        <v>3</v>
      </c>
      <c r="C8" s="79">
        <f t="shared" ref="C8:K8" si="2">_xlfn.RANK.EQ(C7,$B7:$K7,1)</f>
        <v>2</v>
      </c>
      <c r="D8" s="79">
        <f t="shared" si="2"/>
        <v>8</v>
      </c>
      <c r="E8" s="79">
        <f t="shared" si="2"/>
        <v>4</v>
      </c>
      <c r="F8" s="79">
        <f t="shared" si="2"/>
        <v>10</v>
      </c>
      <c r="G8" s="79">
        <f t="shared" si="2"/>
        <v>6</v>
      </c>
      <c r="H8" s="79">
        <f t="shared" si="2"/>
        <v>7</v>
      </c>
      <c r="I8" s="79">
        <f t="shared" si="2"/>
        <v>9</v>
      </c>
      <c r="J8" s="79">
        <f t="shared" si="2"/>
        <v>5</v>
      </c>
      <c r="K8" s="80">
        <f t="shared" si="2"/>
        <v>3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72" t="s">
        <v>81</v>
      </c>
      <c r="B9" s="72">
        <f>'Zusammenfassung Tag1-4'!B9</f>
        <v>90</v>
      </c>
      <c r="C9" s="64">
        <f>MAX(Rohdaten!AJ23,Rohdaten!AJ46,Rohdaten!AJ70)</f>
        <v>85</v>
      </c>
      <c r="D9" s="64">
        <f>MAX(Rohdaten!BM23,Rohdaten!BM46,Rohdaten!BM70)</f>
        <v>104</v>
      </c>
      <c r="E9" s="64">
        <f>MAX(Rohdaten!CP23,Rohdaten!CP46,Rohdaten!CP70)</f>
        <v>99</v>
      </c>
      <c r="F9" s="64">
        <f>MAX(Rohdaten!DS23,Rohdaten!DS46,Rohdaten!DS70)</f>
        <v>141</v>
      </c>
      <c r="G9" s="64">
        <f>MAX(Rohdaten!EV23,Rohdaten!EV46,Rohdaten!EV70)</f>
        <v>103</v>
      </c>
      <c r="H9" s="64">
        <f>MAX(Rohdaten!FY23,Rohdaten!FY46,Rohdaten!FY70)</f>
        <v>132</v>
      </c>
      <c r="I9" s="64">
        <f>MAX(Rohdaten!HB23,Rohdaten!HB46,Rohdaten!HB70)</f>
        <v>97</v>
      </c>
      <c r="J9" s="64">
        <f>MAX(Rohdaten!IE70)</f>
        <v>131</v>
      </c>
      <c r="K9" s="73">
        <f>MAX(Rohdaten!JH70)</f>
        <v>85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72" t="s">
        <v>82</v>
      </c>
      <c r="B10" s="72">
        <f>'Zusammenfassung Tag1-4'!B10</f>
        <v>87</v>
      </c>
      <c r="C10" s="64">
        <f>MIN(Rohdaten!AJ23,Rohdaten!AJ46,Rohdaten!AJ70)</f>
        <v>81</v>
      </c>
      <c r="D10" s="64">
        <f>MIN(Rohdaten!BM23,Rohdaten!BM46,Rohdaten!BM70)</f>
        <v>100</v>
      </c>
      <c r="E10" s="64">
        <f>MIN(Rohdaten!CP23,Rohdaten!CP46,Rohdaten!CP70)</f>
        <v>89</v>
      </c>
      <c r="F10" s="64">
        <f>MIN(Rohdaten!DS23,Rohdaten!DS46,Rohdaten!DS70)</f>
        <v>137</v>
      </c>
      <c r="G10" s="64">
        <f>MIN(Rohdaten!EV23,Rohdaten!EV46,Rohdaten!EV70)</f>
        <v>99</v>
      </c>
      <c r="H10" s="64">
        <f>MIN(Rohdaten!FY23,Rohdaten!FY46,Rohdaten!FY70)</f>
        <v>129</v>
      </c>
      <c r="I10" s="64">
        <f>MIN(Rohdaten!HB23,Rohdaten!HB46,Rohdaten!HB70)</f>
        <v>95</v>
      </c>
      <c r="J10" s="64">
        <f>MIN(Rohdaten!IE70)</f>
        <v>131</v>
      </c>
      <c r="K10" s="73">
        <f>MIN(Rohdaten!JH70)</f>
        <v>85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83</v>
      </c>
      <c r="B11" s="93">
        <f>'Zusammenfassung Tag1-4'!B11</f>
        <v>88.5</v>
      </c>
      <c r="C11" s="94">
        <f>AVERAGE(Rohdaten!AJ23,Rohdaten!AJ46,Rohdaten!AJ70)</f>
        <v>82.666666666666671</v>
      </c>
      <c r="D11" s="94">
        <f>AVERAGE(Rohdaten!BM23,Rohdaten!BM46,Rohdaten!BM70)</f>
        <v>101.33333333333333</v>
      </c>
      <c r="E11" s="94">
        <f>AVERAGE(Rohdaten!CP23,Rohdaten!CP46,Rohdaten!CP70)</f>
        <v>95</v>
      </c>
      <c r="F11" s="94">
        <f>AVERAGE(Rohdaten!DS23,Rohdaten!DS46,Rohdaten!DS70)</f>
        <v>139.33333333333334</v>
      </c>
      <c r="G11" s="94">
        <f>AVERAGE(Rohdaten!EV23,Rohdaten!EV46,Rohdaten!EV70)</f>
        <v>101.33333333333333</v>
      </c>
      <c r="H11" s="94">
        <f>AVERAGE(Rohdaten!FY23,Rohdaten!FY46,Rohdaten!FY70)</f>
        <v>130.66666666666666</v>
      </c>
      <c r="I11" s="94">
        <f>AVERAGE(Rohdaten!HB23,Rohdaten!HB46,Rohdaten!HB70)</f>
        <v>96</v>
      </c>
      <c r="J11" s="94">
        <f>AVERAGE(Rohdaten!IE70)</f>
        <v>131</v>
      </c>
      <c r="K11" s="95">
        <f>AVERAGE(Rohdaten!JH70)</f>
        <v>85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69" t="s">
        <v>19</v>
      </c>
      <c r="B12" s="69">
        <f>'Zusammenfassung Tag1-4'!B12</f>
        <v>71</v>
      </c>
      <c r="C12" s="70">
        <f>Rohdaten!AL71</f>
        <v>97</v>
      </c>
      <c r="D12" s="70">
        <f>Rohdaten!BO71</f>
        <v>113</v>
      </c>
      <c r="E12" s="70">
        <f>Rohdaten!CR71</f>
        <v>110</v>
      </c>
      <c r="F12" s="70">
        <f>Rohdaten!DU71</f>
        <v>102</v>
      </c>
      <c r="G12" s="70">
        <f>Rohdaten!EX71</f>
        <v>113</v>
      </c>
      <c r="H12" s="70">
        <f>Rohdaten!GA71</f>
        <v>128</v>
      </c>
      <c r="I12" s="70">
        <f>Rohdaten!HD71</f>
        <v>115</v>
      </c>
      <c r="J12" s="70">
        <f>Rohdaten!IG71</f>
        <v>51</v>
      </c>
      <c r="K12" s="71">
        <f>Rohdaten!JJ71</f>
        <v>34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>
        <f>'Zusammenfassung Tag1-4'!B13</f>
        <v>15</v>
      </c>
      <c r="C13" s="64">
        <f>Rohdaten!AN71</f>
        <v>28</v>
      </c>
      <c r="D13" s="64">
        <f>Rohdaten!BQ71</f>
        <v>8</v>
      </c>
      <c r="E13" s="64">
        <f>Rohdaten!CT71</f>
        <v>10</v>
      </c>
      <c r="F13" s="64">
        <f>Rohdaten!DW71</f>
        <v>1</v>
      </c>
      <c r="G13" s="64">
        <f>Rohdaten!EZ71</f>
        <v>10</v>
      </c>
      <c r="H13" s="64">
        <f>Rohdaten!GC71</f>
        <v>2</v>
      </c>
      <c r="I13" s="64">
        <f>Rohdaten!HF71</f>
        <v>18</v>
      </c>
      <c r="J13" s="64">
        <f>Rohdaten!II71</f>
        <v>1</v>
      </c>
      <c r="K13" s="73">
        <f>Rohdaten!JL71</f>
        <v>8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>
        <f>'Zusammenfassung Tag1-4'!B14</f>
        <v>3</v>
      </c>
      <c r="C14" s="82">
        <f>Rohdaten!AP71</f>
        <v>8</v>
      </c>
      <c r="D14" s="82">
        <f>Rohdaten!BS71</f>
        <v>4</v>
      </c>
      <c r="E14" s="82">
        <f>Rohdaten!CV71</f>
        <v>6</v>
      </c>
      <c r="F14" s="82">
        <f>Rohdaten!DY71</f>
        <v>0</v>
      </c>
      <c r="G14" s="82">
        <f>Rohdaten!FB71</f>
        <v>1</v>
      </c>
      <c r="H14" s="82">
        <f>Rohdaten!GE71</f>
        <v>0</v>
      </c>
      <c r="I14" s="82">
        <f>Rohdaten!HH71</f>
        <v>4</v>
      </c>
      <c r="J14" s="82">
        <f>Rohdaten!IK71</f>
        <v>0</v>
      </c>
      <c r="K14" s="83">
        <f>Rohdaten!JN71</f>
        <v>1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>
        <f>'Zusammenfassung Tag1-4'!B15</f>
        <v>1</v>
      </c>
      <c r="C15" s="70">
        <f>Rohdaten!AR71</f>
        <v>4</v>
      </c>
      <c r="D15" s="70">
        <f>Rohdaten!BU71</f>
        <v>1</v>
      </c>
      <c r="E15" s="70">
        <f>Rohdaten!CX71</f>
        <v>0</v>
      </c>
      <c r="F15" s="70">
        <f>Rohdaten!EA71</f>
        <v>0</v>
      </c>
      <c r="G15" s="70">
        <f>Rohdaten!FD71</f>
        <v>2</v>
      </c>
      <c r="H15" s="70">
        <f>Rohdaten!GG71</f>
        <v>0</v>
      </c>
      <c r="I15" s="70">
        <f>Rohdaten!HJ71</f>
        <v>0</v>
      </c>
      <c r="J15" s="70">
        <f>Rohdaten!IM71</f>
        <v>0</v>
      </c>
      <c r="K15" s="71">
        <f>Rohdaten!JP71</f>
        <v>2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>
        <f>'Zusammenfassung Tag1-4'!B16</f>
        <v>14</v>
      </c>
      <c r="C16" s="64">
        <f>Rohdaten!AT71</f>
        <v>28</v>
      </c>
      <c r="D16" s="64">
        <f>Rohdaten!BW71</f>
        <v>10</v>
      </c>
      <c r="E16" s="64">
        <f>Rohdaten!CZ71</f>
        <v>12</v>
      </c>
      <c r="F16" s="64">
        <f>Rohdaten!EC71</f>
        <v>1</v>
      </c>
      <c r="G16" s="64">
        <f>Rohdaten!FF71</f>
        <v>5</v>
      </c>
      <c r="H16" s="64">
        <f>Rohdaten!GI71</f>
        <v>0</v>
      </c>
      <c r="I16" s="64">
        <f>Rohdaten!HL71</f>
        <v>13</v>
      </c>
      <c r="J16" s="64">
        <f>Rohdaten!IO71</f>
        <v>0</v>
      </c>
      <c r="K16" s="73">
        <f>Rohdaten!JR71</f>
        <v>7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>
        <f>'Zusammenfassung Tag1-4'!B17</f>
        <v>12</v>
      </c>
      <c r="C17" s="64">
        <f>Rohdaten!AV71</f>
        <v>12</v>
      </c>
      <c r="D17" s="64">
        <f>Rohdaten!BY71</f>
        <v>16</v>
      </c>
      <c r="E17" s="64">
        <f>Rohdaten!DB71</f>
        <v>22</v>
      </c>
      <c r="F17" s="64">
        <f>Rohdaten!EE71</f>
        <v>2</v>
      </c>
      <c r="G17" s="64">
        <f>Rohdaten!FH71</f>
        <v>19</v>
      </c>
      <c r="H17" s="64">
        <f>Rohdaten!GK71</f>
        <v>6</v>
      </c>
      <c r="I17" s="64">
        <f>Rohdaten!HN71</f>
        <v>24</v>
      </c>
      <c r="J17" s="64">
        <f>Rohdaten!IQ71</f>
        <v>3</v>
      </c>
      <c r="K17" s="73">
        <f>Rohdaten!JT71</f>
        <v>4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>
        <f>'Zusammenfassung Tag1-4'!B18</f>
        <v>9</v>
      </c>
      <c r="C18" s="82">
        <f>Rohdaten!AX71</f>
        <v>10</v>
      </c>
      <c r="D18" s="82">
        <f>Rohdaten!CA71</f>
        <v>27</v>
      </c>
      <c r="E18" s="82">
        <f>Rohdaten!DD71</f>
        <v>20</v>
      </c>
      <c r="F18" s="82">
        <f>Rohdaten!EG71</f>
        <v>51</v>
      </c>
      <c r="G18" s="82">
        <f>Rohdaten!FJ71</f>
        <v>28</v>
      </c>
      <c r="H18" s="82">
        <f>Rohdaten!GM71</f>
        <v>48</v>
      </c>
      <c r="I18" s="82">
        <f>Rohdaten!HP71</f>
        <v>17</v>
      </c>
      <c r="J18" s="82">
        <f>Rohdaten!IS71</f>
        <v>15</v>
      </c>
      <c r="K18" s="83">
        <f>Rohdaten!JV71</f>
        <v>5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>
        <f>'Zusammenfassung Tag1-4'!B19</f>
        <v>0</v>
      </c>
      <c r="C19" s="70">
        <f>Rohdaten!AZ71</f>
        <v>0</v>
      </c>
      <c r="D19" s="70">
        <f>Rohdaten!CC71</f>
        <v>0</v>
      </c>
      <c r="E19" s="70">
        <f>Rohdaten!DF71</f>
        <v>0</v>
      </c>
      <c r="F19" s="70">
        <f>Rohdaten!EI71</f>
        <v>0</v>
      </c>
      <c r="G19" s="70">
        <f>Rohdaten!FL71</f>
        <v>0</v>
      </c>
      <c r="H19" s="70">
        <f>Rohdaten!GO71</f>
        <v>0</v>
      </c>
      <c r="I19" s="70">
        <f>Rohdaten!HR71</f>
        <v>0</v>
      </c>
      <c r="J19" s="70">
        <f>Rohdaten!IU71</f>
        <v>0</v>
      </c>
      <c r="K19" s="71">
        <f>Rohdaten!JX71</f>
        <v>0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>
        <f>'Zusammenfassung Tag1-4'!B20</f>
        <v>7</v>
      </c>
      <c r="C20" s="64">
        <f>Rohdaten!BB71</f>
        <v>17</v>
      </c>
      <c r="D20" s="64">
        <f>Rohdaten!CE71</f>
        <v>9</v>
      </c>
      <c r="E20" s="64">
        <f>Rohdaten!DH71</f>
        <v>11</v>
      </c>
      <c r="F20" s="64">
        <f>Rohdaten!EK71</f>
        <v>2</v>
      </c>
      <c r="G20" s="64">
        <f>Rohdaten!FN71</f>
        <v>7</v>
      </c>
      <c r="H20" s="64">
        <f>Rohdaten!GQ71</f>
        <v>2</v>
      </c>
      <c r="I20" s="64">
        <f>Rohdaten!HT71</f>
        <v>6</v>
      </c>
      <c r="J20" s="64">
        <f>Rohdaten!IW71</f>
        <v>0</v>
      </c>
      <c r="K20" s="73">
        <f>Rohdaten!JZ71</f>
        <v>3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>
        <f>'Zusammenfassung Tag1-4'!B21</f>
        <v>24</v>
      </c>
      <c r="C21" s="64">
        <f>Rohdaten!BD71</f>
        <v>31</v>
      </c>
      <c r="D21" s="64">
        <f>Rohdaten!CG71</f>
        <v>31</v>
      </c>
      <c r="E21" s="64">
        <f>Rohdaten!DJ71</f>
        <v>30</v>
      </c>
      <c r="F21" s="64">
        <f>Rohdaten!EM71</f>
        <v>39</v>
      </c>
      <c r="G21" s="64">
        <f>Rohdaten!FP71</f>
        <v>35</v>
      </c>
      <c r="H21" s="64">
        <f>Rohdaten!GS71</f>
        <v>30</v>
      </c>
      <c r="I21" s="64">
        <f>Rohdaten!HV71</f>
        <v>35</v>
      </c>
      <c r="J21" s="64">
        <f>Rohdaten!IY71</f>
        <v>7</v>
      </c>
      <c r="K21" s="73">
        <f>Rohdaten!KB71</f>
        <v>14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>
        <f>'Zusammenfassung Tag1-4'!B22</f>
        <v>5</v>
      </c>
      <c r="C22" s="82">
        <f>Rohdaten!BF71</f>
        <v>6</v>
      </c>
      <c r="D22" s="82">
        <f>Rohdaten!CI71</f>
        <v>14</v>
      </c>
      <c r="E22" s="82">
        <f>Rohdaten!DL71</f>
        <v>13</v>
      </c>
      <c r="F22" s="82">
        <f>Rohdaten!EO71</f>
        <v>13</v>
      </c>
      <c r="G22" s="82">
        <f>Rohdaten!FR71</f>
        <v>12</v>
      </c>
      <c r="H22" s="82">
        <f>Rohdaten!GU71</f>
        <v>22</v>
      </c>
      <c r="I22" s="82">
        <f>Rohdaten!HX71</f>
        <v>13</v>
      </c>
      <c r="J22" s="82">
        <f>Rohdaten!JA71</f>
        <v>11</v>
      </c>
      <c r="K22" s="83">
        <f>Rohdaten!KD71</f>
        <v>1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98</v>
      </c>
      <c r="B23" s="87">
        <f>'Zusammenfassung Tag1-4'!B23</f>
        <v>1.9722222222222223</v>
      </c>
      <c r="C23" s="88">
        <f t="shared" ref="C23:I23" si="3">C12/54</f>
        <v>1.7962962962962963</v>
      </c>
      <c r="D23" s="88">
        <f t="shared" si="3"/>
        <v>2.0925925925925926</v>
      </c>
      <c r="E23" s="88">
        <f t="shared" si="3"/>
        <v>2.0370370370370372</v>
      </c>
      <c r="F23" s="88">
        <f t="shared" si="3"/>
        <v>1.8888888888888888</v>
      </c>
      <c r="G23" s="88">
        <f t="shared" si="3"/>
        <v>2.0925925925925926</v>
      </c>
      <c r="H23" s="88">
        <f t="shared" si="3"/>
        <v>2.3703703703703702</v>
      </c>
      <c r="I23" s="88">
        <f t="shared" si="3"/>
        <v>2.1296296296296298</v>
      </c>
      <c r="J23" s="88">
        <f t="shared" ref="J23:K23" si="4">J12/18</f>
        <v>2.8333333333333335</v>
      </c>
      <c r="K23" s="89">
        <f t="shared" si="4"/>
        <v>1.8888888888888888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72" t="s">
        <v>99</v>
      </c>
      <c r="B24" s="90">
        <f>'Zusammenfassung Tag1-4'!B24</f>
        <v>7.5</v>
      </c>
      <c r="C24" s="91">
        <f t="shared" ref="C24:I24" si="5">C13/3</f>
        <v>9.3333333333333339</v>
      </c>
      <c r="D24" s="91">
        <f t="shared" si="5"/>
        <v>2.6666666666666665</v>
      </c>
      <c r="E24" s="91">
        <f t="shared" si="5"/>
        <v>3.3333333333333335</v>
      </c>
      <c r="F24" s="91">
        <f t="shared" si="5"/>
        <v>0.33333333333333331</v>
      </c>
      <c r="G24" s="91">
        <f t="shared" si="5"/>
        <v>3.3333333333333335</v>
      </c>
      <c r="H24" s="91">
        <f t="shared" si="5"/>
        <v>0.66666666666666663</v>
      </c>
      <c r="I24" s="91">
        <f t="shared" si="5"/>
        <v>6</v>
      </c>
      <c r="J24" s="91">
        <f t="shared" ref="J24:K24" si="6">J13</f>
        <v>1</v>
      </c>
      <c r="K24" s="92">
        <f t="shared" si="6"/>
        <v>8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81" t="s">
        <v>86</v>
      </c>
      <c r="B25" s="93">
        <f>'Zusammenfassung Tag1-4'!B25</f>
        <v>1.5</v>
      </c>
      <c r="C25" s="94">
        <f t="shared" ref="C25:I25" si="7">C14/3</f>
        <v>2.6666666666666665</v>
      </c>
      <c r="D25" s="94">
        <f t="shared" si="7"/>
        <v>1.3333333333333333</v>
      </c>
      <c r="E25" s="94">
        <f t="shared" si="7"/>
        <v>2</v>
      </c>
      <c r="F25" s="94">
        <f t="shared" si="7"/>
        <v>0</v>
      </c>
      <c r="G25" s="94">
        <f t="shared" si="7"/>
        <v>0.33333333333333331</v>
      </c>
      <c r="H25" s="94">
        <f t="shared" si="7"/>
        <v>0</v>
      </c>
      <c r="I25" s="94">
        <f t="shared" si="7"/>
        <v>1.3333333333333333</v>
      </c>
      <c r="J25" s="94">
        <f t="shared" ref="J25:K25" si="8">J14</f>
        <v>0</v>
      </c>
      <c r="K25" s="95">
        <f t="shared" si="8"/>
        <v>1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69" t="s">
        <v>87</v>
      </c>
      <c r="B26" s="87">
        <f>'Zusammenfassung Tag1-4'!B26</f>
        <v>0.5</v>
      </c>
      <c r="C26" s="88">
        <f t="shared" ref="C26:I26" si="9">C15/3</f>
        <v>1.3333333333333333</v>
      </c>
      <c r="D26" s="88">
        <f t="shared" si="9"/>
        <v>0.33333333333333331</v>
      </c>
      <c r="E26" s="88">
        <f t="shared" si="9"/>
        <v>0</v>
      </c>
      <c r="F26" s="88">
        <f t="shared" si="9"/>
        <v>0</v>
      </c>
      <c r="G26" s="88">
        <f t="shared" si="9"/>
        <v>0.66666666666666663</v>
      </c>
      <c r="H26" s="88">
        <f t="shared" si="9"/>
        <v>0</v>
      </c>
      <c r="I26" s="88">
        <f t="shared" si="9"/>
        <v>0</v>
      </c>
      <c r="J26" s="88">
        <f t="shared" ref="J26:K26" si="10">J15</f>
        <v>0</v>
      </c>
      <c r="K26" s="89">
        <f t="shared" si="10"/>
        <v>2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72" t="s">
        <v>88</v>
      </c>
      <c r="B27" s="90">
        <f>'Zusammenfassung Tag1-4'!B27</f>
        <v>7</v>
      </c>
      <c r="C27" s="91">
        <f t="shared" ref="C27:I27" si="11">C16/3</f>
        <v>9.3333333333333339</v>
      </c>
      <c r="D27" s="91">
        <f t="shared" si="11"/>
        <v>3.3333333333333335</v>
      </c>
      <c r="E27" s="91">
        <f t="shared" si="11"/>
        <v>4</v>
      </c>
      <c r="F27" s="91">
        <f t="shared" si="11"/>
        <v>0.33333333333333331</v>
      </c>
      <c r="G27" s="91">
        <f t="shared" si="11"/>
        <v>1.6666666666666667</v>
      </c>
      <c r="H27" s="91">
        <f t="shared" si="11"/>
        <v>0</v>
      </c>
      <c r="I27" s="91">
        <f t="shared" si="11"/>
        <v>4.333333333333333</v>
      </c>
      <c r="J27" s="91">
        <f t="shared" ref="J27:K27" si="12">J16</f>
        <v>0</v>
      </c>
      <c r="K27" s="92">
        <f t="shared" si="12"/>
        <v>7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72" t="s">
        <v>89</v>
      </c>
      <c r="B28" s="90">
        <f>'Zusammenfassung Tag1-4'!B28</f>
        <v>6</v>
      </c>
      <c r="C28" s="91">
        <f t="shared" ref="C28:I28" si="13">C17/3</f>
        <v>4</v>
      </c>
      <c r="D28" s="91">
        <f t="shared" si="13"/>
        <v>5.333333333333333</v>
      </c>
      <c r="E28" s="91">
        <f t="shared" si="13"/>
        <v>7.333333333333333</v>
      </c>
      <c r="F28" s="91">
        <f t="shared" si="13"/>
        <v>0.66666666666666663</v>
      </c>
      <c r="G28" s="91">
        <f t="shared" si="13"/>
        <v>6.333333333333333</v>
      </c>
      <c r="H28" s="91">
        <f t="shared" si="13"/>
        <v>2</v>
      </c>
      <c r="I28" s="91">
        <f t="shared" si="13"/>
        <v>8</v>
      </c>
      <c r="J28" s="91">
        <f t="shared" ref="J28:K28" si="14">J17</f>
        <v>3</v>
      </c>
      <c r="K28" s="92">
        <f t="shared" si="14"/>
        <v>4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81" t="s">
        <v>90</v>
      </c>
      <c r="B29" s="93">
        <f>'Zusammenfassung Tag1-4'!B29</f>
        <v>4.5</v>
      </c>
      <c r="C29" s="94">
        <f t="shared" ref="C29:I29" si="15">C18/3</f>
        <v>3.3333333333333335</v>
      </c>
      <c r="D29" s="94">
        <f t="shared" si="15"/>
        <v>9</v>
      </c>
      <c r="E29" s="94">
        <f t="shared" si="15"/>
        <v>6.666666666666667</v>
      </c>
      <c r="F29" s="94">
        <f t="shared" si="15"/>
        <v>17</v>
      </c>
      <c r="G29" s="94">
        <f t="shared" si="15"/>
        <v>9.3333333333333339</v>
      </c>
      <c r="H29" s="94">
        <f t="shared" si="15"/>
        <v>16</v>
      </c>
      <c r="I29" s="94">
        <f t="shared" si="15"/>
        <v>5.666666666666667</v>
      </c>
      <c r="J29" s="94">
        <f t="shared" ref="J29:K29" si="16">J18</f>
        <v>15</v>
      </c>
      <c r="K29" s="95">
        <f t="shared" si="16"/>
        <v>5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9" t="s">
        <v>91</v>
      </c>
      <c r="B30" s="87">
        <f>'Zusammenfassung Tag1-4'!B30</f>
        <v>0</v>
      </c>
      <c r="C30" s="88">
        <f t="shared" ref="C30:I30" si="17">C19/3</f>
        <v>0</v>
      </c>
      <c r="D30" s="88">
        <f t="shared" si="17"/>
        <v>0</v>
      </c>
      <c r="E30" s="88">
        <f t="shared" si="17"/>
        <v>0</v>
      </c>
      <c r="F30" s="88">
        <f t="shared" si="17"/>
        <v>0</v>
      </c>
      <c r="G30" s="88">
        <f t="shared" si="17"/>
        <v>0</v>
      </c>
      <c r="H30" s="88">
        <f t="shared" si="17"/>
        <v>0</v>
      </c>
      <c r="I30" s="88">
        <f t="shared" si="17"/>
        <v>0</v>
      </c>
      <c r="J30" s="88">
        <f t="shared" ref="J30:K30" si="18">J19</f>
        <v>0</v>
      </c>
      <c r="K30" s="89">
        <f t="shared" si="18"/>
        <v>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72" t="s">
        <v>92</v>
      </c>
      <c r="B31" s="90">
        <f>'Zusammenfassung Tag1-4'!B31</f>
        <v>3.5</v>
      </c>
      <c r="C31" s="91">
        <f t="shared" ref="C31:I31" si="19">C20/3</f>
        <v>5.666666666666667</v>
      </c>
      <c r="D31" s="91">
        <f t="shared" si="19"/>
        <v>3</v>
      </c>
      <c r="E31" s="91">
        <f t="shared" si="19"/>
        <v>3.6666666666666665</v>
      </c>
      <c r="F31" s="91">
        <f t="shared" si="19"/>
        <v>0.66666666666666663</v>
      </c>
      <c r="G31" s="91">
        <f t="shared" si="19"/>
        <v>2.3333333333333335</v>
      </c>
      <c r="H31" s="91">
        <f t="shared" si="19"/>
        <v>0.66666666666666663</v>
      </c>
      <c r="I31" s="91">
        <f t="shared" si="19"/>
        <v>2</v>
      </c>
      <c r="J31" s="91">
        <f t="shared" ref="J31:K31" si="20">J20</f>
        <v>0</v>
      </c>
      <c r="K31" s="92">
        <f t="shared" si="20"/>
        <v>3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72" t="s">
        <v>93</v>
      </c>
      <c r="B32" s="90">
        <f>'Zusammenfassung Tag1-4'!B32</f>
        <v>12</v>
      </c>
      <c r="C32" s="91">
        <f t="shared" ref="C32:I32" si="21">C21/3</f>
        <v>10.333333333333334</v>
      </c>
      <c r="D32" s="91">
        <f t="shared" si="21"/>
        <v>10.333333333333334</v>
      </c>
      <c r="E32" s="91">
        <f t="shared" si="21"/>
        <v>10</v>
      </c>
      <c r="F32" s="91">
        <f t="shared" si="21"/>
        <v>13</v>
      </c>
      <c r="G32" s="91">
        <f t="shared" si="21"/>
        <v>11.666666666666666</v>
      </c>
      <c r="H32" s="91">
        <f t="shared" si="21"/>
        <v>10</v>
      </c>
      <c r="I32" s="91">
        <f t="shared" si="21"/>
        <v>11.666666666666666</v>
      </c>
      <c r="J32" s="91">
        <f t="shared" ref="J32:K32" si="22">J21</f>
        <v>7</v>
      </c>
      <c r="K32" s="92">
        <f t="shared" si="22"/>
        <v>14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81" t="s">
        <v>94</v>
      </c>
      <c r="B33" s="93">
        <f>'Zusammenfassung Tag1-4'!B33</f>
        <v>2.5</v>
      </c>
      <c r="C33" s="94">
        <f t="shared" ref="C33:I33" si="23">C22/3</f>
        <v>2</v>
      </c>
      <c r="D33" s="94">
        <f t="shared" si="23"/>
        <v>4.666666666666667</v>
      </c>
      <c r="E33" s="94">
        <f t="shared" si="23"/>
        <v>4.333333333333333</v>
      </c>
      <c r="F33" s="94">
        <f t="shared" si="23"/>
        <v>4.333333333333333</v>
      </c>
      <c r="G33" s="94">
        <f t="shared" si="23"/>
        <v>4</v>
      </c>
      <c r="H33" s="94">
        <f t="shared" si="23"/>
        <v>7.333333333333333</v>
      </c>
      <c r="I33" s="94">
        <f t="shared" si="23"/>
        <v>4.333333333333333</v>
      </c>
      <c r="J33" s="94">
        <f t="shared" ref="J33:K33" si="24">J22</f>
        <v>11</v>
      </c>
      <c r="K33" s="95">
        <f t="shared" si="24"/>
        <v>1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9" t="s">
        <v>41</v>
      </c>
      <c r="B34" s="87">
        <f>'Zusammenfassung Tag1-4'!B34</f>
        <v>0.75</v>
      </c>
      <c r="C34" s="88">
        <f>Rohdaten!BH71</f>
        <v>0.5</v>
      </c>
      <c r="D34" s="88">
        <f>Rohdaten!CK71</f>
        <v>1.1666666666666667</v>
      </c>
      <c r="E34" s="88">
        <f>Rohdaten!DN71</f>
        <v>1.25</v>
      </c>
      <c r="F34" s="88">
        <f>Rohdaten!EQ71</f>
        <v>2.75</v>
      </c>
      <c r="G34" s="88">
        <f>Rohdaten!FT71</f>
        <v>1.75</v>
      </c>
      <c r="H34" s="88">
        <f>Rohdaten!GW71</f>
        <v>2.3333333333333335</v>
      </c>
      <c r="I34" s="88">
        <f>Rohdaten!HZ71</f>
        <v>0.91666666666666663</v>
      </c>
      <c r="J34" s="88">
        <f>Rohdaten!JC71</f>
        <v>2.25</v>
      </c>
      <c r="K34" s="89">
        <f>Rohdaten!KF71</f>
        <v>0.5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72" t="s">
        <v>42</v>
      </c>
      <c r="B35" s="90">
        <f>'Zusammenfassung Tag1-4'!B35</f>
        <v>1.1000000000000001</v>
      </c>
      <c r="C35" s="91">
        <f>Rohdaten!BI71</f>
        <v>0.6333333333333333</v>
      </c>
      <c r="D35" s="91">
        <f>Rohdaten!CL71</f>
        <v>1.8</v>
      </c>
      <c r="E35" s="91">
        <f>Rohdaten!DO71</f>
        <v>1.2666666666666666</v>
      </c>
      <c r="F35" s="91">
        <f>Rohdaten!ER71</f>
        <v>3.9666666666666668</v>
      </c>
      <c r="G35" s="91">
        <f>Rohdaten!FU71</f>
        <v>1.6666666666666667</v>
      </c>
      <c r="H35" s="91">
        <f>Rohdaten!GX71</f>
        <v>3.6333333333333333</v>
      </c>
      <c r="I35" s="91">
        <f>Rohdaten!IA71</f>
        <v>1.3666666666666667</v>
      </c>
      <c r="J35" s="91">
        <f>Rohdaten!JD71</f>
        <v>3.6</v>
      </c>
      <c r="K35" s="92">
        <f>Rohdaten!KG71</f>
        <v>0.9</v>
      </c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81" t="s">
        <v>43</v>
      </c>
      <c r="B36" s="93">
        <f>'Zusammenfassung Tag1-4'!B36</f>
        <v>0.625</v>
      </c>
      <c r="C36" s="94">
        <f>Rohdaten!BJ71</f>
        <v>0.58333333333333337</v>
      </c>
      <c r="D36" s="94">
        <f>Rohdaten!CM71</f>
        <v>1.6666666666666667</v>
      </c>
      <c r="E36" s="94">
        <f>Rohdaten!DP71</f>
        <v>1.3333333333333333</v>
      </c>
      <c r="F36" s="94">
        <f>Rohdaten!ES71</f>
        <v>4.166666666666667</v>
      </c>
      <c r="G36" s="94">
        <f>Rohdaten!FV71</f>
        <v>1.4166666666666667</v>
      </c>
      <c r="H36" s="94">
        <f>Rohdaten!GY71</f>
        <v>3.25</v>
      </c>
      <c r="I36" s="94">
        <f>Rohdaten!IB71</f>
        <v>1.6666666666666667</v>
      </c>
      <c r="J36" s="94">
        <f>Rohdaten!JE71</f>
        <v>3.5</v>
      </c>
      <c r="K36" s="95">
        <f>Rohdaten!KH71</f>
        <v>0.5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Z1000"/>
  <sheetViews>
    <sheetView workbookViewId="0"/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100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69" t="s">
        <v>17</v>
      </c>
      <c r="B3" s="69"/>
      <c r="C3" s="70">
        <f>Rohdaten!AJ94</f>
        <v>75</v>
      </c>
      <c r="D3" s="70">
        <f>Rohdaten!BM94</f>
        <v>96</v>
      </c>
      <c r="E3" s="70">
        <f>Rohdaten!CP94</f>
        <v>83</v>
      </c>
      <c r="F3" s="70">
        <f>Rohdaten!DS94</f>
        <v>121</v>
      </c>
      <c r="G3" s="70">
        <f>Rohdaten!EV94</f>
        <v>98</v>
      </c>
      <c r="H3" s="70">
        <f>Rohdaten!FY94</f>
        <v>122</v>
      </c>
      <c r="I3" s="70">
        <f>Rohdaten!HB94</f>
        <v>89</v>
      </c>
      <c r="J3" s="70">
        <f>Rohdaten!IE94</f>
        <v>137</v>
      </c>
      <c r="K3" s="71">
        <f>Rohdaten!JH94</f>
        <v>84</v>
      </c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72" t="s">
        <v>64</v>
      </c>
      <c r="B4" s="74"/>
      <c r="C4" s="75">
        <f>Rohdaten!AJ83</f>
        <v>37</v>
      </c>
      <c r="D4" s="75">
        <f>Rohdaten!BM83</f>
        <v>48</v>
      </c>
      <c r="E4" s="75">
        <f>Rohdaten!CP83</f>
        <v>41</v>
      </c>
      <c r="F4" s="75">
        <f>Rohdaten!DS83</f>
        <v>59</v>
      </c>
      <c r="G4" s="75">
        <f>Rohdaten!EV83</f>
        <v>51</v>
      </c>
      <c r="H4" s="75">
        <f>Rohdaten!FY83</f>
        <v>61</v>
      </c>
      <c r="I4" s="75">
        <f>Rohdaten!HB83</f>
        <v>47</v>
      </c>
      <c r="J4" s="75">
        <f>Rohdaten!IE83</f>
        <v>69</v>
      </c>
      <c r="K4" s="76">
        <f>Rohdaten!JH83</f>
        <v>41</v>
      </c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72" t="s">
        <v>65</v>
      </c>
      <c r="B5" s="74"/>
      <c r="C5" s="75">
        <f>Rohdaten!AJ93</f>
        <v>38</v>
      </c>
      <c r="D5" s="75">
        <f>Rohdaten!BM93</f>
        <v>48</v>
      </c>
      <c r="E5" s="75">
        <f>Rohdaten!CP93</f>
        <v>42</v>
      </c>
      <c r="F5" s="75">
        <f>Rohdaten!DS93</f>
        <v>62</v>
      </c>
      <c r="G5" s="75">
        <f>Rohdaten!EV93</f>
        <v>47</v>
      </c>
      <c r="H5" s="75">
        <f>Rohdaten!FY93</f>
        <v>61</v>
      </c>
      <c r="I5" s="75">
        <f>Rohdaten!HB93</f>
        <v>42</v>
      </c>
      <c r="J5" s="75">
        <f>Rohdaten!IE93</f>
        <v>68</v>
      </c>
      <c r="K5" s="76">
        <f>Rohdaten!JH93</f>
        <v>43</v>
      </c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72" t="s">
        <v>66</v>
      </c>
      <c r="B6" s="74"/>
      <c r="C6" s="75">
        <f>C3-Rohdaten!$E94</f>
        <v>3</v>
      </c>
      <c r="D6" s="75">
        <f>D3-Rohdaten!$E94</f>
        <v>24</v>
      </c>
      <c r="E6" s="75">
        <f>E3-Rohdaten!$E94</f>
        <v>11</v>
      </c>
      <c r="F6" s="75">
        <f>F3-Rohdaten!$E94</f>
        <v>49</v>
      </c>
      <c r="G6" s="75">
        <f>G3-Rohdaten!$E94</f>
        <v>26</v>
      </c>
      <c r="H6" s="75">
        <f>H3-Rohdaten!$E94</f>
        <v>50</v>
      </c>
      <c r="I6" s="75">
        <f>I3-Rohdaten!$E94</f>
        <v>17</v>
      </c>
      <c r="J6" s="75">
        <f>J3-Rohdaten!$E94</f>
        <v>65</v>
      </c>
      <c r="K6" s="76">
        <f>K3-Rohdaten!$E94</f>
        <v>12</v>
      </c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72" t="s">
        <v>67</v>
      </c>
      <c r="B7" s="74"/>
      <c r="C7" s="75">
        <f>Rohdaten!BK94</f>
        <v>62.999999999999986</v>
      </c>
      <c r="D7" s="75">
        <f>Rohdaten!CN94</f>
        <v>72</v>
      </c>
      <c r="E7" s="75">
        <f>Rohdaten!DQ94</f>
        <v>59.999999999999993</v>
      </c>
      <c r="F7" s="75">
        <f>Rohdaten!ET94</f>
        <v>67</v>
      </c>
      <c r="G7" s="75">
        <f>Rohdaten!FW94</f>
        <v>71</v>
      </c>
      <c r="H7" s="75">
        <f>Rohdaten!GZ94</f>
        <v>68</v>
      </c>
      <c r="I7" s="75">
        <f>Rohdaten!IC94</f>
        <v>71</v>
      </c>
      <c r="J7" s="75">
        <f>Rohdaten!JF94</f>
        <v>83</v>
      </c>
      <c r="K7" s="76">
        <f>Rohdaten!KI94</f>
        <v>70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72" t="s">
        <v>68</v>
      </c>
      <c r="B8" s="74"/>
      <c r="C8" s="75">
        <f>C7-Rohdaten!$E94</f>
        <v>-9.0000000000000142</v>
      </c>
      <c r="D8" s="75">
        <f>D7-Rohdaten!$E94</f>
        <v>0</v>
      </c>
      <c r="E8" s="75">
        <f>E7-Rohdaten!$E94</f>
        <v>-12.000000000000007</v>
      </c>
      <c r="F8" s="75">
        <f>F7-Rohdaten!$E94</f>
        <v>-5</v>
      </c>
      <c r="G8" s="75">
        <f>G7-Rohdaten!$E94</f>
        <v>-1</v>
      </c>
      <c r="H8" s="75">
        <f>H7-Rohdaten!$E94</f>
        <v>-4</v>
      </c>
      <c r="I8" s="75">
        <f>I7-Rohdaten!$E94</f>
        <v>-1</v>
      </c>
      <c r="J8" s="75">
        <f>J7-Rohdaten!$E94</f>
        <v>11</v>
      </c>
      <c r="K8" s="76">
        <f>K7-Rohdaten!$E94</f>
        <v>-2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77" t="s">
        <v>69</v>
      </c>
      <c r="B9" s="78"/>
      <c r="C9" s="79">
        <f t="shared" ref="C9:K9" si="0">_xlfn.RANK.EQ(C8,$B8:$K8,1)</f>
        <v>2</v>
      </c>
      <c r="D9" s="79">
        <f t="shared" si="0"/>
        <v>8</v>
      </c>
      <c r="E9" s="79">
        <f t="shared" si="0"/>
        <v>1</v>
      </c>
      <c r="F9" s="79">
        <f t="shared" si="0"/>
        <v>3</v>
      </c>
      <c r="G9" s="79">
        <f t="shared" si="0"/>
        <v>6</v>
      </c>
      <c r="H9" s="79">
        <f t="shared" si="0"/>
        <v>4</v>
      </c>
      <c r="I9" s="79">
        <f t="shared" si="0"/>
        <v>6</v>
      </c>
      <c r="J9" s="79">
        <f t="shared" si="0"/>
        <v>9</v>
      </c>
      <c r="K9" s="80">
        <f t="shared" si="0"/>
        <v>5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69" t="s">
        <v>19</v>
      </c>
      <c r="B10" s="69"/>
      <c r="C10" s="70">
        <f>Rohdaten!AL94</f>
        <v>28</v>
      </c>
      <c r="D10" s="70">
        <f>Rohdaten!BO94</f>
        <v>36</v>
      </c>
      <c r="E10" s="70">
        <f>Rohdaten!CR94</f>
        <v>32</v>
      </c>
      <c r="F10" s="70">
        <f>Rohdaten!DU94</f>
        <v>40</v>
      </c>
      <c r="G10" s="70">
        <f>Rohdaten!EX94</f>
        <v>35</v>
      </c>
      <c r="H10" s="70">
        <f>Rohdaten!GA94</f>
        <v>35</v>
      </c>
      <c r="I10" s="70">
        <f>Rohdaten!HD94</f>
        <v>26</v>
      </c>
      <c r="J10" s="70">
        <f>Rohdaten!IG94</f>
        <v>43</v>
      </c>
      <c r="K10" s="71">
        <f>Rohdaten!JJ94</f>
        <v>34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70</v>
      </c>
      <c r="B11" s="72"/>
      <c r="C11" s="64">
        <f>Rohdaten!AL83</f>
        <v>14</v>
      </c>
      <c r="D11" s="64">
        <f>Rohdaten!BO83</f>
        <v>17</v>
      </c>
      <c r="E11" s="64">
        <f>Rohdaten!CR83</f>
        <v>14</v>
      </c>
      <c r="F11" s="64">
        <f>Rohdaten!DU83</f>
        <v>21</v>
      </c>
      <c r="G11" s="64">
        <f>Rohdaten!EX83</f>
        <v>17</v>
      </c>
      <c r="H11" s="64">
        <f>Rohdaten!GA83</f>
        <v>16</v>
      </c>
      <c r="I11" s="64">
        <f>Rohdaten!HD83</f>
        <v>12</v>
      </c>
      <c r="J11" s="64">
        <f>Rohdaten!IG83</f>
        <v>20</v>
      </c>
      <c r="K11" s="73">
        <f>Rohdaten!JJ83</f>
        <v>18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72" t="s">
        <v>71</v>
      </c>
      <c r="B12" s="72"/>
      <c r="C12" s="64">
        <f>Rohdaten!AL93</f>
        <v>14</v>
      </c>
      <c r="D12" s="64">
        <f>Rohdaten!BO93</f>
        <v>19</v>
      </c>
      <c r="E12" s="64">
        <f>Rohdaten!CR93</f>
        <v>18</v>
      </c>
      <c r="F12" s="64">
        <f>Rohdaten!DU93</f>
        <v>19</v>
      </c>
      <c r="G12" s="64">
        <f>Rohdaten!EX93</f>
        <v>18</v>
      </c>
      <c r="H12" s="64">
        <f>Rohdaten!GA93</f>
        <v>19</v>
      </c>
      <c r="I12" s="64">
        <f>Rohdaten!HD93</f>
        <v>14</v>
      </c>
      <c r="J12" s="64">
        <f>Rohdaten!IG93</f>
        <v>23</v>
      </c>
      <c r="K12" s="73">
        <f>Rohdaten!JJ93</f>
        <v>16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/>
      <c r="C13" s="64">
        <f>Rohdaten!AN94</f>
        <v>9</v>
      </c>
      <c r="D13" s="64">
        <f>Rohdaten!BQ94</f>
        <v>2</v>
      </c>
      <c r="E13" s="64">
        <f>Rohdaten!CT94</f>
        <v>7</v>
      </c>
      <c r="F13" s="64">
        <f>Rohdaten!DW94</f>
        <v>0</v>
      </c>
      <c r="G13" s="64">
        <f>Rohdaten!EZ94</f>
        <v>3</v>
      </c>
      <c r="H13" s="64">
        <f>Rohdaten!GC94</f>
        <v>0</v>
      </c>
      <c r="I13" s="64">
        <f>Rohdaten!HF94</f>
        <v>6</v>
      </c>
      <c r="J13" s="64">
        <f>Rohdaten!II94</f>
        <v>0</v>
      </c>
      <c r="K13" s="73">
        <f>Rohdaten!JL94</f>
        <v>10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/>
      <c r="C14" s="82">
        <f>Rohdaten!AP94</f>
        <v>5</v>
      </c>
      <c r="D14" s="82">
        <f>Rohdaten!BS94</f>
        <v>2</v>
      </c>
      <c r="E14" s="82">
        <f>Rohdaten!CV94</f>
        <v>3</v>
      </c>
      <c r="F14" s="82">
        <f>Rohdaten!DY94</f>
        <v>0</v>
      </c>
      <c r="G14" s="82">
        <f>Rohdaten!FB94</f>
        <v>0</v>
      </c>
      <c r="H14" s="82">
        <f>Rohdaten!GE94</f>
        <v>0</v>
      </c>
      <c r="I14" s="82">
        <f>Rohdaten!HH94</f>
        <v>3</v>
      </c>
      <c r="J14" s="82">
        <f>Rohdaten!IK94</f>
        <v>0</v>
      </c>
      <c r="K14" s="83">
        <f>Rohdaten!JN94</f>
        <v>1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/>
      <c r="C15" s="70">
        <f>Rohdaten!AR94</f>
        <v>1</v>
      </c>
      <c r="D15" s="70">
        <f>Rohdaten!BU94</f>
        <v>0</v>
      </c>
      <c r="E15" s="70">
        <f>Rohdaten!CX94</f>
        <v>1</v>
      </c>
      <c r="F15" s="70">
        <f>Rohdaten!EA94</f>
        <v>0</v>
      </c>
      <c r="G15" s="70">
        <f>Rohdaten!FD94</f>
        <v>0</v>
      </c>
      <c r="H15" s="70">
        <f>Rohdaten!GG94</f>
        <v>0</v>
      </c>
      <c r="I15" s="70">
        <f>Rohdaten!HJ94</f>
        <v>2</v>
      </c>
      <c r="J15" s="70">
        <f>Rohdaten!IM94</f>
        <v>0</v>
      </c>
      <c r="K15" s="71">
        <f>Rohdaten!JP94</f>
        <v>1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/>
      <c r="C16" s="64">
        <f>Rohdaten!AT94</f>
        <v>13</v>
      </c>
      <c r="D16" s="64">
        <f>Rohdaten!BW94</f>
        <v>4</v>
      </c>
      <c r="E16" s="64">
        <f>Rohdaten!CZ94</f>
        <v>8</v>
      </c>
      <c r="F16" s="64">
        <f>Rohdaten!EC94</f>
        <v>0</v>
      </c>
      <c r="G16" s="64">
        <f>Rohdaten!FF94</f>
        <v>3</v>
      </c>
      <c r="H16" s="64">
        <f>Rohdaten!GI94</f>
        <v>0</v>
      </c>
      <c r="I16" s="64">
        <f>Rohdaten!HL94</f>
        <v>6</v>
      </c>
      <c r="J16" s="64">
        <f>Rohdaten!IO94</f>
        <v>0</v>
      </c>
      <c r="K16" s="73">
        <f>Rohdaten!JR94</f>
        <v>9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/>
      <c r="C17" s="64">
        <f>Rohdaten!AV94</f>
        <v>4</v>
      </c>
      <c r="D17" s="64">
        <f>Rohdaten!BY94</f>
        <v>8</v>
      </c>
      <c r="E17" s="64">
        <f>Rohdaten!DB94</f>
        <v>7</v>
      </c>
      <c r="F17" s="64">
        <f>Rohdaten!EE94</f>
        <v>1</v>
      </c>
      <c r="G17" s="64">
        <f>Rohdaten!FH94</f>
        <v>8</v>
      </c>
      <c r="H17" s="64">
        <f>Rohdaten!GK94</f>
        <v>4</v>
      </c>
      <c r="I17" s="64">
        <f>Rohdaten!HN94</f>
        <v>5</v>
      </c>
      <c r="J17" s="64">
        <f>Rohdaten!IQ94</f>
        <v>0</v>
      </c>
      <c r="K17" s="73">
        <f>Rohdaten!JT94</f>
        <v>5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/>
      <c r="C18" s="82">
        <f>Rohdaten!AX94</f>
        <v>0</v>
      </c>
      <c r="D18" s="82">
        <f>Rohdaten!CA94</f>
        <v>6</v>
      </c>
      <c r="E18" s="82">
        <f>Rohdaten!DD94</f>
        <v>2</v>
      </c>
      <c r="F18" s="82">
        <f>Rohdaten!EG94</f>
        <v>17</v>
      </c>
      <c r="G18" s="82">
        <f>Rohdaten!FJ94</f>
        <v>7</v>
      </c>
      <c r="H18" s="82">
        <f>Rohdaten!GM94</f>
        <v>14</v>
      </c>
      <c r="I18" s="82">
        <f>Rohdaten!HP94</f>
        <v>5</v>
      </c>
      <c r="J18" s="82">
        <f>Rohdaten!IS94</f>
        <v>18</v>
      </c>
      <c r="K18" s="83">
        <f>Rohdaten!JV94</f>
        <v>3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/>
      <c r="C19" s="70">
        <f>Rohdaten!AZ94</f>
        <v>0</v>
      </c>
      <c r="D19" s="70">
        <f>Rohdaten!CC94</f>
        <v>0</v>
      </c>
      <c r="E19" s="70">
        <f>Rohdaten!DF94</f>
        <v>0</v>
      </c>
      <c r="F19" s="70">
        <f>Rohdaten!EI94</f>
        <v>0</v>
      </c>
      <c r="G19" s="70">
        <f>Rohdaten!FL94</f>
        <v>0</v>
      </c>
      <c r="H19" s="70">
        <f>Rohdaten!GO94</f>
        <v>0</v>
      </c>
      <c r="I19" s="70">
        <f>Rohdaten!HR94</f>
        <v>0</v>
      </c>
      <c r="J19" s="70">
        <f>Rohdaten!IU94</f>
        <v>0</v>
      </c>
      <c r="K19" s="71">
        <f>Rohdaten!JX94</f>
        <v>0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/>
      <c r="C20" s="64">
        <f>Rohdaten!BB94</f>
        <v>8</v>
      </c>
      <c r="D20" s="64">
        <f>Rohdaten!CE94</f>
        <v>4</v>
      </c>
      <c r="E20" s="64">
        <f>Rohdaten!DH94</f>
        <v>6</v>
      </c>
      <c r="F20" s="64">
        <f>Rohdaten!EK94</f>
        <v>0</v>
      </c>
      <c r="G20" s="64">
        <f>Rohdaten!FN94</f>
        <v>1</v>
      </c>
      <c r="H20" s="64">
        <f>Rohdaten!GQ94</f>
        <v>2</v>
      </c>
      <c r="I20" s="64">
        <f>Rohdaten!HT94</f>
        <v>11</v>
      </c>
      <c r="J20" s="64">
        <f>Rohdaten!IW94</f>
        <v>2</v>
      </c>
      <c r="K20" s="73">
        <f>Rohdaten!JZ94</f>
        <v>3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/>
      <c r="C21" s="64">
        <f>Rohdaten!BD94</f>
        <v>10</v>
      </c>
      <c r="D21" s="64">
        <f>Rohdaten!CG94</f>
        <v>10</v>
      </c>
      <c r="E21" s="64">
        <f>Rohdaten!DJ94</f>
        <v>11</v>
      </c>
      <c r="F21" s="64">
        <f>Rohdaten!EM94</f>
        <v>14</v>
      </c>
      <c r="G21" s="64">
        <f>Rohdaten!FP94</f>
        <v>17</v>
      </c>
      <c r="H21" s="64">
        <f>Rohdaten!GS94</f>
        <v>15</v>
      </c>
      <c r="I21" s="64">
        <f>Rohdaten!HV94</f>
        <v>6</v>
      </c>
      <c r="J21" s="64">
        <f>Rohdaten!IY94</f>
        <v>7</v>
      </c>
      <c r="K21" s="73">
        <f>Rohdaten!KB94</f>
        <v>14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/>
      <c r="C22" s="82">
        <f>Rohdaten!BF94</f>
        <v>0</v>
      </c>
      <c r="D22" s="82">
        <f>Rohdaten!CI94</f>
        <v>4</v>
      </c>
      <c r="E22" s="82">
        <f>Rohdaten!DL94</f>
        <v>1</v>
      </c>
      <c r="F22" s="82">
        <f>Rohdaten!EO94</f>
        <v>4</v>
      </c>
      <c r="G22" s="82">
        <f>Rohdaten!FR94</f>
        <v>0</v>
      </c>
      <c r="H22" s="82">
        <f>Rohdaten!GU94</f>
        <v>1</v>
      </c>
      <c r="I22" s="82">
        <f>Rohdaten!HX94</f>
        <v>1</v>
      </c>
      <c r="J22" s="82">
        <f>Rohdaten!JA94</f>
        <v>9</v>
      </c>
      <c r="K22" s="83">
        <f>Rohdaten!KD94</f>
        <v>1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101</v>
      </c>
      <c r="B23" s="84"/>
      <c r="C23" s="85">
        <f t="shared" ref="C23:K23" si="1">C10/18</f>
        <v>1.5555555555555556</v>
      </c>
      <c r="D23" s="85">
        <f t="shared" si="1"/>
        <v>2</v>
      </c>
      <c r="E23" s="85">
        <f t="shared" si="1"/>
        <v>1.7777777777777777</v>
      </c>
      <c r="F23" s="85">
        <f t="shared" si="1"/>
        <v>2.2222222222222223</v>
      </c>
      <c r="G23" s="85">
        <f t="shared" si="1"/>
        <v>1.9444444444444444</v>
      </c>
      <c r="H23" s="85">
        <f t="shared" si="1"/>
        <v>1.9444444444444444</v>
      </c>
      <c r="I23" s="85">
        <f t="shared" si="1"/>
        <v>1.4444444444444444</v>
      </c>
      <c r="J23" s="85">
        <f t="shared" si="1"/>
        <v>2.3888888888888888</v>
      </c>
      <c r="K23" s="86">
        <f t="shared" si="1"/>
        <v>1.8888888888888888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69" t="s">
        <v>41</v>
      </c>
      <c r="B24" s="87"/>
      <c r="C24" s="88">
        <f>Rohdaten!BH94</f>
        <v>0.25</v>
      </c>
      <c r="D24" s="88">
        <f>Rohdaten!CK94</f>
        <v>0.25</v>
      </c>
      <c r="E24" s="88">
        <f>Rohdaten!DN94</f>
        <v>0.25</v>
      </c>
      <c r="F24" s="88">
        <f>Rohdaten!EQ94</f>
        <v>3</v>
      </c>
      <c r="G24" s="88">
        <f>Rohdaten!FT94</f>
        <v>1</v>
      </c>
      <c r="H24" s="88">
        <f>Rohdaten!GW94</f>
        <v>1.25</v>
      </c>
      <c r="I24" s="88">
        <f>Rohdaten!HZ94</f>
        <v>1.25</v>
      </c>
      <c r="J24" s="88">
        <f>Rohdaten!JC94</f>
        <v>3.75</v>
      </c>
      <c r="K24" s="89">
        <f>Rohdaten!KF94</f>
        <v>0.5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72" t="s">
        <v>42</v>
      </c>
      <c r="B25" s="90"/>
      <c r="C25" s="91">
        <f>Rohdaten!BI94</f>
        <v>0.2</v>
      </c>
      <c r="D25" s="91">
        <f>Rohdaten!CL94</f>
        <v>1.9</v>
      </c>
      <c r="E25" s="91">
        <f>Rohdaten!DO94</f>
        <v>0.7</v>
      </c>
      <c r="F25" s="91">
        <f>Rohdaten!ER94</f>
        <v>2.7</v>
      </c>
      <c r="G25" s="91">
        <f>Rohdaten!FU94</f>
        <v>1.9</v>
      </c>
      <c r="H25" s="91">
        <f>Rohdaten!GX94</f>
        <v>3.1</v>
      </c>
      <c r="I25" s="91">
        <f>Rohdaten!IA94</f>
        <v>0.6</v>
      </c>
      <c r="J25" s="91">
        <f>Rohdaten!JD94</f>
        <v>3.9</v>
      </c>
      <c r="K25" s="92">
        <f>Rohdaten!KG94</f>
        <v>0.9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81" t="s">
        <v>43</v>
      </c>
      <c r="B26" s="93"/>
      <c r="C26" s="94">
        <f>Rohdaten!BJ94</f>
        <v>0</v>
      </c>
      <c r="D26" s="94">
        <f>Rohdaten!CM94</f>
        <v>1</v>
      </c>
      <c r="E26" s="94">
        <f>Rohdaten!DP94</f>
        <v>0.75</v>
      </c>
      <c r="F26" s="94">
        <f>Rohdaten!ES94</f>
        <v>2.5</v>
      </c>
      <c r="G26" s="94">
        <f>Rohdaten!FV94</f>
        <v>0.75</v>
      </c>
      <c r="H26" s="94">
        <f>Rohdaten!GY94</f>
        <v>3.5</v>
      </c>
      <c r="I26" s="94">
        <f>Rohdaten!IB94</f>
        <v>1.5</v>
      </c>
      <c r="J26" s="94">
        <f>Rohdaten!JE94</f>
        <v>2.75</v>
      </c>
      <c r="K26" s="95">
        <f>Rohdaten!KH94</f>
        <v>0.25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64"/>
      <c r="B27" s="64"/>
      <c r="C27" s="64"/>
      <c r="D27" s="64"/>
      <c r="E27" s="64"/>
      <c r="F27" s="64"/>
      <c r="G27" s="64"/>
      <c r="H27" s="64"/>
      <c r="I27" s="64"/>
      <c r="J27" s="64"/>
      <c r="K27" s="64"/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64"/>
      <c r="B28" s="64"/>
      <c r="C28" s="64"/>
      <c r="D28" s="64"/>
      <c r="E28" s="64"/>
      <c r="F28" s="64"/>
      <c r="G28" s="64"/>
      <c r="H28" s="64"/>
      <c r="I28" s="64"/>
      <c r="J28" s="64"/>
      <c r="K28" s="64"/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64"/>
      <c r="B29" s="64"/>
      <c r="C29" s="64"/>
      <c r="D29" s="64"/>
      <c r="E29" s="64"/>
      <c r="F29" s="64"/>
      <c r="G29" s="64"/>
      <c r="H29" s="64"/>
      <c r="I29" s="64"/>
      <c r="J29" s="64"/>
      <c r="K29" s="64"/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4"/>
      <c r="B30" s="64"/>
      <c r="C30" s="64"/>
      <c r="D30" s="64"/>
      <c r="E30" s="64"/>
      <c r="F30" s="64"/>
      <c r="G30" s="64"/>
      <c r="H30" s="64"/>
      <c r="I30" s="64"/>
      <c r="J30" s="64"/>
      <c r="K30" s="64"/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64"/>
      <c r="B31" s="64"/>
      <c r="C31" s="64"/>
      <c r="D31" s="64"/>
      <c r="E31" s="64"/>
      <c r="F31" s="64"/>
      <c r="G31" s="64"/>
      <c r="H31" s="64"/>
      <c r="I31" s="64"/>
      <c r="J31" s="64"/>
      <c r="K31" s="64"/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64"/>
      <c r="B32" s="64"/>
      <c r="C32" s="64"/>
      <c r="D32" s="64"/>
      <c r="E32" s="64"/>
      <c r="F32" s="64"/>
      <c r="G32" s="64"/>
      <c r="H32" s="64"/>
      <c r="I32" s="64"/>
      <c r="J32" s="64"/>
      <c r="K32" s="64"/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64"/>
      <c r="B33" s="64"/>
      <c r="C33" s="64"/>
      <c r="D33" s="64"/>
      <c r="E33" s="64"/>
      <c r="F33" s="64"/>
      <c r="G33" s="64"/>
      <c r="H33" s="64"/>
      <c r="I33" s="64"/>
      <c r="J33" s="64"/>
      <c r="K33" s="64"/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4"/>
      <c r="B34" s="64"/>
      <c r="C34" s="64"/>
      <c r="D34" s="64"/>
      <c r="E34" s="64"/>
      <c r="F34" s="64"/>
      <c r="G34" s="64"/>
      <c r="H34" s="64"/>
      <c r="I34" s="64"/>
      <c r="J34" s="64"/>
      <c r="K34" s="64"/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64"/>
      <c r="B35" s="64"/>
      <c r="C35" s="64"/>
      <c r="D35" s="64"/>
      <c r="E35" s="64"/>
      <c r="F35" s="64"/>
      <c r="G35" s="64"/>
      <c r="H35" s="64"/>
      <c r="I35" s="64"/>
      <c r="J35" s="64"/>
      <c r="K35" s="64"/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64"/>
      <c r="B36" s="64"/>
      <c r="C36" s="64"/>
      <c r="D36" s="64"/>
      <c r="E36" s="64"/>
      <c r="F36" s="64"/>
      <c r="G36" s="64"/>
      <c r="H36" s="64"/>
      <c r="I36" s="64"/>
      <c r="J36" s="64"/>
      <c r="K36" s="64"/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Z1000"/>
  <sheetViews>
    <sheetView workbookViewId="0">
      <selection activeCell="D8" sqref="D8"/>
    </sheetView>
  </sheetViews>
  <sheetFormatPr baseColWidth="10" defaultColWidth="12.6640625" defaultRowHeight="15" customHeight="1" x14ac:dyDescent="0.25"/>
  <cols>
    <col min="1" max="1" width="23.88671875" customWidth="1"/>
    <col min="2" max="26" width="10.109375" customWidth="1"/>
  </cols>
  <sheetData>
    <row r="1" spans="1:26" ht="12.75" customHeight="1" x14ac:dyDescent="0.25">
      <c r="A1" s="61" t="s">
        <v>102</v>
      </c>
      <c r="B1" s="61" t="s">
        <v>2</v>
      </c>
      <c r="C1" s="62" t="s">
        <v>3</v>
      </c>
      <c r="D1" s="62" t="s">
        <v>4</v>
      </c>
      <c r="E1" s="62" t="s">
        <v>5</v>
      </c>
      <c r="F1" s="62" t="s">
        <v>6</v>
      </c>
      <c r="G1" s="62" t="s">
        <v>7</v>
      </c>
      <c r="H1" s="62" t="s">
        <v>8</v>
      </c>
      <c r="I1" s="62" t="s">
        <v>9</v>
      </c>
      <c r="J1" s="62" t="s">
        <v>10</v>
      </c>
      <c r="K1" s="63" t="s">
        <v>11</v>
      </c>
      <c r="L1" s="64"/>
      <c r="M1" s="64"/>
      <c r="N1" s="64"/>
      <c r="O1" s="64"/>
      <c r="P1" s="64"/>
      <c r="Q1" s="64"/>
      <c r="R1" s="64"/>
      <c r="S1" s="64"/>
      <c r="T1" s="64"/>
      <c r="U1" s="64"/>
      <c r="V1" s="64"/>
      <c r="W1" s="64"/>
      <c r="X1" s="64"/>
      <c r="Y1" s="64"/>
      <c r="Z1" s="64"/>
    </row>
    <row r="2" spans="1:26" ht="12.75" customHeight="1" x14ac:dyDescent="0.25">
      <c r="A2" s="65" t="s">
        <v>63</v>
      </c>
      <c r="B2" s="66">
        <v>20</v>
      </c>
      <c r="C2" s="67">
        <v>12</v>
      </c>
      <c r="D2" s="67">
        <v>24</v>
      </c>
      <c r="E2" s="67">
        <v>23</v>
      </c>
      <c r="F2" s="67">
        <v>54</v>
      </c>
      <c r="G2" s="67">
        <v>27</v>
      </c>
      <c r="H2" s="67">
        <v>54</v>
      </c>
      <c r="I2" s="67">
        <v>18</v>
      </c>
      <c r="J2" s="67">
        <v>54</v>
      </c>
      <c r="K2" s="68">
        <v>14</v>
      </c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</row>
    <row r="3" spans="1:26" ht="12.75" customHeight="1" x14ac:dyDescent="0.25">
      <c r="A3" s="96" t="s">
        <v>17</v>
      </c>
      <c r="B3" s="69">
        <f>Rohdaten!G95</f>
        <v>177</v>
      </c>
      <c r="C3" s="70">
        <f>Rohdaten!AJ95</f>
        <v>323</v>
      </c>
      <c r="D3" s="70">
        <f>Rohdaten!BM95</f>
        <v>400</v>
      </c>
      <c r="E3" s="70">
        <f>Rohdaten!CP95</f>
        <v>368</v>
      </c>
      <c r="F3" s="70">
        <f>Rohdaten!DS95</f>
        <v>539</v>
      </c>
      <c r="G3" s="70">
        <f>Rohdaten!EV95</f>
        <v>402</v>
      </c>
      <c r="H3" s="70">
        <f>Rohdaten!FY95</f>
        <v>514</v>
      </c>
      <c r="I3" s="70">
        <f>Rohdaten!HB95</f>
        <v>377</v>
      </c>
      <c r="J3" s="70">
        <f>Rohdaten!IE95</f>
        <v>268</v>
      </c>
      <c r="K3" s="71">
        <f>Rohdaten!JH95</f>
        <v>169</v>
      </c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2.75" customHeight="1" x14ac:dyDescent="0.25">
      <c r="A4" s="97" t="s">
        <v>79</v>
      </c>
      <c r="B4" s="72">
        <f>Rohdaten!G96</f>
        <v>33</v>
      </c>
      <c r="C4" s="64">
        <f>Rohdaten!AJ96</f>
        <v>35</v>
      </c>
      <c r="D4" s="64">
        <f>Rohdaten!BM96</f>
        <v>112</v>
      </c>
      <c r="E4" s="64">
        <f>Rohdaten!CP96</f>
        <v>80</v>
      </c>
      <c r="F4" s="64">
        <f>Rohdaten!DS96</f>
        <v>251</v>
      </c>
      <c r="G4" s="64">
        <f>Rohdaten!EV96</f>
        <v>114</v>
      </c>
      <c r="H4" s="64">
        <f>Rohdaten!FY96</f>
        <v>226</v>
      </c>
      <c r="I4" s="64">
        <f>Rohdaten!HB96</f>
        <v>89</v>
      </c>
      <c r="J4" s="64">
        <f>Rohdaten!IE96</f>
        <v>124</v>
      </c>
      <c r="K4" s="73">
        <f>Rohdaten!JH96</f>
        <v>25</v>
      </c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2.75" customHeight="1" x14ac:dyDescent="0.25">
      <c r="A5" s="97" t="s">
        <v>80</v>
      </c>
      <c r="B5" s="72">
        <f>Rohdaten!G97</f>
        <v>16.5</v>
      </c>
      <c r="C5" s="64">
        <f>Rohdaten!AJ97</f>
        <v>8.75</v>
      </c>
      <c r="D5" s="64">
        <f>Rohdaten!BM97</f>
        <v>28</v>
      </c>
      <c r="E5" s="64">
        <f>Rohdaten!CP97</f>
        <v>20</v>
      </c>
      <c r="F5" s="64">
        <f>Rohdaten!DS97</f>
        <v>62.75</v>
      </c>
      <c r="G5" s="64">
        <f>Rohdaten!EV97</f>
        <v>28.5</v>
      </c>
      <c r="H5" s="64">
        <f>Rohdaten!FY97</f>
        <v>56.5</v>
      </c>
      <c r="I5" s="64">
        <f>Rohdaten!HB97</f>
        <v>22.25</v>
      </c>
      <c r="J5" s="64">
        <f>Rohdaten!IE97</f>
        <v>62</v>
      </c>
      <c r="K5" s="73">
        <f>Rohdaten!JH97</f>
        <v>12.5</v>
      </c>
      <c r="L5" s="64"/>
      <c r="M5" s="64"/>
      <c r="N5" s="64"/>
      <c r="O5" s="64"/>
      <c r="P5" s="64"/>
      <c r="Q5" s="64"/>
      <c r="R5" s="64"/>
      <c r="S5" s="64"/>
      <c r="T5" s="64"/>
      <c r="U5" s="64"/>
      <c r="V5" s="64"/>
      <c r="W5" s="64"/>
      <c r="X5" s="64"/>
      <c r="Y5" s="64"/>
      <c r="Z5" s="64"/>
    </row>
    <row r="6" spans="1:26" ht="12.75" customHeight="1" x14ac:dyDescent="0.25">
      <c r="A6" s="97" t="s">
        <v>67</v>
      </c>
      <c r="B6" s="74">
        <f>Rohdaten!AH95</f>
        <v>137</v>
      </c>
      <c r="C6" s="75">
        <f>Rohdaten!BK95</f>
        <v>275</v>
      </c>
      <c r="D6" s="75">
        <f>Rohdaten!CN95</f>
        <v>304</v>
      </c>
      <c r="E6" s="75">
        <f>Rohdaten!DQ95</f>
        <v>276</v>
      </c>
      <c r="F6" s="75">
        <f>Rohdaten!ET95</f>
        <v>323</v>
      </c>
      <c r="G6" s="75">
        <f>Rohdaten!FW95</f>
        <v>294</v>
      </c>
      <c r="H6" s="75">
        <f>Rohdaten!GZ95</f>
        <v>298</v>
      </c>
      <c r="I6" s="75">
        <f>Rohdaten!IC95</f>
        <v>305</v>
      </c>
      <c r="J6" s="75">
        <f>Rohdaten!JF95</f>
        <v>160</v>
      </c>
      <c r="K6" s="76">
        <f>Rohdaten!KI95</f>
        <v>141</v>
      </c>
      <c r="L6" s="64"/>
      <c r="M6" s="64"/>
      <c r="N6" s="64"/>
      <c r="O6" s="64"/>
      <c r="P6" s="64"/>
      <c r="Q6" s="64"/>
      <c r="R6" s="64"/>
      <c r="S6" s="64"/>
      <c r="T6" s="64"/>
      <c r="U6" s="64"/>
      <c r="V6" s="64"/>
      <c r="W6" s="64"/>
      <c r="X6" s="64"/>
      <c r="Y6" s="64"/>
      <c r="Z6" s="64"/>
    </row>
    <row r="7" spans="1:26" ht="12.75" customHeight="1" x14ac:dyDescent="0.25">
      <c r="A7" s="97" t="s">
        <v>68</v>
      </c>
      <c r="B7" s="74">
        <f>Rohdaten!AH96</f>
        <v>-7</v>
      </c>
      <c r="C7" s="75">
        <f>Rohdaten!BK96</f>
        <v>-13</v>
      </c>
      <c r="D7" s="75">
        <f>Rohdaten!CN96</f>
        <v>16</v>
      </c>
      <c r="E7" s="75">
        <f>Rohdaten!DQ96</f>
        <v>-12</v>
      </c>
      <c r="F7" s="75">
        <f>Rohdaten!ET96</f>
        <v>35</v>
      </c>
      <c r="G7" s="75">
        <f>Rohdaten!FW96</f>
        <v>6</v>
      </c>
      <c r="H7" s="75">
        <f>Rohdaten!GZ96</f>
        <v>10</v>
      </c>
      <c r="I7" s="75">
        <f>Rohdaten!IC96</f>
        <v>17</v>
      </c>
      <c r="J7" s="75">
        <f>Rohdaten!JF96</f>
        <v>16</v>
      </c>
      <c r="K7" s="76">
        <f>Rohdaten!KI96</f>
        <v>-3</v>
      </c>
      <c r="L7" s="64"/>
      <c r="M7" s="64"/>
      <c r="N7" s="64"/>
      <c r="O7" s="64"/>
      <c r="P7" s="64"/>
      <c r="Q7" s="64"/>
      <c r="R7" s="64"/>
      <c r="S7" s="64"/>
      <c r="T7" s="64"/>
      <c r="U7" s="64"/>
      <c r="V7" s="64"/>
      <c r="W7" s="64"/>
      <c r="X7" s="64"/>
      <c r="Y7" s="64"/>
      <c r="Z7" s="64"/>
    </row>
    <row r="8" spans="1:26" ht="12.75" customHeight="1" x14ac:dyDescent="0.25">
      <c r="A8" s="98" t="s">
        <v>69</v>
      </c>
      <c r="B8" s="78">
        <f t="shared" ref="B8:K8" si="0">_xlfn.RANK.EQ(B7,$B7:$K7,1)</f>
        <v>3</v>
      </c>
      <c r="C8" s="79">
        <f t="shared" si="0"/>
        <v>1</v>
      </c>
      <c r="D8" s="79">
        <f t="shared" si="0"/>
        <v>7</v>
      </c>
      <c r="E8" s="79">
        <f t="shared" si="0"/>
        <v>2</v>
      </c>
      <c r="F8" s="79">
        <f t="shared" si="0"/>
        <v>10</v>
      </c>
      <c r="G8" s="79">
        <f t="shared" si="0"/>
        <v>5</v>
      </c>
      <c r="H8" s="79">
        <f t="shared" si="0"/>
        <v>6</v>
      </c>
      <c r="I8" s="79">
        <f t="shared" si="0"/>
        <v>9</v>
      </c>
      <c r="J8" s="79">
        <f t="shared" si="0"/>
        <v>7</v>
      </c>
      <c r="K8" s="80">
        <f t="shared" si="0"/>
        <v>4</v>
      </c>
      <c r="L8" s="64"/>
      <c r="M8" s="64"/>
      <c r="N8" s="64"/>
      <c r="O8" s="64"/>
      <c r="P8" s="64"/>
      <c r="Q8" s="64"/>
      <c r="R8" s="64"/>
      <c r="S8" s="64"/>
      <c r="T8" s="64"/>
      <c r="U8" s="64"/>
      <c r="V8" s="64"/>
      <c r="W8" s="64"/>
      <c r="X8" s="64"/>
      <c r="Y8" s="64"/>
      <c r="Z8" s="64"/>
    </row>
    <row r="9" spans="1:26" ht="12.75" customHeight="1" x14ac:dyDescent="0.25">
      <c r="A9" s="72" t="s">
        <v>81</v>
      </c>
      <c r="B9" s="72">
        <f>MAX(Rohdaten!G23,Rohdaten!G46,Rohdaten!G70,Rohdaten!G94)</f>
        <v>90</v>
      </c>
      <c r="C9" s="64">
        <f>MAX(Rohdaten!AJ23,Rohdaten!AJ46,Rohdaten!AJ70,Rohdaten!AJ94)</f>
        <v>85</v>
      </c>
      <c r="D9" s="64">
        <f>MAX(Rohdaten!BM23,Rohdaten!BM46,Rohdaten!BM70,Rohdaten!BM94)</f>
        <v>104</v>
      </c>
      <c r="E9" s="64">
        <f>MAX(Rohdaten!CP23,Rohdaten!CP46,Rohdaten!CP70,Rohdaten!CP94)</f>
        <v>99</v>
      </c>
      <c r="F9" s="64">
        <f>MAX(Rohdaten!DS23,Rohdaten!DS46,Rohdaten!DS70,Rohdaten!DS94)</f>
        <v>141</v>
      </c>
      <c r="G9" s="64">
        <f>MAX(Rohdaten!EV23,Rohdaten!EV46,Rohdaten!EV70,Rohdaten!EV94)</f>
        <v>103</v>
      </c>
      <c r="H9" s="64">
        <f>MAX(Rohdaten!FY23,Rohdaten!FY46,Rohdaten!FY70,Rohdaten!FY94)</f>
        <v>132</v>
      </c>
      <c r="I9" s="64">
        <f>MAX(Rohdaten!HB23,Rohdaten!HB46,Rohdaten!HB70,Rohdaten!HB94)</f>
        <v>97</v>
      </c>
      <c r="J9" s="64">
        <f>MAX(Rohdaten!IE70,Rohdaten!IE94)</f>
        <v>137</v>
      </c>
      <c r="K9" s="73">
        <f>MAX(Rohdaten!JH70,Rohdaten!JH94)</f>
        <v>85</v>
      </c>
      <c r="L9" s="64"/>
      <c r="M9" s="64"/>
      <c r="N9" s="64"/>
      <c r="O9" s="64"/>
      <c r="P9" s="64"/>
      <c r="Q9" s="64"/>
      <c r="R9" s="64"/>
      <c r="S9" s="64"/>
      <c r="T9" s="64"/>
      <c r="U9" s="64"/>
      <c r="V9" s="64"/>
      <c r="W9" s="64"/>
      <c r="X9" s="64"/>
      <c r="Y9" s="64"/>
      <c r="Z9" s="64"/>
    </row>
    <row r="10" spans="1:26" ht="12.75" customHeight="1" x14ac:dyDescent="0.25">
      <c r="A10" s="72" t="s">
        <v>82</v>
      </c>
      <c r="B10" s="72">
        <f>MIN(Rohdaten!G23,Rohdaten!G46)</f>
        <v>87</v>
      </c>
      <c r="C10" s="64">
        <f>MIN(Rohdaten!AJ23,Rohdaten!AJ46,Rohdaten!AJ70,Rohdaten!AJ94)</f>
        <v>75</v>
      </c>
      <c r="D10" s="64">
        <f>MIN(Rohdaten!BM23,Rohdaten!BM46,Rohdaten!BM70,Rohdaten!BM94)</f>
        <v>96</v>
      </c>
      <c r="E10" s="64">
        <f>MIN(Rohdaten!CP23,Rohdaten!CP46,Rohdaten!CP70,Rohdaten!CP94)</f>
        <v>83</v>
      </c>
      <c r="F10" s="64">
        <f>MIN(Rohdaten!DS23,Rohdaten!DS46,Rohdaten!DS70,Rohdaten!DS94)</f>
        <v>121</v>
      </c>
      <c r="G10" s="64">
        <f>MIN(Rohdaten!EV23,Rohdaten!EV46,Rohdaten!EV70,Rohdaten!EV94)</f>
        <v>98</v>
      </c>
      <c r="H10" s="64">
        <f>MIN(Rohdaten!FY23,Rohdaten!FY46,Rohdaten!FY70,Rohdaten!FY94)</f>
        <v>122</v>
      </c>
      <c r="I10" s="64">
        <f>MIN(Rohdaten!HB23,Rohdaten!HB46,Rohdaten!HB70,Rohdaten!HB94)</f>
        <v>89</v>
      </c>
      <c r="J10" s="64">
        <f>MIN(Rohdaten!IE70,Rohdaten!IE94)</f>
        <v>131</v>
      </c>
      <c r="K10" s="73">
        <f>MIN(Rohdaten!JH70,Rohdaten!JH94)</f>
        <v>84</v>
      </c>
      <c r="L10" s="64"/>
      <c r="M10" s="64"/>
      <c r="N10" s="64"/>
      <c r="O10" s="64"/>
      <c r="P10" s="64"/>
      <c r="Q10" s="64"/>
      <c r="R10" s="64"/>
      <c r="S10" s="64"/>
      <c r="T10" s="64"/>
      <c r="U10" s="64"/>
      <c r="V10" s="64"/>
      <c r="W10" s="64"/>
      <c r="X10" s="64"/>
      <c r="Y10" s="64"/>
      <c r="Z10" s="64"/>
    </row>
    <row r="11" spans="1:26" ht="12.75" customHeight="1" x14ac:dyDescent="0.25">
      <c r="A11" s="72" t="s">
        <v>83</v>
      </c>
      <c r="B11" s="81">
        <f>AVERAGE(Rohdaten!G23,Rohdaten!G46)</f>
        <v>88.5</v>
      </c>
      <c r="C11" s="82">
        <f>AVERAGE(Rohdaten!AJ23,Rohdaten!AJ46,Rohdaten!AJ70,Rohdaten!AJ94)</f>
        <v>80.75</v>
      </c>
      <c r="D11" s="82">
        <f>AVERAGE(Rohdaten!BM23,Rohdaten!BM46,Rohdaten!BM70,Rohdaten!BM94)</f>
        <v>100</v>
      </c>
      <c r="E11" s="82">
        <f>AVERAGE(Rohdaten!CP23,Rohdaten!CP46,Rohdaten!CP70,Rohdaten!CP94)</f>
        <v>92</v>
      </c>
      <c r="F11" s="82">
        <f>AVERAGE(Rohdaten!DS23,Rohdaten!DS46,Rohdaten!DS70,Rohdaten!DS94)</f>
        <v>134.75</v>
      </c>
      <c r="G11" s="82">
        <f>AVERAGE(Rohdaten!EV23,Rohdaten!EV46,Rohdaten!EV70,Rohdaten!EV94)</f>
        <v>100.5</v>
      </c>
      <c r="H11" s="82">
        <f>AVERAGE(Rohdaten!FY23,Rohdaten!FY46,Rohdaten!FY70,Rohdaten!FY94)</f>
        <v>128.5</v>
      </c>
      <c r="I11" s="82">
        <f>AVERAGE(Rohdaten!HB23,Rohdaten!HB46,Rohdaten!HB70,Rohdaten!HB94)</f>
        <v>94.25</v>
      </c>
      <c r="J11" s="82">
        <f>AVERAGE(Rohdaten!IE70,Rohdaten!IE94)</f>
        <v>134</v>
      </c>
      <c r="K11" s="83">
        <f>AVERAGE(Rohdaten!JH70,Rohdaten!JH94)</f>
        <v>84.5</v>
      </c>
      <c r="L11" s="64"/>
      <c r="M11" s="64"/>
      <c r="N11" s="64"/>
      <c r="O11" s="64"/>
      <c r="P11" s="64"/>
      <c r="Q11" s="64"/>
      <c r="R11" s="64"/>
      <c r="S11" s="64"/>
      <c r="T11" s="64"/>
      <c r="U11" s="64"/>
      <c r="V11" s="64"/>
      <c r="W11" s="64"/>
      <c r="X11" s="64"/>
      <c r="Y11" s="64"/>
      <c r="Z11" s="64"/>
    </row>
    <row r="12" spans="1:26" ht="12.75" customHeight="1" x14ac:dyDescent="0.25">
      <c r="A12" s="69" t="s">
        <v>19</v>
      </c>
      <c r="B12" s="69">
        <f>Rohdaten!I95</f>
        <v>71</v>
      </c>
      <c r="C12" s="70">
        <f>Rohdaten!AL95</f>
        <v>125</v>
      </c>
      <c r="D12" s="70">
        <f>Rohdaten!BO95</f>
        <v>149</v>
      </c>
      <c r="E12" s="70">
        <f>Rohdaten!CR95</f>
        <v>142</v>
      </c>
      <c r="F12" s="70">
        <f>Rohdaten!DU95</f>
        <v>142</v>
      </c>
      <c r="G12" s="70">
        <f>Rohdaten!EX95</f>
        <v>148</v>
      </c>
      <c r="H12" s="70">
        <f>Rohdaten!GA95</f>
        <v>163</v>
      </c>
      <c r="I12" s="70">
        <f>Rohdaten!HD95</f>
        <v>141</v>
      </c>
      <c r="J12" s="70">
        <f>Rohdaten!IG95</f>
        <v>94</v>
      </c>
      <c r="K12" s="71">
        <f>Rohdaten!JJ95</f>
        <v>68</v>
      </c>
      <c r="L12" s="64"/>
      <c r="M12" s="64"/>
      <c r="N12" s="64"/>
      <c r="O12" s="64"/>
      <c r="P12" s="64"/>
      <c r="Q12" s="64"/>
      <c r="R12" s="64"/>
      <c r="S12" s="64"/>
      <c r="T12" s="64"/>
      <c r="U12" s="64"/>
      <c r="V12" s="64"/>
      <c r="W12" s="64"/>
      <c r="X12" s="64"/>
      <c r="Y12" s="64"/>
      <c r="Z12" s="64"/>
    </row>
    <row r="13" spans="1:26" ht="12.75" customHeight="1" x14ac:dyDescent="0.25">
      <c r="A13" s="72" t="s">
        <v>21</v>
      </c>
      <c r="B13" s="72">
        <f>Rohdaten!K95</f>
        <v>15</v>
      </c>
      <c r="C13" s="64">
        <f>Rohdaten!AN95</f>
        <v>37</v>
      </c>
      <c r="D13" s="64">
        <f>Rohdaten!BQ95</f>
        <v>10</v>
      </c>
      <c r="E13" s="64">
        <f>Rohdaten!CT95</f>
        <v>17</v>
      </c>
      <c r="F13" s="64">
        <f>Rohdaten!DW95</f>
        <v>1</v>
      </c>
      <c r="G13" s="64">
        <f>Rohdaten!EZ95</f>
        <v>13</v>
      </c>
      <c r="H13" s="64">
        <f>Rohdaten!GC95</f>
        <v>2</v>
      </c>
      <c r="I13" s="64">
        <f>Rohdaten!HF95</f>
        <v>24</v>
      </c>
      <c r="J13" s="64">
        <f>Rohdaten!II95</f>
        <v>1</v>
      </c>
      <c r="K13" s="73">
        <f>Rohdaten!JL95</f>
        <v>18</v>
      </c>
      <c r="L13" s="64"/>
      <c r="M13" s="64"/>
      <c r="N13" s="64"/>
      <c r="O13" s="64"/>
      <c r="P13" s="64"/>
      <c r="Q13" s="64"/>
      <c r="R13" s="64"/>
      <c r="S13" s="64"/>
      <c r="T13" s="64"/>
      <c r="U13" s="64"/>
      <c r="V13" s="64"/>
      <c r="W13" s="64"/>
      <c r="X13" s="64"/>
      <c r="Y13" s="64"/>
      <c r="Z13" s="64"/>
    </row>
    <row r="14" spans="1:26" ht="12.75" customHeight="1" x14ac:dyDescent="0.25">
      <c r="A14" s="81" t="s">
        <v>72</v>
      </c>
      <c r="B14" s="81">
        <f>Rohdaten!M95</f>
        <v>3</v>
      </c>
      <c r="C14" s="82">
        <f>Rohdaten!AP95</f>
        <v>13</v>
      </c>
      <c r="D14" s="82">
        <f>Rohdaten!BS95</f>
        <v>6</v>
      </c>
      <c r="E14" s="82">
        <f>Rohdaten!CV95</f>
        <v>9</v>
      </c>
      <c r="F14" s="82">
        <f>Rohdaten!DY95</f>
        <v>0</v>
      </c>
      <c r="G14" s="82">
        <f>Rohdaten!FB95</f>
        <v>1</v>
      </c>
      <c r="H14" s="82">
        <f>Rohdaten!GE95</f>
        <v>0</v>
      </c>
      <c r="I14" s="82">
        <f>Rohdaten!HH95</f>
        <v>7</v>
      </c>
      <c r="J14" s="82">
        <f>Rohdaten!IK95</f>
        <v>0</v>
      </c>
      <c r="K14" s="83">
        <f>Rohdaten!JN95</f>
        <v>2</v>
      </c>
      <c r="L14" s="64"/>
      <c r="M14" s="64"/>
      <c r="N14" s="64"/>
      <c r="O14" s="64"/>
      <c r="P14" s="64"/>
      <c r="Q14" s="64"/>
      <c r="R14" s="64"/>
      <c r="S14" s="64"/>
      <c r="T14" s="64"/>
      <c r="U14" s="64"/>
      <c r="V14" s="64"/>
      <c r="W14" s="64"/>
      <c r="X14" s="64"/>
      <c r="Y14" s="64"/>
      <c r="Z14" s="64"/>
    </row>
    <row r="15" spans="1:26" ht="12.75" customHeight="1" x14ac:dyDescent="0.25">
      <c r="A15" s="69" t="s">
        <v>73</v>
      </c>
      <c r="B15" s="69">
        <f>Rohdaten!O95</f>
        <v>1</v>
      </c>
      <c r="C15" s="70">
        <f>Rohdaten!AR95</f>
        <v>5</v>
      </c>
      <c r="D15" s="70">
        <f>Rohdaten!BU95</f>
        <v>1</v>
      </c>
      <c r="E15" s="70">
        <f>Rohdaten!CX95</f>
        <v>1</v>
      </c>
      <c r="F15" s="70">
        <f>Rohdaten!EA95</f>
        <v>0</v>
      </c>
      <c r="G15" s="70">
        <f>Rohdaten!FD95</f>
        <v>2</v>
      </c>
      <c r="H15" s="70">
        <f>Rohdaten!GG95</f>
        <v>0</v>
      </c>
      <c r="I15" s="70">
        <f>Rohdaten!HJ95</f>
        <v>2</v>
      </c>
      <c r="J15" s="70">
        <f>Rohdaten!IM95</f>
        <v>0</v>
      </c>
      <c r="K15" s="71">
        <f>Rohdaten!JP95</f>
        <v>3</v>
      </c>
      <c r="L15" s="64"/>
      <c r="M15" s="64"/>
      <c r="N15" s="64"/>
      <c r="O15" s="64"/>
      <c r="P15" s="64"/>
      <c r="Q15" s="64"/>
      <c r="R15" s="64"/>
      <c r="S15" s="64"/>
      <c r="T15" s="64"/>
      <c r="U15" s="64"/>
      <c r="V15" s="64"/>
      <c r="W15" s="64"/>
      <c r="X15" s="64"/>
      <c r="Y15" s="64"/>
      <c r="Z15" s="64"/>
    </row>
    <row r="16" spans="1:26" ht="12.75" customHeight="1" x14ac:dyDescent="0.25">
      <c r="A16" s="72" t="s">
        <v>27</v>
      </c>
      <c r="B16" s="72">
        <f>Rohdaten!Q95</f>
        <v>14</v>
      </c>
      <c r="C16" s="64">
        <f>Rohdaten!AT95</f>
        <v>41</v>
      </c>
      <c r="D16" s="64">
        <f>Rohdaten!BW95</f>
        <v>14</v>
      </c>
      <c r="E16" s="64">
        <f>Rohdaten!CZ95</f>
        <v>20</v>
      </c>
      <c r="F16" s="64">
        <f>Rohdaten!EC95</f>
        <v>1</v>
      </c>
      <c r="G16" s="64">
        <f>Rohdaten!FF95</f>
        <v>8</v>
      </c>
      <c r="H16" s="64">
        <f>Rohdaten!GI95</f>
        <v>0</v>
      </c>
      <c r="I16" s="64">
        <f>Rohdaten!HL95</f>
        <v>19</v>
      </c>
      <c r="J16" s="64">
        <f>Rohdaten!IO95</f>
        <v>0</v>
      </c>
      <c r="K16" s="73">
        <f>Rohdaten!JR95</f>
        <v>16</v>
      </c>
      <c r="L16" s="64"/>
      <c r="M16" s="64"/>
      <c r="N16" s="64"/>
      <c r="O16" s="64"/>
      <c r="P16" s="64"/>
      <c r="Q16" s="64"/>
      <c r="R16" s="64"/>
      <c r="S16" s="64"/>
      <c r="T16" s="64"/>
      <c r="U16" s="64"/>
      <c r="V16" s="64"/>
      <c r="W16" s="64"/>
      <c r="X16" s="64"/>
      <c r="Y16" s="64"/>
      <c r="Z16" s="64"/>
    </row>
    <row r="17" spans="1:26" ht="12.75" customHeight="1" x14ac:dyDescent="0.25">
      <c r="A17" s="72" t="s">
        <v>29</v>
      </c>
      <c r="B17" s="72">
        <f>Rohdaten!S95</f>
        <v>12</v>
      </c>
      <c r="C17" s="64">
        <f>Rohdaten!AV95</f>
        <v>16</v>
      </c>
      <c r="D17" s="64">
        <f>Rohdaten!BY95</f>
        <v>24</v>
      </c>
      <c r="E17" s="64">
        <f>Rohdaten!DB95</f>
        <v>29</v>
      </c>
      <c r="F17" s="64">
        <f>Rohdaten!EE95</f>
        <v>3</v>
      </c>
      <c r="G17" s="64">
        <f>Rohdaten!FH95</f>
        <v>27</v>
      </c>
      <c r="H17" s="64">
        <f>Rohdaten!GK95</f>
        <v>10</v>
      </c>
      <c r="I17" s="64">
        <f>Rohdaten!HN95</f>
        <v>29</v>
      </c>
      <c r="J17" s="64">
        <f>Rohdaten!IQ95</f>
        <v>3</v>
      </c>
      <c r="K17" s="73">
        <f>Rohdaten!JT95</f>
        <v>9</v>
      </c>
      <c r="L17" s="64"/>
      <c r="M17" s="64"/>
      <c r="N17" s="64"/>
      <c r="O17" s="64"/>
      <c r="P17" s="64"/>
      <c r="Q17" s="64"/>
      <c r="R17" s="64"/>
      <c r="S17" s="64"/>
      <c r="T17" s="64"/>
      <c r="U17" s="64"/>
      <c r="V17" s="64"/>
      <c r="W17" s="64"/>
      <c r="X17" s="64"/>
      <c r="Y17" s="64"/>
      <c r="Z17" s="64"/>
    </row>
    <row r="18" spans="1:26" ht="12.75" customHeight="1" x14ac:dyDescent="0.25">
      <c r="A18" s="81" t="s">
        <v>74</v>
      </c>
      <c r="B18" s="81">
        <f>Rohdaten!U95</f>
        <v>9</v>
      </c>
      <c r="C18" s="82">
        <f>Rohdaten!AX95</f>
        <v>10</v>
      </c>
      <c r="D18" s="82">
        <f>Rohdaten!CA95</f>
        <v>33</v>
      </c>
      <c r="E18" s="82">
        <f>Rohdaten!DD95</f>
        <v>22</v>
      </c>
      <c r="F18" s="82">
        <f>Rohdaten!EG95</f>
        <v>68</v>
      </c>
      <c r="G18" s="82">
        <f>Rohdaten!FJ95</f>
        <v>35</v>
      </c>
      <c r="H18" s="82">
        <f>Rohdaten!GM95</f>
        <v>62</v>
      </c>
      <c r="I18" s="82">
        <f>Rohdaten!HP95</f>
        <v>22</v>
      </c>
      <c r="J18" s="82">
        <f>Rohdaten!IS95</f>
        <v>33</v>
      </c>
      <c r="K18" s="83">
        <f>Rohdaten!JV95</f>
        <v>8</v>
      </c>
      <c r="L18" s="64"/>
      <c r="M18" s="64"/>
      <c r="N18" s="64"/>
      <c r="O18" s="64"/>
      <c r="P18" s="64"/>
      <c r="Q18" s="64"/>
      <c r="R18" s="64"/>
      <c r="S18" s="64"/>
      <c r="T18" s="64"/>
      <c r="U18" s="64"/>
      <c r="V18" s="64"/>
      <c r="W18" s="64"/>
      <c r="X18" s="64"/>
      <c r="Y18" s="64"/>
      <c r="Z18" s="64"/>
    </row>
    <row r="19" spans="1:26" ht="12.75" customHeight="1" x14ac:dyDescent="0.25">
      <c r="A19" s="69" t="s">
        <v>33</v>
      </c>
      <c r="B19" s="69">
        <f>Rohdaten!W95</f>
        <v>0</v>
      </c>
      <c r="C19" s="70">
        <f>Rohdaten!AZ95</f>
        <v>0</v>
      </c>
      <c r="D19" s="70">
        <f>Rohdaten!CC95</f>
        <v>0</v>
      </c>
      <c r="E19" s="70">
        <f>Rohdaten!DF95</f>
        <v>0</v>
      </c>
      <c r="F19" s="70">
        <f>Rohdaten!EI95</f>
        <v>0</v>
      </c>
      <c r="G19" s="70">
        <f>Rohdaten!FL95</f>
        <v>0</v>
      </c>
      <c r="H19" s="70">
        <f>Rohdaten!GO95</f>
        <v>0</v>
      </c>
      <c r="I19" s="70">
        <f>Rohdaten!HR95</f>
        <v>0</v>
      </c>
      <c r="J19" s="70">
        <f>Rohdaten!IU95</f>
        <v>0</v>
      </c>
      <c r="K19" s="71">
        <f>Rohdaten!JX95</f>
        <v>0</v>
      </c>
      <c r="L19" s="64"/>
      <c r="M19" s="64"/>
      <c r="N19" s="64"/>
      <c r="O19" s="64"/>
      <c r="P19" s="64"/>
      <c r="Q19" s="64"/>
      <c r="R19" s="64"/>
      <c r="S19" s="64"/>
      <c r="T19" s="64"/>
      <c r="U19" s="64"/>
      <c r="V19" s="64"/>
      <c r="W19" s="64"/>
      <c r="X19" s="64"/>
      <c r="Y19" s="64"/>
      <c r="Z19" s="64"/>
    </row>
    <row r="20" spans="1:26" ht="12.75" customHeight="1" x14ac:dyDescent="0.25">
      <c r="A20" s="72" t="s">
        <v>35</v>
      </c>
      <c r="B20" s="72">
        <f>Rohdaten!Y95</f>
        <v>7</v>
      </c>
      <c r="C20" s="64">
        <f>Rohdaten!BB95</f>
        <v>25</v>
      </c>
      <c r="D20" s="64">
        <f>Rohdaten!CE95</f>
        <v>13</v>
      </c>
      <c r="E20" s="64">
        <f>Rohdaten!DH95</f>
        <v>17</v>
      </c>
      <c r="F20" s="64">
        <f>Rohdaten!EK95</f>
        <v>2</v>
      </c>
      <c r="G20" s="64">
        <f>Rohdaten!FN95</f>
        <v>8</v>
      </c>
      <c r="H20" s="64">
        <f>Rohdaten!GQ95</f>
        <v>4</v>
      </c>
      <c r="I20" s="64">
        <f>Rohdaten!HT95</f>
        <v>17</v>
      </c>
      <c r="J20" s="64">
        <f>Rohdaten!IW95</f>
        <v>2</v>
      </c>
      <c r="K20" s="73">
        <f>Rohdaten!JZ95</f>
        <v>6</v>
      </c>
      <c r="L20" s="64"/>
      <c r="M20" s="64"/>
      <c r="N20" s="64"/>
      <c r="O20" s="64"/>
      <c r="P20" s="64"/>
      <c r="Q20" s="64"/>
      <c r="R20" s="64"/>
      <c r="S20" s="64"/>
      <c r="T20" s="64"/>
      <c r="U20" s="64"/>
      <c r="V20" s="64"/>
      <c r="W20" s="64"/>
      <c r="X20" s="64"/>
      <c r="Y20" s="64"/>
      <c r="Z20" s="64"/>
    </row>
    <row r="21" spans="1:26" ht="12.75" customHeight="1" x14ac:dyDescent="0.25">
      <c r="A21" s="72" t="s">
        <v>37</v>
      </c>
      <c r="B21" s="72">
        <f>Rohdaten!AA95</f>
        <v>24</v>
      </c>
      <c r="C21" s="64">
        <f>Rohdaten!BD95</f>
        <v>41</v>
      </c>
      <c r="D21" s="64">
        <f>Rohdaten!CG95</f>
        <v>41</v>
      </c>
      <c r="E21" s="64">
        <f>Rohdaten!DJ95</f>
        <v>41</v>
      </c>
      <c r="F21" s="64">
        <f>Rohdaten!EM95</f>
        <v>53</v>
      </c>
      <c r="G21" s="64">
        <f>Rohdaten!FP95</f>
        <v>52</v>
      </c>
      <c r="H21" s="64">
        <f>Rohdaten!GS95</f>
        <v>45</v>
      </c>
      <c r="I21" s="64">
        <f>Rohdaten!HV95</f>
        <v>41</v>
      </c>
      <c r="J21" s="64">
        <f>Rohdaten!IY95</f>
        <v>14</v>
      </c>
      <c r="K21" s="73">
        <f>Rohdaten!KB95</f>
        <v>28</v>
      </c>
      <c r="L21" s="64"/>
      <c r="M21" s="64"/>
      <c r="N21" s="64"/>
      <c r="O21" s="64"/>
      <c r="P21" s="64"/>
      <c r="Q21" s="64"/>
      <c r="R21" s="64"/>
      <c r="S21" s="64"/>
      <c r="T21" s="64"/>
      <c r="U21" s="64"/>
      <c r="V21" s="64"/>
      <c r="W21" s="64"/>
      <c r="X21" s="64"/>
      <c r="Y21" s="64"/>
      <c r="Z21" s="64"/>
    </row>
    <row r="22" spans="1:26" ht="12.75" customHeight="1" x14ac:dyDescent="0.25">
      <c r="A22" s="81" t="s">
        <v>39</v>
      </c>
      <c r="B22" s="81">
        <f>Rohdaten!AC95</f>
        <v>5</v>
      </c>
      <c r="C22" s="82">
        <f>Rohdaten!BF95</f>
        <v>6</v>
      </c>
      <c r="D22" s="82">
        <f>Rohdaten!CI95</f>
        <v>18</v>
      </c>
      <c r="E22" s="82">
        <f>Rohdaten!DL95</f>
        <v>14</v>
      </c>
      <c r="F22" s="82">
        <f>Rohdaten!EO95</f>
        <v>17</v>
      </c>
      <c r="G22" s="82">
        <f>Rohdaten!FR95</f>
        <v>12</v>
      </c>
      <c r="H22" s="82">
        <f>Rohdaten!GU95</f>
        <v>23</v>
      </c>
      <c r="I22" s="82">
        <f>Rohdaten!HX95</f>
        <v>14</v>
      </c>
      <c r="J22" s="82">
        <f>Rohdaten!JA95</f>
        <v>20</v>
      </c>
      <c r="K22" s="83">
        <f>Rohdaten!KD95</f>
        <v>2</v>
      </c>
      <c r="L22" s="64"/>
      <c r="M22" s="64"/>
      <c r="N22" s="64"/>
      <c r="O22" s="64"/>
      <c r="P22" s="64"/>
      <c r="Q22" s="64"/>
      <c r="R22" s="64"/>
      <c r="S22" s="64"/>
      <c r="T22" s="64"/>
      <c r="U22" s="64"/>
      <c r="V22" s="64"/>
      <c r="W22" s="64"/>
      <c r="X22" s="64"/>
      <c r="Y22" s="64"/>
      <c r="Z22" s="64"/>
    </row>
    <row r="23" spans="1:26" ht="12.75" customHeight="1" x14ac:dyDescent="0.25">
      <c r="A23" s="69" t="s">
        <v>103</v>
      </c>
      <c r="B23" s="87">
        <f>Rohdaten!I97</f>
        <v>1.9722222222222223</v>
      </c>
      <c r="C23" s="88">
        <f>Rohdaten!AL97</f>
        <v>1.7361111111111112</v>
      </c>
      <c r="D23" s="88">
        <f>Rohdaten!BO97</f>
        <v>2.0694444444444446</v>
      </c>
      <c r="E23" s="88">
        <f>Rohdaten!CR97</f>
        <v>1.9722222222222223</v>
      </c>
      <c r="F23" s="88">
        <f>Rohdaten!DU97</f>
        <v>1.9722222222222223</v>
      </c>
      <c r="G23" s="88">
        <f>Rohdaten!EX97</f>
        <v>2.0555555555555554</v>
      </c>
      <c r="H23" s="88">
        <f>Rohdaten!GA97</f>
        <v>2.2638888888888888</v>
      </c>
      <c r="I23" s="88">
        <f>Rohdaten!HD97</f>
        <v>1.9583333333333333</v>
      </c>
      <c r="J23" s="88">
        <f>Rohdaten!IG97</f>
        <v>2.6111111111111112</v>
      </c>
      <c r="K23" s="89">
        <f>Rohdaten!JJ97</f>
        <v>1.8888888888888888</v>
      </c>
      <c r="L23" s="64"/>
      <c r="M23" s="64"/>
      <c r="N23" s="64"/>
      <c r="O23" s="64"/>
      <c r="P23" s="64"/>
      <c r="Q23" s="64"/>
      <c r="R23" s="64"/>
      <c r="S23" s="64"/>
      <c r="T23" s="64"/>
      <c r="U23" s="64"/>
      <c r="V23" s="64"/>
      <c r="W23" s="64"/>
      <c r="X23" s="64"/>
      <c r="Y23" s="64"/>
      <c r="Z23" s="64"/>
    </row>
    <row r="24" spans="1:26" ht="12.75" customHeight="1" x14ac:dyDescent="0.25">
      <c r="A24" s="72" t="s">
        <v>104</v>
      </c>
      <c r="B24" s="90">
        <f>Rohdaten!K97</f>
        <v>7.5</v>
      </c>
      <c r="C24" s="91">
        <f>Rohdaten!AN97</f>
        <v>9.25</v>
      </c>
      <c r="D24" s="91">
        <f>Rohdaten!BQ97</f>
        <v>2.5</v>
      </c>
      <c r="E24" s="91">
        <f>Rohdaten!CT97</f>
        <v>4.25</v>
      </c>
      <c r="F24" s="91">
        <f>Rohdaten!DW97</f>
        <v>0.25</v>
      </c>
      <c r="G24" s="91">
        <f>Rohdaten!EZ97</f>
        <v>3.25</v>
      </c>
      <c r="H24" s="91">
        <f>Rohdaten!GC97</f>
        <v>0.5</v>
      </c>
      <c r="I24" s="91">
        <f>Rohdaten!HF97</f>
        <v>6</v>
      </c>
      <c r="J24" s="91">
        <f>Rohdaten!II97</f>
        <v>0.5</v>
      </c>
      <c r="K24" s="92">
        <f>Rohdaten!JL97</f>
        <v>9</v>
      </c>
      <c r="L24" s="64"/>
      <c r="M24" s="64"/>
      <c r="N24" s="64"/>
      <c r="O24" s="64"/>
      <c r="P24" s="64"/>
      <c r="Q24" s="64"/>
      <c r="R24" s="64"/>
      <c r="S24" s="64"/>
      <c r="T24" s="64"/>
      <c r="U24" s="64"/>
      <c r="V24" s="64"/>
      <c r="W24" s="64"/>
      <c r="X24" s="64"/>
      <c r="Y24" s="64"/>
      <c r="Z24" s="64"/>
    </row>
    <row r="25" spans="1:26" ht="12.75" customHeight="1" x14ac:dyDescent="0.25">
      <c r="A25" s="81" t="s">
        <v>86</v>
      </c>
      <c r="B25" s="93">
        <f>Rohdaten!M97</f>
        <v>1.5</v>
      </c>
      <c r="C25" s="94">
        <f>Rohdaten!AP97</f>
        <v>3.25</v>
      </c>
      <c r="D25" s="94">
        <f>Rohdaten!BS97</f>
        <v>1.5</v>
      </c>
      <c r="E25" s="94">
        <f>Rohdaten!CV97</f>
        <v>2.25</v>
      </c>
      <c r="F25" s="94">
        <f>Rohdaten!DY97</f>
        <v>0</v>
      </c>
      <c r="G25" s="94">
        <f>Rohdaten!FB97</f>
        <v>0.25</v>
      </c>
      <c r="H25" s="94">
        <f>Rohdaten!GE97</f>
        <v>0</v>
      </c>
      <c r="I25" s="94">
        <f>Rohdaten!HH97</f>
        <v>1.75</v>
      </c>
      <c r="J25" s="94">
        <f>Rohdaten!IK97</f>
        <v>0</v>
      </c>
      <c r="K25" s="95">
        <f>Rohdaten!JN97</f>
        <v>1</v>
      </c>
      <c r="L25" s="64"/>
      <c r="M25" s="64"/>
      <c r="N25" s="64"/>
      <c r="O25" s="64"/>
      <c r="P25" s="64"/>
      <c r="Q25" s="64"/>
      <c r="R25" s="64"/>
      <c r="S25" s="64"/>
      <c r="T25" s="64"/>
      <c r="U25" s="64"/>
      <c r="V25" s="64"/>
      <c r="W25" s="64"/>
      <c r="X25" s="64"/>
      <c r="Y25" s="64"/>
      <c r="Z25" s="64"/>
    </row>
    <row r="26" spans="1:26" ht="12.75" customHeight="1" x14ac:dyDescent="0.25">
      <c r="A26" s="69" t="s">
        <v>87</v>
      </c>
      <c r="B26" s="87">
        <f>Rohdaten!O97</f>
        <v>0.5</v>
      </c>
      <c r="C26" s="88">
        <f>Rohdaten!AR97</f>
        <v>1.25</v>
      </c>
      <c r="D26" s="88">
        <f>Rohdaten!BU97</f>
        <v>0.25</v>
      </c>
      <c r="E26" s="88">
        <f>Rohdaten!CX97</f>
        <v>0.25</v>
      </c>
      <c r="F26" s="88">
        <f>Rohdaten!EA97</f>
        <v>0</v>
      </c>
      <c r="G26" s="88">
        <f>Rohdaten!FD97</f>
        <v>0.5</v>
      </c>
      <c r="H26" s="88">
        <f>Rohdaten!GG97</f>
        <v>0</v>
      </c>
      <c r="I26" s="88">
        <f>Rohdaten!HJ97</f>
        <v>0.5</v>
      </c>
      <c r="J26" s="88">
        <f>Rohdaten!IM97</f>
        <v>0</v>
      </c>
      <c r="K26" s="89">
        <f>Rohdaten!JP97</f>
        <v>1.5</v>
      </c>
      <c r="L26" s="64"/>
      <c r="M26" s="64"/>
      <c r="N26" s="64"/>
      <c r="O26" s="64"/>
      <c r="P26" s="64"/>
      <c r="Q26" s="64"/>
      <c r="R26" s="64"/>
      <c r="S26" s="64"/>
      <c r="T26" s="64"/>
      <c r="U26" s="64"/>
      <c r="V26" s="64"/>
      <c r="W26" s="64"/>
      <c r="X26" s="64"/>
      <c r="Y26" s="64"/>
      <c r="Z26" s="64"/>
    </row>
    <row r="27" spans="1:26" ht="12.75" customHeight="1" x14ac:dyDescent="0.25">
      <c r="A27" s="72" t="s">
        <v>88</v>
      </c>
      <c r="B27" s="90">
        <f>Rohdaten!Q97</f>
        <v>7</v>
      </c>
      <c r="C27" s="91">
        <f>Rohdaten!AT97</f>
        <v>10.25</v>
      </c>
      <c r="D27" s="91">
        <f>Rohdaten!BW97</f>
        <v>3.5</v>
      </c>
      <c r="E27" s="91">
        <f>Rohdaten!CZ97</f>
        <v>5</v>
      </c>
      <c r="F27" s="91">
        <f>Rohdaten!EC97</f>
        <v>0.25</v>
      </c>
      <c r="G27" s="91">
        <f>Rohdaten!FF97</f>
        <v>2</v>
      </c>
      <c r="H27" s="91">
        <f>Rohdaten!GI97</f>
        <v>0</v>
      </c>
      <c r="I27" s="91">
        <f>Rohdaten!HL97</f>
        <v>4.75</v>
      </c>
      <c r="J27" s="91">
        <f>Rohdaten!IO97</f>
        <v>0</v>
      </c>
      <c r="K27" s="92">
        <f>Rohdaten!JR97</f>
        <v>8</v>
      </c>
      <c r="L27" s="64"/>
      <c r="M27" s="64"/>
      <c r="N27" s="64"/>
      <c r="O27" s="64"/>
      <c r="P27" s="64"/>
      <c r="Q27" s="64"/>
      <c r="R27" s="64"/>
      <c r="S27" s="64"/>
      <c r="T27" s="64"/>
      <c r="U27" s="64"/>
      <c r="V27" s="64"/>
      <c r="W27" s="64"/>
      <c r="X27" s="64"/>
      <c r="Y27" s="64"/>
      <c r="Z27" s="64"/>
    </row>
    <row r="28" spans="1:26" ht="12.75" customHeight="1" x14ac:dyDescent="0.25">
      <c r="A28" s="72" t="s">
        <v>89</v>
      </c>
      <c r="B28" s="90">
        <f>Rohdaten!S97</f>
        <v>6</v>
      </c>
      <c r="C28" s="91">
        <f>Rohdaten!AV97</f>
        <v>4</v>
      </c>
      <c r="D28" s="91">
        <f>Rohdaten!BY97</f>
        <v>6</v>
      </c>
      <c r="E28" s="91">
        <f>Rohdaten!DB97</f>
        <v>7.25</v>
      </c>
      <c r="F28" s="91">
        <f>Rohdaten!EE97</f>
        <v>0.75</v>
      </c>
      <c r="G28" s="91">
        <f>Rohdaten!FH97</f>
        <v>6.75</v>
      </c>
      <c r="H28" s="91">
        <f>Rohdaten!GK97</f>
        <v>2.5</v>
      </c>
      <c r="I28" s="91">
        <f>Rohdaten!HN97</f>
        <v>7.25</v>
      </c>
      <c r="J28" s="91">
        <f>Rohdaten!IQ97</f>
        <v>1.5</v>
      </c>
      <c r="K28" s="92">
        <f>Rohdaten!JT97</f>
        <v>4.5</v>
      </c>
      <c r="L28" s="64"/>
      <c r="M28" s="64"/>
      <c r="N28" s="64"/>
      <c r="O28" s="64"/>
      <c r="P28" s="64"/>
      <c r="Q28" s="64"/>
      <c r="R28" s="64"/>
      <c r="S28" s="64"/>
      <c r="T28" s="64"/>
      <c r="U28" s="64"/>
      <c r="V28" s="64"/>
      <c r="W28" s="64"/>
      <c r="X28" s="64"/>
      <c r="Y28" s="64"/>
      <c r="Z28" s="64"/>
    </row>
    <row r="29" spans="1:26" ht="12.75" customHeight="1" x14ac:dyDescent="0.25">
      <c r="A29" s="81" t="s">
        <v>90</v>
      </c>
      <c r="B29" s="93">
        <f>Rohdaten!U97</f>
        <v>4.5</v>
      </c>
      <c r="C29" s="94">
        <f>Rohdaten!AX97</f>
        <v>2.5</v>
      </c>
      <c r="D29" s="94">
        <f>Rohdaten!CA97</f>
        <v>8.25</v>
      </c>
      <c r="E29" s="94">
        <f>Rohdaten!DD97</f>
        <v>5.5</v>
      </c>
      <c r="F29" s="94">
        <f>Rohdaten!EG97</f>
        <v>17</v>
      </c>
      <c r="G29" s="94">
        <f>Rohdaten!FJ97</f>
        <v>8.75</v>
      </c>
      <c r="H29" s="94">
        <f>Rohdaten!GM97</f>
        <v>15.5</v>
      </c>
      <c r="I29" s="94">
        <f>Rohdaten!HP97</f>
        <v>5.5</v>
      </c>
      <c r="J29" s="94">
        <f>Rohdaten!IS97</f>
        <v>16.5</v>
      </c>
      <c r="K29" s="95">
        <f>Rohdaten!JV97</f>
        <v>4</v>
      </c>
      <c r="L29" s="64"/>
      <c r="M29" s="64"/>
      <c r="N29" s="64"/>
      <c r="O29" s="64"/>
      <c r="P29" s="64"/>
      <c r="Q29" s="64"/>
      <c r="R29" s="64"/>
      <c r="S29" s="64"/>
      <c r="T29" s="64"/>
      <c r="U29" s="64"/>
      <c r="V29" s="64"/>
      <c r="W29" s="64"/>
      <c r="X29" s="64"/>
      <c r="Y29" s="64"/>
      <c r="Z29" s="64"/>
    </row>
    <row r="30" spans="1:26" ht="12.75" customHeight="1" x14ac:dyDescent="0.25">
      <c r="A30" s="69" t="s">
        <v>91</v>
      </c>
      <c r="B30" s="87">
        <f>Rohdaten!W97</f>
        <v>0</v>
      </c>
      <c r="C30" s="88">
        <f>Rohdaten!AZ97</f>
        <v>0</v>
      </c>
      <c r="D30" s="88">
        <f>Rohdaten!CC97</f>
        <v>0</v>
      </c>
      <c r="E30" s="88">
        <f>Rohdaten!DF97</f>
        <v>0</v>
      </c>
      <c r="F30" s="88">
        <f>Rohdaten!EI97</f>
        <v>0</v>
      </c>
      <c r="G30" s="88">
        <f>Rohdaten!FL97</f>
        <v>0</v>
      </c>
      <c r="H30" s="88">
        <f>Rohdaten!GO97</f>
        <v>0</v>
      </c>
      <c r="I30" s="88">
        <f>Rohdaten!HR97</f>
        <v>0</v>
      </c>
      <c r="J30" s="88">
        <f>Rohdaten!IU97</f>
        <v>0</v>
      </c>
      <c r="K30" s="89">
        <f>Rohdaten!JX97</f>
        <v>0</v>
      </c>
      <c r="L30" s="64"/>
      <c r="M30" s="64"/>
      <c r="N30" s="64"/>
      <c r="O30" s="64"/>
      <c r="P30" s="64"/>
      <c r="Q30" s="64"/>
      <c r="R30" s="64"/>
      <c r="S30" s="64"/>
      <c r="T30" s="64"/>
      <c r="U30" s="64"/>
      <c r="V30" s="64"/>
      <c r="W30" s="64"/>
      <c r="X30" s="64"/>
      <c r="Y30" s="64"/>
      <c r="Z30" s="64"/>
    </row>
    <row r="31" spans="1:26" ht="12.75" customHeight="1" x14ac:dyDescent="0.25">
      <c r="A31" s="72" t="s">
        <v>92</v>
      </c>
      <c r="B31" s="90">
        <f>Rohdaten!Y97</f>
        <v>3.5</v>
      </c>
      <c r="C31" s="91">
        <f>Rohdaten!BB97</f>
        <v>6.25</v>
      </c>
      <c r="D31" s="91">
        <f>Rohdaten!CE97</f>
        <v>3.25</v>
      </c>
      <c r="E31" s="91">
        <f>Rohdaten!DH97</f>
        <v>4.25</v>
      </c>
      <c r="F31" s="91">
        <f>Rohdaten!EK97</f>
        <v>0.5</v>
      </c>
      <c r="G31" s="91">
        <f>Rohdaten!FN97</f>
        <v>2</v>
      </c>
      <c r="H31" s="91">
        <f>Rohdaten!GQ97</f>
        <v>1</v>
      </c>
      <c r="I31" s="91">
        <f>Rohdaten!HT97</f>
        <v>4.25</v>
      </c>
      <c r="J31" s="91">
        <f>Rohdaten!IW97</f>
        <v>1</v>
      </c>
      <c r="K31" s="92">
        <f>Rohdaten!JZ97</f>
        <v>3</v>
      </c>
      <c r="L31" s="64"/>
      <c r="M31" s="64"/>
      <c r="N31" s="64"/>
      <c r="O31" s="64"/>
      <c r="P31" s="64"/>
      <c r="Q31" s="64"/>
      <c r="R31" s="64"/>
      <c r="S31" s="64"/>
      <c r="T31" s="64"/>
      <c r="U31" s="64"/>
      <c r="V31" s="64"/>
      <c r="W31" s="64"/>
      <c r="X31" s="64"/>
      <c r="Y31" s="64"/>
      <c r="Z31" s="64"/>
    </row>
    <row r="32" spans="1:26" ht="12.75" customHeight="1" x14ac:dyDescent="0.25">
      <c r="A32" s="72" t="s">
        <v>93</v>
      </c>
      <c r="B32" s="90">
        <f>Rohdaten!AA97</f>
        <v>12</v>
      </c>
      <c r="C32" s="91">
        <f>Rohdaten!BD97</f>
        <v>10.25</v>
      </c>
      <c r="D32" s="91">
        <f>Rohdaten!CG97</f>
        <v>10.25</v>
      </c>
      <c r="E32" s="91">
        <f>Rohdaten!DJ97</f>
        <v>10.25</v>
      </c>
      <c r="F32" s="91">
        <f>Rohdaten!EM97</f>
        <v>13.25</v>
      </c>
      <c r="G32" s="91">
        <f>Rohdaten!FP97</f>
        <v>13</v>
      </c>
      <c r="H32" s="91">
        <f>Rohdaten!GS97</f>
        <v>11.25</v>
      </c>
      <c r="I32" s="91">
        <f>Rohdaten!HV97</f>
        <v>10.25</v>
      </c>
      <c r="J32" s="91">
        <f>Rohdaten!IY97</f>
        <v>7</v>
      </c>
      <c r="K32" s="92">
        <f>Rohdaten!KB97</f>
        <v>14</v>
      </c>
      <c r="L32" s="64"/>
      <c r="M32" s="64"/>
      <c r="N32" s="64"/>
      <c r="O32" s="64"/>
      <c r="P32" s="64"/>
      <c r="Q32" s="64"/>
      <c r="R32" s="64"/>
      <c r="S32" s="64"/>
      <c r="T32" s="64"/>
      <c r="U32" s="64"/>
      <c r="V32" s="64"/>
      <c r="W32" s="64"/>
      <c r="X32" s="64"/>
      <c r="Y32" s="64"/>
      <c r="Z32" s="64"/>
    </row>
    <row r="33" spans="1:26" ht="12.75" customHeight="1" x14ac:dyDescent="0.25">
      <c r="A33" s="81" t="s">
        <v>94</v>
      </c>
      <c r="B33" s="93">
        <f>Rohdaten!AC97</f>
        <v>2.5</v>
      </c>
      <c r="C33" s="94">
        <f>Rohdaten!BF97</f>
        <v>1.5</v>
      </c>
      <c r="D33" s="94">
        <f>Rohdaten!CI97</f>
        <v>4.5</v>
      </c>
      <c r="E33" s="94">
        <f>Rohdaten!DL97</f>
        <v>3.5</v>
      </c>
      <c r="F33" s="94">
        <f>Rohdaten!EO97</f>
        <v>4.25</v>
      </c>
      <c r="G33" s="94">
        <f>Rohdaten!FR97</f>
        <v>3</v>
      </c>
      <c r="H33" s="94">
        <f>Rohdaten!GU97</f>
        <v>5.75</v>
      </c>
      <c r="I33" s="94">
        <f>Rohdaten!HX97</f>
        <v>3.5</v>
      </c>
      <c r="J33" s="94">
        <f>Rohdaten!JA97</f>
        <v>10</v>
      </c>
      <c r="K33" s="95">
        <f>Rohdaten!KD97</f>
        <v>1</v>
      </c>
      <c r="L33" s="64"/>
      <c r="M33" s="64"/>
      <c r="N33" s="64"/>
      <c r="O33" s="64"/>
      <c r="P33" s="64"/>
      <c r="Q33" s="64"/>
      <c r="R33" s="64"/>
      <c r="S33" s="64"/>
      <c r="T33" s="64"/>
      <c r="U33" s="64"/>
      <c r="V33" s="64"/>
      <c r="W33" s="64"/>
      <c r="X33" s="64"/>
      <c r="Y33" s="64"/>
      <c r="Z33" s="64"/>
    </row>
    <row r="34" spans="1:26" ht="12.75" customHeight="1" x14ac:dyDescent="0.25">
      <c r="A34" s="69" t="s">
        <v>41</v>
      </c>
      <c r="B34" s="87">
        <f>Rohdaten!AE95</f>
        <v>0.75</v>
      </c>
      <c r="C34" s="88">
        <f>Rohdaten!BH95</f>
        <v>0.4375</v>
      </c>
      <c r="D34" s="88">
        <f>Rohdaten!CK95</f>
        <v>0.9375</v>
      </c>
      <c r="E34" s="88">
        <f>Rohdaten!DN95</f>
        <v>1</v>
      </c>
      <c r="F34" s="88">
        <f>Rohdaten!EQ95</f>
        <v>2.8125</v>
      </c>
      <c r="G34" s="88">
        <f>Rohdaten!FT95</f>
        <v>1.5625</v>
      </c>
      <c r="H34" s="88">
        <f>Rohdaten!GW95</f>
        <v>2.0625</v>
      </c>
      <c r="I34" s="88">
        <f>Rohdaten!HZ95</f>
        <v>1</v>
      </c>
      <c r="J34" s="88">
        <f>Rohdaten!JC95</f>
        <v>3</v>
      </c>
      <c r="K34" s="89">
        <f>Rohdaten!KF95</f>
        <v>0.5</v>
      </c>
      <c r="L34" s="64"/>
      <c r="M34" s="64"/>
      <c r="N34" s="64"/>
      <c r="O34" s="64"/>
      <c r="P34" s="64"/>
      <c r="Q34" s="64"/>
      <c r="R34" s="64"/>
      <c r="S34" s="64"/>
      <c r="T34" s="64"/>
      <c r="U34" s="64"/>
      <c r="V34" s="64"/>
      <c r="W34" s="64"/>
      <c r="X34" s="64"/>
      <c r="Y34" s="64"/>
      <c r="Z34" s="64"/>
    </row>
    <row r="35" spans="1:26" ht="12.75" customHeight="1" x14ac:dyDescent="0.25">
      <c r="A35" s="72" t="s">
        <v>42</v>
      </c>
      <c r="B35" s="90">
        <f>Rohdaten!AF95</f>
        <v>1.1000000000000001</v>
      </c>
      <c r="C35" s="91">
        <f>Rohdaten!BI95</f>
        <v>0.52500000000000002</v>
      </c>
      <c r="D35" s="91">
        <f>Rohdaten!CL95</f>
        <v>1.825</v>
      </c>
      <c r="E35" s="91">
        <f>Rohdaten!DO95</f>
        <v>1.125</v>
      </c>
      <c r="F35" s="91">
        <f>Rohdaten!ER95</f>
        <v>3.65</v>
      </c>
      <c r="G35" s="91">
        <f>Rohdaten!FU95</f>
        <v>1.7250000000000001</v>
      </c>
      <c r="H35" s="91">
        <f>Rohdaten!GX95</f>
        <v>3.5</v>
      </c>
      <c r="I35" s="91">
        <f>Rohdaten!IA95</f>
        <v>1.175</v>
      </c>
      <c r="J35" s="91">
        <f>Rohdaten!JD95</f>
        <v>3.75</v>
      </c>
      <c r="K35" s="92">
        <f>Rohdaten!KG95</f>
        <v>0.9</v>
      </c>
      <c r="L35" s="64"/>
      <c r="M35" s="64"/>
      <c r="N35" s="64"/>
      <c r="O35" s="64"/>
      <c r="P35" s="64"/>
      <c r="Q35" s="64"/>
      <c r="R35" s="64"/>
      <c r="S35" s="64"/>
      <c r="T35" s="64"/>
      <c r="U35" s="64"/>
      <c r="V35" s="64"/>
      <c r="W35" s="64"/>
      <c r="X35" s="64"/>
      <c r="Y35" s="64"/>
      <c r="Z35" s="64"/>
    </row>
    <row r="36" spans="1:26" ht="12.75" customHeight="1" x14ac:dyDescent="0.25">
      <c r="A36" s="81" t="s">
        <v>43</v>
      </c>
      <c r="B36" s="93">
        <f>Rohdaten!AG95</f>
        <v>0.625</v>
      </c>
      <c r="C36" s="94">
        <f>Rohdaten!BJ95</f>
        <v>0.4375</v>
      </c>
      <c r="D36" s="94">
        <f>Rohdaten!CM95</f>
        <v>1.5</v>
      </c>
      <c r="E36" s="94">
        <f>Rohdaten!DP95</f>
        <v>1.1875</v>
      </c>
      <c r="F36" s="94">
        <f>Rohdaten!ES95</f>
        <v>3.75</v>
      </c>
      <c r="G36" s="94">
        <f>Rohdaten!FV95</f>
        <v>1.25</v>
      </c>
      <c r="H36" s="94">
        <f>Rohdaten!GY95</f>
        <v>3.3125</v>
      </c>
      <c r="I36" s="94">
        <f>Rohdaten!IB95</f>
        <v>1.625</v>
      </c>
      <c r="J36" s="94">
        <f>Rohdaten!JE95</f>
        <v>3.125</v>
      </c>
      <c r="K36" s="95">
        <f>Rohdaten!KH95</f>
        <v>0.375</v>
      </c>
      <c r="L36" s="64"/>
      <c r="M36" s="64"/>
      <c r="N36" s="64"/>
      <c r="O36" s="64"/>
      <c r="P36" s="64"/>
      <c r="Q36" s="64"/>
      <c r="R36" s="64"/>
      <c r="S36" s="64"/>
      <c r="T36" s="64"/>
      <c r="U36" s="64"/>
      <c r="V36" s="64"/>
      <c r="W36" s="64"/>
      <c r="X36" s="64"/>
      <c r="Y36" s="64"/>
      <c r="Z36" s="64"/>
    </row>
    <row r="37" spans="1:26" ht="12.75" customHeight="1" x14ac:dyDescent="0.25">
      <c r="A37" s="64"/>
      <c r="B37" s="64"/>
      <c r="C37" s="64"/>
      <c r="D37" s="64"/>
      <c r="E37" s="64"/>
      <c r="F37" s="64"/>
      <c r="G37" s="64"/>
      <c r="H37" s="64"/>
      <c r="I37" s="64"/>
      <c r="J37" s="64"/>
      <c r="K37" s="64"/>
      <c r="L37" s="64"/>
      <c r="M37" s="64"/>
      <c r="N37" s="64"/>
      <c r="O37" s="64"/>
      <c r="P37" s="64"/>
      <c r="Q37" s="64"/>
      <c r="R37" s="64"/>
      <c r="S37" s="64"/>
      <c r="T37" s="64"/>
      <c r="U37" s="64"/>
      <c r="V37" s="64"/>
      <c r="W37" s="64"/>
      <c r="X37" s="64"/>
      <c r="Y37" s="64"/>
      <c r="Z37" s="64"/>
    </row>
    <row r="38" spans="1:26" ht="12.75" customHeight="1" x14ac:dyDescent="0.25">
      <c r="A38" s="64"/>
      <c r="B38" s="64"/>
      <c r="C38" s="64"/>
      <c r="D38" s="64"/>
      <c r="E38" s="64"/>
      <c r="F38" s="64"/>
      <c r="G38" s="64"/>
      <c r="H38" s="64"/>
      <c r="I38" s="64"/>
      <c r="J38" s="64"/>
      <c r="K38" s="64"/>
      <c r="L38" s="64"/>
      <c r="M38" s="64"/>
      <c r="N38" s="64"/>
      <c r="O38" s="64"/>
      <c r="P38" s="64"/>
      <c r="Q38" s="64"/>
      <c r="R38" s="64"/>
      <c r="S38" s="64"/>
      <c r="T38" s="64"/>
      <c r="U38" s="64"/>
      <c r="V38" s="64"/>
      <c r="W38" s="64"/>
      <c r="X38" s="64"/>
      <c r="Y38" s="64"/>
      <c r="Z38" s="64"/>
    </row>
    <row r="39" spans="1:26" ht="12.75" customHeight="1" x14ac:dyDescent="0.25">
      <c r="A39" s="64"/>
      <c r="B39" s="64"/>
      <c r="C39" s="64"/>
      <c r="D39" s="64"/>
      <c r="E39" s="64"/>
      <c r="F39" s="64"/>
      <c r="G39" s="64"/>
      <c r="H39" s="64"/>
      <c r="I39" s="64"/>
      <c r="J39" s="64"/>
      <c r="K39" s="64"/>
      <c r="L39" s="64"/>
      <c r="M39" s="64"/>
      <c r="N39" s="64"/>
      <c r="O39" s="64"/>
      <c r="P39" s="64"/>
      <c r="Q39" s="64"/>
      <c r="R39" s="64"/>
      <c r="S39" s="64"/>
      <c r="T39" s="64"/>
      <c r="U39" s="64"/>
      <c r="V39" s="64"/>
      <c r="W39" s="64"/>
      <c r="X39" s="64"/>
      <c r="Y39" s="64"/>
      <c r="Z39" s="64"/>
    </row>
    <row r="40" spans="1:26" ht="12.75" customHeight="1" x14ac:dyDescent="0.25">
      <c r="A40" s="64"/>
      <c r="B40" s="64"/>
      <c r="C40" s="64"/>
      <c r="D40" s="64"/>
      <c r="E40" s="64"/>
      <c r="F40" s="64"/>
      <c r="G40" s="64"/>
      <c r="H40" s="64"/>
      <c r="I40" s="64"/>
      <c r="J40" s="64"/>
      <c r="K40" s="64"/>
      <c r="L40" s="64"/>
      <c r="M40" s="64"/>
      <c r="N40" s="64"/>
      <c r="O40" s="64"/>
      <c r="P40" s="64"/>
      <c r="Q40" s="64"/>
      <c r="R40" s="64"/>
      <c r="S40" s="64"/>
      <c r="T40" s="64"/>
      <c r="U40" s="64"/>
      <c r="V40" s="64"/>
      <c r="W40" s="64"/>
      <c r="X40" s="64"/>
      <c r="Y40" s="64"/>
      <c r="Z40" s="64"/>
    </row>
    <row r="41" spans="1:26" ht="12.75" customHeight="1" x14ac:dyDescent="0.25">
      <c r="A41" s="64"/>
      <c r="B41" s="64"/>
      <c r="C41" s="64"/>
      <c r="D41" s="64"/>
      <c r="E41" s="64"/>
      <c r="F41" s="64"/>
      <c r="G41" s="64"/>
      <c r="H41" s="64"/>
      <c r="I41" s="64"/>
      <c r="J41" s="64"/>
      <c r="K41" s="64"/>
      <c r="L41" s="64"/>
      <c r="M41" s="64"/>
      <c r="N41" s="64"/>
      <c r="O41" s="64"/>
      <c r="P41" s="64"/>
      <c r="Q41" s="64"/>
      <c r="R41" s="64"/>
      <c r="S41" s="64"/>
      <c r="T41" s="64"/>
      <c r="U41" s="64"/>
      <c r="V41" s="64"/>
      <c r="W41" s="64"/>
      <c r="X41" s="64"/>
      <c r="Y41" s="64"/>
      <c r="Z41" s="64"/>
    </row>
    <row r="42" spans="1:26" ht="12.75" customHeight="1" x14ac:dyDescent="0.25">
      <c r="A42" s="64"/>
      <c r="B42" s="64"/>
      <c r="C42" s="64"/>
      <c r="D42" s="64"/>
      <c r="E42" s="64"/>
      <c r="F42" s="64"/>
      <c r="G42" s="64"/>
      <c r="H42" s="64"/>
      <c r="I42" s="64"/>
      <c r="J42" s="64"/>
      <c r="K42" s="64"/>
      <c r="L42" s="64"/>
      <c r="M42" s="64"/>
      <c r="N42" s="64"/>
      <c r="O42" s="64"/>
      <c r="P42" s="64"/>
      <c r="Q42" s="64"/>
      <c r="R42" s="64"/>
      <c r="S42" s="64"/>
      <c r="T42" s="64"/>
      <c r="U42" s="64"/>
      <c r="V42" s="64"/>
      <c r="W42" s="64"/>
      <c r="X42" s="64"/>
      <c r="Y42" s="64"/>
      <c r="Z42" s="64"/>
    </row>
    <row r="43" spans="1:26" ht="12.75" customHeight="1" x14ac:dyDescent="0.25">
      <c r="A43" s="64"/>
      <c r="B43" s="64"/>
      <c r="C43" s="64"/>
      <c r="D43" s="64"/>
      <c r="E43" s="64"/>
      <c r="F43" s="64"/>
      <c r="G43" s="64"/>
      <c r="H43" s="64"/>
      <c r="I43" s="64"/>
      <c r="J43" s="64"/>
      <c r="K43" s="64"/>
      <c r="L43" s="64"/>
      <c r="M43" s="64"/>
      <c r="N43" s="64"/>
      <c r="O43" s="64"/>
      <c r="P43" s="64"/>
      <c r="Q43" s="64"/>
      <c r="R43" s="64"/>
      <c r="S43" s="64"/>
      <c r="T43" s="64"/>
      <c r="U43" s="64"/>
      <c r="V43" s="64"/>
      <c r="W43" s="64"/>
      <c r="X43" s="64"/>
      <c r="Y43" s="64"/>
      <c r="Z43" s="64"/>
    </row>
    <row r="44" spans="1:26" ht="12.75" customHeight="1" x14ac:dyDescent="0.25">
      <c r="A44" s="64"/>
      <c r="B44" s="64"/>
      <c r="C44" s="64"/>
      <c r="D44" s="64"/>
      <c r="E44" s="64"/>
      <c r="F44" s="64"/>
      <c r="G44" s="64"/>
      <c r="H44" s="64"/>
      <c r="I44" s="64"/>
      <c r="J44" s="64"/>
      <c r="K44" s="64"/>
      <c r="L44" s="64"/>
      <c r="M44" s="64"/>
      <c r="N44" s="64"/>
      <c r="O44" s="64"/>
      <c r="P44" s="64"/>
      <c r="Q44" s="64"/>
      <c r="R44" s="64"/>
      <c r="S44" s="64"/>
      <c r="T44" s="64"/>
      <c r="U44" s="64"/>
      <c r="V44" s="64"/>
      <c r="W44" s="64"/>
      <c r="X44" s="64"/>
      <c r="Y44" s="64"/>
      <c r="Z44" s="64"/>
    </row>
    <row r="45" spans="1:26" ht="12.75" customHeight="1" x14ac:dyDescent="0.25">
      <c r="A45" s="64"/>
      <c r="B45" s="64"/>
      <c r="C45" s="64"/>
      <c r="D45" s="64"/>
      <c r="E45" s="64"/>
      <c r="F45" s="64"/>
      <c r="G45" s="64"/>
      <c r="H45" s="64"/>
      <c r="I45" s="64"/>
      <c r="J45" s="64"/>
      <c r="K45" s="64"/>
      <c r="L45" s="64"/>
      <c r="M45" s="64"/>
      <c r="N45" s="64"/>
      <c r="O45" s="64"/>
      <c r="P45" s="64"/>
      <c r="Q45" s="64"/>
      <c r="R45" s="64"/>
      <c r="S45" s="64"/>
      <c r="T45" s="64"/>
      <c r="U45" s="64"/>
      <c r="V45" s="64"/>
      <c r="W45" s="64"/>
      <c r="X45" s="64"/>
      <c r="Y45" s="64"/>
      <c r="Z45" s="64"/>
    </row>
    <row r="46" spans="1:26" ht="12.75" customHeight="1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  <c r="U46" s="64"/>
      <c r="V46" s="64"/>
      <c r="W46" s="64"/>
      <c r="X46" s="64"/>
      <c r="Y46" s="64"/>
      <c r="Z46" s="64"/>
    </row>
    <row r="47" spans="1:26" ht="12.75" customHeight="1" x14ac:dyDescent="0.25">
      <c r="A47" s="64"/>
      <c r="B47" s="64"/>
      <c r="C47" s="64"/>
      <c r="D47" s="64"/>
      <c r="E47" s="64"/>
      <c r="F47" s="64"/>
      <c r="G47" s="64"/>
      <c r="H47" s="64"/>
      <c r="I47" s="64"/>
      <c r="J47" s="64"/>
      <c r="K47" s="64"/>
      <c r="L47" s="64"/>
      <c r="M47" s="64"/>
      <c r="N47" s="64"/>
      <c r="O47" s="64"/>
      <c r="P47" s="64"/>
      <c r="Q47" s="64"/>
      <c r="R47" s="64"/>
      <c r="S47" s="64"/>
      <c r="T47" s="64"/>
      <c r="U47" s="64"/>
      <c r="V47" s="64"/>
      <c r="W47" s="64"/>
      <c r="X47" s="64"/>
      <c r="Y47" s="64"/>
      <c r="Z47" s="64"/>
    </row>
    <row r="48" spans="1:26" ht="12.75" customHeight="1" x14ac:dyDescent="0.25">
      <c r="A48" s="64"/>
      <c r="B48" s="64"/>
      <c r="C48" s="64"/>
      <c r="D48" s="64"/>
      <c r="E48" s="64"/>
      <c r="F48" s="64"/>
      <c r="G48" s="64"/>
      <c r="H48" s="64"/>
      <c r="I48" s="64"/>
      <c r="J48" s="64"/>
      <c r="K48" s="64"/>
      <c r="L48" s="64"/>
      <c r="M48" s="64"/>
      <c r="N48" s="64"/>
      <c r="O48" s="64"/>
      <c r="P48" s="64"/>
      <c r="Q48" s="64"/>
      <c r="R48" s="64"/>
      <c r="S48" s="64"/>
      <c r="T48" s="64"/>
      <c r="U48" s="64"/>
      <c r="V48" s="64"/>
      <c r="W48" s="64"/>
      <c r="X48" s="64"/>
      <c r="Y48" s="64"/>
      <c r="Z48" s="64"/>
    </row>
    <row r="49" spans="1:26" ht="12.75" customHeight="1" x14ac:dyDescent="0.25">
      <c r="A49" s="64"/>
      <c r="B49" s="64"/>
      <c r="C49" s="64"/>
      <c r="D49" s="64"/>
      <c r="E49" s="64"/>
      <c r="F49" s="64"/>
      <c r="G49" s="64"/>
      <c r="H49" s="64"/>
      <c r="I49" s="64"/>
      <c r="J49" s="64"/>
      <c r="K49" s="64"/>
      <c r="L49" s="64"/>
      <c r="M49" s="64"/>
      <c r="N49" s="64"/>
      <c r="O49" s="64"/>
      <c r="P49" s="64"/>
      <c r="Q49" s="64"/>
      <c r="R49" s="64"/>
      <c r="S49" s="64"/>
      <c r="T49" s="64"/>
      <c r="U49" s="64"/>
      <c r="V49" s="64"/>
      <c r="W49" s="64"/>
      <c r="X49" s="64"/>
      <c r="Y49" s="64"/>
      <c r="Z49" s="64"/>
    </row>
    <row r="50" spans="1:26" ht="12.75" customHeight="1" x14ac:dyDescent="0.25">
      <c r="A50" s="64"/>
      <c r="B50" s="64"/>
      <c r="C50" s="64"/>
      <c r="D50" s="64"/>
      <c r="E50" s="64"/>
      <c r="F50" s="64"/>
      <c r="G50" s="64"/>
      <c r="H50" s="64"/>
      <c r="I50" s="64"/>
      <c r="J50" s="64"/>
      <c r="K50" s="64"/>
      <c r="L50" s="64"/>
      <c r="M50" s="64"/>
      <c r="N50" s="64"/>
      <c r="O50" s="64"/>
      <c r="P50" s="64"/>
      <c r="Q50" s="64"/>
      <c r="R50" s="64"/>
      <c r="S50" s="64"/>
      <c r="T50" s="64"/>
      <c r="U50" s="64"/>
      <c r="V50" s="64"/>
      <c r="W50" s="64"/>
      <c r="X50" s="64"/>
      <c r="Y50" s="64"/>
      <c r="Z50" s="64"/>
    </row>
    <row r="51" spans="1:26" ht="12.75" customHeight="1" x14ac:dyDescent="0.25">
      <c r="A51" s="64"/>
      <c r="B51" s="64"/>
      <c r="C51" s="64"/>
      <c r="D51" s="64"/>
      <c r="E51" s="64"/>
      <c r="F51" s="64"/>
      <c r="G51" s="64"/>
      <c r="H51" s="64"/>
      <c r="I51" s="64"/>
      <c r="J51" s="64"/>
      <c r="K51" s="64"/>
      <c r="L51" s="64"/>
      <c r="M51" s="64"/>
      <c r="N51" s="64"/>
      <c r="O51" s="64"/>
      <c r="P51" s="64"/>
      <c r="Q51" s="64"/>
      <c r="R51" s="64"/>
      <c r="S51" s="64"/>
      <c r="T51" s="64"/>
      <c r="U51" s="64"/>
      <c r="V51" s="64"/>
      <c r="W51" s="64"/>
      <c r="X51" s="64"/>
      <c r="Y51" s="64"/>
      <c r="Z51" s="64"/>
    </row>
    <row r="52" spans="1:26" ht="12.75" customHeight="1" x14ac:dyDescent="0.25">
      <c r="A52" s="64"/>
      <c r="B52" s="64"/>
      <c r="C52" s="64"/>
      <c r="D52" s="64"/>
      <c r="E52" s="64"/>
      <c r="F52" s="64"/>
      <c r="G52" s="64"/>
      <c r="H52" s="64"/>
      <c r="I52" s="64"/>
      <c r="J52" s="64"/>
      <c r="K52" s="64"/>
      <c r="L52" s="64"/>
      <c r="M52" s="64"/>
      <c r="N52" s="64"/>
      <c r="O52" s="64"/>
      <c r="P52" s="64"/>
      <c r="Q52" s="64"/>
      <c r="R52" s="64"/>
      <c r="S52" s="64"/>
      <c r="T52" s="64"/>
      <c r="U52" s="64"/>
      <c r="V52" s="64"/>
      <c r="W52" s="64"/>
      <c r="X52" s="64"/>
      <c r="Y52" s="64"/>
      <c r="Z52" s="64"/>
    </row>
    <row r="53" spans="1:26" ht="12.75" customHeight="1" x14ac:dyDescent="0.25">
      <c r="A53" s="64"/>
      <c r="B53" s="64"/>
      <c r="C53" s="64"/>
      <c r="D53" s="64"/>
      <c r="E53" s="64"/>
      <c r="F53" s="64"/>
      <c r="G53" s="64"/>
      <c r="H53" s="64"/>
      <c r="I53" s="64"/>
      <c r="J53" s="64"/>
      <c r="K53" s="64"/>
      <c r="L53" s="64"/>
      <c r="M53" s="64"/>
      <c r="N53" s="64"/>
      <c r="O53" s="64"/>
      <c r="P53" s="64"/>
      <c r="Q53" s="64"/>
      <c r="R53" s="64"/>
      <c r="S53" s="64"/>
      <c r="T53" s="64"/>
      <c r="U53" s="64"/>
      <c r="V53" s="64"/>
      <c r="W53" s="64"/>
      <c r="X53" s="64"/>
      <c r="Y53" s="64"/>
      <c r="Z53" s="64"/>
    </row>
    <row r="54" spans="1:26" ht="12.75" customHeight="1" x14ac:dyDescent="0.25">
      <c r="A54" s="64"/>
      <c r="B54" s="64"/>
      <c r="C54" s="64"/>
      <c r="D54" s="64"/>
      <c r="E54" s="64"/>
      <c r="F54" s="64"/>
      <c r="G54" s="64"/>
      <c r="H54" s="64"/>
      <c r="I54" s="64"/>
      <c r="J54" s="64"/>
      <c r="K54" s="64"/>
      <c r="L54" s="64"/>
      <c r="M54" s="64"/>
      <c r="N54" s="64"/>
      <c r="O54" s="64"/>
      <c r="P54" s="64"/>
      <c r="Q54" s="64"/>
      <c r="R54" s="64"/>
      <c r="S54" s="64"/>
      <c r="T54" s="64"/>
      <c r="U54" s="64"/>
      <c r="V54" s="64"/>
      <c r="W54" s="64"/>
      <c r="X54" s="64"/>
      <c r="Y54" s="64"/>
      <c r="Z54" s="64"/>
    </row>
    <row r="55" spans="1:26" ht="12.75" customHeight="1" x14ac:dyDescent="0.25">
      <c r="A55" s="64"/>
      <c r="B55" s="64"/>
      <c r="C55" s="64"/>
      <c r="D55" s="64"/>
      <c r="E55" s="64"/>
      <c r="F55" s="64"/>
      <c r="G55" s="64"/>
      <c r="H55" s="64"/>
      <c r="I55" s="64"/>
      <c r="J55" s="64"/>
      <c r="K55" s="64"/>
      <c r="L55" s="64"/>
      <c r="M55" s="64"/>
      <c r="N55" s="64"/>
      <c r="O55" s="64"/>
      <c r="P55" s="64"/>
      <c r="Q55" s="64"/>
      <c r="R55" s="64"/>
      <c r="S55" s="64"/>
      <c r="T55" s="64"/>
      <c r="U55" s="64"/>
      <c r="V55" s="64"/>
      <c r="W55" s="64"/>
      <c r="X55" s="64"/>
      <c r="Y55" s="64"/>
      <c r="Z55" s="64"/>
    </row>
    <row r="56" spans="1:26" ht="12.75" customHeight="1" x14ac:dyDescent="0.25">
      <c r="A56" s="64"/>
      <c r="B56" s="64"/>
      <c r="C56" s="64"/>
      <c r="D56" s="64"/>
      <c r="E56" s="64"/>
      <c r="F56" s="64"/>
      <c r="G56" s="64"/>
      <c r="H56" s="64"/>
      <c r="I56" s="64"/>
      <c r="J56" s="64"/>
      <c r="K56" s="64"/>
      <c r="L56" s="64"/>
      <c r="M56" s="64"/>
      <c r="N56" s="64"/>
      <c r="O56" s="64"/>
      <c r="P56" s="64"/>
      <c r="Q56" s="64"/>
      <c r="R56" s="64"/>
      <c r="S56" s="64"/>
      <c r="T56" s="64"/>
      <c r="U56" s="64"/>
      <c r="V56" s="64"/>
      <c r="W56" s="64"/>
      <c r="X56" s="64"/>
      <c r="Y56" s="64"/>
      <c r="Z56" s="64"/>
    </row>
    <row r="57" spans="1:26" ht="12.75" customHeight="1" x14ac:dyDescent="0.25">
      <c r="A57" s="64"/>
      <c r="B57" s="64"/>
      <c r="C57" s="64"/>
      <c r="D57" s="64"/>
      <c r="E57" s="64"/>
      <c r="F57" s="64"/>
      <c r="G57" s="64"/>
      <c r="H57" s="64"/>
      <c r="I57" s="64"/>
      <c r="J57" s="64"/>
      <c r="K57" s="64"/>
      <c r="L57" s="64"/>
      <c r="M57" s="64"/>
      <c r="N57" s="64"/>
      <c r="O57" s="64"/>
      <c r="P57" s="64"/>
      <c r="Q57" s="64"/>
      <c r="R57" s="64"/>
      <c r="S57" s="64"/>
      <c r="T57" s="64"/>
      <c r="U57" s="64"/>
      <c r="V57" s="64"/>
      <c r="W57" s="64"/>
      <c r="X57" s="64"/>
      <c r="Y57" s="64"/>
      <c r="Z57" s="64"/>
    </row>
    <row r="58" spans="1:26" ht="12.75" customHeight="1" x14ac:dyDescent="0.25">
      <c r="A58" s="64"/>
      <c r="B58" s="64"/>
      <c r="C58" s="64"/>
      <c r="D58" s="64"/>
      <c r="E58" s="64"/>
      <c r="F58" s="64"/>
      <c r="G58" s="64"/>
      <c r="H58" s="64"/>
      <c r="I58" s="64"/>
      <c r="J58" s="64"/>
      <c r="K58" s="64"/>
      <c r="L58" s="64"/>
      <c r="M58" s="64"/>
      <c r="N58" s="64"/>
      <c r="O58" s="64"/>
      <c r="P58" s="64"/>
      <c r="Q58" s="64"/>
      <c r="R58" s="64"/>
      <c r="S58" s="64"/>
      <c r="T58" s="64"/>
      <c r="U58" s="64"/>
      <c r="V58" s="64"/>
      <c r="W58" s="64"/>
      <c r="X58" s="64"/>
      <c r="Y58" s="64"/>
      <c r="Z58" s="64"/>
    </row>
    <row r="59" spans="1:26" ht="12.75" customHeight="1" x14ac:dyDescent="0.25">
      <c r="A59" s="64"/>
      <c r="B59" s="64"/>
      <c r="C59" s="64"/>
      <c r="D59" s="64"/>
      <c r="E59" s="64"/>
      <c r="F59" s="64"/>
      <c r="G59" s="64"/>
      <c r="H59" s="64"/>
      <c r="I59" s="64"/>
      <c r="J59" s="64"/>
      <c r="K59" s="64"/>
      <c r="L59" s="64"/>
      <c r="M59" s="64"/>
      <c r="N59" s="64"/>
      <c r="O59" s="64"/>
      <c r="P59" s="64"/>
      <c r="Q59" s="64"/>
      <c r="R59" s="64"/>
      <c r="S59" s="64"/>
      <c r="T59" s="64"/>
      <c r="U59" s="64"/>
      <c r="V59" s="64"/>
      <c r="W59" s="64"/>
      <c r="X59" s="64"/>
      <c r="Y59" s="64"/>
      <c r="Z59" s="64"/>
    </row>
    <row r="60" spans="1:26" ht="12.75" customHeight="1" x14ac:dyDescent="0.25">
      <c r="A60" s="64"/>
      <c r="B60" s="64"/>
      <c r="C60" s="64"/>
      <c r="D60" s="64"/>
      <c r="E60" s="64"/>
      <c r="F60" s="64"/>
      <c r="G60" s="64"/>
      <c r="H60" s="64"/>
      <c r="I60" s="64"/>
      <c r="J60" s="64"/>
      <c r="K60" s="64"/>
      <c r="L60" s="64"/>
      <c r="M60" s="64"/>
      <c r="N60" s="64"/>
      <c r="O60" s="64"/>
      <c r="P60" s="64"/>
      <c r="Q60" s="64"/>
      <c r="R60" s="64"/>
      <c r="S60" s="64"/>
      <c r="T60" s="64"/>
      <c r="U60" s="64"/>
      <c r="V60" s="64"/>
      <c r="W60" s="64"/>
      <c r="X60" s="64"/>
      <c r="Y60" s="64"/>
      <c r="Z60" s="64"/>
    </row>
    <row r="61" spans="1:26" ht="12.75" customHeight="1" x14ac:dyDescent="0.25">
      <c r="A61" s="64"/>
      <c r="B61" s="64"/>
      <c r="C61" s="64"/>
      <c r="D61" s="64"/>
      <c r="E61" s="64"/>
      <c r="F61" s="64"/>
      <c r="G61" s="64"/>
      <c r="H61" s="64"/>
      <c r="I61" s="64"/>
      <c r="J61" s="64"/>
      <c r="K61" s="64"/>
      <c r="L61" s="64"/>
      <c r="M61" s="64"/>
      <c r="N61" s="64"/>
      <c r="O61" s="64"/>
      <c r="P61" s="64"/>
      <c r="Q61" s="64"/>
      <c r="R61" s="64"/>
      <c r="S61" s="64"/>
      <c r="T61" s="64"/>
      <c r="U61" s="64"/>
      <c r="V61" s="64"/>
      <c r="W61" s="64"/>
      <c r="X61" s="64"/>
      <c r="Y61" s="64"/>
      <c r="Z61" s="64"/>
    </row>
    <row r="62" spans="1:26" ht="12.75" customHeight="1" x14ac:dyDescent="0.25">
      <c r="A62" s="64"/>
      <c r="B62" s="64"/>
      <c r="C62" s="64"/>
      <c r="D62" s="64"/>
      <c r="E62" s="64"/>
      <c r="F62" s="64"/>
      <c r="G62" s="64"/>
      <c r="H62" s="64"/>
      <c r="I62" s="64"/>
      <c r="J62" s="64"/>
      <c r="K62" s="64"/>
      <c r="L62" s="64"/>
      <c r="M62" s="64"/>
      <c r="N62" s="64"/>
      <c r="O62" s="64"/>
      <c r="P62" s="64"/>
      <c r="Q62" s="64"/>
      <c r="R62" s="64"/>
      <c r="S62" s="64"/>
      <c r="T62" s="64"/>
      <c r="U62" s="64"/>
      <c r="V62" s="64"/>
      <c r="W62" s="64"/>
      <c r="X62" s="64"/>
      <c r="Y62" s="64"/>
      <c r="Z62" s="64"/>
    </row>
    <row r="63" spans="1:26" ht="12.75" customHeight="1" x14ac:dyDescent="0.25">
      <c r="A63" s="64"/>
      <c r="B63" s="64"/>
      <c r="C63" s="64"/>
      <c r="D63" s="64"/>
      <c r="E63" s="64"/>
      <c r="F63" s="64"/>
      <c r="G63" s="64"/>
      <c r="H63" s="64"/>
      <c r="I63" s="64"/>
      <c r="J63" s="64"/>
      <c r="K63" s="64"/>
      <c r="L63" s="64"/>
      <c r="M63" s="64"/>
      <c r="N63" s="64"/>
      <c r="O63" s="64"/>
      <c r="P63" s="64"/>
      <c r="Q63" s="64"/>
      <c r="R63" s="64"/>
      <c r="S63" s="64"/>
      <c r="T63" s="64"/>
      <c r="U63" s="64"/>
      <c r="V63" s="64"/>
      <c r="W63" s="64"/>
      <c r="X63" s="64"/>
      <c r="Y63" s="64"/>
      <c r="Z63" s="64"/>
    </row>
    <row r="64" spans="1:26" ht="12.75" customHeight="1" x14ac:dyDescent="0.25">
      <c r="A64" s="64"/>
      <c r="B64" s="64"/>
      <c r="C64" s="64"/>
      <c r="D64" s="64"/>
      <c r="E64" s="64"/>
      <c r="F64" s="64"/>
      <c r="G64" s="64"/>
      <c r="H64" s="64"/>
      <c r="I64" s="64"/>
      <c r="J64" s="64"/>
      <c r="K64" s="64"/>
      <c r="L64" s="64"/>
      <c r="M64" s="64"/>
      <c r="N64" s="64"/>
      <c r="O64" s="64"/>
      <c r="P64" s="64"/>
      <c r="Q64" s="64"/>
      <c r="R64" s="64"/>
      <c r="S64" s="64"/>
      <c r="T64" s="64"/>
      <c r="U64" s="64"/>
      <c r="V64" s="64"/>
      <c r="W64" s="64"/>
      <c r="X64" s="64"/>
      <c r="Y64" s="64"/>
      <c r="Z64" s="64"/>
    </row>
    <row r="65" spans="1:26" ht="12.75" customHeight="1" x14ac:dyDescent="0.25">
      <c r="A65" s="64"/>
      <c r="B65" s="64"/>
      <c r="C65" s="64"/>
      <c r="D65" s="64"/>
      <c r="E65" s="64"/>
      <c r="F65" s="64"/>
      <c r="G65" s="64"/>
      <c r="H65" s="64"/>
      <c r="I65" s="64"/>
      <c r="J65" s="64"/>
      <c r="K65" s="64"/>
      <c r="L65" s="64"/>
      <c r="M65" s="64"/>
      <c r="N65" s="64"/>
      <c r="O65" s="64"/>
      <c r="P65" s="64"/>
      <c r="Q65" s="64"/>
      <c r="R65" s="64"/>
      <c r="S65" s="64"/>
      <c r="T65" s="64"/>
      <c r="U65" s="64"/>
      <c r="V65" s="64"/>
      <c r="W65" s="64"/>
      <c r="X65" s="64"/>
      <c r="Y65" s="64"/>
      <c r="Z65" s="64"/>
    </row>
    <row r="66" spans="1:26" ht="12.75" customHeight="1" x14ac:dyDescent="0.25">
      <c r="A66" s="64"/>
      <c r="B66" s="64"/>
      <c r="C66" s="64"/>
      <c r="D66" s="64"/>
      <c r="E66" s="64"/>
      <c r="F66" s="64"/>
      <c r="G66" s="64"/>
      <c r="H66" s="64"/>
      <c r="I66" s="64"/>
      <c r="J66" s="64"/>
      <c r="K66" s="64"/>
      <c r="L66" s="64"/>
      <c r="M66" s="64"/>
      <c r="N66" s="64"/>
      <c r="O66" s="64"/>
      <c r="P66" s="64"/>
      <c r="Q66" s="64"/>
      <c r="R66" s="64"/>
      <c r="S66" s="64"/>
      <c r="T66" s="64"/>
      <c r="U66" s="64"/>
      <c r="V66" s="64"/>
      <c r="W66" s="64"/>
      <c r="X66" s="64"/>
      <c r="Y66" s="64"/>
      <c r="Z66" s="64"/>
    </row>
    <row r="67" spans="1:26" ht="12.75" customHeight="1" x14ac:dyDescent="0.25">
      <c r="A67" s="64"/>
      <c r="B67" s="64"/>
      <c r="C67" s="64"/>
      <c r="D67" s="64"/>
      <c r="E67" s="64"/>
      <c r="F67" s="64"/>
      <c r="G67" s="64"/>
      <c r="H67" s="64"/>
      <c r="I67" s="64"/>
      <c r="J67" s="64"/>
      <c r="K67" s="64"/>
      <c r="L67" s="64"/>
      <c r="M67" s="64"/>
      <c r="N67" s="64"/>
      <c r="O67" s="64"/>
      <c r="P67" s="64"/>
      <c r="Q67" s="64"/>
      <c r="R67" s="64"/>
      <c r="S67" s="64"/>
      <c r="T67" s="64"/>
      <c r="U67" s="64"/>
      <c r="V67" s="64"/>
      <c r="W67" s="64"/>
      <c r="X67" s="64"/>
      <c r="Y67" s="64"/>
      <c r="Z67" s="64"/>
    </row>
    <row r="68" spans="1:26" ht="12.75" customHeight="1" x14ac:dyDescent="0.25">
      <c r="A68" s="64"/>
      <c r="B68" s="64"/>
      <c r="C68" s="64"/>
      <c r="D68" s="64"/>
      <c r="E68" s="64"/>
      <c r="F68" s="64"/>
      <c r="G68" s="64"/>
      <c r="H68" s="64"/>
      <c r="I68" s="64"/>
      <c r="J68" s="64"/>
      <c r="K68" s="64"/>
      <c r="L68" s="64"/>
      <c r="M68" s="64"/>
      <c r="N68" s="64"/>
      <c r="O68" s="64"/>
      <c r="P68" s="64"/>
      <c r="Q68" s="64"/>
      <c r="R68" s="64"/>
      <c r="S68" s="64"/>
      <c r="T68" s="64"/>
      <c r="U68" s="64"/>
      <c r="V68" s="64"/>
      <c r="W68" s="64"/>
      <c r="X68" s="64"/>
      <c r="Y68" s="64"/>
      <c r="Z68" s="64"/>
    </row>
    <row r="69" spans="1:26" ht="12.75" customHeight="1" x14ac:dyDescent="0.25">
      <c r="A69" s="64"/>
      <c r="B69" s="64"/>
      <c r="C69" s="64"/>
      <c r="D69" s="64"/>
      <c r="E69" s="64"/>
      <c r="F69" s="64"/>
      <c r="G69" s="64"/>
      <c r="H69" s="64"/>
      <c r="I69" s="64"/>
      <c r="J69" s="64"/>
      <c r="K69" s="64"/>
      <c r="L69" s="64"/>
      <c r="M69" s="64"/>
      <c r="N69" s="64"/>
      <c r="O69" s="64"/>
      <c r="P69" s="64"/>
      <c r="Q69" s="64"/>
      <c r="R69" s="64"/>
      <c r="S69" s="64"/>
      <c r="T69" s="64"/>
      <c r="U69" s="64"/>
      <c r="V69" s="64"/>
      <c r="W69" s="64"/>
      <c r="X69" s="64"/>
      <c r="Y69" s="64"/>
      <c r="Z69" s="64"/>
    </row>
    <row r="70" spans="1:26" ht="12.75" customHeight="1" x14ac:dyDescent="0.25">
      <c r="A70" s="64"/>
      <c r="B70" s="64"/>
      <c r="C70" s="64"/>
      <c r="D70" s="64"/>
      <c r="E70" s="64"/>
      <c r="F70" s="64"/>
      <c r="G70" s="64"/>
      <c r="H70" s="64"/>
      <c r="I70" s="64"/>
      <c r="J70" s="64"/>
      <c r="K70" s="64"/>
      <c r="L70" s="64"/>
      <c r="M70" s="64"/>
      <c r="N70" s="64"/>
      <c r="O70" s="64"/>
      <c r="P70" s="64"/>
      <c r="Q70" s="64"/>
      <c r="R70" s="64"/>
      <c r="S70" s="64"/>
      <c r="T70" s="64"/>
      <c r="U70" s="64"/>
      <c r="V70" s="64"/>
      <c r="W70" s="64"/>
      <c r="X70" s="64"/>
      <c r="Y70" s="64"/>
      <c r="Z70" s="64"/>
    </row>
    <row r="71" spans="1:26" ht="12.75" customHeight="1" x14ac:dyDescent="0.25">
      <c r="A71" s="64"/>
      <c r="B71" s="64"/>
      <c r="C71" s="64"/>
      <c r="D71" s="64"/>
      <c r="E71" s="64"/>
      <c r="F71" s="64"/>
      <c r="G71" s="64"/>
      <c r="H71" s="64"/>
      <c r="I71" s="64"/>
      <c r="J71" s="64"/>
      <c r="K71" s="64"/>
      <c r="L71" s="64"/>
      <c r="M71" s="64"/>
      <c r="N71" s="64"/>
      <c r="O71" s="64"/>
      <c r="P71" s="64"/>
      <c r="Q71" s="64"/>
      <c r="R71" s="64"/>
      <c r="S71" s="64"/>
      <c r="T71" s="64"/>
      <c r="U71" s="64"/>
      <c r="V71" s="64"/>
      <c r="W71" s="64"/>
      <c r="X71" s="64"/>
      <c r="Y71" s="64"/>
      <c r="Z71" s="64"/>
    </row>
    <row r="72" spans="1:26" ht="12.75" customHeight="1" x14ac:dyDescent="0.25">
      <c r="A72" s="64"/>
      <c r="B72" s="64"/>
      <c r="C72" s="64"/>
      <c r="D72" s="64"/>
      <c r="E72" s="64"/>
      <c r="F72" s="64"/>
      <c r="G72" s="64"/>
      <c r="H72" s="64"/>
      <c r="I72" s="64"/>
      <c r="J72" s="64"/>
      <c r="K72" s="64"/>
      <c r="L72" s="64"/>
      <c r="M72" s="64"/>
      <c r="N72" s="64"/>
      <c r="O72" s="64"/>
      <c r="P72" s="64"/>
      <c r="Q72" s="64"/>
      <c r="R72" s="64"/>
      <c r="S72" s="64"/>
      <c r="T72" s="64"/>
      <c r="U72" s="64"/>
      <c r="V72" s="64"/>
      <c r="W72" s="64"/>
      <c r="X72" s="64"/>
      <c r="Y72" s="64"/>
      <c r="Z72" s="64"/>
    </row>
    <row r="73" spans="1:26" ht="12.75" customHeight="1" x14ac:dyDescent="0.25">
      <c r="A73" s="64"/>
      <c r="B73" s="64"/>
      <c r="C73" s="64"/>
      <c r="D73" s="64"/>
      <c r="E73" s="64"/>
      <c r="F73" s="64"/>
      <c r="G73" s="64"/>
      <c r="H73" s="64"/>
      <c r="I73" s="64"/>
      <c r="J73" s="64"/>
      <c r="K73" s="64"/>
      <c r="L73" s="64"/>
      <c r="M73" s="64"/>
      <c r="N73" s="64"/>
      <c r="O73" s="64"/>
      <c r="P73" s="64"/>
      <c r="Q73" s="64"/>
      <c r="R73" s="64"/>
      <c r="S73" s="64"/>
      <c r="T73" s="64"/>
      <c r="U73" s="64"/>
      <c r="V73" s="64"/>
      <c r="W73" s="64"/>
      <c r="X73" s="64"/>
      <c r="Y73" s="64"/>
      <c r="Z73" s="64"/>
    </row>
    <row r="74" spans="1:26" ht="12.75" customHeight="1" x14ac:dyDescent="0.25">
      <c r="A74" s="64"/>
      <c r="B74" s="64"/>
      <c r="C74" s="64"/>
      <c r="D74" s="64"/>
      <c r="E74" s="64"/>
      <c r="F74" s="64"/>
      <c r="G74" s="64"/>
      <c r="H74" s="64"/>
      <c r="I74" s="64"/>
      <c r="J74" s="64"/>
      <c r="K74" s="64"/>
      <c r="L74" s="64"/>
      <c r="M74" s="64"/>
      <c r="N74" s="64"/>
      <c r="O74" s="64"/>
      <c r="P74" s="64"/>
      <c r="Q74" s="64"/>
      <c r="R74" s="64"/>
      <c r="S74" s="64"/>
      <c r="T74" s="64"/>
      <c r="U74" s="64"/>
      <c r="V74" s="64"/>
      <c r="W74" s="64"/>
      <c r="X74" s="64"/>
      <c r="Y74" s="64"/>
      <c r="Z74" s="64"/>
    </row>
    <row r="75" spans="1:26" ht="12.75" customHeight="1" x14ac:dyDescent="0.25">
      <c r="A75" s="64"/>
      <c r="B75" s="64"/>
      <c r="C75" s="64"/>
      <c r="D75" s="64"/>
      <c r="E75" s="64"/>
      <c r="F75" s="64"/>
      <c r="G75" s="64"/>
      <c r="H75" s="64"/>
      <c r="I75" s="64"/>
      <c r="J75" s="64"/>
      <c r="K75" s="64"/>
      <c r="L75" s="64"/>
      <c r="M75" s="64"/>
      <c r="N75" s="64"/>
      <c r="O75" s="64"/>
      <c r="P75" s="64"/>
      <c r="Q75" s="64"/>
      <c r="R75" s="64"/>
      <c r="S75" s="64"/>
      <c r="T75" s="64"/>
      <c r="U75" s="64"/>
      <c r="V75" s="64"/>
      <c r="W75" s="64"/>
      <c r="X75" s="64"/>
      <c r="Y75" s="64"/>
      <c r="Z75" s="64"/>
    </row>
    <row r="76" spans="1:26" ht="12.75" customHeight="1" x14ac:dyDescent="0.25">
      <c r="A76" s="64"/>
      <c r="B76" s="64"/>
      <c r="C76" s="64"/>
      <c r="D76" s="64"/>
      <c r="E76" s="64"/>
      <c r="F76" s="64"/>
      <c r="G76" s="64"/>
      <c r="H76" s="64"/>
      <c r="I76" s="64"/>
      <c r="J76" s="64"/>
      <c r="K76" s="64"/>
      <c r="L76" s="64"/>
      <c r="M76" s="64"/>
      <c r="N76" s="64"/>
      <c r="O76" s="64"/>
      <c r="P76" s="64"/>
      <c r="Q76" s="64"/>
      <c r="R76" s="64"/>
      <c r="S76" s="64"/>
      <c r="T76" s="64"/>
      <c r="U76" s="64"/>
      <c r="V76" s="64"/>
      <c r="W76" s="64"/>
      <c r="X76" s="64"/>
      <c r="Y76" s="64"/>
      <c r="Z76" s="64"/>
    </row>
    <row r="77" spans="1:26" ht="12.75" customHeight="1" x14ac:dyDescent="0.25">
      <c r="A77" s="64"/>
      <c r="B77" s="64"/>
      <c r="C77" s="64"/>
      <c r="D77" s="64"/>
      <c r="E77" s="64"/>
      <c r="F77" s="64"/>
      <c r="G77" s="64"/>
      <c r="H77" s="64"/>
      <c r="I77" s="64"/>
      <c r="J77" s="64"/>
      <c r="K77" s="64"/>
      <c r="L77" s="64"/>
      <c r="M77" s="64"/>
      <c r="N77" s="64"/>
      <c r="O77" s="64"/>
      <c r="P77" s="64"/>
      <c r="Q77" s="64"/>
      <c r="R77" s="64"/>
      <c r="S77" s="64"/>
      <c r="T77" s="64"/>
      <c r="U77" s="64"/>
      <c r="V77" s="64"/>
      <c r="W77" s="64"/>
      <c r="X77" s="64"/>
      <c r="Y77" s="64"/>
      <c r="Z77" s="64"/>
    </row>
    <row r="78" spans="1:26" ht="12.75" customHeight="1" x14ac:dyDescent="0.25">
      <c r="A78" s="64"/>
      <c r="B78" s="64"/>
      <c r="C78" s="64"/>
      <c r="D78" s="64"/>
      <c r="E78" s="64"/>
      <c r="F78" s="64"/>
      <c r="G78" s="64"/>
      <c r="H78" s="64"/>
      <c r="I78" s="64"/>
      <c r="J78" s="64"/>
      <c r="K78" s="64"/>
      <c r="L78" s="64"/>
      <c r="M78" s="64"/>
      <c r="N78" s="64"/>
      <c r="O78" s="64"/>
      <c r="P78" s="64"/>
      <c r="Q78" s="64"/>
      <c r="R78" s="64"/>
      <c r="S78" s="64"/>
      <c r="T78" s="64"/>
      <c r="U78" s="64"/>
      <c r="V78" s="64"/>
      <c r="W78" s="64"/>
      <c r="X78" s="64"/>
      <c r="Y78" s="64"/>
      <c r="Z78" s="64"/>
    </row>
    <row r="79" spans="1:26" ht="12.75" customHeight="1" x14ac:dyDescent="0.25">
      <c r="A79" s="64"/>
      <c r="B79" s="64"/>
      <c r="C79" s="64"/>
      <c r="D79" s="64"/>
      <c r="E79" s="64"/>
      <c r="F79" s="64"/>
      <c r="G79" s="64"/>
      <c r="H79" s="64"/>
      <c r="I79" s="64"/>
      <c r="J79" s="64"/>
      <c r="K79" s="64"/>
      <c r="L79" s="64"/>
      <c r="M79" s="64"/>
      <c r="N79" s="64"/>
      <c r="O79" s="64"/>
      <c r="P79" s="64"/>
      <c r="Q79" s="64"/>
      <c r="R79" s="64"/>
      <c r="S79" s="64"/>
      <c r="T79" s="64"/>
      <c r="U79" s="64"/>
      <c r="V79" s="64"/>
      <c r="W79" s="64"/>
      <c r="X79" s="64"/>
      <c r="Y79" s="64"/>
      <c r="Z79" s="64"/>
    </row>
    <row r="80" spans="1:26" ht="12.75" customHeight="1" x14ac:dyDescent="0.25">
      <c r="A80" s="64"/>
      <c r="B80" s="64"/>
      <c r="C80" s="64"/>
      <c r="D80" s="64"/>
      <c r="E80" s="64"/>
      <c r="F80" s="64"/>
      <c r="G80" s="64"/>
      <c r="H80" s="64"/>
      <c r="I80" s="64"/>
      <c r="J80" s="64"/>
      <c r="K80" s="64"/>
      <c r="L80" s="64"/>
      <c r="M80" s="64"/>
      <c r="N80" s="64"/>
      <c r="O80" s="64"/>
      <c r="P80" s="64"/>
      <c r="Q80" s="64"/>
      <c r="R80" s="64"/>
      <c r="S80" s="64"/>
      <c r="T80" s="64"/>
      <c r="U80" s="64"/>
      <c r="V80" s="64"/>
      <c r="W80" s="64"/>
      <c r="X80" s="64"/>
      <c r="Y80" s="64"/>
      <c r="Z80" s="64"/>
    </row>
    <row r="81" spans="1:26" ht="12.75" customHeight="1" x14ac:dyDescent="0.25">
      <c r="A81" s="64"/>
      <c r="B81" s="64"/>
      <c r="C81" s="64"/>
      <c r="D81" s="64"/>
      <c r="E81" s="64"/>
      <c r="F81" s="64"/>
      <c r="G81" s="64"/>
      <c r="H81" s="64"/>
      <c r="I81" s="64"/>
      <c r="J81" s="64"/>
      <c r="K81" s="64"/>
      <c r="L81" s="64"/>
      <c r="M81" s="64"/>
      <c r="N81" s="64"/>
      <c r="O81" s="64"/>
      <c r="P81" s="64"/>
      <c r="Q81" s="64"/>
      <c r="R81" s="64"/>
      <c r="S81" s="64"/>
      <c r="T81" s="64"/>
      <c r="U81" s="64"/>
      <c r="V81" s="64"/>
      <c r="W81" s="64"/>
      <c r="X81" s="64"/>
      <c r="Y81" s="64"/>
      <c r="Z81" s="64"/>
    </row>
    <row r="82" spans="1:26" ht="12.75" customHeight="1" x14ac:dyDescent="0.25">
      <c r="A82" s="64"/>
      <c r="B82" s="64"/>
      <c r="C82" s="64"/>
      <c r="D82" s="64"/>
      <c r="E82" s="64"/>
      <c r="F82" s="64"/>
      <c r="G82" s="64"/>
      <c r="H82" s="64"/>
      <c r="I82" s="64"/>
      <c r="J82" s="64"/>
      <c r="K82" s="64"/>
      <c r="L82" s="64"/>
      <c r="M82" s="64"/>
      <c r="N82" s="64"/>
      <c r="O82" s="64"/>
      <c r="P82" s="64"/>
      <c r="Q82" s="64"/>
      <c r="R82" s="64"/>
      <c r="S82" s="64"/>
      <c r="T82" s="64"/>
      <c r="U82" s="64"/>
      <c r="V82" s="64"/>
      <c r="W82" s="64"/>
      <c r="X82" s="64"/>
      <c r="Y82" s="64"/>
      <c r="Z82" s="64"/>
    </row>
    <row r="83" spans="1:26" ht="12.75" customHeight="1" x14ac:dyDescent="0.25">
      <c r="A83" s="64"/>
      <c r="B83" s="64"/>
      <c r="C83" s="64"/>
      <c r="D83" s="64"/>
      <c r="E83" s="64"/>
      <c r="F83" s="64"/>
      <c r="G83" s="64"/>
      <c r="H83" s="64"/>
      <c r="I83" s="64"/>
      <c r="J83" s="64"/>
      <c r="K83" s="64"/>
      <c r="L83" s="64"/>
      <c r="M83" s="64"/>
      <c r="N83" s="64"/>
      <c r="O83" s="64"/>
      <c r="P83" s="64"/>
      <c r="Q83" s="64"/>
      <c r="R83" s="64"/>
      <c r="S83" s="64"/>
      <c r="T83" s="64"/>
      <c r="U83" s="64"/>
      <c r="V83" s="64"/>
      <c r="W83" s="64"/>
      <c r="X83" s="64"/>
      <c r="Y83" s="64"/>
      <c r="Z83" s="64"/>
    </row>
    <row r="84" spans="1:26" ht="12.75" customHeight="1" x14ac:dyDescent="0.25">
      <c r="A84" s="64"/>
      <c r="B84" s="64"/>
      <c r="C84" s="64"/>
      <c r="D84" s="64"/>
      <c r="E84" s="64"/>
      <c r="F84" s="64"/>
      <c r="G84" s="64"/>
      <c r="H84" s="64"/>
      <c r="I84" s="64"/>
      <c r="J84" s="64"/>
      <c r="K84" s="64"/>
      <c r="L84" s="64"/>
      <c r="M84" s="64"/>
      <c r="N84" s="64"/>
      <c r="O84" s="64"/>
      <c r="P84" s="64"/>
      <c r="Q84" s="64"/>
      <c r="R84" s="64"/>
      <c r="S84" s="64"/>
      <c r="T84" s="64"/>
      <c r="U84" s="64"/>
      <c r="V84" s="64"/>
      <c r="W84" s="64"/>
      <c r="X84" s="64"/>
      <c r="Y84" s="64"/>
      <c r="Z84" s="64"/>
    </row>
    <row r="85" spans="1:26" ht="12.75" customHeight="1" x14ac:dyDescent="0.25">
      <c r="A85" s="64"/>
      <c r="B85" s="64"/>
      <c r="C85" s="64"/>
      <c r="D85" s="64"/>
      <c r="E85" s="64"/>
      <c r="F85" s="64"/>
      <c r="G85" s="64"/>
      <c r="H85" s="64"/>
      <c r="I85" s="64"/>
      <c r="J85" s="64"/>
      <c r="K85" s="64"/>
      <c r="L85" s="64"/>
      <c r="M85" s="64"/>
      <c r="N85" s="64"/>
      <c r="O85" s="64"/>
      <c r="P85" s="64"/>
      <c r="Q85" s="64"/>
      <c r="R85" s="64"/>
      <c r="S85" s="64"/>
      <c r="T85" s="64"/>
      <c r="U85" s="64"/>
      <c r="V85" s="64"/>
      <c r="W85" s="64"/>
      <c r="X85" s="64"/>
      <c r="Y85" s="64"/>
      <c r="Z85" s="64"/>
    </row>
    <row r="86" spans="1:26" ht="12.75" customHeight="1" x14ac:dyDescent="0.25">
      <c r="A86" s="64"/>
      <c r="B86" s="64"/>
      <c r="C86" s="64"/>
      <c r="D86" s="64"/>
      <c r="E86" s="64"/>
      <c r="F86" s="64"/>
      <c r="G86" s="64"/>
      <c r="H86" s="64"/>
      <c r="I86" s="64"/>
      <c r="J86" s="64"/>
      <c r="K86" s="64"/>
      <c r="L86" s="64"/>
      <c r="M86" s="64"/>
      <c r="N86" s="64"/>
      <c r="O86" s="64"/>
      <c r="P86" s="64"/>
      <c r="Q86" s="64"/>
      <c r="R86" s="64"/>
      <c r="S86" s="64"/>
      <c r="T86" s="64"/>
      <c r="U86" s="64"/>
      <c r="V86" s="64"/>
      <c r="W86" s="64"/>
      <c r="X86" s="64"/>
      <c r="Y86" s="64"/>
      <c r="Z86" s="64"/>
    </row>
    <row r="87" spans="1:26" ht="12.75" customHeight="1" x14ac:dyDescent="0.25">
      <c r="A87" s="64"/>
      <c r="B87" s="64"/>
      <c r="C87" s="64"/>
      <c r="D87" s="64"/>
      <c r="E87" s="64"/>
      <c r="F87" s="64"/>
      <c r="G87" s="64"/>
      <c r="H87" s="64"/>
      <c r="I87" s="64"/>
      <c r="J87" s="64"/>
      <c r="K87" s="64"/>
      <c r="L87" s="64"/>
      <c r="M87" s="64"/>
      <c r="N87" s="64"/>
      <c r="O87" s="64"/>
      <c r="P87" s="64"/>
      <c r="Q87" s="64"/>
      <c r="R87" s="64"/>
      <c r="S87" s="64"/>
      <c r="T87" s="64"/>
      <c r="U87" s="64"/>
      <c r="V87" s="64"/>
      <c r="W87" s="64"/>
      <c r="X87" s="64"/>
      <c r="Y87" s="64"/>
      <c r="Z87" s="64"/>
    </row>
    <row r="88" spans="1:26" ht="12.75" customHeight="1" x14ac:dyDescent="0.25">
      <c r="A88" s="64"/>
      <c r="B88" s="64"/>
      <c r="C88" s="64"/>
      <c r="D88" s="64"/>
      <c r="E88" s="64"/>
      <c r="F88" s="64"/>
      <c r="G88" s="64"/>
      <c r="H88" s="64"/>
      <c r="I88" s="64"/>
      <c r="J88" s="64"/>
      <c r="K88" s="64"/>
      <c r="L88" s="64"/>
      <c r="M88" s="64"/>
      <c r="N88" s="64"/>
      <c r="O88" s="64"/>
      <c r="P88" s="64"/>
      <c r="Q88" s="64"/>
      <c r="R88" s="64"/>
      <c r="S88" s="64"/>
      <c r="T88" s="64"/>
      <c r="U88" s="64"/>
      <c r="V88" s="64"/>
      <c r="W88" s="64"/>
      <c r="X88" s="64"/>
      <c r="Y88" s="64"/>
      <c r="Z88" s="64"/>
    </row>
    <row r="89" spans="1:26" ht="12.75" customHeight="1" x14ac:dyDescent="0.25">
      <c r="A89" s="64"/>
      <c r="B89" s="64"/>
      <c r="C89" s="64"/>
      <c r="D89" s="64"/>
      <c r="E89" s="64"/>
      <c r="F89" s="64"/>
      <c r="G89" s="64"/>
      <c r="H89" s="64"/>
      <c r="I89" s="64"/>
      <c r="J89" s="64"/>
      <c r="K89" s="64"/>
      <c r="L89" s="64"/>
      <c r="M89" s="64"/>
      <c r="N89" s="64"/>
      <c r="O89" s="64"/>
      <c r="P89" s="64"/>
      <c r="Q89" s="64"/>
      <c r="R89" s="64"/>
      <c r="S89" s="64"/>
      <c r="T89" s="64"/>
      <c r="U89" s="64"/>
      <c r="V89" s="64"/>
      <c r="W89" s="64"/>
      <c r="X89" s="64"/>
      <c r="Y89" s="64"/>
      <c r="Z89" s="64"/>
    </row>
    <row r="90" spans="1:26" ht="12.75" customHeight="1" x14ac:dyDescent="0.25">
      <c r="A90" s="64"/>
      <c r="B90" s="64"/>
      <c r="C90" s="64"/>
      <c r="D90" s="64"/>
      <c r="E90" s="64"/>
      <c r="F90" s="64"/>
      <c r="G90" s="64"/>
      <c r="H90" s="64"/>
      <c r="I90" s="64"/>
      <c r="J90" s="64"/>
      <c r="K90" s="64"/>
      <c r="L90" s="64"/>
      <c r="M90" s="64"/>
      <c r="N90" s="64"/>
      <c r="O90" s="64"/>
      <c r="P90" s="64"/>
      <c r="Q90" s="64"/>
      <c r="R90" s="64"/>
      <c r="S90" s="64"/>
      <c r="T90" s="64"/>
      <c r="U90" s="64"/>
      <c r="V90" s="64"/>
      <c r="W90" s="64"/>
      <c r="X90" s="64"/>
      <c r="Y90" s="64"/>
      <c r="Z90" s="64"/>
    </row>
    <row r="91" spans="1:26" ht="12.75" customHeight="1" x14ac:dyDescent="0.25">
      <c r="A91" s="64"/>
      <c r="B91" s="64"/>
      <c r="C91" s="64"/>
      <c r="D91" s="64"/>
      <c r="E91" s="64"/>
      <c r="F91" s="64"/>
      <c r="G91" s="64"/>
      <c r="H91" s="64"/>
      <c r="I91" s="64"/>
      <c r="J91" s="64"/>
      <c r="K91" s="64"/>
      <c r="L91" s="64"/>
      <c r="M91" s="64"/>
      <c r="N91" s="64"/>
      <c r="O91" s="64"/>
      <c r="P91" s="64"/>
      <c r="Q91" s="64"/>
      <c r="R91" s="64"/>
      <c r="S91" s="64"/>
      <c r="T91" s="64"/>
      <c r="U91" s="64"/>
      <c r="V91" s="64"/>
      <c r="W91" s="64"/>
      <c r="X91" s="64"/>
      <c r="Y91" s="64"/>
      <c r="Z91" s="64"/>
    </row>
    <row r="92" spans="1:26" ht="12.75" customHeight="1" x14ac:dyDescent="0.25">
      <c r="A92" s="64"/>
      <c r="B92" s="64"/>
      <c r="C92" s="64"/>
      <c r="D92" s="64"/>
      <c r="E92" s="64"/>
      <c r="F92" s="64"/>
      <c r="G92" s="64"/>
      <c r="H92" s="64"/>
      <c r="I92" s="64"/>
      <c r="J92" s="64"/>
      <c r="K92" s="64"/>
      <c r="L92" s="64"/>
      <c r="M92" s="64"/>
      <c r="N92" s="64"/>
      <c r="O92" s="64"/>
      <c r="P92" s="64"/>
      <c r="Q92" s="64"/>
      <c r="R92" s="64"/>
      <c r="S92" s="64"/>
      <c r="T92" s="64"/>
      <c r="U92" s="64"/>
      <c r="V92" s="64"/>
      <c r="W92" s="64"/>
      <c r="X92" s="64"/>
      <c r="Y92" s="64"/>
      <c r="Z92" s="64"/>
    </row>
    <row r="93" spans="1:26" ht="12.75" customHeight="1" x14ac:dyDescent="0.25">
      <c r="A93" s="64"/>
      <c r="B93" s="64"/>
      <c r="C93" s="64"/>
      <c r="D93" s="64"/>
      <c r="E93" s="64"/>
      <c r="F93" s="64"/>
      <c r="G93" s="64"/>
      <c r="H93" s="64"/>
      <c r="I93" s="64"/>
      <c r="J93" s="64"/>
      <c r="K93" s="64"/>
      <c r="L93" s="64"/>
      <c r="M93" s="64"/>
      <c r="N93" s="64"/>
      <c r="O93" s="64"/>
      <c r="P93" s="64"/>
      <c r="Q93" s="64"/>
      <c r="R93" s="64"/>
      <c r="S93" s="64"/>
      <c r="T93" s="64"/>
      <c r="U93" s="64"/>
      <c r="V93" s="64"/>
      <c r="W93" s="64"/>
      <c r="X93" s="64"/>
      <c r="Y93" s="64"/>
      <c r="Z93" s="64"/>
    </row>
    <row r="94" spans="1:26" ht="12.75" customHeight="1" x14ac:dyDescent="0.25">
      <c r="A94" s="64"/>
      <c r="B94" s="64"/>
      <c r="C94" s="64"/>
      <c r="D94" s="64"/>
      <c r="E94" s="64"/>
      <c r="F94" s="64"/>
      <c r="G94" s="64"/>
      <c r="H94" s="64"/>
      <c r="I94" s="64"/>
      <c r="J94" s="64"/>
      <c r="K94" s="64"/>
      <c r="L94" s="64"/>
      <c r="M94" s="64"/>
      <c r="N94" s="64"/>
      <c r="O94" s="64"/>
      <c r="P94" s="64"/>
      <c r="Q94" s="64"/>
      <c r="R94" s="64"/>
      <c r="S94" s="64"/>
      <c r="T94" s="64"/>
      <c r="U94" s="64"/>
      <c r="V94" s="64"/>
      <c r="W94" s="64"/>
      <c r="X94" s="64"/>
      <c r="Y94" s="64"/>
      <c r="Z94" s="64"/>
    </row>
    <row r="95" spans="1:26" ht="12.75" customHeight="1" x14ac:dyDescent="0.25">
      <c r="A95" s="64"/>
      <c r="B95" s="64"/>
      <c r="C95" s="64"/>
      <c r="D95" s="64"/>
      <c r="E95" s="64"/>
      <c r="F95" s="64"/>
      <c r="G95" s="64"/>
      <c r="H95" s="64"/>
      <c r="I95" s="64"/>
      <c r="J95" s="64"/>
      <c r="K95" s="64"/>
      <c r="L95" s="64"/>
      <c r="M95" s="64"/>
      <c r="N95" s="64"/>
      <c r="O95" s="64"/>
      <c r="P95" s="64"/>
      <c r="Q95" s="64"/>
      <c r="R95" s="64"/>
      <c r="S95" s="64"/>
      <c r="T95" s="64"/>
      <c r="U95" s="64"/>
      <c r="V95" s="64"/>
      <c r="W95" s="64"/>
      <c r="X95" s="64"/>
      <c r="Y95" s="64"/>
      <c r="Z95" s="64"/>
    </row>
    <row r="96" spans="1:26" ht="12.75" customHeight="1" x14ac:dyDescent="0.25">
      <c r="A96" s="64"/>
      <c r="B96" s="64"/>
      <c r="C96" s="64"/>
      <c r="D96" s="64"/>
      <c r="E96" s="64"/>
      <c r="F96" s="64"/>
      <c r="G96" s="64"/>
      <c r="H96" s="64"/>
      <c r="I96" s="64"/>
      <c r="J96" s="64"/>
      <c r="K96" s="64"/>
      <c r="L96" s="64"/>
      <c r="M96" s="64"/>
      <c r="N96" s="64"/>
      <c r="O96" s="64"/>
      <c r="P96" s="64"/>
      <c r="Q96" s="64"/>
      <c r="R96" s="64"/>
      <c r="S96" s="64"/>
      <c r="T96" s="64"/>
      <c r="U96" s="64"/>
      <c r="V96" s="64"/>
      <c r="W96" s="64"/>
      <c r="X96" s="64"/>
      <c r="Y96" s="64"/>
      <c r="Z96" s="64"/>
    </row>
    <row r="97" spans="1:26" ht="12.75" customHeight="1" x14ac:dyDescent="0.25">
      <c r="A97" s="64"/>
      <c r="B97" s="64"/>
      <c r="C97" s="64"/>
      <c r="D97" s="64"/>
      <c r="E97" s="64"/>
      <c r="F97" s="64"/>
      <c r="G97" s="64"/>
      <c r="H97" s="64"/>
      <c r="I97" s="64"/>
      <c r="J97" s="64"/>
      <c r="K97" s="64"/>
      <c r="L97" s="64"/>
      <c r="M97" s="64"/>
      <c r="N97" s="64"/>
      <c r="O97" s="64"/>
      <c r="P97" s="64"/>
      <c r="Q97" s="64"/>
      <c r="R97" s="64"/>
      <c r="S97" s="64"/>
      <c r="T97" s="64"/>
      <c r="U97" s="64"/>
      <c r="V97" s="64"/>
      <c r="W97" s="64"/>
      <c r="X97" s="64"/>
      <c r="Y97" s="64"/>
      <c r="Z97" s="64"/>
    </row>
    <row r="98" spans="1:26" ht="12.75" customHeight="1" x14ac:dyDescent="0.25">
      <c r="A98" s="64"/>
      <c r="B98" s="64"/>
      <c r="C98" s="64"/>
      <c r="D98" s="64"/>
      <c r="E98" s="64"/>
      <c r="F98" s="64"/>
      <c r="G98" s="64"/>
      <c r="H98" s="64"/>
      <c r="I98" s="64"/>
      <c r="J98" s="64"/>
      <c r="K98" s="64"/>
      <c r="L98" s="64"/>
      <c r="M98" s="64"/>
      <c r="N98" s="64"/>
      <c r="O98" s="64"/>
      <c r="P98" s="64"/>
      <c r="Q98" s="64"/>
      <c r="R98" s="64"/>
      <c r="S98" s="64"/>
      <c r="T98" s="64"/>
      <c r="U98" s="64"/>
      <c r="V98" s="64"/>
      <c r="W98" s="64"/>
      <c r="X98" s="64"/>
      <c r="Y98" s="64"/>
      <c r="Z98" s="64"/>
    </row>
    <row r="99" spans="1:26" ht="12.75" customHeight="1" x14ac:dyDescent="0.25">
      <c r="A99" s="64"/>
      <c r="B99" s="64"/>
      <c r="C99" s="64"/>
      <c r="D99" s="64"/>
      <c r="E99" s="64"/>
      <c r="F99" s="64"/>
      <c r="G99" s="64"/>
      <c r="H99" s="64"/>
      <c r="I99" s="64"/>
      <c r="J99" s="64"/>
      <c r="K99" s="64"/>
      <c r="L99" s="64"/>
      <c r="M99" s="64"/>
      <c r="N99" s="64"/>
      <c r="O99" s="64"/>
      <c r="P99" s="64"/>
      <c r="Q99" s="64"/>
      <c r="R99" s="64"/>
      <c r="S99" s="64"/>
      <c r="T99" s="64"/>
      <c r="U99" s="64"/>
      <c r="V99" s="64"/>
      <c r="W99" s="64"/>
      <c r="X99" s="64"/>
      <c r="Y99" s="64"/>
      <c r="Z99" s="64"/>
    </row>
    <row r="100" spans="1:26" ht="12.75" customHeight="1" x14ac:dyDescent="0.25">
      <c r="A100" s="64"/>
      <c r="B100" s="64"/>
      <c r="C100" s="64"/>
      <c r="D100" s="64"/>
      <c r="E100" s="64"/>
      <c r="F100" s="64"/>
      <c r="G100" s="64"/>
      <c r="H100" s="64"/>
      <c r="I100" s="64"/>
      <c r="J100" s="64"/>
      <c r="K100" s="64"/>
      <c r="L100" s="64"/>
      <c r="M100" s="64"/>
      <c r="N100" s="64"/>
      <c r="O100" s="64"/>
      <c r="P100" s="64"/>
      <c r="Q100" s="64"/>
      <c r="R100" s="64"/>
      <c r="S100" s="64"/>
      <c r="T100" s="64"/>
      <c r="U100" s="64"/>
      <c r="V100" s="64"/>
      <c r="W100" s="64"/>
      <c r="X100" s="64"/>
      <c r="Y100" s="64"/>
      <c r="Z100" s="64"/>
    </row>
    <row r="101" spans="1:26" ht="12.75" customHeight="1" x14ac:dyDescent="0.25">
      <c r="A101" s="64"/>
      <c r="B101" s="64"/>
      <c r="C101" s="64"/>
      <c r="D101" s="64"/>
      <c r="E101" s="64"/>
      <c r="F101" s="64"/>
      <c r="G101" s="64"/>
      <c r="H101" s="64"/>
      <c r="I101" s="64"/>
      <c r="J101" s="64"/>
      <c r="K101" s="64"/>
      <c r="L101" s="64"/>
      <c r="M101" s="64"/>
      <c r="N101" s="64"/>
      <c r="O101" s="64"/>
      <c r="P101" s="64"/>
      <c r="Q101" s="64"/>
      <c r="R101" s="64"/>
      <c r="S101" s="64"/>
      <c r="T101" s="64"/>
      <c r="U101" s="64"/>
      <c r="V101" s="64"/>
      <c r="W101" s="64"/>
      <c r="X101" s="64"/>
      <c r="Y101" s="64"/>
      <c r="Z101" s="64"/>
    </row>
    <row r="102" spans="1:26" ht="12.75" customHeight="1" x14ac:dyDescent="0.25">
      <c r="A102" s="64"/>
      <c r="B102" s="64"/>
      <c r="C102" s="64"/>
      <c r="D102" s="64"/>
      <c r="E102" s="64"/>
      <c r="F102" s="64"/>
      <c r="G102" s="64"/>
      <c r="H102" s="64"/>
      <c r="I102" s="64"/>
      <c r="J102" s="64"/>
      <c r="K102" s="64"/>
      <c r="L102" s="64"/>
      <c r="M102" s="64"/>
      <c r="N102" s="64"/>
      <c r="O102" s="64"/>
      <c r="P102" s="64"/>
      <c r="Q102" s="64"/>
      <c r="R102" s="64"/>
      <c r="S102" s="64"/>
      <c r="T102" s="64"/>
      <c r="U102" s="64"/>
      <c r="V102" s="64"/>
      <c r="W102" s="64"/>
      <c r="X102" s="64"/>
      <c r="Y102" s="64"/>
      <c r="Z102" s="64"/>
    </row>
    <row r="103" spans="1:26" ht="12.75" customHeight="1" x14ac:dyDescent="0.25">
      <c r="A103" s="64"/>
      <c r="B103" s="64"/>
      <c r="C103" s="64"/>
      <c r="D103" s="64"/>
      <c r="E103" s="64"/>
      <c r="F103" s="64"/>
      <c r="G103" s="64"/>
      <c r="H103" s="64"/>
      <c r="I103" s="64"/>
      <c r="J103" s="64"/>
      <c r="K103" s="64"/>
      <c r="L103" s="64"/>
      <c r="M103" s="64"/>
      <c r="N103" s="64"/>
      <c r="O103" s="64"/>
      <c r="P103" s="64"/>
      <c r="Q103" s="64"/>
      <c r="R103" s="64"/>
      <c r="S103" s="64"/>
      <c r="T103" s="64"/>
      <c r="U103" s="64"/>
      <c r="V103" s="64"/>
      <c r="W103" s="64"/>
      <c r="X103" s="64"/>
      <c r="Y103" s="64"/>
      <c r="Z103" s="64"/>
    </row>
    <row r="104" spans="1:26" ht="12.75" customHeight="1" x14ac:dyDescent="0.25">
      <c r="A104" s="64"/>
      <c r="B104" s="64"/>
      <c r="C104" s="64"/>
      <c r="D104" s="64"/>
      <c r="E104" s="64"/>
      <c r="F104" s="64"/>
      <c r="G104" s="64"/>
      <c r="H104" s="64"/>
      <c r="I104" s="64"/>
      <c r="J104" s="64"/>
      <c r="K104" s="64"/>
      <c r="L104" s="64"/>
      <c r="M104" s="64"/>
      <c r="N104" s="64"/>
      <c r="O104" s="64"/>
      <c r="P104" s="64"/>
      <c r="Q104" s="64"/>
      <c r="R104" s="64"/>
      <c r="S104" s="64"/>
      <c r="T104" s="64"/>
      <c r="U104" s="64"/>
      <c r="V104" s="64"/>
      <c r="W104" s="64"/>
      <c r="X104" s="64"/>
      <c r="Y104" s="64"/>
      <c r="Z104" s="64"/>
    </row>
    <row r="105" spans="1:26" ht="12.75" customHeight="1" x14ac:dyDescent="0.25">
      <c r="A105" s="64"/>
      <c r="B105" s="64"/>
      <c r="C105" s="64"/>
      <c r="D105" s="64"/>
      <c r="E105" s="64"/>
      <c r="F105" s="64"/>
      <c r="G105" s="64"/>
      <c r="H105" s="64"/>
      <c r="I105" s="64"/>
      <c r="J105" s="64"/>
      <c r="K105" s="64"/>
      <c r="L105" s="64"/>
      <c r="M105" s="64"/>
      <c r="N105" s="64"/>
      <c r="O105" s="64"/>
      <c r="P105" s="64"/>
      <c r="Q105" s="64"/>
      <c r="R105" s="64"/>
      <c r="S105" s="64"/>
      <c r="T105" s="64"/>
      <c r="U105" s="64"/>
      <c r="V105" s="64"/>
      <c r="W105" s="64"/>
      <c r="X105" s="64"/>
      <c r="Y105" s="64"/>
      <c r="Z105" s="64"/>
    </row>
    <row r="106" spans="1:26" ht="12.75" customHeight="1" x14ac:dyDescent="0.25">
      <c r="A106" s="64"/>
      <c r="B106" s="64"/>
      <c r="C106" s="64"/>
      <c r="D106" s="64"/>
      <c r="E106" s="64"/>
      <c r="F106" s="64"/>
      <c r="G106" s="64"/>
      <c r="H106" s="64"/>
      <c r="I106" s="64"/>
      <c r="J106" s="64"/>
      <c r="K106" s="64"/>
      <c r="L106" s="64"/>
      <c r="M106" s="64"/>
      <c r="N106" s="64"/>
      <c r="O106" s="64"/>
      <c r="P106" s="64"/>
      <c r="Q106" s="64"/>
      <c r="R106" s="64"/>
      <c r="S106" s="64"/>
      <c r="T106" s="64"/>
      <c r="U106" s="64"/>
      <c r="V106" s="64"/>
      <c r="W106" s="64"/>
      <c r="X106" s="64"/>
      <c r="Y106" s="64"/>
      <c r="Z106" s="64"/>
    </row>
    <row r="107" spans="1:26" ht="12.75" customHeight="1" x14ac:dyDescent="0.25">
      <c r="A107" s="64"/>
      <c r="B107" s="64"/>
      <c r="C107" s="64"/>
      <c r="D107" s="64"/>
      <c r="E107" s="64"/>
      <c r="F107" s="64"/>
      <c r="G107" s="64"/>
      <c r="H107" s="64"/>
      <c r="I107" s="64"/>
      <c r="J107" s="64"/>
      <c r="K107" s="64"/>
      <c r="L107" s="64"/>
      <c r="M107" s="64"/>
      <c r="N107" s="64"/>
      <c r="O107" s="64"/>
      <c r="P107" s="64"/>
      <c r="Q107" s="64"/>
      <c r="R107" s="64"/>
      <c r="S107" s="64"/>
      <c r="T107" s="64"/>
      <c r="U107" s="64"/>
      <c r="V107" s="64"/>
      <c r="W107" s="64"/>
      <c r="X107" s="64"/>
      <c r="Y107" s="64"/>
      <c r="Z107" s="64"/>
    </row>
    <row r="108" spans="1:26" ht="12.75" customHeight="1" x14ac:dyDescent="0.25">
      <c r="A108" s="64"/>
      <c r="B108" s="64"/>
      <c r="C108" s="64"/>
      <c r="D108" s="64"/>
      <c r="E108" s="64"/>
      <c r="F108" s="64"/>
      <c r="G108" s="64"/>
      <c r="H108" s="64"/>
      <c r="I108" s="64"/>
      <c r="J108" s="64"/>
      <c r="K108" s="64"/>
      <c r="L108" s="64"/>
      <c r="M108" s="64"/>
      <c r="N108" s="64"/>
      <c r="O108" s="64"/>
      <c r="P108" s="64"/>
      <c r="Q108" s="64"/>
      <c r="R108" s="64"/>
      <c r="S108" s="64"/>
      <c r="T108" s="64"/>
      <c r="U108" s="64"/>
      <c r="V108" s="64"/>
      <c r="W108" s="64"/>
      <c r="X108" s="64"/>
      <c r="Y108" s="64"/>
      <c r="Z108" s="64"/>
    </row>
    <row r="109" spans="1:26" ht="12.75" customHeight="1" x14ac:dyDescent="0.25">
      <c r="A109" s="64"/>
      <c r="B109" s="64"/>
      <c r="C109" s="64"/>
      <c r="D109" s="64"/>
      <c r="E109" s="64"/>
      <c r="F109" s="64"/>
      <c r="G109" s="64"/>
      <c r="H109" s="64"/>
      <c r="I109" s="64"/>
      <c r="J109" s="64"/>
      <c r="K109" s="64"/>
      <c r="L109" s="64"/>
      <c r="M109" s="64"/>
      <c r="N109" s="64"/>
      <c r="O109" s="64"/>
      <c r="P109" s="64"/>
      <c r="Q109" s="64"/>
      <c r="R109" s="64"/>
      <c r="S109" s="64"/>
      <c r="T109" s="64"/>
      <c r="U109" s="64"/>
      <c r="V109" s="64"/>
      <c r="W109" s="64"/>
      <c r="X109" s="64"/>
      <c r="Y109" s="64"/>
      <c r="Z109" s="64"/>
    </row>
    <row r="110" spans="1:26" ht="12.75" customHeight="1" x14ac:dyDescent="0.25">
      <c r="A110" s="64"/>
      <c r="B110" s="64"/>
      <c r="C110" s="64"/>
      <c r="D110" s="64"/>
      <c r="E110" s="64"/>
      <c r="F110" s="64"/>
      <c r="G110" s="64"/>
      <c r="H110" s="64"/>
      <c r="I110" s="64"/>
      <c r="J110" s="64"/>
      <c r="K110" s="64"/>
      <c r="L110" s="64"/>
      <c r="M110" s="64"/>
      <c r="N110" s="64"/>
      <c r="O110" s="64"/>
      <c r="P110" s="64"/>
      <c r="Q110" s="64"/>
      <c r="R110" s="64"/>
      <c r="S110" s="64"/>
      <c r="T110" s="64"/>
      <c r="U110" s="64"/>
      <c r="V110" s="64"/>
      <c r="W110" s="64"/>
      <c r="X110" s="64"/>
      <c r="Y110" s="64"/>
      <c r="Z110" s="64"/>
    </row>
    <row r="111" spans="1:26" ht="12.75" customHeight="1" x14ac:dyDescent="0.25">
      <c r="A111" s="64"/>
      <c r="B111" s="64"/>
      <c r="C111" s="64"/>
      <c r="D111" s="64"/>
      <c r="E111" s="64"/>
      <c r="F111" s="64"/>
      <c r="G111" s="64"/>
      <c r="H111" s="64"/>
      <c r="I111" s="64"/>
      <c r="J111" s="64"/>
      <c r="K111" s="64"/>
      <c r="L111" s="64"/>
      <c r="M111" s="64"/>
      <c r="N111" s="64"/>
      <c r="O111" s="64"/>
      <c r="P111" s="64"/>
      <c r="Q111" s="64"/>
      <c r="R111" s="64"/>
      <c r="S111" s="64"/>
      <c r="T111" s="64"/>
      <c r="U111" s="64"/>
      <c r="V111" s="64"/>
      <c r="W111" s="64"/>
      <c r="X111" s="64"/>
      <c r="Y111" s="64"/>
      <c r="Z111" s="64"/>
    </row>
    <row r="112" spans="1:26" ht="12.75" customHeight="1" x14ac:dyDescent="0.25">
      <c r="A112" s="64"/>
      <c r="B112" s="64"/>
      <c r="C112" s="64"/>
      <c r="D112" s="64"/>
      <c r="E112" s="64"/>
      <c r="F112" s="64"/>
      <c r="G112" s="64"/>
      <c r="H112" s="64"/>
      <c r="I112" s="64"/>
      <c r="J112" s="64"/>
      <c r="K112" s="64"/>
      <c r="L112" s="64"/>
      <c r="M112" s="64"/>
      <c r="N112" s="64"/>
      <c r="O112" s="64"/>
      <c r="P112" s="64"/>
      <c r="Q112" s="64"/>
      <c r="R112" s="64"/>
      <c r="S112" s="64"/>
      <c r="T112" s="64"/>
      <c r="U112" s="64"/>
      <c r="V112" s="64"/>
      <c r="W112" s="64"/>
      <c r="X112" s="64"/>
      <c r="Y112" s="64"/>
      <c r="Z112" s="64"/>
    </row>
    <row r="113" spans="1:26" ht="12.75" customHeight="1" x14ac:dyDescent="0.25">
      <c r="A113" s="64"/>
      <c r="B113" s="64"/>
      <c r="C113" s="64"/>
      <c r="D113" s="64"/>
      <c r="E113" s="64"/>
      <c r="F113" s="64"/>
      <c r="G113" s="64"/>
      <c r="H113" s="64"/>
      <c r="I113" s="64"/>
      <c r="J113" s="64"/>
      <c r="K113" s="64"/>
      <c r="L113" s="64"/>
      <c r="M113" s="64"/>
      <c r="N113" s="64"/>
      <c r="O113" s="64"/>
      <c r="P113" s="64"/>
      <c r="Q113" s="64"/>
      <c r="R113" s="64"/>
      <c r="S113" s="64"/>
      <c r="T113" s="64"/>
      <c r="U113" s="64"/>
      <c r="V113" s="64"/>
      <c r="W113" s="64"/>
      <c r="X113" s="64"/>
      <c r="Y113" s="64"/>
      <c r="Z113" s="64"/>
    </row>
    <row r="114" spans="1:26" ht="12.75" customHeight="1" x14ac:dyDescent="0.25">
      <c r="A114" s="64"/>
      <c r="B114" s="64"/>
      <c r="C114" s="64"/>
      <c r="D114" s="64"/>
      <c r="E114" s="64"/>
      <c r="F114" s="64"/>
      <c r="G114" s="64"/>
      <c r="H114" s="64"/>
      <c r="I114" s="64"/>
      <c r="J114" s="64"/>
      <c r="K114" s="64"/>
      <c r="L114" s="64"/>
      <c r="M114" s="64"/>
      <c r="N114" s="64"/>
      <c r="O114" s="64"/>
      <c r="P114" s="64"/>
      <c r="Q114" s="64"/>
      <c r="R114" s="64"/>
      <c r="S114" s="64"/>
      <c r="T114" s="64"/>
      <c r="U114" s="64"/>
      <c r="V114" s="64"/>
      <c r="W114" s="64"/>
      <c r="X114" s="64"/>
      <c r="Y114" s="64"/>
      <c r="Z114" s="64"/>
    </row>
    <row r="115" spans="1:26" ht="12.75" customHeight="1" x14ac:dyDescent="0.25">
      <c r="A115" s="64"/>
      <c r="B115" s="64"/>
      <c r="C115" s="64"/>
      <c r="D115" s="64"/>
      <c r="E115" s="64"/>
      <c r="F115" s="64"/>
      <c r="G115" s="64"/>
      <c r="H115" s="64"/>
      <c r="I115" s="64"/>
      <c r="J115" s="64"/>
      <c r="K115" s="64"/>
      <c r="L115" s="64"/>
      <c r="M115" s="64"/>
      <c r="N115" s="64"/>
      <c r="O115" s="64"/>
      <c r="P115" s="64"/>
      <c r="Q115" s="64"/>
      <c r="R115" s="64"/>
      <c r="S115" s="64"/>
      <c r="T115" s="64"/>
      <c r="U115" s="64"/>
      <c r="V115" s="64"/>
      <c r="W115" s="64"/>
      <c r="X115" s="64"/>
      <c r="Y115" s="64"/>
      <c r="Z115" s="64"/>
    </row>
    <row r="116" spans="1:26" ht="12.75" customHeight="1" x14ac:dyDescent="0.25">
      <c r="A116" s="64"/>
      <c r="B116" s="64"/>
      <c r="C116" s="64"/>
      <c r="D116" s="64"/>
      <c r="E116" s="64"/>
      <c r="F116" s="64"/>
      <c r="G116" s="64"/>
      <c r="H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X116" s="64"/>
      <c r="Y116" s="64"/>
      <c r="Z116" s="64"/>
    </row>
    <row r="117" spans="1:26" ht="12.75" customHeight="1" x14ac:dyDescent="0.25">
      <c r="A117" s="64"/>
      <c r="B117" s="64"/>
      <c r="C117" s="64"/>
      <c r="D117" s="64"/>
      <c r="E117" s="64"/>
      <c r="F117" s="64"/>
      <c r="G117" s="64"/>
      <c r="H117" s="64"/>
      <c r="I117" s="64"/>
      <c r="J117" s="64"/>
      <c r="K117" s="64"/>
      <c r="L117" s="64"/>
      <c r="M117" s="64"/>
      <c r="N117" s="64"/>
      <c r="O117" s="64"/>
      <c r="P117" s="64"/>
      <c r="Q117" s="64"/>
      <c r="R117" s="64"/>
      <c r="S117" s="64"/>
      <c r="T117" s="64"/>
      <c r="U117" s="64"/>
      <c r="V117" s="64"/>
      <c r="W117" s="64"/>
      <c r="X117" s="64"/>
      <c r="Y117" s="64"/>
      <c r="Z117" s="64"/>
    </row>
    <row r="118" spans="1:26" ht="12.75" customHeight="1" x14ac:dyDescent="0.25">
      <c r="A118" s="64"/>
      <c r="B118" s="64"/>
      <c r="C118" s="64"/>
      <c r="D118" s="64"/>
      <c r="E118" s="64"/>
      <c r="F118" s="64"/>
      <c r="G118" s="64"/>
      <c r="H118" s="64"/>
      <c r="I118" s="64"/>
      <c r="J118" s="64"/>
      <c r="K118" s="64"/>
      <c r="L118" s="64"/>
      <c r="M118" s="64"/>
      <c r="N118" s="64"/>
      <c r="O118" s="64"/>
      <c r="P118" s="64"/>
      <c r="Q118" s="64"/>
      <c r="R118" s="64"/>
      <c r="S118" s="64"/>
      <c r="T118" s="64"/>
      <c r="U118" s="64"/>
      <c r="V118" s="64"/>
      <c r="W118" s="64"/>
      <c r="X118" s="64"/>
      <c r="Y118" s="64"/>
      <c r="Z118" s="64"/>
    </row>
    <row r="119" spans="1:26" ht="12.75" customHeight="1" x14ac:dyDescent="0.25">
      <c r="A119" s="64"/>
      <c r="B119" s="64"/>
      <c r="C119" s="64"/>
      <c r="D119" s="64"/>
      <c r="E119" s="64"/>
      <c r="F119" s="64"/>
      <c r="G119" s="64"/>
      <c r="H119" s="64"/>
      <c r="I119" s="64"/>
      <c r="J119" s="64"/>
      <c r="K119" s="64"/>
      <c r="L119" s="64"/>
      <c r="M119" s="64"/>
      <c r="N119" s="64"/>
      <c r="O119" s="64"/>
      <c r="P119" s="64"/>
      <c r="Q119" s="64"/>
      <c r="R119" s="64"/>
      <c r="S119" s="64"/>
      <c r="T119" s="64"/>
      <c r="U119" s="64"/>
      <c r="V119" s="64"/>
      <c r="W119" s="64"/>
      <c r="X119" s="64"/>
      <c r="Y119" s="64"/>
      <c r="Z119" s="64"/>
    </row>
    <row r="120" spans="1:26" ht="12.75" customHeight="1" x14ac:dyDescent="0.25">
      <c r="A120" s="64"/>
      <c r="B120" s="64"/>
      <c r="C120" s="64"/>
      <c r="D120" s="64"/>
      <c r="E120" s="64"/>
      <c r="F120" s="64"/>
      <c r="G120" s="64"/>
      <c r="H120" s="64"/>
      <c r="I120" s="64"/>
      <c r="J120" s="64"/>
      <c r="K120" s="64"/>
      <c r="L120" s="64"/>
      <c r="M120" s="64"/>
      <c r="N120" s="64"/>
      <c r="O120" s="64"/>
      <c r="P120" s="64"/>
      <c r="Q120" s="64"/>
      <c r="R120" s="64"/>
      <c r="S120" s="64"/>
      <c r="T120" s="64"/>
      <c r="U120" s="64"/>
      <c r="V120" s="64"/>
      <c r="W120" s="64"/>
      <c r="X120" s="64"/>
      <c r="Y120" s="64"/>
      <c r="Z120" s="64"/>
    </row>
    <row r="121" spans="1:26" ht="12.75" customHeight="1" x14ac:dyDescent="0.25">
      <c r="A121" s="64"/>
      <c r="B121" s="64"/>
      <c r="C121" s="64"/>
      <c r="D121" s="64"/>
      <c r="E121" s="64"/>
      <c r="F121" s="64"/>
      <c r="G121" s="64"/>
      <c r="H121" s="64"/>
      <c r="I121" s="64"/>
      <c r="J121" s="64"/>
      <c r="K121" s="64"/>
      <c r="L121" s="64"/>
      <c r="M121" s="64"/>
      <c r="N121" s="64"/>
      <c r="O121" s="64"/>
      <c r="P121" s="64"/>
      <c r="Q121" s="64"/>
      <c r="R121" s="64"/>
      <c r="S121" s="64"/>
      <c r="T121" s="64"/>
      <c r="U121" s="64"/>
      <c r="V121" s="64"/>
      <c r="W121" s="64"/>
      <c r="X121" s="64"/>
      <c r="Y121" s="64"/>
      <c r="Z121" s="64"/>
    </row>
    <row r="122" spans="1:26" ht="12.75" customHeight="1" x14ac:dyDescent="0.25">
      <c r="A122" s="64"/>
      <c r="B122" s="64"/>
      <c r="C122" s="64"/>
      <c r="D122" s="64"/>
      <c r="E122" s="64"/>
      <c r="F122" s="64"/>
      <c r="G122" s="64"/>
      <c r="H122" s="64"/>
      <c r="I122" s="64"/>
      <c r="J122" s="64"/>
      <c r="K122" s="64"/>
      <c r="L122" s="64"/>
      <c r="M122" s="64"/>
      <c r="N122" s="64"/>
      <c r="O122" s="64"/>
      <c r="P122" s="64"/>
      <c r="Q122" s="64"/>
      <c r="R122" s="64"/>
      <c r="S122" s="64"/>
      <c r="T122" s="64"/>
      <c r="U122" s="64"/>
      <c r="V122" s="64"/>
      <c r="W122" s="64"/>
      <c r="X122" s="64"/>
      <c r="Y122" s="64"/>
      <c r="Z122" s="64"/>
    </row>
    <row r="123" spans="1:26" ht="12.75" customHeight="1" x14ac:dyDescent="0.25">
      <c r="A123" s="64"/>
      <c r="B123" s="64"/>
      <c r="C123" s="64"/>
      <c r="D123" s="64"/>
      <c r="E123" s="64"/>
      <c r="F123" s="64"/>
      <c r="G123" s="64"/>
      <c r="H123" s="64"/>
      <c r="I123" s="64"/>
      <c r="J123" s="64"/>
      <c r="K123" s="64"/>
      <c r="L123" s="64"/>
      <c r="M123" s="64"/>
      <c r="N123" s="64"/>
      <c r="O123" s="64"/>
      <c r="P123" s="64"/>
      <c r="Q123" s="64"/>
      <c r="R123" s="64"/>
      <c r="S123" s="64"/>
      <c r="T123" s="64"/>
      <c r="U123" s="64"/>
      <c r="V123" s="64"/>
      <c r="W123" s="64"/>
      <c r="X123" s="64"/>
      <c r="Y123" s="64"/>
      <c r="Z123" s="64"/>
    </row>
    <row r="124" spans="1:26" ht="12.75" customHeight="1" x14ac:dyDescent="0.25">
      <c r="A124" s="64"/>
      <c r="B124" s="64"/>
      <c r="C124" s="64"/>
      <c r="D124" s="64"/>
      <c r="E124" s="64"/>
      <c r="F124" s="64"/>
      <c r="G124" s="64"/>
      <c r="H124" s="64"/>
      <c r="I124" s="64"/>
      <c r="J124" s="64"/>
      <c r="K124" s="64"/>
      <c r="L124" s="64"/>
      <c r="M124" s="64"/>
      <c r="N124" s="64"/>
      <c r="O124" s="64"/>
      <c r="P124" s="64"/>
      <c r="Q124" s="64"/>
      <c r="R124" s="64"/>
      <c r="S124" s="64"/>
      <c r="T124" s="64"/>
      <c r="U124" s="64"/>
      <c r="V124" s="64"/>
      <c r="W124" s="64"/>
      <c r="X124" s="64"/>
      <c r="Y124" s="64"/>
      <c r="Z124" s="64"/>
    </row>
    <row r="125" spans="1:26" ht="12.75" customHeight="1" x14ac:dyDescent="0.25">
      <c r="A125" s="64"/>
      <c r="B125" s="64"/>
      <c r="C125" s="64"/>
      <c r="D125" s="64"/>
      <c r="E125" s="64"/>
      <c r="F125" s="64"/>
      <c r="G125" s="64"/>
      <c r="H125" s="64"/>
      <c r="I125" s="64"/>
      <c r="J125" s="64"/>
      <c r="K125" s="64"/>
      <c r="L125" s="64"/>
      <c r="M125" s="64"/>
      <c r="N125" s="64"/>
      <c r="O125" s="64"/>
      <c r="P125" s="64"/>
      <c r="Q125" s="64"/>
      <c r="R125" s="64"/>
      <c r="S125" s="64"/>
      <c r="T125" s="64"/>
      <c r="U125" s="64"/>
      <c r="V125" s="64"/>
      <c r="W125" s="64"/>
      <c r="X125" s="64"/>
      <c r="Y125" s="64"/>
      <c r="Z125" s="64"/>
    </row>
    <row r="126" spans="1:26" ht="12.75" customHeight="1" x14ac:dyDescent="0.25">
      <c r="A126" s="64"/>
      <c r="B126" s="64"/>
      <c r="C126" s="64"/>
      <c r="D126" s="64"/>
      <c r="E126" s="64"/>
      <c r="F126" s="64"/>
      <c r="G126" s="64"/>
      <c r="H126" s="64"/>
      <c r="I126" s="64"/>
      <c r="J126" s="64"/>
      <c r="K126" s="64"/>
      <c r="L126" s="64"/>
      <c r="M126" s="64"/>
      <c r="N126" s="64"/>
      <c r="O126" s="64"/>
      <c r="P126" s="64"/>
      <c r="Q126" s="64"/>
      <c r="R126" s="64"/>
      <c r="S126" s="64"/>
      <c r="T126" s="64"/>
      <c r="U126" s="64"/>
      <c r="V126" s="64"/>
      <c r="W126" s="64"/>
      <c r="X126" s="64"/>
      <c r="Y126" s="64"/>
      <c r="Z126" s="64"/>
    </row>
    <row r="127" spans="1:26" ht="12.75" customHeight="1" x14ac:dyDescent="0.25">
      <c r="A127" s="64"/>
      <c r="B127" s="64"/>
      <c r="C127" s="64"/>
      <c r="D127" s="64"/>
      <c r="E127" s="64"/>
      <c r="F127" s="64"/>
      <c r="G127" s="64"/>
      <c r="H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X127" s="64"/>
      <c r="Y127" s="64"/>
      <c r="Z127" s="64"/>
    </row>
    <row r="128" spans="1:26" ht="12.75" customHeight="1" x14ac:dyDescent="0.25">
      <c r="A128" s="64"/>
      <c r="B128" s="64"/>
      <c r="C128" s="64"/>
      <c r="D128" s="64"/>
      <c r="E128" s="64"/>
      <c r="F128" s="64"/>
      <c r="G128" s="64"/>
      <c r="H128" s="64"/>
      <c r="I128" s="64"/>
      <c r="J128" s="64"/>
      <c r="K128" s="64"/>
      <c r="L128" s="64"/>
      <c r="M128" s="64"/>
      <c r="N128" s="64"/>
      <c r="O128" s="64"/>
      <c r="P128" s="64"/>
      <c r="Q128" s="64"/>
      <c r="R128" s="64"/>
      <c r="S128" s="64"/>
      <c r="T128" s="64"/>
      <c r="U128" s="64"/>
      <c r="V128" s="64"/>
      <c r="W128" s="64"/>
      <c r="X128" s="64"/>
      <c r="Y128" s="64"/>
      <c r="Z128" s="64"/>
    </row>
    <row r="129" spans="1:26" ht="12.75" customHeight="1" x14ac:dyDescent="0.25">
      <c r="A129" s="64"/>
      <c r="B129" s="64"/>
      <c r="C129" s="64"/>
      <c r="D129" s="64"/>
      <c r="E129" s="64"/>
      <c r="F129" s="64"/>
      <c r="G129" s="64"/>
      <c r="H129" s="64"/>
      <c r="I129" s="64"/>
      <c r="J129" s="64"/>
      <c r="K129" s="64"/>
      <c r="L129" s="64"/>
      <c r="M129" s="64"/>
      <c r="N129" s="64"/>
      <c r="O129" s="64"/>
      <c r="P129" s="64"/>
      <c r="Q129" s="64"/>
      <c r="R129" s="64"/>
      <c r="S129" s="64"/>
      <c r="T129" s="64"/>
      <c r="U129" s="64"/>
      <c r="V129" s="64"/>
      <c r="W129" s="64"/>
      <c r="X129" s="64"/>
      <c r="Y129" s="64"/>
      <c r="Z129" s="64"/>
    </row>
    <row r="130" spans="1:26" ht="12.75" customHeight="1" x14ac:dyDescent="0.25">
      <c r="A130" s="64"/>
      <c r="B130" s="64"/>
      <c r="C130" s="64"/>
      <c r="D130" s="64"/>
      <c r="E130" s="64"/>
      <c r="F130" s="64"/>
      <c r="G130" s="64"/>
      <c r="H130" s="64"/>
      <c r="I130" s="64"/>
      <c r="J130" s="64"/>
      <c r="K130" s="64"/>
      <c r="L130" s="64"/>
      <c r="M130" s="64"/>
      <c r="N130" s="64"/>
      <c r="O130" s="64"/>
      <c r="P130" s="64"/>
      <c r="Q130" s="64"/>
      <c r="R130" s="64"/>
      <c r="S130" s="64"/>
      <c r="T130" s="64"/>
      <c r="U130" s="64"/>
      <c r="V130" s="64"/>
      <c r="W130" s="64"/>
      <c r="X130" s="64"/>
      <c r="Y130" s="64"/>
      <c r="Z130" s="64"/>
    </row>
    <row r="131" spans="1:26" ht="12.75" customHeight="1" x14ac:dyDescent="0.25">
      <c r="A131" s="64"/>
      <c r="B131" s="64"/>
      <c r="C131" s="64"/>
      <c r="D131" s="64"/>
      <c r="E131" s="64"/>
      <c r="F131" s="64"/>
      <c r="G131" s="64"/>
      <c r="H131" s="64"/>
      <c r="I131" s="64"/>
      <c r="J131" s="64"/>
      <c r="K131" s="64"/>
      <c r="L131" s="64"/>
      <c r="M131" s="64"/>
      <c r="N131" s="64"/>
      <c r="O131" s="64"/>
      <c r="P131" s="64"/>
      <c r="Q131" s="64"/>
      <c r="R131" s="64"/>
      <c r="S131" s="64"/>
      <c r="T131" s="64"/>
      <c r="U131" s="64"/>
      <c r="V131" s="64"/>
      <c r="W131" s="64"/>
      <c r="X131" s="64"/>
      <c r="Y131" s="64"/>
      <c r="Z131" s="64"/>
    </row>
    <row r="132" spans="1:26" ht="12.75" customHeight="1" x14ac:dyDescent="0.25">
      <c r="A132" s="64"/>
      <c r="B132" s="64"/>
      <c r="C132" s="64"/>
      <c r="D132" s="64"/>
      <c r="E132" s="64"/>
      <c r="F132" s="64"/>
      <c r="G132" s="64"/>
      <c r="H132" s="64"/>
      <c r="I132" s="64"/>
      <c r="J132" s="64"/>
      <c r="K132" s="64"/>
      <c r="L132" s="64"/>
      <c r="M132" s="64"/>
      <c r="N132" s="64"/>
      <c r="O132" s="64"/>
      <c r="P132" s="64"/>
      <c r="Q132" s="64"/>
      <c r="R132" s="64"/>
      <c r="S132" s="64"/>
      <c r="T132" s="64"/>
      <c r="U132" s="64"/>
      <c r="V132" s="64"/>
      <c r="W132" s="64"/>
      <c r="X132" s="64"/>
      <c r="Y132" s="64"/>
      <c r="Z132" s="64"/>
    </row>
    <row r="133" spans="1:26" ht="12.75" customHeight="1" x14ac:dyDescent="0.25">
      <c r="A133" s="64"/>
      <c r="B133" s="64"/>
      <c r="C133" s="64"/>
      <c r="D133" s="64"/>
      <c r="E133" s="64"/>
      <c r="F133" s="64"/>
      <c r="G133" s="64"/>
      <c r="H133" s="64"/>
      <c r="I133" s="64"/>
      <c r="J133" s="64"/>
      <c r="K133" s="64"/>
      <c r="L133" s="64"/>
      <c r="M133" s="64"/>
      <c r="N133" s="64"/>
      <c r="O133" s="64"/>
      <c r="P133" s="64"/>
      <c r="Q133" s="64"/>
      <c r="R133" s="64"/>
      <c r="S133" s="64"/>
      <c r="T133" s="64"/>
      <c r="U133" s="64"/>
      <c r="V133" s="64"/>
      <c r="W133" s="64"/>
      <c r="X133" s="64"/>
      <c r="Y133" s="64"/>
      <c r="Z133" s="64"/>
    </row>
    <row r="134" spans="1:26" ht="12.75" customHeight="1" x14ac:dyDescent="0.25">
      <c r="A134" s="64"/>
      <c r="B134" s="64"/>
      <c r="C134" s="64"/>
      <c r="D134" s="64"/>
      <c r="E134" s="64"/>
      <c r="F134" s="64"/>
      <c r="G134" s="64"/>
      <c r="H134" s="64"/>
      <c r="I134" s="64"/>
      <c r="J134" s="64"/>
      <c r="K134" s="64"/>
      <c r="L134" s="64"/>
      <c r="M134" s="64"/>
      <c r="N134" s="64"/>
      <c r="O134" s="64"/>
      <c r="P134" s="64"/>
      <c r="Q134" s="64"/>
      <c r="R134" s="64"/>
      <c r="S134" s="64"/>
      <c r="T134" s="64"/>
      <c r="U134" s="64"/>
      <c r="V134" s="64"/>
      <c r="W134" s="64"/>
      <c r="X134" s="64"/>
      <c r="Y134" s="64"/>
      <c r="Z134" s="64"/>
    </row>
    <row r="135" spans="1:26" ht="12.75" customHeight="1" x14ac:dyDescent="0.25">
      <c r="A135" s="64"/>
      <c r="B135" s="64"/>
      <c r="C135" s="64"/>
      <c r="D135" s="64"/>
      <c r="E135" s="64"/>
      <c r="F135" s="64"/>
      <c r="G135" s="64"/>
      <c r="H135" s="64"/>
      <c r="I135" s="64"/>
      <c r="J135" s="64"/>
      <c r="K135" s="64"/>
      <c r="L135" s="64"/>
      <c r="M135" s="64"/>
      <c r="N135" s="64"/>
      <c r="O135" s="64"/>
      <c r="P135" s="64"/>
      <c r="Q135" s="64"/>
      <c r="R135" s="64"/>
      <c r="S135" s="64"/>
      <c r="T135" s="64"/>
      <c r="U135" s="64"/>
      <c r="V135" s="64"/>
      <c r="W135" s="64"/>
      <c r="X135" s="64"/>
      <c r="Y135" s="64"/>
      <c r="Z135" s="64"/>
    </row>
    <row r="136" spans="1:26" ht="12.75" customHeight="1" x14ac:dyDescent="0.25">
      <c r="A136" s="64"/>
      <c r="B136" s="64"/>
      <c r="C136" s="64"/>
      <c r="D136" s="64"/>
      <c r="E136" s="64"/>
      <c r="F136" s="64"/>
      <c r="G136" s="64"/>
      <c r="H136" s="64"/>
      <c r="I136" s="64"/>
      <c r="J136" s="64"/>
      <c r="K136" s="64"/>
      <c r="L136" s="64"/>
      <c r="M136" s="64"/>
      <c r="N136" s="64"/>
      <c r="O136" s="64"/>
      <c r="P136" s="64"/>
      <c r="Q136" s="64"/>
      <c r="R136" s="64"/>
      <c r="S136" s="64"/>
      <c r="T136" s="64"/>
      <c r="U136" s="64"/>
      <c r="V136" s="64"/>
      <c r="W136" s="64"/>
      <c r="X136" s="64"/>
      <c r="Y136" s="64"/>
      <c r="Z136" s="64"/>
    </row>
    <row r="137" spans="1:26" ht="12.75" customHeight="1" x14ac:dyDescent="0.25">
      <c r="A137" s="64"/>
      <c r="B137" s="64"/>
      <c r="C137" s="64"/>
      <c r="D137" s="64"/>
      <c r="E137" s="64"/>
      <c r="F137" s="64"/>
      <c r="G137" s="64"/>
      <c r="H137" s="64"/>
      <c r="I137" s="64"/>
      <c r="J137" s="64"/>
      <c r="K137" s="64"/>
      <c r="L137" s="64"/>
      <c r="M137" s="64"/>
      <c r="N137" s="64"/>
      <c r="O137" s="64"/>
      <c r="P137" s="64"/>
      <c r="Q137" s="64"/>
      <c r="R137" s="64"/>
      <c r="S137" s="64"/>
      <c r="T137" s="64"/>
      <c r="U137" s="64"/>
      <c r="V137" s="64"/>
      <c r="W137" s="64"/>
      <c r="X137" s="64"/>
      <c r="Y137" s="64"/>
      <c r="Z137" s="64"/>
    </row>
    <row r="138" spans="1:26" ht="12.75" customHeight="1" x14ac:dyDescent="0.25">
      <c r="A138" s="64"/>
      <c r="B138" s="64"/>
      <c r="C138" s="64"/>
      <c r="D138" s="64"/>
      <c r="E138" s="64"/>
      <c r="F138" s="64"/>
      <c r="G138" s="64"/>
      <c r="H138" s="64"/>
      <c r="I138" s="64"/>
      <c r="J138" s="64"/>
      <c r="K138" s="64"/>
      <c r="L138" s="64"/>
      <c r="M138" s="64"/>
      <c r="N138" s="64"/>
      <c r="O138" s="64"/>
      <c r="P138" s="64"/>
      <c r="Q138" s="64"/>
      <c r="R138" s="64"/>
      <c r="S138" s="64"/>
      <c r="T138" s="64"/>
      <c r="U138" s="64"/>
      <c r="V138" s="64"/>
      <c r="W138" s="64"/>
      <c r="X138" s="64"/>
      <c r="Y138" s="64"/>
      <c r="Z138" s="64"/>
    </row>
    <row r="139" spans="1:26" ht="12.75" customHeight="1" x14ac:dyDescent="0.25">
      <c r="A139" s="64"/>
      <c r="B139" s="64"/>
      <c r="C139" s="64"/>
      <c r="D139" s="64"/>
      <c r="E139" s="64"/>
      <c r="F139" s="64"/>
      <c r="G139" s="64"/>
      <c r="H139" s="64"/>
      <c r="I139" s="64"/>
      <c r="J139" s="64"/>
      <c r="K139" s="64"/>
      <c r="L139" s="64"/>
      <c r="M139" s="64"/>
      <c r="N139" s="64"/>
      <c r="O139" s="64"/>
      <c r="P139" s="64"/>
      <c r="Q139" s="64"/>
      <c r="R139" s="64"/>
      <c r="S139" s="64"/>
      <c r="T139" s="64"/>
      <c r="U139" s="64"/>
      <c r="V139" s="64"/>
      <c r="W139" s="64"/>
      <c r="X139" s="64"/>
      <c r="Y139" s="64"/>
      <c r="Z139" s="64"/>
    </row>
    <row r="140" spans="1:26" ht="12.75" customHeight="1" x14ac:dyDescent="0.25">
      <c r="A140" s="64"/>
      <c r="B140" s="64"/>
      <c r="C140" s="64"/>
      <c r="D140" s="64"/>
      <c r="E140" s="64"/>
      <c r="F140" s="64"/>
      <c r="G140" s="64"/>
      <c r="H140" s="64"/>
      <c r="I140" s="64"/>
      <c r="J140" s="64"/>
      <c r="K140" s="64"/>
      <c r="L140" s="64"/>
      <c r="M140" s="64"/>
      <c r="N140" s="64"/>
      <c r="O140" s="64"/>
      <c r="P140" s="64"/>
      <c r="Q140" s="64"/>
      <c r="R140" s="64"/>
      <c r="S140" s="64"/>
      <c r="T140" s="64"/>
      <c r="U140" s="64"/>
      <c r="V140" s="64"/>
      <c r="W140" s="64"/>
      <c r="X140" s="64"/>
      <c r="Y140" s="64"/>
      <c r="Z140" s="64"/>
    </row>
    <row r="141" spans="1:26" ht="12.75" customHeight="1" x14ac:dyDescent="0.25">
      <c r="A141" s="64"/>
      <c r="B141" s="64"/>
      <c r="C141" s="64"/>
      <c r="D141" s="64"/>
      <c r="E141" s="64"/>
      <c r="F141" s="64"/>
      <c r="G141" s="64"/>
      <c r="H141" s="64"/>
      <c r="I141" s="64"/>
      <c r="J141" s="64"/>
      <c r="K141" s="64"/>
      <c r="L141" s="64"/>
      <c r="M141" s="64"/>
      <c r="N141" s="64"/>
      <c r="O141" s="64"/>
      <c r="P141" s="64"/>
      <c r="Q141" s="64"/>
      <c r="R141" s="64"/>
      <c r="S141" s="64"/>
      <c r="T141" s="64"/>
      <c r="U141" s="64"/>
      <c r="V141" s="64"/>
      <c r="W141" s="64"/>
      <c r="X141" s="64"/>
      <c r="Y141" s="64"/>
      <c r="Z141" s="64"/>
    </row>
    <row r="142" spans="1:26" ht="12.75" customHeight="1" x14ac:dyDescent="0.25">
      <c r="A142" s="64"/>
      <c r="B142" s="64"/>
      <c r="C142" s="64"/>
      <c r="D142" s="64"/>
      <c r="E142" s="64"/>
      <c r="F142" s="64"/>
      <c r="G142" s="64"/>
      <c r="H142" s="64"/>
      <c r="I142" s="64"/>
      <c r="J142" s="64"/>
      <c r="K142" s="64"/>
      <c r="L142" s="64"/>
      <c r="M142" s="64"/>
      <c r="N142" s="64"/>
      <c r="O142" s="64"/>
      <c r="P142" s="64"/>
      <c r="Q142" s="64"/>
      <c r="R142" s="64"/>
      <c r="S142" s="64"/>
      <c r="T142" s="64"/>
      <c r="U142" s="64"/>
      <c r="V142" s="64"/>
      <c r="W142" s="64"/>
      <c r="X142" s="64"/>
      <c r="Y142" s="64"/>
      <c r="Z142" s="64"/>
    </row>
    <row r="143" spans="1:26" ht="12.75" customHeight="1" x14ac:dyDescent="0.25">
      <c r="A143" s="64"/>
      <c r="B143" s="64"/>
      <c r="C143" s="64"/>
      <c r="D143" s="64"/>
      <c r="E143" s="64"/>
      <c r="F143" s="64"/>
      <c r="G143" s="64"/>
      <c r="H143" s="64"/>
      <c r="I143" s="64"/>
      <c r="J143" s="64"/>
      <c r="K143" s="64"/>
      <c r="L143" s="64"/>
      <c r="M143" s="64"/>
      <c r="N143" s="64"/>
      <c r="O143" s="64"/>
      <c r="P143" s="64"/>
      <c r="Q143" s="64"/>
      <c r="R143" s="64"/>
      <c r="S143" s="64"/>
      <c r="T143" s="64"/>
      <c r="U143" s="64"/>
      <c r="V143" s="64"/>
      <c r="W143" s="64"/>
      <c r="X143" s="64"/>
      <c r="Y143" s="64"/>
      <c r="Z143" s="64"/>
    </row>
    <row r="144" spans="1:26" ht="12.75" customHeight="1" x14ac:dyDescent="0.25">
      <c r="A144" s="64"/>
      <c r="B144" s="64"/>
      <c r="C144" s="64"/>
      <c r="D144" s="64"/>
      <c r="E144" s="64"/>
      <c r="F144" s="64"/>
      <c r="G144" s="64"/>
      <c r="H144" s="64"/>
      <c r="I144" s="64"/>
      <c r="J144" s="64"/>
      <c r="K144" s="64"/>
      <c r="L144" s="64"/>
      <c r="M144" s="64"/>
      <c r="N144" s="64"/>
      <c r="O144" s="64"/>
      <c r="P144" s="64"/>
      <c r="Q144" s="64"/>
      <c r="R144" s="64"/>
      <c r="S144" s="64"/>
      <c r="T144" s="64"/>
      <c r="U144" s="64"/>
      <c r="V144" s="64"/>
      <c r="W144" s="64"/>
      <c r="X144" s="64"/>
      <c r="Y144" s="64"/>
      <c r="Z144" s="64"/>
    </row>
    <row r="145" spans="1:26" ht="12.75" customHeight="1" x14ac:dyDescent="0.25">
      <c r="A145" s="64"/>
      <c r="B145" s="64"/>
      <c r="C145" s="64"/>
      <c r="D145" s="64"/>
      <c r="E145" s="64"/>
      <c r="F145" s="64"/>
      <c r="G145" s="64"/>
      <c r="H145" s="64"/>
      <c r="I145" s="64"/>
      <c r="J145" s="64"/>
      <c r="K145" s="64"/>
      <c r="L145" s="64"/>
      <c r="M145" s="64"/>
      <c r="N145" s="64"/>
      <c r="O145" s="64"/>
      <c r="P145" s="64"/>
      <c r="Q145" s="64"/>
      <c r="R145" s="64"/>
      <c r="S145" s="64"/>
      <c r="T145" s="64"/>
      <c r="U145" s="64"/>
      <c r="V145" s="64"/>
      <c r="W145" s="64"/>
      <c r="X145" s="64"/>
      <c r="Y145" s="64"/>
      <c r="Z145" s="64"/>
    </row>
    <row r="146" spans="1:26" ht="12.75" customHeight="1" x14ac:dyDescent="0.25">
      <c r="A146" s="64"/>
      <c r="B146" s="64"/>
      <c r="C146" s="64"/>
      <c r="D146" s="64"/>
      <c r="E146" s="64"/>
      <c r="F146" s="64"/>
      <c r="G146" s="64"/>
      <c r="H146" s="64"/>
      <c r="I146" s="64"/>
      <c r="J146" s="64"/>
      <c r="K146" s="64"/>
      <c r="L146" s="64"/>
      <c r="M146" s="64"/>
      <c r="N146" s="64"/>
      <c r="O146" s="64"/>
      <c r="P146" s="64"/>
      <c r="Q146" s="64"/>
      <c r="R146" s="64"/>
      <c r="S146" s="64"/>
      <c r="T146" s="64"/>
      <c r="U146" s="64"/>
      <c r="V146" s="64"/>
      <c r="W146" s="64"/>
      <c r="X146" s="64"/>
      <c r="Y146" s="64"/>
      <c r="Z146" s="64"/>
    </row>
    <row r="147" spans="1:26" ht="12.75" customHeight="1" x14ac:dyDescent="0.25">
      <c r="A147" s="64"/>
      <c r="B147" s="64"/>
      <c r="C147" s="64"/>
      <c r="D147" s="64"/>
      <c r="E147" s="64"/>
      <c r="F147" s="64"/>
      <c r="G147" s="64"/>
      <c r="H147" s="64"/>
      <c r="I147" s="64"/>
      <c r="J147" s="64"/>
      <c r="K147" s="64"/>
      <c r="L147" s="64"/>
      <c r="M147" s="64"/>
      <c r="N147" s="64"/>
      <c r="O147" s="64"/>
      <c r="P147" s="64"/>
      <c r="Q147" s="64"/>
      <c r="R147" s="64"/>
      <c r="S147" s="64"/>
      <c r="T147" s="64"/>
      <c r="U147" s="64"/>
      <c r="V147" s="64"/>
      <c r="W147" s="64"/>
      <c r="X147" s="64"/>
      <c r="Y147" s="64"/>
      <c r="Z147" s="64"/>
    </row>
    <row r="148" spans="1:26" ht="12.75" customHeight="1" x14ac:dyDescent="0.25">
      <c r="A148" s="64"/>
      <c r="B148" s="64"/>
      <c r="C148" s="64"/>
      <c r="D148" s="64"/>
      <c r="E148" s="64"/>
      <c r="F148" s="64"/>
      <c r="G148" s="64"/>
      <c r="H148" s="64"/>
      <c r="I148" s="64"/>
      <c r="J148" s="64"/>
      <c r="K148" s="64"/>
      <c r="L148" s="64"/>
      <c r="M148" s="64"/>
      <c r="N148" s="64"/>
      <c r="O148" s="64"/>
      <c r="P148" s="64"/>
      <c r="Q148" s="64"/>
      <c r="R148" s="64"/>
      <c r="S148" s="64"/>
      <c r="T148" s="64"/>
      <c r="U148" s="64"/>
      <c r="V148" s="64"/>
      <c r="W148" s="64"/>
      <c r="X148" s="64"/>
      <c r="Y148" s="64"/>
      <c r="Z148" s="64"/>
    </row>
    <row r="149" spans="1:26" ht="12.75" customHeight="1" x14ac:dyDescent="0.25">
      <c r="A149" s="64"/>
      <c r="B149" s="64"/>
      <c r="C149" s="64"/>
      <c r="D149" s="64"/>
      <c r="E149" s="64"/>
      <c r="F149" s="64"/>
      <c r="G149" s="64"/>
      <c r="H149" s="64"/>
      <c r="I149" s="64"/>
      <c r="J149" s="64"/>
      <c r="K149" s="64"/>
      <c r="L149" s="64"/>
      <c r="M149" s="64"/>
      <c r="N149" s="64"/>
      <c r="O149" s="64"/>
      <c r="P149" s="64"/>
      <c r="Q149" s="64"/>
      <c r="R149" s="64"/>
      <c r="S149" s="64"/>
      <c r="T149" s="64"/>
      <c r="U149" s="64"/>
      <c r="V149" s="64"/>
      <c r="W149" s="64"/>
      <c r="X149" s="64"/>
      <c r="Y149" s="64"/>
      <c r="Z149" s="64"/>
    </row>
    <row r="150" spans="1:26" ht="12.75" customHeight="1" x14ac:dyDescent="0.25">
      <c r="A150" s="64"/>
      <c r="B150" s="64"/>
      <c r="C150" s="64"/>
      <c r="D150" s="64"/>
      <c r="E150" s="64"/>
      <c r="F150" s="64"/>
      <c r="G150" s="64"/>
      <c r="H150" s="64"/>
      <c r="I150" s="64"/>
      <c r="J150" s="64"/>
      <c r="K150" s="64"/>
      <c r="L150" s="64"/>
      <c r="M150" s="64"/>
      <c r="N150" s="64"/>
      <c r="O150" s="64"/>
      <c r="P150" s="64"/>
      <c r="Q150" s="64"/>
      <c r="R150" s="64"/>
      <c r="S150" s="64"/>
      <c r="T150" s="64"/>
      <c r="U150" s="64"/>
      <c r="V150" s="64"/>
      <c r="W150" s="64"/>
      <c r="X150" s="64"/>
      <c r="Y150" s="64"/>
      <c r="Z150" s="64"/>
    </row>
    <row r="151" spans="1:26" ht="12.75" customHeight="1" x14ac:dyDescent="0.25">
      <c r="A151" s="64"/>
      <c r="B151" s="64"/>
      <c r="C151" s="64"/>
      <c r="D151" s="64"/>
      <c r="E151" s="64"/>
      <c r="F151" s="64"/>
      <c r="G151" s="64"/>
      <c r="H151" s="64"/>
      <c r="I151" s="64"/>
      <c r="J151" s="64"/>
      <c r="K151" s="64"/>
      <c r="L151" s="64"/>
      <c r="M151" s="64"/>
      <c r="N151" s="64"/>
      <c r="O151" s="64"/>
      <c r="P151" s="64"/>
      <c r="Q151" s="64"/>
      <c r="R151" s="64"/>
      <c r="S151" s="64"/>
      <c r="T151" s="64"/>
      <c r="U151" s="64"/>
      <c r="V151" s="64"/>
      <c r="W151" s="64"/>
      <c r="X151" s="64"/>
      <c r="Y151" s="64"/>
      <c r="Z151" s="64"/>
    </row>
    <row r="152" spans="1:26" ht="12.75" customHeight="1" x14ac:dyDescent="0.25">
      <c r="A152" s="64"/>
      <c r="B152" s="64"/>
      <c r="C152" s="64"/>
      <c r="D152" s="64"/>
      <c r="E152" s="64"/>
      <c r="F152" s="64"/>
      <c r="G152" s="64"/>
      <c r="H152" s="64"/>
      <c r="I152" s="64"/>
      <c r="J152" s="64"/>
      <c r="K152" s="64"/>
      <c r="L152" s="64"/>
      <c r="M152" s="64"/>
      <c r="N152" s="64"/>
      <c r="O152" s="64"/>
      <c r="P152" s="64"/>
      <c r="Q152" s="64"/>
      <c r="R152" s="64"/>
      <c r="S152" s="64"/>
      <c r="T152" s="64"/>
      <c r="U152" s="64"/>
      <c r="V152" s="64"/>
      <c r="W152" s="64"/>
      <c r="X152" s="64"/>
      <c r="Y152" s="64"/>
      <c r="Z152" s="64"/>
    </row>
    <row r="153" spans="1:26" ht="12.75" customHeight="1" x14ac:dyDescent="0.25">
      <c r="A153" s="64"/>
      <c r="B153" s="64"/>
      <c r="C153" s="64"/>
      <c r="D153" s="64"/>
      <c r="E153" s="64"/>
      <c r="F153" s="64"/>
      <c r="G153" s="64"/>
      <c r="H153" s="64"/>
      <c r="I153" s="64"/>
      <c r="J153" s="64"/>
      <c r="K153" s="64"/>
      <c r="L153" s="64"/>
      <c r="M153" s="64"/>
      <c r="N153" s="64"/>
      <c r="O153" s="64"/>
      <c r="P153" s="64"/>
      <c r="Q153" s="64"/>
      <c r="R153" s="64"/>
      <c r="S153" s="64"/>
      <c r="T153" s="64"/>
      <c r="U153" s="64"/>
      <c r="V153" s="64"/>
      <c r="W153" s="64"/>
      <c r="X153" s="64"/>
      <c r="Y153" s="64"/>
      <c r="Z153" s="64"/>
    </row>
    <row r="154" spans="1:26" ht="12.75" customHeight="1" x14ac:dyDescent="0.25">
      <c r="A154" s="64"/>
      <c r="B154" s="64"/>
      <c r="C154" s="64"/>
      <c r="D154" s="64"/>
      <c r="E154" s="64"/>
      <c r="F154" s="64"/>
      <c r="G154" s="64"/>
      <c r="H154" s="64"/>
      <c r="I154" s="64"/>
      <c r="J154" s="64"/>
      <c r="K154" s="64"/>
      <c r="L154" s="64"/>
      <c r="M154" s="64"/>
      <c r="N154" s="64"/>
      <c r="O154" s="64"/>
      <c r="P154" s="64"/>
      <c r="Q154" s="64"/>
      <c r="R154" s="64"/>
      <c r="S154" s="64"/>
      <c r="T154" s="64"/>
      <c r="U154" s="64"/>
      <c r="V154" s="64"/>
      <c r="W154" s="64"/>
      <c r="X154" s="64"/>
      <c r="Y154" s="64"/>
      <c r="Z154" s="64"/>
    </row>
    <row r="155" spans="1:26" ht="12.75" customHeight="1" x14ac:dyDescent="0.25">
      <c r="A155" s="64"/>
      <c r="B155" s="64"/>
      <c r="C155" s="64"/>
      <c r="D155" s="64"/>
      <c r="E155" s="64"/>
      <c r="F155" s="64"/>
      <c r="G155" s="64"/>
      <c r="H155" s="64"/>
      <c r="I155" s="64"/>
      <c r="J155" s="64"/>
      <c r="K155" s="64"/>
      <c r="L155" s="64"/>
      <c r="M155" s="64"/>
      <c r="N155" s="64"/>
      <c r="O155" s="64"/>
      <c r="P155" s="64"/>
      <c r="Q155" s="64"/>
      <c r="R155" s="64"/>
      <c r="S155" s="64"/>
      <c r="T155" s="64"/>
      <c r="U155" s="64"/>
      <c r="V155" s="64"/>
      <c r="W155" s="64"/>
      <c r="X155" s="64"/>
      <c r="Y155" s="64"/>
      <c r="Z155" s="64"/>
    </row>
    <row r="156" spans="1:26" ht="12.75" customHeight="1" x14ac:dyDescent="0.25">
      <c r="A156" s="64"/>
      <c r="B156" s="64"/>
      <c r="C156" s="64"/>
      <c r="D156" s="64"/>
      <c r="E156" s="64"/>
      <c r="F156" s="64"/>
      <c r="G156" s="64"/>
      <c r="H156" s="64"/>
      <c r="I156" s="64"/>
      <c r="J156" s="64"/>
      <c r="K156" s="64"/>
      <c r="L156" s="64"/>
      <c r="M156" s="64"/>
      <c r="N156" s="64"/>
      <c r="O156" s="64"/>
      <c r="P156" s="64"/>
      <c r="Q156" s="64"/>
      <c r="R156" s="64"/>
      <c r="S156" s="64"/>
      <c r="T156" s="64"/>
      <c r="U156" s="64"/>
      <c r="V156" s="64"/>
      <c r="W156" s="64"/>
      <c r="X156" s="64"/>
      <c r="Y156" s="64"/>
      <c r="Z156" s="64"/>
    </row>
    <row r="157" spans="1:26" ht="12.75" customHeight="1" x14ac:dyDescent="0.25">
      <c r="A157" s="64"/>
      <c r="B157" s="64"/>
      <c r="C157" s="64"/>
      <c r="D157" s="64"/>
      <c r="E157" s="64"/>
      <c r="F157" s="64"/>
      <c r="G157" s="64"/>
      <c r="H157" s="64"/>
      <c r="I157" s="64"/>
      <c r="J157" s="64"/>
      <c r="K157" s="64"/>
      <c r="L157" s="64"/>
      <c r="M157" s="64"/>
      <c r="N157" s="64"/>
      <c r="O157" s="64"/>
      <c r="P157" s="64"/>
      <c r="Q157" s="64"/>
      <c r="R157" s="64"/>
      <c r="S157" s="64"/>
      <c r="T157" s="64"/>
      <c r="U157" s="64"/>
      <c r="V157" s="64"/>
      <c r="W157" s="64"/>
      <c r="X157" s="64"/>
      <c r="Y157" s="64"/>
      <c r="Z157" s="64"/>
    </row>
    <row r="158" spans="1:26" ht="12.75" customHeight="1" x14ac:dyDescent="0.25">
      <c r="A158" s="64"/>
      <c r="B158" s="64"/>
      <c r="C158" s="64"/>
      <c r="D158" s="64"/>
      <c r="E158" s="64"/>
      <c r="F158" s="64"/>
      <c r="G158" s="64"/>
      <c r="H158" s="64"/>
      <c r="I158" s="64"/>
      <c r="J158" s="64"/>
      <c r="K158" s="64"/>
      <c r="L158" s="64"/>
      <c r="M158" s="64"/>
      <c r="N158" s="64"/>
      <c r="O158" s="64"/>
      <c r="P158" s="64"/>
      <c r="Q158" s="64"/>
      <c r="R158" s="64"/>
      <c r="S158" s="64"/>
      <c r="T158" s="64"/>
      <c r="U158" s="64"/>
      <c r="V158" s="64"/>
      <c r="W158" s="64"/>
      <c r="X158" s="64"/>
      <c r="Y158" s="64"/>
      <c r="Z158" s="64"/>
    </row>
    <row r="159" spans="1:26" ht="12.75" customHeight="1" x14ac:dyDescent="0.25">
      <c r="A159" s="64"/>
      <c r="B159" s="64"/>
      <c r="C159" s="64"/>
      <c r="D159" s="64"/>
      <c r="E159" s="64"/>
      <c r="F159" s="64"/>
      <c r="G159" s="64"/>
      <c r="H159" s="64"/>
      <c r="I159" s="64"/>
      <c r="J159" s="64"/>
      <c r="K159" s="64"/>
      <c r="L159" s="64"/>
      <c r="M159" s="64"/>
      <c r="N159" s="64"/>
      <c r="O159" s="64"/>
      <c r="P159" s="64"/>
      <c r="Q159" s="64"/>
      <c r="R159" s="64"/>
      <c r="S159" s="64"/>
      <c r="T159" s="64"/>
      <c r="U159" s="64"/>
      <c r="V159" s="64"/>
      <c r="W159" s="64"/>
      <c r="X159" s="64"/>
      <c r="Y159" s="64"/>
      <c r="Z159" s="64"/>
    </row>
    <row r="160" spans="1:26" ht="12.75" customHeight="1" x14ac:dyDescent="0.25">
      <c r="A160" s="64"/>
      <c r="B160" s="64"/>
      <c r="C160" s="64"/>
      <c r="D160" s="64"/>
      <c r="E160" s="64"/>
      <c r="F160" s="64"/>
      <c r="G160" s="64"/>
      <c r="H160" s="64"/>
      <c r="I160" s="64"/>
      <c r="J160" s="64"/>
      <c r="K160" s="64"/>
      <c r="L160" s="64"/>
      <c r="M160" s="64"/>
      <c r="N160" s="64"/>
      <c r="O160" s="64"/>
      <c r="P160" s="64"/>
      <c r="Q160" s="64"/>
      <c r="R160" s="64"/>
      <c r="S160" s="64"/>
      <c r="T160" s="64"/>
      <c r="U160" s="64"/>
      <c r="V160" s="64"/>
      <c r="W160" s="64"/>
      <c r="X160" s="64"/>
      <c r="Y160" s="64"/>
      <c r="Z160" s="64"/>
    </row>
    <row r="161" spans="1:26" ht="12.75" customHeight="1" x14ac:dyDescent="0.25">
      <c r="A161" s="64"/>
      <c r="B161" s="64"/>
      <c r="C161" s="64"/>
      <c r="D161" s="64"/>
      <c r="E161" s="64"/>
      <c r="F161" s="64"/>
      <c r="G161" s="64"/>
      <c r="H161" s="64"/>
      <c r="I161" s="64"/>
      <c r="J161" s="64"/>
      <c r="K161" s="64"/>
      <c r="L161" s="64"/>
      <c r="M161" s="64"/>
      <c r="N161" s="64"/>
      <c r="O161" s="64"/>
      <c r="P161" s="64"/>
      <c r="Q161" s="64"/>
      <c r="R161" s="64"/>
      <c r="S161" s="64"/>
      <c r="T161" s="64"/>
      <c r="U161" s="64"/>
      <c r="V161" s="64"/>
      <c r="W161" s="64"/>
      <c r="X161" s="64"/>
      <c r="Y161" s="64"/>
      <c r="Z161" s="64"/>
    </row>
    <row r="162" spans="1:26" ht="12.75" customHeight="1" x14ac:dyDescent="0.25">
      <c r="A162" s="64"/>
      <c r="B162" s="64"/>
      <c r="C162" s="64"/>
      <c r="D162" s="64"/>
      <c r="E162" s="64"/>
      <c r="F162" s="64"/>
      <c r="G162" s="64"/>
      <c r="H162" s="64"/>
      <c r="I162" s="64"/>
      <c r="J162" s="64"/>
      <c r="K162" s="64"/>
      <c r="L162" s="64"/>
      <c r="M162" s="64"/>
      <c r="N162" s="64"/>
      <c r="O162" s="64"/>
      <c r="P162" s="64"/>
      <c r="Q162" s="64"/>
      <c r="R162" s="64"/>
      <c r="S162" s="64"/>
      <c r="T162" s="64"/>
      <c r="U162" s="64"/>
      <c r="V162" s="64"/>
      <c r="W162" s="64"/>
      <c r="X162" s="64"/>
      <c r="Y162" s="64"/>
      <c r="Z162" s="64"/>
    </row>
    <row r="163" spans="1:26" ht="12.75" customHeight="1" x14ac:dyDescent="0.25">
      <c r="A163" s="64"/>
      <c r="B163" s="64"/>
      <c r="C163" s="64"/>
      <c r="D163" s="64"/>
      <c r="E163" s="64"/>
      <c r="F163" s="64"/>
      <c r="G163" s="64"/>
      <c r="H163" s="64"/>
      <c r="I163" s="64"/>
      <c r="J163" s="64"/>
      <c r="K163" s="64"/>
      <c r="L163" s="64"/>
      <c r="M163" s="64"/>
      <c r="N163" s="64"/>
      <c r="O163" s="64"/>
      <c r="P163" s="64"/>
      <c r="Q163" s="64"/>
      <c r="R163" s="64"/>
      <c r="S163" s="64"/>
      <c r="T163" s="64"/>
      <c r="U163" s="64"/>
      <c r="V163" s="64"/>
      <c r="W163" s="64"/>
      <c r="X163" s="64"/>
      <c r="Y163" s="64"/>
      <c r="Z163" s="64"/>
    </row>
    <row r="164" spans="1:26" ht="12.75" customHeight="1" x14ac:dyDescent="0.25">
      <c r="A164" s="64"/>
      <c r="B164" s="64"/>
      <c r="C164" s="64"/>
      <c r="D164" s="64"/>
      <c r="E164" s="64"/>
      <c r="F164" s="64"/>
      <c r="G164" s="64"/>
      <c r="H164" s="64"/>
      <c r="I164" s="64"/>
      <c r="J164" s="64"/>
      <c r="K164" s="64"/>
      <c r="L164" s="64"/>
      <c r="M164" s="64"/>
      <c r="N164" s="64"/>
      <c r="O164" s="64"/>
      <c r="P164" s="64"/>
      <c r="Q164" s="64"/>
      <c r="R164" s="64"/>
      <c r="S164" s="64"/>
      <c r="T164" s="64"/>
      <c r="U164" s="64"/>
      <c r="V164" s="64"/>
      <c r="W164" s="64"/>
      <c r="X164" s="64"/>
      <c r="Y164" s="64"/>
      <c r="Z164" s="64"/>
    </row>
    <row r="165" spans="1:26" ht="12.75" customHeight="1" x14ac:dyDescent="0.25">
      <c r="A165" s="64"/>
      <c r="B165" s="64"/>
      <c r="C165" s="64"/>
      <c r="D165" s="64"/>
      <c r="E165" s="64"/>
      <c r="F165" s="64"/>
      <c r="G165" s="64"/>
      <c r="H165" s="64"/>
      <c r="I165" s="64"/>
      <c r="J165" s="64"/>
      <c r="K165" s="64"/>
      <c r="L165" s="64"/>
      <c r="M165" s="64"/>
      <c r="N165" s="64"/>
      <c r="O165" s="64"/>
      <c r="P165" s="64"/>
      <c r="Q165" s="64"/>
      <c r="R165" s="64"/>
      <c r="S165" s="64"/>
      <c r="T165" s="64"/>
      <c r="U165" s="64"/>
      <c r="V165" s="64"/>
      <c r="W165" s="64"/>
      <c r="X165" s="64"/>
      <c r="Y165" s="64"/>
      <c r="Z165" s="64"/>
    </row>
    <row r="166" spans="1:26" ht="12.75" customHeight="1" x14ac:dyDescent="0.25">
      <c r="A166" s="64"/>
      <c r="B166" s="64"/>
      <c r="C166" s="64"/>
      <c r="D166" s="64"/>
      <c r="E166" s="64"/>
      <c r="F166" s="64"/>
      <c r="G166" s="64"/>
      <c r="H166" s="64"/>
      <c r="I166" s="64"/>
      <c r="J166" s="64"/>
      <c r="K166" s="64"/>
      <c r="L166" s="64"/>
      <c r="M166" s="64"/>
      <c r="N166" s="64"/>
      <c r="O166" s="64"/>
      <c r="P166" s="64"/>
      <c r="Q166" s="64"/>
      <c r="R166" s="64"/>
      <c r="S166" s="64"/>
      <c r="T166" s="64"/>
      <c r="U166" s="64"/>
      <c r="V166" s="64"/>
      <c r="W166" s="64"/>
      <c r="X166" s="64"/>
      <c r="Y166" s="64"/>
      <c r="Z166" s="64"/>
    </row>
    <row r="167" spans="1:26" ht="12.75" customHeight="1" x14ac:dyDescent="0.25">
      <c r="A167" s="64"/>
      <c r="B167" s="64"/>
      <c r="C167" s="64"/>
      <c r="D167" s="64"/>
      <c r="E167" s="64"/>
      <c r="F167" s="64"/>
      <c r="G167" s="64"/>
      <c r="H167" s="64"/>
      <c r="I167" s="64"/>
      <c r="J167" s="64"/>
      <c r="K167" s="64"/>
      <c r="L167" s="64"/>
      <c r="M167" s="64"/>
      <c r="N167" s="64"/>
      <c r="O167" s="64"/>
      <c r="P167" s="64"/>
      <c r="Q167" s="64"/>
      <c r="R167" s="64"/>
      <c r="S167" s="64"/>
      <c r="T167" s="64"/>
      <c r="U167" s="64"/>
      <c r="V167" s="64"/>
      <c r="W167" s="64"/>
      <c r="X167" s="64"/>
      <c r="Y167" s="64"/>
      <c r="Z167" s="64"/>
    </row>
    <row r="168" spans="1:26" ht="12.75" customHeight="1" x14ac:dyDescent="0.25">
      <c r="A168" s="64"/>
      <c r="B168" s="64"/>
      <c r="C168" s="64"/>
      <c r="D168" s="64"/>
      <c r="E168" s="64"/>
      <c r="F168" s="64"/>
      <c r="G168" s="64"/>
      <c r="H168" s="64"/>
      <c r="I168" s="64"/>
      <c r="J168" s="64"/>
      <c r="K168" s="64"/>
      <c r="L168" s="64"/>
      <c r="M168" s="64"/>
      <c r="N168" s="64"/>
      <c r="O168" s="64"/>
      <c r="P168" s="64"/>
      <c r="Q168" s="64"/>
      <c r="R168" s="64"/>
      <c r="S168" s="64"/>
      <c r="T168" s="64"/>
      <c r="U168" s="64"/>
      <c r="V168" s="64"/>
      <c r="W168" s="64"/>
      <c r="X168" s="64"/>
      <c r="Y168" s="64"/>
      <c r="Z168" s="64"/>
    </row>
    <row r="169" spans="1:26" ht="12.75" customHeight="1" x14ac:dyDescent="0.25">
      <c r="A169" s="64"/>
      <c r="B169" s="64"/>
      <c r="C169" s="64"/>
      <c r="D169" s="64"/>
      <c r="E169" s="64"/>
      <c r="F169" s="64"/>
      <c r="G169" s="64"/>
      <c r="H169" s="64"/>
      <c r="I169" s="64"/>
      <c r="J169" s="64"/>
      <c r="K169" s="64"/>
      <c r="L169" s="64"/>
      <c r="M169" s="64"/>
      <c r="N169" s="64"/>
      <c r="O169" s="64"/>
      <c r="P169" s="64"/>
      <c r="Q169" s="64"/>
      <c r="R169" s="64"/>
      <c r="S169" s="64"/>
      <c r="T169" s="64"/>
      <c r="U169" s="64"/>
      <c r="V169" s="64"/>
      <c r="W169" s="64"/>
      <c r="X169" s="64"/>
      <c r="Y169" s="64"/>
      <c r="Z169" s="64"/>
    </row>
    <row r="170" spans="1:26" ht="12.75" customHeight="1" x14ac:dyDescent="0.25">
      <c r="A170" s="64"/>
      <c r="B170" s="64"/>
      <c r="C170" s="64"/>
      <c r="D170" s="64"/>
      <c r="E170" s="64"/>
      <c r="F170" s="64"/>
      <c r="G170" s="64"/>
      <c r="H170" s="64"/>
      <c r="I170" s="64"/>
      <c r="J170" s="64"/>
      <c r="K170" s="64"/>
      <c r="L170" s="64"/>
      <c r="M170" s="64"/>
      <c r="N170" s="64"/>
      <c r="O170" s="64"/>
      <c r="P170" s="64"/>
      <c r="Q170" s="64"/>
      <c r="R170" s="64"/>
      <c r="S170" s="64"/>
      <c r="T170" s="64"/>
      <c r="U170" s="64"/>
      <c r="V170" s="64"/>
      <c r="W170" s="64"/>
      <c r="X170" s="64"/>
      <c r="Y170" s="64"/>
      <c r="Z170" s="64"/>
    </row>
    <row r="171" spans="1:26" ht="12.75" customHeight="1" x14ac:dyDescent="0.25">
      <c r="A171" s="64"/>
      <c r="B171" s="64"/>
      <c r="C171" s="64"/>
      <c r="D171" s="64"/>
      <c r="E171" s="64"/>
      <c r="F171" s="64"/>
      <c r="G171" s="64"/>
      <c r="H171" s="64"/>
      <c r="I171" s="64"/>
      <c r="J171" s="64"/>
      <c r="K171" s="64"/>
      <c r="L171" s="64"/>
      <c r="M171" s="64"/>
      <c r="N171" s="64"/>
      <c r="O171" s="64"/>
      <c r="P171" s="64"/>
      <c r="Q171" s="64"/>
      <c r="R171" s="64"/>
      <c r="S171" s="64"/>
      <c r="T171" s="64"/>
      <c r="U171" s="64"/>
      <c r="V171" s="64"/>
      <c r="W171" s="64"/>
      <c r="X171" s="64"/>
      <c r="Y171" s="64"/>
      <c r="Z171" s="64"/>
    </row>
    <row r="172" spans="1:26" ht="12.75" customHeight="1" x14ac:dyDescent="0.25">
      <c r="A172" s="64"/>
      <c r="B172" s="64"/>
      <c r="C172" s="64"/>
      <c r="D172" s="64"/>
      <c r="E172" s="64"/>
      <c r="F172" s="64"/>
      <c r="G172" s="64"/>
      <c r="H172" s="64"/>
      <c r="I172" s="64"/>
      <c r="J172" s="64"/>
      <c r="K172" s="64"/>
      <c r="L172" s="64"/>
      <c r="M172" s="64"/>
      <c r="N172" s="64"/>
      <c r="O172" s="64"/>
      <c r="P172" s="64"/>
      <c r="Q172" s="64"/>
      <c r="R172" s="64"/>
      <c r="S172" s="64"/>
      <c r="T172" s="64"/>
      <c r="U172" s="64"/>
      <c r="V172" s="64"/>
      <c r="W172" s="64"/>
      <c r="X172" s="64"/>
      <c r="Y172" s="64"/>
      <c r="Z172" s="64"/>
    </row>
    <row r="173" spans="1:26" ht="12.75" customHeight="1" x14ac:dyDescent="0.25">
      <c r="A173" s="64"/>
      <c r="B173" s="64"/>
      <c r="C173" s="64"/>
      <c r="D173" s="64"/>
      <c r="E173" s="64"/>
      <c r="F173" s="64"/>
      <c r="G173" s="64"/>
      <c r="H173" s="64"/>
      <c r="I173" s="64"/>
      <c r="J173" s="64"/>
      <c r="K173" s="64"/>
      <c r="L173" s="64"/>
      <c r="M173" s="64"/>
      <c r="N173" s="64"/>
      <c r="O173" s="64"/>
      <c r="P173" s="64"/>
      <c r="Q173" s="64"/>
      <c r="R173" s="64"/>
      <c r="S173" s="64"/>
      <c r="T173" s="64"/>
      <c r="U173" s="64"/>
      <c r="V173" s="64"/>
      <c r="W173" s="64"/>
      <c r="X173" s="64"/>
      <c r="Y173" s="64"/>
      <c r="Z173" s="64"/>
    </row>
    <row r="174" spans="1:26" ht="12.75" customHeight="1" x14ac:dyDescent="0.25">
      <c r="A174" s="64"/>
      <c r="B174" s="64"/>
      <c r="C174" s="64"/>
      <c r="D174" s="64"/>
      <c r="E174" s="64"/>
      <c r="F174" s="64"/>
      <c r="G174" s="64"/>
      <c r="H174" s="64"/>
      <c r="I174" s="64"/>
      <c r="J174" s="64"/>
      <c r="K174" s="64"/>
      <c r="L174" s="64"/>
      <c r="M174" s="64"/>
      <c r="N174" s="64"/>
      <c r="O174" s="64"/>
      <c r="P174" s="64"/>
      <c r="Q174" s="64"/>
      <c r="R174" s="64"/>
      <c r="S174" s="64"/>
      <c r="T174" s="64"/>
      <c r="U174" s="64"/>
      <c r="V174" s="64"/>
      <c r="W174" s="64"/>
      <c r="X174" s="64"/>
      <c r="Y174" s="64"/>
      <c r="Z174" s="64"/>
    </row>
    <row r="175" spans="1:26" ht="12.75" customHeight="1" x14ac:dyDescent="0.25">
      <c r="A175" s="64"/>
      <c r="B175" s="64"/>
      <c r="C175" s="64"/>
      <c r="D175" s="64"/>
      <c r="E175" s="64"/>
      <c r="F175" s="64"/>
      <c r="G175" s="64"/>
      <c r="H175" s="64"/>
      <c r="I175" s="64"/>
      <c r="J175" s="64"/>
      <c r="K175" s="64"/>
      <c r="L175" s="64"/>
      <c r="M175" s="64"/>
      <c r="N175" s="64"/>
      <c r="O175" s="64"/>
      <c r="P175" s="64"/>
      <c r="Q175" s="64"/>
      <c r="R175" s="64"/>
      <c r="S175" s="64"/>
      <c r="T175" s="64"/>
      <c r="U175" s="64"/>
      <c r="V175" s="64"/>
      <c r="W175" s="64"/>
      <c r="X175" s="64"/>
      <c r="Y175" s="64"/>
      <c r="Z175" s="64"/>
    </row>
    <row r="176" spans="1:26" ht="12.75" customHeight="1" x14ac:dyDescent="0.25">
      <c r="A176" s="64"/>
      <c r="B176" s="64"/>
      <c r="C176" s="64"/>
      <c r="D176" s="64"/>
      <c r="E176" s="64"/>
      <c r="F176" s="64"/>
      <c r="G176" s="64"/>
      <c r="H176" s="64"/>
      <c r="I176" s="64"/>
      <c r="J176" s="64"/>
      <c r="K176" s="64"/>
      <c r="L176" s="64"/>
      <c r="M176" s="64"/>
      <c r="N176" s="64"/>
      <c r="O176" s="64"/>
      <c r="P176" s="64"/>
      <c r="Q176" s="64"/>
      <c r="R176" s="64"/>
      <c r="S176" s="64"/>
      <c r="T176" s="64"/>
      <c r="U176" s="64"/>
      <c r="V176" s="64"/>
      <c r="W176" s="64"/>
      <c r="X176" s="64"/>
      <c r="Y176" s="64"/>
      <c r="Z176" s="64"/>
    </row>
    <row r="177" spans="1:26" ht="12.75" customHeight="1" x14ac:dyDescent="0.25">
      <c r="A177" s="64"/>
      <c r="B177" s="64"/>
      <c r="C177" s="64"/>
      <c r="D177" s="64"/>
      <c r="E177" s="64"/>
      <c r="F177" s="64"/>
      <c r="G177" s="64"/>
      <c r="H177" s="64"/>
      <c r="I177" s="64"/>
      <c r="J177" s="64"/>
      <c r="K177" s="64"/>
      <c r="L177" s="64"/>
      <c r="M177" s="64"/>
      <c r="N177" s="64"/>
      <c r="O177" s="64"/>
      <c r="P177" s="64"/>
      <c r="Q177" s="64"/>
      <c r="R177" s="64"/>
      <c r="S177" s="64"/>
      <c r="T177" s="64"/>
      <c r="U177" s="64"/>
      <c r="V177" s="64"/>
      <c r="W177" s="64"/>
      <c r="X177" s="64"/>
      <c r="Y177" s="64"/>
      <c r="Z177" s="64"/>
    </row>
    <row r="178" spans="1:26" ht="12.75" customHeight="1" x14ac:dyDescent="0.25">
      <c r="A178" s="64"/>
      <c r="B178" s="64"/>
      <c r="C178" s="64"/>
      <c r="D178" s="64"/>
      <c r="E178" s="64"/>
      <c r="F178" s="64"/>
      <c r="G178" s="64"/>
      <c r="H178" s="64"/>
      <c r="I178" s="64"/>
      <c r="J178" s="64"/>
      <c r="K178" s="64"/>
      <c r="L178" s="64"/>
      <c r="M178" s="64"/>
      <c r="N178" s="64"/>
      <c r="O178" s="64"/>
      <c r="P178" s="64"/>
      <c r="Q178" s="64"/>
      <c r="R178" s="64"/>
      <c r="S178" s="64"/>
      <c r="T178" s="64"/>
      <c r="U178" s="64"/>
      <c r="V178" s="64"/>
      <c r="W178" s="64"/>
      <c r="X178" s="64"/>
      <c r="Y178" s="64"/>
      <c r="Z178" s="64"/>
    </row>
    <row r="179" spans="1:26" ht="12.75" customHeight="1" x14ac:dyDescent="0.25">
      <c r="A179" s="64"/>
      <c r="B179" s="64"/>
      <c r="C179" s="64"/>
      <c r="D179" s="64"/>
      <c r="E179" s="64"/>
      <c r="F179" s="64"/>
      <c r="G179" s="64"/>
      <c r="H179" s="64"/>
      <c r="I179" s="64"/>
      <c r="J179" s="64"/>
      <c r="K179" s="64"/>
      <c r="L179" s="64"/>
      <c r="M179" s="64"/>
      <c r="N179" s="64"/>
      <c r="O179" s="64"/>
      <c r="P179" s="64"/>
      <c r="Q179" s="64"/>
      <c r="R179" s="64"/>
      <c r="S179" s="64"/>
      <c r="T179" s="64"/>
      <c r="U179" s="64"/>
      <c r="V179" s="64"/>
      <c r="W179" s="64"/>
      <c r="X179" s="64"/>
      <c r="Y179" s="64"/>
      <c r="Z179" s="64"/>
    </row>
    <row r="180" spans="1:26" ht="12.75" customHeight="1" x14ac:dyDescent="0.25">
      <c r="A180" s="64"/>
      <c r="B180" s="64"/>
      <c r="C180" s="64"/>
      <c r="D180" s="64"/>
      <c r="E180" s="64"/>
      <c r="F180" s="64"/>
      <c r="G180" s="64"/>
      <c r="H180" s="64"/>
      <c r="I180" s="64"/>
      <c r="J180" s="64"/>
      <c r="K180" s="64"/>
      <c r="L180" s="64"/>
      <c r="M180" s="64"/>
      <c r="N180" s="64"/>
      <c r="O180" s="64"/>
      <c r="P180" s="64"/>
      <c r="Q180" s="64"/>
      <c r="R180" s="64"/>
      <c r="S180" s="64"/>
      <c r="T180" s="64"/>
      <c r="U180" s="64"/>
      <c r="V180" s="64"/>
      <c r="W180" s="64"/>
      <c r="X180" s="64"/>
      <c r="Y180" s="64"/>
      <c r="Z180" s="64"/>
    </row>
    <row r="181" spans="1:26" ht="12.75" customHeight="1" x14ac:dyDescent="0.25">
      <c r="A181" s="64"/>
      <c r="B181" s="64"/>
      <c r="C181" s="64"/>
      <c r="D181" s="64"/>
      <c r="E181" s="64"/>
      <c r="F181" s="64"/>
      <c r="G181" s="64"/>
      <c r="H181" s="64"/>
      <c r="I181" s="64"/>
      <c r="J181" s="64"/>
      <c r="K181" s="64"/>
      <c r="L181" s="64"/>
      <c r="M181" s="64"/>
      <c r="N181" s="64"/>
      <c r="O181" s="64"/>
      <c r="P181" s="64"/>
      <c r="Q181" s="64"/>
      <c r="R181" s="64"/>
      <c r="S181" s="64"/>
      <c r="T181" s="64"/>
      <c r="U181" s="64"/>
      <c r="V181" s="64"/>
      <c r="W181" s="64"/>
      <c r="X181" s="64"/>
      <c r="Y181" s="64"/>
      <c r="Z181" s="64"/>
    </row>
    <row r="182" spans="1:26" ht="12.75" customHeight="1" x14ac:dyDescent="0.25">
      <c r="A182" s="64"/>
      <c r="B182" s="64"/>
      <c r="C182" s="64"/>
      <c r="D182" s="64"/>
      <c r="E182" s="64"/>
      <c r="F182" s="64"/>
      <c r="G182" s="64"/>
      <c r="H182" s="64"/>
      <c r="I182" s="64"/>
      <c r="J182" s="64"/>
      <c r="K182" s="64"/>
      <c r="L182" s="64"/>
      <c r="M182" s="64"/>
      <c r="N182" s="64"/>
      <c r="O182" s="64"/>
      <c r="P182" s="64"/>
      <c r="Q182" s="64"/>
      <c r="R182" s="64"/>
      <c r="S182" s="64"/>
      <c r="T182" s="64"/>
      <c r="U182" s="64"/>
      <c r="V182" s="64"/>
      <c r="W182" s="64"/>
      <c r="X182" s="64"/>
      <c r="Y182" s="64"/>
      <c r="Z182" s="64"/>
    </row>
    <row r="183" spans="1:26" ht="12.75" customHeight="1" x14ac:dyDescent="0.25">
      <c r="A183" s="64"/>
      <c r="B183" s="64"/>
      <c r="C183" s="64"/>
      <c r="D183" s="64"/>
      <c r="E183" s="64"/>
      <c r="F183" s="64"/>
      <c r="G183" s="64"/>
      <c r="H183" s="64"/>
      <c r="I183" s="64"/>
      <c r="J183" s="64"/>
      <c r="K183" s="64"/>
      <c r="L183" s="64"/>
      <c r="M183" s="64"/>
      <c r="N183" s="64"/>
      <c r="O183" s="64"/>
      <c r="P183" s="64"/>
      <c r="Q183" s="64"/>
      <c r="R183" s="64"/>
      <c r="S183" s="64"/>
      <c r="T183" s="64"/>
      <c r="U183" s="64"/>
      <c r="V183" s="64"/>
      <c r="W183" s="64"/>
      <c r="X183" s="64"/>
      <c r="Y183" s="64"/>
      <c r="Z183" s="64"/>
    </row>
    <row r="184" spans="1:26" ht="12.75" customHeight="1" x14ac:dyDescent="0.25">
      <c r="A184" s="64"/>
      <c r="B184" s="64"/>
      <c r="C184" s="64"/>
      <c r="D184" s="64"/>
      <c r="E184" s="64"/>
      <c r="F184" s="64"/>
      <c r="G184" s="64"/>
      <c r="H184" s="64"/>
      <c r="I184" s="64"/>
      <c r="J184" s="64"/>
      <c r="K184" s="64"/>
      <c r="L184" s="64"/>
      <c r="M184" s="64"/>
      <c r="N184" s="64"/>
      <c r="O184" s="64"/>
      <c r="P184" s="64"/>
      <c r="Q184" s="64"/>
      <c r="R184" s="64"/>
      <c r="S184" s="64"/>
      <c r="T184" s="64"/>
      <c r="U184" s="64"/>
      <c r="V184" s="64"/>
      <c r="W184" s="64"/>
      <c r="X184" s="64"/>
      <c r="Y184" s="64"/>
      <c r="Z184" s="64"/>
    </row>
    <row r="185" spans="1:26" ht="12.75" customHeight="1" x14ac:dyDescent="0.25">
      <c r="A185" s="64"/>
      <c r="B185" s="64"/>
      <c r="C185" s="64"/>
      <c r="D185" s="64"/>
      <c r="E185" s="64"/>
      <c r="F185" s="64"/>
      <c r="G185" s="64"/>
      <c r="H185" s="64"/>
      <c r="I185" s="64"/>
      <c r="J185" s="64"/>
      <c r="K185" s="64"/>
      <c r="L185" s="64"/>
      <c r="M185" s="64"/>
      <c r="N185" s="64"/>
      <c r="O185" s="64"/>
      <c r="P185" s="64"/>
      <c r="Q185" s="64"/>
      <c r="R185" s="64"/>
      <c r="S185" s="64"/>
      <c r="T185" s="64"/>
      <c r="U185" s="64"/>
      <c r="V185" s="64"/>
      <c r="W185" s="64"/>
      <c r="X185" s="64"/>
      <c r="Y185" s="64"/>
      <c r="Z185" s="64"/>
    </row>
    <row r="186" spans="1:26" ht="12.75" customHeight="1" x14ac:dyDescent="0.25">
      <c r="A186" s="64"/>
      <c r="B186" s="64"/>
      <c r="C186" s="64"/>
      <c r="D186" s="64"/>
      <c r="E186" s="64"/>
      <c r="F186" s="64"/>
      <c r="G186" s="64"/>
      <c r="H186" s="64"/>
      <c r="I186" s="64"/>
      <c r="J186" s="64"/>
      <c r="K186" s="64"/>
      <c r="L186" s="64"/>
      <c r="M186" s="64"/>
      <c r="N186" s="64"/>
      <c r="O186" s="64"/>
      <c r="P186" s="64"/>
      <c r="Q186" s="64"/>
      <c r="R186" s="64"/>
      <c r="S186" s="64"/>
      <c r="T186" s="64"/>
      <c r="U186" s="64"/>
      <c r="V186" s="64"/>
      <c r="W186" s="64"/>
      <c r="X186" s="64"/>
      <c r="Y186" s="64"/>
      <c r="Z186" s="64"/>
    </row>
    <row r="187" spans="1:26" ht="12.75" customHeight="1" x14ac:dyDescent="0.25">
      <c r="A187" s="64"/>
      <c r="B187" s="64"/>
      <c r="C187" s="64"/>
      <c r="D187" s="64"/>
      <c r="E187" s="64"/>
      <c r="F187" s="64"/>
      <c r="G187" s="64"/>
      <c r="H187" s="64"/>
      <c r="I187" s="64"/>
      <c r="J187" s="64"/>
      <c r="K187" s="64"/>
      <c r="L187" s="64"/>
      <c r="M187" s="64"/>
      <c r="N187" s="64"/>
      <c r="O187" s="64"/>
      <c r="P187" s="64"/>
      <c r="Q187" s="64"/>
      <c r="R187" s="64"/>
      <c r="S187" s="64"/>
      <c r="T187" s="64"/>
      <c r="U187" s="64"/>
      <c r="V187" s="64"/>
      <c r="W187" s="64"/>
      <c r="X187" s="64"/>
      <c r="Y187" s="64"/>
      <c r="Z187" s="64"/>
    </row>
    <row r="188" spans="1:26" ht="12.75" customHeight="1" x14ac:dyDescent="0.25">
      <c r="A188" s="64"/>
      <c r="B188" s="64"/>
      <c r="C188" s="64"/>
      <c r="D188" s="64"/>
      <c r="E188" s="64"/>
      <c r="F188" s="64"/>
      <c r="G188" s="64"/>
      <c r="H188" s="64"/>
      <c r="I188" s="64"/>
      <c r="J188" s="64"/>
      <c r="K188" s="64"/>
      <c r="L188" s="64"/>
      <c r="M188" s="64"/>
      <c r="N188" s="64"/>
      <c r="O188" s="64"/>
      <c r="P188" s="64"/>
      <c r="Q188" s="64"/>
      <c r="R188" s="64"/>
      <c r="S188" s="64"/>
      <c r="T188" s="64"/>
      <c r="U188" s="64"/>
      <c r="V188" s="64"/>
      <c r="W188" s="64"/>
      <c r="X188" s="64"/>
      <c r="Y188" s="64"/>
      <c r="Z188" s="64"/>
    </row>
    <row r="189" spans="1:26" ht="12.75" customHeight="1" x14ac:dyDescent="0.25">
      <c r="A189" s="64"/>
      <c r="B189" s="64"/>
      <c r="C189" s="64"/>
      <c r="D189" s="64"/>
      <c r="E189" s="64"/>
      <c r="F189" s="64"/>
      <c r="G189" s="64"/>
      <c r="H189" s="64"/>
      <c r="I189" s="64"/>
      <c r="J189" s="64"/>
      <c r="K189" s="64"/>
      <c r="L189" s="64"/>
      <c r="M189" s="64"/>
      <c r="N189" s="64"/>
      <c r="O189" s="64"/>
      <c r="P189" s="64"/>
      <c r="Q189" s="64"/>
      <c r="R189" s="64"/>
      <c r="S189" s="64"/>
      <c r="T189" s="64"/>
      <c r="U189" s="64"/>
      <c r="V189" s="64"/>
      <c r="W189" s="64"/>
      <c r="X189" s="64"/>
      <c r="Y189" s="64"/>
      <c r="Z189" s="64"/>
    </row>
    <row r="190" spans="1:26" ht="12.75" customHeight="1" x14ac:dyDescent="0.25">
      <c r="A190" s="64"/>
      <c r="B190" s="64"/>
      <c r="C190" s="64"/>
      <c r="D190" s="64"/>
      <c r="E190" s="64"/>
      <c r="F190" s="64"/>
      <c r="G190" s="64"/>
      <c r="H190" s="64"/>
      <c r="I190" s="64"/>
      <c r="J190" s="64"/>
      <c r="K190" s="64"/>
      <c r="L190" s="64"/>
      <c r="M190" s="64"/>
      <c r="N190" s="64"/>
      <c r="O190" s="64"/>
      <c r="P190" s="64"/>
      <c r="Q190" s="64"/>
      <c r="R190" s="64"/>
      <c r="S190" s="64"/>
      <c r="T190" s="64"/>
      <c r="U190" s="64"/>
      <c r="V190" s="64"/>
      <c r="W190" s="64"/>
      <c r="X190" s="64"/>
      <c r="Y190" s="64"/>
      <c r="Z190" s="64"/>
    </row>
    <row r="191" spans="1:26" ht="12.75" customHeight="1" x14ac:dyDescent="0.25">
      <c r="A191" s="64"/>
      <c r="B191" s="64"/>
      <c r="C191" s="64"/>
      <c r="D191" s="64"/>
      <c r="E191" s="64"/>
      <c r="F191" s="64"/>
      <c r="G191" s="64"/>
      <c r="H191" s="64"/>
      <c r="I191" s="64"/>
      <c r="J191" s="64"/>
      <c r="K191" s="64"/>
      <c r="L191" s="64"/>
      <c r="M191" s="64"/>
      <c r="N191" s="64"/>
      <c r="O191" s="64"/>
      <c r="P191" s="64"/>
      <c r="Q191" s="64"/>
      <c r="R191" s="64"/>
      <c r="S191" s="64"/>
      <c r="T191" s="64"/>
      <c r="U191" s="64"/>
      <c r="V191" s="64"/>
      <c r="W191" s="64"/>
      <c r="X191" s="64"/>
      <c r="Y191" s="64"/>
      <c r="Z191" s="64"/>
    </row>
    <row r="192" spans="1:26" ht="12.75" customHeight="1" x14ac:dyDescent="0.25">
      <c r="A192" s="64"/>
      <c r="B192" s="64"/>
      <c r="C192" s="64"/>
      <c r="D192" s="64"/>
      <c r="E192" s="64"/>
      <c r="F192" s="64"/>
      <c r="G192" s="64"/>
      <c r="H192" s="64"/>
      <c r="I192" s="64"/>
      <c r="J192" s="64"/>
      <c r="K192" s="64"/>
      <c r="L192" s="64"/>
      <c r="M192" s="64"/>
      <c r="N192" s="64"/>
      <c r="O192" s="64"/>
      <c r="P192" s="64"/>
      <c r="Q192" s="64"/>
      <c r="R192" s="64"/>
      <c r="S192" s="64"/>
      <c r="T192" s="64"/>
      <c r="U192" s="64"/>
      <c r="V192" s="64"/>
      <c r="W192" s="64"/>
      <c r="X192" s="64"/>
      <c r="Y192" s="64"/>
      <c r="Z192" s="64"/>
    </row>
    <row r="193" spans="1:26" ht="12.75" customHeight="1" x14ac:dyDescent="0.25">
      <c r="A193" s="64"/>
      <c r="B193" s="64"/>
      <c r="C193" s="64"/>
      <c r="D193" s="64"/>
      <c r="E193" s="64"/>
      <c r="F193" s="64"/>
      <c r="G193" s="64"/>
      <c r="H193" s="64"/>
      <c r="I193" s="64"/>
      <c r="J193" s="64"/>
      <c r="K193" s="64"/>
      <c r="L193" s="64"/>
      <c r="M193" s="64"/>
      <c r="N193" s="64"/>
      <c r="O193" s="64"/>
      <c r="P193" s="64"/>
      <c r="Q193" s="64"/>
      <c r="R193" s="64"/>
      <c r="S193" s="64"/>
      <c r="T193" s="64"/>
      <c r="U193" s="64"/>
      <c r="V193" s="64"/>
      <c r="W193" s="64"/>
      <c r="X193" s="64"/>
      <c r="Y193" s="64"/>
      <c r="Z193" s="64"/>
    </row>
    <row r="194" spans="1:26" ht="12.75" customHeight="1" x14ac:dyDescent="0.25">
      <c r="A194" s="64"/>
      <c r="B194" s="64"/>
      <c r="C194" s="64"/>
      <c r="D194" s="64"/>
      <c r="E194" s="64"/>
      <c r="F194" s="64"/>
      <c r="G194" s="64"/>
      <c r="H194" s="64"/>
      <c r="I194" s="64"/>
      <c r="J194" s="64"/>
      <c r="K194" s="64"/>
      <c r="L194" s="64"/>
      <c r="M194" s="64"/>
      <c r="N194" s="64"/>
      <c r="O194" s="64"/>
      <c r="P194" s="64"/>
      <c r="Q194" s="64"/>
      <c r="R194" s="64"/>
      <c r="S194" s="64"/>
      <c r="T194" s="64"/>
      <c r="U194" s="64"/>
      <c r="V194" s="64"/>
      <c r="W194" s="64"/>
      <c r="X194" s="64"/>
      <c r="Y194" s="64"/>
      <c r="Z194" s="64"/>
    </row>
    <row r="195" spans="1:26" ht="12.75" customHeight="1" x14ac:dyDescent="0.25">
      <c r="A195" s="64"/>
      <c r="B195" s="64"/>
      <c r="C195" s="64"/>
      <c r="D195" s="64"/>
      <c r="E195" s="64"/>
      <c r="F195" s="64"/>
      <c r="G195" s="64"/>
      <c r="H195" s="64"/>
      <c r="I195" s="64"/>
      <c r="J195" s="64"/>
      <c r="K195" s="64"/>
      <c r="L195" s="64"/>
      <c r="M195" s="64"/>
      <c r="N195" s="64"/>
      <c r="O195" s="64"/>
      <c r="P195" s="64"/>
      <c r="Q195" s="64"/>
      <c r="R195" s="64"/>
      <c r="S195" s="64"/>
      <c r="T195" s="64"/>
      <c r="U195" s="64"/>
      <c r="V195" s="64"/>
      <c r="W195" s="64"/>
      <c r="X195" s="64"/>
      <c r="Y195" s="64"/>
      <c r="Z195" s="64"/>
    </row>
    <row r="196" spans="1:26" ht="12.75" customHeight="1" x14ac:dyDescent="0.25">
      <c r="A196" s="64"/>
      <c r="B196" s="64"/>
      <c r="C196" s="64"/>
      <c r="D196" s="64"/>
      <c r="E196" s="64"/>
      <c r="F196" s="64"/>
      <c r="G196" s="64"/>
      <c r="H196" s="64"/>
      <c r="I196" s="64"/>
      <c r="J196" s="64"/>
      <c r="K196" s="64"/>
      <c r="L196" s="64"/>
      <c r="M196" s="64"/>
      <c r="N196" s="64"/>
      <c r="O196" s="64"/>
      <c r="P196" s="64"/>
      <c r="Q196" s="64"/>
      <c r="R196" s="64"/>
      <c r="S196" s="64"/>
      <c r="T196" s="64"/>
      <c r="U196" s="64"/>
      <c r="V196" s="64"/>
      <c r="W196" s="64"/>
      <c r="X196" s="64"/>
      <c r="Y196" s="64"/>
      <c r="Z196" s="64"/>
    </row>
    <row r="197" spans="1:26" ht="12.75" customHeight="1" x14ac:dyDescent="0.25">
      <c r="A197" s="64"/>
      <c r="B197" s="64"/>
      <c r="C197" s="64"/>
      <c r="D197" s="64"/>
      <c r="E197" s="64"/>
      <c r="F197" s="64"/>
      <c r="G197" s="64"/>
      <c r="H197" s="64"/>
      <c r="I197" s="64"/>
      <c r="J197" s="64"/>
      <c r="K197" s="64"/>
      <c r="L197" s="64"/>
      <c r="M197" s="64"/>
      <c r="N197" s="64"/>
      <c r="O197" s="64"/>
      <c r="P197" s="64"/>
      <c r="Q197" s="64"/>
      <c r="R197" s="64"/>
      <c r="S197" s="64"/>
      <c r="T197" s="64"/>
      <c r="U197" s="64"/>
      <c r="V197" s="64"/>
      <c r="W197" s="64"/>
      <c r="X197" s="64"/>
      <c r="Y197" s="64"/>
      <c r="Z197" s="64"/>
    </row>
    <row r="198" spans="1:26" ht="12.75" customHeight="1" x14ac:dyDescent="0.25">
      <c r="A198" s="64"/>
      <c r="B198" s="64"/>
      <c r="C198" s="64"/>
      <c r="D198" s="64"/>
      <c r="E198" s="64"/>
      <c r="F198" s="64"/>
      <c r="G198" s="64"/>
      <c r="H198" s="64"/>
      <c r="I198" s="64"/>
      <c r="J198" s="64"/>
      <c r="K198" s="64"/>
      <c r="L198" s="64"/>
      <c r="M198" s="64"/>
      <c r="N198" s="64"/>
      <c r="O198" s="64"/>
      <c r="P198" s="64"/>
      <c r="Q198" s="64"/>
      <c r="R198" s="64"/>
      <c r="S198" s="64"/>
      <c r="T198" s="64"/>
      <c r="U198" s="64"/>
      <c r="V198" s="64"/>
      <c r="W198" s="64"/>
      <c r="X198" s="64"/>
      <c r="Y198" s="64"/>
      <c r="Z198" s="64"/>
    </row>
    <row r="199" spans="1:26" ht="12.75" customHeight="1" x14ac:dyDescent="0.25">
      <c r="A199" s="64"/>
      <c r="B199" s="64"/>
      <c r="C199" s="64"/>
      <c r="D199" s="64"/>
      <c r="E199" s="64"/>
      <c r="F199" s="64"/>
      <c r="G199" s="64"/>
      <c r="H199" s="64"/>
      <c r="I199" s="64"/>
      <c r="J199" s="64"/>
      <c r="K199" s="64"/>
      <c r="L199" s="64"/>
      <c r="M199" s="64"/>
      <c r="N199" s="64"/>
      <c r="O199" s="64"/>
      <c r="P199" s="64"/>
      <c r="Q199" s="64"/>
      <c r="R199" s="64"/>
      <c r="S199" s="64"/>
      <c r="T199" s="64"/>
      <c r="U199" s="64"/>
      <c r="V199" s="64"/>
      <c r="W199" s="64"/>
      <c r="X199" s="64"/>
      <c r="Y199" s="64"/>
      <c r="Z199" s="64"/>
    </row>
    <row r="200" spans="1:26" ht="12.75" customHeight="1" x14ac:dyDescent="0.25">
      <c r="A200" s="64"/>
      <c r="B200" s="64"/>
      <c r="C200" s="64"/>
      <c r="D200" s="64"/>
      <c r="E200" s="64"/>
      <c r="F200" s="64"/>
      <c r="G200" s="64"/>
      <c r="H200" s="64"/>
      <c r="I200" s="64"/>
      <c r="J200" s="64"/>
      <c r="K200" s="64"/>
      <c r="L200" s="64"/>
      <c r="M200" s="64"/>
      <c r="N200" s="64"/>
      <c r="O200" s="64"/>
      <c r="P200" s="64"/>
      <c r="Q200" s="64"/>
      <c r="R200" s="64"/>
      <c r="S200" s="64"/>
      <c r="T200" s="64"/>
      <c r="U200" s="64"/>
      <c r="V200" s="64"/>
      <c r="W200" s="64"/>
      <c r="X200" s="64"/>
      <c r="Y200" s="64"/>
      <c r="Z200" s="64"/>
    </row>
    <row r="201" spans="1:26" ht="12.75" customHeight="1" x14ac:dyDescent="0.25">
      <c r="A201" s="64"/>
      <c r="B201" s="64"/>
      <c r="C201" s="64"/>
      <c r="D201" s="64"/>
      <c r="E201" s="64"/>
      <c r="F201" s="64"/>
      <c r="G201" s="64"/>
      <c r="H201" s="64"/>
      <c r="I201" s="64"/>
      <c r="J201" s="64"/>
      <c r="K201" s="64"/>
      <c r="L201" s="64"/>
      <c r="M201" s="64"/>
      <c r="N201" s="64"/>
      <c r="O201" s="64"/>
      <c r="P201" s="64"/>
      <c r="Q201" s="64"/>
      <c r="R201" s="64"/>
      <c r="S201" s="64"/>
      <c r="T201" s="64"/>
      <c r="U201" s="64"/>
      <c r="V201" s="64"/>
      <c r="W201" s="64"/>
      <c r="X201" s="64"/>
      <c r="Y201" s="64"/>
      <c r="Z201" s="64"/>
    </row>
    <row r="202" spans="1:26" ht="12.75" customHeight="1" x14ac:dyDescent="0.25">
      <c r="A202" s="64"/>
      <c r="B202" s="64"/>
      <c r="C202" s="64"/>
      <c r="D202" s="64"/>
      <c r="E202" s="64"/>
      <c r="F202" s="64"/>
      <c r="G202" s="64"/>
      <c r="H202" s="64"/>
      <c r="I202" s="64"/>
      <c r="J202" s="64"/>
      <c r="K202" s="64"/>
      <c r="L202" s="64"/>
      <c r="M202" s="64"/>
      <c r="N202" s="64"/>
      <c r="O202" s="64"/>
      <c r="P202" s="64"/>
      <c r="Q202" s="64"/>
      <c r="R202" s="64"/>
      <c r="S202" s="64"/>
      <c r="T202" s="64"/>
      <c r="U202" s="64"/>
      <c r="V202" s="64"/>
      <c r="W202" s="64"/>
      <c r="X202" s="64"/>
      <c r="Y202" s="64"/>
      <c r="Z202" s="64"/>
    </row>
    <row r="203" spans="1:26" ht="12.75" customHeight="1" x14ac:dyDescent="0.25">
      <c r="A203" s="64"/>
      <c r="B203" s="64"/>
      <c r="C203" s="64"/>
      <c r="D203" s="64"/>
      <c r="E203" s="64"/>
      <c r="F203" s="64"/>
      <c r="G203" s="64"/>
      <c r="H203" s="64"/>
      <c r="I203" s="64"/>
      <c r="J203" s="64"/>
      <c r="K203" s="64"/>
      <c r="L203" s="64"/>
      <c r="M203" s="64"/>
      <c r="N203" s="64"/>
      <c r="O203" s="64"/>
      <c r="P203" s="64"/>
      <c r="Q203" s="64"/>
      <c r="R203" s="64"/>
      <c r="S203" s="64"/>
      <c r="T203" s="64"/>
      <c r="U203" s="64"/>
      <c r="V203" s="64"/>
      <c r="W203" s="64"/>
      <c r="X203" s="64"/>
      <c r="Y203" s="64"/>
      <c r="Z203" s="64"/>
    </row>
    <row r="204" spans="1:26" ht="12.75" customHeight="1" x14ac:dyDescent="0.25">
      <c r="A204" s="64"/>
      <c r="B204" s="64"/>
      <c r="C204" s="64"/>
      <c r="D204" s="64"/>
      <c r="E204" s="64"/>
      <c r="F204" s="64"/>
      <c r="G204" s="64"/>
      <c r="H204" s="64"/>
      <c r="I204" s="64"/>
      <c r="J204" s="64"/>
      <c r="K204" s="64"/>
      <c r="L204" s="64"/>
      <c r="M204" s="64"/>
      <c r="N204" s="64"/>
      <c r="O204" s="64"/>
      <c r="P204" s="64"/>
      <c r="Q204" s="64"/>
      <c r="R204" s="64"/>
      <c r="S204" s="64"/>
      <c r="T204" s="64"/>
      <c r="U204" s="64"/>
      <c r="V204" s="64"/>
      <c r="W204" s="64"/>
      <c r="X204" s="64"/>
      <c r="Y204" s="64"/>
      <c r="Z204" s="64"/>
    </row>
    <row r="205" spans="1:26" ht="12.75" customHeight="1" x14ac:dyDescent="0.25">
      <c r="A205" s="64"/>
      <c r="B205" s="64"/>
      <c r="C205" s="64"/>
      <c r="D205" s="64"/>
      <c r="E205" s="64"/>
      <c r="F205" s="64"/>
      <c r="G205" s="64"/>
      <c r="H205" s="64"/>
      <c r="I205" s="64"/>
      <c r="J205" s="64"/>
      <c r="K205" s="64"/>
      <c r="L205" s="64"/>
      <c r="M205" s="64"/>
      <c r="N205" s="64"/>
      <c r="O205" s="64"/>
      <c r="P205" s="64"/>
      <c r="Q205" s="64"/>
      <c r="R205" s="64"/>
      <c r="S205" s="64"/>
      <c r="T205" s="64"/>
      <c r="U205" s="64"/>
      <c r="V205" s="64"/>
      <c r="W205" s="64"/>
      <c r="X205" s="64"/>
      <c r="Y205" s="64"/>
      <c r="Z205" s="64"/>
    </row>
    <row r="206" spans="1:26" ht="12.75" customHeight="1" x14ac:dyDescent="0.25">
      <c r="A206" s="64"/>
      <c r="B206" s="64"/>
      <c r="C206" s="64"/>
      <c r="D206" s="64"/>
      <c r="E206" s="64"/>
      <c r="F206" s="64"/>
      <c r="G206" s="64"/>
      <c r="H206" s="64"/>
      <c r="I206" s="64"/>
      <c r="J206" s="64"/>
      <c r="K206" s="64"/>
      <c r="L206" s="64"/>
      <c r="M206" s="64"/>
      <c r="N206" s="64"/>
      <c r="O206" s="64"/>
      <c r="P206" s="64"/>
      <c r="Q206" s="64"/>
      <c r="R206" s="64"/>
      <c r="S206" s="64"/>
      <c r="T206" s="64"/>
      <c r="U206" s="64"/>
      <c r="V206" s="64"/>
      <c r="W206" s="64"/>
      <c r="X206" s="64"/>
      <c r="Y206" s="64"/>
      <c r="Z206" s="64"/>
    </row>
    <row r="207" spans="1:26" ht="12.75" customHeight="1" x14ac:dyDescent="0.25">
      <c r="A207" s="64"/>
      <c r="B207" s="64"/>
      <c r="C207" s="64"/>
      <c r="D207" s="64"/>
      <c r="E207" s="64"/>
      <c r="F207" s="64"/>
      <c r="G207" s="64"/>
      <c r="H207" s="64"/>
      <c r="I207" s="64"/>
      <c r="J207" s="64"/>
      <c r="K207" s="64"/>
      <c r="L207" s="64"/>
      <c r="M207" s="64"/>
      <c r="N207" s="64"/>
      <c r="O207" s="64"/>
      <c r="P207" s="64"/>
      <c r="Q207" s="64"/>
      <c r="R207" s="64"/>
      <c r="S207" s="64"/>
      <c r="T207" s="64"/>
      <c r="U207" s="64"/>
      <c r="V207" s="64"/>
      <c r="W207" s="64"/>
      <c r="X207" s="64"/>
      <c r="Y207" s="64"/>
      <c r="Z207" s="64"/>
    </row>
    <row r="208" spans="1:26" ht="12.75" customHeight="1" x14ac:dyDescent="0.25">
      <c r="A208" s="64"/>
      <c r="B208" s="64"/>
      <c r="C208" s="64"/>
      <c r="D208" s="64"/>
      <c r="E208" s="64"/>
      <c r="F208" s="64"/>
      <c r="G208" s="64"/>
      <c r="H208" s="64"/>
      <c r="I208" s="64"/>
      <c r="J208" s="64"/>
      <c r="K208" s="64"/>
      <c r="L208" s="64"/>
      <c r="M208" s="64"/>
      <c r="N208" s="64"/>
      <c r="O208" s="64"/>
      <c r="P208" s="64"/>
      <c r="Q208" s="64"/>
      <c r="R208" s="64"/>
      <c r="S208" s="64"/>
      <c r="T208" s="64"/>
      <c r="U208" s="64"/>
      <c r="V208" s="64"/>
      <c r="W208" s="64"/>
      <c r="X208" s="64"/>
      <c r="Y208" s="64"/>
      <c r="Z208" s="64"/>
    </row>
    <row r="209" spans="1:26" ht="12.75" customHeight="1" x14ac:dyDescent="0.25">
      <c r="A209" s="64"/>
      <c r="B209" s="64"/>
      <c r="C209" s="64"/>
      <c r="D209" s="64"/>
      <c r="E209" s="64"/>
      <c r="F209" s="64"/>
      <c r="G209" s="64"/>
      <c r="H209" s="64"/>
      <c r="I209" s="64"/>
      <c r="J209" s="64"/>
      <c r="K209" s="64"/>
      <c r="L209" s="64"/>
      <c r="M209" s="64"/>
      <c r="N209" s="64"/>
      <c r="O209" s="64"/>
      <c r="P209" s="64"/>
      <c r="Q209" s="64"/>
      <c r="R209" s="64"/>
      <c r="S209" s="64"/>
      <c r="T209" s="64"/>
      <c r="U209" s="64"/>
      <c r="V209" s="64"/>
      <c r="W209" s="64"/>
      <c r="X209" s="64"/>
      <c r="Y209" s="64"/>
      <c r="Z209" s="64"/>
    </row>
    <row r="210" spans="1:26" ht="12.75" customHeight="1" x14ac:dyDescent="0.25">
      <c r="A210" s="64"/>
      <c r="B210" s="64"/>
      <c r="C210" s="64"/>
      <c r="D210" s="64"/>
      <c r="E210" s="64"/>
      <c r="F210" s="64"/>
      <c r="G210" s="64"/>
      <c r="H210" s="64"/>
      <c r="I210" s="64"/>
      <c r="J210" s="64"/>
      <c r="K210" s="64"/>
      <c r="L210" s="64"/>
      <c r="M210" s="64"/>
      <c r="N210" s="64"/>
      <c r="O210" s="64"/>
      <c r="P210" s="64"/>
      <c r="Q210" s="64"/>
      <c r="R210" s="64"/>
      <c r="S210" s="64"/>
      <c r="T210" s="64"/>
      <c r="U210" s="64"/>
      <c r="V210" s="64"/>
      <c r="W210" s="64"/>
      <c r="X210" s="64"/>
      <c r="Y210" s="64"/>
      <c r="Z210" s="64"/>
    </row>
    <row r="211" spans="1:26" ht="12.75" customHeight="1" x14ac:dyDescent="0.25">
      <c r="A211" s="64"/>
      <c r="B211" s="64"/>
      <c r="C211" s="64"/>
      <c r="D211" s="64"/>
      <c r="E211" s="64"/>
      <c r="F211" s="64"/>
      <c r="G211" s="64"/>
      <c r="H211" s="64"/>
      <c r="I211" s="64"/>
      <c r="J211" s="64"/>
      <c r="K211" s="64"/>
      <c r="L211" s="64"/>
      <c r="M211" s="64"/>
      <c r="N211" s="64"/>
      <c r="O211" s="64"/>
      <c r="P211" s="64"/>
      <c r="Q211" s="64"/>
      <c r="R211" s="64"/>
      <c r="S211" s="64"/>
      <c r="T211" s="64"/>
      <c r="U211" s="64"/>
      <c r="V211" s="64"/>
      <c r="W211" s="64"/>
      <c r="X211" s="64"/>
      <c r="Y211" s="64"/>
      <c r="Z211" s="64"/>
    </row>
    <row r="212" spans="1:26" ht="12.75" customHeight="1" x14ac:dyDescent="0.25">
      <c r="A212" s="64"/>
      <c r="B212" s="64"/>
      <c r="C212" s="64"/>
      <c r="D212" s="64"/>
      <c r="E212" s="64"/>
      <c r="F212" s="64"/>
      <c r="G212" s="64"/>
      <c r="H212" s="64"/>
      <c r="I212" s="64"/>
      <c r="J212" s="64"/>
      <c r="K212" s="64"/>
      <c r="L212" s="64"/>
      <c r="M212" s="64"/>
      <c r="N212" s="64"/>
      <c r="O212" s="64"/>
      <c r="P212" s="64"/>
      <c r="Q212" s="64"/>
      <c r="R212" s="64"/>
      <c r="S212" s="64"/>
      <c r="T212" s="64"/>
      <c r="U212" s="64"/>
      <c r="V212" s="64"/>
      <c r="W212" s="64"/>
      <c r="X212" s="64"/>
      <c r="Y212" s="64"/>
      <c r="Z212" s="64"/>
    </row>
    <row r="213" spans="1:26" ht="12.75" customHeight="1" x14ac:dyDescent="0.25">
      <c r="A213" s="64"/>
      <c r="B213" s="64"/>
      <c r="C213" s="64"/>
      <c r="D213" s="64"/>
      <c r="E213" s="64"/>
      <c r="F213" s="64"/>
      <c r="G213" s="64"/>
      <c r="H213" s="64"/>
      <c r="I213" s="64"/>
      <c r="J213" s="64"/>
      <c r="K213" s="64"/>
      <c r="L213" s="64"/>
      <c r="M213" s="64"/>
      <c r="N213" s="64"/>
      <c r="O213" s="64"/>
      <c r="P213" s="64"/>
      <c r="Q213" s="64"/>
      <c r="R213" s="64"/>
      <c r="S213" s="64"/>
      <c r="T213" s="64"/>
      <c r="U213" s="64"/>
      <c r="V213" s="64"/>
      <c r="W213" s="64"/>
      <c r="X213" s="64"/>
      <c r="Y213" s="64"/>
      <c r="Z213" s="64"/>
    </row>
    <row r="214" spans="1:26" ht="12.75" customHeight="1" x14ac:dyDescent="0.25">
      <c r="A214" s="64"/>
      <c r="B214" s="64"/>
      <c r="C214" s="64"/>
      <c r="D214" s="64"/>
      <c r="E214" s="64"/>
      <c r="F214" s="64"/>
      <c r="G214" s="64"/>
      <c r="H214" s="64"/>
      <c r="I214" s="64"/>
      <c r="J214" s="64"/>
      <c r="K214" s="64"/>
      <c r="L214" s="64"/>
      <c r="M214" s="64"/>
      <c r="N214" s="64"/>
      <c r="O214" s="64"/>
      <c r="P214" s="64"/>
      <c r="Q214" s="64"/>
      <c r="R214" s="64"/>
      <c r="S214" s="64"/>
      <c r="T214" s="64"/>
      <c r="U214" s="64"/>
      <c r="V214" s="64"/>
      <c r="W214" s="64"/>
      <c r="X214" s="64"/>
      <c r="Y214" s="64"/>
      <c r="Z214" s="64"/>
    </row>
    <row r="215" spans="1:26" ht="12.75" customHeight="1" x14ac:dyDescent="0.25">
      <c r="A215" s="64"/>
      <c r="B215" s="64"/>
      <c r="C215" s="64"/>
      <c r="D215" s="64"/>
      <c r="E215" s="64"/>
      <c r="F215" s="64"/>
      <c r="G215" s="64"/>
      <c r="H215" s="64"/>
      <c r="I215" s="64"/>
      <c r="J215" s="64"/>
      <c r="K215" s="64"/>
      <c r="L215" s="64"/>
      <c r="M215" s="64"/>
      <c r="N215" s="64"/>
      <c r="O215" s="64"/>
      <c r="P215" s="64"/>
      <c r="Q215" s="64"/>
      <c r="R215" s="64"/>
      <c r="S215" s="64"/>
      <c r="T215" s="64"/>
      <c r="U215" s="64"/>
      <c r="V215" s="64"/>
      <c r="W215" s="64"/>
      <c r="X215" s="64"/>
      <c r="Y215" s="64"/>
      <c r="Z215" s="64"/>
    </row>
    <row r="216" spans="1:26" ht="12.75" customHeight="1" x14ac:dyDescent="0.25">
      <c r="A216" s="64"/>
      <c r="B216" s="64"/>
      <c r="C216" s="64"/>
      <c r="D216" s="64"/>
      <c r="E216" s="64"/>
      <c r="F216" s="64"/>
      <c r="G216" s="64"/>
      <c r="H216" s="64"/>
      <c r="I216" s="64"/>
      <c r="J216" s="64"/>
      <c r="K216" s="64"/>
      <c r="L216" s="64"/>
      <c r="M216" s="64"/>
      <c r="N216" s="64"/>
      <c r="O216" s="64"/>
      <c r="P216" s="64"/>
      <c r="Q216" s="64"/>
      <c r="R216" s="64"/>
      <c r="S216" s="64"/>
      <c r="T216" s="64"/>
      <c r="U216" s="64"/>
      <c r="V216" s="64"/>
      <c r="W216" s="64"/>
      <c r="X216" s="64"/>
      <c r="Y216" s="64"/>
      <c r="Z216" s="64"/>
    </row>
    <row r="217" spans="1:26" ht="12.75" customHeight="1" x14ac:dyDescent="0.25">
      <c r="A217" s="64"/>
      <c r="B217" s="64"/>
      <c r="C217" s="64"/>
      <c r="D217" s="64"/>
      <c r="E217" s="64"/>
      <c r="F217" s="64"/>
      <c r="G217" s="64"/>
      <c r="H217" s="64"/>
      <c r="I217" s="64"/>
      <c r="J217" s="64"/>
      <c r="K217" s="64"/>
      <c r="L217" s="64"/>
      <c r="M217" s="64"/>
      <c r="N217" s="64"/>
      <c r="O217" s="64"/>
      <c r="P217" s="64"/>
      <c r="Q217" s="64"/>
      <c r="R217" s="64"/>
      <c r="S217" s="64"/>
      <c r="T217" s="64"/>
      <c r="U217" s="64"/>
      <c r="V217" s="64"/>
      <c r="W217" s="64"/>
      <c r="X217" s="64"/>
      <c r="Y217" s="64"/>
      <c r="Z217" s="64"/>
    </row>
    <row r="218" spans="1:26" ht="12.75" customHeight="1" x14ac:dyDescent="0.25">
      <c r="A218" s="64"/>
      <c r="B218" s="64"/>
      <c r="C218" s="64"/>
      <c r="D218" s="64"/>
      <c r="E218" s="64"/>
      <c r="F218" s="64"/>
      <c r="G218" s="64"/>
      <c r="H218" s="64"/>
      <c r="I218" s="64"/>
      <c r="J218" s="64"/>
      <c r="K218" s="64"/>
      <c r="L218" s="64"/>
      <c r="M218" s="64"/>
      <c r="N218" s="64"/>
      <c r="O218" s="64"/>
      <c r="P218" s="64"/>
      <c r="Q218" s="64"/>
      <c r="R218" s="64"/>
      <c r="S218" s="64"/>
      <c r="T218" s="64"/>
      <c r="U218" s="64"/>
      <c r="V218" s="64"/>
      <c r="W218" s="64"/>
      <c r="X218" s="64"/>
      <c r="Y218" s="64"/>
      <c r="Z218" s="64"/>
    </row>
    <row r="219" spans="1:26" ht="12.75" customHeight="1" x14ac:dyDescent="0.25">
      <c r="A219" s="64"/>
      <c r="B219" s="64"/>
      <c r="C219" s="64"/>
      <c r="D219" s="64"/>
      <c r="E219" s="64"/>
      <c r="F219" s="64"/>
      <c r="G219" s="64"/>
      <c r="H219" s="64"/>
      <c r="I219" s="64"/>
      <c r="J219" s="64"/>
      <c r="K219" s="64"/>
      <c r="L219" s="64"/>
      <c r="M219" s="64"/>
      <c r="N219" s="64"/>
      <c r="O219" s="64"/>
      <c r="P219" s="64"/>
      <c r="Q219" s="64"/>
      <c r="R219" s="64"/>
      <c r="S219" s="64"/>
      <c r="T219" s="64"/>
      <c r="U219" s="64"/>
      <c r="V219" s="64"/>
      <c r="W219" s="64"/>
      <c r="X219" s="64"/>
      <c r="Y219" s="64"/>
      <c r="Z219" s="64"/>
    </row>
    <row r="220" spans="1:26" ht="12.75" customHeight="1" x14ac:dyDescent="0.25">
      <c r="A220" s="64"/>
      <c r="B220" s="64"/>
      <c r="C220" s="64"/>
      <c r="D220" s="64"/>
      <c r="E220" s="64"/>
      <c r="F220" s="64"/>
      <c r="G220" s="64"/>
      <c r="H220" s="64"/>
      <c r="I220" s="64"/>
      <c r="J220" s="64"/>
      <c r="K220" s="64"/>
      <c r="L220" s="64"/>
      <c r="M220" s="64"/>
      <c r="N220" s="64"/>
      <c r="O220" s="64"/>
      <c r="P220" s="64"/>
      <c r="Q220" s="64"/>
      <c r="R220" s="64"/>
      <c r="S220" s="64"/>
      <c r="T220" s="64"/>
      <c r="U220" s="64"/>
      <c r="V220" s="64"/>
      <c r="W220" s="64"/>
      <c r="X220" s="64"/>
      <c r="Y220" s="64"/>
      <c r="Z220" s="64"/>
    </row>
    <row r="221" spans="1:26" ht="12.75" customHeight="1" x14ac:dyDescent="0.25">
      <c r="A221" s="64"/>
      <c r="B221" s="64"/>
      <c r="C221" s="64"/>
      <c r="D221" s="64"/>
      <c r="E221" s="64"/>
      <c r="F221" s="64"/>
      <c r="G221" s="64"/>
      <c r="H221" s="64"/>
      <c r="I221" s="64"/>
      <c r="J221" s="64"/>
      <c r="K221" s="64"/>
      <c r="L221" s="64"/>
      <c r="M221" s="64"/>
      <c r="N221" s="64"/>
      <c r="O221" s="64"/>
      <c r="P221" s="64"/>
      <c r="Q221" s="64"/>
      <c r="R221" s="64"/>
      <c r="S221" s="64"/>
      <c r="T221" s="64"/>
      <c r="U221" s="64"/>
      <c r="V221" s="64"/>
      <c r="W221" s="64"/>
      <c r="X221" s="64"/>
      <c r="Y221" s="64"/>
      <c r="Z221" s="64"/>
    </row>
    <row r="222" spans="1:26" ht="12.75" customHeight="1" x14ac:dyDescent="0.25">
      <c r="A222" s="64"/>
      <c r="B222" s="64"/>
      <c r="C222" s="64"/>
      <c r="D222" s="64"/>
      <c r="E222" s="64"/>
      <c r="F222" s="64"/>
      <c r="G222" s="64"/>
      <c r="H222" s="64"/>
      <c r="I222" s="64"/>
      <c r="J222" s="64"/>
      <c r="K222" s="64"/>
      <c r="L222" s="64"/>
      <c r="M222" s="64"/>
      <c r="N222" s="64"/>
      <c r="O222" s="64"/>
      <c r="P222" s="64"/>
      <c r="Q222" s="64"/>
      <c r="R222" s="64"/>
      <c r="S222" s="64"/>
      <c r="T222" s="64"/>
      <c r="U222" s="64"/>
      <c r="V222" s="64"/>
      <c r="W222" s="64"/>
      <c r="X222" s="64"/>
      <c r="Y222" s="64"/>
      <c r="Z222" s="64"/>
    </row>
    <row r="223" spans="1:26" ht="12.75" customHeight="1" x14ac:dyDescent="0.25">
      <c r="A223" s="64"/>
      <c r="B223" s="64"/>
      <c r="C223" s="64"/>
      <c r="D223" s="64"/>
      <c r="E223" s="64"/>
      <c r="F223" s="64"/>
      <c r="G223" s="64"/>
      <c r="H223" s="64"/>
      <c r="I223" s="64"/>
      <c r="J223" s="64"/>
      <c r="K223" s="64"/>
      <c r="L223" s="64"/>
      <c r="M223" s="64"/>
      <c r="N223" s="64"/>
      <c r="O223" s="64"/>
      <c r="P223" s="64"/>
      <c r="Q223" s="64"/>
      <c r="R223" s="64"/>
      <c r="S223" s="64"/>
      <c r="T223" s="64"/>
      <c r="U223" s="64"/>
      <c r="V223" s="64"/>
      <c r="W223" s="64"/>
      <c r="X223" s="64"/>
      <c r="Y223" s="64"/>
      <c r="Z223" s="64"/>
    </row>
    <row r="224" spans="1:26" ht="12.75" customHeight="1" x14ac:dyDescent="0.25">
      <c r="A224" s="64"/>
      <c r="B224" s="64"/>
      <c r="C224" s="64"/>
      <c r="D224" s="64"/>
      <c r="E224" s="64"/>
      <c r="F224" s="64"/>
      <c r="G224" s="64"/>
      <c r="H224" s="64"/>
      <c r="I224" s="64"/>
      <c r="J224" s="64"/>
      <c r="K224" s="64"/>
      <c r="L224" s="64"/>
      <c r="M224" s="64"/>
      <c r="N224" s="64"/>
      <c r="O224" s="64"/>
      <c r="P224" s="64"/>
      <c r="Q224" s="64"/>
      <c r="R224" s="64"/>
      <c r="S224" s="64"/>
      <c r="T224" s="64"/>
      <c r="U224" s="64"/>
      <c r="V224" s="64"/>
      <c r="W224" s="64"/>
      <c r="X224" s="64"/>
      <c r="Y224" s="64"/>
      <c r="Z224" s="64"/>
    </row>
    <row r="225" spans="1:26" ht="12.75" customHeight="1" x14ac:dyDescent="0.25">
      <c r="A225" s="64"/>
      <c r="B225" s="64"/>
      <c r="C225" s="64"/>
      <c r="D225" s="64"/>
      <c r="E225" s="64"/>
      <c r="F225" s="64"/>
      <c r="G225" s="64"/>
      <c r="H225" s="64"/>
      <c r="I225" s="64"/>
      <c r="J225" s="64"/>
      <c r="K225" s="64"/>
      <c r="L225" s="64"/>
      <c r="M225" s="64"/>
      <c r="N225" s="64"/>
      <c r="O225" s="64"/>
      <c r="P225" s="64"/>
      <c r="Q225" s="64"/>
      <c r="R225" s="64"/>
      <c r="S225" s="64"/>
      <c r="T225" s="64"/>
      <c r="U225" s="64"/>
      <c r="V225" s="64"/>
      <c r="W225" s="64"/>
      <c r="X225" s="64"/>
      <c r="Y225" s="64"/>
      <c r="Z225" s="64"/>
    </row>
    <row r="226" spans="1:26" ht="12.75" customHeight="1" x14ac:dyDescent="0.25">
      <c r="A226" s="64"/>
      <c r="B226" s="64"/>
      <c r="C226" s="64"/>
      <c r="D226" s="64"/>
      <c r="E226" s="64"/>
      <c r="F226" s="64"/>
      <c r="G226" s="64"/>
      <c r="H226" s="64"/>
      <c r="I226" s="64"/>
      <c r="J226" s="64"/>
      <c r="K226" s="64"/>
      <c r="L226" s="64"/>
      <c r="M226" s="64"/>
      <c r="N226" s="64"/>
      <c r="O226" s="64"/>
      <c r="P226" s="64"/>
      <c r="Q226" s="64"/>
      <c r="R226" s="64"/>
      <c r="S226" s="64"/>
      <c r="T226" s="64"/>
      <c r="U226" s="64"/>
      <c r="V226" s="64"/>
      <c r="W226" s="64"/>
      <c r="X226" s="64"/>
      <c r="Y226" s="64"/>
      <c r="Z226" s="64"/>
    </row>
    <row r="227" spans="1:26" ht="12.75" customHeight="1" x14ac:dyDescent="0.25">
      <c r="A227" s="64"/>
      <c r="B227" s="64"/>
      <c r="C227" s="64"/>
      <c r="D227" s="64"/>
      <c r="E227" s="64"/>
      <c r="F227" s="64"/>
      <c r="G227" s="64"/>
      <c r="H227" s="64"/>
      <c r="I227" s="64"/>
      <c r="J227" s="64"/>
      <c r="K227" s="64"/>
      <c r="L227" s="64"/>
      <c r="M227" s="64"/>
      <c r="N227" s="64"/>
      <c r="O227" s="64"/>
      <c r="P227" s="64"/>
      <c r="Q227" s="64"/>
      <c r="R227" s="64"/>
      <c r="S227" s="64"/>
      <c r="T227" s="64"/>
      <c r="U227" s="64"/>
      <c r="V227" s="64"/>
      <c r="W227" s="64"/>
      <c r="X227" s="64"/>
      <c r="Y227" s="64"/>
      <c r="Z227" s="64"/>
    </row>
    <row r="228" spans="1:26" ht="12.75" customHeight="1" x14ac:dyDescent="0.25">
      <c r="A228" s="64"/>
      <c r="B228" s="64"/>
      <c r="C228" s="64"/>
      <c r="D228" s="64"/>
      <c r="E228" s="64"/>
      <c r="F228" s="64"/>
      <c r="G228" s="64"/>
      <c r="H228" s="64"/>
      <c r="I228" s="64"/>
      <c r="J228" s="64"/>
      <c r="K228" s="64"/>
      <c r="L228" s="64"/>
      <c r="M228" s="64"/>
      <c r="N228" s="64"/>
      <c r="O228" s="64"/>
      <c r="P228" s="64"/>
      <c r="Q228" s="64"/>
      <c r="R228" s="64"/>
      <c r="S228" s="64"/>
      <c r="T228" s="64"/>
      <c r="U228" s="64"/>
      <c r="V228" s="64"/>
      <c r="W228" s="64"/>
      <c r="X228" s="64"/>
      <c r="Y228" s="64"/>
      <c r="Z228" s="64"/>
    </row>
    <row r="229" spans="1:26" ht="12.75" customHeight="1" x14ac:dyDescent="0.25">
      <c r="A229" s="64"/>
      <c r="B229" s="64"/>
      <c r="C229" s="64"/>
      <c r="D229" s="64"/>
      <c r="E229" s="64"/>
      <c r="F229" s="64"/>
      <c r="G229" s="64"/>
      <c r="H229" s="64"/>
      <c r="I229" s="64"/>
      <c r="J229" s="64"/>
      <c r="K229" s="64"/>
      <c r="L229" s="64"/>
      <c r="M229" s="64"/>
      <c r="N229" s="64"/>
      <c r="O229" s="64"/>
      <c r="P229" s="64"/>
      <c r="Q229" s="64"/>
      <c r="R229" s="64"/>
      <c r="S229" s="64"/>
      <c r="T229" s="64"/>
      <c r="U229" s="64"/>
      <c r="V229" s="64"/>
      <c r="W229" s="64"/>
      <c r="X229" s="64"/>
      <c r="Y229" s="64"/>
      <c r="Z229" s="64"/>
    </row>
    <row r="230" spans="1:26" ht="12.75" customHeight="1" x14ac:dyDescent="0.25">
      <c r="A230" s="64"/>
      <c r="B230" s="64"/>
      <c r="C230" s="64"/>
      <c r="D230" s="64"/>
      <c r="E230" s="64"/>
      <c r="F230" s="64"/>
      <c r="G230" s="64"/>
      <c r="H230" s="64"/>
      <c r="I230" s="64"/>
      <c r="J230" s="64"/>
      <c r="K230" s="64"/>
      <c r="L230" s="64"/>
      <c r="M230" s="64"/>
      <c r="N230" s="64"/>
      <c r="O230" s="64"/>
      <c r="P230" s="64"/>
      <c r="Q230" s="64"/>
      <c r="R230" s="64"/>
      <c r="S230" s="64"/>
      <c r="T230" s="64"/>
      <c r="U230" s="64"/>
      <c r="V230" s="64"/>
      <c r="W230" s="64"/>
      <c r="X230" s="64"/>
      <c r="Y230" s="64"/>
      <c r="Z230" s="64"/>
    </row>
    <row r="231" spans="1:26" ht="12.75" customHeight="1" x14ac:dyDescent="0.25">
      <c r="A231" s="64"/>
      <c r="B231" s="64"/>
      <c r="C231" s="64"/>
      <c r="D231" s="64"/>
      <c r="E231" s="64"/>
      <c r="F231" s="64"/>
      <c r="G231" s="64"/>
      <c r="H231" s="64"/>
      <c r="I231" s="64"/>
      <c r="J231" s="64"/>
      <c r="K231" s="64"/>
      <c r="L231" s="64"/>
      <c r="M231" s="64"/>
      <c r="N231" s="64"/>
      <c r="O231" s="64"/>
      <c r="P231" s="64"/>
      <c r="Q231" s="64"/>
      <c r="R231" s="64"/>
      <c r="S231" s="64"/>
      <c r="T231" s="64"/>
      <c r="U231" s="64"/>
      <c r="V231" s="64"/>
      <c r="W231" s="64"/>
      <c r="X231" s="64"/>
      <c r="Y231" s="64"/>
      <c r="Z231" s="64"/>
    </row>
    <row r="232" spans="1:26" ht="12.75" customHeight="1" x14ac:dyDescent="0.25">
      <c r="A232" s="64"/>
      <c r="B232" s="64"/>
      <c r="C232" s="64"/>
      <c r="D232" s="64"/>
      <c r="E232" s="64"/>
      <c r="F232" s="64"/>
      <c r="G232" s="64"/>
      <c r="H232" s="64"/>
      <c r="I232" s="64"/>
      <c r="J232" s="64"/>
      <c r="K232" s="64"/>
      <c r="L232" s="64"/>
      <c r="M232" s="64"/>
      <c r="N232" s="64"/>
      <c r="O232" s="64"/>
      <c r="P232" s="64"/>
      <c r="Q232" s="64"/>
      <c r="R232" s="64"/>
      <c r="S232" s="64"/>
      <c r="T232" s="64"/>
      <c r="U232" s="64"/>
      <c r="V232" s="64"/>
      <c r="W232" s="64"/>
      <c r="X232" s="64"/>
      <c r="Y232" s="64"/>
      <c r="Z232" s="64"/>
    </row>
    <row r="233" spans="1:26" ht="12.75" customHeight="1" x14ac:dyDescent="0.25">
      <c r="A233" s="64"/>
      <c r="B233" s="64"/>
      <c r="C233" s="64"/>
      <c r="D233" s="64"/>
      <c r="E233" s="64"/>
      <c r="F233" s="64"/>
      <c r="G233" s="64"/>
      <c r="H233" s="64"/>
      <c r="I233" s="64"/>
      <c r="J233" s="64"/>
      <c r="K233" s="64"/>
      <c r="L233" s="64"/>
      <c r="M233" s="64"/>
      <c r="N233" s="64"/>
      <c r="O233" s="64"/>
      <c r="P233" s="64"/>
      <c r="Q233" s="64"/>
      <c r="R233" s="64"/>
      <c r="S233" s="64"/>
      <c r="T233" s="64"/>
      <c r="U233" s="64"/>
      <c r="V233" s="64"/>
      <c r="W233" s="64"/>
      <c r="X233" s="64"/>
      <c r="Y233" s="64"/>
      <c r="Z233" s="64"/>
    </row>
    <row r="234" spans="1:26" ht="12.75" customHeight="1" x14ac:dyDescent="0.25">
      <c r="A234" s="64"/>
      <c r="B234" s="64"/>
      <c r="C234" s="64"/>
      <c r="D234" s="64"/>
      <c r="E234" s="64"/>
      <c r="F234" s="64"/>
      <c r="G234" s="64"/>
      <c r="H234" s="64"/>
      <c r="I234" s="64"/>
      <c r="J234" s="64"/>
      <c r="K234" s="64"/>
      <c r="L234" s="64"/>
      <c r="M234" s="64"/>
      <c r="N234" s="64"/>
      <c r="O234" s="64"/>
      <c r="P234" s="64"/>
      <c r="Q234" s="64"/>
      <c r="R234" s="64"/>
      <c r="S234" s="64"/>
      <c r="T234" s="64"/>
      <c r="U234" s="64"/>
      <c r="V234" s="64"/>
      <c r="W234" s="64"/>
      <c r="X234" s="64"/>
      <c r="Y234" s="64"/>
      <c r="Z234" s="64"/>
    </row>
    <row r="235" spans="1:26" ht="12.75" customHeight="1" x14ac:dyDescent="0.25">
      <c r="A235" s="64"/>
      <c r="B235" s="64"/>
      <c r="C235" s="64"/>
      <c r="D235" s="64"/>
      <c r="E235" s="64"/>
      <c r="F235" s="64"/>
      <c r="G235" s="64"/>
      <c r="H235" s="64"/>
      <c r="I235" s="64"/>
      <c r="J235" s="64"/>
      <c r="K235" s="64"/>
      <c r="L235" s="64"/>
      <c r="M235" s="64"/>
      <c r="N235" s="64"/>
      <c r="O235" s="64"/>
      <c r="P235" s="64"/>
      <c r="Q235" s="64"/>
      <c r="R235" s="64"/>
      <c r="S235" s="64"/>
      <c r="T235" s="64"/>
      <c r="U235" s="64"/>
      <c r="V235" s="64"/>
      <c r="W235" s="64"/>
      <c r="X235" s="64"/>
      <c r="Y235" s="64"/>
      <c r="Z235" s="64"/>
    </row>
    <row r="236" spans="1:26" ht="12.75" customHeight="1" x14ac:dyDescent="0.25">
      <c r="A236" s="64"/>
      <c r="B236" s="64"/>
      <c r="C236" s="64"/>
      <c r="D236" s="64"/>
      <c r="E236" s="64"/>
      <c r="F236" s="64"/>
      <c r="G236" s="64"/>
      <c r="H236" s="64"/>
      <c r="I236" s="64"/>
      <c r="J236" s="64"/>
      <c r="K236" s="64"/>
      <c r="L236" s="64"/>
      <c r="M236" s="64"/>
      <c r="N236" s="64"/>
      <c r="O236" s="64"/>
      <c r="P236" s="64"/>
      <c r="Q236" s="64"/>
      <c r="R236" s="64"/>
      <c r="S236" s="64"/>
      <c r="T236" s="64"/>
      <c r="U236" s="64"/>
      <c r="V236" s="64"/>
      <c r="W236" s="64"/>
      <c r="X236" s="64"/>
      <c r="Y236" s="64"/>
      <c r="Z236" s="64"/>
    </row>
    <row r="237" spans="1:26" ht="12.75" customHeight="1" x14ac:dyDescent="0.25">
      <c r="A237" s="64"/>
      <c r="B237" s="64"/>
      <c r="C237" s="64"/>
      <c r="D237" s="64"/>
      <c r="E237" s="64"/>
      <c r="F237" s="64"/>
      <c r="G237" s="64"/>
      <c r="H237" s="64"/>
      <c r="I237" s="64"/>
      <c r="J237" s="64"/>
      <c r="K237" s="64"/>
      <c r="L237" s="64"/>
      <c r="M237" s="64"/>
      <c r="N237" s="64"/>
      <c r="O237" s="64"/>
      <c r="P237" s="64"/>
      <c r="Q237" s="64"/>
      <c r="R237" s="64"/>
      <c r="S237" s="64"/>
      <c r="T237" s="64"/>
      <c r="U237" s="64"/>
      <c r="V237" s="64"/>
      <c r="W237" s="64"/>
      <c r="X237" s="64"/>
      <c r="Y237" s="64"/>
      <c r="Z237" s="64"/>
    </row>
    <row r="238" spans="1:26" ht="12.75" customHeight="1" x14ac:dyDescent="0.25">
      <c r="A238" s="64"/>
      <c r="B238" s="64"/>
      <c r="C238" s="64"/>
      <c r="D238" s="64"/>
      <c r="E238" s="64"/>
      <c r="F238" s="64"/>
      <c r="G238" s="64"/>
      <c r="H238" s="64"/>
      <c r="I238" s="64"/>
      <c r="J238" s="64"/>
      <c r="K238" s="64"/>
      <c r="L238" s="64"/>
      <c r="M238" s="64"/>
      <c r="N238" s="64"/>
      <c r="O238" s="64"/>
      <c r="P238" s="64"/>
      <c r="Q238" s="64"/>
      <c r="R238" s="64"/>
      <c r="S238" s="64"/>
      <c r="T238" s="64"/>
      <c r="U238" s="64"/>
      <c r="V238" s="64"/>
      <c r="W238" s="64"/>
      <c r="X238" s="64"/>
      <c r="Y238" s="64"/>
      <c r="Z238" s="64"/>
    </row>
    <row r="239" spans="1:26" ht="12.75" customHeight="1" x14ac:dyDescent="0.25">
      <c r="A239" s="64"/>
      <c r="B239" s="64"/>
      <c r="C239" s="64"/>
      <c r="D239" s="64"/>
      <c r="E239" s="64"/>
      <c r="F239" s="64"/>
      <c r="G239" s="64"/>
      <c r="H239" s="64"/>
      <c r="I239" s="64"/>
      <c r="J239" s="64"/>
      <c r="K239" s="64"/>
      <c r="L239" s="64"/>
      <c r="M239" s="64"/>
      <c r="N239" s="64"/>
      <c r="O239" s="64"/>
      <c r="P239" s="64"/>
      <c r="Q239" s="64"/>
      <c r="R239" s="64"/>
      <c r="S239" s="64"/>
      <c r="T239" s="64"/>
      <c r="U239" s="64"/>
      <c r="V239" s="64"/>
      <c r="W239" s="64"/>
      <c r="X239" s="64"/>
      <c r="Y239" s="64"/>
      <c r="Z239" s="64"/>
    </row>
    <row r="240" spans="1:26" ht="12.75" customHeight="1" x14ac:dyDescent="0.25">
      <c r="A240" s="64"/>
      <c r="B240" s="64"/>
      <c r="C240" s="64"/>
      <c r="D240" s="64"/>
      <c r="E240" s="64"/>
      <c r="F240" s="64"/>
      <c r="G240" s="64"/>
      <c r="H240" s="64"/>
      <c r="I240" s="64"/>
      <c r="J240" s="64"/>
      <c r="K240" s="64"/>
      <c r="L240" s="64"/>
      <c r="M240" s="64"/>
      <c r="N240" s="64"/>
      <c r="O240" s="64"/>
      <c r="P240" s="64"/>
      <c r="Q240" s="64"/>
      <c r="R240" s="64"/>
      <c r="S240" s="64"/>
      <c r="T240" s="64"/>
      <c r="U240" s="64"/>
      <c r="V240" s="64"/>
      <c r="W240" s="64"/>
      <c r="X240" s="64"/>
      <c r="Y240" s="64"/>
      <c r="Z240" s="64"/>
    </row>
    <row r="241" spans="1:26" ht="12.75" customHeight="1" x14ac:dyDescent="0.25">
      <c r="A241" s="64"/>
      <c r="B241" s="64"/>
      <c r="C241" s="64"/>
      <c r="D241" s="64"/>
      <c r="E241" s="64"/>
      <c r="F241" s="64"/>
      <c r="G241" s="64"/>
      <c r="H241" s="64"/>
      <c r="I241" s="64"/>
      <c r="J241" s="64"/>
      <c r="K241" s="64"/>
      <c r="L241" s="64"/>
      <c r="M241" s="64"/>
      <c r="N241" s="64"/>
      <c r="O241" s="64"/>
      <c r="P241" s="64"/>
      <c r="Q241" s="64"/>
      <c r="R241" s="64"/>
      <c r="S241" s="64"/>
      <c r="T241" s="64"/>
      <c r="U241" s="64"/>
      <c r="V241" s="64"/>
      <c r="W241" s="64"/>
      <c r="X241" s="64"/>
      <c r="Y241" s="64"/>
      <c r="Z241" s="64"/>
    </row>
    <row r="242" spans="1:26" ht="12.75" customHeight="1" x14ac:dyDescent="0.25">
      <c r="A242" s="64"/>
      <c r="B242" s="64"/>
      <c r="C242" s="64"/>
      <c r="D242" s="64"/>
      <c r="E242" s="64"/>
      <c r="F242" s="64"/>
      <c r="G242" s="64"/>
      <c r="H242" s="64"/>
      <c r="I242" s="64"/>
      <c r="J242" s="64"/>
      <c r="K242" s="64"/>
      <c r="L242" s="64"/>
      <c r="M242" s="64"/>
      <c r="N242" s="64"/>
      <c r="O242" s="64"/>
      <c r="P242" s="64"/>
      <c r="Q242" s="64"/>
      <c r="R242" s="64"/>
      <c r="S242" s="64"/>
      <c r="T242" s="64"/>
      <c r="U242" s="64"/>
      <c r="V242" s="64"/>
      <c r="W242" s="64"/>
      <c r="X242" s="64"/>
      <c r="Y242" s="64"/>
      <c r="Z242" s="64"/>
    </row>
    <row r="243" spans="1:26" ht="12.75" customHeight="1" x14ac:dyDescent="0.25">
      <c r="A243" s="64"/>
      <c r="B243" s="64"/>
      <c r="C243" s="64"/>
      <c r="D243" s="64"/>
      <c r="E243" s="64"/>
      <c r="F243" s="64"/>
      <c r="G243" s="64"/>
      <c r="H243" s="64"/>
      <c r="I243" s="64"/>
      <c r="J243" s="64"/>
      <c r="K243" s="64"/>
      <c r="L243" s="64"/>
      <c r="M243" s="64"/>
      <c r="N243" s="64"/>
      <c r="O243" s="64"/>
      <c r="P243" s="64"/>
      <c r="Q243" s="64"/>
      <c r="R243" s="64"/>
      <c r="S243" s="64"/>
      <c r="T243" s="64"/>
      <c r="U243" s="64"/>
      <c r="V243" s="64"/>
      <c r="W243" s="64"/>
      <c r="X243" s="64"/>
      <c r="Y243" s="64"/>
      <c r="Z243" s="64"/>
    </row>
    <row r="244" spans="1:26" ht="12.75" customHeight="1" x14ac:dyDescent="0.25">
      <c r="A244" s="64"/>
      <c r="B244" s="64"/>
      <c r="C244" s="64"/>
      <c r="D244" s="64"/>
      <c r="E244" s="64"/>
      <c r="F244" s="64"/>
      <c r="G244" s="64"/>
      <c r="H244" s="64"/>
      <c r="I244" s="64"/>
      <c r="J244" s="64"/>
      <c r="K244" s="64"/>
      <c r="L244" s="64"/>
      <c r="M244" s="64"/>
      <c r="N244" s="64"/>
      <c r="O244" s="64"/>
      <c r="P244" s="64"/>
      <c r="Q244" s="64"/>
      <c r="R244" s="64"/>
      <c r="S244" s="64"/>
      <c r="T244" s="64"/>
      <c r="U244" s="64"/>
      <c r="V244" s="64"/>
      <c r="W244" s="64"/>
      <c r="X244" s="64"/>
      <c r="Y244" s="64"/>
      <c r="Z244" s="64"/>
    </row>
    <row r="245" spans="1:26" ht="12.75" customHeight="1" x14ac:dyDescent="0.25">
      <c r="A245" s="64"/>
      <c r="B245" s="64"/>
      <c r="C245" s="64"/>
      <c r="D245" s="64"/>
      <c r="E245" s="64"/>
      <c r="F245" s="64"/>
      <c r="G245" s="64"/>
      <c r="H245" s="64"/>
      <c r="I245" s="64"/>
      <c r="J245" s="64"/>
      <c r="K245" s="64"/>
      <c r="L245" s="64"/>
      <c r="M245" s="64"/>
      <c r="N245" s="64"/>
      <c r="O245" s="64"/>
      <c r="P245" s="64"/>
      <c r="Q245" s="64"/>
      <c r="R245" s="64"/>
      <c r="S245" s="64"/>
      <c r="T245" s="64"/>
      <c r="U245" s="64"/>
      <c r="V245" s="64"/>
      <c r="W245" s="64"/>
      <c r="X245" s="64"/>
      <c r="Y245" s="64"/>
      <c r="Z245" s="64"/>
    </row>
    <row r="246" spans="1:26" ht="12.75" customHeight="1" x14ac:dyDescent="0.25">
      <c r="A246" s="64"/>
      <c r="B246" s="64"/>
      <c r="C246" s="64"/>
      <c r="D246" s="64"/>
      <c r="E246" s="64"/>
      <c r="F246" s="64"/>
      <c r="G246" s="64"/>
      <c r="H246" s="64"/>
      <c r="I246" s="64"/>
      <c r="J246" s="64"/>
      <c r="K246" s="64"/>
      <c r="L246" s="64"/>
      <c r="M246" s="64"/>
      <c r="N246" s="64"/>
      <c r="O246" s="64"/>
      <c r="P246" s="64"/>
      <c r="Q246" s="64"/>
      <c r="R246" s="64"/>
      <c r="S246" s="64"/>
      <c r="T246" s="64"/>
      <c r="U246" s="64"/>
      <c r="V246" s="64"/>
      <c r="W246" s="64"/>
      <c r="X246" s="64"/>
      <c r="Y246" s="64"/>
      <c r="Z246" s="64"/>
    </row>
    <row r="247" spans="1:26" ht="12.75" customHeight="1" x14ac:dyDescent="0.25">
      <c r="A247" s="64"/>
      <c r="B247" s="64"/>
      <c r="C247" s="64"/>
      <c r="D247" s="64"/>
      <c r="E247" s="64"/>
      <c r="F247" s="64"/>
      <c r="G247" s="64"/>
      <c r="H247" s="64"/>
      <c r="I247" s="64"/>
      <c r="J247" s="64"/>
      <c r="K247" s="64"/>
      <c r="L247" s="64"/>
      <c r="M247" s="64"/>
      <c r="N247" s="64"/>
      <c r="O247" s="64"/>
      <c r="P247" s="64"/>
      <c r="Q247" s="64"/>
      <c r="R247" s="64"/>
      <c r="S247" s="64"/>
      <c r="T247" s="64"/>
      <c r="U247" s="64"/>
      <c r="V247" s="64"/>
      <c r="W247" s="64"/>
      <c r="X247" s="64"/>
      <c r="Y247" s="64"/>
      <c r="Z247" s="64"/>
    </row>
    <row r="248" spans="1:26" ht="12.75" customHeight="1" x14ac:dyDescent="0.25">
      <c r="A248" s="64"/>
      <c r="B248" s="64"/>
      <c r="C248" s="64"/>
      <c r="D248" s="64"/>
      <c r="E248" s="64"/>
      <c r="F248" s="64"/>
      <c r="G248" s="64"/>
      <c r="H248" s="64"/>
      <c r="I248" s="64"/>
      <c r="J248" s="64"/>
      <c r="K248" s="64"/>
      <c r="L248" s="64"/>
      <c r="M248" s="64"/>
      <c r="N248" s="64"/>
      <c r="O248" s="64"/>
      <c r="P248" s="64"/>
      <c r="Q248" s="64"/>
      <c r="R248" s="64"/>
      <c r="S248" s="64"/>
      <c r="T248" s="64"/>
      <c r="U248" s="64"/>
      <c r="V248" s="64"/>
      <c r="W248" s="64"/>
      <c r="X248" s="64"/>
      <c r="Y248" s="64"/>
      <c r="Z248" s="64"/>
    </row>
    <row r="249" spans="1:26" ht="12.75" customHeight="1" x14ac:dyDescent="0.25">
      <c r="A249" s="64"/>
      <c r="B249" s="64"/>
      <c r="C249" s="64"/>
      <c r="D249" s="64"/>
      <c r="E249" s="64"/>
      <c r="F249" s="64"/>
      <c r="G249" s="64"/>
      <c r="H249" s="64"/>
      <c r="I249" s="64"/>
      <c r="J249" s="64"/>
      <c r="K249" s="64"/>
      <c r="L249" s="64"/>
      <c r="M249" s="64"/>
      <c r="N249" s="64"/>
      <c r="O249" s="64"/>
      <c r="P249" s="64"/>
      <c r="Q249" s="64"/>
      <c r="R249" s="64"/>
      <c r="S249" s="64"/>
      <c r="T249" s="64"/>
      <c r="U249" s="64"/>
      <c r="V249" s="64"/>
      <c r="W249" s="64"/>
      <c r="X249" s="64"/>
      <c r="Y249" s="64"/>
      <c r="Z249" s="64"/>
    </row>
    <row r="250" spans="1:26" ht="12.75" customHeight="1" x14ac:dyDescent="0.25">
      <c r="A250" s="64"/>
      <c r="B250" s="64"/>
      <c r="C250" s="64"/>
      <c r="D250" s="64"/>
      <c r="E250" s="64"/>
      <c r="F250" s="64"/>
      <c r="G250" s="64"/>
      <c r="H250" s="64"/>
      <c r="I250" s="64"/>
      <c r="J250" s="64"/>
      <c r="K250" s="64"/>
      <c r="L250" s="64"/>
      <c r="M250" s="64"/>
      <c r="N250" s="64"/>
      <c r="O250" s="64"/>
      <c r="P250" s="64"/>
      <c r="Q250" s="64"/>
      <c r="R250" s="64"/>
      <c r="S250" s="64"/>
      <c r="T250" s="64"/>
      <c r="U250" s="64"/>
      <c r="V250" s="64"/>
      <c r="W250" s="64"/>
      <c r="X250" s="64"/>
      <c r="Y250" s="64"/>
      <c r="Z250" s="64"/>
    </row>
    <row r="251" spans="1:26" ht="12.75" customHeight="1" x14ac:dyDescent="0.25">
      <c r="A251" s="64"/>
      <c r="B251" s="64"/>
      <c r="C251" s="64"/>
      <c r="D251" s="64"/>
      <c r="E251" s="64"/>
      <c r="F251" s="64"/>
      <c r="G251" s="64"/>
      <c r="H251" s="64"/>
      <c r="I251" s="64"/>
      <c r="J251" s="64"/>
      <c r="K251" s="64"/>
      <c r="L251" s="64"/>
      <c r="M251" s="64"/>
      <c r="N251" s="64"/>
      <c r="O251" s="64"/>
      <c r="P251" s="64"/>
      <c r="Q251" s="64"/>
      <c r="R251" s="64"/>
      <c r="S251" s="64"/>
      <c r="T251" s="64"/>
      <c r="U251" s="64"/>
      <c r="V251" s="64"/>
      <c r="W251" s="64"/>
      <c r="X251" s="64"/>
      <c r="Y251" s="64"/>
      <c r="Z251" s="64"/>
    </row>
    <row r="252" spans="1:26" ht="12.75" customHeight="1" x14ac:dyDescent="0.25">
      <c r="A252" s="64"/>
      <c r="B252" s="64"/>
      <c r="C252" s="64"/>
      <c r="D252" s="64"/>
      <c r="E252" s="64"/>
      <c r="F252" s="64"/>
      <c r="G252" s="64"/>
      <c r="H252" s="64"/>
      <c r="I252" s="64"/>
      <c r="J252" s="64"/>
      <c r="K252" s="64"/>
      <c r="L252" s="64"/>
      <c r="M252" s="64"/>
      <c r="N252" s="64"/>
      <c r="O252" s="64"/>
      <c r="P252" s="64"/>
      <c r="Q252" s="64"/>
      <c r="R252" s="64"/>
      <c r="S252" s="64"/>
      <c r="T252" s="64"/>
      <c r="U252" s="64"/>
      <c r="V252" s="64"/>
      <c r="W252" s="64"/>
      <c r="X252" s="64"/>
      <c r="Y252" s="64"/>
      <c r="Z252" s="64"/>
    </row>
    <row r="253" spans="1:26" ht="12.75" customHeight="1" x14ac:dyDescent="0.25">
      <c r="A253" s="64"/>
      <c r="B253" s="64"/>
      <c r="C253" s="64"/>
      <c r="D253" s="64"/>
      <c r="E253" s="64"/>
      <c r="F253" s="64"/>
      <c r="G253" s="64"/>
      <c r="H253" s="64"/>
      <c r="I253" s="64"/>
      <c r="J253" s="64"/>
      <c r="K253" s="64"/>
      <c r="L253" s="64"/>
      <c r="M253" s="64"/>
      <c r="N253" s="64"/>
      <c r="O253" s="64"/>
      <c r="P253" s="64"/>
      <c r="Q253" s="64"/>
      <c r="R253" s="64"/>
      <c r="S253" s="64"/>
      <c r="T253" s="64"/>
      <c r="U253" s="64"/>
      <c r="V253" s="64"/>
      <c r="W253" s="64"/>
      <c r="X253" s="64"/>
      <c r="Y253" s="64"/>
      <c r="Z253" s="64"/>
    </row>
    <row r="254" spans="1:26" ht="12.75" customHeight="1" x14ac:dyDescent="0.25">
      <c r="A254" s="64"/>
      <c r="B254" s="64"/>
      <c r="C254" s="64"/>
      <c r="D254" s="64"/>
      <c r="E254" s="64"/>
      <c r="F254" s="64"/>
      <c r="G254" s="64"/>
      <c r="H254" s="64"/>
      <c r="I254" s="64"/>
      <c r="J254" s="64"/>
      <c r="K254" s="64"/>
      <c r="L254" s="64"/>
      <c r="M254" s="64"/>
      <c r="N254" s="64"/>
      <c r="O254" s="64"/>
      <c r="P254" s="64"/>
      <c r="Q254" s="64"/>
      <c r="R254" s="64"/>
      <c r="S254" s="64"/>
      <c r="T254" s="64"/>
      <c r="U254" s="64"/>
      <c r="V254" s="64"/>
      <c r="W254" s="64"/>
      <c r="X254" s="64"/>
      <c r="Y254" s="64"/>
      <c r="Z254" s="64"/>
    </row>
    <row r="255" spans="1:26" ht="12.75" customHeight="1" x14ac:dyDescent="0.25">
      <c r="A255" s="64"/>
      <c r="B255" s="64"/>
      <c r="C255" s="64"/>
      <c r="D255" s="64"/>
      <c r="E255" s="64"/>
      <c r="F255" s="64"/>
      <c r="G255" s="64"/>
      <c r="H255" s="64"/>
      <c r="I255" s="64"/>
      <c r="J255" s="64"/>
      <c r="K255" s="64"/>
      <c r="L255" s="64"/>
      <c r="M255" s="64"/>
      <c r="N255" s="64"/>
      <c r="O255" s="64"/>
      <c r="P255" s="64"/>
      <c r="Q255" s="64"/>
      <c r="R255" s="64"/>
      <c r="S255" s="64"/>
      <c r="T255" s="64"/>
      <c r="U255" s="64"/>
      <c r="V255" s="64"/>
      <c r="W255" s="64"/>
      <c r="X255" s="64"/>
      <c r="Y255" s="64"/>
      <c r="Z255" s="64"/>
    </row>
    <row r="256" spans="1:26" ht="12.75" customHeight="1" x14ac:dyDescent="0.25">
      <c r="A256" s="64"/>
      <c r="B256" s="64"/>
      <c r="C256" s="64"/>
      <c r="D256" s="64"/>
      <c r="E256" s="64"/>
      <c r="F256" s="64"/>
      <c r="G256" s="64"/>
      <c r="H256" s="64"/>
      <c r="I256" s="64"/>
      <c r="J256" s="64"/>
      <c r="K256" s="64"/>
      <c r="L256" s="64"/>
      <c r="M256" s="64"/>
      <c r="N256" s="64"/>
      <c r="O256" s="64"/>
      <c r="P256" s="64"/>
      <c r="Q256" s="64"/>
      <c r="R256" s="64"/>
      <c r="S256" s="64"/>
      <c r="T256" s="64"/>
      <c r="U256" s="64"/>
      <c r="V256" s="64"/>
      <c r="W256" s="64"/>
      <c r="X256" s="64"/>
      <c r="Y256" s="64"/>
      <c r="Z256" s="64"/>
    </row>
    <row r="257" spans="1:26" ht="12.75" customHeight="1" x14ac:dyDescent="0.25">
      <c r="A257" s="64"/>
      <c r="B257" s="64"/>
      <c r="C257" s="64"/>
      <c r="D257" s="64"/>
      <c r="E257" s="64"/>
      <c r="F257" s="64"/>
      <c r="G257" s="64"/>
      <c r="H257" s="64"/>
      <c r="I257" s="64"/>
      <c r="J257" s="64"/>
      <c r="K257" s="64"/>
      <c r="L257" s="64"/>
      <c r="M257" s="64"/>
      <c r="N257" s="64"/>
      <c r="O257" s="64"/>
      <c r="P257" s="64"/>
      <c r="Q257" s="64"/>
      <c r="R257" s="64"/>
      <c r="S257" s="64"/>
      <c r="T257" s="64"/>
      <c r="U257" s="64"/>
      <c r="V257" s="64"/>
      <c r="W257" s="64"/>
      <c r="X257" s="64"/>
      <c r="Y257" s="64"/>
      <c r="Z257" s="64"/>
    </row>
    <row r="258" spans="1:26" ht="12.75" customHeight="1" x14ac:dyDescent="0.25">
      <c r="A258" s="64"/>
      <c r="B258" s="64"/>
      <c r="C258" s="64"/>
      <c r="D258" s="64"/>
      <c r="E258" s="64"/>
      <c r="F258" s="64"/>
      <c r="G258" s="64"/>
      <c r="H258" s="64"/>
      <c r="I258" s="64"/>
      <c r="J258" s="64"/>
      <c r="K258" s="64"/>
      <c r="L258" s="64"/>
      <c r="M258" s="64"/>
      <c r="N258" s="64"/>
      <c r="O258" s="64"/>
      <c r="P258" s="64"/>
      <c r="Q258" s="64"/>
      <c r="R258" s="64"/>
      <c r="S258" s="64"/>
      <c r="T258" s="64"/>
      <c r="U258" s="64"/>
      <c r="V258" s="64"/>
      <c r="W258" s="64"/>
      <c r="X258" s="64"/>
      <c r="Y258" s="64"/>
      <c r="Z258" s="64"/>
    </row>
    <row r="259" spans="1:26" ht="12.75" customHeight="1" x14ac:dyDescent="0.25">
      <c r="A259" s="64"/>
      <c r="B259" s="64"/>
      <c r="C259" s="64"/>
      <c r="D259" s="64"/>
      <c r="E259" s="64"/>
      <c r="F259" s="64"/>
      <c r="G259" s="64"/>
      <c r="H259" s="64"/>
      <c r="I259" s="64"/>
      <c r="J259" s="64"/>
      <c r="K259" s="64"/>
      <c r="L259" s="64"/>
      <c r="M259" s="64"/>
      <c r="N259" s="64"/>
      <c r="O259" s="64"/>
      <c r="P259" s="64"/>
      <c r="Q259" s="64"/>
      <c r="R259" s="64"/>
      <c r="S259" s="64"/>
      <c r="T259" s="64"/>
      <c r="U259" s="64"/>
      <c r="V259" s="64"/>
      <c r="W259" s="64"/>
      <c r="X259" s="64"/>
      <c r="Y259" s="64"/>
      <c r="Z259" s="64"/>
    </row>
    <row r="260" spans="1:26" ht="12.75" customHeight="1" x14ac:dyDescent="0.25">
      <c r="A260" s="64"/>
      <c r="B260" s="64"/>
      <c r="C260" s="64"/>
      <c r="D260" s="64"/>
      <c r="E260" s="64"/>
      <c r="F260" s="64"/>
      <c r="G260" s="64"/>
      <c r="H260" s="64"/>
      <c r="I260" s="64"/>
      <c r="J260" s="64"/>
      <c r="K260" s="64"/>
      <c r="L260" s="64"/>
      <c r="M260" s="64"/>
      <c r="N260" s="64"/>
      <c r="O260" s="64"/>
      <c r="P260" s="64"/>
      <c r="Q260" s="64"/>
      <c r="R260" s="64"/>
      <c r="S260" s="64"/>
      <c r="T260" s="64"/>
      <c r="U260" s="64"/>
      <c r="V260" s="64"/>
      <c r="W260" s="64"/>
      <c r="X260" s="64"/>
      <c r="Y260" s="64"/>
      <c r="Z260" s="64"/>
    </row>
    <row r="261" spans="1:26" ht="12.75" customHeight="1" x14ac:dyDescent="0.25">
      <c r="A261" s="64"/>
      <c r="B261" s="64"/>
      <c r="C261" s="64"/>
      <c r="D261" s="64"/>
      <c r="E261" s="64"/>
      <c r="F261" s="64"/>
      <c r="G261" s="64"/>
      <c r="H261" s="64"/>
      <c r="I261" s="64"/>
      <c r="J261" s="64"/>
      <c r="K261" s="64"/>
      <c r="L261" s="64"/>
      <c r="M261" s="64"/>
      <c r="N261" s="64"/>
      <c r="O261" s="64"/>
      <c r="P261" s="64"/>
      <c r="Q261" s="64"/>
      <c r="R261" s="64"/>
      <c r="S261" s="64"/>
      <c r="T261" s="64"/>
      <c r="U261" s="64"/>
      <c r="V261" s="64"/>
      <c r="W261" s="64"/>
      <c r="X261" s="64"/>
      <c r="Y261" s="64"/>
      <c r="Z261" s="64"/>
    </row>
    <row r="262" spans="1:26" ht="12.75" customHeight="1" x14ac:dyDescent="0.25">
      <c r="A262" s="64"/>
      <c r="B262" s="64"/>
      <c r="C262" s="64"/>
      <c r="D262" s="64"/>
      <c r="E262" s="64"/>
      <c r="F262" s="64"/>
      <c r="G262" s="64"/>
      <c r="H262" s="64"/>
      <c r="I262" s="64"/>
      <c r="J262" s="64"/>
      <c r="K262" s="64"/>
      <c r="L262" s="64"/>
      <c r="M262" s="64"/>
      <c r="N262" s="64"/>
      <c r="O262" s="64"/>
      <c r="P262" s="64"/>
      <c r="Q262" s="64"/>
      <c r="R262" s="64"/>
      <c r="S262" s="64"/>
      <c r="T262" s="64"/>
      <c r="U262" s="64"/>
      <c r="V262" s="64"/>
      <c r="W262" s="64"/>
      <c r="X262" s="64"/>
      <c r="Y262" s="64"/>
      <c r="Z262" s="64"/>
    </row>
    <row r="263" spans="1:26" ht="12.75" customHeight="1" x14ac:dyDescent="0.25">
      <c r="A263" s="64"/>
      <c r="B263" s="64"/>
      <c r="C263" s="64"/>
      <c r="D263" s="64"/>
      <c r="E263" s="64"/>
      <c r="F263" s="64"/>
      <c r="G263" s="64"/>
      <c r="H263" s="64"/>
      <c r="I263" s="64"/>
      <c r="J263" s="64"/>
      <c r="K263" s="64"/>
      <c r="L263" s="64"/>
      <c r="M263" s="64"/>
      <c r="N263" s="64"/>
      <c r="O263" s="64"/>
      <c r="P263" s="64"/>
      <c r="Q263" s="64"/>
      <c r="R263" s="64"/>
      <c r="S263" s="64"/>
      <c r="T263" s="64"/>
      <c r="U263" s="64"/>
      <c r="V263" s="64"/>
      <c r="W263" s="64"/>
      <c r="X263" s="64"/>
      <c r="Y263" s="64"/>
      <c r="Z263" s="64"/>
    </row>
    <row r="264" spans="1:26" ht="12.75" customHeight="1" x14ac:dyDescent="0.25">
      <c r="A264" s="64"/>
      <c r="B264" s="64"/>
      <c r="C264" s="64"/>
      <c r="D264" s="64"/>
      <c r="E264" s="64"/>
      <c r="F264" s="64"/>
      <c r="G264" s="64"/>
      <c r="H264" s="64"/>
      <c r="I264" s="64"/>
      <c r="J264" s="64"/>
      <c r="K264" s="64"/>
      <c r="L264" s="64"/>
      <c r="M264" s="64"/>
      <c r="N264" s="64"/>
      <c r="O264" s="64"/>
      <c r="P264" s="64"/>
      <c r="Q264" s="64"/>
      <c r="R264" s="64"/>
      <c r="S264" s="64"/>
      <c r="T264" s="64"/>
      <c r="U264" s="64"/>
      <c r="V264" s="64"/>
      <c r="W264" s="64"/>
      <c r="X264" s="64"/>
      <c r="Y264" s="64"/>
      <c r="Z264" s="64"/>
    </row>
    <row r="265" spans="1:26" ht="12.75" customHeight="1" x14ac:dyDescent="0.25">
      <c r="A265" s="64"/>
      <c r="B265" s="64"/>
      <c r="C265" s="64"/>
      <c r="D265" s="64"/>
      <c r="E265" s="64"/>
      <c r="F265" s="64"/>
      <c r="G265" s="64"/>
      <c r="H265" s="64"/>
      <c r="I265" s="64"/>
      <c r="J265" s="64"/>
      <c r="K265" s="64"/>
      <c r="L265" s="64"/>
      <c r="M265" s="64"/>
      <c r="N265" s="64"/>
      <c r="O265" s="64"/>
      <c r="P265" s="64"/>
      <c r="Q265" s="64"/>
      <c r="R265" s="64"/>
      <c r="S265" s="64"/>
      <c r="T265" s="64"/>
      <c r="U265" s="64"/>
      <c r="V265" s="64"/>
      <c r="W265" s="64"/>
      <c r="X265" s="64"/>
      <c r="Y265" s="64"/>
      <c r="Z265" s="64"/>
    </row>
    <row r="266" spans="1:26" ht="12.75" customHeight="1" x14ac:dyDescent="0.25">
      <c r="A266" s="64"/>
      <c r="B266" s="64"/>
      <c r="C266" s="64"/>
      <c r="D266" s="64"/>
      <c r="E266" s="64"/>
      <c r="F266" s="64"/>
      <c r="G266" s="64"/>
      <c r="H266" s="64"/>
      <c r="I266" s="64"/>
      <c r="J266" s="64"/>
      <c r="K266" s="64"/>
      <c r="L266" s="64"/>
      <c r="M266" s="64"/>
      <c r="N266" s="64"/>
      <c r="O266" s="64"/>
      <c r="P266" s="64"/>
      <c r="Q266" s="64"/>
      <c r="R266" s="64"/>
      <c r="S266" s="64"/>
      <c r="T266" s="64"/>
      <c r="U266" s="64"/>
      <c r="V266" s="64"/>
      <c r="W266" s="64"/>
      <c r="X266" s="64"/>
      <c r="Y266" s="64"/>
      <c r="Z266" s="64"/>
    </row>
    <row r="267" spans="1:26" ht="12.75" customHeight="1" x14ac:dyDescent="0.25">
      <c r="A267" s="64"/>
      <c r="B267" s="64"/>
      <c r="C267" s="64"/>
      <c r="D267" s="64"/>
      <c r="E267" s="64"/>
      <c r="F267" s="64"/>
      <c r="G267" s="64"/>
      <c r="H267" s="64"/>
      <c r="I267" s="64"/>
      <c r="J267" s="64"/>
      <c r="K267" s="64"/>
      <c r="L267" s="64"/>
      <c r="M267" s="64"/>
      <c r="N267" s="64"/>
      <c r="O267" s="64"/>
      <c r="P267" s="64"/>
      <c r="Q267" s="64"/>
      <c r="R267" s="64"/>
      <c r="S267" s="64"/>
      <c r="T267" s="64"/>
      <c r="U267" s="64"/>
      <c r="V267" s="64"/>
      <c r="W267" s="64"/>
      <c r="X267" s="64"/>
      <c r="Y267" s="64"/>
      <c r="Z267" s="64"/>
    </row>
    <row r="268" spans="1:26" ht="12.75" customHeight="1" x14ac:dyDescent="0.25">
      <c r="A268" s="64"/>
      <c r="B268" s="64"/>
      <c r="C268" s="64"/>
      <c r="D268" s="64"/>
      <c r="E268" s="64"/>
      <c r="F268" s="64"/>
      <c r="G268" s="64"/>
      <c r="H268" s="64"/>
      <c r="I268" s="64"/>
      <c r="J268" s="64"/>
      <c r="K268" s="64"/>
      <c r="L268" s="64"/>
      <c r="M268" s="64"/>
      <c r="N268" s="64"/>
      <c r="O268" s="64"/>
      <c r="P268" s="64"/>
      <c r="Q268" s="64"/>
      <c r="R268" s="64"/>
      <c r="S268" s="64"/>
      <c r="T268" s="64"/>
      <c r="U268" s="64"/>
      <c r="V268" s="64"/>
      <c r="W268" s="64"/>
      <c r="X268" s="64"/>
      <c r="Y268" s="64"/>
      <c r="Z268" s="64"/>
    </row>
    <row r="269" spans="1:26" ht="12.75" customHeight="1" x14ac:dyDescent="0.25">
      <c r="A269" s="64"/>
      <c r="B269" s="64"/>
      <c r="C269" s="64"/>
      <c r="D269" s="64"/>
      <c r="E269" s="64"/>
      <c r="F269" s="64"/>
      <c r="G269" s="64"/>
      <c r="H269" s="64"/>
      <c r="I269" s="64"/>
      <c r="J269" s="64"/>
      <c r="K269" s="64"/>
      <c r="L269" s="64"/>
      <c r="M269" s="64"/>
      <c r="N269" s="64"/>
      <c r="O269" s="64"/>
      <c r="P269" s="64"/>
      <c r="Q269" s="64"/>
      <c r="R269" s="64"/>
      <c r="S269" s="64"/>
      <c r="T269" s="64"/>
      <c r="U269" s="64"/>
      <c r="V269" s="64"/>
      <c r="W269" s="64"/>
      <c r="X269" s="64"/>
      <c r="Y269" s="64"/>
      <c r="Z269" s="64"/>
    </row>
    <row r="270" spans="1:26" ht="12.75" customHeight="1" x14ac:dyDescent="0.25">
      <c r="A270" s="64"/>
      <c r="B270" s="64"/>
      <c r="C270" s="64"/>
      <c r="D270" s="64"/>
      <c r="E270" s="64"/>
      <c r="F270" s="64"/>
      <c r="G270" s="64"/>
      <c r="H270" s="64"/>
      <c r="I270" s="64"/>
      <c r="J270" s="64"/>
      <c r="K270" s="64"/>
      <c r="L270" s="64"/>
      <c r="M270" s="64"/>
      <c r="N270" s="64"/>
      <c r="O270" s="64"/>
      <c r="P270" s="64"/>
      <c r="Q270" s="64"/>
      <c r="R270" s="64"/>
      <c r="S270" s="64"/>
      <c r="T270" s="64"/>
      <c r="U270" s="64"/>
      <c r="V270" s="64"/>
      <c r="W270" s="64"/>
      <c r="X270" s="64"/>
      <c r="Y270" s="64"/>
      <c r="Z270" s="64"/>
    </row>
    <row r="271" spans="1:26" ht="12.75" customHeight="1" x14ac:dyDescent="0.25">
      <c r="A271" s="64"/>
      <c r="B271" s="64"/>
      <c r="C271" s="64"/>
      <c r="D271" s="64"/>
      <c r="E271" s="64"/>
      <c r="F271" s="64"/>
      <c r="G271" s="64"/>
      <c r="H271" s="64"/>
      <c r="I271" s="64"/>
      <c r="J271" s="64"/>
      <c r="K271" s="64"/>
      <c r="L271" s="64"/>
      <c r="M271" s="64"/>
      <c r="N271" s="64"/>
      <c r="O271" s="64"/>
      <c r="P271" s="64"/>
      <c r="Q271" s="64"/>
      <c r="R271" s="64"/>
      <c r="S271" s="64"/>
      <c r="T271" s="64"/>
      <c r="U271" s="64"/>
      <c r="V271" s="64"/>
      <c r="W271" s="64"/>
      <c r="X271" s="64"/>
      <c r="Y271" s="64"/>
      <c r="Z271" s="64"/>
    </row>
    <row r="272" spans="1:26" ht="12.75" customHeight="1" x14ac:dyDescent="0.25">
      <c r="A272" s="64"/>
      <c r="B272" s="64"/>
      <c r="C272" s="64"/>
      <c r="D272" s="64"/>
      <c r="E272" s="64"/>
      <c r="F272" s="64"/>
      <c r="G272" s="64"/>
      <c r="H272" s="64"/>
      <c r="I272" s="64"/>
      <c r="J272" s="64"/>
      <c r="K272" s="64"/>
      <c r="L272" s="64"/>
      <c r="M272" s="64"/>
      <c r="N272" s="64"/>
      <c r="O272" s="64"/>
      <c r="P272" s="64"/>
      <c r="Q272" s="64"/>
      <c r="R272" s="64"/>
      <c r="S272" s="64"/>
      <c r="T272" s="64"/>
      <c r="U272" s="64"/>
      <c r="V272" s="64"/>
      <c r="W272" s="64"/>
      <c r="X272" s="64"/>
      <c r="Y272" s="64"/>
      <c r="Z272" s="64"/>
    </row>
    <row r="273" spans="1:26" ht="12.75" customHeight="1" x14ac:dyDescent="0.25">
      <c r="A273" s="64"/>
      <c r="B273" s="64"/>
      <c r="C273" s="64"/>
      <c r="D273" s="64"/>
      <c r="E273" s="64"/>
      <c r="F273" s="64"/>
      <c r="G273" s="64"/>
      <c r="H273" s="64"/>
      <c r="I273" s="64"/>
      <c r="J273" s="64"/>
      <c r="K273" s="64"/>
      <c r="L273" s="64"/>
      <c r="M273" s="64"/>
      <c r="N273" s="64"/>
      <c r="O273" s="64"/>
      <c r="P273" s="64"/>
      <c r="Q273" s="64"/>
      <c r="R273" s="64"/>
      <c r="S273" s="64"/>
      <c r="T273" s="64"/>
      <c r="U273" s="64"/>
      <c r="V273" s="64"/>
      <c r="W273" s="64"/>
      <c r="X273" s="64"/>
      <c r="Y273" s="64"/>
      <c r="Z273" s="64"/>
    </row>
    <row r="274" spans="1:26" ht="12.75" customHeight="1" x14ac:dyDescent="0.25">
      <c r="A274" s="64"/>
      <c r="B274" s="64"/>
      <c r="C274" s="64"/>
      <c r="D274" s="64"/>
      <c r="E274" s="64"/>
      <c r="F274" s="64"/>
      <c r="G274" s="64"/>
      <c r="H274" s="64"/>
      <c r="I274" s="64"/>
      <c r="J274" s="64"/>
      <c r="K274" s="64"/>
      <c r="L274" s="64"/>
      <c r="M274" s="64"/>
      <c r="N274" s="64"/>
      <c r="O274" s="64"/>
      <c r="P274" s="64"/>
      <c r="Q274" s="64"/>
      <c r="R274" s="64"/>
      <c r="S274" s="64"/>
      <c r="T274" s="64"/>
      <c r="U274" s="64"/>
      <c r="V274" s="64"/>
      <c r="W274" s="64"/>
      <c r="X274" s="64"/>
      <c r="Y274" s="64"/>
      <c r="Z274" s="64"/>
    </row>
    <row r="275" spans="1:26" ht="12.75" customHeight="1" x14ac:dyDescent="0.25">
      <c r="A275" s="64"/>
      <c r="B275" s="64"/>
      <c r="C275" s="64"/>
      <c r="D275" s="64"/>
      <c r="E275" s="64"/>
      <c r="F275" s="64"/>
      <c r="G275" s="64"/>
      <c r="H275" s="64"/>
      <c r="I275" s="64"/>
      <c r="J275" s="64"/>
      <c r="K275" s="64"/>
      <c r="L275" s="64"/>
      <c r="M275" s="64"/>
      <c r="N275" s="64"/>
      <c r="O275" s="64"/>
      <c r="P275" s="64"/>
      <c r="Q275" s="64"/>
      <c r="R275" s="64"/>
      <c r="S275" s="64"/>
      <c r="T275" s="64"/>
      <c r="U275" s="64"/>
      <c r="V275" s="64"/>
      <c r="W275" s="64"/>
      <c r="X275" s="64"/>
      <c r="Y275" s="64"/>
      <c r="Z275" s="64"/>
    </row>
    <row r="276" spans="1:26" ht="12.75" customHeight="1" x14ac:dyDescent="0.25">
      <c r="A276" s="64"/>
      <c r="B276" s="64"/>
      <c r="C276" s="64"/>
      <c r="D276" s="64"/>
      <c r="E276" s="64"/>
      <c r="F276" s="64"/>
      <c r="G276" s="64"/>
      <c r="H276" s="64"/>
      <c r="I276" s="64"/>
      <c r="J276" s="64"/>
      <c r="K276" s="64"/>
      <c r="L276" s="64"/>
      <c r="M276" s="64"/>
      <c r="N276" s="64"/>
      <c r="O276" s="64"/>
      <c r="P276" s="64"/>
      <c r="Q276" s="64"/>
      <c r="R276" s="64"/>
      <c r="S276" s="64"/>
      <c r="T276" s="64"/>
      <c r="U276" s="64"/>
      <c r="V276" s="64"/>
      <c r="W276" s="64"/>
      <c r="X276" s="64"/>
      <c r="Y276" s="64"/>
      <c r="Z276" s="64"/>
    </row>
    <row r="277" spans="1:26" ht="12.75" customHeight="1" x14ac:dyDescent="0.25">
      <c r="A277" s="64"/>
      <c r="B277" s="64"/>
      <c r="C277" s="64"/>
      <c r="D277" s="64"/>
      <c r="E277" s="64"/>
      <c r="F277" s="64"/>
      <c r="G277" s="64"/>
      <c r="H277" s="64"/>
      <c r="I277" s="64"/>
      <c r="J277" s="64"/>
      <c r="K277" s="64"/>
      <c r="L277" s="64"/>
      <c r="M277" s="64"/>
      <c r="N277" s="64"/>
      <c r="O277" s="64"/>
      <c r="P277" s="64"/>
      <c r="Q277" s="64"/>
      <c r="R277" s="64"/>
      <c r="S277" s="64"/>
      <c r="T277" s="64"/>
      <c r="U277" s="64"/>
      <c r="V277" s="64"/>
      <c r="W277" s="64"/>
      <c r="X277" s="64"/>
      <c r="Y277" s="64"/>
      <c r="Z277" s="64"/>
    </row>
    <row r="278" spans="1:26" ht="12.75" customHeight="1" x14ac:dyDescent="0.25">
      <c r="A278" s="64"/>
      <c r="B278" s="64"/>
      <c r="C278" s="64"/>
      <c r="D278" s="64"/>
      <c r="E278" s="64"/>
      <c r="F278" s="64"/>
      <c r="G278" s="64"/>
      <c r="H278" s="64"/>
      <c r="I278" s="64"/>
      <c r="J278" s="64"/>
      <c r="K278" s="64"/>
      <c r="L278" s="64"/>
      <c r="M278" s="64"/>
      <c r="N278" s="64"/>
      <c r="O278" s="64"/>
      <c r="P278" s="64"/>
      <c r="Q278" s="64"/>
      <c r="R278" s="64"/>
      <c r="S278" s="64"/>
      <c r="T278" s="64"/>
      <c r="U278" s="64"/>
      <c r="V278" s="64"/>
      <c r="W278" s="64"/>
      <c r="X278" s="64"/>
      <c r="Y278" s="64"/>
      <c r="Z278" s="64"/>
    </row>
    <row r="279" spans="1:26" ht="12.75" customHeight="1" x14ac:dyDescent="0.25">
      <c r="A279" s="64"/>
      <c r="B279" s="64"/>
      <c r="C279" s="64"/>
      <c r="D279" s="64"/>
      <c r="E279" s="64"/>
      <c r="F279" s="64"/>
      <c r="G279" s="64"/>
      <c r="H279" s="64"/>
      <c r="I279" s="64"/>
      <c r="J279" s="64"/>
      <c r="K279" s="64"/>
      <c r="L279" s="64"/>
      <c r="M279" s="64"/>
      <c r="N279" s="64"/>
      <c r="O279" s="64"/>
      <c r="P279" s="64"/>
      <c r="Q279" s="64"/>
      <c r="R279" s="64"/>
      <c r="S279" s="64"/>
      <c r="T279" s="64"/>
      <c r="U279" s="64"/>
      <c r="V279" s="64"/>
      <c r="W279" s="64"/>
      <c r="X279" s="64"/>
      <c r="Y279" s="64"/>
      <c r="Z279" s="64"/>
    </row>
    <row r="280" spans="1:26" ht="12.75" customHeight="1" x14ac:dyDescent="0.25">
      <c r="A280" s="64"/>
      <c r="B280" s="64"/>
      <c r="C280" s="64"/>
      <c r="D280" s="64"/>
      <c r="E280" s="64"/>
      <c r="F280" s="64"/>
      <c r="G280" s="64"/>
      <c r="H280" s="64"/>
      <c r="I280" s="64"/>
      <c r="J280" s="64"/>
      <c r="K280" s="64"/>
      <c r="L280" s="64"/>
      <c r="M280" s="64"/>
      <c r="N280" s="64"/>
      <c r="O280" s="64"/>
      <c r="P280" s="64"/>
      <c r="Q280" s="64"/>
      <c r="R280" s="64"/>
      <c r="S280" s="64"/>
      <c r="T280" s="64"/>
      <c r="U280" s="64"/>
      <c r="V280" s="64"/>
      <c r="W280" s="64"/>
      <c r="X280" s="64"/>
      <c r="Y280" s="64"/>
      <c r="Z280" s="64"/>
    </row>
    <row r="281" spans="1:26" ht="12.75" customHeight="1" x14ac:dyDescent="0.25">
      <c r="A281" s="64"/>
      <c r="B281" s="64"/>
      <c r="C281" s="64"/>
      <c r="D281" s="64"/>
      <c r="E281" s="64"/>
      <c r="F281" s="64"/>
      <c r="G281" s="64"/>
      <c r="H281" s="64"/>
      <c r="I281" s="64"/>
      <c r="J281" s="64"/>
      <c r="K281" s="64"/>
      <c r="L281" s="64"/>
      <c r="M281" s="64"/>
      <c r="N281" s="64"/>
      <c r="O281" s="64"/>
      <c r="P281" s="64"/>
      <c r="Q281" s="64"/>
      <c r="R281" s="64"/>
      <c r="S281" s="64"/>
      <c r="T281" s="64"/>
      <c r="U281" s="64"/>
      <c r="V281" s="64"/>
      <c r="W281" s="64"/>
      <c r="X281" s="64"/>
      <c r="Y281" s="64"/>
      <c r="Z281" s="64"/>
    </row>
    <row r="282" spans="1:26" ht="12.75" customHeight="1" x14ac:dyDescent="0.25">
      <c r="A282" s="64"/>
      <c r="B282" s="64"/>
      <c r="C282" s="64"/>
      <c r="D282" s="64"/>
      <c r="E282" s="64"/>
      <c r="F282" s="64"/>
      <c r="G282" s="64"/>
      <c r="H282" s="64"/>
      <c r="I282" s="64"/>
      <c r="J282" s="64"/>
      <c r="K282" s="64"/>
      <c r="L282" s="64"/>
      <c r="M282" s="64"/>
      <c r="N282" s="64"/>
      <c r="O282" s="64"/>
      <c r="P282" s="64"/>
      <c r="Q282" s="64"/>
      <c r="R282" s="64"/>
      <c r="S282" s="64"/>
      <c r="T282" s="64"/>
      <c r="U282" s="64"/>
      <c r="V282" s="64"/>
      <c r="W282" s="64"/>
      <c r="X282" s="64"/>
      <c r="Y282" s="64"/>
      <c r="Z282" s="64"/>
    </row>
    <row r="283" spans="1:26" ht="12.75" customHeight="1" x14ac:dyDescent="0.25">
      <c r="A283" s="64"/>
      <c r="B283" s="64"/>
      <c r="C283" s="64"/>
      <c r="D283" s="64"/>
      <c r="E283" s="64"/>
      <c r="F283" s="64"/>
      <c r="G283" s="64"/>
      <c r="H283" s="64"/>
      <c r="I283" s="64"/>
      <c r="J283" s="64"/>
      <c r="K283" s="64"/>
      <c r="L283" s="64"/>
      <c r="M283" s="64"/>
      <c r="N283" s="64"/>
      <c r="O283" s="64"/>
      <c r="P283" s="64"/>
      <c r="Q283" s="64"/>
      <c r="R283" s="64"/>
      <c r="S283" s="64"/>
      <c r="T283" s="64"/>
      <c r="U283" s="64"/>
      <c r="V283" s="64"/>
      <c r="W283" s="64"/>
      <c r="X283" s="64"/>
      <c r="Y283" s="64"/>
      <c r="Z283" s="64"/>
    </row>
    <row r="284" spans="1:26" ht="12.75" customHeight="1" x14ac:dyDescent="0.25">
      <c r="A284" s="64"/>
      <c r="B284" s="64"/>
      <c r="C284" s="64"/>
      <c r="D284" s="64"/>
      <c r="E284" s="64"/>
      <c r="F284" s="64"/>
      <c r="G284" s="64"/>
      <c r="H284" s="64"/>
      <c r="I284" s="64"/>
      <c r="J284" s="64"/>
      <c r="K284" s="64"/>
      <c r="L284" s="64"/>
      <c r="M284" s="64"/>
      <c r="N284" s="64"/>
      <c r="O284" s="64"/>
      <c r="P284" s="64"/>
      <c r="Q284" s="64"/>
      <c r="R284" s="64"/>
      <c r="S284" s="64"/>
      <c r="T284" s="64"/>
      <c r="U284" s="64"/>
      <c r="V284" s="64"/>
      <c r="W284" s="64"/>
      <c r="X284" s="64"/>
      <c r="Y284" s="64"/>
      <c r="Z284" s="64"/>
    </row>
    <row r="285" spans="1:26" ht="12.75" customHeight="1" x14ac:dyDescent="0.25">
      <c r="A285" s="64"/>
      <c r="B285" s="64"/>
      <c r="C285" s="64"/>
      <c r="D285" s="64"/>
      <c r="E285" s="64"/>
      <c r="F285" s="64"/>
      <c r="G285" s="64"/>
      <c r="H285" s="64"/>
      <c r="I285" s="64"/>
      <c r="J285" s="64"/>
      <c r="K285" s="64"/>
      <c r="L285" s="64"/>
      <c r="M285" s="64"/>
      <c r="N285" s="64"/>
      <c r="O285" s="64"/>
      <c r="P285" s="64"/>
      <c r="Q285" s="64"/>
      <c r="R285" s="64"/>
      <c r="S285" s="64"/>
      <c r="T285" s="64"/>
      <c r="U285" s="64"/>
      <c r="V285" s="64"/>
      <c r="W285" s="64"/>
      <c r="X285" s="64"/>
      <c r="Y285" s="64"/>
      <c r="Z285" s="64"/>
    </row>
    <row r="286" spans="1:26" ht="12.75" customHeight="1" x14ac:dyDescent="0.25">
      <c r="A286" s="64"/>
      <c r="B286" s="64"/>
      <c r="C286" s="64"/>
      <c r="D286" s="64"/>
      <c r="E286" s="64"/>
      <c r="F286" s="64"/>
      <c r="G286" s="64"/>
      <c r="H286" s="64"/>
      <c r="I286" s="64"/>
      <c r="J286" s="64"/>
      <c r="K286" s="64"/>
      <c r="L286" s="64"/>
      <c r="M286" s="64"/>
      <c r="N286" s="64"/>
      <c r="O286" s="64"/>
      <c r="P286" s="64"/>
      <c r="Q286" s="64"/>
      <c r="R286" s="64"/>
      <c r="S286" s="64"/>
      <c r="T286" s="64"/>
      <c r="U286" s="64"/>
      <c r="V286" s="64"/>
      <c r="W286" s="64"/>
      <c r="X286" s="64"/>
      <c r="Y286" s="64"/>
      <c r="Z286" s="64"/>
    </row>
    <row r="287" spans="1:26" ht="12.75" customHeight="1" x14ac:dyDescent="0.25">
      <c r="A287" s="64"/>
      <c r="B287" s="64"/>
      <c r="C287" s="64"/>
      <c r="D287" s="64"/>
      <c r="E287" s="64"/>
      <c r="F287" s="64"/>
      <c r="G287" s="64"/>
      <c r="H287" s="64"/>
      <c r="I287" s="64"/>
      <c r="J287" s="64"/>
      <c r="K287" s="64"/>
      <c r="L287" s="64"/>
      <c r="M287" s="64"/>
      <c r="N287" s="64"/>
      <c r="O287" s="64"/>
      <c r="P287" s="64"/>
      <c r="Q287" s="64"/>
      <c r="R287" s="64"/>
      <c r="S287" s="64"/>
      <c r="T287" s="64"/>
      <c r="U287" s="64"/>
      <c r="V287" s="64"/>
      <c r="W287" s="64"/>
      <c r="X287" s="64"/>
      <c r="Y287" s="64"/>
      <c r="Z287" s="64"/>
    </row>
    <row r="288" spans="1:26" ht="12.75" customHeight="1" x14ac:dyDescent="0.25">
      <c r="A288" s="64"/>
      <c r="B288" s="64"/>
      <c r="C288" s="64"/>
      <c r="D288" s="64"/>
      <c r="E288" s="64"/>
      <c r="F288" s="64"/>
      <c r="G288" s="64"/>
      <c r="H288" s="64"/>
      <c r="I288" s="64"/>
      <c r="J288" s="64"/>
      <c r="K288" s="64"/>
      <c r="L288" s="64"/>
      <c r="M288" s="64"/>
      <c r="N288" s="64"/>
      <c r="O288" s="64"/>
      <c r="P288" s="64"/>
      <c r="Q288" s="64"/>
      <c r="R288" s="64"/>
      <c r="S288" s="64"/>
      <c r="T288" s="64"/>
      <c r="U288" s="64"/>
      <c r="V288" s="64"/>
      <c r="W288" s="64"/>
      <c r="X288" s="64"/>
      <c r="Y288" s="64"/>
      <c r="Z288" s="64"/>
    </row>
    <row r="289" spans="1:26" ht="12.75" customHeight="1" x14ac:dyDescent="0.25">
      <c r="A289" s="64"/>
      <c r="B289" s="64"/>
      <c r="C289" s="64"/>
      <c r="D289" s="64"/>
      <c r="E289" s="64"/>
      <c r="F289" s="64"/>
      <c r="G289" s="64"/>
      <c r="H289" s="64"/>
      <c r="I289" s="64"/>
      <c r="J289" s="64"/>
      <c r="K289" s="64"/>
      <c r="L289" s="64"/>
      <c r="M289" s="64"/>
      <c r="N289" s="64"/>
      <c r="O289" s="64"/>
      <c r="P289" s="64"/>
      <c r="Q289" s="64"/>
      <c r="R289" s="64"/>
      <c r="S289" s="64"/>
      <c r="T289" s="64"/>
      <c r="U289" s="64"/>
      <c r="V289" s="64"/>
      <c r="W289" s="64"/>
      <c r="X289" s="64"/>
      <c r="Y289" s="64"/>
      <c r="Z289" s="64"/>
    </row>
    <row r="290" spans="1:26" ht="12.75" customHeight="1" x14ac:dyDescent="0.25">
      <c r="A290" s="64"/>
      <c r="B290" s="64"/>
      <c r="C290" s="64"/>
      <c r="D290" s="64"/>
      <c r="E290" s="64"/>
      <c r="F290" s="64"/>
      <c r="G290" s="64"/>
      <c r="H290" s="64"/>
      <c r="I290" s="64"/>
      <c r="J290" s="64"/>
      <c r="K290" s="64"/>
      <c r="L290" s="64"/>
      <c r="M290" s="64"/>
      <c r="N290" s="64"/>
      <c r="O290" s="64"/>
      <c r="P290" s="64"/>
      <c r="Q290" s="64"/>
      <c r="R290" s="64"/>
      <c r="S290" s="64"/>
      <c r="T290" s="64"/>
      <c r="U290" s="64"/>
      <c r="V290" s="64"/>
      <c r="W290" s="64"/>
      <c r="X290" s="64"/>
      <c r="Y290" s="64"/>
      <c r="Z290" s="64"/>
    </row>
    <row r="291" spans="1:26" ht="12.75" customHeight="1" x14ac:dyDescent="0.25">
      <c r="A291" s="64"/>
      <c r="B291" s="64"/>
      <c r="C291" s="64"/>
      <c r="D291" s="64"/>
      <c r="E291" s="64"/>
      <c r="F291" s="64"/>
      <c r="G291" s="64"/>
      <c r="H291" s="64"/>
      <c r="I291" s="64"/>
      <c r="J291" s="64"/>
      <c r="K291" s="64"/>
      <c r="L291" s="64"/>
      <c r="M291" s="64"/>
      <c r="N291" s="64"/>
      <c r="O291" s="64"/>
      <c r="P291" s="64"/>
      <c r="Q291" s="64"/>
      <c r="R291" s="64"/>
      <c r="S291" s="64"/>
      <c r="T291" s="64"/>
      <c r="U291" s="64"/>
      <c r="V291" s="64"/>
      <c r="W291" s="64"/>
      <c r="X291" s="64"/>
      <c r="Y291" s="64"/>
      <c r="Z291" s="64"/>
    </row>
    <row r="292" spans="1:26" ht="12.75" customHeight="1" x14ac:dyDescent="0.25">
      <c r="A292" s="64"/>
      <c r="B292" s="64"/>
      <c r="C292" s="64"/>
      <c r="D292" s="64"/>
      <c r="E292" s="64"/>
      <c r="F292" s="64"/>
      <c r="G292" s="64"/>
      <c r="H292" s="64"/>
      <c r="I292" s="64"/>
      <c r="J292" s="64"/>
      <c r="K292" s="64"/>
      <c r="L292" s="64"/>
      <c r="M292" s="64"/>
      <c r="N292" s="64"/>
      <c r="O292" s="64"/>
      <c r="P292" s="64"/>
      <c r="Q292" s="64"/>
      <c r="R292" s="64"/>
      <c r="S292" s="64"/>
      <c r="T292" s="64"/>
      <c r="U292" s="64"/>
      <c r="V292" s="64"/>
      <c r="W292" s="64"/>
      <c r="X292" s="64"/>
      <c r="Y292" s="64"/>
      <c r="Z292" s="64"/>
    </row>
    <row r="293" spans="1:26" ht="12.75" customHeight="1" x14ac:dyDescent="0.25">
      <c r="A293" s="64"/>
      <c r="B293" s="64"/>
      <c r="C293" s="64"/>
      <c r="D293" s="64"/>
      <c r="E293" s="64"/>
      <c r="F293" s="64"/>
      <c r="G293" s="64"/>
      <c r="H293" s="64"/>
      <c r="I293" s="64"/>
      <c r="J293" s="64"/>
      <c r="K293" s="64"/>
      <c r="L293" s="64"/>
      <c r="M293" s="64"/>
      <c r="N293" s="64"/>
      <c r="O293" s="64"/>
      <c r="P293" s="64"/>
      <c r="Q293" s="64"/>
      <c r="R293" s="64"/>
      <c r="S293" s="64"/>
      <c r="T293" s="64"/>
      <c r="U293" s="64"/>
      <c r="V293" s="64"/>
      <c r="W293" s="64"/>
      <c r="X293" s="64"/>
      <c r="Y293" s="64"/>
      <c r="Z293" s="64"/>
    </row>
    <row r="294" spans="1:26" ht="12.75" customHeight="1" x14ac:dyDescent="0.25">
      <c r="A294" s="64"/>
      <c r="B294" s="64"/>
      <c r="C294" s="64"/>
      <c r="D294" s="64"/>
      <c r="E294" s="64"/>
      <c r="F294" s="64"/>
      <c r="G294" s="64"/>
      <c r="H294" s="64"/>
      <c r="I294" s="64"/>
      <c r="J294" s="64"/>
      <c r="K294" s="64"/>
      <c r="L294" s="64"/>
      <c r="M294" s="64"/>
      <c r="N294" s="64"/>
      <c r="O294" s="64"/>
      <c r="P294" s="64"/>
      <c r="Q294" s="64"/>
      <c r="R294" s="64"/>
      <c r="S294" s="64"/>
      <c r="T294" s="64"/>
      <c r="U294" s="64"/>
      <c r="V294" s="64"/>
      <c r="W294" s="64"/>
      <c r="X294" s="64"/>
      <c r="Y294" s="64"/>
      <c r="Z294" s="64"/>
    </row>
    <row r="295" spans="1:26" ht="12.75" customHeight="1" x14ac:dyDescent="0.25">
      <c r="A295" s="64"/>
      <c r="B295" s="64"/>
      <c r="C295" s="64"/>
      <c r="D295" s="64"/>
      <c r="E295" s="64"/>
      <c r="F295" s="64"/>
      <c r="G295" s="64"/>
      <c r="H295" s="64"/>
      <c r="I295" s="64"/>
      <c r="J295" s="64"/>
      <c r="K295" s="64"/>
      <c r="L295" s="64"/>
      <c r="M295" s="64"/>
      <c r="N295" s="64"/>
      <c r="O295" s="64"/>
      <c r="P295" s="64"/>
      <c r="Q295" s="64"/>
      <c r="R295" s="64"/>
      <c r="S295" s="64"/>
      <c r="T295" s="64"/>
      <c r="U295" s="64"/>
      <c r="V295" s="64"/>
      <c r="W295" s="64"/>
      <c r="X295" s="64"/>
      <c r="Y295" s="64"/>
      <c r="Z295" s="64"/>
    </row>
    <row r="296" spans="1:26" ht="12.75" customHeight="1" x14ac:dyDescent="0.25">
      <c r="A296" s="64"/>
      <c r="B296" s="64"/>
      <c r="C296" s="64"/>
      <c r="D296" s="64"/>
      <c r="E296" s="64"/>
      <c r="F296" s="64"/>
      <c r="G296" s="64"/>
      <c r="H296" s="64"/>
      <c r="I296" s="64"/>
      <c r="J296" s="64"/>
      <c r="K296" s="64"/>
      <c r="L296" s="64"/>
      <c r="M296" s="64"/>
      <c r="N296" s="64"/>
      <c r="O296" s="64"/>
      <c r="P296" s="64"/>
      <c r="Q296" s="64"/>
      <c r="R296" s="64"/>
      <c r="S296" s="64"/>
      <c r="T296" s="64"/>
      <c r="U296" s="64"/>
      <c r="V296" s="64"/>
      <c r="W296" s="64"/>
      <c r="X296" s="64"/>
      <c r="Y296" s="64"/>
      <c r="Z296" s="64"/>
    </row>
    <row r="297" spans="1:26" ht="12.75" customHeight="1" x14ac:dyDescent="0.25">
      <c r="A297" s="64"/>
      <c r="B297" s="64"/>
      <c r="C297" s="64"/>
      <c r="D297" s="64"/>
      <c r="E297" s="64"/>
      <c r="F297" s="64"/>
      <c r="G297" s="64"/>
      <c r="H297" s="64"/>
      <c r="I297" s="64"/>
      <c r="J297" s="64"/>
      <c r="K297" s="64"/>
      <c r="L297" s="64"/>
      <c r="M297" s="64"/>
      <c r="N297" s="64"/>
      <c r="O297" s="64"/>
      <c r="P297" s="64"/>
      <c r="Q297" s="64"/>
      <c r="R297" s="64"/>
      <c r="S297" s="64"/>
      <c r="T297" s="64"/>
      <c r="U297" s="64"/>
      <c r="V297" s="64"/>
      <c r="W297" s="64"/>
      <c r="X297" s="64"/>
      <c r="Y297" s="64"/>
      <c r="Z297" s="64"/>
    </row>
    <row r="298" spans="1:26" ht="12.75" customHeight="1" x14ac:dyDescent="0.25">
      <c r="A298" s="64"/>
      <c r="B298" s="64"/>
      <c r="C298" s="64"/>
      <c r="D298" s="64"/>
      <c r="E298" s="64"/>
      <c r="F298" s="64"/>
      <c r="G298" s="64"/>
      <c r="H298" s="64"/>
      <c r="I298" s="64"/>
      <c r="J298" s="64"/>
      <c r="K298" s="64"/>
      <c r="L298" s="64"/>
      <c r="M298" s="64"/>
      <c r="N298" s="64"/>
      <c r="O298" s="64"/>
      <c r="P298" s="64"/>
      <c r="Q298" s="64"/>
      <c r="R298" s="64"/>
      <c r="S298" s="64"/>
      <c r="T298" s="64"/>
      <c r="U298" s="64"/>
      <c r="V298" s="64"/>
      <c r="W298" s="64"/>
      <c r="X298" s="64"/>
      <c r="Y298" s="64"/>
      <c r="Z298" s="64"/>
    </row>
    <row r="299" spans="1:26" ht="12.75" customHeight="1" x14ac:dyDescent="0.25">
      <c r="A299" s="64"/>
      <c r="B299" s="64"/>
      <c r="C299" s="64"/>
      <c r="D299" s="64"/>
      <c r="E299" s="64"/>
      <c r="F299" s="64"/>
      <c r="G299" s="64"/>
      <c r="H299" s="64"/>
      <c r="I299" s="64"/>
      <c r="J299" s="64"/>
      <c r="K299" s="64"/>
      <c r="L299" s="64"/>
      <c r="M299" s="64"/>
      <c r="N299" s="64"/>
      <c r="O299" s="64"/>
      <c r="P299" s="64"/>
      <c r="Q299" s="64"/>
      <c r="R299" s="64"/>
      <c r="S299" s="64"/>
      <c r="T299" s="64"/>
      <c r="U299" s="64"/>
      <c r="V299" s="64"/>
      <c r="W299" s="64"/>
      <c r="X299" s="64"/>
      <c r="Y299" s="64"/>
      <c r="Z299" s="64"/>
    </row>
    <row r="300" spans="1:26" ht="12.75" customHeight="1" x14ac:dyDescent="0.25">
      <c r="A300" s="64"/>
      <c r="B300" s="64"/>
      <c r="C300" s="64"/>
      <c r="D300" s="64"/>
      <c r="E300" s="64"/>
      <c r="F300" s="64"/>
      <c r="G300" s="64"/>
      <c r="H300" s="64"/>
      <c r="I300" s="64"/>
      <c r="J300" s="64"/>
      <c r="K300" s="64"/>
      <c r="L300" s="64"/>
      <c r="M300" s="64"/>
      <c r="N300" s="64"/>
      <c r="O300" s="64"/>
      <c r="P300" s="64"/>
      <c r="Q300" s="64"/>
      <c r="R300" s="64"/>
      <c r="S300" s="64"/>
      <c r="T300" s="64"/>
      <c r="U300" s="64"/>
      <c r="V300" s="64"/>
      <c r="W300" s="64"/>
      <c r="X300" s="64"/>
      <c r="Y300" s="64"/>
      <c r="Z300" s="64"/>
    </row>
    <row r="301" spans="1:26" ht="12.75" customHeight="1" x14ac:dyDescent="0.25">
      <c r="A301" s="64"/>
      <c r="B301" s="64"/>
      <c r="C301" s="64"/>
      <c r="D301" s="64"/>
      <c r="E301" s="64"/>
      <c r="F301" s="64"/>
      <c r="G301" s="64"/>
      <c r="H301" s="64"/>
      <c r="I301" s="64"/>
      <c r="J301" s="64"/>
      <c r="K301" s="64"/>
      <c r="L301" s="64"/>
      <c r="M301" s="64"/>
      <c r="N301" s="64"/>
      <c r="O301" s="64"/>
      <c r="P301" s="64"/>
      <c r="Q301" s="64"/>
      <c r="R301" s="64"/>
      <c r="S301" s="64"/>
      <c r="T301" s="64"/>
      <c r="U301" s="64"/>
      <c r="V301" s="64"/>
      <c r="W301" s="64"/>
      <c r="X301" s="64"/>
      <c r="Y301" s="64"/>
      <c r="Z301" s="64"/>
    </row>
    <row r="302" spans="1:26" ht="12.75" customHeight="1" x14ac:dyDescent="0.25">
      <c r="A302" s="64"/>
      <c r="B302" s="64"/>
      <c r="C302" s="64"/>
      <c r="D302" s="64"/>
      <c r="E302" s="64"/>
      <c r="F302" s="64"/>
      <c r="G302" s="64"/>
      <c r="H302" s="64"/>
      <c r="I302" s="64"/>
      <c r="J302" s="64"/>
      <c r="K302" s="64"/>
      <c r="L302" s="64"/>
      <c r="M302" s="64"/>
      <c r="N302" s="64"/>
      <c r="O302" s="64"/>
      <c r="P302" s="64"/>
      <c r="Q302" s="64"/>
      <c r="R302" s="64"/>
      <c r="S302" s="64"/>
      <c r="T302" s="64"/>
      <c r="U302" s="64"/>
      <c r="V302" s="64"/>
      <c r="W302" s="64"/>
      <c r="X302" s="64"/>
      <c r="Y302" s="64"/>
      <c r="Z302" s="64"/>
    </row>
    <row r="303" spans="1:26" ht="12.75" customHeight="1" x14ac:dyDescent="0.25">
      <c r="A303" s="64"/>
      <c r="B303" s="64"/>
      <c r="C303" s="64"/>
      <c r="D303" s="64"/>
      <c r="E303" s="64"/>
      <c r="F303" s="64"/>
      <c r="G303" s="64"/>
      <c r="H303" s="64"/>
      <c r="I303" s="64"/>
      <c r="J303" s="64"/>
      <c r="K303" s="64"/>
      <c r="L303" s="64"/>
      <c r="M303" s="64"/>
      <c r="N303" s="64"/>
      <c r="O303" s="64"/>
      <c r="P303" s="64"/>
      <c r="Q303" s="64"/>
      <c r="R303" s="64"/>
      <c r="S303" s="64"/>
      <c r="T303" s="64"/>
      <c r="U303" s="64"/>
      <c r="V303" s="64"/>
      <c r="W303" s="64"/>
      <c r="X303" s="64"/>
      <c r="Y303" s="64"/>
      <c r="Z303" s="64"/>
    </row>
    <row r="304" spans="1:26" ht="12.75" customHeight="1" x14ac:dyDescent="0.25">
      <c r="A304" s="64"/>
      <c r="B304" s="64"/>
      <c r="C304" s="64"/>
      <c r="D304" s="64"/>
      <c r="E304" s="64"/>
      <c r="F304" s="64"/>
      <c r="G304" s="64"/>
      <c r="H304" s="64"/>
      <c r="I304" s="64"/>
      <c r="J304" s="64"/>
      <c r="K304" s="64"/>
      <c r="L304" s="64"/>
      <c r="M304" s="64"/>
      <c r="N304" s="64"/>
      <c r="O304" s="64"/>
      <c r="P304" s="64"/>
      <c r="Q304" s="64"/>
      <c r="R304" s="64"/>
      <c r="S304" s="64"/>
      <c r="T304" s="64"/>
      <c r="U304" s="64"/>
      <c r="V304" s="64"/>
      <c r="W304" s="64"/>
      <c r="X304" s="64"/>
      <c r="Y304" s="64"/>
      <c r="Z304" s="64"/>
    </row>
    <row r="305" spans="1:26" ht="12.75" customHeight="1" x14ac:dyDescent="0.25">
      <c r="A305" s="64"/>
      <c r="B305" s="64"/>
      <c r="C305" s="64"/>
      <c r="D305" s="64"/>
      <c r="E305" s="64"/>
      <c r="F305" s="64"/>
      <c r="G305" s="64"/>
      <c r="H305" s="64"/>
      <c r="I305" s="64"/>
      <c r="J305" s="64"/>
      <c r="K305" s="64"/>
      <c r="L305" s="64"/>
      <c r="M305" s="64"/>
      <c r="N305" s="64"/>
      <c r="O305" s="64"/>
      <c r="P305" s="64"/>
      <c r="Q305" s="64"/>
      <c r="R305" s="64"/>
      <c r="S305" s="64"/>
      <c r="T305" s="64"/>
      <c r="U305" s="64"/>
      <c r="V305" s="64"/>
      <c r="W305" s="64"/>
      <c r="X305" s="64"/>
      <c r="Y305" s="64"/>
      <c r="Z305" s="64"/>
    </row>
    <row r="306" spans="1:26" ht="12.75" customHeight="1" x14ac:dyDescent="0.25">
      <c r="A306" s="64"/>
      <c r="B306" s="64"/>
      <c r="C306" s="64"/>
      <c r="D306" s="64"/>
      <c r="E306" s="64"/>
      <c r="F306" s="64"/>
      <c r="G306" s="64"/>
      <c r="H306" s="64"/>
      <c r="I306" s="64"/>
      <c r="J306" s="64"/>
      <c r="K306" s="64"/>
      <c r="L306" s="64"/>
      <c r="M306" s="64"/>
      <c r="N306" s="64"/>
      <c r="O306" s="64"/>
      <c r="P306" s="64"/>
      <c r="Q306" s="64"/>
      <c r="R306" s="64"/>
      <c r="S306" s="64"/>
      <c r="T306" s="64"/>
      <c r="U306" s="64"/>
      <c r="V306" s="64"/>
      <c r="W306" s="64"/>
      <c r="X306" s="64"/>
      <c r="Y306" s="64"/>
      <c r="Z306" s="64"/>
    </row>
    <row r="307" spans="1:26" ht="12.75" customHeight="1" x14ac:dyDescent="0.25">
      <c r="A307" s="64"/>
      <c r="B307" s="64"/>
      <c r="C307" s="64"/>
      <c r="D307" s="64"/>
      <c r="E307" s="64"/>
      <c r="F307" s="64"/>
      <c r="G307" s="64"/>
      <c r="H307" s="64"/>
      <c r="I307" s="64"/>
      <c r="J307" s="64"/>
      <c r="K307" s="64"/>
      <c r="L307" s="64"/>
      <c r="M307" s="64"/>
      <c r="N307" s="64"/>
      <c r="O307" s="64"/>
      <c r="P307" s="64"/>
      <c r="Q307" s="64"/>
      <c r="R307" s="64"/>
      <c r="S307" s="64"/>
      <c r="T307" s="64"/>
      <c r="U307" s="64"/>
      <c r="V307" s="64"/>
      <c r="W307" s="64"/>
      <c r="X307" s="64"/>
      <c r="Y307" s="64"/>
      <c r="Z307" s="64"/>
    </row>
    <row r="308" spans="1:26" ht="12.75" customHeight="1" x14ac:dyDescent="0.25">
      <c r="A308" s="64"/>
      <c r="B308" s="64"/>
      <c r="C308" s="64"/>
      <c r="D308" s="64"/>
      <c r="E308" s="64"/>
      <c r="F308" s="64"/>
      <c r="G308" s="64"/>
      <c r="H308" s="64"/>
      <c r="I308" s="64"/>
      <c r="J308" s="64"/>
      <c r="K308" s="64"/>
      <c r="L308" s="64"/>
      <c r="M308" s="64"/>
      <c r="N308" s="64"/>
      <c r="O308" s="64"/>
      <c r="P308" s="64"/>
      <c r="Q308" s="64"/>
      <c r="R308" s="64"/>
      <c r="S308" s="64"/>
      <c r="T308" s="64"/>
      <c r="U308" s="64"/>
      <c r="V308" s="64"/>
      <c r="W308" s="64"/>
      <c r="X308" s="64"/>
      <c r="Y308" s="64"/>
      <c r="Z308" s="64"/>
    </row>
    <row r="309" spans="1:26" ht="12.75" customHeight="1" x14ac:dyDescent="0.25">
      <c r="A309" s="64"/>
      <c r="B309" s="64"/>
      <c r="C309" s="64"/>
      <c r="D309" s="64"/>
      <c r="E309" s="64"/>
      <c r="F309" s="64"/>
      <c r="G309" s="64"/>
      <c r="H309" s="64"/>
      <c r="I309" s="64"/>
      <c r="J309" s="64"/>
      <c r="K309" s="64"/>
      <c r="L309" s="64"/>
      <c r="M309" s="64"/>
      <c r="N309" s="64"/>
      <c r="O309" s="64"/>
      <c r="P309" s="64"/>
      <c r="Q309" s="64"/>
      <c r="R309" s="64"/>
      <c r="S309" s="64"/>
      <c r="T309" s="64"/>
      <c r="U309" s="64"/>
      <c r="V309" s="64"/>
      <c r="W309" s="64"/>
      <c r="X309" s="64"/>
      <c r="Y309" s="64"/>
      <c r="Z309" s="64"/>
    </row>
    <row r="310" spans="1:26" ht="12.75" customHeight="1" x14ac:dyDescent="0.25">
      <c r="A310" s="64"/>
      <c r="B310" s="64"/>
      <c r="C310" s="64"/>
      <c r="D310" s="64"/>
      <c r="E310" s="64"/>
      <c r="F310" s="64"/>
      <c r="G310" s="64"/>
      <c r="H310" s="64"/>
      <c r="I310" s="64"/>
      <c r="J310" s="64"/>
      <c r="K310" s="64"/>
      <c r="L310" s="64"/>
      <c r="M310" s="64"/>
      <c r="N310" s="64"/>
      <c r="O310" s="64"/>
      <c r="P310" s="64"/>
      <c r="Q310" s="64"/>
      <c r="R310" s="64"/>
      <c r="S310" s="64"/>
      <c r="T310" s="64"/>
      <c r="U310" s="64"/>
      <c r="V310" s="64"/>
      <c r="W310" s="64"/>
      <c r="X310" s="64"/>
      <c r="Y310" s="64"/>
      <c r="Z310" s="64"/>
    </row>
    <row r="311" spans="1:26" ht="12.75" customHeight="1" x14ac:dyDescent="0.25">
      <c r="A311" s="64"/>
      <c r="B311" s="64"/>
      <c r="C311" s="64"/>
      <c r="D311" s="64"/>
      <c r="E311" s="64"/>
      <c r="F311" s="64"/>
      <c r="G311" s="64"/>
      <c r="H311" s="64"/>
      <c r="I311" s="64"/>
      <c r="J311" s="64"/>
      <c r="K311" s="64"/>
      <c r="L311" s="64"/>
      <c r="M311" s="64"/>
      <c r="N311" s="64"/>
      <c r="O311" s="64"/>
      <c r="P311" s="64"/>
      <c r="Q311" s="64"/>
      <c r="R311" s="64"/>
      <c r="S311" s="64"/>
      <c r="T311" s="64"/>
      <c r="U311" s="64"/>
      <c r="V311" s="64"/>
      <c r="W311" s="64"/>
      <c r="X311" s="64"/>
      <c r="Y311" s="64"/>
      <c r="Z311" s="64"/>
    </row>
    <row r="312" spans="1:26" ht="12.75" customHeight="1" x14ac:dyDescent="0.25">
      <c r="A312" s="64"/>
      <c r="B312" s="64"/>
      <c r="C312" s="64"/>
      <c r="D312" s="64"/>
      <c r="E312" s="64"/>
      <c r="F312" s="64"/>
      <c r="G312" s="64"/>
      <c r="H312" s="64"/>
      <c r="I312" s="64"/>
      <c r="J312" s="64"/>
      <c r="K312" s="64"/>
      <c r="L312" s="64"/>
      <c r="M312" s="64"/>
      <c r="N312" s="64"/>
      <c r="O312" s="64"/>
      <c r="P312" s="64"/>
      <c r="Q312" s="64"/>
      <c r="R312" s="64"/>
      <c r="S312" s="64"/>
      <c r="T312" s="64"/>
      <c r="U312" s="64"/>
      <c r="V312" s="64"/>
      <c r="W312" s="64"/>
      <c r="X312" s="64"/>
      <c r="Y312" s="64"/>
      <c r="Z312" s="64"/>
    </row>
    <row r="313" spans="1:26" ht="12.75" customHeight="1" x14ac:dyDescent="0.25">
      <c r="A313" s="64"/>
      <c r="B313" s="64"/>
      <c r="C313" s="64"/>
      <c r="D313" s="64"/>
      <c r="E313" s="64"/>
      <c r="F313" s="64"/>
      <c r="G313" s="64"/>
      <c r="H313" s="64"/>
      <c r="I313" s="64"/>
      <c r="J313" s="64"/>
      <c r="K313" s="64"/>
      <c r="L313" s="64"/>
      <c r="M313" s="64"/>
      <c r="N313" s="64"/>
      <c r="O313" s="64"/>
      <c r="P313" s="64"/>
      <c r="Q313" s="64"/>
      <c r="R313" s="64"/>
      <c r="S313" s="64"/>
      <c r="T313" s="64"/>
      <c r="U313" s="64"/>
      <c r="V313" s="64"/>
      <c r="W313" s="64"/>
      <c r="X313" s="64"/>
      <c r="Y313" s="64"/>
      <c r="Z313" s="64"/>
    </row>
    <row r="314" spans="1:26" ht="12.75" customHeight="1" x14ac:dyDescent="0.25">
      <c r="A314" s="64"/>
      <c r="B314" s="64"/>
      <c r="C314" s="64"/>
      <c r="D314" s="64"/>
      <c r="E314" s="64"/>
      <c r="F314" s="64"/>
      <c r="G314" s="64"/>
      <c r="H314" s="64"/>
      <c r="I314" s="64"/>
      <c r="J314" s="64"/>
      <c r="K314" s="64"/>
      <c r="L314" s="64"/>
      <c r="M314" s="64"/>
      <c r="N314" s="64"/>
      <c r="O314" s="64"/>
      <c r="P314" s="64"/>
      <c r="Q314" s="64"/>
      <c r="R314" s="64"/>
      <c r="S314" s="64"/>
      <c r="T314" s="64"/>
      <c r="U314" s="64"/>
      <c r="V314" s="64"/>
      <c r="W314" s="64"/>
      <c r="X314" s="64"/>
      <c r="Y314" s="64"/>
      <c r="Z314" s="64"/>
    </row>
    <row r="315" spans="1:26" ht="12.75" customHeight="1" x14ac:dyDescent="0.25">
      <c r="A315" s="64"/>
      <c r="B315" s="64"/>
      <c r="C315" s="64"/>
      <c r="D315" s="64"/>
      <c r="E315" s="64"/>
      <c r="F315" s="64"/>
      <c r="G315" s="64"/>
      <c r="H315" s="64"/>
      <c r="I315" s="64"/>
      <c r="J315" s="64"/>
      <c r="K315" s="64"/>
      <c r="L315" s="64"/>
      <c r="M315" s="64"/>
      <c r="N315" s="64"/>
      <c r="O315" s="64"/>
      <c r="P315" s="64"/>
      <c r="Q315" s="64"/>
      <c r="R315" s="64"/>
      <c r="S315" s="64"/>
      <c r="T315" s="64"/>
      <c r="U315" s="64"/>
      <c r="V315" s="64"/>
      <c r="W315" s="64"/>
      <c r="X315" s="64"/>
      <c r="Y315" s="64"/>
      <c r="Z315" s="64"/>
    </row>
    <row r="316" spans="1:26" ht="12.75" customHeight="1" x14ac:dyDescent="0.25">
      <c r="A316" s="64"/>
      <c r="B316" s="64"/>
      <c r="C316" s="64"/>
      <c r="D316" s="64"/>
      <c r="E316" s="64"/>
      <c r="F316" s="64"/>
      <c r="G316" s="64"/>
      <c r="H316" s="64"/>
      <c r="I316" s="64"/>
      <c r="J316" s="64"/>
      <c r="K316" s="64"/>
      <c r="L316" s="64"/>
      <c r="M316" s="64"/>
      <c r="N316" s="64"/>
      <c r="O316" s="64"/>
      <c r="P316" s="64"/>
      <c r="Q316" s="64"/>
      <c r="R316" s="64"/>
      <c r="S316" s="64"/>
      <c r="T316" s="64"/>
      <c r="U316" s="64"/>
      <c r="V316" s="64"/>
      <c r="W316" s="64"/>
      <c r="X316" s="64"/>
      <c r="Y316" s="64"/>
      <c r="Z316" s="64"/>
    </row>
    <row r="317" spans="1:26" ht="12.75" customHeight="1" x14ac:dyDescent="0.25">
      <c r="A317" s="64"/>
      <c r="B317" s="64"/>
      <c r="C317" s="64"/>
      <c r="D317" s="64"/>
      <c r="E317" s="64"/>
      <c r="F317" s="64"/>
      <c r="G317" s="64"/>
      <c r="H317" s="64"/>
      <c r="I317" s="64"/>
      <c r="J317" s="64"/>
      <c r="K317" s="64"/>
      <c r="L317" s="64"/>
      <c r="M317" s="64"/>
      <c r="N317" s="64"/>
      <c r="O317" s="64"/>
      <c r="P317" s="64"/>
      <c r="Q317" s="64"/>
      <c r="R317" s="64"/>
      <c r="S317" s="64"/>
      <c r="T317" s="64"/>
      <c r="U317" s="64"/>
      <c r="V317" s="64"/>
      <c r="W317" s="64"/>
      <c r="X317" s="64"/>
      <c r="Y317" s="64"/>
      <c r="Z317" s="64"/>
    </row>
    <row r="318" spans="1:26" ht="12.75" customHeight="1" x14ac:dyDescent="0.25">
      <c r="A318" s="64"/>
      <c r="B318" s="64"/>
      <c r="C318" s="64"/>
      <c r="D318" s="64"/>
      <c r="E318" s="64"/>
      <c r="F318" s="64"/>
      <c r="G318" s="64"/>
      <c r="H318" s="64"/>
      <c r="I318" s="64"/>
      <c r="J318" s="64"/>
      <c r="K318" s="64"/>
      <c r="L318" s="64"/>
      <c r="M318" s="64"/>
      <c r="N318" s="64"/>
      <c r="O318" s="64"/>
      <c r="P318" s="64"/>
      <c r="Q318" s="64"/>
      <c r="R318" s="64"/>
      <c r="S318" s="64"/>
      <c r="T318" s="64"/>
      <c r="U318" s="64"/>
      <c r="V318" s="64"/>
      <c r="W318" s="64"/>
      <c r="X318" s="64"/>
      <c r="Y318" s="64"/>
      <c r="Z318" s="64"/>
    </row>
    <row r="319" spans="1:26" ht="12.75" customHeight="1" x14ac:dyDescent="0.25">
      <c r="A319" s="64"/>
      <c r="B319" s="64"/>
      <c r="C319" s="64"/>
      <c r="D319" s="64"/>
      <c r="E319" s="64"/>
      <c r="F319" s="64"/>
      <c r="G319" s="64"/>
      <c r="H319" s="64"/>
      <c r="I319" s="64"/>
      <c r="J319" s="64"/>
      <c r="K319" s="64"/>
      <c r="L319" s="64"/>
      <c r="M319" s="64"/>
      <c r="N319" s="64"/>
      <c r="O319" s="64"/>
      <c r="P319" s="64"/>
      <c r="Q319" s="64"/>
      <c r="R319" s="64"/>
      <c r="S319" s="64"/>
      <c r="T319" s="64"/>
      <c r="U319" s="64"/>
      <c r="V319" s="64"/>
      <c r="W319" s="64"/>
      <c r="X319" s="64"/>
      <c r="Y319" s="64"/>
      <c r="Z319" s="64"/>
    </row>
    <row r="320" spans="1:26" ht="12.75" customHeight="1" x14ac:dyDescent="0.25">
      <c r="A320" s="64"/>
      <c r="B320" s="64"/>
      <c r="C320" s="64"/>
      <c r="D320" s="64"/>
      <c r="E320" s="64"/>
      <c r="F320" s="64"/>
      <c r="G320" s="64"/>
      <c r="H320" s="64"/>
      <c r="I320" s="64"/>
      <c r="J320" s="64"/>
      <c r="K320" s="64"/>
      <c r="L320" s="64"/>
      <c r="M320" s="64"/>
      <c r="N320" s="64"/>
      <c r="O320" s="64"/>
      <c r="P320" s="64"/>
      <c r="Q320" s="64"/>
      <c r="R320" s="64"/>
      <c r="S320" s="64"/>
      <c r="T320" s="64"/>
      <c r="U320" s="64"/>
      <c r="V320" s="64"/>
      <c r="W320" s="64"/>
      <c r="X320" s="64"/>
      <c r="Y320" s="64"/>
      <c r="Z320" s="64"/>
    </row>
    <row r="321" spans="1:26" ht="12.75" customHeight="1" x14ac:dyDescent="0.25">
      <c r="A321" s="64"/>
      <c r="B321" s="64"/>
      <c r="C321" s="64"/>
      <c r="D321" s="64"/>
      <c r="E321" s="64"/>
      <c r="F321" s="64"/>
      <c r="G321" s="64"/>
      <c r="H321" s="64"/>
      <c r="I321" s="64"/>
      <c r="J321" s="64"/>
      <c r="K321" s="64"/>
      <c r="L321" s="64"/>
      <c r="M321" s="64"/>
      <c r="N321" s="64"/>
      <c r="O321" s="64"/>
      <c r="P321" s="64"/>
      <c r="Q321" s="64"/>
      <c r="R321" s="64"/>
      <c r="S321" s="64"/>
      <c r="T321" s="64"/>
      <c r="U321" s="64"/>
      <c r="V321" s="64"/>
      <c r="W321" s="64"/>
      <c r="X321" s="64"/>
      <c r="Y321" s="64"/>
      <c r="Z321" s="64"/>
    </row>
    <row r="322" spans="1:26" ht="12.75" customHeight="1" x14ac:dyDescent="0.25">
      <c r="A322" s="64"/>
      <c r="B322" s="64"/>
      <c r="C322" s="64"/>
      <c r="D322" s="64"/>
      <c r="E322" s="64"/>
      <c r="F322" s="64"/>
      <c r="G322" s="64"/>
      <c r="H322" s="64"/>
      <c r="I322" s="64"/>
      <c r="J322" s="64"/>
      <c r="K322" s="64"/>
      <c r="L322" s="64"/>
      <c r="M322" s="64"/>
      <c r="N322" s="64"/>
      <c r="O322" s="64"/>
      <c r="P322" s="64"/>
      <c r="Q322" s="64"/>
      <c r="R322" s="64"/>
      <c r="S322" s="64"/>
      <c r="T322" s="64"/>
      <c r="U322" s="64"/>
      <c r="V322" s="64"/>
      <c r="W322" s="64"/>
      <c r="X322" s="64"/>
      <c r="Y322" s="64"/>
      <c r="Z322" s="64"/>
    </row>
    <row r="323" spans="1:26" ht="12.75" customHeight="1" x14ac:dyDescent="0.25">
      <c r="A323" s="64"/>
      <c r="B323" s="64"/>
      <c r="C323" s="64"/>
      <c r="D323" s="64"/>
      <c r="E323" s="64"/>
      <c r="F323" s="64"/>
      <c r="G323" s="64"/>
      <c r="H323" s="64"/>
      <c r="I323" s="64"/>
      <c r="J323" s="64"/>
      <c r="K323" s="64"/>
      <c r="L323" s="64"/>
      <c r="M323" s="64"/>
      <c r="N323" s="64"/>
      <c r="O323" s="64"/>
      <c r="P323" s="64"/>
      <c r="Q323" s="64"/>
      <c r="R323" s="64"/>
      <c r="S323" s="64"/>
      <c r="T323" s="64"/>
      <c r="U323" s="64"/>
      <c r="V323" s="64"/>
      <c r="W323" s="64"/>
      <c r="X323" s="64"/>
      <c r="Y323" s="64"/>
      <c r="Z323" s="64"/>
    </row>
    <row r="324" spans="1:26" ht="12.75" customHeight="1" x14ac:dyDescent="0.25">
      <c r="A324" s="64"/>
      <c r="B324" s="64"/>
      <c r="C324" s="64"/>
      <c r="D324" s="64"/>
      <c r="E324" s="64"/>
      <c r="F324" s="64"/>
      <c r="G324" s="64"/>
      <c r="H324" s="64"/>
      <c r="I324" s="64"/>
      <c r="J324" s="64"/>
      <c r="K324" s="64"/>
      <c r="L324" s="64"/>
      <c r="M324" s="64"/>
      <c r="N324" s="64"/>
      <c r="O324" s="64"/>
      <c r="P324" s="64"/>
      <c r="Q324" s="64"/>
      <c r="R324" s="64"/>
      <c r="S324" s="64"/>
      <c r="T324" s="64"/>
      <c r="U324" s="64"/>
      <c r="V324" s="64"/>
      <c r="W324" s="64"/>
      <c r="X324" s="64"/>
      <c r="Y324" s="64"/>
      <c r="Z324" s="64"/>
    </row>
    <row r="325" spans="1:26" ht="12.75" customHeight="1" x14ac:dyDescent="0.25">
      <c r="A325" s="64"/>
      <c r="B325" s="64"/>
      <c r="C325" s="64"/>
      <c r="D325" s="64"/>
      <c r="E325" s="64"/>
      <c r="F325" s="64"/>
      <c r="G325" s="64"/>
      <c r="H325" s="64"/>
      <c r="I325" s="64"/>
      <c r="J325" s="64"/>
      <c r="K325" s="64"/>
      <c r="L325" s="64"/>
      <c r="M325" s="64"/>
      <c r="N325" s="64"/>
      <c r="O325" s="64"/>
      <c r="P325" s="64"/>
      <c r="Q325" s="64"/>
      <c r="R325" s="64"/>
      <c r="S325" s="64"/>
      <c r="T325" s="64"/>
      <c r="U325" s="64"/>
      <c r="V325" s="64"/>
      <c r="W325" s="64"/>
      <c r="X325" s="64"/>
      <c r="Y325" s="64"/>
      <c r="Z325" s="64"/>
    </row>
    <row r="326" spans="1:26" ht="12.75" customHeight="1" x14ac:dyDescent="0.25">
      <c r="A326" s="64"/>
      <c r="B326" s="64"/>
      <c r="C326" s="64"/>
      <c r="D326" s="64"/>
      <c r="E326" s="64"/>
      <c r="F326" s="64"/>
      <c r="G326" s="64"/>
      <c r="H326" s="64"/>
      <c r="I326" s="64"/>
      <c r="J326" s="64"/>
      <c r="K326" s="64"/>
      <c r="L326" s="64"/>
      <c r="M326" s="64"/>
      <c r="N326" s="64"/>
      <c r="O326" s="64"/>
      <c r="P326" s="64"/>
      <c r="Q326" s="64"/>
      <c r="R326" s="64"/>
      <c r="S326" s="64"/>
      <c r="T326" s="64"/>
      <c r="U326" s="64"/>
      <c r="V326" s="64"/>
      <c r="W326" s="64"/>
      <c r="X326" s="64"/>
      <c r="Y326" s="64"/>
      <c r="Z326" s="64"/>
    </row>
    <row r="327" spans="1:26" ht="12.75" customHeight="1" x14ac:dyDescent="0.25">
      <c r="A327" s="64"/>
      <c r="B327" s="64"/>
      <c r="C327" s="64"/>
      <c r="D327" s="64"/>
      <c r="E327" s="64"/>
      <c r="F327" s="64"/>
      <c r="G327" s="64"/>
      <c r="H327" s="64"/>
      <c r="I327" s="64"/>
      <c r="J327" s="64"/>
      <c r="K327" s="64"/>
      <c r="L327" s="64"/>
      <c r="M327" s="64"/>
      <c r="N327" s="64"/>
      <c r="O327" s="64"/>
      <c r="P327" s="64"/>
      <c r="Q327" s="64"/>
      <c r="R327" s="64"/>
      <c r="S327" s="64"/>
      <c r="T327" s="64"/>
      <c r="U327" s="64"/>
      <c r="V327" s="64"/>
      <c r="W327" s="64"/>
      <c r="X327" s="64"/>
      <c r="Y327" s="64"/>
      <c r="Z327" s="64"/>
    </row>
    <row r="328" spans="1:26" ht="12.75" customHeight="1" x14ac:dyDescent="0.25">
      <c r="A328" s="64"/>
      <c r="B328" s="64"/>
      <c r="C328" s="64"/>
      <c r="D328" s="64"/>
      <c r="E328" s="64"/>
      <c r="F328" s="64"/>
      <c r="G328" s="64"/>
      <c r="H328" s="64"/>
      <c r="I328" s="64"/>
      <c r="J328" s="64"/>
      <c r="K328" s="64"/>
      <c r="L328" s="64"/>
      <c r="M328" s="64"/>
      <c r="N328" s="64"/>
      <c r="O328" s="64"/>
      <c r="P328" s="64"/>
      <c r="Q328" s="64"/>
      <c r="R328" s="64"/>
      <c r="S328" s="64"/>
      <c r="T328" s="64"/>
      <c r="U328" s="64"/>
      <c r="V328" s="64"/>
      <c r="W328" s="64"/>
      <c r="X328" s="64"/>
      <c r="Y328" s="64"/>
      <c r="Z328" s="64"/>
    </row>
    <row r="329" spans="1:26" ht="12.75" customHeight="1" x14ac:dyDescent="0.25">
      <c r="A329" s="64"/>
      <c r="B329" s="64"/>
      <c r="C329" s="64"/>
      <c r="D329" s="64"/>
      <c r="E329" s="64"/>
      <c r="F329" s="64"/>
      <c r="G329" s="64"/>
      <c r="H329" s="64"/>
      <c r="I329" s="64"/>
      <c r="J329" s="64"/>
      <c r="K329" s="64"/>
      <c r="L329" s="64"/>
      <c r="M329" s="64"/>
      <c r="N329" s="64"/>
      <c r="O329" s="64"/>
      <c r="P329" s="64"/>
      <c r="Q329" s="64"/>
      <c r="R329" s="64"/>
      <c r="S329" s="64"/>
      <c r="T329" s="64"/>
      <c r="U329" s="64"/>
      <c r="V329" s="64"/>
      <c r="W329" s="64"/>
      <c r="X329" s="64"/>
      <c r="Y329" s="64"/>
      <c r="Z329" s="64"/>
    </row>
    <row r="330" spans="1:26" ht="12.75" customHeight="1" x14ac:dyDescent="0.25">
      <c r="A330" s="64"/>
      <c r="B330" s="64"/>
      <c r="C330" s="64"/>
      <c r="D330" s="64"/>
      <c r="E330" s="64"/>
      <c r="F330" s="64"/>
      <c r="G330" s="64"/>
      <c r="H330" s="64"/>
      <c r="I330" s="64"/>
      <c r="J330" s="64"/>
      <c r="K330" s="64"/>
      <c r="L330" s="64"/>
      <c r="M330" s="64"/>
      <c r="N330" s="64"/>
      <c r="O330" s="64"/>
      <c r="P330" s="64"/>
      <c r="Q330" s="64"/>
      <c r="R330" s="64"/>
      <c r="S330" s="64"/>
      <c r="T330" s="64"/>
      <c r="U330" s="64"/>
      <c r="V330" s="64"/>
      <c r="W330" s="64"/>
      <c r="X330" s="64"/>
      <c r="Y330" s="64"/>
      <c r="Z330" s="64"/>
    </row>
    <row r="331" spans="1:26" ht="12.75" customHeight="1" x14ac:dyDescent="0.25">
      <c r="A331" s="64"/>
      <c r="B331" s="64"/>
      <c r="C331" s="64"/>
      <c r="D331" s="64"/>
      <c r="E331" s="64"/>
      <c r="F331" s="64"/>
      <c r="G331" s="64"/>
      <c r="H331" s="64"/>
      <c r="I331" s="64"/>
      <c r="J331" s="64"/>
      <c r="K331" s="64"/>
      <c r="L331" s="64"/>
      <c r="M331" s="64"/>
      <c r="N331" s="64"/>
      <c r="O331" s="64"/>
      <c r="P331" s="64"/>
      <c r="Q331" s="64"/>
      <c r="R331" s="64"/>
      <c r="S331" s="64"/>
      <c r="T331" s="64"/>
      <c r="U331" s="64"/>
      <c r="V331" s="64"/>
      <c r="W331" s="64"/>
      <c r="X331" s="64"/>
      <c r="Y331" s="64"/>
      <c r="Z331" s="64"/>
    </row>
    <row r="332" spans="1:26" ht="12.75" customHeight="1" x14ac:dyDescent="0.25">
      <c r="A332" s="64"/>
      <c r="B332" s="64"/>
      <c r="C332" s="64"/>
      <c r="D332" s="64"/>
      <c r="E332" s="64"/>
      <c r="F332" s="64"/>
      <c r="G332" s="64"/>
      <c r="H332" s="64"/>
      <c r="I332" s="64"/>
      <c r="J332" s="64"/>
      <c r="K332" s="64"/>
      <c r="L332" s="64"/>
      <c r="M332" s="64"/>
      <c r="N332" s="64"/>
      <c r="O332" s="64"/>
      <c r="P332" s="64"/>
      <c r="Q332" s="64"/>
      <c r="R332" s="64"/>
      <c r="S332" s="64"/>
      <c r="T332" s="64"/>
      <c r="U332" s="64"/>
      <c r="V332" s="64"/>
      <c r="W332" s="64"/>
      <c r="X332" s="64"/>
      <c r="Y332" s="64"/>
      <c r="Z332" s="64"/>
    </row>
    <row r="333" spans="1:26" ht="12.75" customHeight="1" x14ac:dyDescent="0.25">
      <c r="A333" s="64"/>
      <c r="B333" s="64"/>
      <c r="C333" s="64"/>
      <c r="D333" s="64"/>
      <c r="E333" s="64"/>
      <c r="F333" s="64"/>
      <c r="G333" s="64"/>
      <c r="H333" s="64"/>
      <c r="I333" s="64"/>
      <c r="J333" s="64"/>
      <c r="K333" s="64"/>
      <c r="L333" s="64"/>
      <c r="M333" s="64"/>
      <c r="N333" s="64"/>
      <c r="O333" s="64"/>
      <c r="P333" s="64"/>
      <c r="Q333" s="64"/>
      <c r="R333" s="64"/>
      <c r="S333" s="64"/>
      <c r="T333" s="64"/>
      <c r="U333" s="64"/>
      <c r="V333" s="64"/>
      <c r="W333" s="64"/>
      <c r="X333" s="64"/>
      <c r="Y333" s="64"/>
      <c r="Z333" s="64"/>
    </row>
    <row r="334" spans="1:26" ht="12.75" customHeight="1" x14ac:dyDescent="0.25">
      <c r="A334" s="64"/>
      <c r="B334" s="64"/>
      <c r="C334" s="64"/>
      <c r="D334" s="64"/>
      <c r="E334" s="64"/>
      <c r="F334" s="64"/>
      <c r="G334" s="64"/>
      <c r="H334" s="64"/>
      <c r="I334" s="64"/>
      <c r="J334" s="64"/>
      <c r="K334" s="64"/>
      <c r="L334" s="64"/>
      <c r="M334" s="64"/>
      <c r="N334" s="64"/>
      <c r="O334" s="64"/>
      <c r="P334" s="64"/>
      <c r="Q334" s="64"/>
      <c r="R334" s="64"/>
      <c r="S334" s="64"/>
      <c r="T334" s="64"/>
      <c r="U334" s="64"/>
      <c r="V334" s="64"/>
      <c r="W334" s="64"/>
      <c r="X334" s="64"/>
      <c r="Y334" s="64"/>
      <c r="Z334" s="64"/>
    </row>
    <row r="335" spans="1:26" ht="12.75" customHeight="1" x14ac:dyDescent="0.25">
      <c r="A335" s="64"/>
      <c r="B335" s="64"/>
      <c r="C335" s="64"/>
      <c r="D335" s="64"/>
      <c r="E335" s="64"/>
      <c r="F335" s="64"/>
      <c r="G335" s="64"/>
      <c r="H335" s="64"/>
      <c r="I335" s="64"/>
      <c r="J335" s="64"/>
      <c r="K335" s="64"/>
      <c r="L335" s="64"/>
      <c r="M335" s="64"/>
      <c r="N335" s="64"/>
      <c r="O335" s="64"/>
      <c r="P335" s="64"/>
      <c r="Q335" s="64"/>
      <c r="R335" s="64"/>
      <c r="S335" s="64"/>
      <c r="T335" s="64"/>
      <c r="U335" s="64"/>
      <c r="V335" s="64"/>
      <c r="W335" s="64"/>
      <c r="X335" s="64"/>
      <c r="Y335" s="64"/>
      <c r="Z335" s="64"/>
    </row>
    <row r="336" spans="1:26" ht="12.75" customHeight="1" x14ac:dyDescent="0.25">
      <c r="A336" s="64"/>
      <c r="B336" s="64"/>
      <c r="C336" s="64"/>
      <c r="D336" s="64"/>
      <c r="E336" s="64"/>
      <c r="F336" s="64"/>
      <c r="G336" s="64"/>
      <c r="H336" s="64"/>
      <c r="I336" s="64"/>
      <c r="J336" s="64"/>
      <c r="K336" s="64"/>
      <c r="L336" s="64"/>
      <c r="M336" s="64"/>
      <c r="N336" s="64"/>
      <c r="O336" s="64"/>
      <c r="P336" s="64"/>
      <c r="Q336" s="64"/>
      <c r="R336" s="64"/>
      <c r="S336" s="64"/>
      <c r="T336" s="64"/>
      <c r="U336" s="64"/>
      <c r="V336" s="64"/>
      <c r="W336" s="64"/>
      <c r="X336" s="64"/>
      <c r="Y336" s="64"/>
      <c r="Z336" s="64"/>
    </row>
    <row r="337" spans="1:26" ht="12.75" customHeight="1" x14ac:dyDescent="0.25">
      <c r="A337" s="64"/>
      <c r="B337" s="64"/>
      <c r="C337" s="64"/>
      <c r="D337" s="64"/>
      <c r="E337" s="64"/>
      <c r="F337" s="64"/>
      <c r="G337" s="64"/>
      <c r="H337" s="64"/>
      <c r="I337" s="64"/>
      <c r="J337" s="64"/>
      <c r="K337" s="64"/>
      <c r="L337" s="64"/>
      <c r="M337" s="64"/>
      <c r="N337" s="64"/>
      <c r="O337" s="64"/>
      <c r="P337" s="64"/>
      <c r="Q337" s="64"/>
      <c r="R337" s="64"/>
      <c r="S337" s="64"/>
      <c r="T337" s="64"/>
      <c r="U337" s="64"/>
      <c r="V337" s="64"/>
      <c r="W337" s="64"/>
      <c r="X337" s="64"/>
      <c r="Y337" s="64"/>
      <c r="Z337" s="64"/>
    </row>
    <row r="338" spans="1:26" ht="12.75" customHeight="1" x14ac:dyDescent="0.25">
      <c r="A338" s="64"/>
      <c r="B338" s="64"/>
      <c r="C338" s="64"/>
      <c r="D338" s="64"/>
      <c r="E338" s="64"/>
      <c r="F338" s="64"/>
      <c r="G338" s="64"/>
      <c r="H338" s="64"/>
      <c r="I338" s="64"/>
      <c r="J338" s="64"/>
      <c r="K338" s="64"/>
      <c r="L338" s="64"/>
      <c r="M338" s="64"/>
      <c r="N338" s="64"/>
      <c r="O338" s="64"/>
      <c r="P338" s="64"/>
      <c r="Q338" s="64"/>
      <c r="R338" s="64"/>
      <c r="S338" s="64"/>
      <c r="T338" s="64"/>
      <c r="U338" s="64"/>
      <c r="V338" s="64"/>
      <c r="W338" s="64"/>
      <c r="X338" s="64"/>
      <c r="Y338" s="64"/>
      <c r="Z338" s="64"/>
    </row>
    <row r="339" spans="1:26" ht="12.75" customHeight="1" x14ac:dyDescent="0.25">
      <c r="A339" s="64"/>
      <c r="B339" s="64"/>
      <c r="C339" s="64"/>
      <c r="D339" s="64"/>
      <c r="E339" s="64"/>
      <c r="F339" s="64"/>
      <c r="G339" s="64"/>
      <c r="H339" s="64"/>
      <c r="I339" s="64"/>
      <c r="J339" s="64"/>
      <c r="K339" s="64"/>
      <c r="L339" s="64"/>
      <c r="M339" s="64"/>
      <c r="N339" s="64"/>
      <c r="O339" s="64"/>
      <c r="P339" s="64"/>
      <c r="Q339" s="64"/>
      <c r="R339" s="64"/>
      <c r="S339" s="64"/>
      <c r="T339" s="64"/>
      <c r="U339" s="64"/>
      <c r="V339" s="64"/>
      <c r="W339" s="64"/>
      <c r="X339" s="64"/>
      <c r="Y339" s="64"/>
      <c r="Z339" s="64"/>
    </row>
    <row r="340" spans="1:26" ht="12.75" customHeight="1" x14ac:dyDescent="0.25">
      <c r="A340" s="64"/>
      <c r="B340" s="64"/>
      <c r="C340" s="64"/>
      <c r="D340" s="64"/>
      <c r="E340" s="64"/>
      <c r="F340" s="64"/>
      <c r="G340" s="64"/>
      <c r="H340" s="64"/>
      <c r="I340" s="64"/>
      <c r="J340" s="64"/>
      <c r="K340" s="64"/>
      <c r="L340" s="64"/>
      <c r="M340" s="64"/>
      <c r="N340" s="64"/>
      <c r="O340" s="64"/>
      <c r="P340" s="64"/>
      <c r="Q340" s="64"/>
      <c r="R340" s="64"/>
      <c r="S340" s="64"/>
      <c r="T340" s="64"/>
      <c r="U340" s="64"/>
      <c r="V340" s="64"/>
      <c r="W340" s="64"/>
      <c r="X340" s="64"/>
      <c r="Y340" s="64"/>
      <c r="Z340" s="64"/>
    </row>
    <row r="341" spans="1:26" ht="12.75" customHeight="1" x14ac:dyDescent="0.25">
      <c r="A341" s="64"/>
      <c r="B341" s="64"/>
      <c r="C341" s="64"/>
      <c r="D341" s="64"/>
      <c r="E341" s="64"/>
      <c r="F341" s="64"/>
      <c r="G341" s="64"/>
      <c r="H341" s="64"/>
      <c r="I341" s="64"/>
      <c r="J341" s="64"/>
      <c r="K341" s="64"/>
      <c r="L341" s="64"/>
      <c r="M341" s="64"/>
      <c r="N341" s="64"/>
      <c r="O341" s="64"/>
      <c r="P341" s="64"/>
      <c r="Q341" s="64"/>
      <c r="R341" s="64"/>
      <c r="S341" s="64"/>
      <c r="T341" s="64"/>
      <c r="U341" s="64"/>
      <c r="V341" s="64"/>
      <c r="W341" s="64"/>
      <c r="X341" s="64"/>
      <c r="Y341" s="64"/>
      <c r="Z341" s="64"/>
    </row>
    <row r="342" spans="1:26" ht="12.75" customHeight="1" x14ac:dyDescent="0.25">
      <c r="A342" s="64"/>
      <c r="B342" s="64"/>
      <c r="C342" s="64"/>
      <c r="D342" s="64"/>
      <c r="E342" s="64"/>
      <c r="F342" s="64"/>
      <c r="G342" s="64"/>
      <c r="H342" s="64"/>
      <c r="I342" s="64"/>
      <c r="J342" s="64"/>
      <c r="K342" s="64"/>
      <c r="L342" s="64"/>
      <c r="M342" s="64"/>
      <c r="N342" s="64"/>
      <c r="O342" s="64"/>
      <c r="P342" s="64"/>
      <c r="Q342" s="64"/>
      <c r="R342" s="64"/>
      <c r="S342" s="64"/>
      <c r="T342" s="64"/>
      <c r="U342" s="64"/>
      <c r="V342" s="64"/>
      <c r="W342" s="64"/>
      <c r="X342" s="64"/>
      <c r="Y342" s="64"/>
      <c r="Z342" s="64"/>
    </row>
    <row r="343" spans="1:26" ht="12.75" customHeight="1" x14ac:dyDescent="0.25">
      <c r="A343" s="64"/>
      <c r="B343" s="64"/>
      <c r="C343" s="64"/>
      <c r="D343" s="64"/>
      <c r="E343" s="64"/>
      <c r="F343" s="64"/>
      <c r="G343" s="64"/>
      <c r="H343" s="64"/>
      <c r="I343" s="64"/>
      <c r="J343" s="64"/>
      <c r="K343" s="64"/>
      <c r="L343" s="64"/>
      <c r="M343" s="64"/>
      <c r="N343" s="64"/>
      <c r="O343" s="64"/>
      <c r="P343" s="64"/>
      <c r="Q343" s="64"/>
      <c r="R343" s="64"/>
      <c r="S343" s="64"/>
      <c r="T343" s="64"/>
      <c r="U343" s="64"/>
      <c r="V343" s="64"/>
      <c r="W343" s="64"/>
      <c r="X343" s="64"/>
      <c r="Y343" s="64"/>
      <c r="Z343" s="64"/>
    </row>
    <row r="344" spans="1:26" ht="12.75" customHeight="1" x14ac:dyDescent="0.25">
      <c r="A344" s="64"/>
      <c r="B344" s="64"/>
      <c r="C344" s="64"/>
      <c r="D344" s="64"/>
      <c r="E344" s="64"/>
      <c r="F344" s="64"/>
      <c r="G344" s="64"/>
      <c r="H344" s="64"/>
      <c r="I344" s="64"/>
      <c r="J344" s="64"/>
      <c r="K344" s="64"/>
      <c r="L344" s="64"/>
      <c r="M344" s="64"/>
      <c r="N344" s="64"/>
      <c r="O344" s="64"/>
      <c r="P344" s="64"/>
      <c r="Q344" s="64"/>
      <c r="R344" s="64"/>
      <c r="S344" s="64"/>
      <c r="T344" s="64"/>
      <c r="U344" s="64"/>
      <c r="V344" s="64"/>
      <c r="W344" s="64"/>
      <c r="X344" s="64"/>
      <c r="Y344" s="64"/>
      <c r="Z344" s="64"/>
    </row>
    <row r="345" spans="1:26" ht="12.75" customHeight="1" x14ac:dyDescent="0.25">
      <c r="A345" s="64"/>
      <c r="B345" s="64"/>
      <c r="C345" s="64"/>
      <c r="D345" s="64"/>
      <c r="E345" s="64"/>
      <c r="F345" s="64"/>
      <c r="G345" s="64"/>
      <c r="H345" s="64"/>
      <c r="I345" s="64"/>
      <c r="J345" s="64"/>
      <c r="K345" s="64"/>
      <c r="L345" s="64"/>
      <c r="M345" s="64"/>
      <c r="N345" s="64"/>
      <c r="O345" s="64"/>
      <c r="P345" s="64"/>
      <c r="Q345" s="64"/>
      <c r="R345" s="64"/>
      <c r="S345" s="64"/>
      <c r="T345" s="64"/>
      <c r="U345" s="64"/>
      <c r="V345" s="64"/>
      <c r="W345" s="64"/>
      <c r="X345" s="64"/>
      <c r="Y345" s="64"/>
      <c r="Z345" s="64"/>
    </row>
    <row r="346" spans="1:26" ht="12.75" customHeight="1" x14ac:dyDescent="0.25">
      <c r="A346" s="64"/>
      <c r="B346" s="64"/>
      <c r="C346" s="64"/>
      <c r="D346" s="64"/>
      <c r="E346" s="64"/>
      <c r="F346" s="64"/>
      <c r="G346" s="64"/>
      <c r="H346" s="64"/>
      <c r="I346" s="64"/>
      <c r="J346" s="64"/>
      <c r="K346" s="64"/>
      <c r="L346" s="64"/>
      <c r="M346" s="64"/>
      <c r="N346" s="64"/>
      <c r="O346" s="64"/>
      <c r="P346" s="64"/>
      <c r="Q346" s="64"/>
      <c r="R346" s="64"/>
      <c r="S346" s="64"/>
      <c r="T346" s="64"/>
      <c r="U346" s="64"/>
      <c r="V346" s="64"/>
      <c r="W346" s="64"/>
      <c r="X346" s="64"/>
      <c r="Y346" s="64"/>
      <c r="Z346" s="64"/>
    </row>
    <row r="347" spans="1:26" ht="12.75" customHeight="1" x14ac:dyDescent="0.25">
      <c r="A347" s="64"/>
      <c r="B347" s="64"/>
      <c r="C347" s="64"/>
      <c r="D347" s="64"/>
      <c r="E347" s="64"/>
      <c r="F347" s="64"/>
      <c r="G347" s="64"/>
      <c r="H347" s="64"/>
      <c r="I347" s="64"/>
      <c r="J347" s="64"/>
      <c r="K347" s="64"/>
      <c r="L347" s="64"/>
      <c r="M347" s="64"/>
      <c r="N347" s="64"/>
      <c r="O347" s="64"/>
      <c r="P347" s="64"/>
      <c r="Q347" s="64"/>
      <c r="R347" s="64"/>
      <c r="S347" s="64"/>
      <c r="T347" s="64"/>
      <c r="U347" s="64"/>
      <c r="V347" s="64"/>
      <c r="W347" s="64"/>
      <c r="X347" s="64"/>
      <c r="Y347" s="64"/>
      <c r="Z347" s="64"/>
    </row>
    <row r="348" spans="1:26" ht="12.75" customHeight="1" x14ac:dyDescent="0.25">
      <c r="A348" s="64"/>
      <c r="B348" s="64"/>
      <c r="C348" s="64"/>
      <c r="D348" s="64"/>
      <c r="E348" s="64"/>
      <c r="F348" s="64"/>
      <c r="G348" s="64"/>
      <c r="H348" s="64"/>
      <c r="I348" s="64"/>
      <c r="J348" s="64"/>
      <c r="K348" s="64"/>
      <c r="L348" s="64"/>
      <c r="M348" s="64"/>
      <c r="N348" s="64"/>
      <c r="O348" s="64"/>
      <c r="P348" s="64"/>
      <c r="Q348" s="64"/>
      <c r="R348" s="64"/>
      <c r="S348" s="64"/>
      <c r="T348" s="64"/>
      <c r="U348" s="64"/>
      <c r="V348" s="64"/>
      <c r="W348" s="64"/>
      <c r="X348" s="64"/>
      <c r="Y348" s="64"/>
      <c r="Z348" s="64"/>
    </row>
    <row r="349" spans="1:26" ht="12.75" customHeight="1" x14ac:dyDescent="0.25">
      <c r="A349" s="64"/>
      <c r="B349" s="64"/>
      <c r="C349" s="64"/>
      <c r="D349" s="64"/>
      <c r="E349" s="64"/>
      <c r="F349" s="64"/>
      <c r="G349" s="64"/>
      <c r="H349" s="64"/>
      <c r="I349" s="64"/>
      <c r="J349" s="64"/>
      <c r="K349" s="64"/>
      <c r="L349" s="64"/>
      <c r="M349" s="64"/>
      <c r="N349" s="64"/>
      <c r="O349" s="64"/>
      <c r="P349" s="64"/>
      <c r="Q349" s="64"/>
      <c r="R349" s="64"/>
      <c r="S349" s="64"/>
      <c r="T349" s="64"/>
      <c r="U349" s="64"/>
      <c r="V349" s="64"/>
      <c r="W349" s="64"/>
      <c r="X349" s="64"/>
      <c r="Y349" s="64"/>
      <c r="Z349" s="64"/>
    </row>
    <row r="350" spans="1:26" ht="12.75" customHeight="1" x14ac:dyDescent="0.25">
      <c r="A350" s="64"/>
      <c r="B350" s="64"/>
      <c r="C350" s="64"/>
      <c r="D350" s="64"/>
      <c r="E350" s="64"/>
      <c r="F350" s="64"/>
      <c r="G350" s="64"/>
      <c r="H350" s="64"/>
      <c r="I350" s="64"/>
      <c r="J350" s="64"/>
      <c r="K350" s="64"/>
      <c r="L350" s="64"/>
      <c r="M350" s="64"/>
      <c r="N350" s="64"/>
      <c r="O350" s="64"/>
      <c r="P350" s="64"/>
      <c r="Q350" s="64"/>
      <c r="R350" s="64"/>
      <c r="S350" s="64"/>
      <c r="T350" s="64"/>
      <c r="U350" s="64"/>
      <c r="V350" s="64"/>
      <c r="W350" s="64"/>
      <c r="X350" s="64"/>
      <c r="Y350" s="64"/>
      <c r="Z350" s="64"/>
    </row>
    <row r="351" spans="1:26" ht="12.75" customHeight="1" x14ac:dyDescent="0.25">
      <c r="A351" s="64"/>
      <c r="B351" s="64"/>
      <c r="C351" s="64"/>
      <c r="D351" s="64"/>
      <c r="E351" s="64"/>
      <c r="F351" s="64"/>
      <c r="G351" s="64"/>
      <c r="H351" s="64"/>
      <c r="I351" s="64"/>
      <c r="J351" s="64"/>
      <c r="K351" s="64"/>
      <c r="L351" s="64"/>
      <c r="M351" s="64"/>
      <c r="N351" s="64"/>
      <c r="O351" s="64"/>
      <c r="P351" s="64"/>
      <c r="Q351" s="64"/>
      <c r="R351" s="64"/>
      <c r="S351" s="64"/>
      <c r="T351" s="64"/>
      <c r="U351" s="64"/>
      <c r="V351" s="64"/>
      <c r="W351" s="64"/>
      <c r="X351" s="64"/>
      <c r="Y351" s="64"/>
      <c r="Z351" s="64"/>
    </row>
    <row r="352" spans="1:26" ht="12.75" customHeight="1" x14ac:dyDescent="0.25">
      <c r="A352" s="64"/>
      <c r="B352" s="64"/>
      <c r="C352" s="64"/>
      <c r="D352" s="64"/>
      <c r="E352" s="64"/>
      <c r="F352" s="64"/>
      <c r="G352" s="64"/>
      <c r="H352" s="64"/>
      <c r="I352" s="64"/>
      <c r="J352" s="64"/>
      <c r="K352" s="64"/>
      <c r="L352" s="64"/>
      <c r="M352" s="64"/>
      <c r="N352" s="64"/>
      <c r="O352" s="64"/>
      <c r="P352" s="64"/>
      <c r="Q352" s="64"/>
      <c r="R352" s="64"/>
      <c r="S352" s="64"/>
      <c r="T352" s="64"/>
      <c r="U352" s="64"/>
      <c r="V352" s="64"/>
      <c r="W352" s="64"/>
      <c r="X352" s="64"/>
      <c r="Y352" s="64"/>
      <c r="Z352" s="64"/>
    </row>
    <row r="353" spans="1:26" ht="12.75" customHeight="1" x14ac:dyDescent="0.25">
      <c r="A353" s="64"/>
      <c r="B353" s="64"/>
      <c r="C353" s="64"/>
      <c r="D353" s="64"/>
      <c r="E353" s="64"/>
      <c r="F353" s="64"/>
      <c r="G353" s="64"/>
      <c r="H353" s="64"/>
      <c r="I353" s="64"/>
      <c r="J353" s="64"/>
      <c r="K353" s="64"/>
      <c r="L353" s="64"/>
      <c r="M353" s="64"/>
      <c r="N353" s="64"/>
      <c r="O353" s="64"/>
      <c r="P353" s="64"/>
      <c r="Q353" s="64"/>
      <c r="R353" s="64"/>
      <c r="S353" s="64"/>
      <c r="T353" s="64"/>
      <c r="U353" s="64"/>
      <c r="V353" s="64"/>
      <c r="W353" s="64"/>
      <c r="X353" s="64"/>
      <c r="Y353" s="64"/>
      <c r="Z353" s="64"/>
    </row>
    <row r="354" spans="1:26" ht="12.75" customHeight="1" x14ac:dyDescent="0.25">
      <c r="A354" s="64"/>
      <c r="B354" s="64"/>
      <c r="C354" s="64"/>
      <c r="D354" s="64"/>
      <c r="E354" s="64"/>
      <c r="F354" s="64"/>
      <c r="G354" s="64"/>
      <c r="H354" s="64"/>
      <c r="I354" s="64"/>
      <c r="J354" s="64"/>
      <c r="K354" s="64"/>
      <c r="L354" s="64"/>
      <c r="M354" s="64"/>
      <c r="N354" s="64"/>
      <c r="O354" s="64"/>
      <c r="P354" s="64"/>
      <c r="Q354" s="64"/>
      <c r="R354" s="64"/>
      <c r="S354" s="64"/>
      <c r="T354" s="64"/>
      <c r="U354" s="64"/>
      <c r="V354" s="64"/>
      <c r="W354" s="64"/>
      <c r="X354" s="64"/>
      <c r="Y354" s="64"/>
      <c r="Z354" s="64"/>
    </row>
    <row r="355" spans="1:26" ht="12.75" customHeight="1" x14ac:dyDescent="0.25">
      <c r="A355" s="64"/>
      <c r="B355" s="64"/>
      <c r="C355" s="64"/>
      <c r="D355" s="64"/>
      <c r="E355" s="64"/>
      <c r="F355" s="64"/>
      <c r="G355" s="64"/>
      <c r="H355" s="64"/>
      <c r="I355" s="64"/>
      <c r="J355" s="64"/>
      <c r="K355" s="64"/>
      <c r="L355" s="64"/>
      <c r="M355" s="64"/>
      <c r="N355" s="64"/>
      <c r="O355" s="64"/>
      <c r="P355" s="64"/>
      <c r="Q355" s="64"/>
      <c r="R355" s="64"/>
      <c r="S355" s="64"/>
      <c r="T355" s="64"/>
      <c r="U355" s="64"/>
      <c r="V355" s="64"/>
      <c r="W355" s="64"/>
      <c r="X355" s="64"/>
      <c r="Y355" s="64"/>
      <c r="Z355" s="64"/>
    </row>
    <row r="356" spans="1:26" ht="12.75" customHeight="1" x14ac:dyDescent="0.25">
      <c r="A356" s="64"/>
      <c r="B356" s="64"/>
      <c r="C356" s="64"/>
      <c r="D356" s="64"/>
      <c r="E356" s="64"/>
      <c r="F356" s="64"/>
      <c r="G356" s="64"/>
      <c r="H356" s="64"/>
      <c r="I356" s="64"/>
      <c r="J356" s="64"/>
      <c r="K356" s="64"/>
      <c r="L356" s="64"/>
      <c r="M356" s="64"/>
      <c r="N356" s="64"/>
      <c r="O356" s="64"/>
      <c r="P356" s="64"/>
      <c r="Q356" s="64"/>
      <c r="R356" s="64"/>
      <c r="S356" s="64"/>
      <c r="T356" s="64"/>
      <c r="U356" s="64"/>
      <c r="V356" s="64"/>
      <c r="W356" s="64"/>
      <c r="X356" s="64"/>
      <c r="Y356" s="64"/>
      <c r="Z356" s="64"/>
    </row>
    <row r="357" spans="1:26" ht="12.75" customHeight="1" x14ac:dyDescent="0.25">
      <c r="A357" s="64"/>
      <c r="B357" s="64"/>
      <c r="C357" s="64"/>
      <c r="D357" s="64"/>
      <c r="E357" s="64"/>
      <c r="F357" s="64"/>
      <c r="G357" s="64"/>
      <c r="H357" s="64"/>
      <c r="I357" s="64"/>
      <c r="J357" s="64"/>
      <c r="K357" s="64"/>
      <c r="L357" s="64"/>
      <c r="M357" s="64"/>
      <c r="N357" s="64"/>
      <c r="O357" s="64"/>
      <c r="P357" s="64"/>
      <c r="Q357" s="64"/>
      <c r="R357" s="64"/>
      <c r="S357" s="64"/>
      <c r="T357" s="64"/>
      <c r="U357" s="64"/>
      <c r="V357" s="64"/>
      <c r="W357" s="64"/>
      <c r="X357" s="64"/>
      <c r="Y357" s="64"/>
      <c r="Z357" s="64"/>
    </row>
    <row r="358" spans="1:26" ht="12.75" customHeight="1" x14ac:dyDescent="0.25">
      <c r="A358" s="64"/>
      <c r="B358" s="64"/>
      <c r="C358" s="64"/>
      <c r="D358" s="64"/>
      <c r="E358" s="64"/>
      <c r="F358" s="64"/>
      <c r="G358" s="64"/>
      <c r="H358" s="64"/>
      <c r="I358" s="64"/>
      <c r="J358" s="64"/>
      <c r="K358" s="64"/>
      <c r="L358" s="64"/>
      <c r="M358" s="64"/>
      <c r="N358" s="64"/>
      <c r="O358" s="64"/>
      <c r="P358" s="64"/>
      <c r="Q358" s="64"/>
      <c r="R358" s="64"/>
      <c r="S358" s="64"/>
      <c r="T358" s="64"/>
      <c r="U358" s="64"/>
      <c r="V358" s="64"/>
      <c r="W358" s="64"/>
      <c r="X358" s="64"/>
      <c r="Y358" s="64"/>
      <c r="Z358" s="64"/>
    </row>
    <row r="359" spans="1:26" ht="12.75" customHeight="1" x14ac:dyDescent="0.25">
      <c r="A359" s="64"/>
      <c r="B359" s="64"/>
      <c r="C359" s="64"/>
      <c r="D359" s="64"/>
      <c r="E359" s="64"/>
      <c r="F359" s="64"/>
      <c r="G359" s="64"/>
      <c r="H359" s="64"/>
      <c r="I359" s="64"/>
      <c r="J359" s="64"/>
      <c r="K359" s="64"/>
      <c r="L359" s="64"/>
      <c r="M359" s="64"/>
      <c r="N359" s="64"/>
      <c r="O359" s="64"/>
      <c r="P359" s="64"/>
      <c r="Q359" s="64"/>
      <c r="R359" s="64"/>
      <c r="S359" s="64"/>
      <c r="T359" s="64"/>
      <c r="U359" s="64"/>
      <c r="V359" s="64"/>
      <c r="W359" s="64"/>
      <c r="X359" s="64"/>
      <c r="Y359" s="64"/>
      <c r="Z359" s="64"/>
    </row>
    <row r="360" spans="1:26" ht="12.75" customHeight="1" x14ac:dyDescent="0.25">
      <c r="A360" s="64"/>
      <c r="B360" s="64"/>
      <c r="C360" s="64"/>
      <c r="D360" s="64"/>
      <c r="E360" s="64"/>
      <c r="F360" s="64"/>
      <c r="G360" s="64"/>
      <c r="H360" s="64"/>
      <c r="I360" s="64"/>
      <c r="J360" s="64"/>
      <c r="K360" s="64"/>
      <c r="L360" s="64"/>
      <c r="M360" s="64"/>
      <c r="N360" s="64"/>
      <c r="O360" s="64"/>
      <c r="P360" s="64"/>
      <c r="Q360" s="64"/>
      <c r="R360" s="64"/>
      <c r="S360" s="64"/>
      <c r="T360" s="64"/>
      <c r="U360" s="64"/>
      <c r="V360" s="64"/>
      <c r="W360" s="64"/>
      <c r="X360" s="64"/>
      <c r="Y360" s="64"/>
      <c r="Z360" s="64"/>
    </row>
    <row r="361" spans="1:26" ht="12.75" customHeight="1" x14ac:dyDescent="0.25">
      <c r="A361" s="64"/>
      <c r="B361" s="64"/>
      <c r="C361" s="64"/>
      <c r="D361" s="64"/>
      <c r="E361" s="64"/>
      <c r="F361" s="64"/>
      <c r="G361" s="64"/>
      <c r="H361" s="64"/>
      <c r="I361" s="64"/>
      <c r="J361" s="64"/>
      <c r="K361" s="64"/>
      <c r="L361" s="64"/>
      <c r="M361" s="64"/>
      <c r="N361" s="64"/>
      <c r="O361" s="64"/>
      <c r="P361" s="64"/>
      <c r="Q361" s="64"/>
      <c r="R361" s="64"/>
      <c r="S361" s="64"/>
      <c r="T361" s="64"/>
      <c r="U361" s="64"/>
      <c r="V361" s="64"/>
      <c r="W361" s="64"/>
      <c r="X361" s="64"/>
      <c r="Y361" s="64"/>
      <c r="Z361" s="64"/>
    </row>
    <row r="362" spans="1:26" ht="12.75" customHeight="1" x14ac:dyDescent="0.25">
      <c r="A362" s="64"/>
      <c r="B362" s="64"/>
      <c r="C362" s="64"/>
      <c r="D362" s="64"/>
      <c r="E362" s="64"/>
      <c r="F362" s="64"/>
      <c r="G362" s="64"/>
      <c r="H362" s="64"/>
      <c r="I362" s="64"/>
      <c r="J362" s="64"/>
      <c r="K362" s="64"/>
      <c r="L362" s="64"/>
      <c r="M362" s="64"/>
      <c r="N362" s="64"/>
      <c r="O362" s="64"/>
      <c r="P362" s="64"/>
      <c r="Q362" s="64"/>
      <c r="R362" s="64"/>
      <c r="S362" s="64"/>
      <c r="T362" s="64"/>
      <c r="U362" s="64"/>
      <c r="V362" s="64"/>
      <c r="W362" s="64"/>
      <c r="X362" s="64"/>
      <c r="Y362" s="64"/>
      <c r="Z362" s="64"/>
    </row>
    <row r="363" spans="1:26" ht="12.75" customHeight="1" x14ac:dyDescent="0.25">
      <c r="A363" s="64"/>
      <c r="B363" s="64"/>
      <c r="C363" s="64"/>
      <c r="D363" s="64"/>
      <c r="E363" s="64"/>
      <c r="F363" s="64"/>
      <c r="G363" s="64"/>
      <c r="H363" s="64"/>
      <c r="I363" s="64"/>
      <c r="J363" s="64"/>
      <c r="K363" s="64"/>
      <c r="L363" s="64"/>
      <c r="M363" s="64"/>
      <c r="N363" s="64"/>
      <c r="O363" s="64"/>
      <c r="P363" s="64"/>
      <c r="Q363" s="64"/>
      <c r="R363" s="64"/>
      <c r="S363" s="64"/>
      <c r="T363" s="64"/>
      <c r="U363" s="64"/>
      <c r="V363" s="64"/>
      <c r="W363" s="64"/>
      <c r="X363" s="64"/>
      <c r="Y363" s="64"/>
      <c r="Z363" s="64"/>
    </row>
    <row r="364" spans="1:26" ht="12.75" customHeight="1" x14ac:dyDescent="0.25">
      <c r="A364" s="64"/>
      <c r="B364" s="64"/>
      <c r="C364" s="64"/>
      <c r="D364" s="64"/>
      <c r="E364" s="64"/>
      <c r="F364" s="64"/>
      <c r="G364" s="64"/>
      <c r="H364" s="64"/>
      <c r="I364" s="64"/>
      <c r="J364" s="64"/>
      <c r="K364" s="64"/>
      <c r="L364" s="64"/>
      <c r="M364" s="64"/>
      <c r="N364" s="64"/>
      <c r="O364" s="64"/>
      <c r="P364" s="64"/>
      <c r="Q364" s="64"/>
      <c r="R364" s="64"/>
      <c r="S364" s="64"/>
      <c r="T364" s="64"/>
      <c r="U364" s="64"/>
      <c r="V364" s="64"/>
      <c r="W364" s="64"/>
      <c r="X364" s="64"/>
      <c r="Y364" s="64"/>
      <c r="Z364" s="64"/>
    </row>
    <row r="365" spans="1:26" ht="12.75" customHeight="1" x14ac:dyDescent="0.25">
      <c r="A365" s="64"/>
      <c r="B365" s="64"/>
      <c r="C365" s="64"/>
      <c r="D365" s="64"/>
      <c r="E365" s="64"/>
      <c r="F365" s="64"/>
      <c r="G365" s="64"/>
      <c r="H365" s="64"/>
      <c r="I365" s="64"/>
      <c r="J365" s="64"/>
      <c r="K365" s="64"/>
      <c r="L365" s="64"/>
      <c r="M365" s="64"/>
      <c r="N365" s="64"/>
      <c r="O365" s="64"/>
      <c r="P365" s="64"/>
      <c r="Q365" s="64"/>
      <c r="R365" s="64"/>
      <c r="S365" s="64"/>
      <c r="T365" s="64"/>
      <c r="U365" s="64"/>
      <c r="V365" s="64"/>
      <c r="W365" s="64"/>
      <c r="X365" s="64"/>
      <c r="Y365" s="64"/>
      <c r="Z365" s="64"/>
    </row>
    <row r="366" spans="1:26" ht="12.75" customHeight="1" x14ac:dyDescent="0.25">
      <c r="A366" s="64"/>
      <c r="B366" s="64"/>
      <c r="C366" s="64"/>
      <c r="D366" s="64"/>
      <c r="E366" s="64"/>
      <c r="F366" s="64"/>
      <c r="G366" s="64"/>
      <c r="H366" s="64"/>
      <c r="I366" s="64"/>
      <c r="J366" s="64"/>
      <c r="K366" s="64"/>
      <c r="L366" s="64"/>
      <c r="M366" s="64"/>
      <c r="N366" s="64"/>
      <c r="O366" s="64"/>
      <c r="P366" s="64"/>
      <c r="Q366" s="64"/>
      <c r="R366" s="64"/>
      <c r="S366" s="64"/>
      <c r="T366" s="64"/>
      <c r="U366" s="64"/>
      <c r="V366" s="64"/>
      <c r="W366" s="64"/>
      <c r="X366" s="64"/>
      <c r="Y366" s="64"/>
      <c r="Z366" s="64"/>
    </row>
    <row r="367" spans="1:26" ht="12.75" customHeight="1" x14ac:dyDescent="0.25">
      <c r="A367" s="64"/>
      <c r="B367" s="64"/>
      <c r="C367" s="64"/>
      <c r="D367" s="64"/>
      <c r="E367" s="64"/>
      <c r="F367" s="64"/>
      <c r="G367" s="64"/>
      <c r="H367" s="64"/>
      <c r="I367" s="64"/>
      <c r="J367" s="64"/>
      <c r="K367" s="64"/>
      <c r="L367" s="64"/>
      <c r="M367" s="64"/>
      <c r="N367" s="64"/>
      <c r="O367" s="64"/>
      <c r="P367" s="64"/>
      <c r="Q367" s="64"/>
      <c r="R367" s="64"/>
      <c r="S367" s="64"/>
      <c r="T367" s="64"/>
      <c r="U367" s="64"/>
      <c r="V367" s="64"/>
      <c r="W367" s="64"/>
      <c r="X367" s="64"/>
      <c r="Y367" s="64"/>
      <c r="Z367" s="64"/>
    </row>
    <row r="368" spans="1:26" ht="12.75" customHeight="1" x14ac:dyDescent="0.25">
      <c r="A368" s="64"/>
      <c r="B368" s="64"/>
      <c r="C368" s="64"/>
      <c r="D368" s="64"/>
      <c r="E368" s="64"/>
      <c r="F368" s="64"/>
      <c r="G368" s="64"/>
      <c r="H368" s="64"/>
      <c r="I368" s="64"/>
      <c r="J368" s="64"/>
      <c r="K368" s="64"/>
      <c r="L368" s="64"/>
      <c r="M368" s="64"/>
      <c r="N368" s="64"/>
      <c r="O368" s="64"/>
      <c r="P368" s="64"/>
      <c r="Q368" s="64"/>
      <c r="R368" s="64"/>
      <c r="S368" s="64"/>
      <c r="T368" s="64"/>
      <c r="U368" s="64"/>
      <c r="V368" s="64"/>
      <c r="W368" s="64"/>
      <c r="X368" s="64"/>
      <c r="Y368" s="64"/>
      <c r="Z368" s="64"/>
    </row>
    <row r="369" spans="1:26" ht="12.75" customHeight="1" x14ac:dyDescent="0.25">
      <c r="A369" s="64"/>
      <c r="B369" s="64"/>
      <c r="C369" s="6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64"/>
      <c r="O369" s="64"/>
      <c r="P369" s="64"/>
      <c r="Q369" s="64"/>
      <c r="R369" s="64"/>
      <c r="S369" s="64"/>
      <c r="T369" s="64"/>
      <c r="U369" s="64"/>
      <c r="V369" s="64"/>
      <c r="W369" s="64"/>
      <c r="X369" s="64"/>
      <c r="Y369" s="64"/>
      <c r="Z369" s="64"/>
    </row>
    <row r="370" spans="1:26" ht="12.75" customHeight="1" x14ac:dyDescent="0.25">
      <c r="A370" s="64"/>
      <c r="B370" s="64"/>
      <c r="C370" s="64"/>
      <c r="D370" s="64"/>
      <c r="E370" s="64"/>
      <c r="F370" s="64"/>
      <c r="G370" s="64"/>
      <c r="H370" s="64"/>
      <c r="I370" s="64"/>
      <c r="J370" s="64"/>
      <c r="K370" s="64"/>
      <c r="L370" s="64"/>
      <c r="M370" s="64"/>
      <c r="N370" s="64"/>
      <c r="O370" s="64"/>
      <c r="P370" s="64"/>
      <c r="Q370" s="64"/>
      <c r="R370" s="64"/>
      <c r="S370" s="64"/>
      <c r="T370" s="64"/>
      <c r="U370" s="64"/>
      <c r="V370" s="64"/>
      <c r="W370" s="64"/>
      <c r="X370" s="64"/>
      <c r="Y370" s="64"/>
      <c r="Z370" s="64"/>
    </row>
    <row r="371" spans="1:26" ht="12.75" customHeight="1" x14ac:dyDescent="0.25">
      <c r="A371" s="64"/>
      <c r="B371" s="64"/>
      <c r="C371" s="64"/>
      <c r="D371" s="64"/>
      <c r="E371" s="64"/>
      <c r="F371" s="64"/>
      <c r="G371" s="64"/>
      <c r="H371" s="64"/>
      <c r="I371" s="64"/>
      <c r="J371" s="64"/>
      <c r="K371" s="64"/>
      <c r="L371" s="64"/>
      <c r="M371" s="64"/>
      <c r="N371" s="64"/>
      <c r="O371" s="64"/>
      <c r="P371" s="64"/>
      <c r="Q371" s="64"/>
      <c r="R371" s="64"/>
      <c r="S371" s="64"/>
      <c r="T371" s="64"/>
      <c r="U371" s="64"/>
      <c r="V371" s="64"/>
      <c r="W371" s="64"/>
      <c r="X371" s="64"/>
      <c r="Y371" s="64"/>
      <c r="Z371" s="64"/>
    </row>
    <row r="372" spans="1:26" ht="12.75" customHeight="1" x14ac:dyDescent="0.25">
      <c r="A372" s="64"/>
      <c r="B372" s="64"/>
      <c r="C372" s="64"/>
      <c r="D372" s="64"/>
      <c r="E372" s="64"/>
      <c r="F372" s="64"/>
      <c r="G372" s="64"/>
      <c r="H372" s="64"/>
      <c r="I372" s="64"/>
      <c r="J372" s="64"/>
      <c r="K372" s="64"/>
      <c r="L372" s="64"/>
      <c r="M372" s="64"/>
      <c r="N372" s="64"/>
      <c r="O372" s="64"/>
      <c r="P372" s="64"/>
      <c r="Q372" s="64"/>
      <c r="R372" s="64"/>
      <c r="S372" s="64"/>
      <c r="T372" s="64"/>
      <c r="U372" s="64"/>
      <c r="V372" s="64"/>
      <c r="W372" s="64"/>
      <c r="X372" s="64"/>
      <c r="Y372" s="64"/>
      <c r="Z372" s="64"/>
    </row>
    <row r="373" spans="1:26" ht="12.75" customHeight="1" x14ac:dyDescent="0.25">
      <c r="A373" s="64"/>
      <c r="B373" s="64"/>
      <c r="C373" s="64"/>
      <c r="D373" s="64"/>
      <c r="E373" s="64"/>
      <c r="F373" s="64"/>
      <c r="G373" s="64"/>
      <c r="H373" s="64"/>
      <c r="I373" s="64"/>
      <c r="J373" s="64"/>
      <c r="K373" s="64"/>
      <c r="L373" s="64"/>
      <c r="M373" s="64"/>
      <c r="N373" s="64"/>
      <c r="O373" s="64"/>
      <c r="P373" s="64"/>
      <c r="Q373" s="64"/>
      <c r="R373" s="64"/>
      <c r="S373" s="64"/>
      <c r="T373" s="64"/>
      <c r="U373" s="64"/>
      <c r="V373" s="64"/>
      <c r="W373" s="64"/>
      <c r="X373" s="64"/>
      <c r="Y373" s="64"/>
      <c r="Z373" s="64"/>
    </row>
    <row r="374" spans="1:26" ht="12.75" customHeight="1" x14ac:dyDescent="0.25">
      <c r="A374" s="64"/>
      <c r="B374" s="64"/>
      <c r="C374" s="64"/>
      <c r="D374" s="64"/>
      <c r="E374" s="64"/>
      <c r="F374" s="64"/>
      <c r="G374" s="64"/>
      <c r="H374" s="64"/>
      <c r="I374" s="64"/>
      <c r="J374" s="64"/>
      <c r="K374" s="64"/>
      <c r="L374" s="64"/>
      <c r="M374" s="64"/>
      <c r="N374" s="64"/>
      <c r="O374" s="64"/>
      <c r="P374" s="64"/>
      <c r="Q374" s="64"/>
      <c r="R374" s="64"/>
      <c r="S374" s="64"/>
      <c r="T374" s="64"/>
      <c r="U374" s="64"/>
      <c r="V374" s="64"/>
      <c r="W374" s="64"/>
      <c r="X374" s="64"/>
      <c r="Y374" s="64"/>
      <c r="Z374" s="64"/>
    </row>
    <row r="375" spans="1:26" ht="12.75" customHeight="1" x14ac:dyDescent="0.25">
      <c r="A375" s="64"/>
      <c r="B375" s="64"/>
      <c r="C375" s="64"/>
      <c r="D375" s="64"/>
      <c r="E375" s="64"/>
      <c r="F375" s="64"/>
      <c r="G375" s="64"/>
      <c r="H375" s="64"/>
      <c r="I375" s="64"/>
      <c r="J375" s="64"/>
      <c r="K375" s="64"/>
      <c r="L375" s="64"/>
      <c r="M375" s="64"/>
      <c r="N375" s="64"/>
      <c r="O375" s="64"/>
      <c r="P375" s="64"/>
      <c r="Q375" s="64"/>
      <c r="R375" s="64"/>
      <c r="S375" s="64"/>
      <c r="T375" s="64"/>
      <c r="U375" s="64"/>
      <c r="V375" s="64"/>
      <c r="W375" s="64"/>
      <c r="X375" s="64"/>
      <c r="Y375" s="64"/>
      <c r="Z375" s="64"/>
    </row>
    <row r="376" spans="1:26" ht="12.75" customHeight="1" x14ac:dyDescent="0.25">
      <c r="A376" s="64"/>
      <c r="B376" s="64"/>
      <c r="C376" s="64"/>
      <c r="D376" s="64"/>
      <c r="E376" s="64"/>
      <c r="F376" s="64"/>
      <c r="G376" s="64"/>
      <c r="H376" s="64"/>
      <c r="I376" s="64"/>
      <c r="J376" s="64"/>
      <c r="K376" s="64"/>
      <c r="L376" s="64"/>
      <c r="M376" s="64"/>
      <c r="N376" s="64"/>
      <c r="O376" s="64"/>
      <c r="P376" s="64"/>
      <c r="Q376" s="64"/>
      <c r="R376" s="64"/>
      <c r="S376" s="64"/>
      <c r="T376" s="64"/>
      <c r="U376" s="64"/>
      <c r="V376" s="64"/>
      <c r="W376" s="64"/>
      <c r="X376" s="64"/>
      <c r="Y376" s="64"/>
      <c r="Z376" s="64"/>
    </row>
    <row r="377" spans="1:26" ht="12.75" customHeight="1" x14ac:dyDescent="0.25">
      <c r="A377" s="64"/>
      <c r="B377" s="64"/>
      <c r="C377" s="64"/>
      <c r="D377" s="64"/>
      <c r="E377" s="64"/>
      <c r="F377" s="64"/>
      <c r="G377" s="64"/>
      <c r="H377" s="64"/>
      <c r="I377" s="64"/>
      <c r="J377" s="64"/>
      <c r="K377" s="64"/>
      <c r="L377" s="64"/>
      <c r="M377" s="64"/>
      <c r="N377" s="64"/>
      <c r="O377" s="64"/>
      <c r="P377" s="64"/>
      <c r="Q377" s="64"/>
      <c r="R377" s="64"/>
      <c r="S377" s="64"/>
      <c r="T377" s="64"/>
      <c r="U377" s="64"/>
      <c r="V377" s="64"/>
      <c r="W377" s="64"/>
      <c r="X377" s="64"/>
      <c r="Y377" s="64"/>
      <c r="Z377" s="64"/>
    </row>
    <row r="378" spans="1:26" ht="12.75" customHeight="1" x14ac:dyDescent="0.25">
      <c r="A378" s="64"/>
      <c r="B378" s="64"/>
      <c r="C378" s="64"/>
      <c r="D378" s="64"/>
      <c r="E378" s="64"/>
      <c r="F378" s="64"/>
      <c r="G378" s="64"/>
      <c r="H378" s="64"/>
      <c r="I378" s="64"/>
      <c r="J378" s="64"/>
      <c r="K378" s="64"/>
      <c r="L378" s="64"/>
      <c r="M378" s="64"/>
      <c r="N378" s="64"/>
      <c r="O378" s="64"/>
      <c r="P378" s="64"/>
      <c r="Q378" s="64"/>
      <c r="R378" s="64"/>
      <c r="S378" s="64"/>
      <c r="T378" s="64"/>
      <c r="U378" s="64"/>
      <c r="V378" s="64"/>
      <c r="W378" s="64"/>
      <c r="X378" s="64"/>
      <c r="Y378" s="64"/>
      <c r="Z378" s="64"/>
    </row>
    <row r="379" spans="1:26" ht="12.75" customHeight="1" x14ac:dyDescent="0.25">
      <c r="A379" s="64"/>
      <c r="B379" s="64"/>
      <c r="C379" s="64"/>
      <c r="D379" s="64"/>
      <c r="E379" s="64"/>
      <c r="F379" s="64"/>
      <c r="G379" s="64"/>
      <c r="H379" s="64"/>
      <c r="I379" s="64"/>
      <c r="J379" s="64"/>
      <c r="K379" s="64"/>
      <c r="L379" s="64"/>
      <c r="M379" s="64"/>
      <c r="N379" s="64"/>
      <c r="O379" s="64"/>
      <c r="P379" s="64"/>
      <c r="Q379" s="64"/>
      <c r="R379" s="64"/>
      <c r="S379" s="64"/>
      <c r="T379" s="64"/>
      <c r="U379" s="64"/>
      <c r="V379" s="64"/>
      <c r="W379" s="64"/>
      <c r="X379" s="64"/>
      <c r="Y379" s="64"/>
      <c r="Z379" s="64"/>
    </row>
    <row r="380" spans="1:26" ht="12.75" customHeight="1" x14ac:dyDescent="0.25">
      <c r="A380" s="64"/>
      <c r="B380" s="64"/>
      <c r="C380" s="64"/>
      <c r="D380" s="64"/>
      <c r="E380" s="64"/>
      <c r="F380" s="64"/>
      <c r="G380" s="64"/>
      <c r="H380" s="64"/>
      <c r="I380" s="64"/>
      <c r="J380" s="64"/>
      <c r="K380" s="64"/>
      <c r="L380" s="64"/>
      <c r="M380" s="64"/>
      <c r="N380" s="64"/>
      <c r="O380" s="64"/>
      <c r="P380" s="64"/>
      <c r="Q380" s="64"/>
      <c r="R380" s="64"/>
      <c r="S380" s="64"/>
      <c r="T380" s="64"/>
      <c r="U380" s="64"/>
      <c r="V380" s="64"/>
      <c r="W380" s="64"/>
      <c r="X380" s="64"/>
      <c r="Y380" s="64"/>
      <c r="Z380" s="64"/>
    </row>
    <row r="381" spans="1:26" ht="12.75" customHeight="1" x14ac:dyDescent="0.25">
      <c r="A381" s="64"/>
      <c r="B381" s="64"/>
      <c r="C381" s="64"/>
      <c r="D381" s="64"/>
      <c r="E381" s="64"/>
      <c r="F381" s="64"/>
      <c r="G381" s="64"/>
      <c r="H381" s="64"/>
      <c r="I381" s="64"/>
      <c r="J381" s="64"/>
      <c r="K381" s="64"/>
      <c r="L381" s="64"/>
      <c r="M381" s="64"/>
      <c r="N381" s="64"/>
      <c r="O381" s="64"/>
      <c r="P381" s="64"/>
      <c r="Q381" s="64"/>
      <c r="R381" s="64"/>
      <c r="S381" s="64"/>
      <c r="T381" s="64"/>
      <c r="U381" s="64"/>
      <c r="V381" s="64"/>
      <c r="W381" s="64"/>
      <c r="X381" s="64"/>
      <c r="Y381" s="64"/>
      <c r="Z381" s="64"/>
    </row>
    <row r="382" spans="1:26" ht="12.75" customHeight="1" x14ac:dyDescent="0.25">
      <c r="A382" s="64"/>
      <c r="B382" s="64"/>
      <c r="C382" s="64"/>
      <c r="D382" s="64"/>
      <c r="E382" s="64"/>
      <c r="F382" s="64"/>
      <c r="G382" s="64"/>
      <c r="H382" s="64"/>
      <c r="I382" s="64"/>
      <c r="J382" s="64"/>
      <c r="K382" s="64"/>
      <c r="L382" s="64"/>
      <c r="M382" s="64"/>
      <c r="N382" s="64"/>
      <c r="O382" s="64"/>
      <c r="P382" s="64"/>
      <c r="Q382" s="64"/>
      <c r="R382" s="64"/>
      <c r="S382" s="64"/>
      <c r="T382" s="64"/>
      <c r="U382" s="64"/>
      <c r="V382" s="64"/>
      <c r="W382" s="64"/>
      <c r="X382" s="64"/>
      <c r="Y382" s="64"/>
      <c r="Z382" s="64"/>
    </row>
    <row r="383" spans="1:26" ht="12.75" customHeight="1" x14ac:dyDescent="0.25">
      <c r="A383" s="64"/>
      <c r="B383" s="64"/>
      <c r="C383" s="64"/>
      <c r="D383" s="64"/>
      <c r="E383" s="64"/>
      <c r="F383" s="64"/>
      <c r="G383" s="64"/>
      <c r="H383" s="64"/>
      <c r="I383" s="64"/>
      <c r="J383" s="64"/>
      <c r="K383" s="64"/>
      <c r="L383" s="64"/>
      <c r="M383" s="64"/>
      <c r="N383" s="64"/>
      <c r="O383" s="64"/>
      <c r="P383" s="64"/>
      <c r="Q383" s="64"/>
      <c r="R383" s="64"/>
      <c r="S383" s="64"/>
      <c r="T383" s="64"/>
      <c r="U383" s="64"/>
      <c r="V383" s="64"/>
      <c r="W383" s="64"/>
      <c r="X383" s="64"/>
      <c r="Y383" s="64"/>
      <c r="Z383" s="64"/>
    </row>
    <row r="384" spans="1:26" ht="12.75" customHeight="1" x14ac:dyDescent="0.25">
      <c r="A384" s="64"/>
      <c r="B384" s="64"/>
      <c r="C384" s="64"/>
      <c r="D384" s="64"/>
      <c r="E384" s="64"/>
      <c r="F384" s="64"/>
      <c r="G384" s="64"/>
      <c r="H384" s="64"/>
      <c r="I384" s="64"/>
      <c r="J384" s="64"/>
      <c r="K384" s="64"/>
      <c r="L384" s="64"/>
      <c r="M384" s="64"/>
      <c r="N384" s="64"/>
      <c r="O384" s="64"/>
      <c r="P384" s="64"/>
      <c r="Q384" s="64"/>
      <c r="R384" s="64"/>
      <c r="S384" s="64"/>
      <c r="T384" s="64"/>
      <c r="U384" s="64"/>
      <c r="V384" s="64"/>
      <c r="W384" s="64"/>
      <c r="X384" s="64"/>
      <c r="Y384" s="64"/>
      <c r="Z384" s="64"/>
    </row>
    <row r="385" spans="1:26" ht="12.75" customHeight="1" x14ac:dyDescent="0.25">
      <c r="A385" s="64"/>
      <c r="B385" s="64"/>
      <c r="C385" s="64"/>
      <c r="D385" s="64"/>
      <c r="E385" s="64"/>
      <c r="F385" s="64"/>
      <c r="G385" s="64"/>
      <c r="H385" s="64"/>
      <c r="I385" s="64"/>
      <c r="J385" s="64"/>
      <c r="K385" s="64"/>
      <c r="L385" s="64"/>
      <c r="M385" s="64"/>
      <c r="N385" s="64"/>
      <c r="O385" s="64"/>
      <c r="P385" s="64"/>
      <c r="Q385" s="64"/>
      <c r="R385" s="64"/>
      <c r="S385" s="64"/>
      <c r="T385" s="64"/>
      <c r="U385" s="64"/>
      <c r="V385" s="64"/>
      <c r="W385" s="64"/>
      <c r="X385" s="64"/>
      <c r="Y385" s="64"/>
      <c r="Z385" s="64"/>
    </row>
    <row r="386" spans="1:26" ht="12.75" customHeight="1" x14ac:dyDescent="0.25">
      <c r="A386" s="64"/>
      <c r="B386" s="64"/>
      <c r="C386" s="64"/>
      <c r="D386" s="64"/>
      <c r="E386" s="64"/>
      <c r="F386" s="64"/>
      <c r="G386" s="64"/>
      <c r="H386" s="64"/>
      <c r="I386" s="64"/>
      <c r="J386" s="64"/>
      <c r="K386" s="64"/>
      <c r="L386" s="64"/>
      <c r="M386" s="64"/>
      <c r="N386" s="64"/>
      <c r="O386" s="64"/>
      <c r="P386" s="64"/>
      <c r="Q386" s="64"/>
      <c r="R386" s="64"/>
      <c r="S386" s="64"/>
      <c r="T386" s="64"/>
      <c r="U386" s="64"/>
      <c r="V386" s="64"/>
      <c r="W386" s="64"/>
      <c r="X386" s="64"/>
      <c r="Y386" s="64"/>
      <c r="Z386" s="64"/>
    </row>
    <row r="387" spans="1:26" ht="12.75" customHeight="1" x14ac:dyDescent="0.25">
      <c r="A387" s="64"/>
      <c r="B387" s="64"/>
      <c r="C387" s="64"/>
      <c r="D387" s="64"/>
      <c r="E387" s="64"/>
      <c r="F387" s="64"/>
      <c r="G387" s="64"/>
      <c r="H387" s="64"/>
      <c r="I387" s="64"/>
      <c r="J387" s="64"/>
      <c r="K387" s="64"/>
      <c r="L387" s="64"/>
      <c r="M387" s="64"/>
      <c r="N387" s="64"/>
      <c r="O387" s="64"/>
      <c r="P387" s="64"/>
      <c r="Q387" s="64"/>
      <c r="R387" s="64"/>
      <c r="S387" s="64"/>
      <c r="T387" s="64"/>
      <c r="U387" s="64"/>
      <c r="V387" s="64"/>
      <c r="W387" s="64"/>
      <c r="X387" s="64"/>
      <c r="Y387" s="64"/>
      <c r="Z387" s="64"/>
    </row>
    <row r="388" spans="1:26" ht="12.75" customHeight="1" x14ac:dyDescent="0.25">
      <c r="A388" s="64"/>
      <c r="B388" s="64"/>
      <c r="C388" s="64"/>
      <c r="D388" s="64"/>
      <c r="E388" s="64"/>
      <c r="F388" s="64"/>
      <c r="G388" s="64"/>
      <c r="H388" s="64"/>
      <c r="I388" s="64"/>
      <c r="J388" s="64"/>
      <c r="K388" s="64"/>
      <c r="L388" s="64"/>
      <c r="M388" s="64"/>
      <c r="N388" s="64"/>
      <c r="O388" s="64"/>
      <c r="P388" s="64"/>
      <c r="Q388" s="64"/>
      <c r="R388" s="64"/>
      <c r="S388" s="64"/>
      <c r="T388" s="64"/>
      <c r="U388" s="64"/>
      <c r="V388" s="64"/>
      <c r="W388" s="64"/>
      <c r="X388" s="64"/>
      <c r="Y388" s="64"/>
      <c r="Z388" s="64"/>
    </row>
    <row r="389" spans="1:26" ht="12.75" customHeight="1" x14ac:dyDescent="0.25">
      <c r="A389" s="64"/>
      <c r="B389" s="64"/>
      <c r="C389" s="64"/>
      <c r="D389" s="64"/>
      <c r="E389" s="64"/>
      <c r="F389" s="64"/>
      <c r="G389" s="64"/>
      <c r="H389" s="64"/>
      <c r="I389" s="64"/>
      <c r="J389" s="64"/>
      <c r="K389" s="64"/>
      <c r="L389" s="64"/>
      <c r="M389" s="64"/>
      <c r="N389" s="64"/>
      <c r="O389" s="64"/>
      <c r="P389" s="64"/>
      <c r="Q389" s="64"/>
      <c r="R389" s="64"/>
      <c r="S389" s="64"/>
      <c r="T389" s="64"/>
      <c r="U389" s="64"/>
      <c r="V389" s="64"/>
      <c r="W389" s="64"/>
      <c r="X389" s="64"/>
      <c r="Y389" s="64"/>
      <c r="Z389" s="64"/>
    </row>
    <row r="390" spans="1:26" ht="12.75" customHeight="1" x14ac:dyDescent="0.25">
      <c r="A390" s="64"/>
      <c r="B390" s="64"/>
      <c r="C390" s="64"/>
      <c r="D390" s="64"/>
      <c r="E390" s="64"/>
      <c r="F390" s="64"/>
      <c r="G390" s="64"/>
      <c r="H390" s="64"/>
      <c r="I390" s="64"/>
      <c r="J390" s="64"/>
      <c r="K390" s="64"/>
      <c r="L390" s="64"/>
      <c r="M390" s="64"/>
      <c r="N390" s="64"/>
      <c r="O390" s="64"/>
      <c r="P390" s="64"/>
      <c r="Q390" s="64"/>
      <c r="R390" s="64"/>
      <c r="S390" s="64"/>
      <c r="T390" s="64"/>
      <c r="U390" s="64"/>
      <c r="V390" s="64"/>
      <c r="W390" s="64"/>
      <c r="X390" s="64"/>
      <c r="Y390" s="64"/>
      <c r="Z390" s="64"/>
    </row>
    <row r="391" spans="1:26" ht="12.75" customHeight="1" x14ac:dyDescent="0.25">
      <c r="A391" s="64"/>
      <c r="B391" s="64"/>
      <c r="C391" s="64"/>
      <c r="D391" s="64"/>
      <c r="E391" s="64"/>
      <c r="F391" s="64"/>
      <c r="G391" s="64"/>
      <c r="H391" s="64"/>
      <c r="I391" s="64"/>
      <c r="J391" s="64"/>
      <c r="K391" s="64"/>
      <c r="L391" s="64"/>
      <c r="M391" s="64"/>
      <c r="N391" s="64"/>
      <c r="O391" s="64"/>
      <c r="P391" s="64"/>
      <c r="Q391" s="64"/>
      <c r="R391" s="64"/>
      <c r="S391" s="64"/>
      <c r="T391" s="64"/>
      <c r="U391" s="64"/>
      <c r="V391" s="64"/>
      <c r="W391" s="64"/>
      <c r="X391" s="64"/>
      <c r="Y391" s="64"/>
      <c r="Z391" s="64"/>
    </row>
    <row r="392" spans="1:26" ht="12.75" customHeight="1" x14ac:dyDescent="0.25">
      <c r="A392" s="64"/>
      <c r="B392" s="64"/>
      <c r="C392" s="64"/>
      <c r="D392" s="64"/>
      <c r="E392" s="64"/>
      <c r="F392" s="64"/>
      <c r="G392" s="64"/>
      <c r="H392" s="64"/>
      <c r="I392" s="64"/>
      <c r="J392" s="64"/>
      <c r="K392" s="64"/>
      <c r="L392" s="64"/>
      <c r="M392" s="64"/>
      <c r="N392" s="64"/>
      <c r="O392" s="64"/>
      <c r="P392" s="64"/>
      <c r="Q392" s="64"/>
      <c r="R392" s="64"/>
      <c r="S392" s="64"/>
      <c r="T392" s="64"/>
      <c r="U392" s="64"/>
      <c r="V392" s="64"/>
      <c r="W392" s="64"/>
      <c r="X392" s="64"/>
      <c r="Y392" s="64"/>
      <c r="Z392" s="64"/>
    </row>
    <row r="393" spans="1:26" ht="12.75" customHeight="1" x14ac:dyDescent="0.25">
      <c r="A393" s="64"/>
      <c r="B393" s="64"/>
      <c r="C393" s="64"/>
      <c r="D393" s="64"/>
      <c r="E393" s="64"/>
      <c r="F393" s="64"/>
      <c r="G393" s="64"/>
      <c r="H393" s="64"/>
      <c r="I393" s="64"/>
      <c r="J393" s="64"/>
      <c r="K393" s="64"/>
      <c r="L393" s="64"/>
      <c r="M393" s="64"/>
      <c r="N393" s="64"/>
      <c r="O393" s="64"/>
      <c r="P393" s="64"/>
      <c r="Q393" s="64"/>
      <c r="R393" s="64"/>
      <c r="S393" s="64"/>
      <c r="T393" s="64"/>
      <c r="U393" s="64"/>
      <c r="V393" s="64"/>
      <c r="W393" s="64"/>
      <c r="X393" s="64"/>
      <c r="Y393" s="64"/>
      <c r="Z393" s="64"/>
    </row>
    <row r="394" spans="1:26" ht="12.75" customHeight="1" x14ac:dyDescent="0.25">
      <c r="A394" s="64"/>
      <c r="B394" s="64"/>
      <c r="C394" s="64"/>
      <c r="D394" s="64"/>
      <c r="E394" s="64"/>
      <c r="F394" s="64"/>
      <c r="G394" s="64"/>
      <c r="H394" s="64"/>
      <c r="I394" s="64"/>
      <c r="J394" s="64"/>
      <c r="K394" s="64"/>
      <c r="L394" s="64"/>
      <c r="M394" s="64"/>
      <c r="N394" s="64"/>
      <c r="O394" s="64"/>
      <c r="P394" s="64"/>
      <c r="Q394" s="64"/>
      <c r="R394" s="64"/>
      <c r="S394" s="64"/>
      <c r="T394" s="64"/>
      <c r="U394" s="64"/>
      <c r="V394" s="64"/>
      <c r="W394" s="64"/>
      <c r="X394" s="64"/>
      <c r="Y394" s="64"/>
      <c r="Z394" s="64"/>
    </row>
    <row r="395" spans="1:26" ht="12.75" customHeight="1" x14ac:dyDescent="0.25">
      <c r="A395" s="64"/>
      <c r="B395" s="64"/>
      <c r="C395" s="64"/>
      <c r="D395" s="64"/>
      <c r="E395" s="64"/>
      <c r="F395" s="64"/>
      <c r="G395" s="64"/>
      <c r="H395" s="64"/>
      <c r="I395" s="64"/>
      <c r="J395" s="64"/>
      <c r="K395" s="64"/>
      <c r="L395" s="64"/>
      <c r="M395" s="64"/>
      <c r="N395" s="64"/>
      <c r="O395" s="64"/>
      <c r="P395" s="64"/>
      <c r="Q395" s="64"/>
      <c r="R395" s="64"/>
      <c r="S395" s="64"/>
      <c r="T395" s="64"/>
      <c r="U395" s="64"/>
      <c r="V395" s="64"/>
      <c r="W395" s="64"/>
      <c r="X395" s="64"/>
      <c r="Y395" s="64"/>
      <c r="Z395" s="64"/>
    </row>
    <row r="396" spans="1:26" ht="12.75" customHeight="1" x14ac:dyDescent="0.25">
      <c r="A396" s="64"/>
      <c r="B396" s="64"/>
      <c r="C396" s="64"/>
      <c r="D396" s="64"/>
      <c r="E396" s="64"/>
      <c r="F396" s="64"/>
      <c r="G396" s="64"/>
      <c r="H396" s="64"/>
      <c r="I396" s="64"/>
      <c r="J396" s="64"/>
      <c r="K396" s="64"/>
      <c r="L396" s="64"/>
      <c r="M396" s="64"/>
      <c r="N396" s="64"/>
      <c r="O396" s="64"/>
      <c r="P396" s="64"/>
      <c r="Q396" s="64"/>
      <c r="R396" s="64"/>
      <c r="S396" s="64"/>
      <c r="T396" s="64"/>
      <c r="U396" s="64"/>
      <c r="V396" s="64"/>
      <c r="W396" s="64"/>
      <c r="X396" s="64"/>
      <c r="Y396" s="64"/>
      <c r="Z396" s="64"/>
    </row>
    <row r="397" spans="1:26" ht="12.75" customHeight="1" x14ac:dyDescent="0.25">
      <c r="A397" s="64"/>
      <c r="B397" s="64"/>
      <c r="C397" s="64"/>
      <c r="D397" s="64"/>
      <c r="E397" s="64"/>
      <c r="F397" s="64"/>
      <c r="G397" s="64"/>
      <c r="H397" s="64"/>
      <c r="I397" s="64"/>
      <c r="J397" s="64"/>
      <c r="K397" s="64"/>
      <c r="L397" s="64"/>
      <c r="M397" s="64"/>
      <c r="N397" s="64"/>
      <c r="O397" s="64"/>
      <c r="P397" s="64"/>
      <c r="Q397" s="64"/>
      <c r="R397" s="64"/>
      <c r="S397" s="64"/>
      <c r="T397" s="64"/>
      <c r="U397" s="64"/>
      <c r="V397" s="64"/>
      <c r="W397" s="64"/>
      <c r="X397" s="64"/>
      <c r="Y397" s="64"/>
      <c r="Z397" s="64"/>
    </row>
    <row r="398" spans="1:26" ht="12.75" customHeight="1" x14ac:dyDescent="0.25">
      <c r="A398" s="64"/>
      <c r="B398" s="64"/>
      <c r="C398" s="64"/>
      <c r="D398" s="64"/>
      <c r="E398" s="64"/>
      <c r="F398" s="64"/>
      <c r="G398" s="64"/>
      <c r="H398" s="64"/>
      <c r="I398" s="64"/>
      <c r="J398" s="64"/>
      <c r="K398" s="64"/>
      <c r="L398" s="64"/>
      <c r="M398" s="64"/>
      <c r="N398" s="64"/>
      <c r="O398" s="64"/>
      <c r="P398" s="64"/>
      <c r="Q398" s="64"/>
      <c r="R398" s="64"/>
      <c r="S398" s="64"/>
      <c r="T398" s="64"/>
      <c r="U398" s="64"/>
      <c r="V398" s="64"/>
      <c r="W398" s="64"/>
      <c r="X398" s="64"/>
      <c r="Y398" s="64"/>
      <c r="Z398" s="64"/>
    </row>
    <row r="399" spans="1:26" ht="12.75" customHeight="1" x14ac:dyDescent="0.25">
      <c r="A399" s="64"/>
      <c r="B399" s="64"/>
      <c r="C399" s="64"/>
      <c r="D399" s="64"/>
      <c r="E399" s="64"/>
      <c r="F399" s="64"/>
      <c r="G399" s="64"/>
      <c r="H399" s="64"/>
      <c r="I399" s="64"/>
      <c r="J399" s="64"/>
      <c r="K399" s="64"/>
      <c r="L399" s="64"/>
      <c r="M399" s="64"/>
      <c r="N399" s="64"/>
      <c r="O399" s="64"/>
      <c r="P399" s="64"/>
      <c r="Q399" s="64"/>
      <c r="R399" s="64"/>
      <c r="S399" s="64"/>
      <c r="T399" s="64"/>
      <c r="U399" s="64"/>
      <c r="V399" s="64"/>
      <c r="W399" s="64"/>
      <c r="X399" s="64"/>
      <c r="Y399" s="64"/>
      <c r="Z399" s="64"/>
    </row>
    <row r="400" spans="1:26" ht="12.75" customHeight="1" x14ac:dyDescent="0.25">
      <c r="A400" s="64"/>
      <c r="B400" s="64"/>
      <c r="C400" s="64"/>
      <c r="D400" s="64"/>
      <c r="E400" s="64"/>
      <c r="F400" s="64"/>
      <c r="G400" s="64"/>
      <c r="H400" s="64"/>
      <c r="I400" s="64"/>
      <c r="J400" s="64"/>
      <c r="K400" s="64"/>
      <c r="L400" s="64"/>
      <c r="M400" s="64"/>
      <c r="N400" s="64"/>
      <c r="O400" s="64"/>
      <c r="P400" s="64"/>
      <c r="Q400" s="64"/>
      <c r="R400" s="64"/>
      <c r="S400" s="64"/>
      <c r="T400" s="64"/>
      <c r="U400" s="64"/>
      <c r="V400" s="64"/>
      <c r="W400" s="64"/>
      <c r="X400" s="64"/>
      <c r="Y400" s="64"/>
      <c r="Z400" s="64"/>
    </row>
    <row r="401" spans="1:26" ht="12.75" customHeight="1" x14ac:dyDescent="0.25">
      <c r="A401" s="64"/>
      <c r="B401" s="64"/>
      <c r="C401" s="64"/>
      <c r="D401" s="64"/>
      <c r="E401" s="64"/>
      <c r="F401" s="64"/>
      <c r="G401" s="64"/>
      <c r="H401" s="64"/>
      <c r="I401" s="64"/>
      <c r="J401" s="64"/>
      <c r="K401" s="64"/>
      <c r="L401" s="64"/>
      <c r="M401" s="64"/>
      <c r="N401" s="64"/>
      <c r="O401" s="64"/>
      <c r="P401" s="64"/>
      <c r="Q401" s="64"/>
      <c r="R401" s="64"/>
      <c r="S401" s="64"/>
      <c r="T401" s="64"/>
      <c r="U401" s="64"/>
      <c r="V401" s="64"/>
      <c r="W401" s="64"/>
      <c r="X401" s="64"/>
      <c r="Y401" s="64"/>
      <c r="Z401" s="64"/>
    </row>
    <row r="402" spans="1:26" ht="12.75" customHeight="1" x14ac:dyDescent="0.25">
      <c r="A402" s="64"/>
      <c r="B402" s="64"/>
      <c r="C402" s="64"/>
      <c r="D402" s="64"/>
      <c r="E402" s="64"/>
      <c r="F402" s="64"/>
      <c r="G402" s="64"/>
      <c r="H402" s="64"/>
      <c r="I402" s="64"/>
      <c r="J402" s="64"/>
      <c r="K402" s="64"/>
      <c r="L402" s="64"/>
      <c r="M402" s="64"/>
      <c r="N402" s="64"/>
      <c r="O402" s="64"/>
      <c r="P402" s="64"/>
      <c r="Q402" s="64"/>
      <c r="R402" s="64"/>
      <c r="S402" s="64"/>
      <c r="T402" s="64"/>
      <c r="U402" s="64"/>
      <c r="V402" s="64"/>
      <c r="W402" s="64"/>
      <c r="X402" s="64"/>
      <c r="Y402" s="64"/>
      <c r="Z402" s="64"/>
    </row>
    <row r="403" spans="1:26" ht="12.75" customHeight="1" x14ac:dyDescent="0.25">
      <c r="A403" s="64"/>
      <c r="B403" s="64"/>
      <c r="C403" s="64"/>
      <c r="D403" s="64"/>
      <c r="E403" s="64"/>
      <c r="F403" s="64"/>
      <c r="G403" s="64"/>
      <c r="H403" s="64"/>
      <c r="I403" s="64"/>
      <c r="J403" s="64"/>
      <c r="K403" s="64"/>
      <c r="L403" s="64"/>
      <c r="M403" s="64"/>
      <c r="N403" s="64"/>
      <c r="O403" s="64"/>
      <c r="P403" s="64"/>
      <c r="Q403" s="64"/>
      <c r="R403" s="64"/>
      <c r="S403" s="64"/>
      <c r="T403" s="64"/>
      <c r="U403" s="64"/>
      <c r="V403" s="64"/>
      <c r="W403" s="64"/>
      <c r="X403" s="64"/>
      <c r="Y403" s="64"/>
      <c r="Z403" s="64"/>
    </row>
    <row r="404" spans="1:26" ht="12.75" customHeight="1" x14ac:dyDescent="0.25">
      <c r="A404" s="64"/>
      <c r="B404" s="64"/>
      <c r="C404" s="64"/>
      <c r="D404" s="64"/>
      <c r="E404" s="64"/>
      <c r="F404" s="64"/>
      <c r="G404" s="64"/>
      <c r="H404" s="64"/>
      <c r="I404" s="64"/>
      <c r="J404" s="64"/>
      <c r="K404" s="64"/>
      <c r="L404" s="64"/>
      <c r="M404" s="64"/>
      <c r="N404" s="64"/>
      <c r="O404" s="64"/>
      <c r="P404" s="64"/>
      <c r="Q404" s="64"/>
      <c r="R404" s="64"/>
      <c r="S404" s="64"/>
      <c r="T404" s="64"/>
      <c r="U404" s="64"/>
      <c r="V404" s="64"/>
      <c r="W404" s="64"/>
      <c r="X404" s="64"/>
      <c r="Y404" s="64"/>
      <c r="Z404" s="64"/>
    </row>
    <row r="405" spans="1:26" ht="12.75" customHeight="1" x14ac:dyDescent="0.25">
      <c r="A405" s="64"/>
      <c r="B405" s="64"/>
      <c r="C405" s="64"/>
      <c r="D405" s="64"/>
      <c r="E405" s="64"/>
      <c r="F405" s="64"/>
      <c r="G405" s="64"/>
      <c r="H405" s="64"/>
      <c r="I405" s="64"/>
      <c r="J405" s="64"/>
      <c r="K405" s="64"/>
      <c r="L405" s="64"/>
      <c r="M405" s="64"/>
      <c r="N405" s="64"/>
      <c r="O405" s="64"/>
      <c r="P405" s="64"/>
      <c r="Q405" s="64"/>
      <c r="R405" s="64"/>
      <c r="S405" s="64"/>
      <c r="T405" s="64"/>
      <c r="U405" s="64"/>
      <c r="V405" s="64"/>
      <c r="W405" s="64"/>
      <c r="X405" s="64"/>
      <c r="Y405" s="64"/>
      <c r="Z405" s="64"/>
    </row>
    <row r="406" spans="1:26" ht="12.75" customHeight="1" x14ac:dyDescent="0.25">
      <c r="A406" s="64"/>
      <c r="B406" s="64"/>
      <c r="C406" s="64"/>
      <c r="D406" s="64"/>
      <c r="E406" s="64"/>
      <c r="F406" s="64"/>
      <c r="G406" s="64"/>
      <c r="H406" s="64"/>
      <c r="I406" s="64"/>
      <c r="J406" s="64"/>
      <c r="K406" s="64"/>
      <c r="L406" s="64"/>
      <c r="M406" s="64"/>
      <c r="N406" s="64"/>
      <c r="O406" s="64"/>
      <c r="P406" s="64"/>
      <c r="Q406" s="64"/>
      <c r="R406" s="64"/>
      <c r="S406" s="64"/>
      <c r="T406" s="64"/>
      <c r="U406" s="64"/>
      <c r="V406" s="64"/>
      <c r="W406" s="64"/>
      <c r="X406" s="64"/>
      <c r="Y406" s="64"/>
      <c r="Z406" s="64"/>
    </row>
    <row r="407" spans="1:26" ht="12.75" customHeight="1" x14ac:dyDescent="0.25">
      <c r="A407" s="64"/>
      <c r="B407" s="64"/>
      <c r="C407" s="64"/>
      <c r="D407" s="64"/>
      <c r="E407" s="64"/>
      <c r="F407" s="64"/>
      <c r="G407" s="64"/>
      <c r="H407" s="64"/>
      <c r="I407" s="64"/>
      <c r="J407" s="64"/>
      <c r="K407" s="64"/>
      <c r="L407" s="64"/>
      <c r="M407" s="64"/>
      <c r="N407" s="64"/>
      <c r="O407" s="64"/>
      <c r="P407" s="64"/>
      <c r="Q407" s="64"/>
      <c r="R407" s="64"/>
      <c r="S407" s="64"/>
      <c r="T407" s="64"/>
      <c r="U407" s="64"/>
      <c r="V407" s="64"/>
      <c r="W407" s="64"/>
      <c r="X407" s="64"/>
      <c r="Y407" s="64"/>
      <c r="Z407" s="64"/>
    </row>
    <row r="408" spans="1:26" ht="12.75" customHeight="1" x14ac:dyDescent="0.25">
      <c r="A408" s="64"/>
      <c r="B408" s="64"/>
      <c r="C408" s="64"/>
      <c r="D408" s="64"/>
      <c r="E408" s="64"/>
      <c r="F408" s="64"/>
      <c r="G408" s="64"/>
      <c r="H408" s="64"/>
      <c r="I408" s="64"/>
      <c r="J408" s="64"/>
      <c r="K408" s="64"/>
      <c r="L408" s="64"/>
      <c r="M408" s="64"/>
      <c r="N408" s="64"/>
      <c r="O408" s="64"/>
      <c r="P408" s="64"/>
      <c r="Q408" s="64"/>
      <c r="R408" s="64"/>
      <c r="S408" s="64"/>
      <c r="T408" s="64"/>
      <c r="U408" s="64"/>
      <c r="V408" s="64"/>
      <c r="W408" s="64"/>
      <c r="X408" s="64"/>
      <c r="Y408" s="64"/>
      <c r="Z408" s="64"/>
    </row>
    <row r="409" spans="1:26" ht="12.75" customHeight="1" x14ac:dyDescent="0.25">
      <c r="A409" s="64"/>
      <c r="B409" s="64"/>
      <c r="C409" s="64"/>
      <c r="D409" s="64"/>
      <c r="E409" s="64"/>
      <c r="F409" s="64"/>
      <c r="G409" s="64"/>
      <c r="H409" s="64"/>
      <c r="I409" s="64"/>
      <c r="J409" s="64"/>
      <c r="K409" s="64"/>
      <c r="L409" s="64"/>
      <c r="M409" s="64"/>
      <c r="N409" s="64"/>
      <c r="O409" s="64"/>
      <c r="P409" s="64"/>
      <c r="Q409" s="64"/>
      <c r="R409" s="64"/>
      <c r="S409" s="64"/>
      <c r="T409" s="64"/>
      <c r="U409" s="64"/>
      <c r="V409" s="64"/>
      <c r="W409" s="64"/>
      <c r="X409" s="64"/>
      <c r="Y409" s="64"/>
      <c r="Z409" s="64"/>
    </row>
    <row r="410" spans="1:26" ht="12.75" customHeight="1" x14ac:dyDescent="0.25">
      <c r="A410" s="64"/>
      <c r="B410" s="64"/>
      <c r="C410" s="64"/>
      <c r="D410" s="64"/>
      <c r="E410" s="64"/>
      <c r="F410" s="64"/>
      <c r="G410" s="64"/>
      <c r="H410" s="64"/>
      <c r="I410" s="64"/>
      <c r="J410" s="64"/>
      <c r="K410" s="64"/>
      <c r="L410" s="64"/>
      <c r="M410" s="64"/>
      <c r="N410" s="64"/>
      <c r="O410" s="64"/>
      <c r="P410" s="64"/>
      <c r="Q410" s="64"/>
      <c r="R410" s="64"/>
      <c r="S410" s="64"/>
      <c r="T410" s="64"/>
      <c r="U410" s="64"/>
      <c r="V410" s="64"/>
      <c r="W410" s="64"/>
      <c r="X410" s="64"/>
      <c r="Y410" s="64"/>
      <c r="Z410" s="64"/>
    </row>
    <row r="411" spans="1:26" ht="12.75" customHeight="1" x14ac:dyDescent="0.25">
      <c r="A411" s="64"/>
      <c r="B411" s="64"/>
      <c r="C411" s="64"/>
      <c r="D411" s="64"/>
      <c r="E411" s="64"/>
      <c r="F411" s="64"/>
      <c r="G411" s="64"/>
      <c r="H411" s="64"/>
      <c r="I411" s="64"/>
      <c r="J411" s="64"/>
      <c r="K411" s="64"/>
      <c r="L411" s="64"/>
      <c r="M411" s="64"/>
      <c r="N411" s="64"/>
      <c r="O411" s="64"/>
      <c r="P411" s="64"/>
      <c r="Q411" s="64"/>
      <c r="R411" s="64"/>
      <c r="S411" s="64"/>
      <c r="T411" s="64"/>
      <c r="U411" s="64"/>
      <c r="V411" s="64"/>
      <c r="W411" s="64"/>
      <c r="X411" s="64"/>
      <c r="Y411" s="64"/>
      <c r="Z411" s="64"/>
    </row>
    <row r="412" spans="1:26" ht="12.75" customHeight="1" x14ac:dyDescent="0.25">
      <c r="A412" s="64"/>
      <c r="B412" s="64"/>
      <c r="C412" s="64"/>
      <c r="D412" s="64"/>
      <c r="E412" s="64"/>
      <c r="F412" s="64"/>
      <c r="G412" s="64"/>
      <c r="H412" s="64"/>
      <c r="I412" s="64"/>
      <c r="J412" s="64"/>
      <c r="K412" s="64"/>
      <c r="L412" s="64"/>
      <c r="M412" s="64"/>
      <c r="N412" s="64"/>
      <c r="O412" s="64"/>
      <c r="P412" s="64"/>
      <c r="Q412" s="64"/>
      <c r="R412" s="64"/>
      <c r="S412" s="64"/>
      <c r="T412" s="64"/>
      <c r="U412" s="64"/>
      <c r="V412" s="64"/>
      <c r="W412" s="64"/>
      <c r="X412" s="64"/>
      <c r="Y412" s="64"/>
      <c r="Z412" s="64"/>
    </row>
    <row r="413" spans="1:26" ht="12.75" customHeight="1" x14ac:dyDescent="0.25">
      <c r="A413" s="64"/>
      <c r="B413" s="64"/>
      <c r="C413" s="64"/>
      <c r="D413" s="64"/>
      <c r="E413" s="64"/>
      <c r="F413" s="64"/>
      <c r="G413" s="64"/>
      <c r="H413" s="64"/>
      <c r="I413" s="64"/>
      <c r="J413" s="64"/>
      <c r="K413" s="64"/>
      <c r="L413" s="64"/>
      <c r="M413" s="64"/>
      <c r="N413" s="64"/>
      <c r="O413" s="64"/>
      <c r="P413" s="64"/>
      <c r="Q413" s="64"/>
      <c r="R413" s="64"/>
      <c r="S413" s="64"/>
      <c r="T413" s="64"/>
      <c r="U413" s="64"/>
      <c r="V413" s="64"/>
      <c r="W413" s="64"/>
      <c r="X413" s="64"/>
      <c r="Y413" s="64"/>
      <c r="Z413" s="64"/>
    </row>
    <row r="414" spans="1:26" ht="12.75" customHeight="1" x14ac:dyDescent="0.25">
      <c r="A414" s="64"/>
      <c r="B414" s="64"/>
      <c r="C414" s="64"/>
      <c r="D414" s="64"/>
      <c r="E414" s="64"/>
      <c r="F414" s="64"/>
      <c r="G414" s="64"/>
      <c r="H414" s="64"/>
      <c r="I414" s="64"/>
      <c r="J414" s="64"/>
      <c r="K414" s="64"/>
      <c r="L414" s="64"/>
      <c r="M414" s="64"/>
      <c r="N414" s="64"/>
      <c r="O414" s="64"/>
      <c r="P414" s="64"/>
      <c r="Q414" s="64"/>
      <c r="R414" s="64"/>
      <c r="S414" s="64"/>
      <c r="T414" s="64"/>
      <c r="U414" s="64"/>
      <c r="V414" s="64"/>
      <c r="W414" s="64"/>
      <c r="X414" s="64"/>
      <c r="Y414" s="64"/>
      <c r="Z414" s="64"/>
    </row>
    <row r="415" spans="1:26" ht="12.75" customHeight="1" x14ac:dyDescent="0.25">
      <c r="A415" s="64"/>
      <c r="B415" s="64"/>
      <c r="C415" s="64"/>
      <c r="D415" s="64"/>
      <c r="E415" s="64"/>
      <c r="F415" s="64"/>
      <c r="G415" s="64"/>
      <c r="H415" s="64"/>
      <c r="I415" s="64"/>
      <c r="J415" s="64"/>
      <c r="K415" s="64"/>
      <c r="L415" s="64"/>
      <c r="M415" s="64"/>
      <c r="N415" s="64"/>
      <c r="O415" s="64"/>
      <c r="P415" s="64"/>
      <c r="Q415" s="64"/>
      <c r="R415" s="64"/>
      <c r="S415" s="64"/>
      <c r="T415" s="64"/>
      <c r="U415" s="64"/>
      <c r="V415" s="64"/>
      <c r="W415" s="64"/>
      <c r="X415" s="64"/>
      <c r="Y415" s="64"/>
      <c r="Z415" s="64"/>
    </row>
    <row r="416" spans="1:26" ht="12.75" customHeight="1" x14ac:dyDescent="0.25">
      <c r="A416" s="64"/>
      <c r="B416" s="64"/>
      <c r="C416" s="64"/>
      <c r="D416" s="64"/>
      <c r="E416" s="64"/>
      <c r="F416" s="64"/>
      <c r="G416" s="64"/>
      <c r="H416" s="64"/>
      <c r="I416" s="64"/>
      <c r="J416" s="64"/>
      <c r="K416" s="64"/>
      <c r="L416" s="64"/>
      <c r="M416" s="64"/>
      <c r="N416" s="64"/>
      <c r="O416" s="64"/>
      <c r="P416" s="64"/>
      <c r="Q416" s="64"/>
      <c r="R416" s="64"/>
      <c r="S416" s="64"/>
      <c r="T416" s="64"/>
      <c r="U416" s="64"/>
      <c r="V416" s="64"/>
      <c r="W416" s="64"/>
      <c r="X416" s="64"/>
      <c r="Y416" s="64"/>
      <c r="Z416" s="64"/>
    </row>
    <row r="417" spans="1:26" ht="12.75" customHeight="1" x14ac:dyDescent="0.25">
      <c r="A417" s="64"/>
      <c r="B417" s="64"/>
      <c r="C417" s="64"/>
      <c r="D417" s="64"/>
      <c r="E417" s="64"/>
      <c r="F417" s="64"/>
      <c r="G417" s="64"/>
      <c r="H417" s="64"/>
      <c r="I417" s="64"/>
      <c r="J417" s="64"/>
      <c r="K417" s="64"/>
      <c r="L417" s="64"/>
      <c r="M417" s="64"/>
      <c r="N417" s="64"/>
      <c r="O417" s="64"/>
      <c r="P417" s="64"/>
      <c r="Q417" s="64"/>
      <c r="R417" s="64"/>
      <c r="S417" s="64"/>
      <c r="T417" s="64"/>
      <c r="U417" s="64"/>
      <c r="V417" s="64"/>
      <c r="W417" s="64"/>
      <c r="X417" s="64"/>
      <c r="Y417" s="64"/>
      <c r="Z417" s="64"/>
    </row>
    <row r="418" spans="1:26" ht="12.75" customHeight="1" x14ac:dyDescent="0.25">
      <c r="A418" s="64"/>
      <c r="B418" s="64"/>
      <c r="C418" s="64"/>
      <c r="D418" s="64"/>
      <c r="E418" s="64"/>
      <c r="F418" s="64"/>
      <c r="G418" s="64"/>
      <c r="H418" s="64"/>
      <c r="I418" s="64"/>
      <c r="J418" s="64"/>
      <c r="K418" s="64"/>
      <c r="L418" s="64"/>
      <c r="M418" s="64"/>
      <c r="N418" s="64"/>
      <c r="O418" s="64"/>
      <c r="P418" s="64"/>
      <c r="Q418" s="64"/>
      <c r="R418" s="64"/>
      <c r="S418" s="64"/>
      <c r="T418" s="64"/>
      <c r="U418" s="64"/>
      <c r="V418" s="64"/>
      <c r="W418" s="64"/>
      <c r="X418" s="64"/>
      <c r="Y418" s="64"/>
      <c r="Z418" s="64"/>
    </row>
    <row r="419" spans="1:26" ht="12.75" customHeight="1" x14ac:dyDescent="0.25">
      <c r="A419" s="64"/>
      <c r="B419" s="64"/>
      <c r="C419" s="64"/>
      <c r="D419" s="64"/>
      <c r="E419" s="64"/>
      <c r="F419" s="64"/>
      <c r="G419" s="64"/>
      <c r="H419" s="64"/>
      <c r="I419" s="64"/>
      <c r="J419" s="64"/>
      <c r="K419" s="64"/>
      <c r="L419" s="64"/>
      <c r="M419" s="64"/>
      <c r="N419" s="64"/>
      <c r="O419" s="64"/>
      <c r="P419" s="64"/>
      <c r="Q419" s="64"/>
      <c r="R419" s="64"/>
      <c r="S419" s="64"/>
      <c r="T419" s="64"/>
      <c r="U419" s="64"/>
      <c r="V419" s="64"/>
      <c r="W419" s="64"/>
      <c r="X419" s="64"/>
      <c r="Y419" s="64"/>
      <c r="Z419" s="64"/>
    </row>
    <row r="420" spans="1:26" ht="12.75" customHeight="1" x14ac:dyDescent="0.25">
      <c r="A420" s="64"/>
      <c r="B420" s="64"/>
      <c r="C420" s="64"/>
      <c r="D420" s="64"/>
      <c r="E420" s="64"/>
      <c r="F420" s="64"/>
      <c r="G420" s="64"/>
      <c r="H420" s="64"/>
      <c r="I420" s="64"/>
      <c r="J420" s="64"/>
      <c r="K420" s="64"/>
      <c r="L420" s="64"/>
      <c r="M420" s="64"/>
      <c r="N420" s="64"/>
      <c r="O420" s="64"/>
      <c r="P420" s="64"/>
      <c r="Q420" s="64"/>
      <c r="R420" s="64"/>
      <c r="S420" s="64"/>
      <c r="T420" s="64"/>
      <c r="U420" s="64"/>
      <c r="V420" s="64"/>
      <c r="W420" s="64"/>
      <c r="X420" s="64"/>
      <c r="Y420" s="64"/>
      <c r="Z420" s="64"/>
    </row>
    <row r="421" spans="1:26" ht="12.75" customHeight="1" x14ac:dyDescent="0.25">
      <c r="A421" s="64"/>
      <c r="B421" s="64"/>
      <c r="C421" s="64"/>
      <c r="D421" s="64"/>
      <c r="E421" s="64"/>
      <c r="F421" s="64"/>
      <c r="G421" s="64"/>
      <c r="H421" s="64"/>
      <c r="I421" s="64"/>
      <c r="J421" s="64"/>
      <c r="K421" s="64"/>
      <c r="L421" s="64"/>
      <c r="M421" s="64"/>
      <c r="N421" s="64"/>
      <c r="O421" s="64"/>
      <c r="P421" s="64"/>
      <c r="Q421" s="64"/>
      <c r="R421" s="64"/>
      <c r="S421" s="64"/>
      <c r="T421" s="64"/>
      <c r="U421" s="64"/>
      <c r="V421" s="64"/>
      <c r="W421" s="64"/>
      <c r="X421" s="64"/>
      <c r="Y421" s="64"/>
      <c r="Z421" s="64"/>
    </row>
    <row r="422" spans="1:26" ht="12.75" customHeight="1" x14ac:dyDescent="0.25">
      <c r="A422" s="64"/>
      <c r="B422" s="64"/>
      <c r="C422" s="64"/>
      <c r="D422" s="64"/>
      <c r="E422" s="64"/>
      <c r="F422" s="64"/>
      <c r="G422" s="64"/>
      <c r="H422" s="64"/>
      <c r="I422" s="64"/>
      <c r="J422" s="64"/>
      <c r="K422" s="64"/>
      <c r="L422" s="64"/>
      <c r="M422" s="64"/>
      <c r="N422" s="64"/>
      <c r="O422" s="64"/>
      <c r="P422" s="64"/>
      <c r="Q422" s="64"/>
      <c r="R422" s="64"/>
      <c r="S422" s="64"/>
      <c r="T422" s="64"/>
      <c r="U422" s="64"/>
      <c r="V422" s="64"/>
      <c r="W422" s="64"/>
      <c r="X422" s="64"/>
      <c r="Y422" s="64"/>
      <c r="Z422" s="64"/>
    </row>
    <row r="423" spans="1:26" ht="12.75" customHeight="1" x14ac:dyDescent="0.25">
      <c r="A423" s="64"/>
      <c r="B423" s="64"/>
      <c r="C423" s="64"/>
      <c r="D423" s="64"/>
      <c r="E423" s="64"/>
      <c r="F423" s="64"/>
      <c r="G423" s="64"/>
      <c r="H423" s="64"/>
      <c r="I423" s="64"/>
      <c r="J423" s="64"/>
      <c r="K423" s="64"/>
      <c r="L423" s="64"/>
      <c r="M423" s="64"/>
      <c r="N423" s="64"/>
      <c r="O423" s="64"/>
      <c r="P423" s="64"/>
      <c r="Q423" s="64"/>
      <c r="R423" s="64"/>
      <c r="S423" s="64"/>
      <c r="T423" s="64"/>
      <c r="U423" s="64"/>
      <c r="V423" s="64"/>
      <c r="W423" s="64"/>
      <c r="X423" s="64"/>
      <c r="Y423" s="64"/>
      <c r="Z423" s="64"/>
    </row>
    <row r="424" spans="1:26" ht="12.75" customHeight="1" x14ac:dyDescent="0.25">
      <c r="A424" s="64"/>
      <c r="B424" s="64"/>
      <c r="C424" s="64"/>
      <c r="D424" s="64"/>
      <c r="E424" s="64"/>
      <c r="F424" s="64"/>
      <c r="G424" s="64"/>
      <c r="H424" s="64"/>
      <c r="I424" s="64"/>
      <c r="J424" s="64"/>
      <c r="K424" s="64"/>
      <c r="L424" s="64"/>
      <c r="M424" s="64"/>
      <c r="N424" s="64"/>
      <c r="O424" s="64"/>
      <c r="P424" s="64"/>
      <c r="Q424" s="64"/>
      <c r="R424" s="64"/>
      <c r="S424" s="64"/>
      <c r="T424" s="64"/>
      <c r="U424" s="64"/>
      <c r="V424" s="64"/>
      <c r="W424" s="64"/>
      <c r="X424" s="64"/>
      <c r="Y424" s="64"/>
      <c r="Z424" s="64"/>
    </row>
    <row r="425" spans="1:26" ht="12.75" customHeight="1" x14ac:dyDescent="0.25">
      <c r="A425" s="64"/>
      <c r="B425" s="64"/>
      <c r="C425" s="64"/>
      <c r="D425" s="64"/>
      <c r="E425" s="64"/>
      <c r="F425" s="64"/>
      <c r="G425" s="64"/>
      <c r="H425" s="64"/>
      <c r="I425" s="64"/>
      <c r="J425" s="64"/>
      <c r="K425" s="64"/>
      <c r="L425" s="64"/>
      <c r="M425" s="64"/>
      <c r="N425" s="64"/>
      <c r="O425" s="64"/>
      <c r="P425" s="64"/>
      <c r="Q425" s="64"/>
      <c r="R425" s="64"/>
      <c r="S425" s="64"/>
      <c r="T425" s="64"/>
      <c r="U425" s="64"/>
      <c r="V425" s="64"/>
      <c r="W425" s="64"/>
      <c r="X425" s="64"/>
      <c r="Y425" s="64"/>
      <c r="Z425" s="64"/>
    </row>
    <row r="426" spans="1:26" ht="12.75" customHeight="1" x14ac:dyDescent="0.25">
      <c r="A426" s="64"/>
      <c r="B426" s="64"/>
      <c r="C426" s="64"/>
      <c r="D426" s="64"/>
      <c r="E426" s="64"/>
      <c r="F426" s="64"/>
      <c r="G426" s="64"/>
      <c r="H426" s="64"/>
      <c r="I426" s="64"/>
      <c r="J426" s="64"/>
      <c r="K426" s="64"/>
      <c r="L426" s="64"/>
      <c r="M426" s="64"/>
      <c r="N426" s="64"/>
      <c r="O426" s="64"/>
      <c r="P426" s="64"/>
      <c r="Q426" s="64"/>
      <c r="R426" s="64"/>
      <c r="S426" s="64"/>
      <c r="T426" s="64"/>
      <c r="U426" s="64"/>
      <c r="V426" s="64"/>
      <c r="W426" s="64"/>
      <c r="X426" s="64"/>
      <c r="Y426" s="64"/>
      <c r="Z426" s="64"/>
    </row>
    <row r="427" spans="1:26" ht="12.75" customHeight="1" x14ac:dyDescent="0.25">
      <c r="A427" s="64"/>
      <c r="B427" s="64"/>
      <c r="C427" s="64"/>
      <c r="D427" s="64"/>
      <c r="E427" s="64"/>
      <c r="F427" s="64"/>
      <c r="G427" s="64"/>
      <c r="H427" s="64"/>
      <c r="I427" s="64"/>
      <c r="J427" s="64"/>
      <c r="K427" s="64"/>
      <c r="L427" s="64"/>
      <c r="M427" s="64"/>
      <c r="N427" s="64"/>
      <c r="O427" s="64"/>
      <c r="P427" s="64"/>
      <c r="Q427" s="64"/>
      <c r="R427" s="64"/>
      <c r="S427" s="64"/>
      <c r="T427" s="64"/>
      <c r="U427" s="64"/>
      <c r="V427" s="64"/>
      <c r="W427" s="64"/>
      <c r="X427" s="64"/>
      <c r="Y427" s="64"/>
      <c r="Z427" s="64"/>
    </row>
    <row r="428" spans="1:26" ht="12.75" customHeight="1" x14ac:dyDescent="0.25">
      <c r="A428" s="64"/>
      <c r="B428" s="64"/>
      <c r="C428" s="64"/>
      <c r="D428" s="64"/>
      <c r="E428" s="64"/>
      <c r="F428" s="64"/>
      <c r="G428" s="64"/>
      <c r="H428" s="64"/>
      <c r="I428" s="64"/>
      <c r="J428" s="64"/>
      <c r="K428" s="64"/>
      <c r="L428" s="64"/>
      <c r="M428" s="64"/>
      <c r="N428" s="64"/>
      <c r="O428" s="64"/>
      <c r="P428" s="64"/>
      <c r="Q428" s="64"/>
      <c r="R428" s="64"/>
      <c r="S428" s="64"/>
      <c r="T428" s="64"/>
      <c r="U428" s="64"/>
      <c r="V428" s="64"/>
      <c r="W428" s="64"/>
      <c r="X428" s="64"/>
      <c r="Y428" s="64"/>
      <c r="Z428" s="64"/>
    </row>
    <row r="429" spans="1:26" ht="12.75" customHeight="1" x14ac:dyDescent="0.25">
      <c r="A429" s="64"/>
      <c r="B429" s="64"/>
      <c r="C429" s="64"/>
      <c r="D429" s="64"/>
      <c r="E429" s="64"/>
      <c r="F429" s="64"/>
      <c r="G429" s="64"/>
      <c r="H429" s="64"/>
      <c r="I429" s="64"/>
      <c r="J429" s="64"/>
      <c r="K429" s="64"/>
      <c r="L429" s="64"/>
      <c r="M429" s="64"/>
      <c r="N429" s="64"/>
      <c r="O429" s="64"/>
      <c r="P429" s="64"/>
      <c r="Q429" s="64"/>
      <c r="R429" s="64"/>
      <c r="S429" s="64"/>
      <c r="T429" s="64"/>
      <c r="U429" s="64"/>
      <c r="V429" s="64"/>
      <c r="W429" s="64"/>
      <c r="X429" s="64"/>
      <c r="Y429" s="64"/>
      <c r="Z429" s="64"/>
    </row>
    <row r="430" spans="1:26" ht="12.75" customHeight="1" x14ac:dyDescent="0.25">
      <c r="A430" s="64"/>
      <c r="B430" s="64"/>
      <c r="C430" s="64"/>
      <c r="D430" s="64"/>
      <c r="E430" s="64"/>
      <c r="F430" s="64"/>
      <c r="G430" s="64"/>
      <c r="H430" s="64"/>
      <c r="I430" s="64"/>
      <c r="J430" s="64"/>
      <c r="K430" s="64"/>
      <c r="L430" s="64"/>
      <c r="M430" s="64"/>
      <c r="N430" s="64"/>
      <c r="O430" s="64"/>
      <c r="P430" s="64"/>
      <c r="Q430" s="64"/>
      <c r="R430" s="64"/>
      <c r="S430" s="64"/>
      <c r="T430" s="64"/>
      <c r="U430" s="64"/>
      <c r="V430" s="64"/>
      <c r="W430" s="64"/>
      <c r="X430" s="64"/>
      <c r="Y430" s="64"/>
      <c r="Z430" s="64"/>
    </row>
    <row r="431" spans="1:26" ht="12.75" customHeight="1" x14ac:dyDescent="0.25">
      <c r="A431" s="64"/>
      <c r="B431" s="64"/>
      <c r="C431" s="64"/>
      <c r="D431" s="64"/>
      <c r="E431" s="64"/>
      <c r="F431" s="64"/>
      <c r="G431" s="64"/>
      <c r="H431" s="64"/>
      <c r="I431" s="64"/>
      <c r="J431" s="64"/>
      <c r="K431" s="64"/>
      <c r="L431" s="64"/>
      <c r="M431" s="64"/>
      <c r="N431" s="64"/>
      <c r="O431" s="64"/>
      <c r="P431" s="64"/>
      <c r="Q431" s="64"/>
      <c r="R431" s="64"/>
      <c r="S431" s="64"/>
      <c r="T431" s="64"/>
      <c r="U431" s="64"/>
      <c r="V431" s="64"/>
      <c r="W431" s="64"/>
      <c r="X431" s="64"/>
      <c r="Y431" s="64"/>
      <c r="Z431" s="64"/>
    </row>
    <row r="432" spans="1:26" ht="12.75" customHeight="1" x14ac:dyDescent="0.25">
      <c r="A432" s="64"/>
      <c r="B432" s="64"/>
      <c r="C432" s="64"/>
      <c r="D432" s="64"/>
      <c r="E432" s="64"/>
      <c r="F432" s="64"/>
      <c r="G432" s="64"/>
      <c r="H432" s="64"/>
      <c r="I432" s="64"/>
      <c r="J432" s="64"/>
      <c r="K432" s="64"/>
      <c r="L432" s="64"/>
      <c r="M432" s="64"/>
      <c r="N432" s="64"/>
      <c r="O432" s="64"/>
      <c r="P432" s="64"/>
      <c r="Q432" s="64"/>
      <c r="R432" s="64"/>
      <c r="S432" s="64"/>
      <c r="T432" s="64"/>
      <c r="U432" s="64"/>
      <c r="V432" s="64"/>
      <c r="W432" s="64"/>
      <c r="X432" s="64"/>
      <c r="Y432" s="64"/>
      <c r="Z432" s="64"/>
    </row>
    <row r="433" spans="1:26" ht="12.75" customHeight="1" x14ac:dyDescent="0.25">
      <c r="A433" s="64"/>
      <c r="B433" s="64"/>
      <c r="C433" s="64"/>
      <c r="D433" s="64"/>
      <c r="E433" s="64"/>
      <c r="F433" s="64"/>
      <c r="G433" s="64"/>
      <c r="H433" s="64"/>
      <c r="I433" s="64"/>
      <c r="J433" s="64"/>
      <c r="K433" s="64"/>
      <c r="L433" s="64"/>
      <c r="M433" s="64"/>
      <c r="N433" s="64"/>
      <c r="O433" s="64"/>
      <c r="P433" s="64"/>
      <c r="Q433" s="64"/>
      <c r="R433" s="64"/>
      <c r="S433" s="64"/>
      <c r="T433" s="64"/>
      <c r="U433" s="64"/>
      <c r="V433" s="64"/>
      <c r="W433" s="64"/>
      <c r="X433" s="64"/>
      <c r="Y433" s="64"/>
      <c r="Z433" s="64"/>
    </row>
    <row r="434" spans="1:26" ht="12.75" customHeight="1" x14ac:dyDescent="0.25">
      <c r="A434" s="64"/>
      <c r="B434" s="64"/>
      <c r="C434" s="64"/>
      <c r="D434" s="64"/>
      <c r="E434" s="64"/>
      <c r="F434" s="64"/>
      <c r="G434" s="64"/>
      <c r="H434" s="64"/>
      <c r="I434" s="64"/>
      <c r="J434" s="64"/>
      <c r="K434" s="64"/>
      <c r="L434" s="64"/>
      <c r="M434" s="64"/>
      <c r="N434" s="64"/>
      <c r="O434" s="64"/>
      <c r="P434" s="64"/>
      <c r="Q434" s="64"/>
      <c r="R434" s="64"/>
      <c r="S434" s="64"/>
      <c r="T434" s="64"/>
      <c r="U434" s="64"/>
      <c r="V434" s="64"/>
      <c r="W434" s="64"/>
      <c r="X434" s="64"/>
      <c r="Y434" s="64"/>
      <c r="Z434" s="64"/>
    </row>
    <row r="435" spans="1:26" ht="12.75" customHeight="1" x14ac:dyDescent="0.25">
      <c r="A435" s="64"/>
      <c r="B435" s="64"/>
      <c r="C435" s="64"/>
      <c r="D435" s="64"/>
      <c r="E435" s="64"/>
      <c r="F435" s="64"/>
      <c r="G435" s="64"/>
      <c r="H435" s="64"/>
      <c r="I435" s="64"/>
      <c r="J435" s="64"/>
      <c r="K435" s="64"/>
      <c r="L435" s="64"/>
      <c r="M435" s="64"/>
      <c r="N435" s="64"/>
      <c r="O435" s="64"/>
      <c r="P435" s="64"/>
      <c r="Q435" s="64"/>
      <c r="R435" s="64"/>
      <c r="S435" s="64"/>
      <c r="T435" s="64"/>
      <c r="U435" s="64"/>
      <c r="V435" s="64"/>
      <c r="W435" s="64"/>
      <c r="X435" s="64"/>
      <c r="Y435" s="64"/>
      <c r="Z435" s="64"/>
    </row>
    <row r="436" spans="1:26" ht="12.75" customHeight="1" x14ac:dyDescent="0.25">
      <c r="A436" s="64"/>
      <c r="B436" s="64"/>
      <c r="C436" s="64"/>
      <c r="D436" s="64"/>
      <c r="E436" s="64"/>
      <c r="F436" s="64"/>
      <c r="G436" s="64"/>
      <c r="H436" s="64"/>
      <c r="I436" s="64"/>
      <c r="J436" s="64"/>
      <c r="K436" s="64"/>
      <c r="L436" s="64"/>
      <c r="M436" s="64"/>
      <c r="N436" s="64"/>
      <c r="O436" s="64"/>
      <c r="P436" s="64"/>
      <c r="Q436" s="64"/>
      <c r="R436" s="64"/>
      <c r="S436" s="64"/>
      <c r="T436" s="64"/>
      <c r="U436" s="64"/>
      <c r="V436" s="64"/>
      <c r="W436" s="64"/>
      <c r="X436" s="64"/>
      <c r="Y436" s="64"/>
      <c r="Z436" s="64"/>
    </row>
    <row r="437" spans="1:26" ht="12.75" customHeight="1" x14ac:dyDescent="0.25">
      <c r="A437" s="64"/>
      <c r="B437" s="64"/>
      <c r="C437" s="64"/>
      <c r="D437" s="64"/>
      <c r="E437" s="64"/>
      <c r="F437" s="64"/>
      <c r="G437" s="64"/>
      <c r="H437" s="64"/>
      <c r="I437" s="64"/>
      <c r="J437" s="64"/>
      <c r="K437" s="64"/>
      <c r="L437" s="64"/>
      <c r="M437" s="64"/>
      <c r="N437" s="64"/>
      <c r="O437" s="64"/>
      <c r="P437" s="64"/>
      <c r="Q437" s="64"/>
      <c r="R437" s="64"/>
      <c r="S437" s="64"/>
      <c r="T437" s="64"/>
      <c r="U437" s="64"/>
      <c r="V437" s="64"/>
      <c r="W437" s="64"/>
      <c r="X437" s="64"/>
      <c r="Y437" s="64"/>
      <c r="Z437" s="64"/>
    </row>
    <row r="438" spans="1:26" ht="12.75" customHeight="1" x14ac:dyDescent="0.25">
      <c r="A438" s="64"/>
      <c r="B438" s="64"/>
      <c r="C438" s="64"/>
      <c r="D438" s="64"/>
      <c r="E438" s="64"/>
      <c r="F438" s="64"/>
      <c r="G438" s="64"/>
      <c r="H438" s="64"/>
      <c r="I438" s="64"/>
      <c r="J438" s="64"/>
      <c r="K438" s="64"/>
      <c r="L438" s="64"/>
      <c r="M438" s="64"/>
      <c r="N438" s="64"/>
      <c r="O438" s="64"/>
      <c r="P438" s="64"/>
      <c r="Q438" s="64"/>
      <c r="R438" s="64"/>
      <c r="S438" s="64"/>
      <c r="T438" s="64"/>
      <c r="U438" s="64"/>
      <c r="V438" s="64"/>
      <c r="W438" s="64"/>
      <c r="X438" s="64"/>
      <c r="Y438" s="64"/>
      <c r="Z438" s="64"/>
    </row>
    <row r="439" spans="1:26" ht="12.75" customHeight="1" x14ac:dyDescent="0.25">
      <c r="A439" s="64"/>
      <c r="B439" s="64"/>
      <c r="C439" s="64"/>
      <c r="D439" s="64"/>
      <c r="E439" s="64"/>
      <c r="F439" s="64"/>
      <c r="G439" s="64"/>
      <c r="H439" s="64"/>
      <c r="I439" s="64"/>
      <c r="J439" s="64"/>
      <c r="K439" s="64"/>
      <c r="L439" s="64"/>
      <c r="M439" s="64"/>
      <c r="N439" s="64"/>
      <c r="O439" s="64"/>
      <c r="P439" s="64"/>
      <c r="Q439" s="64"/>
      <c r="R439" s="64"/>
      <c r="S439" s="64"/>
      <c r="T439" s="64"/>
      <c r="U439" s="64"/>
      <c r="V439" s="64"/>
      <c r="W439" s="64"/>
      <c r="X439" s="64"/>
      <c r="Y439" s="64"/>
      <c r="Z439" s="64"/>
    </row>
    <row r="440" spans="1:26" ht="12.75" customHeight="1" x14ac:dyDescent="0.25">
      <c r="A440" s="64"/>
      <c r="B440" s="64"/>
      <c r="C440" s="64"/>
      <c r="D440" s="64"/>
      <c r="E440" s="64"/>
      <c r="F440" s="64"/>
      <c r="G440" s="64"/>
      <c r="H440" s="64"/>
      <c r="I440" s="64"/>
      <c r="J440" s="64"/>
      <c r="K440" s="64"/>
      <c r="L440" s="64"/>
      <c r="M440" s="64"/>
      <c r="N440" s="64"/>
      <c r="O440" s="64"/>
      <c r="P440" s="64"/>
      <c r="Q440" s="64"/>
      <c r="R440" s="64"/>
      <c r="S440" s="64"/>
      <c r="T440" s="64"/>
      <c r="U440" s="64"/>
      <c r="V440" s="64"/>
      <c r="W440" s="64"/>
      <c r="X440" s="64"/>
      <c r="Y440" s="64"/>
      <c r="Z440" s="64"/>
    </row>
    <row r="441" spans="1:26" ht="12.75" customHeight="1" x14ac:dyDescent="0.25">
      <c r="A441" s="64"/>
      <c r="B441" s="64"/>
      <c r="C441" s="64"/>
      <c r="D441" s="64"/>
      <c r="E441" s="64"/>
      <c r="F441" s="64"/>
      <c r="G441" s="64"/>
      <c r="H441" s="64"/>
      <c r="I441" s="64"/>
      <c r="J441" s="64"/>
      <c r="K441" s="64"/>
      <c r="L441" s="64"/>
      <c r="M441" s="64"/>
      <c r="N441" s="64"/>
      <c r="O441" s="64"/>
      <c r="P441" s="64"/>
      <c r="Q441" s="64"/>
      <c r="R441" s="64"/>
      <c r="S441" s="64"/>
      <c r="T441" s="64"/>
      <c r="U441" s="64"/>
      <c r="V441" s="64"/>
      <c r="W441" s="64"/>
      <c r="X441" s="64"/>
      <c r="Y441" s="64"/>
      <c r="Z441" s="64"/>
    </row>
    <row r="442" spans="1:26" ht="12.75" customHeight="1" x14ac:dyDescent="0.25">
      <c r="A442" s="64"/>
      <c r="B442" s="64"/>
      <c r="C442" s="64"/>
      <c r="D442" s="64"/>
      <c r="E442" s="64"/>
      <c r="F442" s="64"/>
      <c r="G442" s="64"/>
      <c r="H442" s="64"/>
      <c r="I442" s="64"/>
      <c r="J442" s="64"/>
      <c r="K442" s="64"/>
      <c r="L442" s="64"/>
      <c r="M442" s="64"/>
      <c r="N442" s="64"/>
      <c r="O442" s="64"/>
      <c r="P442" s="64"/>
      <c r="Q442" s="64"/>
      <c r="R442" s="64"/>
      <c r="S442" s="64"/>
      <c r="T442" s="64"/>
      <c r="U442" s="64"/>
      <c r="V442" s="64"/>
      <c r="W442" s="64"/>
      <c r="X442" s="64"/>
      <c r="Y442" s="64"/>
      <c r="Z442" s="64"/>
    </row>
    <row r="443" spans="1:26" ht="12.75" customHeight="1" x14ac:dyDescent="0.25">
      <c r="A443" s="64"/>
      <c r="B443" s="64"/>
      <c r="C443" s="64"/>
      <c r="D443" s="64"/>
      <c r="E443" s="64"/>
      <c r="F443" s="64"/>
      <c r="G443" s="64"/>
      <c r="H443" s="64"/>
      <c r="I443" s="64"/>
      <c r="J443" s="64"/>
      <c r="K443" s="64"/>
      <c r="L443" s="64"/>
      <c r="M443" s="64"/>
      <c r="N443" s="64"/>
      <c r="O443" s="64"/>
      <c r="P443" s="64"/>
      <c r="Q443" s="64"/>
      <c r="R443" s="64"/>
      <c r="S443" s="64"/>
      <c r="T443" s="64"/>
      <c r="U443" s="64"/>
      <c r="V443" s="64"/>
      <c r="W443" s="64"/>
      <c r="X443" s="64"/>
      <c r="Y443" s="64"/>
      <c r="Z443" s="64"/>
    </row>
    <row r="444" spans="1:26" ht="12.75" customHeight="1" x14ac:dyDescent="0.25">
      <c r="A444" s="64"/>
      <c r="B444" s="64"/>
      <c r="C444" s="64"/>
      <c r="D444" s="64"/>
      <c r="E444" s="64"/>
      <c r="F444" s="64"/>
      <c r="G444" s="64"/>
      <c r="H444" s="64"/>
      <c r="I444" s="64"/>
      <c r="J444" s="64"/>
      <c r="K444" s="64"/>
      <c r="L444" s="64"/>
      <c r="M444" s="64"/>
      <c r="N444" s="64"/>
      <c r="O444" s="64"/>
      <c r="P444" s="64"/>
      <c r="Q444" s="64"/>
      <c r="R444" s="64"/>
      <c r="S444" s="64"/>
      <c r="T444" s="64"/>
      <c r="U444" s="64"/>
      <c r="V444" s="64"/>
      <c r="W444" s="64"/>
      <c r="X444" s="64"/>
      <c r="Y444" s="64"/>
      <c r="Z444" s="64"/>
    </row>
    <row r="445" spans="1:26" ht="12.75" customHeight="1" x14ac:dyDescent="0.25">
      <c r="A445" s="64"/>
      <c r="B445" s="64"/>
      <c r="C445" s="64"/>
      <c r="D445" s="64"/>
      <c r="E445" s="64"/>
      <c r="F445" s="64"/>
      <c r="G445" s="64"/>
      <c r="H445" s="64"/>
      <c r="I445" s="64"/>
      <c r="J445" s="64"/>
      <c r="K445" s="64"/>
      <c r="L445" s="64"/>
      <c r="M445" s="64"/>
      <c r="N445" s="64"/>
      <c r="O445" s="64"/>
      <c r="P445" s="64"/>
      <c r="Q445" s="64"/>
      <c r="R445" s="64"/>
      <c r="S445" s="64"/>
      <c r="T445" s="64"/>
      <c r="U445" s="64"/>
      <c r="V445" s="64"/>
      <c r="W445" s="64"/>
      <c r="X445" s="64"/>
      <c r="Y445" s="64"/>
      <c r="Z445" s="64"/>
    </row>
    <row r="446" spans="1:26" ht="12.75" customHeight="1" x14ac:dyDescent="0.25">
      <c r="A446" s="64"/>
      <c r="B446" s="64"/>
      <c r="C446" s="64"/>
      <c r="D446" s="64"/>
      <c r="E446" s="64"/>
      <c r="F446" s="64"/>
      <c r="G446" s="64"/>
      <c r="H446" s="64"/>
      <c r="I446" s="64"/>
      <c r="J446" s="64"/>
      <c r="K446" s="64"/>
      <c r="L446" s="64"/>
      <c r="M446" s="64"/>
      <c r="N446" s="64"/>
      <c r="O446" s="64"/>
      <c r="P446" s="64"/>
      <c r="Q446" s="64"/>
      <c r="R446" s="64"/>
      <c r="S446" s="64"/>
      <c r="T446" s="64"/>
      <c r="U446" s="64"/>
      <c r="V446" s="64"/>
      <c r="W446" s="64"/>
      <c r="X446" s="64"/>
      <c r="Y446" s="64"/>
      <c r="Z446" s="64"/>
    </row>
    <row r="447" spans="1:26" ht="12.75" customHeight="1" x14ac:dyDescent="0.25">
      <c r="A447" s="64"/>
      <c r="B447" s="64"/>
      <c r="C447" s="64"/>
      <c r="D447" s="64"/>
      <c r="E447" s="64"/>
      <c r="F447" s="64"/>
      <c r="G447" s="64"/>
      <c r="H447" s="64"/>
      <c r="I447" s="64"/>
      <c r="J447" s="64"/>
      <c r="K447" s="64"/>
      <c r="L447" s="64"/>
      <c r="M447" s="64"/>
      <c r="N447" s="64"/>
      <c r="O447" s="64"/>
      <c r="P447" s="64"/>
      <c r="Q447" s="64"/>
      <c r="R447" s="64"/>
      <c r="S447" s="64"/>
      <c r="T447" s="64"/>
      <c r="U447" s="64"/>
      <c r="V447" s="64"/>
      <c r="W447" s="64"/>
      <c r="X447" s="64"/>
      <c r="Y447" s="64"/>
      <c r="Z447" s="64"/>
    </row>
    <row r="448" spans="1:26" ht="12.75" customHeight="1" x14ac:dyDescent="0.25">
      <c r="A448" s="64"/>
      <c r="B448" s="64"/>
      <c r="C448" s="64"/>
      <c r="D448" s="64"/>
      <c r="E448" s="64"/>
      <c r="F448" s="64"/>
      <c r="G448" s="64"/>
      <c r="H448" s="64"/>
      <c r="I448" s="64"/>
      <c r="J448" s="64"/>
      <c r="K448" s="64"/>
      <c r="L448" s="64"/>
      <c r="M448" s="64"/>
      <c r="N448" s="64"/>
      <c r="O448" s="64"/>
      <c r="P448" s="64"/>
      <c r="Q448" s="64"/>
      <c r="R448" s="64"/>
      <c r="S448" s="64"/>
      <c r="T448" s="64"/>
      <c r="U448" s="64"/>
      <c r="V448" s="64"/>
      <c r="W448" s="64"/>
      <c r="X448" s="64"/>
      <c r="Y448" s="64"/>
      <c r="Z448" s="64"/>
    </row>
    <row r="449" spans="1:26" ht="12.75" customHeight="1" x14ac:dyDescent="0.25">
      <c r="A449" s="64"/>
      <c r="B449" s="64"/>
      <c r="C449" s="64"/>
      <c r="D449" s="64"/>
      <c r="E449" s="64"/>
      <c r="F449" s="64"/>
      <c r="G449" s="64"/>
      <c r="H449" s="64"/>
      <c r="I449" s="64"/>
      <c r="J449" s="64"/>
      <c r="K449" s="64"/>
      <c r="L449" s="64"/>
      <c r="M449" s="64"/>
      <c r="N449" s="64"/>
      <c r="O449" s="64"/>
      <c r="P449" s="64"/>
      <c r="Q449" s="64"/>
      <c r="R449" s="64"/>
      <c r="S449" s="64"/>
      <c r="T449" s="64"/>
      <c r="U449" s="64"/>
      <c r="V449" s="64"/>
      <c r="W449" s="64"/>
      <c r="X449" s="64"/>
      <c r="Y449" s="64"/>
      <c r="Z449" s="64"/>
    </row>
    <row r="450" spans="1:26" ht="12.75" customHeight="1" x14ac:dyDescent="0.25">
      <c r="A450" s="64"/>
      <c r="B450" s="64"/>
      <c r="C450" s="64"/>
      <c r="D450" s="64"/>
      <c r="E450" s="64"/>
      <c r="F450" s="64"/>
      <c r="G450" s="64"/>
      <c r="H450" s="64"/>
      <c r="I450" s="64"/>
      <c r="J450" s="64"/>
      <c r="K450" s="64"/>
      <c r="L450" s="64"/>
      <c r="M450" s="64"/>
      <c r="N450" s="64"/>
      <c r="O450" s="64"/>
      <c r="P450" s="64"/>
      <c r="Q450" s="64"/>
      <c r="R450" s="64"/>
      <c r="S450" s="64"/>
      <c r="T450" s="64"/>
      <c r="U450" s="64"/>
      <c r="V450" s="64"/>
      <c r="W450" s="64"/>
      <c r="X450" s="64"/>
      <c r="Y450" s="64"/>
      <c r="Z450" s="64"/>
    </row>
    <row r="451" spans="1:26" ht="12.75" customHeight="1" x14ac:dyDescent="0.25">
      <c r="A451" s="64"/>
      <c r="B451" s="64"/>
      <c r="C451" s="64"/>
      <c r="D451" s="64"/>
      <c r="E451" s="64"/>
      <c r="F451" s="64"/>
      <c r="G451" s="64"/>
      <c r="H451" s="64"/>
      <c r="I451" s="64"/>
      <c r="J451" s="64"/>
      <c r="K451" s="64"/>
      <c r="L451" s="64"/>
      <c r="M451" s="64"/>
      <c r="N451" s="64"/>
      <c r="O451" s="64"/>
      <c r="P451" s="64"/>
      <c r="Q451" s="64"/>
      <c r="R451" s="64"/>
      <c r="S451" s="64"/>
      <c r="T451" s="64"/>
      <c r="U451" s="64"/>
      <c r="V451" s="64"/>
      <c r="W451" s="64"/>
      <c r="X451" s="64"/>
      <c r="Y451" s="64"/>
      <c r="Z451" s="64"/>
    </row>
    <row r="452" spans="1:26" ht="12.75" customHeight="1" x14ac:dyDescent="0.25">
      <c r="A452" s="64"/>
      <c r="B452" s="64"/>
      <c r="C452" s="64"/>
      <c r="D452" s="64"/>
      <c r="E452" s="64"/>
      <c r="F452" s="64"/>
      <c r="G452" s="64"/>
      <c r="H452" s="64"/>
      <c r="I452" s="64"/>
      <c r="J452" s="64"/>
      <c r="K452" s="64"/>
      <c r="L452" s="64"/>
      <c r="M452" s="64"/>
      <c r="N452" s="64"/>
      <c r="O452" s="64"/>
      <c r="P452" s="64"/>
      <c r="Q452" s="64"/>
      <c r="R452" s="64"/>
      <c r="S452" s="64"/>
      <c r="T452" s="64"/>
      <c r="U452" s="64"/>
      <c r="V452" s="64"/>
      <c r="W452" s="64"/>
      <c r="X452" s="64"/>
      <c r="Y452" s="64"/>
      <c r="Z452" s="64"/>
    </row>
    <row r="453" spans="1:26" ht="12.75" customHeight="1" x14ac:dyDescent="0.25">
      <c r="A453" s="64"/>
      <c r="B453" s="64"/>
      <c r="C453" s="64"/>
      <c r="D453" s="64"/>
      <c r="E453" s="64"/>
      <c r="F453" s="64"/>
      <c r="G453" s="64"/>
      <c r="H453" s="64"/>
      <c r="I453" s="64"/>
      <c r="J453" s="64"/>
      <c r="K453" s="64"/>
      <c r="L453" s="64"/>
      <c r="M453" s="64"/>
      <c r="N453" s="64"/>
      <c r="O453" s="64"/>
      <c r="P453" s="64"/>
      <c r="Q453" s="64"/>
      <c r="R453" s="64"/>
      <c r="S453" s="64"/>
      <c r="T453" s="64"/>
      <c r="U453" s="64"/>
      <c r="V453" s="64"/>
      <c r="W453" s="64"/>
      <c r="X453" s="64"/>
      <c r="Y453" s="64"/>
      <c r="Z453" s="64"/>
    </row>
    <row r="454" spans="1:26" ht="12.75" customHeight="1" x14ac:dyDescent="0.25">
      <c r="A454" s="64"/>
      <c r="B454" s="64"/>
      <c r="C454" s="64"/>
      <c r="D454" s="64"/>
      <c r="E454" s="64"/>
      <c r="F454" s="64"/>
      <c r="G454" s="64"/>
      <c r="H454" s="64"/>
      <c r="I454" s="64"/>
      <c r="J454" s="64"/>
      <c r="K454" s="64"/>
      <c r="L454" s="64"/>
      <c r="M454" s="64"/>
      <c r="N454" s="64"/>
      <c r="O454" s="64"/>
      <c r="P454" s="64"/>
      <c r="Q454" s="64"/>
      <c r="R454" s="64"/>
      <c r="S454" s="64"/>
      <c r="T454" s="64"/>
      <c r="U454" s="64"/>
      <c r="V454" s="64"/>
      <c r="W454" s="64"/>
      <c r="X454" s="64"/>
      <c r="Y454" s="64"/>
      <c r="Z454" s="64"/>
    </row>
    <row r="455" spans="1:26" ht="12.75" customHeight="1" x14ac:dyDescent="0.25">
      <c r="A455" s="64"/>
      <c r="B455" s="64"/>
      <c r="C455" s="64"/>
      <c r="D455" s="64"/>
      <c r="E455" s="64"/>
      <c r="F455" s="64"/>
      <c r="G455" s="64"/>
      <c r="H455" s="64"/>
      <c r="I455" s="64"/>
      <c r="J455" s="64"/>
      <c r="K455" s="64"/>
      <c r="L455" s="64"/>
      <c r="M455" s="64"/>
      <c r="N455" s="64"/>
      <c r="O455" s="64"/>
      <c r="P455" s="64"/>
      <c r="Q455" s="64"/>
      <c r="R455" s="64"/>
      <c r="S455" s="64"/>
      <c r="T455" s="64"/>
      <c r="U455" s="64"/>
      <c r="V455" s="64"/>
      <c r="W455" s="64"/>
      <c r="X455" s="64"/>
      <c r="Y455" s="64"/>
      <c r="Z455" s="64"/>
    </row>
    <row r="456" spans="1:26" ht="12.75" customHeight="1" x14ac:dyDescent="0.25">
      <c r="A456" s="64"/>
      <c r="B456" s="64"/>
      <c r="C456" s="64"/>
      <c r="D456" s="64"/>
      <c r="E456" s="64"/>
      <c r="F456" s="64"/>
      <c r="G456" s="64"/>
      <c r="H456" s="64"/>
      <c r="I456" s="64"/>
      <c r="J456" s="64"/>
      <c r="K456" s="64"/>
      <c r="L456" s="64"/>
      <c r="M456" s="64"/>
      <c r="N456" s="64"/>
      <c r="O456" s="64"/>
      <c r="P456" s="64"/>
      <c r="Q456" s="64"/>
      <c r="R456" s="64"/>
      <c r="S456" s="64"/>
      <c r="T456" s="64"/>
      <c r="U456" s="64"/>
      <c r="V456" s="64"/>
      <c r="W456" s="64"/>
      <c r="X456" s="64"/>
      <c r="Y456" s="64"/>
      <c r="Z456" s="64"/>
    </row>
    <row r="457" spans="1:26" ht="12.75" customHeight="1" x14ac:dyDescent="0.25">
      <c r="A457" s="64"/>
      <c r="B457" s="64"/>
      <c r="C457" s="64"/>
      <c r="D457" s="64"/>
      <c r="E457" s="64"/>
      <c r="F457" s="64"/>
      <c r="G457" s="64"/>
      <c r="H457" s="64"/>
      <c r="I457" s="64"/>
      <c r="J457" s="64"/>
      <c r="K457" s="64"/>
      <c r="L457" s="64"/>
      <c r="M457" s="64"/>
      <c r="N457" s="64"/>
      <c r="O457" s="64"/>
      <c r="P457" s="64"/>
      <c r="Q457" s="64"/>
      <c r="R457" s="64"/>
      <c r="S457" s="64"/>
      <c r="T457" s="64"/>
      <c r="U457" s="64"/>
      <c r="V457" s="64"/>
      <c r="W457" s="64"/>
      <c r="X457" s="64"/>
      <c r="Y457" s="64"/>
      <c r="Z457" s="64"/>
    </row>
    <row r="458" spans="1:26" ht="12.75" customHeight="1" x14ac:dyDescent="0.25">
      <c r="A458" s="64"/>
      <c r="B458" s="64"/>
      <c r="C458" s="64"/>
      <c r="D458" s="64"/>
      <c r="E458" s="64"/>
      <c r="F458" s="64"/>
      <c r="G458" s="64"/>
      <c r="H458" s="64"/>
      <c r="I458" s="64"/>
      <c r="J458" s="64"/>
      <c r="K458" s="64"/>
      <c r="L458" s="64"/>
      <c r="M458" s="64"/>
      <c r="N458" s="64"/>
      <c r="O458" s="64"/>
      <c r="P458" s="64"/>
      <c r="Q458" s="64"/>
      <c r="R458" s="64"/>
      <c r="S458" s="64"/>
      <c r="T458" s="64"/>
      <c r="U458" s="64"/>
      <c r="V458" s="64"/>
      <c r="W458" s="64"/>
      <c r="X458" s="64"/>
      <c r="Y458" s="64"/>
      <c r="Z458" s="64"/>
    </row>
    <row r="459" spans="1:26" ht="12.75" customHeight="1" x14ac:dyDescent="0.25">
      <c r="A459" s="64"/>
      <c r="B459" s="64"/>
      <c r="C459" s="64"/>
      <c r="D459" s="64"/>
      <c r="E459" s="64"/>
      <c r="F459" s="64"/>
      <c r="G459" s="64"/>
      <c r="H459" s="64"/>
      <c r="I459" s="64"/>
      <c r="J459" s="64"/>
      <c r="K459" s="64"/>
      <c r="L459" s="64"/>
      <c r="M459" s="64"/>
      <c r="N459" s="64"/>
      <c r="O459" s="64"/>
      <c r="P459" s="64"/>
      <c r="Q459" s="64"/>
      <c r="R459" s="64"/>
      <c r="S459" s="64"/>
      <c r="T459" s="64"/>
      <c r="U459" s="64"/>
      <c r="V459" s="64"/>
      <c r="W459" s="64"/>
      <c r="X459" s="64"/>
      <c r="Y459" s="64"/>
      <c r="Z459" s="64"/>
    </row>
    <row r="460" spans="1:26" ht="12.75" customHeight="1" x14ac:dyDescent="0.25">
      <c r="A460" s="64"/>
      <c r="B460" s="64"/>
      <c r="C460" s="64"/>
      <c r="D460" s="64"/>
      <c r="E460" s="64"/>
      <c r="F460" s="64"/>
      <c r="G460" s="64"/>
      <c r="H460" s="64"/>
      <c r="I460" s="64"/>
      <c r="J460" s="64"/>
      <c r="K460" s="64"/>
      <c r="L460" s="64"/>
      <c r="M460" s="64"/>
      <c r="N460" s="64"/>
      <c r="O460" s="64"/>
      <c r="P460" s="64"/>
      <c r="Q460" s="64"/>
      <c r="R460" s="64"/>
      <c r="S460" s="64"/>
      <c r="T460" s="64"/>
      <c r="U460" s="64"/>
      <c r="V460" s="64"/>
      <c r="W460" s="64"/>
      <c r="X460" s="64"/>
      <c r="Y460" s="64"/>
      <c r="Z460" s="64"/>
    </row>
    <row r="461" spans="1:26" ht="12.75" customHeight="1" x14ac:dyDescent="0.25">
      <c r="A461" s="64"/>
      <c r="B461" s="64"/>
      <c r="C461" s="64"/>
      <c r="D461" s="64"/>
      <c r="E461" s="64"/>
      <c r="F461" s="64"/>
      <c r="G461" s="64"/>
      <c r="H461" s="64"/>
      <c r="I461" s="64"/>
      <c r="J461" s="64"/>
      <c r="K461" s="64"/>
      <c r="L461" s="64"/>
      <c r="M461" s="64"/>
      <c r="N461" s="64"/>
      <c r="O461" s="64"/>
      <c r="P461" s="64"/>
      <c r="Q461" s="64"/>
      <c r="R461" s="64"/>
      <c r="S461" s="64"/>
      <c r="T461" s="64"/>
      <c r="U461" s="64"/>
      <c r="V461" s="64"/>
      <c r="W461" s="64"/>
      <c r="X461" s="64"/>
      <c r="Y461" s="64"/>
      <c r="Z461" s="64"/>
    </row>
    <row r="462" spans="1:26" ht="12.75" customHeight="1" x14ac:dyDescent="0.25">
      <c r="A462" s="64"/>
      <c r="B462" s="64"/>
      <c r="C462" s="64"/>
      <c r="D462" s="64"/>
      <c r="E462" s="64"/>
      <c r="F462" s="64"/>
      <c r="G462" s="64"/>
      <c r="H462" s="64"/>
      <c r="I462" s="64"/>
      <c r="J462" s="64"/>
      <c r="K462" s="64"/>
      <c r="L462" s="64"/>
      <c r="M462" s="64"/>
      <c r="N462" s="64"/>
      <c r="O462" s="64"/>
      <c r="P462" s="64"/>
      <c r="Q462" s="64"/>
      <c r="R462" s="64"/>
      <c r="S462" s="64"/>
      <c r="T462" s="64"/>
      <c r="U462" s="64"/>
      <c r="V462" s="64"/>
      <c r="W462" s="64"/>
      <c r="X462" s="64"/>
      <c r="Y462" s="64"/>
      <c r="Z462" s="64"/>
    </row>
    <row r="463" spans="1:26" ht="12.75" customHeight="1" x14ac:dyDescent="0.25">
      <c r="A463" s="64"/>
      <c r="B463" s="64"/>
      <c r="C463" s="64"/>
      <c r="D463" s="64"/>
      <c r="E463" s="64"/>
      <c r="F463" s="64"/>
      <c r="G463" s="64"/>
      <c r="H463" s="64"/>
      <c r="I463" s="64"/>
      <c r="J463" s="64"/>
      <c r="K463" s="64"/>
      <c r="L463" s="64"/>
      <c r="M463" s="64"/>
      <c r="N463" s="64"/>
      <c r="O463" s="64"/>
      <c r="P463" s="64"/>
      <c r="Q463" s="64"/>
      <c r="R463" s="64"/>
      <c r="S463" s="64"/>
      <c r="T463" s="64"/>
      <c r="U463" s="64"/>
      <c r="V463" s="64"/>
      <c r="W463" s="64"/>
      <c r="X463" s="64"/>
      <c r="Y463" s="64"/>
      <c r="Z463" s="64"/>
    </row>
    <row r="464" spans="1:26" ht="12.75" customHeight="1" x14ac:dyDescent="0.25">
      <c r="A464" s="64"/>
      <c r="B464" s="64"/>
      <c r="C464" s="64"/>
      <c r="D464" s="64"/>
      <c r="E464" s="64"/>
      <c r="F464" s="64"/>
      <c r="G464" s="64"/>
      <c r="H464" s="64"/>
      <c r="I464" s="64"/>
      <c r="J464" s="64"/>
      <c r="K464" s="64"/>
      <c r="L464" s="64"/>
      <c r="M464" s="64"/>
      <c r="N464" s="64"/>
      <c r="O464" s="64"/>
      <c r="P464" s="64"/>
      <c r="Q464" s="64"/>
      <c r="R464" s="64"/>
      <c r="S464" s="64"/>
      <c r="T464" s="64"/>
      <c r="U464" s="64"/>
      <c r="V464" s="64"/>
      <c r="W464" s="64"/>
      <c r="X464" s="64"/>
      <c r="Y464" s="64"/>
      <c r="Z464" s="64"/>
    </row>
    <row r="465" spans="1:26" ht="12.75" customHeight="1" x14ac:dyDescent="0.25">
      <c r="A465" s="64"/>
      <c r="B465" s="64"/>
      <c r="C465" s="64"/>
      <c r="D465" s="64"/>
      <c r="E465" s="64"/>
      <c r="F465" s="64"/>
      <c r="G465" s="64"/>
      <c r="H465" s="64"/>
      <c r="I465" s="64"/>
      <c r="J465" s="64"/>
      <c r="K465" s="64"/>
      <c r="L465" s="64"/>
      <c r="M465" s="64"/>
      <c r="N465" s="64"/>
      <c r="O465" s="64"/>
      <c r="P465" s="64"/>
      <c r="Q465" s="64"/>
      <c r="R465" s="64"/>
      <c r="S465" s="64"/>
      <c r="T465" s="64"/>
      <c r="U465" s="64"/>
      <c r="V465" s="64"/>
      <c r="W465" s="64"/>
      <c r="X465" s="64"/>
      <c r="Y465" s="64"/>
      <c r="Z465" s="64"/>
    </row>
    <row r="466" spans="1:26" ht="12.75" customHeight="1" x14ac:dyDescent="0.25">
      <c r="A466" s="64"/>
      <c r="B466" s="64"/>
      <c r="C466" s="64"/>
      <c r="D466" s="64"/>
      <c r="E466" s="64"/>
      <c r="F466" s="64"/>
      <c r="G466" s="64"/>
      <c r="H466" s="64"/>
      <c r="I466" s="64"/>
      <c r="J466" s="64"/>
      <c r="K466" s="64"/>
      <c r="L466" s="64"/>
      <c r="M466" s="64"/>
      <c r="N466" s="64"/>
      <c r="O466" s="64"/>
      <c r="P466" s="64"/>
      <c r="Q466" s="64"/>
      <c r="R466" s="64"/>
      <c r="S466" s="64"/>
      <c r="T466" s="64"/>
      <c r="U466" s="64"/>
      <c r="V466" s="64"/>
      <c r="W466" s="64"/>
      <c r="X466" s="64"/>
      <c r="Y466" s="64"/>
      <c r="Z466" s="64"/>
    </row>
    <row r="467" spans="1:26" ht="12.75" customHeight="1" x14ac:dyDescent="0.25">
      <c r="A467" s="64"/>
      <c r="B467" s="64"/>
      <c r="C467" s="64"/>
      <c r="D467" s="64"/>
      <c r="E467" s="64"/>
      <c r="F467" s="64"/>
      <c r="G467" s="64"/>
      <c r="H467" s="64"/>
      <c r="I467" s="64"/>
      <c r="J467" s="64"/>
      <c r="K467" s="64"/>
      <c r="L467" s="64"/>
      <c r="M467" s="64"/>
      <c r="N467" s="64"/>
      <c r="O467" s="64"/>
      <c r="P467" s="64"/>
      <c r="Q467" s="64"/>
      <c r="R467" s="64"/>
      <c r="S467" s="64"/>
      <c r="T467" s="64"/>
      <c r="U467" s="64"/>
      <c r="V467" s="64"/>
      <c r="W467" s="64"/>
      <c r="X467" s="64"/>
      <c r="Y467" s="64"/>
      <c r="Z467" s="64"/>
    </row>
    <row r="468" spans="1:26" ht="12.75" customHeight="1" x14ac:dyDescent="0.25">
      <c r="A468" s="64"/>
      <c r="B468" s="64"/>
      <c r="C468" s="64"/>
      <c r="D468" s="64"/>
      <c r="E468" s="64"/>
      <c r="F468" s="64"/>
      <c r="G468" s="64"/>
      <c r="H468" s="64"/>
      <c r="I468" s="64"/>
      <c r="J468" s="64"/>
      <c r="K468" s="64"/>
      <c r="L468" s="64"/>
      <c r="M468" s="64"/>
      <c r="N468" s="64"/>
      <c r="O468" s="64"/>
      <c r="P468" s="64"/>
      <c r="Q468" s="64"/>
      <c r="R468" s="64"/>
      <c r="S468" s="64"/>
      <c r="T468" s="64"/>
      <c r="U468" s="64"/>
      <c r="V468" s="64"/>
      <c r="W468" s="64"/>
      <c r="X468" s="64"/>
      <c r="Y468" s="64"/>
      <c r="Z468" s="64"/>
    </row>
    <row r="469" spans="1:26" ht="12.75" customHeight="1" x14ac:dyDescent="0.25">
      <c r="A469" s="64"/>
      <c r="B469" s="64"/>
      <c r="C469" s="64"/>
      <c r="D469" s="64"/>
      <c r="E469" s="64"/>
      <c r="F469" s="64"/>
      <c r="G469" s="64"/>
      <c r="H469" s="64"/>
      <c r="I469" s="64"/>
      <c r="J469" s="64"/>
      <c r="K469" s="64"/>
      <c r="L469" s="64"/>
      <c r="M469" s="64"/>
      <c r="N469" s="64"/>
      <c r="O469" s="64"/>
      <c r="P469" s="64"/>
      <c r="Q469" s="64"/>
      <c r="R469" s="64"/>
      <c r="S469" s="64"/>
      <c r="T469" s="64"/>
      <c r="U469" s="64"/>
      <c r="V469" s="64"/>
      <c r="W469" s="64"/>
      <c r="X469" s="64"/>
      <c r="Y469" s="64"/>
      <c r="Z469" s="64"/>
    </row>
    <row r="470" spans="1:26" ht="12.75" customHeight="1" x14ac:dyDescent="0.25">
      <c r="A470" s="64"/>
      <c r="B470" s="64"/>
      <c r="C470" s="64"/>
      <c r="D470" s="64"/>
      <c r="E470" s="64"/>
      <c r="F470" s="64"/>
      <c r="G470" s="64"/>
      <c r="H470" s="64"/>
      <c r="I470" s="64"/>
      <c r="J470" s="64"/>
      <c r="K470" s="64"/>
      <c r="L470" s="64"/>
      <c r="M470" s="64"/>
      <c r="N470" s="64"/>
      <c r="O470" s="64"/>
      <c r="P470" s="64"/>
      <c r="Q470" s="64"/>
      <c r="R470" s="64"/>
      <c r="S470" s="64"/>
      <c r="T470" s="64"/>
      <c r="U470" s="64"/>
      <c r="V470" s="64"/>
      <c r="W470" s="64"/>
      <c r="X470" s="64"/>
      <c r="Y470" s="64"/>
      <c r="Z470" s="64"/>
    </row>
    <row r="471" spans="1:26" ht="12.75" customHeight="1" x14ac:dyDescent="0.25">
      <c r="A471" s="64"/>
      <c r="B471" s="64"/>
      <c r="C471" s="64"/>
      <c r="D471" s="64"/>
      <c r="E471" s="64"/>
      <c r="F471" s="64"/>
      <c r="G471" s="64"/>
      <c r="H471" s="64"/>
      <c r="I471" s="64"/>
      <c r="J471" s="64"/>
      <c r="K471" s="64"/>
      <c r="L471" s="64"/>
      <c r="M471" s="64"/>
      <c r="N471" s="64"/>
      <c r="O471" s="64"/>
      <c r="P471" s="64"/>
      <c r="Q471" s="64"/>
      <c r="R471" s="64"/>
      <c r="S471" s="64"/>
      <c r="T471" s="64"/>
      <c r="U471" s="64"/>
      <c r="V471" s="64"/>
      <c r="W471" s="64"/>
      <c r="X471" s="64"/>
      <c r="Y471" s="64"/>
      <c r="Z471" s="64"/>
    </row>
    <row r="472" spans="1:26" ht="12.75" customHeight="1" x14ac:dyDescent="0.25">
      <c r="A472" s="64"/>
      <c r="B472" s="64"/>
      <c r="C472" s="64"/>
      <c r="D472" s="64"/>
      <c r="E472" s="64"/>
      <c r="F472" s="64"/>
      <c r="G472" s="64"/>
      <c r="H472" s="64"/>
      <c r="I472" s="64"/>
      <c r="J472" s="64"/>
      <c r="K472" s="64"/>
      <c r="L472" s="64"/>
      <c r="M472" s="64"/>
      <c r="N472" s="64"/>
      <c r="O472" s="64"/>
      <c r="P472" s="64"/>
      <c r="Q472" s="64"/>
      <c r="R472" s="64"/>
      <c r="S472" s="64"/>
      <c r="T472" s="64"/>
      <c r="U472" s="64"/>
      <c r="V472" s="64"/>
      <c r="W472" s="64"/>
      <c r="X472" s="64"/>
      <c r="Y472" s="64"/>
      <c r="Z472" s="64"/>
    </row>
    <row r="473" spans="1:26" ht="12.75" customHeight="1" x14ac:dyDescent="0.25">
      <c r="A473" s="64"/>
      <c r="B473" s="64"/>
      <c r="C473" s="64"/>
      <c r="D473" s="64"/>
      <c r="E473" s="64"/>
      <c r="F473" s="64"/>
      <c r="G473" s="64"/>
      <c r="H473" s="64"/>
      <c r="I473" s="64"/>
      <c r="J473" s="64"/>
      <c r="K473" s="64"/>
      <c r="L473" s="64"/>
      <c r="M473" s="64"/>
      <c r="N473" s="64"/>
      <c r="O473" s="64"/>
      <c r="P473" s="64"/>
      <c r="Q473" s="64"/>
      <c r="R473" s="64"/>
      <c r="S473" s="64"/>
      <c r="T473" s="64"/>
      <c r="U473" s="64"/>
      <c r="V473" s="64"/>
      <c r="W473" s="64"/>
      <c r="X473" s="64"/>
      <c r="Y473" s="64"/>
      <c r="Z473" s="64"/>
    </row>
    <row r="474" spans="1:26" ht="12.75" customHeight="1" x14ac:dyDescent="0.25">
      <c r="A474" s="64"/>
      <c r="B474" s="64"/>
      <c r="C474" s="64"/>
      <c r="D474" s="64"/>
      <c r="E474" s="64"/>
      <c r="F474" s="64"/>
      <c r="G474" s="64"/>
      <c r="H474" s="64"/>
      <c r="I474" s="64"/>
      <c r="J474" s="64"/>
      <c r="K474" s="64"/>
      <c r="L474" s="64"/>
      <c r="M474" s="64"/>
      <c r="N474" s="64"/>
      <c r="O474" s="64"/>
      <c r="P474" s="64"/>
      <c r="Q474" s="64"/>
      <c r="R474" s="64"/>
      <c r="S474" s="64"/>
      <c r="T474" s="64"/>
      <c r="U474" s="64"/>
      <c r="V474" s="64"/>
      <c r="W474" s="64"/>
      <c r="X474" s="64"/>
      <c r="Y474" s="64"/>
      <c r="Z474" s="64"/>
    </row>
    <row r="475" spans="1:26" ht="12.75" customHeight="1" x14ac:dyDescent="0.25">
      <c r="A475" s="64"/>
      <c r="B475" s="64"/>
      <c r="C475" s="64"/>
      <c r="D475" s="64"/>
      <c r="E475" s="64"/>
      <c r="F475" s="64"/>
      <c r="G475" s="64"/>
      <c r="H475" s="64"/>
      <c r="I475" s="64"/>
      <c r="J475" s="64"/>
      <c r="K475" s="64"/>
      <c r="L475" s="64"/>
      <c r="M475" s="64"/>
      <c r="N475" s="64"/>
      <c r="O475" s="64"/>
      <c r="P475" s="64"/>
      <c r="Q475" s="64"/>
      <c r="R475" s="64"/>
      <c r="S475" s="64"/>
      <c r="T475" s="64"/>
      <c r="U475" s="64"/>
      <c r="V475" s="64"/>
      <c r="W475" s="64"/>
      <c r="X475" s="64"/>
      <c r="Y475" s="64"/>
      <c r="Z475" s="64"/>
    </row>
    <row r="476" spans="1:26" ht="12.75" customHeight="1" x14ac:dyDescent="0.25">
      <c r="A476" s="64"/>
      <c r="B476" s="64"/>
      <c r="C476" s="64"/>
      <c r="D476" s="64"/>
      <c r="E476" s="64"/>
      <c r="F476" s="64"/>
      <c r="G476" s="64"/>
      <c r="H476" s="64"/>
      <c r="I476" s="64"/>
      <c r="J476" s="64"/>
      <c r="K476" s="64"/>
      <c r="L476" s="64"/>
      <c r="M476" s="64"/>
      <c r="N476" s="64"/>
      <c r="O476" s="64"/>
      <c r="P476" s="64"/>
      <c r="Q476" s="64"/>
      <c r="R476" s="64"/>
      <c r="S476" s="64"/>
      <c r="T476" s="64"/>
      <c r="U476" s="64"/>
      <c r="V476" s="64"/>
      <c r="W476" s="64"/>
      <c r="X476" s="64"/>
      <c r="Y476" s="64"/>
      <c r="Z476" s="64"/>
    </row>
    <row r="477" spans="1:26" ht="12.75" customHeight="1" x14ac:dyDescent="0.25">
      <c r="A477" s="64"/>
      <c r="B477" s="64"/>
      <c r="C477" s="64"/>
      <c r="D477" s="64"/>
      <c r="E477" s="64"/>
      <c r="F477" s="64"/>
      <c r="G477" s="64"/>
      <c r="H477" s="64"/>
      <c r="I477" s="64"/>
      <c r="J477" s="64"/>
      <c r="K477" s="64"/>
      <c r="L477" s="64"/>
      <c r="M477" s="64"/>
      <c r="N477" s="64"/>
      <c r="O477" s="64"/>
      <c r="P477" s="64"/>
      <c r="Q477" s="64"/>
      <c r="R477" s="64"/>
      <c r="S477" s="64"/>
      <c r="T477" s="64"/>
      <c r="U477" s="64"/>
      <c r="V477" s="64"/>
      <c r="W477" s="64"/>
      <c r="X477" s="64"/>
      <c r="Y477" s="64"/>
      <c r="Z477" s="64"/>
    </row>
    <row r="478" spans="1:26" ht="12.75" customHeight="1" x14ac:dyDescent="0.25">
      <c r="A478" s="64"/>
      <c r="B478" s="64"/>
      <c r="C478" s="64"/>
      <c r="D478" s="64"/>
      <c r="E478" s="64"/>
      <c r="F478" s="64"/>
      <c r="G478" s="64"/>
      <c r="H478" s="64"/>
      <c r="I478" s="64"/>
      <c r="J478" s="64"/>
      <c r="K478" s="64"/>
      <c r="L478" s="64"/>
      <c r="M478" s="64"/>
      <c r="N478" s="64"/>
      <c r="O478" s="64"/>
      <c r="P478" s="64"/>
      <c r="Q478" s="64"/>
      <c r="R478" s="64"/>
      <c r="S478" s="64"/>
      <c r="T478" s="64"/>
      <c r="U478" s="64"/>
      <c r="V478" s="64"/>
      <c r="W478" s="64"/>
      <c r="X478" s="64"/>
      <c r="Y478" s="64"/>
      <c r="Z478" s="64"/>
    </row>
    <row r="479" spans="1:26" ht="12.75" customHeight="1" x14ac:dyDescent="0.25">
      <c r="A479" s="64"/>
      <c r="B479" s="64"/>
      <c r="C479" s="64"/>
      <c r="D479" s="64"/>
      <c r="E479" s="64"/>
      <c r="F479" s="64"/>
      <c r="G479" s="64"/>
      <c r="H479" s="64"/>
      <c r="I479" s="64"/>
      <c r="J479" s="64"/>
      <c r="K479" s="64"/>
      <c r="L479" s="64"/>
      <c r="M479" s="64"/>
      <c r="N479" s="64"/>
      <c r="O479" s="64"/>
      <c r="P479" s="64"/>
      <c r="Q479" s="64"/>
      <c r="R479" s="64"/>
      <c r="S479" s="64"/>
      <c r="T479" s="64"/>
      <c r="U479" s="64"/>
      <c r="V479" s="64"/>
      <c r="W479" s="64"/>
      <c r="X479" s="64"/>
      <c r="Y479" s="64"/>
      <c r="Z479" s="64"/>
    </row>
    <row r="480" spans="1:26" ht="12.75" customHeight="1" x14ac:dyDescent="0.25">
      <c r="A480" s="64"/>
      <c r="B480" s="64"/>
      <c r="C480" s="64"/>
      <c r="D480" s="64"/>
      <c r="E480" s="64"/>
      <c r="F480" s="64"/>
      <c r="G480" s="64"/>
      <c r="H480" s="64"/>
      <c r="I480" s="64"/>
      <c r="J480" s="64"/>
      <c r="K480" s="64"/>
      <c r="L480" s="64"/>
      <c r="M480" s="64"/>
      <c r="N480" s="64"/>
      <c r="O480" s="64"/>
      <c r="P480" s="64"/>
      <c r="Q480" s="64"/>
      <c r="R480" s="64"/>
      <c r="S480" s="64"/>
      <c r="T480" s="64"/>
      <c r="U480" s="64"/>
      <c r="V480" s="64"/>
      <c r="W480" s="64"/>
      <c r="X480" s="64"/>
      <c r="Y480" s="64"/>
      <c r="Z480" s="64"/>
    </row>
    <row r="481" spans="1:26" ht="12.75" customHeight="1" x14ac:dyDescent="0.25">
      <c r="A481" s="64"/>
      <c r="B481" s="64"/>
      <c r="C481" s="64"/>
      <c r="D481" s="64"/>
      <c r="E481" s="64"/>
      <c r="F481" s="64"/>
      <c r="G481" s="64"/>
      <c r="H481" s="64"/>
      <c r="I481" s="64"/>
      <c r="J481" s="64"/>
      <c r="K481" s="64"/>
      <c r="L481" s="64"/>
      <c r="M481" s="64"/>
      <c r="N481" s="64"/>
      <c r="O481" s="64"/>
      <c r="P481" s="64"/>
      <c r="Q481" s="64"/>
      <c r="R481" s="64"/>
      <c r="S481" s="64"/>
      <c r="T481" s="64"/>
      <c r="U481" s="64"/>
      <c r="V481" s="64"/>
      <c r="W481" s="64"/>
      <c r="X481" s="64"/>
      <c r="Y481" s="64"/>
      <c r="Z481" s="64"/>
    </row>
    <row r="482" spans="1:26" ht="12.75" customHeight="1" x14ac:dyDescent="0.25">
      <c r="A482" s="64"/>
      <c r="B482" s="64"/>
      <c r="C482" s="64"/>
      <c r="D482" s="64"/>
      <c r="E482" s="64"/>
      <c r="F482" s="64"/>
      <c r="G482" s="64"/>
      <c r="H482" s="64"/>
      <c r="I482" s="64"/>
      <c r="J482" s="64"/>
      <c r="K482" s="64"/>
      <c r="L482" s="64"/>
      <c r="M482" s="64"/>
      <c r="N482" s="64"/>
      <c r="O482" s="64"/>
      <c r="P482" s="64"/>
      <c r="Q482" s="64"/>
      <c r="R482" s="64"/>
      <c r="S482" s="64"/>
      <c r="T482" s="64"/>
      <c r="U482" s="64"/>
      <c r="V482" s="64"/>
      <c r="W482" s="64"/>
      <c r="X482" s="64"/>
      <c r="Y482" s="64"/>
      <c r="Z482" s="64"/>
    </row>
    <row r="483" spans="1:26" ht="12.75" customHeight="1" x14ac:dyDescent="0.25">
      <c r="A483" s="64"/>
      <c r="B483" s="64"/>
      <c r="C483" s="64"/>
      <c r="D483" s="64"/>
      <c r="E483" s="64"/>
      <c r="F483" s="64"/>
      <c r="G483" s="64"/>
      <c r="H483" s="64"/>
      <c r="I483" s="64"/>
      <c r="J483" s="64"/>
      <c r="K483" s="64"/>
      <c r="L483" s="64"/>
      <c r="M483" s="64"/>
      <c r="N483" s="64"/>
      <c r="O483" s="64"/>
      <c r="P483" s="64"/>
      <c r="Q483" s="64"/>
      <c r="R483" s="64"/>
      <c r="S483" s="64"/>
      <c r="T483" s="64"/>
      <c r="U483" s="64"/>
      <c r="V483" s="64"/>
      <c r="W483" s="64"/>
      <c r="X483" s="64"/>
      <c r="Y483" s="64"/>
      <c r="Z483" s="64"/>
    </row>
    <row r="484" spans="1:26" ht="12.75" customHeight="1" x14ac:dyDescent="0.25">
      <c r="A484" s="64"/>
      <c r="B484" s="64"/>
      <c r="C484" s="64"/>
      <c r="D484" s="64"/>
      <c r="E484" s="64"/>
      <c r="F484" s="64"/>
      <c r="G484" s="64"/>
      <c r="H484" s="64"/>
      <c r="I484" s="64"/>
      <c r="J484" s="64"/>
      <c r="K484" s="64"/>
      <c r="L484" s="64"/>
      <c r="M484" s="64"/>
      <c r="N484" s="64"/>
      <c r="O484" s="64"/>
      <c r="P484" s="64"/>
      <c r="Q484" s="64"/>
      <c r="R484" s="64"/>
      <c r="S484" s="64"/>
      <c r="T484" s="64"/>
      <c r="U484" s="64"/>
      <c r="V484" s="64"/>
      <c r="W484" s="64"/>
      <c r="X484" s="64"/>
      <c r="Y484" s="64"/>
      <c r="Z484" s="64"/>
    </row>
    <row r="485" spans="1:26" ht="12.75" customHeight="1" x14ac:dyDescent="0.25">
      <c r="A485" s="64"/>
      <c r="B485" s="64"/>
      <c r="C485" s="64"/>
      <c r="D485" s="64"/>
      <c r="E485" s="64"/>
      <c r="F485" s="64"/>
      <c r="G485" s="64"/>
      <c r="H485" s="64"/>
      <c r="I485" s="64"/>
      <c r="J485" s="64"/>
      <c r="K485" s="64"/>
      <c r="L485" s="64"/>
      <c r="M485" s="64"/>
      <c r="N485" s="64"/>
      <c r="O485" s="64"/>
      <c r="P485" s="64"/>
      <c r="Q485" s="64"/>
      <c r="R485" s="64"/>
      <c r="S485" s="64"/>
      <c r="T485" s="64"/>
      <c r="U485" s="64"/>
      <c r="V485" s="64"/>
      <c r="W485" s="64"/>
      <c r="X485" s="64"/>
      <c r="Y485" s="64"/>
      <c r="Z485" s="64"/>
    </row>
    <row r="486" spans="1:26" ht="12.75" customHeight="1" x14ac:dyDescent="0.25">
      <c r="A486" s="64"/>
      <c r="B486" s="64"/>
      <c r="C486" s="64"/>
      <c r="D486" s="64"/>
      <c r="E486" s="64"/>
      <c r="F486" s="64"/>
      <c r="G486" s="64"/>
      <c r="H486" s="64"/>
      <c r="I486" s="64"/>
      <c r="J486" s="64"/>
      <c r="K486" s="64"/>
      <c r="L486" s="64"/>
      <c r="M486" s="64"/>
      <c r="N486" s="64"/>
      <c r="O486" s="64"/>
      <c r="P486" s="64"/>
      <c r="Q486" s="64"/>
      <c r="R486" s="64"/>
      <c r="S486" s="64"/>
      <c r="T486" s="64"/>
      <c r="U486" s="64"/>
      <c r="V486" s="64"/>
      <c r="W486" s="64"/>
      <c r="X486" s="64"/>
      <c r="Y486" s="64"/>
      <c r="Z486" s="64"/>
    </row>
    <row r="487" spans="1:26" ht="12.75" customHeight="1" x14ac:dyDescent="0.25">
      <c r="A487" s="64"/>
      <c r="B487" s="64"/>
      <c r="C487" s="64"/>
      <c r="D487" s="64"/>
      <c r="E487" s="64"/>
      <c r="F487" s="64"/>
      <c r="G487" s="64"/>
      <c r="H487" s="64"/>
      <c r="I487" s="64"/>
      <c r="J487" s="64"/>
      <c r="K487" s="64"/>
      <c r="L487" s="64"/>
      <c r="M487" s="64"/>
      <c r="N487" s="64"/>
      <c r="O487" s="64"/>
      <c r="P487" s="64"/>
      <c r="Q487" s="64"/>
      <c r="R487" s="64"/>
      <c r="S487" s="64"/>
      <c r="T487" s="64"/>
      <c r="U487" s="64"/>
      <c r="V487" s="64"/>
      <c r="W487" s="64"/>
      <c r="X487" s="64"/>
      <c r="Y487" s="64"/>
      <c r="Z487" s="64"/>
    </row>
    <row r="488" spans="1:26" ht="12.75" customHeight="1" x14ac:dyDescent="0.25">
      <c r="A488" s="64"/>
      <c r="B488" s="64"/>
      <c r="C488" s="64"/>
      <c r="D488" s="64"/>
      <c r="E488" s="64"/>
      <c r="F488" s="64"/>
      <c r="G488" s="64"/>
      <c r="H488" s="64"/>
      <c r="I488" s="64"/>
      <c r="J488" s="64"/>
      <c r="K488" s="64"/>
      <c r="L488" s="64"/>
      <c r="M488" s="64"/>
      <c r="N488" s="64"/>
      <c r="O488" s="64"/>
      <c r="P488" s="64"/>
      <c r="Q488" s="64"/>
      <c r="R488" s="64"/>
      <c r="S488" s="64"/>
      <c r="T488" s="64"/>
      <c r="U488" s="64"/>
      <c r="V488" s="64"/>
      <c r="W488" s="64"/>
      <c r="X488" s="64"/>
      <c r="Y488" s="64"/>
      <c r="Z488" s="64"/>
    </row>
    <row r="489" spans="1:26" ht="12.75" customHeight="1" x14ac:dyDescent="0.25">
      <c r="A489" s="64"/>
      <c r="B489" s="64"/>
      <c r="C489" s="64"/>
      <c r="D489" s="64"/>
      <c r="E489" s="64"/>
      <c r="F489" s="64"/>
      <c r="G489" s="64"/>
      <c r="H489" s="64"/>
      <c r="I489" s="64"/>
      <c r="J489" s="64"/>
      <c r="K489" s="64"/>
      <c r="L489" s="64"/>
      <c r="M489" s="64"/>
      <c r="N489" s="64"/>
      <c r="O489" s="64"/>
      <c r="P489" s="64"/>
      <c r="Q489" s="64"/>
      <c r="R489" s="64"/>
      <c r="S489" s="64"/>
      <c r="T489" s="64"/>
      <c r="U489" s="64"/>
      <c r="V489" s="64"/>
      <c r="W489" s="64"/>
      <c r="X489" s="64"/>
      <c r="Y489" s="64"/>
      <c r="Z489" s="64"/>
    </row>
    <row r="490" spans="1:26" ht="12.75" customHeight="1" x14ac:dyDescent="0.25">
      <c r="A490" s="64"/>
      <c r="B490" s="64"/>
      <c r="C490" s="64"/>
      <c r="D490" s="64"/>
      <c r="E490" s="64"/>
      <c r="F490" s="64"/>
      <c r="G490" s="64"/>
      <c r="H490" s="64"/>
      <c r="I490" s="64"/>
      <c r="J490" s="64"/>
      <c r="K490" s="64"/>
      <c r="L490" s="64"/>
      <c r="M490" s="64"/>
      <c r="N490" s="64"/>
      <c r="O490" s="64"/>
      <c r="P490" s="64"/>
      <c r="Q490" s="64"/>
      <c r="R490" s="64"/>
      <c r="S490" s="64"/>
      <c r="T490" s="64"/>
      <c r="U490" s="64"/>
      <c r="V490" s="64"/>
      <c r="W490" s="64"/>
      <c r="X490" s="64"/>
      <c r="Y490" s="64"/>
      <c r="Z490" s="64"/>
    </row>
    <row r="491" spans="1:26" ht="12.75" customHeight="1" x14ac:dyDescent="0.25">
      <c r="A491" s="64"/>
      <c r="B491" s="64"/>
      <c r="C491" s="64"/>
      <c r="D491" s="64"/>
      <c r="E491" s="64"/>
      <c r="F491" s="64"/>
      <c r="G491" s="64"/>
      <c r="H491" s="64"/>
      <c r="I491" s="64"/>
      <c r="J491" s="64"/>
      <c r="K491" s="64"/>
      <c r="L491" s="64"/>
      <c r="M491" s="64"/>
      <c r="N491" s="64"/>
      <c r="O491" s="64"/>
      <c r="P491" s="64"/>
      <c r="Q491" s="64"/>
      <c r="R491" s="64"/>
      <c r="S491" s="64"/>
      <c r="T491" s="64"/>
      <c r="U491" s="64"/>
      <c r="V491" s="64"/>
      <c r="W491" s="64"/>
      <c r="X491" s="64"/>
      <c r="Y491" s="64"/>
      <c r="Z491" s="64"/>
    </row>
    <row r="492" spans="1:26" ht="12.75" customHeight="1" x14ac:dyDescent="0.25">
      <c r="A492" s="64"/>
      <c r="B492" s="64"/>
      <c r="C492" s="64"/>
      <c r="D492" s="64"/>
      <c r="E492" s="64"/>
      <c r="F492" s="64"/>
      <c r="G492" s="64"/>
      <c r="H492" s="64"/>
      <c r="I492" s="64"/>
      <c r="J492" s="64"/>
      <c r="K492" s="64"/>
      <c r="L492" s="64"/>
      <c r="M492" s="64"/>
      <c r="N492" s="64"/>
      <c r="O492" s="64"/>
      <c r="P492" s="64"/>
      <c r="Q492" s="64"/>
      <c r="R492" s="64"/>
      <c r="S492" s="64"/>
      <c r="T492" s="64"/>
      <c r="U492" s="64"/>
      <c r="V492" s="64"/>
      <c r="W492" s="64"/>
      <c r="X492" s="64"/>
      <c r="Y492" s="64"/>
      <c r="Z492" s="64"/>
    </row>
    <row r="493" spans="1:26" ht="12.75" customHeight="1" x14ac:dyDescent="0.25">
      <c r="A493" s="64"/>
      <c r="B493" s="64"/>
      <c r="C493" s="64"/>
      <c r="D493" s="64"/>
      <c r="E493" s="64"/>
      <c r="F493" s="64"/>
      <c r="G493" s="64"/>
      <c r="H493" s="64"/>
      <c r="I493" s="64"/>
      <c r="J493" s="64"/>
      <c r="K493" s="64"/>
      <c r="L493" s="64"/>
      <c r="M493" s="64"/>
      <c r="N493" s="64"/>
      <c r="O493" s="64"/>
      <c r="P493" s="64"/>
      <c r="Q493" s="64"/>
      <c r="R493" s="64"/>
      <c r="S493" s="64"/>
      <c r="T493" s="64"/>
      <c r="U493" s="64"/>
      <c r="V493" s="64"/>
      <c r="W493" s="64"/>
      <c r="X493" s="64"/>
      <c r="Y493" s="64"/>
      <c r="Z493" s="64"/>
    </row>
    <row r="494" spans="1:26" ht="12.75" customHeight="1" x14ac:dyDescent="0.25">
      <c r="A494" s="64"/>
      <c r="B494" s="64"/>
      <c r="C494" s="64"/>
      <c r="D494" s="64"/>
      <c r="E494" s="64"/>
      <c r="F494" s="64"/>
      <c r="G494" s="64"/>
      <c r="H494" s="64"/>
      <c r="I494" s="64"/>
      <c r="J494" s="64"/>
      <c r="K494" s="64"/>
      <c r="L494" s="64"/>
      <c r="M494" s="64"/>
      <c r="N494" s="64"/>
      <c r="O494" s="64"/>
      <c r="P494" s="64"/>
      <c r="Q494" s="64"/>
      <c r="R494" s="64"/>
      <c r="S494" s="64"/>
      <c r="T494" s="64"/>
      <c r="U494" s="64"/>
      <c r="V494" s="64"/>
      <c r="W494" s="64"/>
      <c r="X494" s="64"/>
      <c r="Y494" s="64"/>
      <c r="Z494" s="64"/>
    </row>
    <row r="495" spans="1:26" ht="12.75" customHeight="1" x14ac:dyDescent="0.25">
      <c r="A495" s="64"/>
      <c r="B495" s="64"/>
      <c r="C495" s="64"/>
      <c r="D495" s="64"/>
      <c r="E495" s="64"/>
      <c r="F495" s="64"/>
      <c r="G495" s="64"/>
      <c r="H495" s="64"/>
      <c r="I495" s="64"/>
      <c r="J495" s="64"/>
      <c r="K495" s="64"/>
      <c r="L495" s="64"/>
      <c r="M495" s="64"/>
      <c r="N495" s="64"/>
      <c r="O495" s="64"/>
      <c r="P495" s="64"/>
      <c r="Q495" s="64"/>
      <c r="R495" s="64"/>
      <c r="S495" s="64"/>
      <c r="T495" s="64"/>
      <c r="U495" s="64"/>
      <c r="V495" s="64"/>
      <c r="W495" s="64"/>
      <c r="X495" s="64"/>
      <c r="Y495" s="64"/>
      <c r="Z495" s="64"/>
    </row>
    <row r="496" spans="1:26" ht="12.75" customHeight="1" x14ac:dyDescent="0.25">
      <c r="A496" s="64"/>
      <c r="B496" s="64"/>
      <c r="C496" s="64"/>
      <c r="D496" s="64"/>
      <c r="E496" s="64"/>
      <c r="F496" s="64"/>
      <c r="G496" s="64"/>
      <c r="H496" s="64"/>
      <c r="I496" s="64"/>
      <c r="J496" s="64"/>
      <c r="K496" s="64"/>
      <c r="L496" s="64"/>
      <c r="M496" s="64"/>
      <c r="N496" s="64"/>
      <c r="O496" s="64"/>
      <c r="P496" s="64"/>
      <c r="Q496" s="64"/>
      <c r="R496" s="64"/>
      <c r="S496" s="64"/>
      <c r="T496" s="64"/>
      <c r="U496" s="64"/>
      <c r="V496" s="64"/>
      <c r="W496" s="64"/>
      <c r="X496" s="64"/>
      <c r="Y496" s="64"/>
      <c r="Z496" s="64"/>
    </row>
    <row r="497" spans="1:26" ht="12.75" customHeight="1" x14ac:dyDescent="0.25">
      <c r="A497" s="64"/>
      <c r="B497" s="64"/>
      <c r="C497" s="64"/>
      <c r="D497" s="64"/>
      <c r="E497" s="64"/>
      <c r="F497" s="64"/>
      <c r="G497" s="64"/>
      <c r="H497" s="64"/>
      <c r="I497" s="64"/>
      <c r="J497" s="64"/>
      <c r="K497" s="64"/>
      <c r="L497" s="64"/>
      <c r="M497" s="64"/>
      <c r="N497" s="64"/>
      <c r="O497" s="64"/>
      <c r="P497" s="64"/>
      <c r="Q497" s="64"/>
      <c r="R497" s="64"/>
      <c r="S497" s="64"/>
      <c r="T497" s="64"/>
      <c r="U497" s="64"/>
      <c r="V497" s="64"/>
      <c r="W497" s="64"/>
      <c r="X497" s="64"/>
      <c r="Y497" s="64"/>
      <c r="Z497" s="64"/>
    </row>
    <row r="498" spans="1:26" ht="12.75" customHeight="1" x14ac:dyDescent="0.25">
      <c r="A498" s="64"/>
      <c r="B498" s="64"/>
      <c r="C498" s="64"/>
      <c r="D498" s="64"/>
      <c r="E498" s="64"/>
      <c r="F498" s="64"/>
      <c r="G498" s="64"/>
      <c r="H498" s="64"/>
      <c r="I498" s="64"/>
      <c r="J498" s="64"/>
      <c r="K498" s="64"/>
      <c r="L498" s="64"/>
      <c r="M498" s="64"/>
      <c r="N498" s="64"/>
      <c r="O498" s="64"/>
      <c r="P498" s="64"/>
      <c r="Q498" s="64"/>
      <c r="R498" s="64"/>
      <c r="S498" s="64"/>
      <c r="T498" s="64"/>
      <c r="U498" s="64"/>
      <c r="V498" s="64"/>
      <c r="W498" s="64"/>
      <c r="X498" s="64"/>
      <c r="Y498" s="64"/>
      <c r="Z498" s="64"/>
    </row>
    <row r="499" spans="1:26" ht="12.75" customHeight="1" x14ac:dyDescent="0.25">
      <c r="A499" s="64"/>
      <c r="B499" s="64"/>
      <c r="C499" s="64"/>
      <c r="D499" s="64"/>
      <c r="E499" s="64"/>
      <c r="F499" s="64"/>
      <c r="G499" s="64"/>
      <c r="H499" s="64"/>
      <c r="I499" s="64"/>
      <c r="J499" s="64"/>
      <c r="K499" s="64"/>
      <c r="L499" s="64"/>
      <c r="M499" s="64"/>
      <c r="N499" s="64"/>
      <c r="O499" s="64"/>
      <c r="P499" s="64"/>
      <c r="Q499" s="64"/>
      <c r="R499" s="64"/>
      <c r="S499" s="64"/>
      <c r="T499" s="64"/>
      <c r="U499" s="64"/>
      <c r="V499" s="64"/>
      <c r="W499" s="64"/>
      <c r="X499" s="64"/>
      <c r="Y499" s="64"/>
      <c r="Z499" s="64"/>
    </row>
    <row r="500" spans="1:26" ht="12.75" customHeight="1" x14ac:dyDescent="0.25">
      <c r="A500" s="64"/>
      <c r="B500" s="64"/>
      <c r="C500" s="64"/>
      <c r="D500" s="64"/>
      <c r="E500" s="64"/>
      <c r="F500" s="64"/>
      <c r="G500" s="64"/>
      <c r="H500" s="64"/>
      <c r="I500" s="64"/>
      <c r="J500" s="64"/>
      <c r="K500" s="64"/>
      <c r="L500" s="64"/>
      <c r="M500" s="64"/>
      <c r="N500" s="64"/>
      <c r="O500" s="64"/>
      <c r="P500" s="64"/>
      <c r="Q500" s="64"/>
      <c r="R500" s="64"/>
      <c r="S500" s="64"/>
      <c r="T500" s="64"/>
      <c r="U500" s="64"/>
      <c r="V500" s="64"/>
      <c r="W500" s="64"/>
      <c r="X500" s="64"/>
      <c r="Y500" s="64"/>
      <c r="Z500" s="64"/>
    </row>
    <row r="501" spans="1:26" ht="12.75" customHeight="1" x14ac:dyDescent="0.25">
      <c r="A501" s="64"/>
      <c r="B501" s="64"/>
      <c r="C501" s="64"/>
      <c r="D501" s="64"/>
      <c r="E501" s="64"/>
      <c r="F501" s="64"/>
      <c r="G501" s="64"/>
      <c r="H501" s="64"/>
      <c r="I501" s="64"/>
      <c r="J501" s="64"/>
      <c r="K501" s="64"/>
      <c r="L501" s="64"/>
      <c r="M501" s="64"/>
      <c r="N501" s="64"/>
      <c r="O501" s="64"/>
      <c r="P501" s="64"/>
      <c r="Q501" s="64"/>
      <c r="R501" s="64"/>
      <c r="S501" s="64"/>
      <c r="T501" s="64"/>
      <c r="U501" s="64"/>
      <c r="V501" s="64"/>
      <c r="W501" s="64"/>
      <c r="X501" s="64"/>
      <c r="Y501" s="64"/>
      <c r="Z501" s="64"/>
    </row>
    <row r="502" spans="1:26" ht="12.75" customHeight="1" x14ac:dyDescent="0.25">
      <c r="A502" s="64"/>
      <c r="B502" s="64"/>
      <c r="C502" s="64"/>
      <c r="D502" s="64"/>
      <c r="E502" s="64"/>
      <c r="F502" s="64"/>
      <c r="G502" s="64"/>
      <c r="H502" s="64"/>
      <c r="I502" s="64"/>
      <c r="J502" s="64"/>
      <c r="K502" s="64"/>
      <c r="L502" s="64"/>
      <c r="M502" s="64"/>
      <c r="N502" s="64"/>
      <c r="O502" s="64"/>
      <c r="P502" s="64"/>
      <c r="Q502" s="64"/>
      <c r="R502" s="64"/>
      <c r="S502" s="64"/>
      <c r="T502" s="64"/>
      <c r="U502" s="64"/>
      <c r="V502" s="64"/>
      <c r="W502" s="64"/>
      <c r="X502" s="64"/>
      <c r="Y502" s="64"/>
      <c r="Z502" s="64"/>
    </row>
    <row r="503" spans="1:26" ht="12.75" customHeight="1" x14ac:dyDescent="0.25">
      <c r="A503" s="64"/>
      <c r="B503" s="64"/>
      <c r="C503" s="64"/>
      <c r="D503" s="64"/>
      <c r="E503" s="64"/>
      <c r="F503" s="64"/>
      <c r="G503" s="64"/>
      <c r="H503" s="64"/>
      <c r="I503" s="64"/>
      <c r="J503" s="64"/>
      <c r="K503" s="64"/>
      <c r="L503" s="64"/>
      <c r="M503" s="64"/>
      <c r="N503" s="64"/>
      <c r="O503" s="64"/>
      <c r="P503" s="64"/>
      <c r="Q503" s="64"/>
      <c r="R503" s="64"/>
      <c r="S503" s="64"/>
      <c r="T503" s="64"/>
      <c r="U503" s="64"/>
      <c r="V503" s="64"/>
      <c r="W503" s="64"/>
      <c r="X503" s="64"/>
      <c r="Y503" s="64"/>
      <c r="Z503" s="64"/>
    </row>
    <row r="504" spans="1:26" ht="12.75" customHeight="1" x14ac:dyDescent="0.25">
      <c r="A504" s="64"/>
      <c r="B504" s="64"/>
      <c r="C504" s="64"/>
      <c r="D504" s="64"/>
      <c r="E504" s="64"/>
      <c r="F504" s="64"/>
      <c r="G504" s="64"/>
      <c r="H504" s="64"/>
      <c r="I504" s="64"/>
      <c r="J504" s="64"/>
      <c r="K504" s="64"/>
      <c r="L504" s="64"/>
      <c r="M504" s="64"/>
      <c r="N504" s="64"/>
      <c r="O504" s="64"/>
      <c r="P504" s="64"/>
      <c r="Q504" s="64"/>
      <c r="R504" s="64"/>
      <c r="S504" s="64"/>
      <c r="T504" s="64"/>
      <c r="U504" s="64"/>
      <c r="V504" s="64"/>
      <c r="W504" s="64"/>
      <c r="X504" s="64"/>
      <c r="Y504" s="64"/>
      <c r="Z504" s="64"/>
    </row>
    <row r="505" spans="1:26" ht="12.75" customHeight="1" x14ac:dyDescent="0.25">
      <c r="A505" s="64"/>
      <c r="B505" s="64"/>
      <c r="C505" s="64"/>
      <c r="D505" s="64"/>
      <c r="E505" s="64"/>
      <c r="F505" s="64"/>
      <c r="G505" s="64"/>
      <c r="H505" s="64"/>
      <c r="I505" s="64"/>
      <c r="J505" s="64"/>
      <c r="K505" s="64"/>
      <c r="L505" s="64"/>
      <c r="M505" s="64"/>
      <c r="N505" s="64"/>
      <c r="O505" s="64"/>
      <c r="P505" s="64"/>
      <c r="Q505" s="64"/>
      <c r="R505" s="64"/>
      <c r="S505" s="64"/>
      <c r="T505" s="64"/>
      <c r="U505" s="64"/>
      <c r="V505" s="64"/>
      <c r="W505" s="64"/>
      <c r="X505" s="64"/>
      <c r="Y505" s="64"/>
      <c r="Z505" s="64"/>
    </row>
    <row r="506" spans="1:26" ht="12.75" customHeight="1" x14ac:dyDescent="0.25">
      <c r="A506" s="64"/>
      <c r="B506" s="64"/>
      <c r="C506" s="64"/>
      <c r="D506" s="64"/>
      <c r="E506" s="64"/>
      <c r="F506" s="64"/>
      <c r="G506" s="64"/>
      <c r="H506" s="64"/>
      <c r="I506" s="64"/>
      <c r="J506" s="64"/>
      <c r="K506" s="64"/>
      <c r="L506" s="64"/>
      <c r="M506" s="64"/>
      <c r="N506" s="64"/>
      <c r="O506" s="64"/>
      <c r="P506" s="64"/>
      <c r="Q506" s="64"/>
      <c r="R506" s="64"/>
      <c r="S506" s="64"/>
      <c r="T506" s="64"/>
      <c r="U506" s="64"/>
      <c r="V506" s="64"/>
      <c r="W506" s="64"/>
      <c r="X506" s="64"/>
      <c r="Y506" s="64"/>
      <c r="Z506" s="64"/>
    </row>
    <row r="507" spans="1:26" ht="12.75" customHeight="1" x14ac:dyDescent="0.25">
      <c r="A507" s="64"/>
      <c r="B507" s="64"/>
      <c r="C507" s="64"/>
      <c r="D507" s="64"/>
      <c r="E507" s="64"/>
      <c r="F507" s="64"/>
      <c r="G507" s="64"/>
      <c r="H507" s="64"/>
      <c r="I507" s="64"/>
      <c r="J507" s="64"/>
      <c r="K507" s="64"/>
      <c r="L507" s="64"/>
      <c r="M507" s="64"/>
      <c r="N507" s="64"/>
      <c r="O507" s="64"/>
      <c r="P507" s="64"/>
      <c r="Q507" s="64"/>
      <c r="R507" s="64"/>
      <c r="S507" s="64"/>
      <c r="T507" s="64"/>
      <c r="U507" s="64"/>
      <c r="V507" s="64"/>
      <c r="W507" s="64"/>
      <c r="X507" s="64"/>
      <c r="Y507" s="64"/>
      <c r="Z507" s="64"/>
    </row>
    <row r="508" spans="1:26" ht="12.75" customHeight="1" x14ac:dyDescent="0.25">
      <c r="A508" s="64"/>
      <c r="B508" s="64"/>
      <c r="C508" s="64"/>
      <c r="D508" s="64"/>
      <c r="E508" s="64"/>
      <c r="F508" s="64"/>
      <c r="G508" s="64"/>
      <c r="H508" s="64"/>
      <c r="I508" s="64"/>
      <c r="J508" s="64"/>
      <c r="K508" s="64"/>
      <c r="L508" s="64"/>
      <c r="M508" s="64"/>
      <c r="N508" s="64"/>
      <c r="O508" s="64"/>
      <c r="P508" s="64"/>
      <c r="Q508" s="64"/>
      <c r="R508" s="64"/>
      <c r="S508" s="64"/>
      <c r="T508" s="64"/>
      <c r="U508" s="64"/>
      <c r="V508" s="64"/>
      <c r="W508" s="64"/>
      <c r="X508" s="64"/>
      <c r="Y508" s="64"/>
      <c r="Z508" s="64"/>
    </row>
    <row r="509" spans="1:26" ht="12.75" customHeight="1" x14ac:dyDescent="0.25">
      <c r="A509" s="64"/>
      <c r="B509" s="64"/>
      <c r="C509" s="64"/>
      <c r="D509" s="64"/>
      <c r="E509" s="64"/>
      <c r="F509" s="64"/>
      <c r="G509" s="64"/>
      <c r="H509" s="64"/>
      <c r="I509" s="64"/>
      <c r="J509" s="64"/>
      <c r="K509" s="64"/>
      <c r="L509" s="64"/>
      <c r="M509" s="64"/>
      <c r="N509" s="64"/>
      <c r="O509" s="64"/>
      <c r="P509" s="64"/>
      <c r="Q509" s="64"/>
      <c r="R509" s="64"/>
      <c r="S509" s="64"/>
      <c r="T509" s="64"/>
      <c r="U509" s="64"/>
      <c r="V509" s="64"/>
      <c r="W509" s="64"/>
      <c r="X509" s="64"/>
      <c r="Y509" s="64"/>
      <c r="Z509" s="64"/>
    </row>
    <row r="510" spans="1:26" ht="12.75" customHeight="1" x14ac:dyDescent="0.25">
      <c r="A510" s="64"/>
      <c r="B510" s="64"/>
      <c r="C510" s="64"/>
      <c r="D510" s="64"/>
      <c r="E510" s="64"/>
      <c r="F510" s="64"/>
      <c r="G510" s="64"/>
      <c r="H510" s="64"/>
      <c r="I510" s="64"/>
      <c r="J510" s="64"/>
      <c r="K510" s="64"/>
      <c r="L510" s="64"/>
      <c r="M510" s="64"/>
      <c r="N510" s="64"/>
      <c r="O510" s="64"/>
      <c r="P510" s="64"/>
      <c r="Q510" s="64"/>
      <c r="R510" s="64"/>
      <c r="S510" s="64"/>
      <c r="T510" s="64"/>
      <c r="U510" s="64"/>
      <c r="V510" s="64"/>
      <c r="W510" s="64"/>
      <c r="X510" s="64"/>
      <c r="Y510" s="64"/>
      <c r="Z510" s="64"/>
    </row>
    <row r="511" spans="1:26" ht="12.75" customHeight="1" x14ac:dyDescent="0.25">
      <c r="A511" s="64"/>
      <c r="B511" s="64"/>
      <c r="C511" s="64"/>
      <c r="D511" s="64"/>
      <c r="E511" s="64"/>
      <c r="F511" s="64"/>
      <c r="G511" s="64"/>
      <c r="H511" s="64"/>
      <c r="I511" s="64"/>
      <c r="J511" s="64"/>
      <c r="K511" s="64"/>
      <c r="L511" s="64"/>
      <c r="M511" s="64"/>
      <c r="N511" s="64"/>
      <c r="O511" s="64"/>
      <c r="P511" s="64"/>
      <c r="Q511" s="64"/>
      <c r="R511" s="64"/>
      <c r="S511" s="64"/>
      <c r="T511" s="64"/>
      <c r="U511" s="64"/>
      <c r="V511" s="64"/>
      <c r="W511" s="64"/>
      <c r="X511" s="64"/>
      <c r="Y511" s="64"/>
      <c r="Z511" s="64"/>
    </row>
    <row r="512" spans="1:26" ht="12.75" customHeight="1" x14ac:dyDescent="0.25">
      <c r="A512" s="64"/>
      <c r="B512" s="64"/>
      <c r="C512" s="64"/>
      <c r="D512" s="64"/>
      <c r="E512" s="64"/>
      <c r="F512" s="64"/>
      <c r="G512" s="64"/>
      <c r="H512" s="64"/>
      <c r="I512" s="64"/>
      <c r="J512" s="64"/>
      <c r="K512" s="64"/>
      <c r="L512" s="64"/>
      <c r="M512" s="64"/>
      <c r="N512" s="64"/>
      <c r="O512" s="64"/>
      <c r="P512" s="64"/>
      <c r="Q512" s="64"/>
      <c r="R512" s="64"/>
      <c r="S512" s="64"/>
      <c r="T512" s="64"/>
      <c r="U512" s="64"/>
      <c r="V512" s="64"/>
      <c r="W512" s="64"/>
      <c r="X512" s="64"/>
      <c r="Y512" s="64"/>
      <c r="Z512" s="64"/>
    </row>
    <row r="513" spans="1:26" ht="12.75" customHeight="1" x14ac:dyDescent="0.25">
      <c r="A513" s="64"/>
      <c r="B513" s="64"/>
      <c r="C513" s="64"/>
      <c r="D513" s="64"/>
      <c r="E513" s="64"/>
      <c r="F513" s="64"/>
      <c r="G513" s="64"/>
      <c r="H513" s="64"/>
      <c r="I513" s="64"/>
      <c r="J513" s="64"/>
      <c r="K513" s="64"/>
      <c r="L513" s="64"/>
      <c r="M513" s="64"/>
      <c r="N513" s="64"/>
      <c r="O513" s="64"/>
      <c r="P513" s="64"/>
      <c r="Q513" s="64"/>
      <c r="R513" s="64"/>
      <c r="S513" s="64"/>
      <c r="T513" s="64"/>
      <c r="U513" s="64"/>
      <c r="V513" s="64"/>
      <c r="W513" s="64"/>
      <c r="X513" s="64"/>
      <c r="Y513" s="64"/>
      <c r="Z513" s="64"/>
    </row>
    <row r="514" spans="1:26" ht="12.75" customHeight="1" x14ac:dyDescent="0.25">
      <c r="A514" s="64"/>
      <c r="B514" s="64"/>
      <c r="C514" s="64"/>
      <c r="D514" s="64"/>
      <c r="E514" s="64"/>
      <c r="F514" s="64"/>
      <c r="G514" s="64"/>
      <c r="H514" s="64"/>
      <c r="I514" s="64"/>
      <c r="J514" s="64"/>
      <c r="K514" s="64"/>
      <c r="L514" s="64"/>
      <c r="M514" s="64"/>
      <c r="N514" s="64"/>
      <c r="O514" s="64"/>
      <c r="P514" s="64"/>
      <c r="Q514" s="64"/>
      <c r="R514" s="64"/>
      <c r="S514" s="64"/>
      <c r="T514" s="64"/>
      <c r="U514" s="64"/>
      <c r="V514" s="64"/>
      <c r="W514" s="64"/>
      <c r="X514" s="64"/>
      <c r="Y514" s="64"/>
      <c r="Z514" s="64"/>
    </row>
    <row r="515" spans="1:26" ht="12.75" customHeight="1" x14ac:dyDescent="0.25">
      <c r="A515" s="64"/>
      <c r="B515" s="64"/>
      <c r="C515" s="64"/>
      <c r="D515" s="64"/>
      <c r="E515" s="64"/>
      <c r="F515" s="64"/>
      <c r="G515" s="64"/>
      <c r="H515" s="64"/>
      <c r="I515" s="64"/>
      <c r="J515" s="64"/>
      <c r="K515" s="64"/>
      <c r="L515" s="64"/>
      <c r="M515" s="64"/>
      <c r="N515" s="64"/>
      <c r="O515" s="64"/>
      <c r="P515" s="64"/>
      <c r="Q515" s="64"/>
      <c r="R515" s="64"/>
      <c r="S515" s="64"/>
      <c r="T515" s="64"/>
      <c r="U515" s="64"/>
      <c r="V515" s="64"/>
      <c r="W515" s="64"/>
      <c r="X515" s="64"/>
      <c r="Y515" s="64"/>
      <c r="Z515" s="64"/>
    </row>
    <row r="516" spans="1:26" ht="12.75" customHeight="1" x14ac:dyDescent="0.25">
      <c r="A516" s="64"/>
      <c r="B516" s="64"/>
      <c r="C516" s="64"/>
      <c r="D516" s="64"/>
      <c r="E516" s="64"/>
      <c r="F516" s="64"/>
      <c r="G516" s="64"/>
      <c r="H516" s="64"/>
      <c r="I516" s="64"/>
      <c r="J516" s="64"/>
      <c r="K516" s="64"/>
      <c r="L516" s="64"/>
      <c r="M516" s="64"/>
      <c r="N516" s="64"/>
      <c r="O516" s="64"/>
      <c r="P516" s="64"/>
      <c r="Q516" s="64"/>
      <c r="R516" s="64"/>
      <c r="S516" s="64"/>
      <c r="T516" s="64"/>
      <c r="U516" s="64"/>
      <c r="V516" s="64"/>
      <c r="W516" s="64"/>
      <c r="X516" s="64"/>
      <c r="Y516" s="64"/>
      <c r="Z516" s="64"/>
    </row>
    <row r="517" spans="1:26" ht="12.75" customHeight="1" x14ac:dyDescent="0.25">
      <c r="A517" s="64"/>
      <c r="B517" s="64"/>
      <c r="C517" s="64"/>
      <c r="D517" s="64"/>
      <c r="E517" s="64"/>
      <c r="F517" s="64"/>
      <c r="G517" s="64"/>
      <c r="H517" s="64"/>
      <c r="I517" s="64"/>
      <c r="J517" s="64"/>
      <c r="K517" s="64"/>
      <c r="L517" s="64"/>
      <c r="M517" s="64"/>
      <c r="N517" s="64"/>
      <c r="O517" s="64"/>
      <c r="P517" s="64"/>
      <c r="Q517" s="64"/>
      <c r="R517" s="64"/>
      <c r="S517" s="64"/>
      <c r="T517" s="64"/>
      <c r="U517" s="64"/>
      <c r="V517" s="64"/>
      <c r="W517" s="64"/>
      <c r="X517" s="64"/>
      <c r="Y517" s="64"/>
      <c r="Z517" s="64"/>
    </row>
    <row r="518" spans="1:26" ht="12.75" customHeight="1" x14ac:dyDescent="0.25">
      <c r="A518" s="64"/>
      <c r="B518" s="64"/>
      <c r="C518" s="64"/>
      <c r="D518" s="64"/>
      <c r="E518" s="64"/>
      <c r="F518" s="64"/>
      <c r="G518" s="64"/>
      <c r="H518" s="64"/>
      <c r="I518" s="64"/>
      <c r="J518" s="64"/>
      <c r="K518" s="64"/>
      <c r="L518" s="64"/>
      <c r="M518" s="64"/>
      <c r="N518" s="64"/>
      <c r="O518" s="64"/>
      <c r="P518" s="64"/>
      <c r="Q518" s="64"/>
      <c r="R518" s="64"/>
      <c r="S518" s="64"/>
      <c r="T518" s="64"/>
      <c r="U518" s="64"/>
      <c r="V518" s="64"/>
      <c r="W518" s="64"/>
      <c r="X518" s="64"/>
      <c r="Y518" s="64"/>
      <c r="Z518" s="64"/>
    </row>
    <row r="519" spans="1:26" ht="12.75" customHeight="1" x14ac:dyDescent="0.25">
      <c r="A519" s="64"/>
      <c r="B519" s="64"/>
      <c r="C519" s="64"/>
      <c r="D519" s="64"/>
      <c r="E519" s="64"/>
      <c r="F519" s="64"/>
      <c r="G519" s="64"/>
      <c r="H519" s="64"/>
      <c r="I519" s="64"/>
      <c r="J519" s="64"/>
      <c r="K519" s="64"/>
      <c r="L519" s="64"/>
      <c r="M519" s="64"/>
      <c r="N519" s="64"/>
      <c r="O519" s="64"/>
      <c r="P519" s="64"/>
      <c r="Q519" s="64"/>
      <c r="R519" s="64"/>
      <c r="S519" s="64"/>
      <c r="T519" s="64"/>
      <c r="U519" s="64"/>
      <c r="V519" s="64"/>
      <c r="W519" s="64"/>
      <c r="X519" s="64"/>
      <c r="Y519" s="64"/>
      <c r="Z519" s="64"/>
    </row>
    <row r="520" spans="1:26" ht="12.75" customHeight="1" x14ac:dyDescent="0.25">
      <c r="A520" s="64"/>
      <c r="B520" s="64"/>
      <c r="C520" s="64"/>
      <c r="D520" s="64"/>
      <c r="E520" s="64"/>
      <c r="F520" s="64"/>
      <c r="G520" s="64"/>
      <c r="H520" s="64"/>
      <c r="I520" s="64"/>
      <c r="J520" s="64"/>
      <c r="K520" s="64"/>
      <c r="L520" s="64"/>
      <c r="M520" s="64"/>
      <c r="N520" s="64"/>
      <c r="O520" s="64"/>
      <c r="P520" s="64"/>
      <c r="Q520" s="64"/>
      <c r="R520" s="64"/>
      <c r="S520" s="64"/>
      <c r="T520" s="64"/>
      <c r="U520" s="64"/>
      <c r="V520" s="64"/>
      <c r="W520" s="64"/>
      <c r="X520" s="64"/>
      <c r="Y520" s="64"/>
      <c r="Z520" s="64"/>
    </row>
    <row r="521" spans="1:26" ht="12.75" customHeight="1" x14ac:dyDescent="0.25">
      <c r="A521" s="64"/>
      <c r="B521" s="64"/>
      <c r="C521" s="64"/>
      <c r="D521" s="64"/>
      <c r="E521" s="64"/>
      <c r="F521" s="64"/>
      <c r="G521" s="64"/>
      <c r="H521" s="64"/>
      <c r="I521" s="64"/>
      <c r="J521" s="64"/>
      <c r="K521" s="64"/>
      <c r="L521" s="64"/>
      <c r="M521" s="64"/>
      <c r="N521" s="64"/>
      <c r="O521" s="64"/>
      <c r="P521" s="64"/>
      <c r="Q521" s="64"/>
      <c r="R521" s="64"/>
      <c r="S521" s="64"/>
      <c r="T521" s="64"/>
      <c r="U521" s="64"/>
      <c r="V521" s="64"/>
      <c r="W521" s="64"/>
      <c r="X521" s="64"/>
      <c r="Y521" s="64"/>
      <c r="Z521" s="64"/>
    </row>
    <row r="522" spans="1:26" ht="12.75" customHeight="1" x14ac:dyDescent="0.25">
      <c r="A522" s="64"/>
      <c r="B522" s="64"/>
      <c r="C522" s="64"/>
      <c r="D522" s="64"/>
      <c r="E522" s="64"/>
      <c r="F522" s="64"/>
      <c r="G522" s="64"/>
      <c r="H522" s="64"/>
      <c r="I522" s="64"/>
      <c r="J522" s="64"/>
      <c r="K522" s="64"/>
      <c r="L522" s="64"/>
      <c r="M522" s="64"/>
      <c r="N522" s="64"/>
      <c r="O522" s="64"/>
      <c r="P522" s="64"/>
      <c r="Q522" s="64"/>
      <c r="R522" s="64"/>
      <c r="S522" s="64"/>
      <c r="T522" s="64"/>
      <c r="U522" s="64"/>
      <c r="V522" s="64"/>
      <c r="W522" s="64"/>
      <c r="X522" s="64"/>
      <c r="Y522" s="64"/>
      <c r="Z522" s="64"/>
    </row>
    <row r="523" spans="1:26" ht="12.75" customHeight="1" x14ac:dyDescent="0.25">
      <c r="A523" s="64"/>
      <c r="B523" s="64"/>
      <c r="C523" s="64"/>
      <c r="D523" s="64"/>
      <c r="E523" s="64"/>
      <c r="F523" s="64"/>
      <c r="G523" s="64"/>
      <c r="H523" s="64"/>
      <c r="I523" s="64"/>
      <c r="J523" s="64"/>
      <c r="K523" s="64"/>
      <c r="L523" s="64"/>
      <c r="M523" s="64"/>
      <c r="N523" s="64"/>
      <c r="O523" s="64"/>
      <c r="P523" s="64"/>
      <c r="Q523" s="64"/>
      <c r="R523" s="64"/>
      <c r="S523" s="64"/>
      <c r="T523" s="64"/>
      <c r="U523" s="64"/>
      <c r="V523" s="64"/>
      <c r="W523" s="64"/>
      <c r="X523" s="64"/>
      <c r="Y523" s="64"/>
      <c r="Z523" s="64"/>
    </row>
    <row r="524" spans="1:26" ht="12.75" customHeight="1" x14ac:dyDescent="0.25">
      <c r="A524" s="64"/>
      <c r="B524" s="64"/>
      <c r="C524" s="64"/>
      <c r="D524" s="64"/>
      <c r="E524" s="64"/>
      <c r="F524" s="64"/>
      <c r="G524" s="64"/>
      <c r="H524" s="64"/>
      <c r="I524" s="64"/>
      <c r="J524" s="64"/>
      <c r="K524" s="64"/>
      <c r="L524" s="64"/>
      <c r="M524" s="64"/>
      <c r="N524" s="64"/>
      <c r="O524" s="64"/>
      <c r="P524" s="64"/>
      <c r="Q524" s="64"/>
      <c r="R524" s="64"/>
      <c r="S524" s="64"/>
      <c r="T524" s="64"/>
      <c r="U524" s="64"/>
      <c r="V524" s="64"/>
      <c r="W524" s="64"/>
      <c r="X524" s="64"/>
      <c r="Y524" s="64"/>
      <c r="Z524" s="64"/>
    </row>
    <row r="525" spans="1:26" ht="12.75" customHeight="1" x14ac:dyDescent="0.25">
      <c r="A525" s="64"/>
      <c r="B525" s="64"/>
      <c r="C525" s="64"/>
      <c r="D525" s="64"/>
      <c r="E525" s="64"/>
      <c r="F525" s="64"/>
      <c r="G525" s="64"/>
      <c r="H525" s="64"/>
      <c r="I525" s="64"/>
      <c r="J525" s="64"/>
      <c r="K525" s="64"/>
      <c r="L525" s="64"/>
      <c r="M525" s="64"/>
      <c r="N525" s="64"/>
      <c r="O525" s="64"/>
      <c r="P525" s="64"/>
      <c r="Q525" s="64"/>
      <c r="R525" s="64"/>
      <c r="S525" s="64"/>
      <c r="T525" s="64"/>
      <c r="U525" s="64"/>
      <c r="V525" s="64"/>
      <c r="W525" s="64"/>
      <c r="X525" s="64"/>
      <c r="Y525" s="64"/>
      <c r="Z525" s="64"/>
    </row>
    <row r="526" spans="1:26" ht="12.75" customHeight="1" x14ac:dyDescent="0.25">
      <c r="A526" s="64"/>
      <c r="B526" s="64"/>
      <c r="C526" s="64"/>
      <c r="D526" s="64"/>
      <c r="E526" s="64"/>
      <c r="F526" s="64"/>
      <c r="G526" s="64"/>
      <c r="H526" s="64"/>
      <c r="I526" s="64"/>
      <c r="J526" s="64"/>
      <c r="K526" s="64"/>
      <c r="L526" s="64"/>
      <c r="M526" s="64"/>
      <c r="N526" s="64"/>
      <c r="O526" s="64"/>
      <c r="P526" s="64"/>
      <c r="Q526" s="64"/>
      <c r="R526" s="64"/>
      <c r="S526" s="64"/>
      <c r="T526" s="64"/>
      <c r="U526" s="64"/>
      <c r="V526" s="64"/>
      <c r="W526" s="64"/>
      <c r="X526" s="64"/>
      <c r="Y526" s="64"/>
      <c r="Z526" s="64"/>
    </row>
    <row r="527" spans="1:26" ht="12.75" customHeight="1" x14ac:dyDescent="0.25">
      <c r="A527" s="64"/>
      <c r="B527" s="64"/>
      <c r="C527" s="64"/>
      <c r="D527" s="64"/>
      <c r="E527" s="64"/>
      <c r="F527" s="64"/>
      <c r="G527" s="64"/>
      <c r="H527" s="64"/>
      <c r="I527" s="64"/>
      <c r="J527" s="64"/>
      <c r="K527" s="64"/>
      <c r="L527" s="64"/>
      <c r="M527" s="64"/>
      <c r="N527" s="64"/>
      <c r="O527" s="64"/>
      <c r="P527" s="64"/>
      <c r="Q527" s="64"/>
      <c r="R527" s="64"/>
      <c r="S527" s="64"/>
      <c r="T527" s="64"/>
      <c r="U527" s="64"/>
      <c r="V527" s="64"/>
      <c r="W527" s="64"/>
      <c r="X527" s="64"/>
      <c r="Y527" s="64"/>
      <c r="Z527" s="64"/>
    </row>
    <row r="528" spans="1:26" ht="12.75" customHeight="1" x14ac:dyDescent="0.25">
      <c r="A528" s="64"/>
      <c r="B528" s="64"/>
      <c r="C528" s="64"/>
      <c r="D528" s="64"/>
      <c r="E528" s="64"/>
      <c r="F528" s="64"/>
      <c r="G528" s="64"/>
      <c r="H528" s="64"/>
      <c r="I528" s="64"/>
      <c r="J528" s="64"/>
      <c r="K528" s="64"/>
      <c r="L528" s="64"/>
      <c r="M528" s="64"/>
      <c r="N528" s="64"/>
      <c r="O528" s="64"/>
      <c r="P528" s="64"/>
      <c r="Q528" s="64"/>
      <c r="R528" s="64"/>
      <c r="S528" s="64"/>
      <c r="T528" s="64"/>
      <c r="U528" s="64"/>
      <c r="V528" s="64"/>
      <c r="W528" s="64"/>
      <c r="X528" s="64"/>
      <c r="Y528" s="64"/>
      <c r="Z528" s="64"/>
    </row>
    <row r="529" spans="1:26" ht="12.75" customHeight="1" x14ac:dyDescent="0.25">
      <c r="A529" s="64"/>
      <c r="B529" s="64"/>
      <c r="C529" s="64"/>
      <c r="D529" s="64"/>
      <c r="E529" s="64"/>
      <c r="F529" s="64"/>
      <c r="G529" s="64"/>
      <c r="H529" s="64"/>
      <c r="I529" s="64"/>
      <c r="J529" s="64"/>
      <c r="K529" s="64"/>
      <c r="L529" s="64"/>
      <c r="M529" s="64"/>
      <c r="N529" s="64"/>
      <c r="O529" s="64"/>
      <c r="P529" s="64"/>
      <c r="Q529" s="64"/>
      <c r="R529" s="64"/>
      <c r="S529" s="64"/>
      <c r="T529" s="64"/>
      <c r="U529" s="64"/>
      <c r="V529" s="64"/>
      <c r="W529" s="64"/>
      <c r="X529" s="64"/>
      <c r="Y529" s="64"/>
      <c r="Z529" s="64"/>
    </row>
    <row r="530" spans="1:26" ht="12.75" customHeight="1" x14ac:dyDescent="0.25">
      <c r="A530" s="64"/>
      <c r="B530" s="64"/>
      <c r="C530" s="64"/>
      <c r="D530" s="64"/>
      <c r="E530" s="64"/>
      <c r="F530" s="64"/>
      <c r="G530" s="64"/>
      <c r="H530" s="64"/>
      <c r="I530" s="64"/>
      <c r="J530" s="64"/>
      <c r="K530" s="64"/>
      <c r="L530" s="64"/>
      <c r="M530" s="64"/>
      <c r="N530" s="64"/>
      <c r="O530" s="64"/>
      <c r="P530" s="64"/>
      <c r="Q530" s="64"/>
      <c r="R530" s="64"/>
      <c r="S530" s="64"/>
      <c r="T530" s="64"/>
      <c r="U530" s="64"/>
      <c r="V530" s="64"/>
      <c r="W530" s="64"/>
      <c r="X530" s="64"/>
      <c r="Y530" s="64"/>
      <c r="Z530" s="64"/>
    </row>
    <row r="531" spans="1:26" ht="12.75" customHeight="1" x14ac:dyDescent="0.25">
      <c r="A531" s="64"/>
      <c r="B531" s="64"/>
      <c r="C531" s="64"/>
      <c r="D531" s="64"/>
      <c r="E531" s="64"/>
      <c r="F531" s="64"/>
      <c r="G531" s="64"/>
      <c r="H531" s="64"/>
      <c r="I531" s="64"/>
      <c r="J531" s="64"/>
      <c r="K531" s="64"/>
      <c r="L531" s="64"/>
      <c r="M531" s="64"/>
      <c r="N531" s="64"/>
      <c r="O531" s="64"/>
      <c r="P531" s="64"/>
      <c r="Q531" s="64"/>
      <c r="R531" s="64"/>
      <c r="S531" s="64"/>
      <c r="T531" s="64"/>
      <c r="U531" s="64"/>
      <c r="V531" s="64"/>
      <c r="W531" s="64"/>
      <c r="X531" s="64"/>
      <c r="Y531" s="64"/>
      <c r="Z531" s="64"/>
    </row>
    <row r="532" spans="1:26" ht="12.75" customHeight="1" x14ac:dyDescent="0.25">
      <c r="A532" s="64"/>
      <c r="B532" s="64"/>
      <c r="C532" s="64"/>
      <c r="D532" s="64"/>
      <c r="E532" s="64"/>
      <c r="F532" s="64"/>
      <c r="G532" s="64"/>
      <c r="H532" s="64"/>
      <c r="I532" s="64"/>
      <c r="J532" s="64"/>
      <c r="K532" s="64"/>
      <c r="L532" s="64"/>
      <c r="M532" s="64"/>
      <c r="N532" s="64"/>
      <c r="O532" s="64"/>
      <c r="P532" s="64"/>
      <c r="Q532" s="64"/>
      <c r="R532" s="64"/>
      <c r="S532" s="64"/>
      <c r="T532" s="64"/>
      <c r="U532" s="64"/>
      <c r="V532" s="64"/>
      <c r="W532" s="64"/>
      <c r="X532" s="64"/>
      <c r="Y532" s="64"/>
      <c r="Z532" s="64"/>
    </row>
    <row r="533" spans="1:26" ht="12.75" customHeight="1" x14ac:dyDescent="0.25">
      <c r="A533" s="64"/>
      <c r="B533" s="64"/>
      <c r="C533" s="64"/>
      <c r="D533" s="64"/>
      <c r="E533" s="64"/>
      <c r="F533" s="64"/>
      <c r="G533" s="64"/>
      <c r="H533" s="64"/>
      <c r="I533" s="64"/>
      <c r="J533" s="64"/>
      <c r="K533" s="64"/>
      <c r="L533" s="64"/>
      <c r="M533" s="64"/>
      <c r="N533" s="64"/>
      <c r="O533" s="64"/>
      <c r="P533" s="64"/>
      <c r="Q533" s="64"/>
      <c r="R533" s="64"/>
      <c r="S533" s="64"/>
      <c r="T533" s="64"/>
      <c r="U533" s="64"/>
      <c r="V533" s="64"/>
      <c r="W533" s="64"/>
      <c r="X533" s="64"/>
      <c r="Y533" s="64"/>
      <c r="Z533" s="64"/>
    </row>
    <row r="534" spans="1:26" ht="12.75" customHeight="1" x14ac:dyDescent="0.25">
      <c r="A534" s="64"/>
      <c r="B534" s="64"/>
      <c r="C534" s="64"/>
      <c r="D534" s="64"/>
      <c r="E534" s="64"/>
      <c r="F534" s="64"/>
      <c r="G534" s="64"/>
      <c r="H534" s="64"/>
      <c r="I534" s="64"/>
      <c r="J534" s="64"/>
      <c r="K534" s="64"/>
      <c r="L534" s="64"/>
      <c r="M534" s="64"/>
      <c r="N534" s="64"/>
      <c r="O534" s="64"/>
      <c r="P534" s="64"/>
      <c r="Q534" s="64"/>
      <c r="R534" s="64"/>
      <c r="S534" s="64"/>
      <c r="T534" s="64"/>
      <c r="U534" s="64"/>
      <c r="V534" s="64"/>
      <c r="W534" s="64"/>
      <c r="X534" s="64"/>
      <c r="Y534" s="64"/>
      <c r="Z534" s="64"/>
    </row>
    <row r="535" spans="1:26" ht="12.75" customHeight="1" x14ac:dyDescent="0.25">
      <c r="A535" s="64"/>
      <c r="B535" s="64"/>
      <c r="C535" s="64"/>
      <c r="D535" s="64"/>
      <c r="E535" s="64"/>
      <c r="F535" s="64"/>
      <c r="G535" s="64"/>
      <c r="H535" s="64"/>
      <c r="I535" s="64"/>
      <c r="J535" s="64"/>
      <c r="K535" s="64"/>
      <c r="L535" s="64"/>
      <c r="M535" s="64"/>
      <c r="N535" s="64"/>
      <c r="O535" s="64"/>
      <c r="P535" s="64"/>
      <c r="Q535" s="64"/>
      <c r="R535" s="64"/>
      <c r="S535" s="64"/>
      <c r="T535" s="64"/>
      <c r="U535" s="64"/>
      <c r="V535" s="64"/>
      <c r="W535" s="64"/>
      <c r="X535" s="64"/>
      <c r="Y535" s="64"/>
      <c r="Z535" s="64"/>
    </row>
    <row r="536" spans="1:26" ht="12.75" customHeight="1" x14ac:dyDescent="0.25">
      <c r="A536" s="64"/>
      <c r="B536" s="64"/>
      <c r="C536" s="64"/>
      <c r="D536" s="64"/>
      <c r="E536" s="64"/>
      <c r="F536" s="64"/>
      <c r="G536" s="64"/>
      <c r="H536" s="64"/>
      <c r="I536" s="64"/>
      <c r="J536" s="64"/>
      <c r="K536" s="64"/>
      <c r="L536" s="64"/>
      <c r="M536" s="64"/>
      <c r="N536" s="64"/>
      <c r="O536" s="64"/>
      <c r="P536" s="64"/>
      <c r="Q536" s="64"/>
      <c r="R536" s="64"/>
      <c r="S536" s="64"/>
      <c r="T536" s="64"/>
      <c r="U536" s="64"/>
      <c r="V536" s="64"/>
      <c r="W536" s="64"/>
      <c r="X536" s="64"/>
      <c r="Y536" s="64"/>
      <c r="Z536" s="64"/>
    </row>
    <row r="537" spans="1:26" ht="12.75" customHeight="1" x14ac:dyDescent="0.25">
      <c r="A537" s="64"/>
      <c r="B537" s="64"/>
      <c r="C537" s="64"/>
      <c r="D537" s="64"/>
      <c r="E537" s="64"/>
      <c r="F537" s="64"/>
      <c r="G537" s="64"/>
      <c r="H537" s="64"/>
      <c r="I537" s="64"/>
      <c r="J537" s="64"/>
      <c r="K537" s="64"/>
      <c r="L537" s="64"/>
      <c r="M537" s="64"/>
      <c r="N537" s="64"/>
      <c r="O537" s="64"/>
      <c r="P537" s="64"/>
      <c r="Q537" s="64"/>
      <c r="R537" s="64"/>
      <c r="S537" s="64"/>
      <c r="T537" s="64"/>
      <c r="U537" s="64"/>
      <c r="V537" s="64"/>
      <c r="W537" s="64"/>
      <c r="X537" s="64"/>
      <c r="Y537" s="64"/>
      <c r="Z537" s="64"/>
    </row>
    <row r="538" spans="1:26" ht="12.75" customHeight="1" x14ac:dyDescent="0.25">
      <c r="A538" s="64"/>
      <c r="B538" s="64"/>
      <c r="C538" s="64"/>
      <c r="D538" s="64"/>
      <c r="E538" s="64"/>
      <c r="F538" s="64"/>
      <c r="G538" s="64"/>
      <c r="H538" s="64"/>
      <c r="I538" s="64"/>
      <c r="J538" s="64"/>
      <c r="K538" s="64"/>
      <c r="L538" s="64"/>
      <c r="M538" s="64"/>
      <c r="N538" s="64"/>
      <c r="O538" s="64"/>
      <c r="P538" s="64"/>
      <c r="Q538" s="64"/>
      <c r="R538" s="64"/>
      <c r="S538" s="64"/>
      <c r="T538" s="64"/>
      <c r="U538" s="64"/>
      <c r="V538" s="64"/>
      <c r="W538" s="64"/>
      <c r="X538" s="64"/>
      <c r="Y538" s="64"/>
      <c r="Z538" s="64"/>
    </row>
    <row r="539" spans="1:26" ht="12.75" customHeight="1" x14ac:dyDescent="0.25">
      <c r="A539" s="64"/>
      <c r="B539" s="64"/>
      <c r="C539" s="64"/>
      <c r="D539" s="64"/>
      <c r="E539" s="64"/>
      <c r="F539" s="64"/>
      <c r="G539" s="64"/>
      <c r="H539" s="64"/>
      <c r="I539" s="64"/>
      <c r="J539" s="64"/>
      <c r="K539" s="64"/>
      <c r="L539" s="64"/>
      <c r="M539" s="64"/>
      <c r="N539" s="64"/>
      <c r="O539" s="64"/>
      <c r="P539" s="64"/>
      <c r="Q539" s="64"/>
      <c r="R539" s="64"/>
      <c r="S539" s="64"/>
      <c r="T539" s="64"/>
      <c r="U539" s="64"/>
      <c r="V539" s="64"/>
      <c r="W539" s="64"/>
      <c r="X539" s="64"/>
      <c r="Y539" s="64"/>
      <c r="Z539" s="64"/>
    </row>
    <row r="540" spans="1:26" ht="12.75" customHeight="1" x14ac:dyDescent="0.25">
      <c r="A540" s="64"/>
      <c r="B540" s="64"/>
      <c r="C540" s="64"/>
      <c r="D540" s="64"/>
      <c r="E540" s="64"/>
      <c r="F540" s="64"/>
      <c r="G540" s="64"/>
      <c r="H540" s="64"/>
      <c r="I540" s="64"/>
      <c r="J540" s="64"/>
      <c r="K540" s="64"/>
      <c r="L540" s="64"/>
      <c r="M540" s="64"/>
      <c r="N540" s="64"/>
      <c r="O540" s="64"/>
      <c r="P540" s="64"/>
      <c r="Q540" s="64"/>
      <c r="R540" s="64"/>
      <c r="S540" s="64"/>
      <c r="T540" s="64"/>
      <c r="U540" s="64"/>
      <c r="V540" s="64"/>
      <c r="W540" s="64"/>
      <c r="X540" s="64"/>
      <c r="Y540" s="64"/>
      <c r="Z540" s="64"/>
    </row>
    <row r="541" spans="1:26" ht="12.75" customHeight="1" x14ac:dyDescent="0.25">
      <c r="A541" s="64"/>
      <c r="B541" s="64"/>
      <c r="C541" s="64"/>
      <c r="D541" s="64"/>
      <c r="E541" s="64"/>
      <c r="F541" s="64"/>
      <c r="G541" s="64"/>
      <c r="H541" s="64"/>
      <c r="I541" s="64"/>
      <c r="J541" s="64"/>
      <c r="K541" s="64"/>
      <c r="L541" s="64"/>
      <c r="M541" s="64"/>
      <c r="N541" s="64"/>
      <c r="O541" s="64"/>
      <c r="P541" s="64"/>
      <c r="Q541" s="64"/>
      <c r="R541" s="64"/>
      <c r="S541" s="64"/>
      <c r="T541" s="64"/>
      <c r="U541" s="64"/>
      <c r="V541" s="64"/>
      <c r="W541" s="64"/>
      <c r="X541" s="64"/>
      <c r="Y541" s="64"/>
      <c r="Z541" s="64"/>
    </row>
    <row r="542" spans="1:26" ht="12.75" customHeight="1" x14ac:dyDescent="0.25">
      <c r="A542" s="64"/>
      <c r="B542" s="64"/>
      <c r="C542" s="64"/>
      <c r="D542" s="64"/>
      <c r="E542" s="64"/>
      <c r="F542" s="64"/>
      <c r="G542" s="64"/>
      <c r="H542" s="64"/>
      <c r="I542" s="64"/>
      <c r="J542" s="64"/>
      <c r="K542" s="64"/>
      <c r="L542" s="64"/>
      <c r="M542" s="64"/>
      <c r="N542" s="64"/>
      <c r="O542" s="64"/>
      <c r="P542" s="64"/>
      <c r="Q542" s="64"/>
      <c r="R542" s="64"/>
      <c r="S542" s="64"/>
      <c r="T542" s="64"/>
      <c r="U542" s="64"/>
      <c r="V542" s="64"/>
      <c r="W542" s="64"/>
      <c r="X542" s="64"/>
      <c r="Y542" s="64"/>
      <c r="Z542" s="64"/>
    </row>
    <row r="543" spans="1:26" ht="12.75" customHeight="1" x14ac:dyDescent="0.25">
      <c r="A543" s="64"/>
      <c r="B543" s="64"/>
      <c r="C543" s="64"/>
      <c r="D543" s="64"/>
      <c r="E543" s="64"/>
      <c r="F543" s="64"/>
      <c r="G543" s="64"/>
      <c r="H543" s="64"/>
      <c r="I543" s="64"/>
      <c r="J543" s="64"/>
      <c r="K543" s="64"/>
      <c r="L543" s="64"/>
      <c r="M543" s="64"/>
      <c r="N543" s="64"/>
      <c r="O543" s="64"/>
      <c r="P543" s="64"/>
      <c r="Q543" s="64"/>
      <c r="R543" s="64"/>
      <c r="S543" s="64"/>
      <c r="T543" s="64"/>
      <c r="U543" s="64"/>
      <c r="V543" s="64"/>
      <c r="W543" s="64"/>
      <c r="X543" s="64"/>
      <c r="Y543" s="64"/>
      <c r="Z543" s="64"/>
    </row>
    <row r="544" spans="1:26" ht="12.75" customHeight="1" x14ac:dyDescent="0.25">
      <c r="A544" s="64"/>
      <c r="B544" s="64"/>
      <c r="C544" s="64"/>
      <c r="D544" s="64"/>
      <c r="E544" s="64"/>
      <c r="F544" s="64"/>
      <c r="G544" s="64"/>
      <c r="H544" s="64"/>
      <c r="I544" s="64"/>
      <c r="J544" s="64"/>
      <c r="K544" s="64"/>
      <c r="L544" s="64"/>
      <c r="M544" s="64"/>
      <c r="N544" s="64"/>
      <c r="O544" s="64"/>
      <c r="P544" s="64"/>
      <c r="Q544" s="64"/>
      <c r="R544" s="64"/>
      <c r="S544" s="64"/>
      <c r="T544" s="64"/>
      <c r="U544" s="64"/>
      <c r="V544" s="64"/>
      <c r="W544" s="64"/>
      <c r="X544" s="64"/>
      <c r="Y544" s="64"/>
      <c r="Z544" s="64"/>
    </row>
    <row r="545" spans="1:26" ht="12.75" customHeight="1" x14ac:dyDescent="0.25">
      <c r="A545" s="64"/>
      <c r="B545" s="64"/>
      <c r="C545" s="64"/>
      <c r="D545" s="64"/>
      <c r="E545" s="64"/>
      <c r="F545" s="64"/>
      <c r="G545" s="64"/>
      <c r="H545" s="64"/>
      <c r="I545" s="64"/>
      <c r="J545" s="64"/>
      <c r="K545" s="64"/>
      <c r="L545" s="64"/>
      <c r="M545" s="64"/>
      <c r="N545" s="64"/>
      <c r="O545" s="64"/>
      <c r="P545" s="64"/>
      <c r="Q545" s="64"/>
      <c r="R545" s="64"/>
      <c r="S545" s="64"/>
      <c r="T545" s="64"/>
      <c r="U545" s="64"/>
      <c r="V545" s="64"/>
      <c r="W545" s="64"/>
      <c r="X545" s="64"/>
      <c r="Y545" s="64"/>
      <c r="Z545" s="64"/>
    </row>
    <row r="546" spans="1:26" ht="12.75" customHeight="1" x14ac:dyDescent="0.25">
      <c r="A546" s="64"/>
      <c r="B546" s="64"/>
      <c r="C546" s="64"/>
      <c r="D546" s="64"/>
      <c r="E546" s="64"/>
      <c r="F546" s="64"/>
      <c r="G546" s="64"/>
      <c r="H546" s="64"/>
      <c r="I546" s="64"/>
      <c r="J546" s="64"/>
      <c r="K546" s="64"/>
      <c r="L546" s="64"/>
      <c r="M546" s="64"/>
      <c r="N546" s="64"/>
      <c r="O546" s="64"/>
      <c r="P546" s="64"/>
      <c r="Q546" s="64"/>
      <c r="R546" s="64"/>
      <c r="S546" s="64"/>
      <c r="T546" s="64"/>
      <c r="U546" s="64"/>
      <c r="V546" s="64"/>
      <c r="W546" s="64"/>
      <c r="X546" s="64"/>
      <c r="Y546" s="64"/>
      <c r="Z546" s="64"/>
    </row>
    <row r="547" spans="1:26" ht="12.75" customHeight="1" x14ac:dyDescent="0.25">
      <c r="A547" s="64"/>
      <c r="B547" s="64"/>
      <c r="C547" s="64"/>
      <c r="D547" s="64"/>
      <c r="E547" s="64"/>
      <c r="F547" s="64"/>
      <c r="G547" s="64"/>
      <c r="H547" s="64"/>
      <c r="I547" s="64"/>
      <c r="J547" s="64"/>
      <c r="K547" s="64"/>
      <c r="L547" s="64"/>
      <c r="M547" s="64"/>
      <c r="N547" s="64"/>
      <c r="O547" s="64"/>
      <c r="P547" s="64"/>
      <c r="Q547" s="64"/>
      <c r="R547" s="64"/>
      <c r="S547" s="64"/>
      <c r="T547" s="64"/>
      <c r="U547" s="64"/>
      <c r="V547" s="64"/>
      <c r="W547" s="64"/>
      <c r="X547" s="64"/>
      <c r="Y547" s="64"/>
      <c r="Z547" s="64"/>
    </row>
    <row r="548" spans="1:26" ht="12.75" customHeight="1" x14ac:dyDescent="0.25">
      <c r="A548" s="64"/>
      <c r="B548" s="64"/>
      <c r="C548" s="64"/>
      <c r="D548" s="64"/>
      <c r="E548" s="64"/>
      <c r="F548" s="64"/>
      <c r="G548" s="64"/>
      <c r="H548" s="64"/>
      <c r="I548" s="64"/>
      <c r="J548" s="64"/>
      <c r="K548" s="64"/>
      <c r="L548" s="64"/>
      <c r="M548" s="64"/>
      <c r="N548" s="64"/>
      <c r="O548" s="64"/>
      <c r="P548" s="64"/>
      <c r="Q548" s="64"/>
      <c r="R548" s="64"/>
      <c r="S548" s="64"/>
      <c r="T548" s="64"/>
      <c r="U548" s="64"/>
      <c r="V548" s="64"/>
      <c r="W548" s="64"/>
      <c r="X548" s="64"/>
      <c r="Y548" s="64"/>
      <c r="Z548" s="64"/>
    </row>
    <row r="549" spans="1:26" ht="12.75" customHeight="1" x14ac:dyDescent="0.25">
      <c r="A549" s="64"/>
      <c r="B549" s="64"/>
      <c r="C549" s="64"/>
      <c r="D549" s="64"/>
      <c r="E549" s="64"/>
      <c r="F549" s="64"/>
      <c r="G549" s="64"/>
      <c r="H549" s="64"/>
      <c r="I549" s="64"/>
      <c r="J549" s="64"/>
      <c r="K549" s="64"/>
      <c r="L549" s="64"/>
      <c r="M549" s="64"/>
      <c r="N549" s="64"/>
      <c r="O549" s="64"/>
      <c r="P549" s="64"/>
      <c r="Q549" s="64"/>
      <c r="R549" s="64"/>
      <c r="S549" s="64"/>
      <c r="T549" s="64"/>
      <c r="U549" s="64"/>
      <c r="V549" s="64"/>
      <c r="W549" s="64"/>
      <c r="X549" s="64"/>
      <c r="Y549" s="64"/>
      <c r="Z549" s="64"/>
    </row>
    <row r="550" spans="1:26" ht="12.75" customHeight="1" x14ac:dyDescent="0.25">
      <c r="A550" s="64"/>
      <c r="B550" s="64"/>
      <c r="C550" s="64"/>
      <c r="D550" s="64"/>
      <c r="E550" s="64"/>
      <c r="F550" s="64"/>
      <c r="G550" s="64"/>
      <c r="H550" s="64"/>
      <c r="I550" s="64"/>
      <c r="J550" s="64"/>
      <c r="K550" s="64"/>
      <c r="L550" s="64"/>
      <c r="M550" s="64"/>
      <c r="N550" s="64"/>
      <c r="O550" s="64"/>
      <c r="P550" s="64"/>
      <c r="Q550" s="64"/>
      <c r="R550" s="64"/>
      <c r="S550" s="64"/>
      <c r="T550" s="64"/>
      <c r="U550" s="64"/>
      <c r="V550" s="64"/>
      <c r="W550" s="64"/>
      <c r="X550" s="64"/>
      <c r="Y550" s="64"/>
      <c r="Z550" s="64"/>
    </row>
    <row r="551" spans="1:26" ht="12.75" customHeight="1" x14ac:dyDescent="0.25">
      <c r="A551" s="64"/>
      <c r="B551" s="64"/>
      <c r="C551" s="64"/>
      <c r="D551" s="64"/>
      <c r="E551" s="64"/>
      <c r="F551" s="64"/>
      <c r="G551" s="64"/>
      <c r="H551" s="64"/>
      <c r="I551" s="64"/>
      <c r="J551" s="64"/>
      <c r="K551" s="64"/>
      <c r="L551" s="64"/>
      <c r="M551" s="64"/>
      <c r="N551" s="64"/>
      <c r="O551" s="64"/>
      <c r="P551" s="64"/>
      <c r="Q551" s="64"/>
      <c r="R551" s="64"/>
      <c r="S551" s="64"/>
      <c r="T551" s="64"/>
      <c r="U551" s="64"/>
      <c r="V551" s="64"/>
      <c r="W551" s="64"/>
      <c r="X551" s="64"/>
      <c r="Y551" s="64"/>
      <c r="Z551" s="64"/>
    </row>
    <row r="552" spans="1:26" ht="12.75" customHeight="1" x14ac:dyDescent="0.25">
      <c r="A552" s="64"/>
      <c r="B552" s="64"/>
      <c r="C552" s="64"/>
      <c r="D552" s="64"/>
      <c r="E552" s="64"/>
      <c r="F552" s="64"/>
      <c r="G552" s="64"/>
      <c r="H552" s="64"/>
      <c r="I552" s="64"/>
      <c r="J552" s="64"/>
      <c r="K552" s="64"/>
      <c r="L552" s="64"/>
      <c r="M552" s="64"/>
      <c r="N552" s="64"/>
      <c r="O552" s="64"/>
      <c r="P552" s="64"/>
      <c r="Q552" s="64"/>
      <c r="R552" s="64"/>
      <c r="S552" s="64"/>
      <c r="T552" s="64"/>
      <c r="U552" s="64"/>
      <c r="V552" s="64"/>
      <c r="W552" s="64"/>
      <c r="X552" s="64"/>
      <c r="Y552" s="64"/>
      <c r="Z552" s="64"/>
    </row>
    <row r="553" spans="1:26" ht="12.75" customHeight="1" x14ac:dyDescent="0.25">
      <c r="A553" s="64"/>
      <c r="B553" s="64"/>
      <c r="C553" s="64"/>
      <c r="D553" s="64"/>
      <c r="E553" s="64"/>
      <c r="F553" s="64"/>
      <c r="G553" s="64"/>
      <c r="H553" s="64"/>
      <c r="I553" s="64"/>
      <c r="J553" s="64"/>
      <c r="K553" s="64"/>
      <c r="L553" s="64"/>
      <c r="M553" s="64"/>
      <c r="N553" s="64"/>
      <c r="O553" s="64"/>
      <c r="P553" s="64"/>
      <c r="Q553" s="64"/>
      <c r="R553" s="64"/>
      <c r="S553" s="64"/>
      <c r="T553" s="64"/>
      <c r="U553" s="64"/>
      <c r="V553" s="64"/>
      <c r="W553" s="64"/>
      <c r="X553" s="64"/>
      <c r="Y553" s="64"/>
      <c r="Z553" s="64"/>
    </row>
    <row r="554" spans="1:26" ht="12.75" customHeight="1" x14ac:dyDescent="0.25">
      <c r="A554" s="64"/>
      <c r="B554" s="64"/>
      <c r="C554" s="64"/>
      <c r="D554" s="64"/>
      <c r="E554" s="64"/>
      <c r="F554" s="64"/>
      <c r="G554" s="64"/>
      <c r="H554" s="64"/>
      <c r="I554" s="64"/>
      <c r="J554" s="64"/>
      <c r="K554" s="64"/>
      <c r="L554" s="64"/>
      <c r="M554" s="64"/>
      <c r="N554" s="64"/>
      <c r="O554" s="64"/>
      <c r="P554" s="64"/>
      <c r="Q554" s="64"/>
      <c r="R554" s="64"/>
      <c r="S554" s="64"/>
      <c r="T554" s="64"/>
      <c r="U554" s="64"/>
      <c r="V554" s="64"/>
      <c r="W554" s="64"/>
      <c r="X554" s="64"/>
      <c r="Y554" s="64"/>
      <c r="Z554" s="64"/>
    </row>
    <row r="555" spans="1:26" ht="12.75" customHeight="1" x14ac:dyDescent="0.25">
      <c r="A555" s="64"/>
      <c r="B555" s="64"/>
      <c r="C555" s="64"/>
      <c r="D555" s="64"/>
      <c r="E555" s="64"/>
      <c r="F555" s="64"/>
      <c r="G555" s="64"/>
      <c r="H555" s="64"/>
      <c r="I555" s="64"/>
      <c r="J555" s="64"/>
      <c r="K555" s="64"/>
      <c r="L555" s="64"/>
      <c r="M555" s="64"/>
      <c r="N555" s="64"/>
      <c r="O555" s="64"/>
      <c r="P555" s="64"/>
      <c r="Q555" s="64"/>
      <c r="R555" s="64"/>
      <c r="S555" s="64"/>
      <c r="T555" s="64"/>
      <c r="U555" s="64"/>
      <c r="V555" s="64"/>
      <c r="W555" s="64"/>
      <c r="X555" s="64"/>
      <c r="Y555" s="64"/>
      <c r="Z555" s="64"/>
    </row>
    <row r="556" spans="1:26" ht="12.75" customHeight="1" x14ac:dyDescent="0.25">
      <c r="A556" s="64"/>
      <c r="B556" s="64"/>
      <c r="C556" s="64"/>
      <c r="D556" s="64"/>
      <c r="E556" s="64"/>
      <c r="F556" s="64"/>
      <c r="G556" s="64"/>
      <c r="H556" s="64"/>
      <c r="I556" s="64"/>
      <c r="J556" s="64"/>
      <c r="K556" s="64"/>
      <c r="L556" s="64"/>
      <c r="M556" s="64"/>
      <c r="N556" s="64"/>
      <c r="O556" s="64"/>
      <c r="P556" s="64"/>
      <c r="Q556" s="64"/>
      <c r="R556" s="64"/>
      <c r="S556" s="64"/>
      <c r="T556" s="64"/>
      <c r="U556" s="64"/>
      <c r="V556" s="64"/>
      <c r="W556" s="64"/>
      <c r="X556" s="64"/>
      <c r="Y556" s="64"/>
      <c r="Z556" s="64"/>
    </row>
    <row r="557" spans="1:26" ht="12.75" customHeight="1" x14ac:dyDescent="0.25">
      <c r="A557" s="64"/>
      <c r="B557" s="64"/>
      <c r="C557" s="64"/>
      <c r="D557" s="64"/>
      <c r="E557" s="64"/>
      <c r="F557" s="64"/>
      <c r="G557" s="64"/>
      <c r="H557" s="64"/>
      <c r="I557" s="64"/>
      <c r="J557" s="64"/>
      <c r="K557" s="64"/>
      <c r="L557" s="64"/>
      <c r="M557" s="64"/>
      <c r="N557" s="64"/>
      <c r="O557" s="64"/>
      <c r="P557" s="64"/>
      <c r="Q557" s="64"/>
      <c r="R557" s="64"/>
      <c r="S557" s="64"/>
      <c r="T557" s="64"/>
      <c r="U557" s="64"/>
      <c r="V557" s="64"/>
      <c r="W557" s="64"/>
      <c r="X557" s="64"/>
      <c r="Y557" s="64"/>
      <c r="Z557" s="64"/>
    </row>
    <row r="558" spans="1:26" ht="12.75" customHeight="1" x14ac:dyDescent="0.25">
      <c r="A558" s="64"/>
      <c r="B558" s="64"/>
      <c r="C558" s="64"/>
      <c r="D558" s="64"/>
      <c r="E558" s="64"/>
      <c r="F558" s="64"/>
      <c r="G558" s="64"/>
      <c r="H558" s="64"/>
      <c r="I558" s="64"/>
      <c r="J558" s="64"/>
      <c r="K558" s="64"/>
      <c r="L558" s="64"/>
      <c r="M558" s="64"/>
      <c r="N558" s="64"/>
      <c r="O558" s="64"/>
      <c r="P558" s="64"/>
      <c r="Q558" s="64"/>
      <c r="R558" s="64"/>
      <c r="S558" s="64"/>
      <c r="T558" s="64"/>
      <c r="U558" s="64"/>
      <c r="V558" s="64"/>
      <c r="W558" s="64"/>
      <c r="X558" s="64"/>
      <c r="Y558" s="64"/>
      <c r="Z558" s="64"/>
    </row>
    <row r="559" spans="1:26" ht="12.75" customHeight="1" x14ac:dyDescent="0.25">
      <c r="A559" s="64"/>
      <c r="B559" s="64"/>
      <c r="C559" s="64"/>
      <c r="D559" s="64"/>
      <c r="E559" s="64"/>
      <c r="F559" s="64"/>
      <c r="G559" s="64"/>
      <c r="H559" s="64"/>
      <c r="I559" s="64"/>
      <c r="J559" s="64"/>
      <c r="K559" s="64"/>
      <c r="L559" s="64"/>
      <c r="M559" s="64"/>
      <c r="N559" s="64"/>
      <c r="O559" s="64"/>
      <c r="P559" s="64"/>
      <c r="Q559" s="64"/>
      <c r="R559" s="64"/>
      <c r="S559" s="64"/>
      <c r="T559" s="64"/>
      <c r="U559" s="64"/>
      <c r="V559" s="64"/>
      <c r="W559" s="64"/>
      <c r="X559" s="64"/>
      <c r="Y559" s="64"/>
      <c r="Z559" s="64"/>
    </row>
    <row r="560" spans="1:26" ht="12.75" customHeight="1" x14ac:dyDescent="0.25">
      <c r="A560" s="64"/>
      <c r="B560" s="64"/>
      <c r="C560" s="64"/>
      <c r="D560" s="64"/>
      <c r="E560" s="64"/>
      <c r="F560" s="64"/>
      <c r="G560" s="64"/>
      <c r="H560" s="64"/>
      <c r="I560" s="64"/>
      <c r="J560" s="64"/>
      <c r="K560" s="64"/>
      <c r="L560" s="64"/>
      <c r="M560" s="64"/>
      <c r="N560" s="64"/>
      <c r="O560" s="64"/>
      <c r="P560" s="64"/>
      <c r="Q560" s="64"/>
      <c r="R560" s="64"/>
      <c r="S560" s="64"/>
      <c r="T560" s="64"/>
      <c r="U560" s="64"/>
      <c r="V560" s="64"/>
      <c r="W560" s="64"/>
      <c r="X560" s="64"/>
      <c r="Y560" s="64"/>
      <c r="Z560" s="64"/>
    </row>
    <row r="561" spans="1:26" ht="12.75" customHeight="1" x14ac:dyDescent="0.25">
      <c r="A561" s="64"/>
      <c r="B561" s="64"/>
      <c r="C561" s="64"/>
      <c r="D561" s="64"/>
      <c r="E561" s="64"/>
      <c r="F561" s="64"/>
      <c r="G561" s="64"/>
      <c r="H561" s="64"/>
      <c r="I561" s="64"/>
      <c r="J561" s="64"/>
      <c r="K561" s="64"/>
      <c r="L561" s="64"/>
      <c r="M561" s="64"/>
      <c r="N561" s="64"/>
      <c r="O561" s="64"/>
      <c r="P561" s="64"/>
      <c r="Q561" s="64"/>
      <c r="R561" s="64"/>
      <c r="S561" s="64"/>
      <c r="T561" s="64"/>
      <c r="U561" s="64"/>
      <c r="V561" s="64"/>
      <c r="W561" s="64"/>
      <c r="X561" s="64"/>
      <c r="Y561" s="64"/>
      <c r="Z561" s="64"/>
    </row>
    <row r="562" spans="1:26" ht="12.75" customHeight="1" x14ac:dyDescent="0.25">
      <c r="A562" s="64"/>
      <c r="B562" s="64"/>
      <c r="C562" s="64"/>
      <c r="D562" s="64"/>
      <c r="E562" s="64"/>
      <c r="F562" s="64"/>
      <c r="G562" s="64"/>
      <c r="H562" s="64"/>
      <c r="I562" s="64"/>
      <c r="J562" s="64"/>
      <c r="K562" s="64"/>
      <c r="L562" s="64"/>
      <c r="M562" s="64"/>
      <c r="N562" s="64"/>
      <c r="O562" s="64"/>
      <c r="P562" s="64"/>
      <c r="Q562" s="64"/>
      <c r="R562" s="64"/>
      <c r="S562" s="64"/>
      <c r="T562" s="64"/>
      <c r="U562" s="64"/>
      <c r="V562" s="64"/>
      <c r="W562" s="64"/>
      <c r="X562" s="64"/>
      <c r="Y562" s="64"/>
      <c r="Z562" s="64"/>
    </row>
    <row r="563" spans="1:26" ht="12.75" customHeight="1" x14ac:dyDescent="0.25">
      <c r="A563" s="64"/>
      <c r="B563" s="64"/>
      <c r="C563" s="64"/>
      <c r="D563" s="64"/>
      <c r="E563" s="64"/>
      <c r="F563" s="64"/>
      <c r="G563" s="64"/>
      <c r="H563" s="64"/>
      <c r="I563" s="64"/>
      <c r="J563" s="64"/>
      <c r="K563" s="64"/>
      <c r="L563" s="64"/>
      <c r="M563" s="64"/>
      <c r="N563" s="64"/>
      <c r="O563" s="64"/>
      <c r="P563" s="64"/>
      <c r="Q563" s="64"/>
      <c r="R563" s="64"/>
      <c r="S563" s="64"/>
      <c r="T563" s="64"/>
      <c r="U563" s="64"/>
      <c r="V563" s="64"/>
      <c r="W563" s="64"/>
      <c r="X563" s="64"/>
      <c r="Y563" s="64"/>
      <c r="Z563" s="64"/>
    </row>
    <row r="564" spans="1:26" ht="12.75" customHeight="1" x14ac:dyDescent="0.25">
      <c r="A564" s="64"/>
      <c r="B564" s="64"/>
      <c r="C564" s="64"/>
      <c r="D564" s="64"/>
      <c r="E564" s="64"/>
      <c r="F564" s="64"/>
      <c r="G564" s="64"/>
      <c r="H564" s="64"/>
      <c r="I564" s="64"/>
      <c r="J564" s="64"/>
      <c r="K564" s="64"/>
      <c r="L564" s="64"/>
      <c r="M564" s="64"/>
      <c r="N564" s="64"/>
      <c r="O564" s="64"/>
      <c r="P564" s="64"/>
      <c r="Q564" s="64"/>
      <c r="R564" s="64"/>
      <c r="S564" s="64"/>
      <c r="T564" s="64"/>
      <c r="U564" s="64"/>
      <c r="V564" s="64"/>
      <c r="W564" s="64"/>
      <c r="X564" s="64"/>
      <c r="Y564" s="64"/>
      <c r="Z564" s="64"/>
    </row>
    <row r="565" spans="1:26" ht="12.75" customHeight="1" x14ac:dyDescent="0.25">
      <c r="A565" s="64"/>
      <c r="B565" s="64"/>
      <c r="C565" s="64"/>
      <c r="D565" s="64"/>
      <c r="E565" s="64"/>
      <c r="F565" s="64"/>
      <c r="G565" s="64"/>
      <c r="H565" s="64"/>
      <c r="I565" s="64"/>
      <c r="J565" s="64"/>
      <c r="K565" s="64"/>
      <c r="L565" s="64"/>
      <c r="M565" s="64"/>
      <c r="N565" s="64"/>
      <c r="O565" s="64"/>
      <c r="P565" s="64"/>
      <c r="Q565" s="64"/>
      <c r="R565" s="64"/>
      <c r="S565" s="64"/>
      <c r="T565" s="64"/>
      <c r="U565" s="64"/>
      <c r="V565" s="64"/>
      <c r="W565" s="64"/>
      <c r="X565" s="64"/>
      <c r="Y565" s="64"/>
      <c r="Z565" s="64"/>
    </row>
    <row r="566" spans="1:26" ht="12.75" customHeight="1" x14ac:dyDescent="0.25">
      <c r="A566" s="64"/>
      <c r="B566" s="64"/>
      <c r="C566" s="64"/>
      <c r="D566" s="64"/>
      <c r="E566" s="64"/>
      <c r="F566" s="64"/>
      <c r="G566" s="64"/>
      <c r="H566" s="64"/>
      <c r="I566" s="64"/>
      <c r="J566" s="64"/>
      <c r="K566" s="64"/>
      <c r="L566" s="64"/>
      <c r="M566" s="64"/>
      <c r="N566" s="64"/>
      <c r="O566" s="64"/>
      <c r="P566" s="64"/>
      <c r="Q566" s="64"/>
      <c r="R566" s="64"/>
      <c r="S566" s="64"/>
      <c r="T566" s="64"/>
      <c r="U566" s="64"/>
      <c r="V566" s="64"/>
      <c r="W566" s="64"/>
      <c r="X566" s="64"/>
      <c r="Y566" s="64"/>
      <c r="Z566" s="64"/>
    </row>
    <row r="567" spans="1:26" ht="12.75" customHeight="1" x14ac:dyDescent="0.25">
      <c r="A567" s="64"/>
      <c r="B567" s="64"/>
      <c r="C567" s="64"/>
      <c r="D567" s="64"/>
      <c r="E567" s="64"/>
      <c r="F567" s="64"/>
      <c r="G567" s="64"/>
      <c r="H567" s="64"/>
      <c r="I567" s="64"/>
      <c r="J567" s="64"/>
      <c r="K567" s="64"/>
      <c r="L567" s="64"/>
      <c r="M567" s="64"/>
      <c r="N567" s="64"/>
      <c r="O567" s="64"/>
      <c r="P567" s="64"/>
      <c r="Q567" s="64"/>
      <c r="R567" s="64"/>
      <c r="S567" s="64"/>
      <c r="T567" s="64"/>
      <c r="U567" s="64"/>
      <c r="V567" s="64"/>
      <c r="W567" s="64"/>
      <c r="X567" s="64"/>
      <c r="Y567" s="64"/>
      <c r="Z567" s="64"/>
    </row>
    <row r="568" spans="1:26" ht="12.75" customHeight="1" x14ac:dyDescent="0.25">
      <c r="A568" s="64"/>
      <c r="B568" s="64"/>
      <c r="C568" s="64"/>
      <c r="D568" s="64"/>
      <c r="E568" s="64"/>
      <c r="F568" s="64"/>
      <c r="G568" s="64"/>
      <c r="H568" s="64"/>
      <c r="I568" s="64"/>
      <c r="J568" s="64"/>
      <c r="K568" s="64"/>
      <c r="L568" s="64"/>
      <c r="M568" s="64"/>
      <c r="N568" s="64"/>
      <c r="O568" s="64"/>
      <c r="P568" s="64"/>
      <c r="Q568" s="64"/>
      <c r="R568" s="64"/>
      <c r="S568" s="64"/>
      <c r="T568" s="64"/>
      <c r="U568" s="64"/>
      <c r="V568" s="64"/>
      <c r="W568" s="64"/>
      <c r="X568" s="64"/>
      <c r="Y568" s="64"/>
      <c r="Z568" s="64"/>
    </row>
    <row r="569" spans="1:26" ht="12.75" customHeight="1" x14ac:dyDescent="0.25">
      <c r="A569" s="64"/>
      <c r="B569" s="64"/>
      <c r="C569" s="64"/>
      <c r="D569" s="64"/>
      <c r="E569" s="64"/>
      <c r="F569" s="64"/>
      <c r="G569" s="64"/>
      <c r="H569" s="64"/>
      <c r="I569" s="64"/>
      <c r="J569" s="64"/>
      <c r="K569" s="64"/>
      <c r="L569" s="64"/>
      <c r="M569" s="64"/>
      <c r="N569" s="64"/>
      <c r="O569" s="64"/>
      <c r="P569" s="64"/>
      <c r="Q569" s="64"/>
      <c r="R569" s="64"/>
      <c r="S569" s="64"/>
      <c r="T569" s="64"/>
      <c r="U569" s="64"/>
      <c r="V569" s="64"/>
      <c r="W569" s="64"/>
      <c r="X569" s="64"/>
      <c r="Y569" s="64"/>
      <c r="Z569" s="64"/>
    </row>
    <row r="570" spans="1:26" ht="12.75" customHeight="1" x14ac:dyDescent="0.25">
      <c r="A570" s="64"/>
      <c r="B570" s="64"/>
      <c r="C570" s="64"/>
      <c r="D570" s="64"/>
      <c r="E570" s="64"/>
      <c r="F570" s="64"/>
      <c r="G570" s="64"/>
      <c r="H570" s="64"/>
      <c r="I570" s="64"/>
      <c r="J570" s="64"/>
      <c r="K570" s="64"/>
      <c r="L570" s="64"/>
      <c r="M570" s="64"/>
      <c r="N570" s="64"/>
      <c r="O570" s="64"/>
      <c r="P570" s="64"/>
      <c r="Q570" s="64"/>
      <c r="R570" s="64"/>
      <c r="S570" s="64"/>
      <c r="T570" s="64"/>
      <c r="U570" s="64"/>
      <c r="V570" s="64"/>
      <c r="W570" s="64"/>
      <c r="X570" s="64"/>
      <c r="Y570" s="64"/>
      <c r="Z570" s="64"/>
    </row>
    <row r="571" spans="1:26" ht="12.75" customHeight="1" x14ac:dyDescent="0.25">
      <c r="A571" s="64"/>
      <c r="B571" s="64"/>
      <c r="C571" s="64"/>
      <c r="D571" s="64"/>
      <c r="E571" s="64"/>
      <c r="F571" s="64"/>
      <c r="G571" s="64"/>
      <c r="H571" s="64"/>
      <c r="I571" s="64"/>
      <c r="J571" s="64"/>
      <c r="K571" s="64"/>
      <c r="L571" s="64"/>
      <c r="M571" s="64"/>
      <c r="N571" s="64"/>
      <c r="O571" s="64"/>
      <c r="P571" s="64"/>
      <c r="Q571" s="64"/>
      <c r="R571" s="64"/>
      <c r="S571" s="64"/>
      <c r="T571" s="64"/>
      <c r="U571" s="64"/>
      <c r="V571" s="64"/>
      <c r="W571" s="64"/>
      <c r="X571" s="64"/>
      <c r="Y571" s="64"/>
      <c r="Z571" s="64"/>
    </row>
    <row r="572" spans="1:26" ht="12.75" customHeight="1" x14ac:dyDescent="0.25">
      <c r="A572" s="64"/>
      <c r="B572" s="64"/>
      <c r="C572" s="64"/>
      <c r="D572" s="64"/>
      <c r="E572" s="64"/>
      <c r="F572" s="64"/>
      <c r="G572" s="64"/>
      <c r="H572" s="64"/>
      <c r="I572" s="64"/>
      <c r="J572" s="64"/>
      <c r="K572" s="64"/>
      <c r="L572" s="64"/>
      <c r="M572" s="64"/>
      <c r="N572" s="64"/>
      <c r="O572" s="64"/>
      <c r="P572" s="64"/>
      <c r="Q572" s="64"/>
      <c r="R572" s="64"/>
      <c r="S572" s="64"/>
      <c r="T572" s="64"/>
      <c r="U572" s="64"/>
      <c r="V572" s="64"/>
      <c r="W572" s="64"/>
      <c r="X572" s="64"/>
      <c r="Y572" s="64"/>
      <c r="Z572" s="64"/>
    </row>
    <row r="573" spans="1:26" ht="12.75" customHeight="1" x14ac:dyDescent="0.25">
      <c r="A573" s="64"/>
      <c r="B573" s="64"/>
      <c r="C573" s="64"/>
      <c r="D573" s="64"/>
      <c r="E573" s="64"/>
      <c r="F573" s="64"/>
      <c r="G573" s="64"/>
      <c r="H573" s="64"/>
      <c r="I573" s="64"/>
      <c r="J573" s="64"/>
      <c r="K573" s="64"/>
      <c r="L573" s="64"/>
      <c r="M573" s="64"/>
      <c r="N573" s="64"/>
      <c r="O573" s="64"/>
      <c r="P573" s="64"/>
      <c r="Q573" s="64"/>
      <c r="R573" s="64"/>
      <c r="S573" s="64"/>
      <c r="T573" s="64"/>
      <c r="U573" s="64"/>
      <c r="V573" s="64"/>
      <c r="W573" s="64"/>
      <c r="X573" s="64"/>
      <c r="Y573" s="64"/>
      <c r="Z573" s="64"/>
    </row>
    <row r="574" spans="1:26" ht="12.75" customHeight="1" x14ac:dyDescent="0.25">
      <c r="A574" s="64"/>
      <c r="B574" s="64"/>
      <c r="C574" s="64"/>
      <c r="D574" s="64"/>
      <c r="E574" s="64"/>
      <c r="F574" s="64"/>
      <c r="G574" s="64"/>
      <c r="H574" s="64"/>
      <c r="I574" s="64"/>
      <c r="J574" s="64"/>
      <c r="K574" s="64"/>
      <c r="L574" s="64"/>
      <c r="M574" s="64"/>
      <c r="N574" s="64"/>
      <c r="O574" s="64"/>
      <c r="P574" s="64"/>
      <c r="Q574" s="64"/>
      <c r="R574" s="64"/>
      <c r="S574" s="64"/>
      <c r="T574" s="64"/>
      <c r="U574" s="64"/>
      <c r="V574" s="64"/>
      <c r="W574" s="64"/>
      <c r="X574" s="64"/>
      <c r="Y574" s="64"/>
      <c r="Z574" s="64"/>
    </row>
    <row r="575" spans="1:26" ht="12.75" customHeight="1" x14ac:dyDescent="0.25">
      <c r="A575" s="64"/>
      <c r="B575" s="64"/>
      <c r="C575" s="64"/>
      <c r="D575" s="64"/>
      <c r="E575" s="64"/>
      <c r="F575" s="64"/>
      <c r="G575" s="64"/>
      <c r="H575" s="64"/>
      <c r="I575" s="64"/>
      <c r="J575" s="64"/>
      <c r="K575" s="64"/>
      <c r="L575" s="64"/>
      <c r="M575" s="64"/>
      <c r="N575" s="64"/>
      <c r="O575" s="64"/>
      <c r="P575" s="64"/>
      <c r="Q575" s="64"/>
      <c r="R575" s="64"/>
      <c r="S575" s="64"/>
      <c r="T575" s="64"/>
      <c r="U575" s="64"/>
      <c r="V575" s="64"/>
      <c r="W575" s="64"/>
      <c r="X575" s="64"/>
      <c r="Y575" s="64"/>
      <c r="Z575" s="64"/>
    </row>
    <row r="576" spans="1:26" ht="12.75" customHeight="1" x14ac:dyDescent="0.25">
      <c r="A576" s="64"/>
      <c r="B576" s="64"/>
      <c r="C576" s="64"/>
      <c r="D576" s="64"/>
      <c r="E576" s="64"/>
      <c r="F576" s="64"/>
      <c r="G576" s="64"/>
      <c r="H576" s="64"/>
      <c r="I576" s="64"/>
      <c r="J576" s="64"/>
      <c r="K576" s="64"/>
      <c r="L576" s="64"/>
      <c r="M576" s="64"/>
      <c r="N576" s="64"/>
      <c r="O576" s="64"/>
      <c r="P576" s="64"/>
      <c r="Q576" s="64"/>
      <c r="R576" s="64"/>
      <c r="S576" s="64"/>
      <c r="T576" s="64"/>
      <c r="U576" s="64"/>
      <c r="V576" s="64"/>
      <c r="W576" s="64"/>
      <c r="X576" s="64"/>
      <c r="Y576" s="64"/>
      <c r="Z576" s="64"/>
    </row>
    <row r="577" spans="1:26" ht="12.75" customHeight="1" x14ac:dyDescent="0.25">
      <c r="A577" s="64"/>
      <c r="B577" s="64"/>
      <c r="C577" s="64"/>
      <c r="D577" s="64"/>
      <c r="E577" s="64"/>
      <c r="F577" s="64"/>
      <c r="G577" s="64"/>
      <c r="H577" s="64"/>
      <c r="I577" s="64"/>
      <c r="J577" s="64"/>
      <c r="K577" s="64"/>
      <c r="L577" s="64"/>
      <c r="M577" s="64"/>
      <c r="N577" s="64"/>
      <c r="O577" s="64"/>
      <c r="P577" s="64"/>
      <c r="Q577" s="64"/>
      <c r="R577" s="64"/>
      <c r="S577" s="64"/>
      <c r="T577" s="64"/>
      <c r="U577" s="64"/>
      <c r="V577" s="64"/>
      <c r="W577" s="64"/>
      <c r="X577" s="64"/>
      <c r="Y577" s="64"/>
      <c r="Z577" s="64"/>
    </row>
    <row r="578" spans="1:26" ht="12.75" customHeight="1" x14ac:dyDescent="0.25">
      <c r="A578" s="64"/>
      <c r="B578" s="64"/>
      <c r="C578" s="64"/>
      <c r="D578" s="64"/>
      <c r="E578" s="64"/>
      <c r="F578" s="64"/>
      <c r="G578" s="64"/>
      <c r="H578" s="64"/>
      <c r="I578" s="64"/>
      <c r="J578" s="64"/>
      <c r="K578" s="64"/>
      <c r="L578" s="64"/>
      <c r="M578" s="64"/>
      <c r="N578" s="64"/>
      <c r="O578" s="64"/>
      <c r="P578" s="64"/>
      <c r="Q578" s="64"/>
      <c r="R578" s="64"/>
      <c r="S578" s="64"/>
      <c r="T578" s="64"/>
      <c r="U578" s="64"/>
      <c r="V578" s="64"/>
      <c r="W578" s="64"/>
      <c r="X578" s="64"/>
      <c r="Y578" s="64"/>
      <c r="Z578" s="64"/>
    </row>
    <row r="579" spans="1:26" ht="12.75" customHeight="1" x14ac:dyDescent="0.25">
      <c r="A579" s="64"/>
      <c r="B579" s="64"/>
      <c r="C579" s="64"/>
      <c r="D579" s="64"/>
      <c r="E579" s="64"/>
      <c r="F579" s="64"/>
      <c r="G579" s="64"/>
      <c r="H579" s="64"/>
      <c r="I579" s="64"/>
      <c r="J579" s="64"/>
      <c r="K579" s="64"/>
      <c r="L579" s="64"/>
      <c r="M579" s="64"/>
      <c r="N579" s="64"/>
      <c r="O579" s="64"/>
      <c r="P579" s="64"/>
      <c r="Q579" s="64"/>
      <c r="R579" s="64"/>
      <c r="S579" s="64"/>
      <c r="T579" s="64"/>
      <c r="U579" s="64"/>
      <c r="V579" s="64"/>
      <c r="W579" s="64"/>
      <c r="X579" s="64"/>
      <c r="Y579" s="64"/>
      <c r="Z579" s="64"/>
    </row>
    <row r="580" spans="1:26" ht="12.75" customHeight="1" x14ac:dyDescent="0.25">
      <c r="A580" s="64"/>
      <c r="B580" s="64"/>
      <c r="C580" s="64"/>
      <c r="D580" s="64"/>
      <c r="E580" s="64"/>
      <c r="F580" s="64"/>
      <c r="G580" s="64"/>
      <c r="H580" s="64"/>
      <c r="I580" s="64"/>
      <c r="J580" s="64"/>
      <c r="K580" s="64"/>
      <c r="L580" s="64"/>
      <c r="M580" s="64"/>
      <c r="N580" s="64"/>
      <c r="O580" s="64"/>
      <c r="P580" s="64"/>
      <c r="Q580" s="64"/>
      <c r="R580" s="64"/>
      <c r="S580" s="64"/>
      <c r="T580" s="64"/>
      <c r="U580" s="64"/>
      <c r="V580" s="64"/>
      <c r="W580" s="64"/>
      <c r="X580" s="64"/>
      <c r="Y580" s="64"/>
      <c r="Z580" s="64"/>
    </row>
    <row r="581" spans="1:26" ht="12.75" customHeight="1" x14ac:dyDescent="0.25">
      <c r="A581" s="64"/>
      <c r="B581" s="64"/>
      <c r="C581" s="64"/>
      <c r="D581" s="64"/>
      <c r="E581" s="64"/>
      <c r="F581" s="64"/>
      <c r="G581" s="64"/>
      <c r="H581" s="64"/>
      <c r="I581" s="64"/>
      <c r="J581" s="64"/>
      <c r="K581" s="64"/>
      <c r="L581" s="64"/>
      <c r="M581" s="64"/>
      <c r="N581" s="64"/>
      <c r="O581" s="64"/>
      <c r="P581" s="64"/>
      <c r="Q581" s="64"/>
      <c r="R581" s="64"/>
      <c r="S581" s="64"/>
      <c r="T581" s="64"/>
      <c r="U581" s="64"/>
      <c r="V581" s="64"/>
      <c r="W581" s="64"/>
      <c r="X581" s="64"/>
      <c r="Y581" s="64"/>
      <c r="Z581" s="64"/>
    </row>
    <row r="582" spans="1:26" ht="12.75" customHeight="1" x14ac:dyDescent="0.25">
      <c r="A582" s="64"/>
      <c r="B582" s="64"/>
      <c r="C582" s="64"/>
      <c r="D582" s="64"/>
      <c r="E582" s="64"/>
      <c r="F582" s="64"/>
      <c r="G582" s="64"/>
      <c r="H582" s="64"/>
      <c r="I582" s="64"/>
      <c r="J582" s="64"/>
      <c r="K582" s="64"/>
      <c r="L582" s="64"/>
      <c r="M582" s="64"/>
      <c r="N582" s="64"/>
      <c r="O582" s="64"/>
      <c r="P582" s="64"/>
      <c r="Q582" s="64"/>
      <c r="R582" s="64"/>
      <c r="S582" s="64"/>
      <c r="T582" s="64"/>
      <c r="U582" s="64"/>
      <c r="V582" s="64"/>
      <c r="W582" s="64"/>
      <c r="X582" s="64"/>
      <c r="Y582" s="64"/>
      <c r="Z582" s="64"/>
    </row>
    <row r="583" spans="1:26" ht="12.75" customHeight="1" x14ac:dyDescent="0.25">
      <c r="A583" s="64"/>
      <c r="B583" s="64"/>
      <c r="C583" s="64"/>
      <c r="D583" s="64"/>
      <c r="E583" s="64"/>
      <c r="F583" s="64"/>
      <c r="G583" s="64"/>
      <c r="H583" s="64"/>
      <c r="I583" s="64"/>
      <c r="J583" s="64"/>
      <c r="K583" s="64"/>
      <c r="L583" s="64"/>
      <c r="M583" s="64"/>
      <c r="N583" s="64"/>
      <c r="O583" s="64"/>
      <c r="P583" s="64"/>
      <c r="Q583" s="64"/>
      <c r="R583" s="64"/>
      <c r="S583" s="64"/>
      <c r="T583" s="64"/>
      <c r="U583" s="64"/>
      <c r="V583" s="64"/>
      <c r="W583" s="64"/>
      <c r="X583" s="64"/>
      <c r="Y583" s="64"/>
      <c r="Z583" s="64"/>
    </row>
    <row r="584" spans="1:26" ht="12.75" customHeight="1" x14ac:dyDescent="0.25">
      <c r="A584" s="64"/>
      <c r="B584" s="64"/>
      <c r="C584" s="64"/>
      <c r="D584" s="64"/>
      <c r="E584" s="64"/>
      <c r="F584" s="64"/>
      <c r="G584" s="64"/>
      <c r="H584" s="64"/>
      <c r="I584" s="64"/>
      <c r="J584" s="64"/>
      <c r="K584" s="64"/>
      <c r="L584" s="64"/>
      <c r="M584" s="64"/>
      <c r="N584" s="64"/>
      <c r="O584" s="64"/>
      <c r="P584" s="64"/>
      <c r="Q584" s="64"/>
      <c r="R584" s="64"/>
      <c r="S584" s="64"/>
      <c r="T584" s="64"/>
      <c r="U584" s="64"/>
      <c r="V584" s="64"/>
      <c r="W584" s="64"/>
      <c r="X584" s="64"/>
      <c r="Y584" s="64"/>
      <c r="Z584" s="64"/>
    </row>
    <row r="585" spans="1:26" ht="12.75" customHeight="1" x14ac:dyDescent="0.25">
      <c r="A585" s="64"/>
      <c r="B585" s="64"/>
      <c r="C585" s="64"/>
      <c r="D585" s="64"/>
      <c r="E585" s="64"/>
      <c r="F585" s="64"/>
      <c r="G585" s="64"/>
      <c r="H585" s="64"/>
      <c r="I585" s="64"/>
      <c r="J585" s="64"/>
      <c r="K585" s="64"/>
      <c r="L585" s="64"/>
      <c r="M585" s="64"/>
      <c r="N585" s="64"/>
      <c r="O585" s="64"/>
      <c r="P585" s="64"/>
      <c r="Q585" s="64"/>
      <c r="R585" s="64"/>
      <c r="S585" s="64"/>
      <c r="T585" s="64"/>
      <c r="U585" s="64"/>
      <c r="V585" s="64"/>
      <c r="W585" s="64"/>
      <c r="X585" s="64"/>
      <c r="Y585" s="64"/>
      <c r="Z585" s="64"/>
    </row>
    <row r="586" spans="1:26" ht="12.75" customHeight="1" x14ac:dyDescent="0.25">
      <c r="A586" s="64"/>
      <c r="B586" s="64"/>
      <c r="C586" s="64"/>
      <c r="D586" s="64"/>
      <c r="E586" s="64"/>
      <c r="F586" s="64"/>
      <c r="G586" s="64"/>
      <c r="H586" s="64"/>
      <c r="I586" s="64"/>
      <c r="J586" s="64"/>
      <c r="K586" s="64"/>
      <c r="L586" s="64"/>
      <c r="M586" s="64"/>
      <c r="N586" s="64"/>
      <c r="O586" s="64"/>
      <c r="P586" s="64"/>
      <c r="Q586" s="64"/>
      <c r="R586" s="64"/>
      <c r="S586" s="64"/>
      <c r="T586" s="64"/>
      <c r="U586" s="64"/>
      <c r="V586" s="64"/>
      <c r="W586" s="64"/>
      <c r="X586" s="64"/>
      <c r="Y586" s="64"/>
      <c r="Z586" s="64"/>
    </row>
    <row r="587" spans="1:26" ht="12.75" customHeight="1" x14ac:dyDescent="0.25">
      <c r="A587" s="64"/>
      <c r="B587" s="64"/>
      <c r="C587" s="64"/>
      <c r="D587" s="64"/>
      <c r="E587" s="64"/>
      <c r="F587" s="64"/>
      <c r="G587" s="64"/>
      <c r="H587" s="64"/>
      <c r="I587" s="64"/>
      <c r="J587" s="64"/>
      <c r="K587" s="64"/>
      <c r="L587" s="64"/>
      <c r="M587" s="64"/>
      <c r="N587" s="64"/>
      <c r="O587" s="64"/>
      <c r="P587" s="64"/>
      <c r="Q587" s="64"/>
      <c r="R587" s="64"/>
      <c r="S587" s="64"/>
      <c r="T587" s="64"/>
      <c r="U587" s="64"/>
      <c r="V587" s="64"/>
      <c r="W587" s="64"/>
      <c r="X587" s="64"/>
      <c r="Y587" s="64"/>
      <c r="Z587" s="64"/>
    </row>
    <row r="588" spans="1:26" ht="12.75" customHeight="1" x14ac:dyDescent="0.25">
      <c r="A588" s="64"/>
      <c r="B588" s="64"/>
      <c r="C588" s="64"/>
      <c r="D588" s="64"/>
      <c r="E588" s="64"/>
      <c r="F588" s="64"/>
      <c r="G588" s="64"/>
      <c r="H588" s="64"/>
      <c r="I588" s="64"/>
      <c r="J588" s="64"/>
      <c r="K588" s="64"/>
      <c r="L588" s="64"/>
      <c r="M588" s="64"/>
      <c r="N588" s="64"/>
      <c r="O588" s="64"/>
      <c r="P588" s="64"/>
      <c r="Q588" s="64"/>
      <c r="R588" s="64"/>
      <c r="S588" s="64"/>
      <c r="T588" s="64"/>
      <c r="U588" s="64"/>
      <c r="V588" s="64"/>
      <c r="W588" s="64"/>
      <c r="X588" s="64"/>
      <c r="Y588" s="64"/>
      <c r="Z588" s="64"/>
    </row>
    <row r="589" spans="1:26" ht="12.75" customHeight="1" x14ac:dyDescent="0.25">
      <c r="A589" s="64"/>
      <c r="B589" s="64"/>
      <c r="C589" s="64"/>
      <c r="D589" s="64"/>
      <c r="E589" s="64"/>
      <c r="F589" s="64"/>
      <c r="G589" s="64"/>
      <c r="H589" s="64"/>
      <c r="I589" s="64"/>
      <c r="J589" s="64"/>
      <c r="K589" s="64"/>
      <c r="L589" s="64"/>
      <c r="M589" s="64"/>
      <c r="N589" s="64"/>
      <c r="O589" s="64"/>
      <c r="P589" s="64"/>
      <c r="Q589" s="64"/>
      <c r="R589" s="64"/>
      <c r="S589" s="64"/>
      <c r="T589" s="64"/>
      <c r="U589" s="64"/>
      <c r="V589" s="64"/>
      <c r="W589" s="64"/>
      <c r="X589" s="64"/>
      <c r="Y589" s="64"/>
      <c r="Z589" s="64"/>
    </row>
    <row r="590" spans="1:26" ht="12.75" customHeight="1" x14ac:dyDescent="0.25">
      <c r="A590" s="64"/>
      <c r="B590" s="64"/>
      <c r="C590" s="64"/>
      <c r="D590" s="64"/>
      <c r="E590" s="64"/>
      <c r="F590" s="64"/>
      <c r="G590" s="64"/>
      <c r="H590" s="64"/>
      <c r="I590" s="64"/>
      <c r="J590" s="64"/>
      <c r="K590" s="64"/>
      <c r="L590" s="64"/>
      <c r="M590" s="64"/>
      <c r="N590" s="64"/>
      <c r="O590" s="64"/>
      <c r="P590" s="64"/>
      <c r="Q590" s="64"/>
      <c r="R590" s="64"/>
      <c r="S590" s="64"/>
      <c r="T590" s="64"/>
      <c r="U590" s="64"/>
      <c r="V590" s="64"/>
      <c r="W590" s="64"/>
      <c r="X590" s="64"/>
      <c r="Y590" s="64"/>
      <c r="Z590" s="64"/>
    </row>
    <row r="591" spans="1:26" ht="12.75" customHeight="1" x14ac:dyDescent="0.25">
      <c r="A591" s="64"/>
      <c r="B591" s="64"/>
      <c r="C591" s="64"/>
      <c r="D591" s="64"/>
      <c r="E591" s="64"/>
      <c r="F591" s="64"/>
      <c r="G591" s="64"/>
      <c r="H591" s="64"/>
      <c r="I591" s="64"/>
      <c r="J591" s="64"/>
      <c r="K591" s="64"/>
      <c r="L591" s="64"/>
      <c r="M591" s="64"/>
      <c r="N591" s="64"/>
      <c r="O591" s="64"/>
      <c r="P591" s="64"/>
      <c r="Q591" s="64"/>
      <c r="R591" s="64"/>
      <c r="S591" s="64"/>
      <c r="T591" s="64"/>
      <c r="U591" s="64"/>
      <c r="V591" s="64"/>
      <c r="W591" s="64"/>
      <c r="X591" s="64"/>
      <c r="Y591" s="64"/>
      <c r="Z591" s="64"/>
    </row>
    <row r="592" spans="1:26" ht="12.75" customHeight="1" x14ac:dyDescent="0.25">
      <c r="A592" s="64"/>
      <c r="B592" s="64"/>
      <c r="C592" s="64"/>
      <c r="D592" s="64"/>
      <c r="E592" s="64"/>
      <c r="F592" s="64"/>
      <c r="G592" s="64"/>
      <c r="H592" s="64"/>
      <c r="I592" s="64"/>
      <c r="J592" s="64"/>
      <c r="K592" s="64"/>
      <c r="L592" s="64"/>
      <c r="M592" s="64"/>
      <c r="N592" s="64"/>
      <c r="O592" s="64"/>
      <c r="P592" s="64"/>
      <c r="Q592" s="64"/>
      <c r="R592" s="64"/>
      <c r="S592" s="64"/>
      <c r="T592" s="64"/>
      <c r="U592" s="64"/>
      <c r="V592" s="64"/>
      <c r="W592" s="64"/>
      <c r="X592" s="64"/>
      <c r="Y592" s="64"/>
      <c r="Z592" s="64"/>
    </row>
    <row r="593" spans="1:26" ht="12.75" customHeight="1" x14ac:dyDescent="0.25">
      <c r="A593" s="64"/>
      <c r="B593" s="64"/>
      <c r="C593" s="64"/>
      <c r="D593" s="64"/>
      <c r="E593" s="64"/>
      <c r="F593" s="64"/>
      <c r="G593" s="64"/>
      <c r="H593" s="64"/>
      <c r="I593" s="64"/>
      <c r="J593" s="64"/>
      <c r="K593" s="64"/>
      <c r="L593" s="64"/>
      <c r="M593" s="64"/>
      <c r="N593" s="64"/>
      <c r="O593" s="64"/>
      <c r="P593" s="64"/>
      <c r="Q593" s="64"/>
      <c r="R593" s="64"/>
      <c r="S593" s="64"/>
      <c r="T593" s="64"/>
      <c r="U593" s="64"/>
      <c r="V593" s="64"/>
      <c r="W593" s="64"/>
      <c r="X593" s="64"/>
      <c r="Y593" s="64"/>
      <c r="Z593" s="64"/>
    </row>
    <row r="594" spans="1:26" ht="12.75" customHeight="1" x14ac:dyDescent="0.25">
      <c r="A594" s="64"/>
      <c r="B594" s="64"/>
      <c r="C594" s="64"/>
      <c r="D594" s="64"/>
      <c r="E594" s="64"/>
      <c r="F594" s="64"/>
      <c r="G594" s="64"/>
      <c r="H594" s="64"/>
      <c r="I594" s="64"/>
      <c r="J594" s="64"/>
      <c r="K594" s="64"/>
      <c r="L594" s="64"/>
      <c r="M594" s="64"/>
      <c r="N594" s="64"/>
      <c r="O594" s="64"/>
      <c r="P594" s="64"/>
      <c r="Q594" s="64"/>
      <c r="R594" s="64"/>
      <c r="S594" s="64"/>
      <c r="T594" s="64"/>
      <c r="U594" s="64"/>
      <c r="V594" s="64"/>
      <c r="W594" s="64"/>
      <c r="X594" s="64"/>
      <c r="Y594" s="64"/>
      <c r="Z594" s="64"/>
    </row>
    <row r="595" spans="1:26" ht="12.75" customHeight="1" x14ac:dyDescent="0.25">
      <c r="A595" s="64"/>
      <c r="B595" s="64"/>
      <c r="C595" s="64"/>
      <c r="D595" s="64"/>
      <c r="E595" s="64"/>
      <c r="F595" s="64"/>
      <c r="G595" s="64"/>
      <c r="H595" s="64"/>
      <c r="I595" s="64"/>
      <c r="J595" s="64"/>
      <c r="K595" s="64"/>
      <c r="L595" s="64"/>
      <c r="M595" s="64"/>
      <c r="N595" s="64"/>
      <c r="O595" s="64"/>
      <c r="P595" s="64"/>
      <c r="Q595" s="64"/>
      <c r="R595" s="64"/>
      <c r="S595" s="64"/>
      <c r="T595" s="64"/>
      <c r="U595" s="64"/>
      <c r="V595" s="64"/>
      <c r="W595" s="64"/>
      <c r="X595" s="64"/>
      <c r="Y595" s="64"/>
      <c r="Z595" s="64"/>
    </row>
    <row r="596" spans="1:26" ht="12.75" customHeight="1" x14ac:dyDescent="0.25">
      <c r="A596" s="64"/>
      <c r="B596" s="64"/>
      <c r="C596" s="64"/>
      <c r="D596" s="64"/>
      <c r="E596" s="64"/>
      <c r="F596" s="64"/>
      <c r="G596" s="64"/>
      <c r="H596" s="64"/>
      <c r="I596" s="64"/>
      <c r="J596" s="64"/>
      <c r="K596" s="64"/>
      <c r="L596" s="64"/>
      <c r="M596" s="64"/>
      <c r="N596" s="64"/>
      <c r="O596" s="64"/>
      <c r="P596" s="64"/>
      <c r="Q596" s="64"/>
      <c r="R596" s="64"/>
      <c r="S596" s="64"/>
      <c r="T596" s="64"/>
      <c r="U596" s="64"/>
      <c r="V596" s="64"/>
      <c r="W596" s="64"/>
      <c r="X596" s="64"/>
      <c r="Y596" s="64"/>
      <c r="Z596" s="64"/>
    </row>
    <row r="597" spans="1:26" ht="12.75" customHeight="1" x14ac:dyDescent="0.25">
      <c r="A597" s="64"/>
      <c r="B597" s="64"/>
      <c r="C597" s="64"/>
      <c r="D597" s="64"/>
      <c r="E597" s="64"/>
      <c r="F597" s="64"/>
      <c r="G597" s="64"/>
      <c r="H597" s="64"/>
      <c r="I597" s="64"/>
      <c r="J597" s="64"/>
      <c r="K597" s="64"/>
      <c r="L597" s="64"/>
      <c r="M597" s="64"/>
      <c r="N597" s="64"/>
      <c r="O597" s="64"/>
      <c r="P597" s="64"/>
      <c r="Q597" s="64"/>
      <c r="R597" s="64"/>
      <c r="S597" s="64"/>
      <c r="T597" s="64"/>
      <c r="U597" s="64"/>
      <c r="V597" s="64"/>
      <c r="W597" s="64"/>
      <c r="X597" s="64"/>
      <c r="Y597" s="64"/>
      <c r="Z597" s="64"/>
    </row>
    <row r="598" spans="1:26" ht="12.75" customHeight="1" x14ac:dyDescent="0.25">
      <c r="A598" s="64"/>
      <c r="B598" s="64"/>
      <c r="C598" s="64"/>
      <c r="D598" s="64"/>
      <c r="E598" s="64"/>
      <c r="F598" s="64"/>
      <c r="G598" s="64"/>
      <c r="H598" s="64"/>
      <c r="I598" s="64"/>
      <c r="J598" s="64"/>
      <c r="K598" s="64"/>
      <c r="L598" s="64"/>
      <c r="M598" s="64"/>
      <c r="N598" s="64"/>
      <c r="O598" s="64"/>
      <c r="P598" s="64"/>
      <c r="Q598" s="64"/>
      <c r="R598" s="64"/>
      <c r="S598" s="64"/>
      <c r="T598" s="64"/>
      <c r="U598" s="64"/>
      <c r="V598" s="64"/>
      <c r="W598" s="64"/>
      <c r="X598" s="64"/>
      <c r="Y598" s="64"/>
      <c r="Z598" s="64"/>
    </row>
    <row r="599" spans="1:26" ht="12.75" customHeight="1" x14ac:dyDescent="0.25">
      <c r="A599" s="64"/>
      <c r="B599" s="64"/>
      <c r="C599" s="64"/>
      <c r="D599" s="64"/>
      <c r="E599" s="64"/>
      <c r="F599" s="64"/>
      <c r="G599" s="64"/>
      <c r="H599" s="64"/>
      <c r="I599" s="64"/>
      <c r="J599" s="64"/>
      <c r="K599" s="64"/>
      <c r="L599" s="64"/>
      <c r="M599" s="64"/>
      <c r="N599" s="64"/>
      <c r="O599" s="64"/>
      <c r="P599" s="64"/>
      <c r="Q599" s="64"/>
      <c r="R599" s="64"/>
      <c r="S599" s="64"/>
      <c r="T599" s="64"/>
      <c r="U599" s="64"/>
      <c r="V599" s="64"/>
      <c r="W599" s="64"/>
      <c r="X599" s="64"/>
      <c r="Y599" s="64"/>
      <c r="Z599" s="64"/>
    </row>
    <row r="600" spans="1:26" ht="12.75" customHeight="1" x14ac:dyDescent="0.25">
      <c r="A600" s="64"/>
      <c r="B600" s="64"/>
      <c r="C600" s="64"/>
      <c r="D600" s="64"/>
      <c r="E600" s="64"/>
      <c r="F600" s="64"/>
      <c r="G600" s="64"/>
      <c r="H600" s="64"/>
      <c r="I600" s="64"/>
      <c r="J600" s="64"/>
      <c r="K600" s="64"/>
      <c r="L600" s="64"/>
      <c r="M600" s="64"/>
      <c r="N600" s="64"/>
      <c r="O600" s="64"/>
      <c r="P600" s="64"/>
      <c r="Q600" s="64"/>
      <c r="R600" s="64"/>
      <c r="S600" s="64"/>
      <c r="T600" s="64"/>
      <c r="U600" s="64"/>
      <c r="V600" s="64"/>
      <c r="W600" s="64"/>
      <c r="X600" s="64"/>
      <c r="Y600" s="64"/>
      <c r="Z600" s="64"/>
    </row>
    <row r="601" spans="1:26" ht="12.75" customHeight="1" x14ac:dyDescent="0.25">
      <c r="A601" s="64"/>
      <c r="B601" s="64"/>
      <c r="C601" s="64"/>
      <c r="D601" s="64"/>
      <c r="E601" s="64"/>
      <c r="F601" s="64"/>
      <c r="G601" s="64"/>
      <c r="H601" s="64"/>
      <c r="I601" s="64"/>
      <c r="J601" s="64"/>
      <c r="K601" s="64"/>
      <c r="L601" s="64"/>
      <c r="M601" s="64"/>
      <c r="N601" s="64"/>
      <c r="O601" s="64"/>
      <c r="P601" s="64"/>
      <c r="Q601" s="64"/>
      <c r="R601" s="64"/>
      <c r="S601" s="64"/>
      <c r="T601" s="64"/>
      <c r="U601" s="64"/>
      <c r="V601" s="64"/>
      <c r="W601" s="64"/>
      <c r="X601" s="64"/>
      <c r="Y601" s="64"/>
      <c r="Z601" s="64"/>
    </row>
    <row r="602" spans="1:26" ht="12.75" customHeight="1" x14ac:dyDescent="0.25">
      <c r="A602" s="64"/>
      <c r="B602" s="64"/>
      <c r="C602" s="64"/>
      <c r="D602" s="64"/>
      <c r="E602" s="64"/>
      <c r="F602" s="64"/>
      <c r="G602" s="64"/>
      <c r="H602" s="64"/>
      <c r="I602" s="64"/>
      <c r="J602" s="64"/>
      <c r="K602" s="64"/>
      <c r="L602" s="64"/>
      <c r="M602" s="64"/>
      <c r="N602" s="64"/>
      <c r="O602" s="64"/>
      <c r="P602" s="64"/>
      <c r="Q602" s="64"/>
      <c r="R602" s="64"/>
      <c r="S602" s="64"/>
      <c r="T602" s="64"/>
      <c r="U602" s="64"/>
      <c r="V602" s="64"/>
      <c r="W602" s="64"/>
      <c r="X602" s="64"/>
      <c r="Y602" s="64"/>
      <c r="Z602" s="64"/>
    </row>
    <row r="603" spans="1:26" ht="12.75" customHeight="1" x14ac:dyDescent="0.25">
      <c r="A603" s="64"/>
      <c r="B603" s="64"/>
      <c r="C603" s="64"/>
      <c r="D603" s="64"/>
      <c r="E603" s="64"/>
      <c r="F603" s="64"/>
      <c r="G603" s="64"/>
      <c r="H603" s="64"/>
      <c r="I603" s="64"/>
      <c r="J603" s="64"/>
      <c r="K603" s="64"/>
      <c r="L603" s="64"/>
      <c r="M603" s="64"/>
      <c r="N603" s="64"/>
      <c r="O603" s="64"/>
      <c r="P603" s="64"/>
      <c r="Q603" s="64"/>
      <c r="R603" s="64"/>
      <c r="S603" s="64"/>
      <c r="T603" s="64"/>
      <c r="U603" s="64"/>
      <c r="V603" s="64"/>
      <c r="W603" s="64"/>
      <c r="X603" s="64"/>
      <c r="Y603" s="64"/>
      <c r="Z603" s="64"/>
    </row>
    <row r="604" spans="1:26" ht="12.75" customHeight="1" x14ac:dyDescent="0.25">
      <c r="A604" s="64"/>
      <c r="B604" s="64"/>
      <c r="C604" s="64"/>
      <c r="D604" s="64"/>
      <c r="E604" s="64"/>
      <c r="F604" s="64"/>
      <c r="G604" s="64"/>
      <c r="H604" s="64"/>
      <c r="I604" s="64"/>
      <c r="J604" s="64"/>
      <c r="K604" s="64"/>
      <c r="L604" s="64"/>
      <c r="M604" s="64"/>
      <c r="N604" s="64"/>
      <c r="O604" s="64"/>
      <c r="P604" s="64"/>
      <c r="Q604" s="64"/>
      <c r="R604" s="64"/>
      <c r="S604" s="64"/>
      <c r="T604" s="64"/>
      <c r="U604" s="64"/>
      <c r="V604" s="64"/>
      <c r="W604" s="64"/>
      <c r="X604" s="64"/>
      <c r="Y604" s="64"/>
      <c r="Z604" s="64"/>
    </row>
    <row r="605" spans="1:26" ht="12.75" customHeight="1" x14ac:dyDescent="0.25">
      <c r="A605" s="64"/>
      <c r="B605" s="64"/>
      <c r="C605" s="64"/>
      <c r="D605" s="64"/>
      <c r="E605" s="64"/>
      <c r="F605" s="64"/>
      <c r="G605" s="64"/>
      <c r="H605" s="64"/>
      <c r="I605" s="64"/>
      <c r="J605" s="64"/>
      <c r="K605" s="64"/>
      <c r="L605" s="64"/>
      <c r="M605" s="64"/>
      <c r="N605" s="64"/>
      <c r="O605" s="64"/>
      <c r="P605" s="64"/>
      <c r="Q605" s="64"/>
      <c r="R605" s="64"/>
      <c r="S605" s="64"/>
      <c r="T605" s="64"/>
      <c r="U605" s="64"/>
      <c r="V605" s="64"/>
      <c r="W605" s="64"/>
      <c r="X605" s="64"/>
      <c r="Y605" s="64"/>
      <c r="Z605" s="64"/>
    </row>
    <row r="606" spans="1:26" ht="12.75" customHeight="1" x14ac:dyDescent="0.25">
      <c r="A606" s="64"/>
      <c r="B606" s="64"/>
      <c r="C606" s="64"/>
      <c r="D606" s="64"/>
      <c r="E606" s="64"/>
      <c r="F606" s="64"/>
      <c r="G606" s="64"/>
      <c r="H606" s="64"/>
      <c r="I606" s="64"/>
      <c r="J606" s="64"/>
      <c r="K606" s="64"/>
      <c r="L606" s="64"/>
      <c r="M606" s="64"/>
      <c r="N606" s="64"/>
      <c r="O606" s="64"/>
      <c r="P606" s="64"/>
      <c r="Q606" s="64"/>
      <c r="R606" s="64"/>
      <c r="S606" s="64"/>
      <c r="T606" s="64"/>
      <c r="U606" s="64"/>
      <c r="V606" s="64"/>
      <c r="W606" s="64"/>
      <c r="X606" s="64"/>
      <c r="Y606" s="64"/>
      <c r="Z606" s="64"/>
    </row>
    <row r="607" spans="1:26" ht="12.75" customHeight="1" x14ac:dyDescent="0.25">
      <c r="A607" s="64"/>
      <c r="B607" s="64"/>
      <c r="C607" s="64"/>
      <c r="D607" s="64"/>
      <c r="E607" s="64"/>
      <c r="F607" s="64"/>
      <c r="G607" s="64"/>
      <c r="H607" s="64"/>
      <c r="I607" s="64"/>
      <c r="J607" s="64"/>
      <c r="K607" s="64"/>
      <c r="L607" s="64"/>
      <c r="M607" s="64"/>
      <c r="N607" s="64"/>
      <c r="O607" s="64"/>
      <c r="P607" s="64"/>
      <c r="Q607" s="64"/>
      <c r="R607" s="64"/>
      <c r="S607" s="64"/>
      <c r="T607" s="64"/>
      <c r="U607" s="64"/>
      <c r="V607" s="64"/>
      <c r="W607" s="64"/>
      <c r="X607" s="64"/>
      <c r="Y607" s="64"/>
      <c r="Z607" s="64"/>
    </row>
    <row r="608" spans="1:26" ht="12.75" customHeight="1" x14ac:dyDescent="0.25">
      <c r="A608" s="64"/>
      <c r="B608" s="64"/>
      <c r="C608" s="64"/>
      <c r="D608" s="64"/>
      <c r="E608" s="64"/>
      <c r="F608" s="64"/>
      <c r="G608" s="64"/>
      <c r="H608" s="64"/>
      <c r="I608" s="64"/>
      <c r="J608" s="64"/>
      <c r="K608" s="64"/>
      <c r="L608" s="64"/>
      <c r="M608" s="64"/>
      <c r="N608" s="64"/>
      <c r="O608" s="64"/>
      <c r="P608" s="64"/>
      <c r="Q608" s="64"/>
      <c r="R608" s="64"/>
      <c r="S608" s="64"/>
      <c r="T608" s="64"/>
      <c r="U608" s="64"/>
      <c r="V608" s="64"/>
      <c r="W608" s="64"/>
      <c r="X608" s="64"/>
      <c r="Y608" s="64"/>
      <c r="Z608" s="64"/>
    </row>
    <row r="609" spans="1:26" ht="12.75" customHeight="1" x14ac:dyDescent="0.25">
      <c r="A609" s="64"/>
      <c r="B609" s="64"/>
      <c r="C609" s="64"/>
      <c r="D609" s="64"/>
      <c r="E609" s="64"/>
      <c r="F609" s="64"/>
      <c r="G609" s="64"/>
      <c r="H609" s="64"/>
      <c r="I609" s="64"/>
      <c r="J609" s="64"/>
      <c r="K609" s="64"/>
      <c r="L609" s="64"/>
      <c r="M609" s="64"/>
      <c r="N609" s="64"/>
      <c r="O609" s="64"/>
      <c r="P609" s="64"/>
      <c r="Q609" s="64"/>
      <c r="R609" s="64"/>
      <c r="S609" s="64"/>
      <c r="T609" s="64"/>
      <c r="U609" s="64"/>
      <c r="V609" s="64"/>
      <c r="W609" s="64"/>
      <c r="X609" s="64"/>
      <c r="Y609" s="64"/>
      <c r="Z609" s="64"/>
    </row>
    <row r="610" spans="1:26" ht="12.75" customHeight="1" x14ac:dyDescent="0.25">
      <c r="A610" s="64"/>
      <c r="B610" s="64"/>
      <c r="C610" s="64"/>
      <c r="D610" s="64"/>
      <c r="E610" s="64"/>
      <c r="F610" s="64"/>
      <c r="G610" s="64"/>
      <c r="H610" s="64"/>
      <c r="I610" s="64"/>
      <c r="J610" s="64"/>
      <c r="K610" s="64"/>
      <c r="L610" s="64"/>
      <c r="M610" s="64"/>
      <c r="N610" s="64"/>
      <c r="O610" s="64"/>
      <c r="P610" s="64"/>
      <c r="Q610" s="64"/>
      <c r="R610" s="64"/>
      <c r="S610" s="64"/>
      <c r="T610" s="64"/>
      <c r="U610" s="64"/>
      <c r="V610" s="64"/>
      <c r="W610" s="64"/>
      <c r="X610" s="64"/>
      <c r="Y610" s="64"/>
      <c r="Z610" s="64"/>
    </row>
    <row r="611" spans="1:26" ht="12.75" customHeight="1" x14ac:dyDescent="0.25">
      <c r="A611" s="64"/>
      <c r="B611" s="64"/>
      <c r="C611" s="64"/>
      <c r="D611" s="64"/>
      <c r="E611" s="64"/>
      <c r="F611" s="64"/>
      <c r="G611" s="64"/>
      <c r="H611" s="64"/>
      <c r="I611" s="64"/>
      <c r="J611" s="64"/>
      <c r="K611" s="64"/>
      <c r="L611" s="64"/>
      <c r="M611" s="64"/>
      <c r="N611" s="64"/>
      <c r="O611" s="64"/>
      <c r="P611" s="64"/>
      <c r="Q611" s="64"/>
      <c r="R611" s="64"/>
      <c r="S611" s="64"/>
      <c r="T611" s="64"/>
      <c r="U611" s="64"/>
      <c r="V611" s="64"/>
      <c r="W611" s="64"/>
      <c r="X611" s="64"/>
      <c r="Y611" s="64"/>
      <c r="Z611" s="64"/>
    </row>
    <row r="612" spans="1:26" ht="12.75" customHeight="1" x14ac:dyDescent="0.25">
      <c r="A612" s="64"/>
      <c r="B612" s="64"/>
      <c r="C612" s="64"/>
      <c r="D612" s="64"/>
      <c r="E612" s="64"/>
      <c r="F612" s="64"/>
      <c r="G612" s="64"/>
      <c r="H612" s="64"/>
      <c r="I612" s="64"/>
      <c r="J612" s="64"/>
      <c r="K612" s="64"/>
      <c r="L612" s="64"/>
      <c r="M612" s="64"/>
      <c r="N612" s="64"/>
      <c r="O612" s="64"/>
      <c r="P612" s="64"/>
      <c r="Q612" s="64"/>
      <c r="R612" s="64"/>
      <c r="S612" s="64"/>
      <c r="T612" s="64"/>
      <c r="U612" s="64"/>
      <c r="V612" s="64"/>
      <c r="W612" s="64"/>
      <c r="X612" s="64"/>
      <c r="Y612" s="64"/>
      <c r="Z612" s="64"/>
    </row>
    <row r="613" spans="1:26" ht="12.75" customHeight="1" x14ac:dyDescent="0.25">
      <c r="A613" s="64"/>
      <c r="B613" s="64"/>
      <c r="C613" s="64"/>
      <c r="D613" s="64"/>
      <c r="E613" s="64"/>
      <c r="F613" s="64"/>
      <c r="G613" s="64"/>
      <c r="H613" s="64"/>
      <c r="I613" s="64"/>
      <c r="J613" s="64"/>
      <c r="K613" s="64"/>
      <c r="L613" s="64"/>
      <c r="M613" s="64"/>
      <c r="N613" s="64"/>
      <c r="O613" s="64"/>
      <c r="P613" s="64"/>
      <c r="Q613" s="64"/>
      <c r="R613" s="64"/>
      <c r="S613" s="64"/>
      <c r="T613" s="64"/>
      <c r="U613" s="64"/>
      <c r="V613" s="64"/>
      <c r="W613" s="64"/>
      <c r="X613" s="64"/>
      <c r="Y613" s="64"/>
      <c r="Z613" s="64"/>
    </row>
    <row r="614" spans="1:26" ht="12.75" customHeight="1" x14ac:dyDescent="0.25">
      <c r="A614" s="64"/>
      <c r="B614" s="64"/>
      <c r="C614" s="64"/>
      <c r="D614" s="64"/>
      <c r="E614" s="64"/>
      <c r="F614" s="64"/>
      <c r="G614" s="64"/>
      <c r="H614" s="64"/>
      <c r="I614" s="64"/>
      <c r="J614" s="64"/>
      <c r="K614" s="64"/>
      <c r="L614" s="64"/>
      <c r="M614" s="64"/>
      <c r="N614" s="64"/>
      <c r="O614" s="64"/>
      <c r="P614" s="64"/>
      <c r="Q614" s="64"/>
      <c r="R614" s="64"/>
      <c r="S614" s="64"/>
      <c r="T614" s="64"/>
      <c r="U614" s="64"/>
      <c r="V614" s="64"/>
      <c r="W614" s="64"/>
      <c r="X614" s="64"/>
      <c r="Y614" s="64"/>
      <c r="Z614" s="64"/>
    </row>
    <row r="615" spans="1:26" ht="12.75" customHeight="1" x14ac:dyDescent="0.25">
      <c r="A615" s="64"/>
      <c r="B615" s="64"/>
      <c r="C615" s="64"/>
      <c r="D615" s="64"/>
      <c r="E615" s="64"/>
      <c r="F615" s="64"/>
      <c r="G615" s="64"/>
      <c r="H615" s="64"/>
      <c r="I615" s="64"/>
      <c r="J615" s="64"/>
      <c r="K615" s="64"/>
      <c r="L615" s="64"/>
      <c r="M615" s="64"/>
      <c r="N615" s="64"/>
      <c r="O615" s="64"/>
      <c r="P615" s="64"/>
      <c r="Q615" s="64"/>
      <c r="R615" s="64"/>
      <c r="S615" s="64"/>
      <c r="T615" s="64"/>
      <c r="U615" s="64"/>
      <c r="V615" s="64"/>
      <c r="W615" s="64"/>
      <c r="X615" s="64"/>
      <c r="Y615" s="64"/>
      <c r="Z615" s="64"/>
    </row>
    <row r="616" spans="1:26" ht="12.75" customHeight="1" x14ac:dyDescent="0.25">
      <c r="A616" s="64"/>
      <c r="B616" s="64"/>
      <c r="C616" s="64"/>
      <c r="D616" s="64"/>
      <c r="E616" s="64"/>
      <c r="F616" s="64"/>
      <c r="G616" s="64"/>
      <c r="H616" s="64"/>
      <c r="I616" s="64"/>
      <c r="J616" s="64"/>
      <c r="K616" s="64"/>
      <c r="L616" s="64"/>
      <c r="M616" s="64"/>
      <c r="N616" s="64"/>
      <c r="O616" s="64"/>
      <c r="P616" s="64"/>
      <c r="Q616" s="64"/>
      <c r="R616" s="64"/>
      <c r="S616" s="64"/>
      <c r="T616" s="64"/>
      <c r="U616" s="64"/>
      <c r="V616" s="64"/>
      <c r="W616" s="64"/>
      <c r="X616" s="64"/>
      <c r="Y616" s="64"/>
      <c r="Z616" s="64"/>
    </row>
    <row r="617" spans="1:26" ht="12.75" customHeight="1" x14ac:dyDescent="0.25">
      <c r="A617" s="64"/>
      <c r="B617" s="64"/>
      <c r="C617" s="64"/>
      <c r="D617" s="64"/>
      <c r="E617" s="64"/>
      <c r="F617" s="64"/>
      <c r="G617" s="64"/>
      <c r="H617" s="64"/>
      <c r="I617" s="64"/>
      <c r="J617" s="64"/>
      <c r="K617" s="64"/>
      <c r="L617" s="64"/>
      <c r="M617" s="64"/>
      <c r="N617" s="64"/>
      <c r="O617" s="64"/>
      <c r="P617" s="64"/>
      <c r="Q617" s="64"/>
      <c r="R617" s="64"/>
      <c r="S617" s="64"/>
      <c r="T617" s="64"/>
      <c r="U617" s="64"/>
      <c r="V617" s="64"/>
      <c r="W617" s="64"/>
      <c r="X617" s="64"/>
      <c r="Y617" s="64"/>
      <c r="Z617" s="64"/>
    </row>
    <row r="618" spans="1:26" ht="12.75" customHeight="1" x14ac:dyDescent="0.25">
      <c r="A618" s="64"/>
      <c r="B618" s="64"/>
      <c r="C618" s="64"/>
      <c r="D618" s="64"/>
      <c r="E618" s="64"/>
      <c r="F618" s="64"/>
      <c r="G618" s="64"/>
      <c r="H618" s="64"/>
      <c r="I618" s="64"/>
      <c r="J618" s="64"/>
      <c r="K618" s="64"/>
      <c r="L618" s="64"/>
      <c r="M618" s="64"/>
      <c r="N618" s="64"/>
      <c r="O618" s="64"/>
      <c r="P618" s="64"/>
      <c r="Q618" s="64"/>
      <c r="R618" s="64"/>
      <c r="S618" s="64"/>
      <c r="T618" s="64"/>
      <c r="U618" s="64"/>
      <c r="V618" s="64"/>
      <c r="W618" s="64"/>
      <c r="X618" s="64"/>
      <c r="Y618" s="64"/>
      <c r="Z618" s="64"/>
    </row>
    <row r="619" spans="1:26" ht="12.75" customHeight="1" x14ac:dyDescent="0.25">
      <c r="A619" s="64"/>
      <c r="B619" s="64"/>
      <c r="C619" s="64"/>
      <c r="D619" s="64"/>
      <c r="E619" s="64"/>
      <c r="F619" s="64"/>
      <c r="G619" s="64"/>
      <c r="H619" s="64"/>
      <c r="I619" s="64"/>
      <c r="J619" s="64"/>
      <c r="K619" s="64"/>
      <c r="L619" s="64"/>
      <c r="M619" s="64"/>
      <c r="N619" s="64"/>
      <c r="O619" s="64"/>
      <c r="P619" s="64"/>
      <c r="Q619" s="64"/>
      <c r="R619" s="64"/>
      <c r="S619" s="64"/>
      <c r="T619" s="64"/>
      <c r="U619" s="64"/>
      <c r="V619" s="64"/>
      <c r="W619" s="64"/>
      <c r="X619" s="64"/>
      <c r="Y619" s="64"/>
      <c r="Z619" s="64"/>
    </row>
    <row r="620" spans="1:26" ht="12.75" customHeight="1" x14ac:dyDescent="0.25">
      <c r="A620" s="64"/>
      <c r="B620" s="64"/>
      <c r="C620" s="64"/>
      <c r="D620" s="64"/>
      <c r="E620" s="64"/>
      <c r="F620" s="64"/>
      <c r="G620" s="64"/>
      <c r="H620" s="64"/>
      <c r="I620" s="64"/>
      <c r="J620" s="64"/>
      <c r="K620" s="64"/>
      <c r="L620" s="64"/>
      <c r="M620" s="64"/>
      <c r="N620" s="64"/>
      <c r="O620" s="64"/>
      <c r="P620" s="64"/>
      <c r="Q620" s="64"/>
      <c r="R620" s="64"/>
      <c r="S620" s="64"/>
      <c r="T620" s="64"/>
      <c r="U620" s="64"/>
      <c r="V620" s="64"/>
      <c r="W620" s="64"/>
      <c r="X620" s="64"/>
      <c r="Y620" s="64"/>
      <c r="Z620" s="64"/>
    </row>
    <row r="621" spans="1:26" ht="12.75" customHeight="1" x14ac:dyDescent="0.25">
      <c r="A621" s="64"/>
      <c r="B621" s="64"/>
      <c r="C621" s="64"/>
      <c r="D621" s="64"/>
      <c r="E621" s="64"/>
      <c r="F621" s="64"/>
      <c r="G621" s="64"/>
      <c r="H621" s="64"/>
      <c r="I621" s="64"/>
      <c r="J621" s="64"/>
      <c r="K621" s="64"/>
      <c r="L621" s="64"/>
      <c r="M621" s="64"/>
      <c r="N621" s="64"/>
      <c r="O621" s="64"/>
      <c r="P621" s="64"/>
      <c r="Q621" s="64"/>
      <c r="R621" s="64"/>
      <c r="S621" s="64"/>
      <c r="T621" s="64"/>
      <c r="U621" s="64"/>
      <c r="V621" s="64"/>
      <c r="W621" s="64"/>
      <c r="X621" s="64"/>
      <c r="Y621" s="64"/>
      <c r="Z621" s="64"/>
    </row>
    <row r="622" spans="1:26" ht="12.75" customHeight="1" x14ac:dyDescent="0.25">
      <c r="A622" s="64"/>
      <c r="B622" s="64"/>
      <c r="C622" s="64"/>
      <c r="D622" s="64"/>
      <c r="E622" s="64"/>
      <c r="F622" s="64"/>
      <c r="G622" s="64"/>
      <c r="H622" s="64"/>
      <c r="I622" s="64"/>
      <c r="J622" s="64"/>
      <c r="K622" s="64"/>
      <c r="L622" s="64"/>
      <c r="M622" s="64"/>
      <c r="N622" s="64"/>
      <c r="O622" s="64"/>
      <c r="P622" s="64"/>
      <c r="Q622" s="64"/>
      <c r="R622" s="64"/>
      <c r="S622" s="64"/>
      <c r="T622" s="64"/>
      <c r="U622" s="64"/>
      <c r="V622" s="64"/>
      <c r="W622" s="64"/>
      <c r="X622" s="64"/>
      <c r="Y622" s="64"/>
      <c r="Z622" s="64"/>
    </row>
    <row r="623" spans="1:26" ht="12.75" customHeight="1" x14ac:dyDescent="0.25">
      <c r="A623" s="64"/>
      <c r="B623" s="64"/>
      <c r="C623" s="64"/>
      <c r="D623" s="64"/>
      <c r="E623" s="64"/>
      <c r="F623" s="64"/>
      <c r="G623" s="64"/>
      <c r="H623" s="64"/>
      <c r="I623" s="64"/>
      <c r="J623" s="64"/>
      <c r="K623" s="64"/>
      <c r="L623" s="64"/>
      <c r="M623" s="64"/>
      <c r="N623" s="64"/>
      <c r="O623" s="64"/>
      <c r="P623" s="64"/>
      <c r="Q623" s="64"/>
      <c r="R623" s="64"/>
      <c r="S623" s="64"/>
      <c r="T623" s="64"/>
      <c r="U623" s="64"/>
      <c r="V623" s="64"/>
      <c r="W623" s="64"/>
      <c r="X623" s="64"/>
      <c r="Y623" s="64"/>
      <c r="Z623" s="64"/>
    </row>
    <row r="624" spans="1:26" ht="12.75" customHeight="1" x14ac:dyDescent="0.25">
      <c r="A624" s="64"/>
      <c r="B624" s="64"/>
      <c r="C624" s="64"/>
      <c r="D624" s="64"/>
      <c r="E624" s="64"/>
      <c r="F624" s="64"/>
      <c r="G624" s="64"/>
      <c r="H624" s="64"/>
      <c r="I624" s="64"/>
      <c r="J624" s="64"/>
      <c r="K624" s="64"/>
      <c r="L624" s="64"/>
      <c r="M624" s="64"/>
      <c r="N624" s="64"/>
      <c r="O624" s="64"/>
      <c r="P624" s="64"/>
      <c r="Q624" s="64"/>
      <c r="R624" s="64"/>
      <c r="S624" s="64"/>
      <c r="T624" s="64"/>
      <c r="U624" s="64"/>
      <c r="V624" s="64"/>
      <c r="W624" s="64"/>
      <c r="X624" s="64"/>
      <c r="Y624" s="64"/>
      <c r="Z624" s="64"/>
    </row>
    <row r="625" spans="1:26" ht="12.75" customHeight="1" x14ac:dyDescent="0.25">
      <c r="A625" s="64"/>
      <c r="B625" s="64"/>
      <c r="C625" s="64"/>
      <c r="D625" s="64"/>
      <c r="E625" s="64"/>
      <c r="F625" s="64"/>
      <c r="G625" s="64"/>
      <c r="H625" s="64"/>
      <c r="I625" s="64"/>
      <c r="J625" s="64"/>
      <c r="K625" s="64"/>
      <c r="L625" s="64"/>
      <c r="M625" s="64"/>
      <c r="N625" s="64"/>
      <c r="O625" s="64"/>
      <c r="P625" s="64"/>
      <c r="Q625" s="64"/>
      <c r="R625" s="64"/>
      <c r="S625" s="64"/>
      <c r="T625" s="64"/>
      <c r="U625" s="64"/>
      <c r="V625" s="64"/>
      <c r="W625" s="64"/>
      <c r="X625" s="64"/>
      <c r="Y625" s="64"/>
      <c r="Z625" s="64"/>
    </row>
    <row r="626" spans="1:26" ht="12.75" customHeight="1" x14ac:dyDescent="0.25">
      <c r="A626" s="64"/>
      <c r="B626" s="64"/>
      <c r="C626" s="64"/>
      <c r="D626" s="64"/>
      <c r="E626" s="64"/>
      <c r="F626" s="64"/>
      <c r="G626" s="64"/>
      <c r="H626" s="64"/>
      <c r="I626" s="64"/>
      <c r="J626" s="64"/>
      <c r="K626" s="64"/>
      <c r="L626" s="64"/>
      <c r="M626" s="64"/>
      <c r="N626" s="64"/>
      <c r="O626" s="64"/>
      <c r="P626" s="64"/>
      <c r="Q626" s="64"/>
      <c r="R626" s="64"/>
      <c r="S626" s="64"/>
      <c r="T626" s="64"/>
      <c r="U626" s="64"/>
      <c r="V626" s="64"/>
      <c r="W626" s="64"/>
      <c r="X626" s="64"/>
      <c r="Y626" s="64"/>
      <c r="Z626" s="64"/>
    </row>
    <row r="627" spans="1:26" ht="12.75" customHeight="1" x14ac:dyDescent="0.25">
      <c r="A627" s="64"/>
      <c r="B627" s="64"/>
      <c r="C627" s="64"/>
      <c r="D627" s="64"/>
      <c r="E627" s="64"/>
      <c r="F627" s="64"/>
      <c r="G627" s="64"/>
      <c r="H627" s="64"/>
      <c r="I627" s="64"/>
      <c r="J627" s="64"/>
      <c r="K627" s="64"/>
      <c r="L627" s="64"/>
      <c r="M627" s="64"/>
      <c r="N627" s="64"/>
      <c r="O627" s="64"/>
      <c r="P627" s="64"/>
      <c r="Q627" s="64"/>
      <c r="R627" s="64"/>
      <c r="S627" s="64"/>
      <c r="T627" s="64"/>
      <c r="U627" s="64"/>
      <c r="V627" s="64"/>
      <c r="W627" s="64"/>
      <c r="X627" s="64"/>
      <c r="Y627" s="64"/>
      <c r="Z627" s="64"/>
    </row>
    <row r="628" spans="1:26" ht="12.75" customHeight="1" x14ac:dyDescent="0.25">
      <c r="A628" s="64"/>
      <c r="B628" s="64"/>
      <c r="C628" s="64"/>
      <c r="D628" s="64"/>
      <c r="E628" s="64"/>
      <c r="F628" s="64"/>
      <c r="G628" s="64"/>
      <c r="H628" s="64"/>
      <c r="I628" s="64"/>
      <c r="J628" s="64"/>
      <c r="K628" s="64"/>
      <c r="L628" s="64"/>
      <c r="M628" s="64"/>
      <c r="N628" s="64"/>
      <c r="O628" s="64"/>
      <c r="P628" s="64"/>
      <c r="Q628" s="64"/>
      <c r="R628" s="64"/>
      <c r="S628" s="64"/>
      <c r="T628" s="64"/>
      <c r="U628" s="64"/>
      <c r="V628" s="64"/>
      <c r="W628" s="64"/>
      <c r="X628" s="64"/>
      <c r="Y628" s="64"/>
      <c r="Z628" s="64"/>
    </row>
    <row r="629" spans="1:26" ht="12.75" customHeight="1" x14ac:dyDescent="0.25">
      <c r="A629" s="64"/>
      <c r="B629" s="64"/>
      <c r="C629" s="64"/>
      <c r="D629" s="64"/>
      <c r="E629" s="64"/>
      <c r="F629" s="64"/>
      <c r="G629" s="64"/>
      <c r="H629" s="64"/>
      <c r="I629" s="64"/>
      <c r="J629" s="64"/>
      <c r="K629" s="64"/>
      <c r="L629" s="64"/>
      <c r="M629" s="64"/>
      <c r="N629" s="64"/>
      <c r="O629" s="64"/>
      <c r="P629" s="64"/>
      <c r="Q629" s="64"/>
      <c r="R629" s="64"/>
      <c r="S629" s="64"/>
      <c r="T629" s="64"/>
      <c r="U629" s="64"/>
      <c r="V629" s="64"/>
      <c r="W629" s="64"/>
      <c r="X629" s="64"/>
      <c r="Y629" s="64"/>
      <c r="Z629" s="64"/>
    </row>
    <row r="630" spans="1:26" ht="12.75" customHeight="1" x14ac:dyDescent="0.25">
      <c r="A630" s="64"/>
      <c r="B630" s="64"/>
      <c r="C630" s="64"/>
      <c r="D630" s="64"/>
      <c r="E630" s="64"/>
      <c r="F630" s="64"/>
      <c r="G630" s="64"/>
      <c r="H630" s="64"/>
      <c r="I630" s="64"/>
      <c r="J630" s="64"/>
      <c r="K630" s="64"/>
      <c r="L630" s="64"/>
      <c r="M630" s="64"/>
      <c r="N630" s="64"/>
      <c r="O630" s="64"/>
      <c r="P630" s="64"/>
      <c r="Q630" s="64"/>
      <c r="R630" s="64"/>
      <c r="S630" s="64"/>
      <c r="T630" s="64"/>
      <c r="U630" s="64"/>
      <c r="V630" s="64"/>
      <c r="W630" s="64"/>
      <c r="X630" s="64"/>
      <c r="Y630" s="64"/>
      <c r="Z630" s="64"/>
    </row>
    <row r="631" spans="1:26" ht="12.75" customHeight="1" x14ac:dyDescent="0.25">
      <c r="A631" s="64"/>
      <c r="B631" s="64"/>
      <c r="C631" s="64"/>
      <c r="D631" s="64"/>
      <c r="E631" s="64"/>
      <c r="F631" s="64"/>
      <c r="G631" s="64"/>
      <c r="H631" s="64"/>
      <c r="I631" s="64"/>
      <c r="J631" s="64"/>
      <c r="K631" s="64"/>
      <c r="L631" s="64"/>
      <c r="M631" s="64"/>
      <c r="N631" s="64"/>
      <c r="O631" s="64"/>
      <c r="P631" s="64"/>
      <c r="Q631" s="64"/>
      <c r="R631" s="64"/>
      <c r="S631" s="64"/>
      <c r="T631" s="64"/>
      <c r="U631" s="64"/>
      <c r="V631" s="64"/>
      <c r="W631" s="64"/>
      <c r="X631" s="64"/>
      <c r="Y631" s="64"/>
      <c r="Z631" s="64"/>
    </row>
    <row r="632" spans="1:26" ht="12.75" customHeight="1" x14ac:dyDescent="0.25">
      <c r="A632" s="64"/>
      <c r="B632" s="64"/>
      <c r="C632" s="64"/>
      <c r="D632" s="64"/>
      <c r="E632" s="64"/>
      <c r="F632" s="64"/>
      <c r="G632" s="64"/>
      <c r="H632" s="64"/>
      <c r="I632" s="64"/>
      <c r="J632" s="64"/>
      <c r="K632" s="64"/>
      <c r="L632" s="64"/>
      <c r="M632" s="64"/>
      <c r="N632" s="64"/>
      <c r="O632" s="64"/>
      <c r="P632" s="64"/>
      <c r="Q632" s="64"/>
      <c r="R632" s="64"/>
      <c r="S632" s="64"/>
      <c r="T632" s="64"/>
      <c r="U632" s="64"/>
      <c r="V632" s="64"/>
      <c r="W632" s="64"/>
      <c r="X632" s="64"/>
      <c r="Y632" s="64"/>
      <c r="Z632" s="64"/>
    </row>
    <row r="633" spans="1:26" ht="12.75" customHeight="1" x14ac:dyDescent="0.25">
      <c r="A633" s="64"/>
      <c r="B633" s="64"/>
      <c r="C633" s="64"/>
      <c r="D633" s="64"/>
      <c r="E633" s="64"/>
      <c r="F633" s="64"/>
      <c r="G633" s="64"/>
      <c r="H633" s="64"/>
      <c r="I633" s="64"/>
      <c r="J633" s="64"/>
      <c r="K633" s="64"/>
      <c r="L633" s="64"/>
      <c r="M633" s="64"/>
      <c r="N633" s="64"/>
      <c r="O633" s="64"/>
      <c r="P633" s="64"/>
      <c r="Q633" s="64"/>
      <c r="R633" s="64"/>
      <c r="S633" s="64"/>
      <c r="T633" s="64"/>
      <c r="U633" s="64"/>
      <c r="V633" s="64"/>
      <c r="W633" s="64"/>
      <c r="X633" s="64"/>
      <c r="Y633" s="64"/>
      <c r="Z633" s="64"/>
    </row>
    <row r="634" spans="1:26" ht="12.75" customHeight="1" x14ac:dyDescent="0.25">
      <c r="A634" s="64"/>
      <c r="B634" s="64"/>
      <c r="C634" s="64"/>
      <c r="D634" s="64"/>
      <c r="E634" s="64"/>
      <c r="F634" s="64"/>
      <c r="G634" s="64"/>
      <c r="H634" s="64"/>
      <c r="I634" s="64"/>
      <c r="J634" s="64"/>
      <c r="K634" s="64"/>
      <c r="L634" s="64"/>
      <c r="M634" s="64"/>
      <c r="N634" s="64"/>
      <c r="O634" s="64"/>
      <c r="P634" s="64"/>
      <c r="Q634" s="64"/>
      <c r="R634" s="64"/>
      <c r="S634" s="64"/>
      <c r="T634" s="64"/>
      <c r="U634" s="64"/>
      <c r="V634" s="64"/>
      <c r="W634" s="64"/>
      <c r="X634" s="64"/>
      <c r="Y634" s="64"/>
      <c r="Z634" s="64"/>
    </row>
    <row r="635" spans="1:26" ht="12.75" customHeight="1" x14ac:dyDescent="0.25">
      <c r="A635" s="64"/>
      <c r="B635" s="64"/>
      <c r="C635" s="64"/>
      <c r="D635" s="64"/>
      <c r="E635" s="64"/>
      <c r="F635" s="64"/>
      <c r="G635" s="64"/>
      <c r="H635" s="64"/>
      <c r="I635" s="64"/>
      <c r="J635" s="64"/>
      <c r="K635" s="64"/>
      <c r="L635" s="64"/>
      <c r="M635" s="64"/>
      <c r="N635" s="64"/>
      <c r="O635" s="64"/>
      <c r="P635" s="64"/>
      <c r="Q635" s="64"/>
      <c r="R635" s="64"/>
      <c r="S635" s="64"/>
      <c r="T635" s="64"/>
      <c r="U635" s="64"/>
      <c r="V635" s="64"/>
      <c r="W635" s="64"/>
      <c r="X635" s="64"/>
      <c r="Y635" s="64"/>
      <c r="Z635" s="64"/>
    </row>
    <row r="636" spans="1:26" ht="12.75" customHeight="1" x14ac:dyDescent="0.25">
      <c r="A636" s="64"/>
      <c r="B636" s="64"/>
      <c r="C636" s="64"/>
      <c r="D636" s="64"/>
      <c r="E636" s="64"/>
      <c r="F636" s="64"/>
      <c r="G636" s="64"/>
      <c r="H636" s="64"/>
      <c r="I636" s="64"/>
      <c r="J636" s="64"/>
      <c r="K636" s="64"/>
      <c r="L636" s="64"/>
      <c r="M636" s="64"/>
      <c r="N636" s="64"/>
      <c r="O636" s="64"/>
      <c r="P636" s="64"/>
      <c r="Q636" s="64"/>
      <c r="R636" s="64"/>
      <c r="S636" s="64"/>
      <c r="T636" s="64"/>
      <c r="U636" s="64"/>
      <c r="V636" s="64"/>
      <c r="W636" s="64"/>
      <c r="X636" s="64"/>
      <c r="Y636" s="64"/>
      <c r="Z636" s="64"/>
    </row>
    <row r="637" spans="1:26" ht="12.75" customHeight="1" x14ac:dyDescent="0.25">
      <c r="A637" s="64"/>
      <c r="B637" s="64"/>
      <c r="C637" s="64"/>
      <c r="D637" s="64"/>
      <c r="E637" s="64"/>
      <c r="F637" s="64"/>
      <c r="G637" s="64"/>
      <c r="H637" s="64"/>
      <c r="I637" s="64"/>
      <c r="J637" s="64"/>
      <c r="K637" s="64"/>
      <c r="L637" s="64"/>
      <c r="M637" s="64"/>
      <c r="N637" s="64"/>
      <c r="O637" s="64"/>
      <c r="P637" s="64"/>
      <c r="Q637" s="64"/>
      <c r="R637" s="64"/>
      <c r="S637" s="64"/>
      <c r="T637" s="64"/>
      <c r="U637" s="64"/>
      <c r="V637" s="64"/>
      <c r="W637" s="64"/>
      <c r="X637" s="64"/>
      <c r="Y637" s="64"/>
      <c r="Z637" s="64"/>
    </row>
    <row r="638" spans="1:26" ht="12.75" customHeight="1" x14ac:dyDescent="0.25">
      <c r="A638" s="64"/>
      <c r="B638" s="64"/>
      <c r="C638" s="64"/>
      <c r="D638" s="64"/>
      <c r="E638" s="64"/>
      <c r="F638" s="64"/>
      <c r="G638" s="64"/>
      <c r="H638" s="64"/>
      <c r="I638" s="64"/>
      <c r="J638" s="64"/>
      <c r="K638" s="64"/>
      <c r="L638" s="64"/>
      <c r="M638" s="64"/>
      <c r="N638" s="64"/>
      <c r="O638" s="64"/>
      <c r="P638" s="64"/>
      <c r="Q638" s="64"/>
      <c r="R638" s="64"/>
      <c r="S638" s="64"/>
      <c r="T638" s="64"/>
      <c r="U638" s="64"/>
      <c r="V638" s="64"/>
      <c r="W638" s="64"/>
      <c r="X638" s="64"/>
      <c r="Y638" s="64"/>
      <c r="Z638" s="64"/>
    </row>
    <row r="639" spans="1:26" ht="12.75" customHeight="1" x14ac:dyDescent="0.25">
      <c r="A639" s="64"/>
      <c r="B639" s="64"/>
      <c r="C639" s="64"/>
      <c r="D639" s="64"/>
      <c r="E639" s="64"/>
      <c r="F639" s="64"/>
      <c r="G639" s="64"/>
      <c r="H639" s="64"/>
      <c r="I639" s="64"/>
      <c r="J639" s="64"/>
      <c r="K639" s="64"/>
      <c r="L639" s="64"/>
      <c r="M639" s="64"/>
      <c r="N639" s="64"/>
      <c r="O639" s="64"/>
      <c r="P639" s="64"/>
      <c r="Q639" s="64"/>
      <c r="R639" s="64"/>
      <c r="S639" s="64"/>
      <c r="T639" s="64"/>
      <c r="U639" s="64"/>
      <c r="V639" s="64"/>
      <c r="W639" s="64"/>
      <c r="X639" s="64"/>
      <c r="Y639" s="64"/>
      <c r="Z639" s="64"/>
    </row>
    <row r="640" spans="1:26" ht="12.75" customHeight="1" x14ac:dyDescent="0.25">
      <c r="A640" s="64"/>
      <c r="B640" s="64"/>
      <c r="C640" s="64"/>
      <c r="D640" s="64"/>
      <c r="E640" s="64"/>
      <c r="F640" s="64"/>
      <c r="G640" s="64"/>
      <c r="H640" s="64"/>
      <c r="I640" s="64"/>
      <c r="J640" s="64"/>
      <c r="K640" s="64"/>
      <c r="L640" s="64"/>
      <c r="M640" s="64"/>
      <c r="N640" s="64"/>
      <c r="O640" s="64"/>
      <c r="P640" s="64"/>
      <c r="Q640" s="64"/>
      <c r="R640" s="64"/>
      <c r="S640" s="64"/>
      <c r="T640" s="64"/>
      <c r="U640" s="64"/>
      <c r="V640" s="64"/>
      <c r="W640" s="64"/>
      <c r="X640" s="64"/>
      <c r="Y640" s="64"/>
      <c r="Z640" s="64"/>
    </row>
    <row r="641" spans="1:26" ht="12.75" customHeight="1" x14ac:dyDescent="0.25">
      <c r="A641" s="64"/>
      <c r="B641" s="64"/>
      <c r="C641" s="64"/>
      <c r="D641" s="64"/>
      <c r="E641" s="64"/>
      <c r="F641" s="64"/>
      <c r="G641" s="64"/>
      <c r="H641" s="64"/>
      <c r="I641" s="64"/>
      <c r="J641" s="64"/>
      <c r="K641" s="64"/>
      <c r="L641" s="64"/>
      <c r="M641" s="64"/>
      <c r="N641" s="64"/>
      <c r="O641" s="64"/>
      <c r="P641" s="64"/>
      <c r="Q641" s="64"/>
      <c r="R641" s="64"/>
      <c r="S641" s="64"/>
      <c r="T641" s="64"/>
      <c r="U641" s="64"/>
      <c r="V641" s="64"/>
      <c r="W641" s="64"/>
      <c r="X641" s="64"/>
      <c r="Y641" s="64"/>
      <c r="Z641" s="64"/>
    </row>
    <row r="642" spans="1:26" ht="12.75" customHeight="1" x14ac:dyDescent="0.25">
      <c r="A642" s="64"/>
      <c r="B642" s="64"/>
      <c r="C642" s="64"/>
      <c r="D642" s="64"/>
      <c r="E642" s="64"/>
      <c r="F642" s="64"/>
      <c r="G642" s="64"/>
      <c r="H642" s="64"/>
      <c r="I642" s="64"/>
      <c r="J642" s="64"/>
      <c r="K642" s="64"/>
      <c r="L642" s="64"/>
      <c r="M642" s="64"/>
      <c r="N642" s="64"/>
      <c r="O642" s="64"/>
      <c r="P642" s="64"/>
      <c r="Q642" s="64"/>
      <c r="R642" s="64"/>
      <c r="S642" s="64"/>
      <c r="T642" s="64"/>
      <c r="U642" s="64"/>
      <c r="V642" s="64"/>
      <c r="W642" s="64"/>
      <c r="X642" s="64"/>
      <c r="Y642" s="64"/>
      <c r="Z642" s="64"/>
    </row>
    <row r="643" spans="1:26" ht="12.75" customHeight="1" x14ac:dyDescent="0.25">
      <c r="A643" s="64"/>
      <c r="B643" s="64"/>
      <c r="C643" s="64"/>
      <c r="D643" s="64"/>
      <c r="E643" s="64"/>
      <c r="F643" s="64"/>
      <c r="G643" s="64"/>
      <c r="H643" s="64"/>
      <c r="I643" s="64"/>
      <c r="J643" s="64"/>
      <c r="K643" s="64"/>
      <c r="L643" s="64"/>
      <c r="M643" s="64"/>
      <c r="N643" s="64"/>
      <c r="O643" s="64"/>
      <c r="P643" s="64"/>
      <c r="Q643" s="64"/>
      <c r="R643" s="64"/>
      <c r="S643" s="64"/>
      <c r="T643" s="64"/>
      <c r="U643" s="64"/>
      <c r="V643" s="64"/>
      <c r="W643" s="64"/>
      <c r="X643" s="64"/>
      <c r="Y643" s="64"/>
      <c r="Z643" s="64"/>
    </row>
    <row r="644" spans="1:26" ht="12.75" customHeight="1" x14ac:dyDescent="0.25">
      <c r="A644" s="64"/>
      <c r="B644" s="64"/>
      <c r="C644" s="64"/>
      <c r="D644" s="64"/>
      <c r="E644" s="64"/>
      <c r="F644" s="64"/>
      <c r="G644" s="64"/>
      <c r="H644" s="64"/>
      <c r="I644" s="64"/>
      <c r="J644" s="64"/>
      <c r="K644" s="64"/>
      <c r="L644" s="64"/>
      <c r="M644" s="64"/>
      <c r="N644" s="64"/>
      <c r="O644" s="64"/>
      <c r="P644" s="64"/>
      <c r="Q644" s="64"/>
      <c r="R644" s="64"/>
      <c r="S644" s="64"/>
      <c r="T644" s="64"/>
      <c r="U644" s="64"/>
      <c r="V644" s="64"/>
      <c r="W644" s="64"/>
      <c r="X644" s="64"/>
      <c r="Y644" s="64"/>
      <c r="Z644" s="64"/>
    </row>
    <row r="645" spans="1:26" ht="12.75" customHeight="1" x14ac:dyDescent="0.25">
      <c r="A645" s="64"/>
      <c r="B645" s="64"/>
      <c r="C645" s="64"/>
      <c r="D645" s="64"/>
      <c r="E645" s="64"/>
      <c r="F645" s="64"/>
      <c r="G645" s="64"/>
      <c r="H645" s="64"/>
      <c r="I645" s="64"/>
      <c r="J645" s="64"/>
      <c r="K645" s="64"/>
      <c r="L645" s="64"/>
      <c r="M645" s="64"/>
      <c r="N645" s="64"/>
      <c r="O645" s="64"/>
      <c r="P645" s="64"/>
      <c r="Q645" s="64"/>
      <c r="R645" s="64"/>
      <c r="S645" s="64"/>
      <c r="T645" s="64"/>
      <c r="U645" s="64"/>
      <c r="V645" s="64"/>
      <c r="W645" s="64"/>
      <c r="X645" s="64"/>
      <c r="Y645" s="64"/>
      <c r="Z645" s="64"/>
    </row>
    <row r="646" spans="1:26" ht="12.75" customHeight="1" x14ac:dyDescent="0.25">
      <c r="A646" s="64"/>
      <c r="B646" s="64"/>
      <c r="C646" s="64"/>
      <c r="D646" s="64"/>
      <c r="E646" s="64"/>
      <c r="F646" s="64"/>
      <c r="G646" s="64"/>
      <c r="H646" s="64"/>
      <c r="I646" s="64"/>
      <c r="J646" s="64"/>
      <c r="K646" s="64"/>
      <c r="L646" s="64"/>
      <c r="M646" s="64"/>
      <c r="N646" s="64"/>
      <c r="O646" s="64"/>
      <c r="P646" s="64"/>
      <c r="Q646" s="64"/>
      <c r="R646" s="64"/>
      <c r="S646" s="64"/>
      <c r="T646" s="64"/>
      <c r="U646" s="64"/>
      <c r="V646" s="64"/>
      <c r="W646" s="64"/>
      <c r="X646" s="64"/>
      <c r="Y646" s="64"/>
      <c r="Z646" s="64"/>
    </row>
    <row r="647" spans="1:26" ht="12.75" customHeight="1" x14ac:dyDescent="0.25">
      <c r="A647" s="64"/>
      <c r="B647" s="64"/>
      <c r="C647" s="64"/>
      <c r="D647" s="64"/>
      <c r="E647" s="64"/>
      <c r="F647" s="64"/>
      <c r="G647" s="64"/>
      <c r="H647" s="64"/>
      <c r="I647" s="64"/>
      <c r="J647" s="64"/>
      <c r="K647" s="64"/>
      <c r="L647" s="64"/>
      <c r="M647" s="64"/>
      <c r="N647" s="64"/>
      <c r="O647" s="64"/>
      <c r="P647" s="64"/>
      <c r="Q647" s="64"/>
      <c r="R647" s="64"/>
      <c r="S647" s="64"/>
      <c r="T647" s="64"/>
      <c r="U647" s="64"/>
      <c r="V647" s="64"/>
      <c r="W647" s="64"/>
      <c r="X647" s="64"/>
      <c r="Y647" s="64"/>
      <c r="Z647" s="64"/>
    </row>
    <row r="648" spans="1:26" ht="12.75" customHeight="1" x14ac:dyDescent="0.25">
      <c r="A648" s="64"/>
      <c r="B648" s="64"/>
      <c r="C648" s="64"/>
      <c r="D648" s="64"/>
      <c r="E648" s="64"/>
      <c r="F648" s="64"/>
      <c r="G648" s="64"/>
      <c r="H648" s="64"/>
      <c r="I648" s="64"/>
      <c r="J648" s="64"/>
      <c r="K648" s="64"/>
      <c r="L648" s="64"/>
      <c r="M648" s="64"/>
      <c r="N648" s="64"/>
      <c r="O648" s="64"/>
      <c r="P648" s="64"/>
      <c r="Q648" s="64"/>
      <c r="R648" s="64"/>
      <c r="S648" s="64"/>
      <c r="T648" s="64"/>
      <c r="U648" s="64"/>
      <c r="V648" s="64"/>
      <c r="W648" s="64"/>
      <c r="X648" s="64"/>
      <c r="Y648" s="64"/>
      <c r="Z648" s="64"/>
    </row>
    <row r="649" spans="1:26" ht="12.75" customHeight="1" x14ac:dyDescent="0.25">
      <c r="A649" s="64"/>
      <c r="B649" s="64"/>
      <c r="C649" s="64"/>
      <c r="D649" s="64"/>
      <c r="E649" s="64"/>
      <c r="F649" s="64"/>
      <c r="G649" s="64"/>
      <c r="H649" s="64"/>
      <c r="I649" s="64"/>
      <c r="J649" s="64"/>
      <c r="K649" s="64"/>
      <c r="L649" s="64"/>
      <c r="M649" s="64"/>
      <c r="N649" s="64"/>
      <c r="O649" s="64"/>
      <c r="P649" s="64"/>
      <c r="Q649" s="64"/>
      <c r="R649" s="64"/>
      <c r="S649" s="64"/>
      <c r="T649" s="64"/>
      <c r="U649" s="64"/>
      <c r="V649" s="64"/>
      <c r="W649" s="64"/>
      <c r="X649" s="64"/>
      <c r="Y649" s="64"/>
      <c r="Z649" s="64"/>
    </row>
    <row r="650" spans="1:26" ht="12.75" customHeight="1" x14ac:dyDescent="0.25">
      <c r="A650" s="64"/>
      <c r="B650" s="64"/>
      <c r="C650" s="64"/>
      <c r="D650" s="64"/>
      <c r="E650" s="64"/>
      <c r="F650" s="64"/>
      <c r="G650" s="64"/>
      <c r="H650" s="64"/>
      <c r="I650" s="64"/>
      <c r="J650" s="64"/>
      <c r="K650" s="64"/>
      <c r="L650" s="64"/>
      <c r="M650" s="64"/>
      <c r="N650" s="64"/>
      <c r="O650" s="64"/>
      <c r="P650" s="64"/>
      <c r="Q650" s="64"/>
      <c r="R650" s="64"/>
      <c r="S650" s="64"/>
      <c r="T650" s="64"/>
      <c r="U650" s="64"/>
      <c r="V650" s="64"/>
      <c r="W650" s="64"/>
      <c r="X650" s="64"/>
      <c r="Y650" s="64"/>
      <c r="Z650" s="64"/>
    </row>
    <row r="651" spans="1:26" ht="12.75" customHeight="1" x14ac:dyDescent="0.25">
      <c r="A651" s="64"/>
      <c r="B651" s="64"/>
      <c r="C651" s="64"/>
      <c r="D651" s="64"/>
      <c r="E651" s="64"/>
      <c r="F651" s="64"/>
      <c r="G651" s="64"/>
      <c r="H651" s="64"/>
      <c r="I651" s="64"/>
      <c r="J651" s="64"/>
      <c r="K651" s="64"/>
      <c r="L651" s="64"/>
      <c r="M651" s="64"/>
      <c r="N651" s="64"/>
      <c r="O651" s="64"/>
      <c r="P651" s="64"/>
      <c r="Q651" s="64"/>
      <c r="R651" s="64"/>
      <c r="S651" s="64"/>
      <c r="T651" s="64"/>
      <c r="U651" s="64"/>
      <c r="V651" s="64"/>
      <c r="W651" s="64"/>
      <c r="X651" s="64"/>
      <c r="Y651" s="64"/>
      <c r="Z651" s="64"/>
    </row>
    <row r="652" spans="1:26" ht="12.75" customHeight="1" x14ac:dyDescent="0.25">
      <c r="A652" s="64"/>
      <c r="B652" s="64"/>
      <c r="C652" s="64"/>
      <c r="D652" s="64"/>
      <c r="E652" s="64"/>
      <c r="F652" s="64"/>
      <c r="G652" s="64"/>
      <c r="H652" s="64"/>
      <c r="I652" s="64"/>
      <c r="J652" s="64"/>
      <c r="K652" s="64"/>
      <c r="L652" s="64"/>
      <c r="M652" s="64"/>
      <c r="N652" s="64"/>
      <c r="O652" s="64"/>
      <c r="P652" s="64"/>
      <c r="Q652" s="64"/>
      <c r="R652" s="64"/>
      <c r="S652" s="64"/>
      <c r="T652" s="64"/>
      <c r="U652" s="64"/>
      <c r="V652" s="64"/>
      <c r="W652" s="64"/>
      <c r="X652" s="64"/>
      <c r="Y652" s="64"/>
      <c r="Z652" s="64"/>
    </row>
    <row r="653" spans="1:26" ht="12.75" customHeight="1" x14ac:dyDescent="0.25">
      <c r="A653" s="64"/>
      <c r="B653" s="64"/>
      <c r="C653" s="64"/>
      <c r="D653" s="64"/>
      <c r="E653" s="64"/>
      <c r="F653" s="64"/>
      <c r="G653" s="64"/>
      <c r="H653" s="64"/>
      <c r="I653" s="64"/>
      <c r="J653" s="64"/>
      <c r="K653" s="64"/>
      <c r="L653" s="64"/>
      <c r="M653" s="64"/>
      <c r="N653" s="64"/>
      <c r="O653" s="64"/>
      <c r="P653" s="64"/>
      <c r="Q653" s="64"/>
      <c r="R653" s="64"/>
      <c r="S653" s="64"/>
      <c r="T653" s="64"/>
      <c r="U653" s="64"/>
      <c r="V653" s="64"/>
      <c r="W653" s="64"/>
      <c r="X653" s="64"/>
      <c r="Y653" s="64"/>
      <c r="Z653" s="64"/>
    </row>
    <row r="654" spans="1:26" ht="12.75" customHeight="1" x14ac:dyDescent="0.25">
      <c r="A654" s="64"/>
      <c r="B654" s="64"/>
      <c r="C654" s="64"/>
      <c r="D654" s="64"/>
      <c r="E654" s="64"/>
      <c r="F654" s="64"/>
      <c r="G654" s="64"/>
      <c r="H654" s="64"/>
      <c r="I654" s="64"/>
      <c r="J654" s="64"/>
      <c r="K654" s="64"/>
      <c r="L654" s="64"/>
      <c r="M654" s="64"/>
      <c r="N654" s="64"/>
      <c r="O654" s="64"/>
      <c r="P654" s="64"/>
      <c r="Q654" s="64"/>
      <c r="R654" s="64"/>
      <c r="S654" s="64"/>
      <c r="T654" s="64"/>
      <c r="U654" s="64"/>
      <c r="V654" s="64"/>
      <c r="W654" s="64"/>
      <c r="X654" s="64"/>
      <c r="Y654" s="64"/>
      <c r="Z654" s="64"/>
    </row>
    <row r="655" spans="1:26" ht="12.75" customHeight="1" x14ac:dyDescent="0.25">
      <c r="A655" s="64"/>
      <c r="B655" s="64"/>
      <c r="C655" s="64"/>
      <c r="D655" s="64"/>
      <c r="E655" s="64"/>
      <c r="F655" s="64"/>
      <c r="G655" s="64"/>
      <c r="H655" s="64"/>
      <c r="I655" s="64"/>
      <c r="J655" s="64"/>
      <c r="K655" s="64"/>
      <c r="L655" s="64"/>
      <c r="M655" s="64"/>
      <c r="N655" s="64"/>
      <c r="O655" s="64"/>
      <c r="P655" s="64"/>
      <c r="Q655" s="64"/>
      <c r="R655" s="64"/>
      <c r="S655" s="64"/>
      <c r="T655" s="64"/>
      <c r="U655" s="64"/>
      <c r="V655" s="64"/>
      <c r="W655" s="64"/>
      <c r="X655" s="64"/>
      <c r="Y655" s="64"/>
      <c r="Z655" s="64"/>
    </row>
    <row r="656" spans="1:26" ht="12.75" customHeight="1" x14ac:dyDescent="0.25">
      <c r="A656" s="64"/>
      <c r="B656" s="64"/>
      <c r="C656" s="64"/>
      <c r="D656" s="64"/>
      <c r="E656" s="64"/>
      <c r="F656" s="64"/>
      <c r="G656" s="64"/>
      <c r="H656" s="64"/>
      <c r="I656" s="64"/>
      <c r="J656" s="64"/>
      <c r="K656" s="64"/>
      <c r="L656" s="64"/>
      <c r="M656" s="64"/>
      <c r="N656" s="64"/>
      <c r="O656" s="64"/>
      <c r="P656" s="64"/>
      <c r="Q656" s="64"/>
      <c r="R656" s="64"/>
      <c r="S656" s="64"/>
      <c r="T656" s="64"/>
      <c r="U656" s="64"/>
      <c r="V656" s="64"/>
      <c r="W656" s="64"/>
      <c r="X656" s="64"/>
      <c r="Y656" s="64"/>
      <c r="Z656" s="64"/>
    </row>
    <row r="657" spans="1:26" ht="12.75" customHeight="1" x14ac:dyDescent="0.25">
      <c r="A657" s="64"/>
      <c r="B657" s="64"/>
      <c r="C657" s="64"/>
      <c r="D657" s="64"/>
      <c r="E657" s="64"/>
      <c r="F657" s="64"/>
      <c r="G657" s="64"/>
      <c r="H657" s="64"/>
      <c r="I657" s="64"/>
      <c r="J657" s="64"/>
      <c r="K657" s="64"/>
      <c r="L657" s="64"/>
      <c r="M657" s="64"/>
      <c r="N657" s="64"/>
      <c r="O657" s="64"/>
      <c r="P657" s="64"/>
      <c r="Q657" s="64"/>
      <c r="R657" s="64"/>
      <c r="S657" s="64"/>
      <c r="T657" s="64"/>
      <c r="U657" s="64"/>
      <c r="V657" s="64"/>
      <c r="W657" s="64"/>
      <c r="X657" s="64"/>
      <c r="Y657" s="64"/>
      <c r="Z657" s="64"/>
    </row>
    <row r="658" spans="1:26" ht="12.75" customHeight="1" x14ac:dyDescent="0.25">
      <c r="A658" s="64"/>
      <c r="B658" s="64"/>
      <c r="C658" s="64"/>
      <c r="D658" s="64"/>
      <c r="E658" s="64"/>
      <c r="F658" s="64"/>
      <c r="G658" s="64"/>
      <c r="H658" s="64"/>
      <c r="I658" s="64"/>
      <c r="J658" s="64"/>
      <c r="K658" s="64"/>
      <c r="L658" s="64"/>
      <c r="M658" s="64"/>
      <c r="N658" s="64"/>
      <c r="O658" s="64"/>
      <c r="P658" s="64"/>
      <c r="Q658" s="64"/>
      <c r="R658" s="64"/>
      <c r="S658" s="64"/>
      <c r="T658" s="64"/>
      <c r="U658" s="64"/>
      <c r="V658" s="64"/>
      <c r="W658" s="64"/>
      <c r="X658" s="64"/>
      <c r="Y658" s="64"/>
      <c r="Z658" s="64"/>
    </row>
    <row r="659" spans="1:26" ht="12.75" customHeight="1" x14ac:dyDescent="0.25">
      <c r="A659" s="64"/>
      <c r="B659" s="64"/>
      <c r="C659" s="64"/>
      <c r="D659" s="64"/>
      <c r="E659" s="64"/>
      <c r="F659" s="64"/>
      <c r="G659" s="64"/>
      <c r="H659" s="64"/>
      <c r="I659" s="64"/>
      <c r="J659" s="64"/>
      <c r="K659" s="64"/>
      <c r="L659" s="64"/>
      <c r="M659" s="64"/>
      <c r="N659" s="64"/>
      <c r="O659" s="64"/>
      <c r="P659" s="64"/>
      <c r="Q659" s="64"/>
      <c r="R659" s="64"/>
      <c r="S659" s="64"/>
      <c r="T659" s="64"/>
      <c r="U659" s="64"/>
      <c r="V659" s="64"/>
      <c r="W659" s="64"/>
      <c r="X659" s="64"/>
      <c r="Y659" s="64"/>
      <c r="Z659" s="64"/>
    </row>
    <row r="660" spans="1:26" ht="12.75" customHeight="1" x14ac:dyDescent="0.25">
      <c r="A660" s="64"/>
      <c r="B660" s="64"/>
      <c r="C660" s="64"/>
      <c r="D660" s="64"/>
      <c r="E660" s="64"/>
      <c r="F660" s="64"/>
      <c r="G660" s="64"/>
      <c r="H660" s="64"/>
      <c r="I660" s="64"/>
      <c r="J660" s="64"/>
      <c r="K660" s="64"/>
      <c r="L660" s="64"/>
      <c r="M660" s="64"/>
      <c r="N660" s="64"/>
      <c r="O660" s="64"/>
      <c r="P660" s="64"/>
      <c r="Q660" s="64"/>
      <c r="R660" s="64"/>
      <c r="S660" s="64"/>
      <c r="T660" s="64"/>
      <c r="U660" s="64"/>
      <c r="V660" s="64"/>
      <c r="W660" s="64"/>
      <c r="X660" s="64"/>
      <c r="Y660" s="64"/>
      <c r="Z660" s="64"/>
    </row>
    <row r="661" spans="1:26" ht="12.75" customHeight="1" x14ac:dyDescent="0.25">
      <c r="A661" s="64"/>
      <c r="B661" s="64"/>
      <c r="C661" s="64"/>
      <c r="D661" s="64"/>
      <c r="E661" s="64"/>
      <c r="F661" s="64"/>
      <c r="G661" s="64"/>
      <c r="H661" s="64"/>
      <c r="I661" s="64"/>
      <c r="J661" s="64"/>
      <c r="K661" s="64"/>
      <c r="L661" s="64"/>
      <c r="M661" s="64"/>
      <c r="N661" s="64"/>
      <c r="O661" s="64"/>
      <c r="P661" s="64"/>
      <c r="Q661" s="64"/>
      <c r="R661" s="64"/>
      <c r="S661" s="64"/>
      <c r="T661" s="64"/>
      <c r="U661" s="64"/>
      <c r="V661" s="64"/>
      <c r="W661" s="64"/>
      <c r="X661" s="64"/>
      <c r="Y661" s="64"/>
      <c r="Z661" s="64"/>
    </row>
    <row r="662" spans="1:26" ht="12.75" customHeight="1" x14ac:dyDescent="0.25">
      <c r="A662" s="64"/>
      <c r="B662" s="64"/>
      <c r="C662" s="64"/>
      <c r="D662" s="64"/>
      <c r="E662" s="64"/>
      <c r="F662" s="64"/>
      <c r="G662" s="64"/>
      <c r="H662" s="64"/>
      <c r="I662" s="64"/>
      <c r="J662" s="64"/>
      <c r="K662" s="64"/>
      <c r="L662" s="64"/>
      <c r="M662" s="64"/>
      <c r="N662" s="64"/>
      <c r="O662" s="64"/>
      <c r="P662" s="64"/>
      <c r="Q662" s="64"/>
      <c r="R662" s="64"/>
      <c r="S662" s="64"/>
      <c r="T662" s="64"/>
      <c r="U662" s="64"/>
      <c r="V662" s="64"/>
      <c r="W662" s="64"/>
      <c r="X662" s="64"/>
      <c r="Y662" s="64"/>
      <c r="Z662" s="64"/>
    </row>
    <row r="663" spans="1:26" ht="12.75" customHeight="1" x14ac:dyDescent="0.25">
      <c r="A663" s="64"/>
      <c r="B663" s="64"/>
      <c r="C663" s="64"/>
      <c r="D663" s="64"/>
      <c r="E663" s="64"/>
      <c r="F663" s="64"/>
      <c r="G663" s="64"/>
      <c r="H663" s="64"/>
      <c r="I663" s="64"/>
      <c r="J663" s="64"/>
      <c r="K663" s="64"/>
      <c r="L663" s="64"/>
      <c r="M663" s="64"/>
      <c r="N663" s="64"/>
      <c r="O663" s="64"/>
      <c r="P663" s="64"/>
      <c r="Q663" s="64"/>
      <c r="R663" s="64"/>
      <c r="S663" s="64"/>
      <c r="T663" s="64"/>
      <c r="U663" s="64"/>
      <c r="V663" s="64"/>
      <c r="W663" s="64"/>
      <c r="X663" s="64"/>
      <c r="Y663" s="64"/>
      <c r="Z663" s="64"/>
    </row>
    <row r="664" spans="1:26" ht="12.75" customHeight="1" x14ac:dyDescent="0.25">
      <c r="A664" s="64"/>
      <c r="B664" s="64"/>
      <c r="C664" s="64"/>
      <c r="D664" s="64"/>
      <c r="E664" s="64"/>
      <c r="F664" s="64"/>
      <c r="G664" s="64"/>
      <c r="H664" s="64"/>
      <c r="I664" s="64"/>
      <c r="J664" s="64"/>
      <c r="K664" s="64"/>
      <c r="L664" s="64"/>
      <c r="M664" s="64"/>
      <c r="N664" s="64"/>
      <c r="O664" s="64"/>
      <c r="P664" s="64"/>
      <c r="Q664" s="64"/>
      <c r="R664" s="64"/>
      <c r="S664" s="64"/>
      <c r="T664" s="64"/>
      <c r="U664" s="64"/>
      <c r="V664" s="64"/>
      <c r="W664" s="64"/>
      <c r="X664" s="64"/>
      <c r="Y664" s="64"/>
      <c r="Z664" s="64"/>
    </row>
    <row r="665" spans="1:26" ht="12.75" customHeight="1" x14ac:dyDescent="0.25">
      <c r="A665" s="64"/>
      <c r="B665" s="64"/>
      <c r="C665" s="64"/>
      <c r="D665" s="64"/>
      <c r="E665" s="64"/>
      <c r="F665" s="64"/>
      <c r="G665" s="64"/>
      <c r="H665" s="64"/>
      <c r="I665" s="64"/>
      <c r="J665" s="64"/>
      <c r="K665" s="64"/>
      <c r="L665" s="64"/>
      <c r="M665" s="64"/>
      <c r="N665" s="64"/>
      <c r="O665" s="64"/>
      <c r="P665" s="64"/>
      <c r="Q665" s="64"/>
      <c r="R665" s="64"/>
      <c r="S665" s="64"/>
      <c r="T665" s="64"/>
      <c r="U665" s="64"/>
      <c r="V665" s="64"/>
      <c r="W665" s="64"/>
      <c r="X665" s="64"/>
      <c r="Y665" s="64"/>
      <c r="Z665" s="64"/>
    </row>
    <row r="666" spans="1:26" ht="12.75" customHeight="1" x14ac:dyDescent="0.25">
      <c r="A666" s="64"/>
      <c r="B666" s="64"/>
      <c r="C666" s="64"/>
      <c r="D666" s="64"/>
      <c r="E666" s="64"/>
      <c r="F666" s="64"/>
      <c r="G666" s="64"/>
      <c r="H666" s="64"/>
      <c r="I666" s="64"/>
      <c r="J666" s="64"/>
      <c r="K666" s="64"/>
      <c r="L666" s="64"/>
      <c r="M666" s="64"/>
      <c r="N666" s="64"/>
      <c r="O666" s="64"/>
      <c r="P666" s="64"/>
      <c r="Q666" s="64"/>
      <c r="R666" s="64"/>
      <c r="S666" s="64"/>
      <c r="T666" s="64"/>
      <c r="U666" s="64"/>
      <c r="V666" s="64"/>
      <c r="W666" s="64"/>
      <c r="X666" s="64"/>
      <c r="Y666" s="64"/>
      <c r="Z666" s="64"/>
    </row>
    <row r="667" spans="1:26" ht="12.75" customHeight="1" x14ac:dyDescent="0.25">
      <c r="A667" s="64"/>
      <c r="B667" s="64"/>
      <c r="C667" s="64"/>
      <c r="D667" s="64"/>
      <c r="E667" s="64"/>
      <c r="F667" s="64"/>
      <c r="G667" s="64"/>
      <c r="H667" s="64"/>
      <c r="I667" s="64"/>
      <c r="J667" s="64"/>
      <c r="K667" s="64"/>
      <c r="L667" s="64"/>
      <c r="M667" s="64"/>
      <c r="N667" s="64"/>
      <c r="O667" s="64"/>
      <c r="P667" s="64"/>
      <c r="Q667" s="64"/>
      <c r="R667" s="64"/>
      <c r="S667" s="64"/>
      <c r="T667" s="64"/>
      <c r="U667" s="64"/>
      <c r="V667" s="64"/>
      <c r="W667" s="64"/>
      <c r="X667" s="64"/>
      <c r="Y667" s="64"/>
      <c r="Z667" s="64"/>
    </row>
    <row r="668" spans="1:26" ht="12.75" customHeight="1" x14ac:dyDescent="0.25">
      <c r="A668" s="64"/>
      <c r="B668" s="64"/>
      <c r="C668" s="64"/>
      <c r="D668" s="64"/>
      <c r="E668" s="64"/>
      <c r="F668" s="64"/>
      <c r="G668" s="64"/>
      <c r="H668" s="64"/>
      <c r="I668" s="64"/>
      <c r="J668" s="64"/>
      <c r="K668" s="64"/>
      <c r="L668" s="64"/>
      <c r="M668" s="64"/>
      <c r="N668" s="64"/>
      <c r="O668" s="64"/>
      <c r="P668" s="64"/>
      <c r="Q668" s="64"/>
      <c r="R668" s="64"/>
      <c r="S668" s="64"/>
      <c r="T668" s="64"/>
      <c r="U668" s="64"/>
      <c r="V668" s="64"/>
      <c r="W668" s="64"/>
      <c r="X668" s="64"/>
      <c r="Y668" s="64"/>
      <c r="Z668" s="64"/>
    </row>
    <row r="669" spans="1:26" ht="12.75" customHeight="1" x14ac:dyDescent="0.25">
      <c r="A669" s="64"/>
      <c r="B669" s="64"/>
      <c r="C669" s="64"/>
      <c r="D669" s="64"/>
      <c r="E669" s="64"/>
      <c r="F669" s="64"/>
      <c r="G669" s="64"/>
      <c r="H669" s="64"/>
      <c r="I669" s="64"/>
      <c r="J669" s="64"/>
      <c r="K669" s="64"/>
      <c r="L669" s="64"/>
      <c r="M669" s="64"/>
      <c r="N669" s="64"/>
      <c r="O669" s="64"/>
      <c r="P669" s="64"/>
      <c r="Q669" s="64"/>
      <c r="R669" s="64"/>
      <c r="S669" s="64"/>
      <c r="T669" s="64"/>
      <c r="U669" s="64"/>
      <c r="V669" s="64"/>
      <c r="W669" s="64"/>
      <c r="X669" s="64"/>
      <c r="Y669" s="64"/>
      <c r="Z669" s="64"/>
    </row>
    <row r="670" spans="1:26" ht="12.75" customHeight="1" x14ac:dyDescent="0.25">
      <c r="A670" s="64"/>
      <c r="B670" s="64"/>
      <c r="C670" s="64"/>
      <c r="D670" s="64"/>
      <c r="E670" s="64"/>
      <c r="F670" s="64"/>
      <c r="G670" s="64"/>
      <c r="H670" s="64"/>
      <c r="I670" s="64"/>
      <c r="J670" s="64"/>
      <c r="K670" s="64"/>
      <c r="L670" s="64"/>
      <c r="M670" s="64"/>
      <c r="N670" s="64"/>
      <c r="O670" s="64"/>
      <c r="P670" s="64"/>
      <c r="Q670" s="64"/>
      <c r="R670" s="64"/>
      <c r="S670" s="64"/>
      <c r="T670" s="64"/>
      <c r="U670" s="64"/>
      <c r="V670" s="64"/>
      <c r="W670" s="64"/>
      <c r="X670" s="64"/>
      <c r="Y670" s="64"/>
      <c r="Z670" s="64"/>
    </row>
    <row r="671" spans="1:26" ht="12.75" customHeight="1" x14ac:dyDescent="0.25">
      <c r="A671" s="64"/>
      <c r="B671" s="64"/>
      <c r="C671" s="64"/>
      <c r="D671" s="64"/>
      <c r="E671" s="64"/>
      <c r="F671" s="64"/>
      <c r="G671" s="64"/>
      <c r="H671" s="64"/>
      <c r="I671" s="64"/>
      <c r="J671" s="64"/>
      <c r="K671" s="64"/>
      <c r="L671" s="64"/>
      <c r="M671" s="64"/>
      <c r="N671" s="64"/>
      <c r="O671" s="64"/>
      <c r="P671" s="64"/>
      <c r="Q671" s="64"/>
      <c r="R671" s="64"/>
      <c r="S671" s="64"/>
      <c r="T671" s="64"/>
      <c r="U671" s="64"/>
      <c r="V671" s="64"/>
      <c r="W671" s="64"/>
      <c r="X671" s="64"/>
      <c r="Y671" s="64"/>
      <c r="Z671" s="64"/>
    </row>
    <row r="672" spans="1:26" ht="12.75" customHeight="1" x14ac:dyDescent="0.25">
      <c r="A672" s="64"/>
      <c r="B672" s="64"/>
      <c r="C672" s="64"/>
      <c r="D672" s="64"/>
      <c r="E672" s="64"/>
      <c r="F672" s="64"/>
      <c r="G672" s="64"/>
      <c r="H672" s="64"/>
      <c r="I672" s="64"/>
      <c r="J672" s="64"/>
      <c r="K672" s="64"/>
      <c r="L672" s="64"/>
      <c r="M672" s="64"/>
      <c r="N672" s="64"/>
      <c r="O672" s="64"/>
      <c r="P672" s="64"/>
      <c r="Q672" s="64"/>
      <c r="R672" s="64"/>
      <c r="S672" s="64"/>
      <c r="T672" s="64"/>
      <c r="U672" s="64"/>
      <c r="V672" s="64"/>
      <c r="W672" s="64"/>
      <c r="X672" s="64"/>
      <c r="Y672" s="64"/>
      <c r="Z672" s="64"/>
    </row>
    <row r="673" spans="1:26" ht="12.75" customHeight="1" x14ac:dyDescent="0.25">
      <c r="A673" s="64"/>
      <c r="B673" s="64"/>
      <c r="C673" s="64"/>
      <c r="D673" s="64"/>
      <c r="E673" s="64"/>
      <c r="F673" s="64"/>
      <c r="G673" s="64"/>
      <c r="H673" s="64"/>
      <c r="I673" s="64"/>
      <c r="J673" s="64"/>
      <c r="K673" s="64"/>
      <c r="L673" s="64"/>
      <c r="M673" s="64"/>
      <c r="N673" s="64"/>
      <c r="O673" s="64"/>
      <c r="P673" s="64"/>
      <c r="Q673" s="64"/>
      <c r="R673" s="64"/>
      <c r="S673" s="64"/>
      <c r="T673" s="64"/>
      <c r="U673" s="64"/>
      <c r="V673" s="64"/>
      <c r="W673" s="64"/>
      <c r="X673" s="64"/>
      <c r="Y673" s="64"/>
      <c r="Z673" s="64"/>
    </row>
    <row r="674" spans="1:26" ht="12.75" customHeight="1" x14ac:dyDescent="0.25">
      <c r="A674" s="64"/>
      <c r="B674" s="64"/>
      <c r="C674" s="64"/>
      <c r="D674" s="64"/>
      <c r="E674" s="64"/>
      <c r="F674" s="64"/>
      <c r="G674" s="64"/>
      <c r="H674" s="64"/>
      <c r="I674" s="64"/>
      <c r="J674" s="64"/>
      <c r="K674" s="64"/>
      <c r="L674" s="64"/>
      <c r="M674" s="64"/>
      <c r="N674" s="64"/>
      <c r="O674" s="64"/>
      <c r="P674" s="64"/>
      <c r="Q674" s="64"/>
      <c r="R674" s="64"/>
      <c r="S674" s="64"/>
      <c r="T674" s="64"/>
      <c r="U674" s="64"/>
      <c r="V674" s="64"/>
      <c r="W674" s="64"/>
      <c r="X674" s="64"/>
      <c r="Y674" s="64"/>
      <c r="Z674" s="64"/>
    </row>
    <row r="675" spans="1:26" ht="12.75" customHeight="1" x14ac:dyDescent="0.25">
      <c r="A675" s="64"/>
      <c r="B675" s="64"/>
      <c r="C675" s="64"/>
      <c r="D675" s="64"/>
      <c r="E675" s="64"/>
      <c r="F675" s="64"/>
      <c r="G675" s="64"/>
      <c r="H675" s="64"/>
      <c r="I675" s="64"/>
      <c r="J675" s="64"/>
      <c r="K675" s="64"/>
      <c r="L675" s="64"/>
      <c r="M675" s="64"/>
      <c r="N675" s="64"/>
      <c r="O675" s="64"/>
      <c r="P675" s="64"/>
      <c r="Q675" s="64"/>
      <c r="R675" s="64"/>
      <c r="S675" s="64"/>
      <c r="T675" s="64"/>
      <c r="U675" s="64"/>
      <c r="V675" s="64"/>
      <c r="W675" s="64"/>
      <c r="X675" s="64"/>
      <c r="Y675" s="64"/>
      <c r="Z675" s="64"/>
    </row>
    <row r="676" spans="1:26" ht="12.75" customHeight="1" x14ac:dyDescent="0.25">
      <c r="A676" s="64"/>
      <c r="B676" s="64"/>
      <c r="C676" s="64"/>
      <c r="D676" s="64"/>
      <c r="E676" s="64"/>
      <c r="F676" s="64"/>
      <c r="G676" s="64"/>
      <c r="H676" s="64"/>
      <c r="I676" s="64"/>
      <c r="J676" s="64"/>
      <c r="K676" s="64"/>
      <c r="L676" s="64"/>
      <c r="M676" s="64"/>
      <c r="N676" s="64"/>
      <c r="O676" s="64"/>
      <c r="P676" s="64"/>
      <c r="Q676" s="64"/>
      <c r="R676" s="64"/>
      <c r="S676" s="64"/>
      <c r="T676" s="64"/>
      <c r="U676" s="64"/>
      <c r="V676" s="64"/>
      <c r="W676" s="64"/>
      <c r="X676" s="64"/>
      <c r="Y676" s="64"/>
      <c r="Z676" s="64"/>
    </row>
    <row r="677" spans="1:26" ht="12.75" customHeight="1" x14ac:dyDescent="0.25">
      <c r="A677" s="64"/>
      <c r="B677" s="64"/>
      <c r="C677" s="64"/>
      <c r="D677" s="64"/>
      <c r="E677" s="64"/>
      <c r="F677" s="64"/>
      <c r="G677" s="64"/>
      <c r="H677" s="64"/>
      <c r="I677" s="64"/>
      <c r="J677" s="64"/>
      <c r="K677" s="64"/>
      <c r="L677" s="64"/>
      <c r="M677" s="64"/>
      <c r="N677" s="64"/>
      <c r="O677" s="64"/>
      <c r="P677" s="64"/>
      <c r="Q677" s="64"/>
      <c r="R677" s="64"/>
      <c r="S677" s="64"/>
      <c r="T677" s="64"/>
      <c r="U677" s="64"/>
      <c r="V677" s="64"/>
      <c r="W677" s="64"/>
      <c r="X677" s="64"/>
      <c r="Y677" s="64"/>
      <c r="Z677" s="64"/>
    </row>
    <row r="678" spans="1:26" ht="12.75" customHeight="1" x14ac:dyDescent="0.25">
      <c r="A678" s="64"/>
      <c r="B678" s="64"/>
      <c r="C678" s="64"/>
      <c r="D678" s="64"/>
      <c r="E678" s="64"/>
      <c r="F678" s="64"/>
      <c r="G678" s="64"/>
      <c r="H678" s="64"/>
      <c r="I678" s="64"/>
      <c r="J678" s="64"/>
      <c r="K678" s="64"/>
      <c r="L678" s="64"/>
      <c r="M678" s="64"/>
      <c r="N678" s="64"/>
      <c r="O678" s="64"/>
      <c r="P678" s="64"/>
      <c r="Q678" s="64"/>
      <c r="R678" s="64"/>
      <c r="S678" s="64"/>
      <c r="T678" s="64"/>
      <c r="U678" s="64"/>
      <c r="V678" s="64"/>
      <c r="W678" s="64"/>
      <c r="X678" s="64"/>
      <c r="Y678" s="64"/>
      <c r="Z678" s="64"/>
    </row>
    <row r="679" spans="1:26" ht="12.75" customHeight="1" x14ac:dyDescent="0.25">
      <c r="A679" s="64"/>
      <c r="B679" s="64"/>
      <c r="C679" s="64"/>
      <c r="D679" s="64"/>
      <c r="E679" s="64"/>
      <c r="F679" s="64"/>
      <c r="G679" s="64"/>
      <c r="H679" s="64"/>
      <c r="I679" s="64"/>
      <c r="J679" s="64"/>
      <c r="K679" s="64"/>
      <c r="L679" s="64"/>
      <c r="M679" s="64"/>
      <c r="N679" s="64"/>
      <c r="O679" s="64"/>
      <c r="P679" s="64"/>
      <c r="Q679" s="64"/>
      <c r="R679" s="64"/>
      <c r="S679" s="64"/>
      <c r="T679" s="64"/>
      <c r="U679" s="64"/>
      <c r="V679" s="64"/>
      <c r="W679" s="64"/>
      <c r="X679" s="64"/>
      <c r="Y679" s="64"/>
      <c r="Z679" s="64"/>
    </row>
    <row r="680" spans="1:26" ht="12.75" customHeight="1" x14ac:dyDescent="0.25">
      <c r="A680" s="64"/>
      <c r="B680" s="64"/>
      <c r="C680" s="64"/>
      <c r="D680" s="64"/>
      <c r="E680" s="64"/>
      <c r="F680" s="64"/>
      <c r="G680" s="64"/>
      <c r="H680" s="64"/>
      <c r="I680" s="64"/>
      <c r="J680" s="64"/>
      <c r="K680" s="64"/>
      <c r="L680" s="64"/>
      <c r="M680" s="64"/>
      <c r="N680" s="64"/>
      <c r="O680" s="64"/>
      <c r="P680" s="64"/>
      <c r="Q680" s="64"/>
      <c r="R680" s="64"/>
      <c r="S680" s="64"/>
      <c r="T680" s="64"/>
      <c r="U680" s="64"/>
      <c r="V680" s="64"/>
      <c r="W680" s="64"/>
      <c r="X680" s="64"/>
      <c r="Y680" s="64"/>
      <c r="Z680" s="64"/>
    </row>
    <row r="681" spans="1:26" ht="12.75" customHeight="1" x14ac:dyDescent="0.25">
      <c r="A681" s="64"/>
      <c r="B681" s="64"/>
      <c r="C681" s="64"/>
      <c r="D681" s="64"/>
      <c r="E681" s="64"/>
      <c r="F681" s="64"/>
      <c r="G681" s="64"/>
      <c r="H681" s="64"/>
      <c r="I681" s="64"/>
      <c r="J681" s="64"/>
      <c r="K681" s="64"/>
      <c r="L681" s="64"/>
      <c r="M681" s="64"/>
      <c r="N681" s="64"/>
      <c r="O681" s="64"/>
      <c r="P681" s="64"/>
      <c r="Q681" s="64"/>
      <c r="R681" s="64"/>
      <c r="S681" s="64"/>
      <c r="T681" s="64"/>
      <c r="U681" s="64"/>
      <c r="V681" s="64"/>
      <c r="W681" s="64"/>
      <c r="X681" s="64"/>
      <c r="Y681" s="64"/>
      <c r="Z681" s="64"/>
    </row>
    <row r="682" spans="1:26" ht="12.75" customHeight="1" x14ac:dyDescent="0.25">
      <c r="A682" s="64"/>
      <c r="B682" s="64"/>
      <c r="C682" s="64"/>
      <c r="D682" s="64"/>
      <c r="E682" s="64"/>
      <c r="F682" s="64"/>
      <c r="G682" s="64"/>
      <c r="H682" s="64"/>
      <c r="I682" s="64"/>
      <c r="J682" s="64"/>
      <c r="K682" s="64"/>
      <c r="L682" s="64"/>
      <c r="M682" s="64"/>
      <c r="N682" s="64"/>
      <c r="O682" s="64"/>
      <c r="P682" s="64"/>
      <c r="Q682" s="64"/>
      <c r="R682" s="64"/>
      <c r="S682" s="64"/>
      <c r="T682" s="64"/>
      <c r="U682" s="64"/>
      <c r="V682" s="64"/>
      <c r="W682" s="64"/>
      <c r="X682" s="64"/>
      <c r="Y682" s="64"/>
      <c r="Z682" s="64"/>
    </row>
    <row r="683" spans="1:26" ht="12.75" customHeight="1" x14ac:dyDescent="0.25">
      <c r="A683" s="64"/>
      <c r="B683" s="64"/>
      <c r="C683" s="64"/>
      <c r="D683" s="64"/>
      <c r="E683" s="64"/>
      <c r="F683" s="64"/>
      <c r="G683" s="64"/>
      <c r="H683" s="64"/>
      <c r="I683" s="64"/>
      <c r="J683" s="64"/>
      <c r="K683" s="64"/>
      <c r="L683" s="64"/>
      <c r="M683" s="64"/>
      <c r="N683" s="64"/>
      <c r="O683" s="64"/>
      <c r="P683" s="64"/>
      <c r="Q683" s="64"/>
      <c r="R683" s="64"/>
      <c r="S683" s="64"/>
      <c r="T683" s="64"/>
      <c r="U683" s="64"/>
      <c r="V683" s="64"/>
      <c r="W683" s="64"/>
      <c r="X683" s="64"/>
      <c r="Y683" s="64"/>
      <c r="Z683" s="64"/>
    </row>
    <row r="684" spans="1:26" ht="12.75" customHeight="1" x14ac:dyDescent="0.25">
      <c r="A684" s="64"/>
      <c r="B684" s="64"/>
      <c r="C684" s="64"/>
      <c r="D684" s="64"/>
      <c r="E684" s="64"/>
      <c r="F684" s="64"/>
      <c r="G684" s="64"/>
      <c r="H684" s="64"/>
      <c r="I684" s="64"/>
      <c r="J684" s="64"/>
      <c r="K684" s="64"/>
      <c r="L684" s="64"/>
      <c r="M684" s="64"/>
      <c r="N684" s="64"/>
      <c r="O684" s="64"/>
      <c r="P684" s="64"/>
      <c r="Q684" s="64"/>
      <c r="R684" s="64"/>
      <c r="S684" s="64"/>
      <c r="T684" s="64"/>
      <c r="U684" s="64"/>
      <c r="V684" s="64"/>
      <c r="W684" s="64"/>
      <c r="X684" s="64"/>
      <c r="Y684" s="64"/>
      <c r="Z684" s="64"/>
    </row>
    <row r="685" spans="1:26" ht="12.75" customHeight="1" x14ac:dyDescent="0.25">
      <c r="A685" s="64"/>
      <c r="B685" s="64"/>
      <c r="C685" s="64"/>
      <c r="D685" s="64"/>
      <c r="E685" s="64"/>
      <c r="F685" s="64"/>
      <c r="G685" s="64"/>
      <c r="H685" s="64"/>
      <c r="I685" s="64"/>
      <c r="J685" s="64"/>
      <c r="K685" s="64"/>
      <c r="L685" s="64"/>
      <c r="M685" s="64"/>
      <c r="N685" s="64"/>
      <c r="O685" s="64"/>
      <c r="P685" s="64"/>
      <c r="Q685" s="64"/>
      <c r="R685" s="64"/>
      <c r="S685" s="64"/>
      <c r="T685" s="64"/>
      <c r="U685" s="64"/>
      <c r="V685" s="64"/>
      <c r="W685" s="64"/>
      <c r="X685" s="64"/>
      <c r="Y685" s="64"/>
      <c r="Z685" s="64"/>
    </row>
    <row r="686" spans="1:26" ht="12.75" customHeight="1" x14ac:dyDescent="0.25">
      <c r="A686" s="64"/>
      <c r="B686" s="64"/>
      <c r="C686" s="64"/>
      <c r="D686" s="64"/>
      <c r="E686" s="64"/>
      <c r="F686" s="64"/>
      <c r="G686" s="64"/>
      <c r="H686" s="64"/>
      <c r="I686" s="64"/>
      <c r="J686" s="64"/>
      <c r="K686" s="64"/>
      <c r="L686" s="64"/>
      <c r="M686" s="64"/>
      <c r="N686" s="64"/>
      <c r="O686" s="64"/>
      <c r="P686" s="64"/>
      <c r="Q686" s="64"/>
      <c r="R686" s="64"/>
      <c r="S686" s="64"/>
      <c r="T686" s="64"/>
      <c r="U686" s="64"/>
      <c r="V686" s="64"/>
      <c r="W686" s="64"/>
      <c r="X686" s="64"/>
      <c r="Y686" s="64"/>
      <c r="Z686" s="64"/>
    </row>
    <row r="687" spans="1:26" ht="12.75" customHeight="1" x14ac:dyDescent="0.25">
      <c r="A687" s="64"/>
      <c r="B687" s="64"/>
      <c r="C687" s="64"/>
      <c r="D687" s="64"/>
      <c r="E687" s="64"/>
      <c r="F687" s="64"/>
      <c r="G687" s="64"/>
      <c r="H687" s="64"/>
      <c r="I687" s="64"/>
      <c r="J687" s="64"/>
      <c r="K687" s="64"/>
      <c r="L687" s="64"/>
      <c r="M687" s="64"/>
      <c r="N687" s="64"/>
      <c r="O687" s="64"/>
      <c r="P687" s="64"/>
      <c r="Q687" s="64"/>
      <c r="R687" s="64"/>
      <c r="S687" s="64"/>
      <c r="T687" s="64"/>
      <c r="U687" s="64"/>
      <c r="V687" s="64"/>
      <c r="W687" s="64"/>
      <c r="X687" s="64"/>
      <c r="Y687" s="64"/>
      <c r="Z687" s="64"/>
    </row>
    <row r="688" spans="1:26" ht="12.75" customHeight="1" x14ac:dyDescent="0.25">
      <c r="A688" s="64"/>
      <c r="B688" s="64"/>
      <c r="C688" s="64"/>
      <c r="D688" s="64"/>
      <c r="E688" s="64"/>
      <c r="F688" s="64"/>
      <c r="G688" s="64"/>
      <c r="H688" s="64"/>
      <c r="I688" s="64"/>
      <c r="J688" s="64"/>
      <c r="K688" s="64"/>
      <c r="L688" s="64"/>
      <c r="M688" s="64"/>
      <c r="N688" s="64"/>
      <c r="O688" s="64"/>
      <c r="P688" s="64"/>
      <c r="Q688" s="64"/>
      <c r="R688" s="64"/>
      <c r="S688" s="64"/>
      <c r="T688" s="64"/>
      <c r="U688" s="64"/>
      <c r="V688" s="64"/>
      <c r="W688" s="64"/>
      <c r="X688" s="64"/>
      <c r="Y688" s="64"/>
      <c r="Z688" s="64"/>
    </row>
    <row r="689" spans="1:26" ht="12.75" customHeight="1" x14ac:dyDescent="0.25">
      <c r="A689" s="64"/>
      <c r="B689" s="64"/>
      <c r="C689" s="64"/>
      <c r="D689" s="64"/>
      <c r="E689" s="64"/>
      <c r="F689" s="64"/>
      <c r="G689" s="64"/>
      <c r="H689" s="64"/>
      <c r="I689" s="64"/>
      <c r="J689" s="64"/>
      <c r="K689" s="64"/>
      <c r="L689" s="64"/>
      <c r="M689" s="64"/>
      <c r="N689" s="64"/>
      <c r="O689" s="64"/>
      <c r="P689" s="64"/>
      <c r="Q689" s="64"/>
      <c r="R689" s="64"/>
      <c r="S689" s="64"/>
      <c r="T689" s="64"/>
      <c r="U689" s="64"/>
      <c r="V689" s="64"/>
      <c r="W689" s="64"/>
      <c r="X689" s="64"/>
      <c r="Y689" s="64"/>
      <c r="Z689" s="64"/>
    </row>
    <row r="690" spans="1:26" ht="12.75" customHeight="1" x14ac:dyDescent="0.25">
      <c r="A690" s="64"/>
      <c r="B690" s="64"/>
      <c r="C690" s="64"/>
      <c r="D690" s="64"/>
      <c r="E690" s="64"/>
      <c r="F690" s="64"/>
      <c r="G690" s="64"/>
      <c r="H690" s="64"/>
      <c r="I690" s="64"/>
      <c r="J690" s="64"/>
      <c r="K690" s="64"/>
      <c r="L690" s="64"/>
      <c r="M690" s="64"/>
      <c r="N690" s="64"/>
      <c r="O690" s="64"/>
      <c r="P690" s="64"/>
      <c r="Q690" s="64"/>
      <c r="R690" s="64"/>
      <c r="S690" s="64"/>
      <c r="T690" s="64"/>
      <c r="U690" s="64"/>
      <c r="V690" s="64"/>
      <c r="W690" s="64"/>
      <c r="X690" s="64"/>
      <c r="Y690" s="64"/>
      <c r="Z690" s="64"/>
    </row>
    <row r="691" spans="1:26" ht="12.75" customHeight="1" x14ac:dyDescent="0.25">
      <c r="A691" s="64"/>
      <c r="B691" s="64"/>
      <c r="C691" s="64"/>
      <c r="D691" s="64"/>
      <c r="E691" s="64"/>
      <c r="F691" s="64"/>
      <c r="G691" s="64"/>
      <c r="H691" s="64"/>
      <c r="I691" s="64"/>
      <c r="J691" s="64"/>
      <c r="K691" s="64"/>
      <c r="L691" s="64"/>
      <c r="M691" s="64"/>
      <c r="N691" s="64"/>
      <c r="O691" s="64"/>
      <c r="P691" s="64"/>
      <c r="Q691" s="64"/>
      <c r="R691" s="64"/>
      <c r="S691" s="64"/>
      <c r="T691" s="64"/>
      <c r="U691" s="64"/>
      <c r="V691" s="64"/>
      <c r="W691" s="64"/>
      <c r="X691" s="64"/>
      <c r="Y691" s="64"/>
      <c r="Z691" s="64"/>
    </row>
    <row r="692" spans="1:26" ht="12.75" customHeight="1" x14ac:dyDescent="0.25">
      <c r="A692" s="64"/>
      <c r="B692" s="64"/>
      <c r="C692" s="64"/>
      <c r="D692" s="64"/>
      <c r="E692" s="64"/>
      <c r="F692" s="64"/>
      <c r="G692" s="64"/>
      <c r="H692" s="64"/>
      <c r="I692" s="64"/>
      <c r="J692" s="64"/>
      <c r="K692" s="64"/>
      <c r="L692" s="64"/>
      <c r="M692" s="64"/>
      <c r="N692" s="64"/>
      <c r="O692" s="64"/>
      <c r="P692" s="64"/>
      <c r="Q692" s="64"/>
      <c r="R692" s="64"/>
      <c r="S692" s="64"/>
      <c r="T692" s="64"/>
      <c r="U692" s="64"/>
      <c r="V692" s="64"/>
      <c r="W692" s="64"/>
      <c r="X692" s="64"/>
      <c r="Y692" s="64"/>
      <c r="Z692" s="64"/>
    </row>
    <row r="693" spans="1:26" ht="12.75" customHeight="1" x14ac:dyDescent="0.25">
      <c r="A693" s="64"/>
      <c r="B693" s="64"/>
      <c r="C693" s="64"/>
      <c r="D693" s="64"/>
      <c r="E693" s="64"/>
      <c r="F693" s="64"/>
      <c r="G693" s="64"/>
      <c r="H693" s="64"/>
      <c r="I693" s="64"/>
      <c r="J693" s="64"/>
      <c r="K693" s="64"/>
      <c r="L693" s="64"/>
      <c r="M693" s="64"/>
      <c r="N693" s="64"/>
      <c r="O693" s="64"/>
      <c r="P693" s="64"/>
      <c r="Q693" s="64"/>
      <c r="R693" s="64"/>
      <c r="S693" s="64"/>
      <c r="T693" s="64"/>
      <c r="U693" s="64"/>
      <c r="V693" s="64"/>
      <c r="W693" s="64"/>
      <c r="X693" s="64"/>
      <c r="Y693" s="64"/>
      <c r="Z693" s="64"/>
    </row>
    <row r="694" spans="1:26" ht="12.75" customHeight="1" x14ac:dyDescent="0.25">
      <c r="A694" s="64"/>
      <c r="B694" s="64"/>
      <c r="C694" s="64"/>
      <c r="D694" s="64"/>
      <c r="E694" s="64"/>
      <c r="F694" s="64"/>
      <c r="G694" s="64"/>
      <c r="H694" s="64"/>
      <c r="I694" s="64"/>
      <c r="J694" s="64"/>
      <c r="K694" s="64"/>
      <c r="L694" s="64"/>
      <c r="M694" s="64"/>
      <c r="N694" s="64"/>
      <c r="O694" s="64"/>
      <c r="P694" s="64"/>
      <c r="Q694" s="64"/>
      <c r="R694" s="64"/>
      <c r="S694" s="64"/>
      <c r="T694" s="64"/>
      <c r="U694" s="64"/>
      <c r="V694" s="64"/>
      <c r="W694" s="64"/>
      <c r="X694" s="64"/>
      <c r="Y694" s="64"/>
      <c r="Z694" s="64"/>
    </row>
    <row r="695" spans="1:26" ht="12.75" customHeight="1" x14ac:dyDescent="0.25">
      <c r="A695" s="64"/>
      <c r="B695" s="64"/>
      <c r="C695" s="64"/>
      <c r="D695" s="64"/>
      <c r="E695" s="64"/>
      <c r="F695" s="64"/>
      <c r="G695" s="64"/>
      <c r="H695" s="64"/>
      <c r="I695" s="64"/>
      <c r="J695" s="64"/>
      <c r="K695" s="64"/>
      <c r="L695" s="64"/>
      <c r="M695" s="64"/>
      <c r="N695" s="64"/>
      <c r="O695" s="64"/>
      <c r="P695" s="64"/>
      <c r="Q695" s="64"/>
      <c r="R695" s="64"/>
      <c r="S695" s="64"/>
      <c r="T695" s="64"/>
      <c r="U695" s="64"/>
      <c r="V695" s="64"/>
      <c r="W695" s="64"/>
      <c r="X695" s="64"/>
      <c r="Y695" s="64"/>
      <c r="Z695" s="64"/>
    </row>
    <row r="696" spans="1:26" ht="12.75" customHeight="1" x14ac:dyDescent="0.25">
      <c r="A696" s="64"/>
      <c r="B696" s="64"/>
      <c r="C696" s="64"/>
      <c r="D696" s="64"/>
      <c r="E696" s="64"/>
      <c r="F696" s="64"/>
      <c r="G696" s="64"/>
      <c r="H696" s="64"/>
      <c r="I696" s="64"/>
      <c r="J696" s="64"/>
      <c r="K696" s="64"/>
      <c r="L696" s="64"/>
      <c r="M696" s="64"/>
      <c r="N696" s="64"/>
      <c r="O696" s="64"/>
      <c r="P696" s="64"/>
      <c r="Q696" s="64"/>
      <c r="R696" s="64"/>
      <c r="S696" s="64"/>
      <c r="T696" s="64"/>
      <c r="U696" s="64"/>
      <c r="V696" s="64"/>
      <c r="W696" s="64"/>
      <c r="X696" s="64"/>
      <c r="Y696" s="64"/>
      <c r="Z696" s="64"/>
    </row>
    <row r="697" spans="1:26" ht="12.75" customHeight="1" x14ac:dyDescent="0.25">
      <c r="A697" s="64"/>
      <c r="B697" s="64"/>
      <c r="C697" s="64"/>
      <c r="D697" s="64"/>
      <c r="E697" s="64"/>
      <c r="F697" s="64"/>
      <c r="G697" s="64"/>
      <c r="H697" s="64"/>
      <c r="I697" s="64"/>
      <c r="J697" s="64"/>
      <c r="K697" s="64"/>
      <c r="L697" s="64"/>
      <c r="M697" s="64"/>
      <c r="N697" s="64"/>
      <c r="O697" s="64"/>
      <c r="P697" s="64"/>
      <c r="Q697" s="64"/>
      <c r="R697" s="64"/>
      <c r="S697" s="64"/>
      <c r="T697" s="64"/>
      <c r="U697" s="64"/>
      <c r="V697" s="64"/>
      <c r="W697" s="64"/>
      <c r="X697" s="64"/>
      <c r="Y697" s="64"/>
      <c r="Z697" s="64"/>
    </row>
    <row r="698" spans="1:26" ht="12.75" customHeight="1" x14ac:dyDescent="0.25">
      <c r="A698" s="64"/>
      <c r="B698" s="64"/>
      <c r="C698" s="64"/>
      <c r="D698" s="64"/>
      <c r="E698" s="64"/>
      <c r="F698" s="64"/>
      <c r="G698" s="64"/>
      <c r="H698" s="64"/>
      <c r="I698" s="64"/>
      <c r="J698" s="64"/>
      <c r="K698" s="64"/>
      <c r="L698" s="64"/>
      <c r="M698" s="64"/>
      <c r="N698" s="64"/>
      <c r="O698" s="64"/>
      <c r="P698" s="64"/>
      <c r="Q698" s="64"/>
      <c r="R698" s="64"/>
      <c r="S698" s="64"/>
      <c r="T698" s="64"/>
      <c r="U698" s="64"/>
      <c r="V698" s="64"/>
      <c r="W698" s="64"/>
      <c r="X698" s="64"/>
      <c r="Y698" s="64"/>
      <c r="Z698" s="64"/>
    </row>
    <row r="699" spans="1:26" ht="12.75" customHeight="1" x14ac:dyDescent="0.25">
      <c r="A699" s="64"/>
      <c r="B699" s="64"/>
      <c r="C699" s="64"/>
      <c r="D699" s="64"/>
      <c r="E699" s="64"/>
      <c r="F699" s="64"/>
      <c r="G699" s="64"/>
      <c r="H699" s="64"/>
      <c r="I699" s="64"/>
      <c r="J699" s="64"/>
      <c r="K699" s="64"/>
      <c r="L699" s="64"/>
      <c r="M699" s="64"/>
      <c r="N699" s="64"/>
      <c r="O699" s="64"/>
      <c r="P699" s="64"/>
      <c r="Q699" s="64"/>
      <c r="R699" s="64"/>
      <c r="S699" s="64"/>
      <c r="T699" s="64"/>
      <c r="U699" s="64"/>
      <c r="V699" s="64"/>
      <c r="W699" s="64"/>
      <c r="X699" s="64"/>
      <c r="Y699" s="64"/>
      <c r="Z699" s="64"/>
    </row>
    <row r="700" spans="1:26" ht="12.75" customHeight="1" x14ac:dyDescent="0.25">
      <c r="A700" s="64"/>
      <c r="B700" s="64"/>
      <c r="C700" s="64"/>
      <c r="D700" s="64"/>
      <c r="E700" s="64"/>
      <c r="F700" s="64"/>
      <c r="G700" s="64"/>
      <c r="H700" s="64"/>
      <c r="I700" s="64"/>
      <c r="J700" s="64"/>
      <c r="K700" s="64"/>
      <c r="L700" s="64"/>
      <c r="M700" s="64"/>
      <c r="N700" s="64"/>
      <c r="O700" s="64"/>
      <c r="P700" s="64"/>
      <c r="Q700" s="64"/>
      <c r="R700" s="64"/>
      <c r="S700" s="64"/>
      <c r="T700" s="64"/>
      <c r="U700" s="64"/>
      <c r="V700" s="64"/>
      <c r="W700" s="64"/>
      <c r="X700" s="64"/>
      <c r="Y700" s="64"/>
      <c r="Z700" s="64"/>
    </row>
    <row r="701" spans="1:26" ht="12.75" customHeight="1" x14ac:dyDescent="0.25">
      <c r="A701" s="64"/>
      <c r="B701" s="64"/>
      <c r="C701" s="64"/>
      <c r="D701" s="64"/>
      <c r="E701" s="64"/>
      <c r="F701" s="64"/>
      <c r="G701" s="64"/>
      <c r="H701" s="64"/>
      <c r="I701" s="64"/>
      <c r="J701" s="64"/>
      <c r="K701" s="64"/>
      <c r="L701" s="64"/>
      <c r="M701" s="64"/>
      <c r="N701" s="64"/>
      <c r="O701" s="64"/>
      <c r="P701" s="64"/>
      <c r="Q701" s="64"/>
      <c r="R701" s="64"/>
      <c r="S701" s="64"/>
      <c r="T701" s="64"/>
      <c r="U701" s="64"/>
      <c r="V701" s="64"/>
      <c r="W701" s="64"/>
      <c r="X701" s="64"/>
      <c r="Y701" s="64"/>
      <c r="Z701" s="64"/>
    </row>
    <row r="702" spans="1:26" ht="12.75" customHeight="1" x14ac:dyDescent="0.25">
      <c r="A702" s="64"/>
      <c r="B702" s="64"/>
      <c r="C702" s="64"/>
      <c r="D702" s="64"/>
      <c r="E702" s="64"/>
      <c r="F702" s="64"/>
      <c r="G702" s="64"/>
      <c r="H702" s="64"/>
      <c r="I702" s="64"/>
      <c r="J702" s="64"/>
      <c r="K702" s="64"/>
      <c r="L702" s="64"/>
      <c r="M702" s="64"/>
      <c r="N702" s="64"/>
      <c r="O702" s="64"/>
      <c r="P702" s="64"/>
      <c r="Q702" s="64"/>
      <c r="R702" s="64"/>
      <c r="S702" s="64"/>
      <c r="T702" s="64"/>
      <c r="U702" s="64"/>
      <c r="V702" s="64"/>
      <c r="W702" s="64"/>
      <c r="X702" s="64"/>
      <c r="Y702" s="64"/>
      <c r="Z702" s="64"/>
    </row>
    <row r="703" spans="1:26" ht="12.75" customHeight="1" x14ac:dyDescent="0.25">
      <c r="A703" s="64"/>
      <c r="B703" s="64"/>
      <c r="C703" s="64"/>
      <c r="D703" s="64"/>
      <c r="E703" s="64"/>
      <c r="F703" s="64"/>
      <c r="G703" s="64"/>
      <c r="H703" s="64"/>
      <c r="I703" s="64"/>
      <c r="J703" s="64"/>
      <c r="K703" s="64"/>
      <c r="L703" s="64"/>
      <c r="M703" s="64"/>
      <c r="N703" s="64"/>
      <c r="O703" s="64"/>
      <c r="P703" s="64"/>
      <c r="Q703" s="64"/>
      <c r="R703" s="64"/>
      <c r="S703" s="64"/>
      <c r="T703" s="64"/>
      <c r="U703" s="64"/>
      <c r="V703" s="64"/>
      <c r="W703" s="64"/>
      <c r="X703" s="64"/>
      <c r="Y703" s="64"/>
      <c r="Z703" s="64"/>
    </row>
    <row r="704" spans="1:26" ht="12.75" customHeight="1" x14ac:dyDescent="0.25">
      <c r="A704" s="64"/>
      <c r="B704" s="64"/>
      <c r="C704" s="64"/>
      <c r="D704" s="64"/>
      <c r="E704" s="64"/>
      <c r="F704" s="64"/>
      <c r="G704" s="64"/>
      <c r="H704" s="64"/>
      <c r="I704" s="64"/>
      <c r="J704" s="64"/>
      <c r="K704" s="64"/>
      <c r="L704" s="64"/>
      <c r="M704" s="64"/>
      <c r="N704" s="64"/>
      <c r="O704" s="64"/>
      <c r="P704" s="64"/>
      <c r="Q704" s="64"/>
      <c r="R704" s="64"/>
      <c r="S704" s="64"/>
      <c r="T704" s="64"/>
      <c r="U704" s="64"/>
      <c r="V704" s="64"/>
      <c r="W704" s="64"/>
      <c r="X704" s="64"/>
      <c r="Y704" s="64"/>
      <c r="Z704" s="64"/>
    </row>
    <row r="705" spans="1:26" ht="12.75" customHeight="1" x14ac:dyDescent="0.25">
      <c r="A705" s="64"/>
      <c r="B705" s="64"/>
      <c r="C705" s="64"/>
      <c r="D705" s="64"/>
      <c r="E705" s="64"/>
      <c r="F705" s="64"/>
      <c r="G705" s="64"/>
      <c r="H705" s="64"/>
      <c r="I705" s="64"/>
      <c r="J705" s="64"/>
      <c r="K705" s="64"/>
      <c r="L705" s="64"/>
      <c r="M705" s="64"/>
      <c r="N705" s="64"/>
      <c r="O705" s="64"/>
      <c r="P705" s="64"/>
      <c r="Q705" s="64"/>
      <c r="R705" s="64"/>
      <c r="S705" s="64"/>
      <c r="T705" s="64"/>
      <c r="U705" s="64"/>
      <c r="V705" s="64"/>
      <c r="W705" s="64"/>
      <c r="X705" s="64"/>
      <c r="Y705" s="64"/>
      <c r="Z705" s="64"/>
    </row>
    <row r="706" spans="1:26" ht="12.75" customHeight="1" x14ac:dyDescent="0.25">
      <c r="A706" s="64"/>
      <c r="B706" s="64"/>
      <c r="C706" s="64"/>
      <c r="D706" s="64"/>
      <c r="E706" s="64"/>
      <c r="F706" s="64"/>
      <c r="G706" s="64"/>
      <c r="H706" s="64"/>
      <c r="I706" s="64"/>
      <c r="J706" s="64"/>
      <c r="K706" s="64"/>
      <c r="L706" s="64"/>
      <c r="M706" s="64"/>
      <c r="N706" s="64"/>
      <c r="O706" s="64"/>
      <c r="P706" s="64"/>
      <c r="Q706" s="64"/>
      <c r="R706" s="64"/>
      <c r="S706" s="64"/>
      <c r="T706" s="64"/>
      <c r="U706" s="64"/>
      <c r="V706" s="64"/>
      <c r="W706" s="64"/>
      <c r="X706" s="64"/>
      <c r="Y706" s="64"/>
      <c r="Z706" s="64"/>
    </row>
    <row r="707" spans="1:26" ht="12.75" customHeight="1" x14ac:dyDescent="0.25">
      <c r="A707" s="64"/>
      <c r="B707" s="64"/>
      <c r="C707" s="64"/>
      <c r="D707" s="64"/>
      <c r="E707" s="64"/>
      <c r="F707" s="64"/>
      <c r="G707" s="64"/>
      <c r="H707" s="64"/>
      <c r="I707" s="64"/>
      <c r="J707" s="64"/>
      <c r="K707" s="64"/>
      <c r="L707" s="64"/>
      <c r="M707" s="64"/>
      <c r="N707" s="64"/>
      <c r="O707" s="64"/>
      <c r="P707" s="64"/>
      <c r="Q707" s="64"/>
      <c r="R707" s="64"/>
      <c r="S707" s="64"/>
      <c r="T707" s="64"/>
      <c r="U707" s="64"/>
      <c r="V707" s="64"/>
      <c r="W707" s="64"/>
      <c r="X707" s="64"/>
      <c r="Y707" s="64"/>
      <c r="Z707" s="64"/>
    </row>
    <row r="708" spans="1:26" ht="12.75" customHeight="1" x14ac:dyDescent="0.25">
      <c r="A708" s="64"/>
      <c r="B708" s="64"/>
      <c r="C708" s="64"/>
      <c r="D708" s="64"/>
      <c r="E708" s="64"/>
      <c r="F708" s="64"/>
      <c r="G708" s="64"/>
      <c r="H708" s="64"/>
      <c r="I708" s="64"/>
      <c r="J708" s="64"/>
      <c r="K708" s="64"/>
      <c r="L708" s="64"/>
      <c r="M708" s="64"/>
      <c r="N708" s="64"/>
      <c r="O708" s="64"/>
      <c r="P708" s="64"/>
      <c r="Q708" s="64"/>
      <c r="R708" s="64"/>
      <c r="S708" s="64"/>
      <c r="T708" s="64"/>
      <c r="U708" s="64"/>
      <c r="V708" s="64"/>
      <c r="W708" s="64"/>
      <c r="X708" s="64"/>
      <c r="Y708" s="64"/>
      <c r="Z708" s="64"/>
    </row>
    <row r="709" spans="1:26" ht="12.75" customHeight="1" x14ac:dyDescent="0.25">
      <c r="A709" s="64"/>
      <c r="B709" s="64"/>
      <c r="C709" s="64"/>
      <c r="D709" s="64"/>
      <c r="E709" s="64"/>
      <c r="F709" s="64"/>
      <c r="G709" s="64"/>
      <c r="H709" s="64"/>
      <c r="I709" s="64"/>
      <c r="J709" s="64"/>
      <c r="K709" s="64"/>
      <c r="L709" s="64"/>
      <c r="M709" s="64"/>
      <c r="N709" s="64"/>
      <c r="O709" s="64"/>
      <c r="P709" s="64"/>
      <c r="Q709" s="64"/>
      <c r="R709" s="64"/>
      <c r="S709" s="64"/>
      <c r="T709" s="64"/>
      <c r="U709" s="64"/>
      <c r="V709" s="64"/>
      <c r="W709" s="64"/>
      <c r="X709" s="64"/>
      <c r="Y709" s="64"/>
      <c r="Z709" s="64"/>
    </row>
    <row r="710" spans="1:26" ht="12.75" customHeight="1" x14ac:dyDescent="0.25">
      <c r="A710" s="64"/>
      <c r="B710" s="64"/>
      <c r="C710" s="64"/>
      <c r="D710" s="64"/>
      <c r="E710" s="64"/>
      <c r="F710" s="64"/>
      <c r="G710" s="64"/>
      <c r="H710" s="64"/>
      <c r="I710" s="64"/>
      <c r="J710" s="64"/>
      <c r="K710" s="64"/>
      <c r="L710" s="64"/>
      <c r="M710" s="64"/>
      <c r="N710" s="64"/>
      <c r="O710" s="64"/>
      <c r="P710" s="64"/>
      <c r="Q710" s="64"/>
      <c r="R710" s="64"/>
      <c r="S710" s="64"/>
      <c r="T710" s="64"/>
      <c r="U710" s="64"/>
      <c r="V710" s="64"/>
      <c r="W710" s="64"/>
      <c r="X710" s="64"/>
      <c r="Y710" s="64"/>
      <c r="Z710" s="64"/>
    </row>
    <row r="711" spans="1:26" ht="12.75" customHeight="1" x14ac:dyDescent="0.25">
      <c r="A711" s="64"/>
      <c r="B711" s="64"/>
      <c r="C711" s="64"/>
      <c r="D711" s="64"/>
      <c r="E711" s="64"/>
      <c r="F711" s="64"/>
      <c r="G711" s="64"/>
      <c r="H711" s="64"/>
      <c r="I711" s="64"/>
      <c r="J711" s="64"/>
      <c r="K711" s="64"/>
      <c r="L711" s="64"/>
      <c r="M711" s="64"/>
      <c r="N711" s="64"/>
      <c r="O711" s="64"/>
      <c r="P711" s="64"/>
      <c r="Q711" s="64"/>
      <c r="R711" s="64"/>
      <c r="S711" s="64"/>
      <c r="T711" s="64"/>
      <c r="U711" s="64"/>
      <c r="V711" s="64"/>
      <c r="W711" s="64"/>
      <c r="X711" s="64"/>
      <c r="Y711" s="64"/>
      <c r="Z711" s="64"/>
    </row>
    <row r="712" spans="1:26" ht="12.75" customHeight="1" x14ac:dyDescent="0.25">
      <c r="A712" s="64"/>
      <c r="B712" s="64"/>
      <c r="C712" s="64"/>
      <c r="D712" s="64"/>
      <c r="E712" s="64"/>
      <c r="F712" s="64"/>
      <c r="G712" s="64"/>
      <c r="H712" s="64"/>
      <c r="I712" s="64"/>
      <c r="J712" s="64"/>
      <c r="K712" s="64"/>
      <c r="L712" s="64"/>
      <c r="M712" s="64"/>
      <c r="N712" s="64"/>
      <c r="O712" s="64"/>
      <c r="P712" s="64"/>
      <c r="Q712" s="64"/>
      <c r="R712" s="64"/>
      <c r="S712" s="64"/>
      <c r="T712" s="64"/>
      <c r="U712" s="64"/>
      <c r="V712" s="64"/>
      <c r="W712" s="64"/>
      <c r="X712" s="64"/>
      <c r="Y712" s="64"/>
      <c r="Z712" s="64"/>
    </row>
    <row r="713" spans="1:26" ht="12.75" customHeight="1" x14ac:dyDescent="0.25">
      <c r="A713" s="64"/>
      <c r="B713" s="64"/>
      <c r="C713" s="64"/>
      <c r="D713" s="64"/>
      <c r="E713" s="64"/>
      <c r="F713" s="64"/>
      <c r="G713" s="64"/>
      <c r="H713" s="64"/>
      <c r="I713" s="64"/>
      <c r="J713" s="64"/>
      <c r="K713" s="64"/>
      <c r="L713" s="64"/>
      <c r="M713" s="64"/>
      <c r="N713" s="64"/>
      <c r="O713" s="64"/>
      <c r="P713" s="64"/>
      <c r="Q713" s="64"/>
      <c r="R713" s="64"/>
      <c r="S713" s="64"/>
      <c r="T713" s="64"/>
      <c r="U713" s="64"/>
      <c r="V713" s="64"/>
      <c r="W713" s="64"/>
      <c r="X713" s="64"/>
      <c r="Y713" s="64"/>
      <c r="Z713" s="64"/>
    </row>
    <row r="714" spans="1:26" ht="12.75" customHeight="1" x14ac:dyDescent="0.25">
      <c r="A714" s="64"/>
      <c r="B714" s="64"/>
      <c r="C714" s="64"/>
      <c r="D714" s="64"/>
      <c r="E714" s="64"/>
      <c r="F714" s="64"/>
      <c r="G714" s="64"/>
      <c r="H714" s="64"/>
      <c r="I714" s="64"/>
      <c r="J714" s="64"/>
      <c r="K714" s="64"/>
      <c r="L714" s="64"/>
      <c r="M714" s="64"/>
      <c r="N714" s="64"/>
      <c r="O714" s="64"/>
      <c r="P714" s="64"/>
      <c r="Q714" s="64"/>
      <c r="R714" s="64"/>
      <c r="S714" s="64"/>
      <c r="T714" s="64"/>
      <c r="U714" s="64"/>
      <c r="V714" s="64"/>
      <c r="W714" s="64"/>
      <c r="X714" s="64"/>
      <c r="Y714" s="64"/>
      <c r="Z714" s="64"/>
    </row>
    <row r="715" spans="1:26" ht="12.75" customHeight="1" x14ac:dyDescent="0.25">
      <c r="A715" s="64"/>
      <c r="B715" s="64"/>
      <c r="C715" s="64"/>
      <c r="D715" s="64"/>
      <c r="E715" s="64"/>
      <c r="F715" s="64"/>
      <c r="G715" s="64"/>
      <c r="H715" s="64"/>
      <c r="I715" s="64"/>
      <c r="J715" s="64"/>
      <c r="K715" s="64"/>
      <c r="L715" s="64"/>
      <c r="M715" s="64"/>
      <c r="N715" s="64"/>
      <c r="O715" s="64"/>
      <c r="P715" s="64"/>
      <c r="Q715" s="64"/>
      <c r="R715" s="64"/>
      <c r="S715" s="64"/>
      <c r="T715" s="64"/>
      <c r="U715" s="64"/>
      <c r="V715" s="64"/>
      <c r="W715" s="64"/>
      <c r="X715" s="64"/>
      <c r="Y715" s="64"/>
      <c r="Z715" s="64"/>
    </row>
    <row r="716" spans="1:26" ht="12.75" customHeight="1" x14ac:dyDescent="0.25">
      <c r="A716" s="64"/>
      <c r="B716" s="64"/>
      <c r="C716" s="64"/>
      <c r="D716" s="64"/>
      <c r="E716" s="64"/>
      <c r="F716" s="64"/>
      <c r="G716" s="64"/>
      <c r="H716" s="64"/>
      <c r="I716" s="64"/>
      <c r="J716" s="64"/>
      <c r="K716" s="64"/>
      <c r="L716" s="64"/>
      <c r="M716" s="64"/>
      <c r="N716" s="64"/>
      <c r="O716" s="64"/>
      <c r="P716" s="64"/>
      <c r="Q716" s="64"/>
      <c r="R716" s="64"/>
      <c r="S716" s="64"/>
      <c r="T716" s="64"/>
      <c r="U716" s="64"/>
      <c r="V716" s="64"/>
      <c r="W716" s="64"/>
      <c r="X716" s="64"/>
      <c r="Y716" s="64"/>
      <c r="Z716" s="64"/>
    </row>
    <row r="717" spans="1:26" ht="12.75" customHeight="1" x14ac:dyDescent="0.25">
      <c r="A717" s="64"/>
      <c r="B717" s="64"/>
      <c r="C717" s="64"/>
      <c r="D717" s="64"/>
      <c r="E717" s="64"/>
      <c r="F717" s="64"/>
      <c r="G717" s="64"/>
      <c r="H717" s="64"/>
      <c r="I717" s="64"/>
      <c r="J717" s="64"/>
      <c r="K717" s="64"/>
      <c r="L717" s="64"/>
      <c r="M717" s="64"/>
      <c r="N717" s="64"/>
      <c r="O717" s="64"/>
      <c r="P717" s="64"/>
      <c r="Q717" s="64"/>
      <c r="R717" s="64"/>
      <c r="S717" s="64"/>
      <c r="T717" s="64"/>
      <c r="U717" s="64"/>
      <c r="V717" s="64"/>
      <c r="W717" s="64"/>
      <c r="X717" s="64"/>
      <c r="Y717" s="64"/>
      <c r="Z717" s="64"/>
    </row>
    <row r="718" spans="1:26" ht="12.75" customHeight="1" x14ac:dyDescent="0.25">
      <c r="A718" s="64"/>
      <c r="B718" s="64"/>
      <c r="C718" s="64"/>
      <c r="D718" s="64"/>
      <c r="E718" s="64"/>
      <c r="F718" s="64"/>
      <c r="G718" s="64"/>
      <c r="H718" s="64"/>
      <c r="I718" s="64"/>
      <c r="J718" s="64"/>
      <c r="K718" s="64"/>
      <c r="L718" s="64"/>
      <c r="M718" s="64"/>
      <c r="N718" s="64"/>
      <c r="O718" s="64"/>
      <c r="P718" s="64"/>
      <c r="Q718" s="64"/>
      <c r="R718" s="64"/>
      <c r="S718" s="64"/>
      <c r="T718" s="64"/>
      <c r="U718" s="64"/>
      <c r="V718" s="64"/>
      <c r="W718" s="64"/>
      <c r="X718" s="64"/>
      <c r="Y718" s="64"/>
      <c r="Z718" s="64"/>
    </row>
    <row r="719" spans="1:26" ht="12.75" customHeight="1" x14ac:dyDescent="0.25">
      <c r="A719" s="64"/>
      <c r="B719" s="64"/>
      <c r="C719" s="64"/>
      <c r="D719" s="64"/>
      <c r="E719" s="64"/>
      <c r="F719" s="64"/>
      <c r="G719" s="64"/>
      <c r="H719" s="64"/>
      <c r="I719" s="64"/>
      <c r="J719" s="64"/>
      <c r="K719" s="64"/>
      <c r="L719" s="64"/>
      <c r="M719" s="64"/>
      <c r="N719" s="64"/>
      <c r="O719" s="64"/>
      <c r="P719" s="64"/>
      <c r="Q719" s="64"/>
      <c r="R719" s="64"/>
      <c r="S719" s="64"/>
      <c r="T719" s="64"/>
      <c r="U719" s="64"/>
      <c r="V719" s="64"/>
      <c r="W719" s="64"/>
      <c r="X719" s="64"/>
      <c r="Y719" s="64"/>
      <c r="Z719" s="64"/>
    </row>
    <row r="720" spans="1:26" ht="12.75" customHeight="1" x14ac:dyDescent="0.25">
      <c r="A720" s="64"/>
      <c r="B720" s="64"/>
      <c r="C720" s="64"/>
      <c r="D720" s="64"/>
      <c r="E720" s="64"/>
      <c r="F720" s="64"/>
      <c r="G720" s="64"/>
      <c r="H720" s="64"/>
      <c r="I720" s="64"/>
      <c r="J720" s="64"/>
      <c r="K720" s="64"/>
      <c r="L720" s="64"/>
      <c r="M720" s="64"/>
      <c r="N720" s="64"/>
      <c r="O720" s="64"/>
      <c r="P720" s="64"/>
      <c r="Q720" s="64"/>
      <c r="R720" s="64"/>
      <c r="S720" s="64"/>
      <c r="T720" s="64"/>
      <c r="U720" s="64"/>
      <c r="V720" s="64"/>
      <c r="W720" s="64"/>
      <c r="X720" s="64"/>
      <c r="Y720" s="64"/>
      <c r="Z720" s="64"/>
    </row>
    <row r="721" spans="1:26" ht="12.75" customHeight="1" x14ac:dyDescent="0.25">
      <c r="A721" s="64"/>
      <c r="B721" s="64"/>
      <c r="C721" s="64"/>
      <c r="D721" s="64"/>
      <c r="E721" s="64"/>
      <c r="F721" s="64"/>
      <c r="G721" s="64"/>
      <c r="H721" s="64"/>
      <c r="I721" s="64"/>
      <c r="J721" s="64"/>
      <c r="K721" s="64"/>
      <c r="L721" s="64"/>
      <c r="M721" s="64"/>
      <c r="N721" s="64"/>
      <c r="O721" s="64"/>
      <c r="P721" s="64"/>
      <c r="Q721" s="64"/>
      <c r="R721" s="64"/>
      <c r="S721" s="64"/>
      <c r="T721" s="64"/>
      <c r="U721" s="64"/>
      <c r="V721" s="64"/>
      <c r="W721" s="64"/>
      <c r="X721" s="64"/>
      <c r="Y721" s="64"/>
      <c r="Z721" s="64"/>
    </row>
    <row r="722" spans="1:26" ht="12.75" customHeight="1" x14ac:dyDescent="0.25">
      <c r="A722" s="64"/>
      <c r="B722" s="64"/>
      <c r="C722" s="64"/>
      <c r="D722" s="64"/>
      <c r="E722" s="64"/>
      <c r="F722" s="64"/>
      <c r="G722" s="64"/>
      <c r="H722" s="64"/>
      <c r="I722" s="64"/>
      <c r="J722" s="64"/>
      <c r="K722" s="64"/>
      <c r="L722" s="64"/>
      <c r="M722" s="64"/>
      <c r="N722" s="64"/>
      <c r="O722" s="64"/>
      <c r="P722" s="64"/>
      <c r="Q722" s="64"/>
      <c r="R722" s="64"/>
      <c r="S722" s="64"/>
      <c r="T722" s="64"/>
      <c r="U722" s="64"/>
      <c r="V722" s="64"/>
      <c r="W722" s="64"/>
      <c r="X722" s="64"/>
      <c r="Y722" s="64"/>
      <c r="Z722" s="64"/>
    </row>
    <row r="723" spans="1:26" ht="12.75" customHeight="1" x14ac:dyDescent="0.25">
      <c r="A723" s="64"/>
      <c r="B723" s="64"/>
      <c r="C723" s="64"/>
      <c r="D723" s="64"/>
      <c r="E723" s="64"/>
      <c r="F723" s="64"/>
      <c r="G723" s="64"/>
      <c r="H723" s="64"/>
      <c r="I723" s="64"/>
      <c r="J723" s="64"/>
      <c r="K723" s="64"/>
      <c r="L723" s="64"/>
      <c r="M723" s="64"/>
      <c r="N723" s="64"/>
      <c r="O723" s="64"/>
      <c r="P723" s="64"/>
      <c r="Q723" s="64"/>
      <c r="R723" s="64"/>
      <c r="S723" s="64"/>
      <c r="T723" s="64"/>
      <c r="U723" s="64"/>
      <c r="V723" s="64"/>
      <c r="W723" s="64"/>
      <c r="X723" s="64"/>
      <c r="Y723" s="64"/>
      <c r="Z723" s="64"/>
    </row>
    <row r="724" spans="1:26" ht="12.75" customHeight="1" x14ac:dyDescent="0.25">
      <c r="A724" s="64"/>
      <c r="B724" s="64"/>
      <c r="C724" s="64"/>
      <c r="D724" s="64"/>
      <c r="E724" s="64"/>
      <c r="F724" s="64"/>
      <c r="G724" s="64"/>
      <c r="H724" s="64"/>
      <c r="I724" s="64"/>
      <c r="J724" s="64"/>
      <c r="K724" s="64"/>
      <c r="L724" s="64"/>
      <c r="M724" s="64"/>
      <c r="N724" s="64"/>
      <c r="O724" s="64"/>
      <c r="P724" s="64"/>
      <c r="Q724" s="64"/>
      <c r="R724" s="64"/>
      <c r="S724" s="64"/>
      <c r="T724" s="64"/>
      <c r="U724" s="64"/>
      <c r="V724" s="64"/>
      <c r="W724" s="64"/>
      <c r="X724" s="64"/>
      <c r="Y724" s="64"/>
      <c r="Z724" s="64"/>
    </row>
    <row r="725" spans="1:26" ht="12.75" customHeight="1" x14ac:dyDescent="0.25">
      <c r="A725" s="64"/>
      <c r="B725" s="64"/>
      <c r="C725" s="64"/>
      <c r="D725" s="64"/>
      <c r="E725" s="64"/>
      <c r="F725" s="64"/>
      <c r="G725" s="64"/>
      <c r="H725" s="64"/>
      <c r="I725" s="64"/>
      <c r="J725" s="64"/>
      <c r="K725" s="64"/>
      <c r="L725" s="64"/>
      <c r="M725" s="64"/>
      <c r="N725" s="64"/>
      <c r="O725" s="64"/>
      <c r="P725" s="64"/>
      <c r="Q725" s="64"/>
      <c r="R725" s="64"/>
      <c r="S725" s="64"/>
      <c r="T725" s="64"/>
      <c r="U725" s="64"/>
      <c r="V725" s="64"/>
      <c r="W725" s="64"/>
      <c r="X725" s="64"/>
      <c r="Y725" s="64"/>
      <c r="Z725" s="64"/>
    </row>
    <row r="726" spans="1:26" ht="12.75" customHeight="1" x14ac:dyDescent="0.25">
      <c r="A726" s="64"/>
      <c r="B726" s="64"/>
      <c r="C726" s="64"/>
      <c r="D726" s="64"/>
      <c r="E726" s="64"/>
      <c r="F726" s="64"/>
      <c r="G726" s="64"/>
      <c r="H726" s="64"/>
      <c r="I726" s="64"/>
      <c r="J726" s="64"/>
      <c r="K726" s="64"/>
      <c r="L726" s="64"/>
      <c r="M726" s="64"/>
      <c r="N726" s="64"/>
      <c r="O726" s="64"/>
      <c r="P726" s="64"/>
      <c r="Q726" s="64"/>
      <c r="R726" s="64"/>
      <c r="S726" s="64"/>
      <c r="T726" s="64"/>
      <c r="U726" s="64"/>
      <c r="V726" s="64"/>
      <c r="W726" s="64"/>
      <c r="X726" s="64"/>
      <c r="Y726" s="64"/>
      <c r="Z726" s="64"/>
    </row>
    <row r="727" spans="1:26" ht="12.75" customHeight="1" x14ac:dyDescent="0.25">
      <c r="A727" s="64"/>
      <c r="B727" s="64"/>
      <c r="C727" s="64"/>
      <c r="D727" s="64"/>
      <c r="E727" s="64"/>
      <c r="F727" s="64"/>
      <c r="G727" s="64"/>
      <c r="H727" s="64"/>
      <c r="I727" s="64"/>
      <c r="J727" s="64"/>
      <c r="K727" s="64"/>
      <c r="L727" s="64"/>
      <c r="M727" s="64"/>
      <c r="N727" s="64"/>
      <c r="O727" s="64"/>
      <c r="P727" s="64"/>
      <c r="Q727" s="64"/>
      <c r="R727" s="64"/>
      <c r="S727" s="64"/>
      <c r="T727" s="64"/>
      <c r="U727" s="64"/>
      <c r="V727" s="64"/>
      <c r="W727" s="64"/>
      <c r="X727" s="64"/>
      <c r="Y727" s="64"/>
      <c r="Z727" s="64"/>
    </row>
    <row r="728" spans="1:26" ht="12.75" customHeight="1" x14ac:dyDescent="0.25">
      <c r="A728" s="64"/>
      <c r="B728" s="64"/>
      <c r="C728" s="64"/>
      <c r="D728" s="64"/>
      <c r="E728" s="64"/>
      <c r="F728" s="64"/>
      <c r="G728" s="64"/>
      <c r="H728" s="64"/>
      <c r="I728" s="64"/>
      <c r="J728" s="64"/>
      <c r="K728" s="64"/>
      <c r="L728" s="64"/>
      <c r="M728" s="64"/>
      <c r="N728" s="64"/>
      <c r="O728" s="64"/>
      <c r="P728" s="64"/>
      <c r="Q728" s="64"/>
      <c r="R728" s="64"/>
      <c r="S728" s="64"/>
      <c r="T728" s="64"/>
      <c r="U728" s="64"/>
      <c r="V728" s="64"/>
      <c r="W728" s="64"/>
      <c r="X728" s="64"/>
      <c r="Y728" s="64"/>
      <c r="Z728" s="64"/>
    </row>
    <row r="729" spans="1:26" ht="12.75" customHeight="1" x14ac:dyDescent="0.25">
      <c r="A729" s="64"/>
      <c r="B729" s="64"/>
      <c r="C729" s="64"/>
      <c r="D729" s="64"/>
      <c r="E729" s="64"/>
      <c r="F729" s="64"/>
      <c r="G729" s="64"/>
      <c r="H729" s="64"/>
      <c r="I729" s="64"/>
      <c r="J729" s="64"/>
      <c r="K729" s="64"/>
      <c r="L729" s="64"/>
      <c r="M729" s="64"/>
      <c r="N729" s="64"/>
      <c r="O729" s="64"/>
      <c r="P729" s="64"/>
      <c r="Q729" s="64"/>
      <c r="R729" s="64"/>
      <c r="S729" s="64"/>
      <c r="T729" s="64"/>
      <c r="U729" s="64"/>
      <c r="V729" s="64"/>
      <c r="W729" s="64"/>
      <c r="X729" s="64"/>
      <c r="Y729" s="64"/>
      <c r="Z729" s="64"/>
    </row>
    <row r="730" spans="1:26" ht="12.75" customHeight="1" x14ac:dyDescent="0.25">
      <c r="A730" s="64"/>
      <c r="B730" s="64"/>
      <c r="C730" s="64"/>
      <c r="D730" s="64"/>
      <c r="E730" s="64"/>
      <c r="F730" s="64"/>
      <c r="G730" s="64"/>
      <c r="H730" s="64"/>
      <c r="I730" s="64"/>
      <c r="J730" s="64"/>
      <c r="K730" s="64"/>
      <c r="L730" s="64"/>
      <c r="M730" s="64"/>
      <c r="N730" s="64"/>
      <c r="O730" s="64"/>
      <c r="P730" s="64"/>
      <c r="Q730" s="64"/>
      <c r="R730" s="64"/>
      <c r="S730" s="64"/>
      <c r="T730" s="64"/>
      <c r="U730" s="64"/>
      <c r="V730" s="64"/>
      <c r="W730" s="64"/>
      <c r="X730" s="64"/>
      <c r="Y730" s="64"/>
      <c r="Z730" s="64"/>
    </row>
    <row r="731" spans="1:26" ht="12.75" customHeight="1" x14ac:dyDescent="0.25">
      <c r="A731" s="64"/>
      <c r="B731" s="64"/>
      <c r="C731" s="64"/>
      <c r="D731" s="64"/>
      <c r="E731" s="64"/>
      <c r="F731" s="64"/>
      <c r="G731" s="64"/>
      <c r="H731" s="64"/>
      <c r="I731" s="64"/>
      <c r="J731" s="64"/>
      <c r="K731" s="64"/>
      <c r="L731" s="64"/>
      <c r="M731" s="64"/>
      <c r="N731" s="64"/>
      <c r="O731" s="64"/>
      <c r="P731" s="64"/>
      <c r="Q731" s="64"/>
      <c r="R731" s="64"/>
      <c r="S731" s="64"/>
      <c r="T731" s="64"/>
      <c r="U731" s="64"/>
      <c r="V731" s="64"/>
      <c r="W731" s="64"/>
      <c r="X731" s="64"/>
      <c r="Y731" s="64"/>
      <c r="Z731" s="64"/>
    </row>
    <row r="732" spans="1:26" ht="12.75" customHeight="1" x14ac:dyDescent="0.25">
      <c r="A732" s="64"/>
      <c r="B732" s="64"/>
      <c r="C732" s="64"/>
      <c r="D732" s="64"/>
      <c r="E732" s="64"/>
      <c r="F732" s="64"/>
      <c r="G732" s="64"/>
      <c r="H732" s="64"/>
      <c r="I732" s="64"/>
      <c r="J732" s="64"/>
      <c r="K732" s="64"/>
      <c r="L732" s="64"/>
      <c r="M732" s="64"/>
      <c r="N732" s="64"/>
      <c r="O732" s="64"/>
      <c r="P732" s="64"/>
      <c r="Q732" s="64"/>
      <c r="R732" s="64"/>
      <c r="S732" s="64"/>
      <c r="T732" s="64"/>
      <c r="U732" s="64"/>
      <c r="V732" s="64"/>
      <c r="W732" s="64"/>
      <c r="X732" s="64"/>
      <c r="Y732" s="64"/>
      <c r="Z732" s="64"/>
    </row>
    <row r="733" spans="1:26" ht="12.75" customHeight="1" x14ac:dyDescent="0.25">
      <c r="A733" s="64"/>
      <c r="B733" s="64"/>
      <c r="C733" s="64"/>
      <c r="D733" s="64"/>
      <c r="E733" s="64"/>
      <c r="F733" s="64"/>
      <c r="G733" s="64"/>
      <c r="H733" s="64"/>
      <c r="I733" s="64"/>
      <c r="J733" s="64"/>
      <c r="K733" s="64"/>
      <c r="L733" s="64"/>
      <c r="M733" s="64"/>
      <c r="N733" s="64"/>
      <c r="O733" s="64"/>
      <c r="P733" s="64"/>
      <c r="Q733" s="64"/>
      <c r="R733" s="64"/>
      <c r="S733" s="64"/>
      <c r="T733" s="64"/>
      <c r="U733" s="64"/>
      <c r="V733" s="64"/>
      <c r="W733" s="64"/>
      <c r="X733" s="64"/>
      <c r="Y733" s="64"/>
      <c r="Z733" s="64"/>
    </row>
    <row r="734" spans="1:26" ht="12.75" customHeight="1" x14ac:dyDescent="0.25">
      <c r="A734" s="64"/>
      <c r="B734" s="64"/>
      <c r="C734" s="64"/>
      <c r="D734" s="64"/>
      <c r="E734" s="64"/>
      <c r="F734" s="64"/>
      <c r="G734" s="64"/>
      <c r="H734" s="64"/>
      <c r="I734" s="64"/>
      <c r="J734" s="64"/>
      <c r="K734" s="64"/>
      <c r="L734" s="64"/>
      <c r="M734" s="64"/>
      <c r="N734" s="64"/>
      <c r="O734" s="64"/>
      <c r="P734" s="64"/>
      <c r="Q734" s="64"/>
      <c r="R734" s="64"/>
      <c r="S734" s="64"/>
      <c r="T734" s="64"/>
      <c r="U734" s="64"/>
      <c r="V734" s="64"/>
      <c r="W734" s="64"/>
      <c r="X734" s="64"/>
      <c r="Y734" s="64"/>
      <c r="Z734" s="64"/>
    </row>
    <row r="735" spans="1:26" ht="12.75" customHeight="1" x14ac:dyDescent="0.25">
      <c r="A735" s="64"/>
      <c r="B735" s="64"/>
      <c r="C735" s="64"/>
      <c r="D735" s="64"/>
      <c r="E735" s="64"/>
      <c r="F735" s="64"/>
      <c r="G735" s="64"/>
      <c r="H735" s="64"/>
      <c r="I735" s="64"/>
      <c r="J735" s="64"/>
      <c r="K735" s="64"/>
      <c r="L735" s="64"/>
      <c r="M735" s="64"/>
      <c r="N735" s="64"/>
      <c r="O735" s="64"/>
      <c r="P735" s="64"/>
      <c r="Q735" s="64"/>
      <c r="R735" s="64"/>
      <c r="S735" s="64"/>
      <c r="T735" s="64"/>
      <c r="U735" s="64"/>
      <c r="V735" s="64"/>
      <c r="W735" s="64"/>
      <c r="X735" s="64"/>
      <c r="Y735" s="64"/>
      <c r="Z735" s="64"/>
    </row>
    <row r="736" spans="1:26" ht="12.75" customHeight="1" x14ac:dyDescent="0.25">
      <c r="A736" s="64"/>
      <c r="B736" s="64"/>
      <c r="C736" s="64"/>
      <c r="D736" s="64"/>
      <c r="E736" s="64"/>
      <c r="F736" s="64"/>
      <c r="G736" s="64"/>
      <c r="H736" s="64"/>
      <c r="I736" s="64"/>
      <c r="J736" s="64"/>
      <c r="K736" s="64"/>
      <c r="L736" s="64"/>
      <c r="M736" s="64"/>
      <c r="N736" s="64"/>
      <c r="O736" s="64"/>
      <c r="P736" s="64"/>
      <c r="Q736" s="64"/>
      <c r="R736" s="64"/>
      <c r="S736" s="64"/>
      <c r="T736" s="64"/>
      <c r="U736" s="64"/>
      <c r="V736" s="64"/>
      <c r="W736" s="64"/>
      <c r="X736" s="64"/>
      <c r="Y736" s="64"/>
      <c r="Z736" s="64"/>
    </row>
    <row r="737" spans="1:26" ht="12.75" customHeight="1" x14ac:dyDescent="0.25">
      <c r="A737" s="64"/>
      <c r="B737" s="64"/>
      <c r="C737" s="64"/>
      <c r="D737" s="64"/>
      <c r="E737" s="64"/>
      <c r="F737" s="64"/>
      <c r="G737" s="64"/>
      <c r="H737" s="64"/>
      <c r="I737" s="64"/>
      <c r="J737" s="64"/>
      <c r="K737" s="64"/>
      <c r="L737" s="64"/>
      <c r="M737" s="64"/>
      <c r="N737" s="64"/>
      <c r="O737" s="64"/>
      <c r="P737" s="64"/>
      <c r="Q737" s="64"/>
      <c r="R737" s="64"/>
      <c r="S737" s="64"/>
      <c r="T737" s="64"/>
      <c r="U737" s="64"/>
      <c r="V737" s="64"/>
      <c r="W737" s="64"/>
      <c r="X737" s="64"/>
      <c r="Y737" s="64"/>
      <c r="Z737" s="64"/>
    </row>
    <row r="738" spans="1:26" ht="12.75" customHeight="1" x14ac:dyDescent="0.25">
      <c r="A738" s="64"/>
      <c r="B738" s="64"/>
      <c r="C738" s="64"/>
      <c r="D738" s="64"/>
      <c r="E738" s="64"/>
      <c r="F738" s="64"/>
      <c r="G738" s="64"/>
      <c r="H738" s="64"/>
      <c r="I738" s="64"/>
      <c r="J738" s="64"/>
      <c r="K738" s="64"/>
      <c r="L738" s="64"/>
      <c r="M738" s="64"/>
      <c r="N738" s="64"/>
      <c r="O738" s="64"/>
      <c r="P738" s="64"/>
      <c r="Q738" s="64"/>
      <c r="R738" s="64"/>
      <c r="S738" s="64"/>
      <c r="T738" s="64"/>
      <c r="U738" s="64"/>
      <c r="V738" s="64"/>
      <c r="W738" s="64"/>
      <c r="X738" s="64"/>
      <c r="Y738" s="64"/>
      <c r="Z738" s="64"/>
    </row>
    <row r="739" spans="1:26" ht="12.75" customHeight="1" x14ac:dyDescent="0.25">
      <c r="A739" s="64"/>
      <c r="B739" s="64"/>
      <c r="C739" s="64"/>
      <c r="D739" s="64"/>
      <c r="E739" s="64"/>
      <c r="F739" s="64"/>
      <c r="G739" s="64"/>
      <c r="H739" s="64"/>
      <c r="I739" s="64"/>
      <c r="J739" s="64"/>
      <c r="K739" s="64"/>
      <c r="L739" s="64"/>
      <c r="M739" s="64"/>
      <c r="N739" s="64"/>
      <c r="O739" s="64"/>
      <c r="P739" s="64"/>
      <c r="Q739" s="64"/>
      <c r="R739" s="64"/>
      <c r="S739" s="64"/>
      <c r="T739" s="64"/>
      <c r="U739" s="64"/>
      <c r="V739" s="64"/>
      <c r="W739" s="64"/>
      <c r="X739" s="64"/>
      <c r="Y739" s="64"/>
      <c r="Z739" s="64"/>
    </row>
    <row r="740" spans="1:26" ht="12.75" customHeight="1" x14ac:dyDescent="0.25">
      <c r="A740" s="64"/>
      <c r="B740" s="64"/>
      <c r="C740" s="64"/>
      <c r="D740" s="64"/>
      <c r="E740" s="64"/>
      <c r="F740" s="64"/>
      <c r="G740" s="64"/>
      <c r="H740" s="64"/>
      <c r="I740" s="64"/>
      <c r="J740" s="64"/>
      <c r="K740" s="64"/>
      <c r="L740" s="64"/>
      <c r="M740" s="64"/>
      <c r="N740" s="64"/>
      <c r="O740" s="64"/>
      <c r="P740" s="64"/>
      <c r="Q740" s="64"/>
      <c r="R740" s="64"/>
      <c r="S740" s="64"/>
      <c r="T740" s="64"/>
      <c r="U740" s="64"/>
      <c r="V740" s="64"/>
      <c r="W740" s="64"/>
      <c r="X740" s="64"/>
      <c r="Y740" s="64"/>
      <c r="Z740" s="64"/>
    </row>
    <row r="741" spans="1:26" ht="12.75" customHeight="1" x14ac:dyDescent="0.25">
      <c r="A741" s="64"/>
      <c r="B741" s="64"/>
      <c r="C741" s="64"/>
      <c r="D741" s="64"/>
      <c r="E741" s="64"/>
      <c r="F741" s="64"/>
      <c r="G741" s="64"/>
      <c r="H741" s="64"/>
      <c r="I741" s="64"/>
      <c r="J741" s="64"/>
      <c r="K741" s="64"/>
      <c r="L741" s="64"/>
      <c r="M741" s="64"/>
      <c r="N741" s="64"/>
      <c r="O741" s="64"/>
      <c r="P741" s="64"/>
      <c r="Q741" s="64"/>
      <c r="R741" s="64"/>
      <c r="S741" s="64"/>
      <c r="T741" s="64"/>
      <c r="U741" s="64"/>
      <c r="V741" s="64"/>
      <c r="W741" s="64"/>
      <c r="X741" s="64"/>
      <c r="Y741" s="64"/>
      <c r="Z741" s="64"/>
    </row>
    <row r="742" spans="1:26" ht="12.75" customHeight="1" x14ac:dyDescent="0.25">
      <c r="A742" s="64"/>
      <c r="B742" s="64"/>
      <c r="C742" s="64"/>
      <c r="D742" s="64"/>
      <c r="E742" s="64"/>
      <c r="F742" s="64"/>
      <c r="G742" s="64"/>
      <c r="H742" s="64"/>
      <c r="I742" s="64"/>
      <c r="J742" s="64"/>
      <c r="K742" s="64"/>
      <c r="L742" s="64"/>
      <c r="M742" s="64"/>
      <c r="N742" s="64"/>
      <c r="O742" s="64"/>
      <c r="P742" s="64"/>
      <c r="Q742" s="64"/>
      <c r="R742" s="64"/>
      <c r="S742" s="64"/>
      <c r="T742" s="64"/>
      <c r="U742" s="64"/>
      <c r="V742" s="64"/>
      <c r="W742" s="64"/>
      <c r="X742" s="64"/>
      <c r="Y742" s="64"/>
      <c r="Z742" s="64"/>
    </row>
    <row r="743" spans="1:26" ht="12.75" customHeight="1" x14ac:dyDescent="0.25">
      <c r="A743" s="64"/>
      <c r="B743" s="64"/>
      <c r="C743" s="64"/>
      <c r="D743" s="64"/>
      <c r="E743" s="64"/>
      <c r="F743" s="64"/>
      <c r="G743" s="64"/>
      <c r="H743" s="64"/>
      <c r="I743" s="64"/>
      <c r="J743" s="64"/>
      <c r="K743" s="64"/>
      <c r="L743" s="64"/>
      <c r="M743" s="64"/>
      <c r="N743" s="64"/>
      <c r="O743" s="64"/>
      <c r="P743" s="64"/>
      <c r="Q743" s="64"/>
      <c r="R743" s="64"/>
      <c r="S743" s="64"/>
      <c r="T743" s="64"/>
      <c r="U743" s="64"/>
      <c r="V743" s="64"/>
      <c r="W743" s="64"/>
      <c r="X743" s="64"/>
      <c r="Y743" s="64"/>
      <c r="Z743" s="64"/>
    </row>
    <row r="744" spans="1:26" ht="12.75" customHeight="1" x14ac:dyDescent="0.25">
      <c r="A744" s="64"/>
      <c r="B744" s="64"/>
      <c r="C744" s="64"/>
      <c r="D744" s="64"/>
      <c r="E744" s="64"/>
      <c r="F744" s="64"/>
      <c r="G744" s="64"/>
      <c r="H744" s="64"/>
      <c r="I744" s="64"/>
      <c r="J744" s="64"/>
      <c r="K744" s="64"/>
      <c r="L744" s="64"/>
      <c r="M744" s="64"/>
      <c r="N744" s="64"/>
      <c r="O744" s="64"/>
      <c r="P744" s="64"/>
      <c r="Q744" s="64"/>
      <c r="R744" s="64"/>
      <c r="S744" s="64"/>
      <c r="T744" s="64"/>
      <c r="U744" s="64"/>
      <c r="V744" s="64"/>
      <c r="W744" s="64"/>
      <c r="X744" s="64"/>
      <c r="Y744" s="64"/>
      <c r="Z744" s="64"/>
    </row>
    <row r="745" spans="1:26" ht="12.75" customHeight="1" x14ac:dyDescent="0.25">
      <c r="A745" s="64"/>
      <c r="B745" s="64"/>
      <c r="C745" s="64"/>
      <c r="D745" s="64"/>
      <c r="E745" s="64"/>
      <c r="F745" s="64"/>
      <c r="G745" s="64"/>
      <c r="H745" s="64"/>
      <c r="I745" s="64"/>
      <c r="J745" s="64"/>
      <c r="K745" s="64"/>
      <c r="L745" s="64"/>
      <c r="M745" s="64"/>
      <c r="N745" s="64"/>
      <c r="O745" s="64"/>
      <c r="P745" s="64"/>
      <c r="Q745" s="64"/>
      <c r="R745" s="64"/>
      <c r="S745" s="64"/>
      <c r="T745" s="64"/>
      <c r="U745" s="64"/>
      <c r="V745" s="64"/>
      <c r="W745" s="64"/>
      <c r="X745" s="64"/>
      <c r="Y745" s="64"/>
      <c r="Z745" s="64"/>
    </row>
    <row r="746" spans="1:26" ht="12.75" customHeight="1" x14ac:dyDescent="0.25">
      <c r="A746" s="64"/>
      <c r="B746" s="64"/>
      <c r="C746" s="64"/>
      <c r="D746" s="64"/>
      <c r="E746" s="64"/>
      <c r="F746" s="64"/>
      <c r="G746" s="64"/>
      <c r="H746" s="64"/>
      <c r="I746" s="64"/>
      <c r="J746" s="64"/>
      <c r="K746" s="64"/>
      <c r="L746" s="64"/>
      <c r="M746" s="64"/>
      <c r="N746" s="64"/>
      <c r="O746" s="64"/>
      <c r="P746" s="64"/>
      <c r="Q746" s="64"/>
      <c r="R746" s="64"/>
      <c r="S746" s="64"/>
      <c r="T746" s="64"/>
      <c r="U746" s="64"/>
      <c r="V746" s="64"/>
      <c r="W746" s="64"/>
      <c r="X746" s="64"/>
      <c r="Y746" s="64"/>
      <c r="Z746" s="64"/>
    </row>
    <row r="747" spans="1:26" ht="12.75" customHeight="1" x14ac:dyDescent="0.25">
      <c r="A747" s="64"/>
      <c r="B747" s="64"/>
      <c r="C747" s="64"/>
      <c r="D747" s="64"/>
      <c r="E747" s="64"/>
      <c r="F747" s="64"/>
      <c r="G747" s="64"/>
      <c r="H747" s="64"/>
      <c r="I747" s="64"/>
      <c r="J747" s="64"/>
      <c r="K747" s="64"/>
      <c r="L747" s="64"/>
      <c r="M747" s="64"/>
      <c r="N747" s="64"/>
      <c r="O747" s="64"/>
      <c r="P747" s="64"/>
      <c r="Q747" s="64"/>
      <c r="R747" s="64"/>
      <c r="S747" s="64"/>
      <c r="T747" s="64"/>
      <c r="U747" s="64"/>
      <c r="V747" s="64"/>
      <c r="W747" s="64"/>
      <c r="X747" s="64"/>
      <c r="Y747" s="64"/>
      <c r="Z747" s="64"/>
    </row>
    <row r="748" spans="1:26" ht="12.75" customHeight="1" x14ac:dyDescent="0.25">
      <c r="A748" s="64"/>
      <c r="B748" s="64"/>
      <c r="C748" s="64"/>
      <c r="D748" s="64"/>
      <c r="E748" s="64"/>
      <c r="F748" s="64"/>
      <c r="G748" s="64"/>
      <c r="H748" s="64"/>
      <c r="I748" s="64"/>
      <c r="J748" s="64"/>
      <c r="K748" s="64"/>
      <c r="L748" s="64"/>
      <c r="M748" s="64"/>
      <c r="N748" s="64"/>
      <c r="O748" s="64"/>
      <c r="P748" s="64"/>
      <c r="Q748" s="64"/>
      <c r="R748" s="64"/>
      <c r="S748" s="64"/>
      <c r="T748" s="64"/>
      <c r="U748" s="64"/>
      <c r="V748" s="64"/>
      <c r="W748" s="64"/>
      <c r="X748" s="64"/>
      <c r="Y748" s="64"/>
      <c r="Z748" s="64"/>
    </row>
    <row r="749" spans="1:26" ht="12.75" customHeight="1" x14ac:dyDescent="0.25">
      <c r="A749" s="64"/>
      <c r="B749" s="64"/>
      <c r="C749" s="64"/>
      <c r="D749" s="64"/>
      <c r="E749" s="64"/>
      <c r="F749" s="64"/>
      <c r="G749" s="64"/>
      <c r="H749" s="64"/>
      <c r="I749" s="64"/>
      <c r="J749" s="64"/>
      <c r="K749" s="64"/>
      <c r="L749" s="64"/>
      <c r="M749" s="64"/>
      <c r="N749" s="64"/>
      <c r="O749" s="64"/>
      <c r="P749" s="64"/>
      <c r="Q749" s="64"/>
      <c r="R749" s="64"/>
      <c r="S749" s="64"/>
      <c r="T749" s="64"/>
      <c r="U749" s="64"/>
      <c r="V749" s="64"/>
      <c r="W749" s="64"/>
      <c r="X749" s="64"/>
      <c r="Y749" s="64"/>
      <c r="Z749" s="64"/>
    </row>
    <row r="750" spans="1:26" ht="12.75" customHeight="1" x14ac:dyDescent="0.25">
      <c r="A750" s="64"/>
      <c r="B750" s="64"/>
      <c r="C750" s="64"/>
      <c r="D750" s="64"/>
      <c r="E750" s="64"/>
      <c r="F750" s="64"/>
      <c r="G750" s="64"/>
      <c r="H750" s="64"/>
      <c r="I750" s="64"/>
      <c r="J750" s="64"/>
      <c r="K750" s="64"/>
      <c r="L750" s="64"/>
      <c r="M750" s="64"/>
      <c r="N750" s="64"/>
      <c r="O750" s="64"/>
      <c r="P750" s="64"/>
      <c r="Q750" s="64"/>
      <c r="R750" s="64"/>
      <c r="S750" s="64"/>
      <c r="T750" s="64"/>
      <c r="U750" s="64"/>
      <c r="V750" s="64"/>
      <c r="W750" s="64"/>
      <c r="X750" s="64"/>
      <c r="Y750" s="64"/>
      <c r="Z750" s="64"/>
    </row>
    <row r="751" spans="1:26" ht="12.75" customHeight="1" x14ac:dyDescent="0.25">
      <c r="A751" s="64"/>
      <c r="B751" s="64"/>
      <c r="C751" s="64"/>
      <c r="D751" s="64"/>
      <c r="E751" s="64"/>
      <c r="F751" s="64"/>
      <c r="G751" s="64"/>
      <c r="H751" s="64"/>
      <c r="I751" s="64"/>
      <c r="J751" s="64"/>
      <c r="K751" s="64"/>
      <c r="L751" s="64"/>
      <c r="M751" s="64"/>
      <c r="N751" s="64"/>
      <c r="O751" s="64"/>
      <c r="P751" s="64"/>
      <c r="Q751" s="64"/>
      <c r="R751" s="64"/>
      <c r="S751" s="64"/>
      <c r="T751" s="64"/>
      <c r="U751" s="64"/>
      <c r="V751" s="64"/>
      <c r="W751" s="64"/>
      <c r="X751" s="64"/>
      <c r="Y751" s="64"/>
      <c r="Z751" s="64"/>
    </row>
    <row r="752" spans="1:26" ht="12.75" customHeight="1" x14ac:dyDescent="0.25">
      <c r="A752" s="64"/>
      <c r="B752" s="64"/>
      <c r="C752" s="64"/>
      <c r="D752" s="64"/>
      <c r="E752" s="64"/>
      <c r="F752" s="64"/>
      <c r="G752" s="64"/>
      <c r="H752" s="64"/>
      <c r="I752" s="64"/>
      <c r="J752" s="64"/>
      <c r="K752" s="64"/>
      <c r="L752" s="64"/>
      <c r="M752" s="64"/>
      <c r="N752" s="64"/>
      <c r="O752" s="64"/>
      <c r="P752" s="64"/>
      <c r="Q752" s="64"/>
      <c r="R752" s="64"/>
      <c r="S752" s="64"/>
      <c r="T752" s="64"/>
      <c r="U752" s="64"/>
      <c r="V752" s="64"/>
      <c r="W752" s="64"/>
      <c r="X752" s="64"/>
      <c r="Y752" s="64"/>
      <c r="Z752" s="64"/>
    </row>
    <row r="753" spans="1:26" ht="12.75" customHeight="1" x14ac:dyDescent="0.25">
      <c r="A753" s="64"/>
      <c r="B753" s="64"/>
      <c r="C753" s="64"/>
      <c r="D753" s="64"/>
      <c r="E753" s="64"/>
      <c r="F753" s="64"/>
      <c r="G753" s="64"/>
      <c r="H753" s="64"/>
      <c r="I753" s="64"/>
      <c r="J753" s="64"/>
      <c r="K753" s="64"/>
      <c r="L753" s="64"/>
      <c r="M753" s="64"/>
      <c r="N753" s="64"/>
      <c r="O753" s="64"/>
      <c r="P753" s="64"/>
      <c r="Q753" s="64"/>
      <c r="R753" s="64"/>
      <c r="S753" s="64"/>
      <c r="T753" s="64"/>
      <c r="U753" s="64"/>
      <c r="V753" s="64"/>
      <c r="W753" s="64"/>
      <c r="X753" s="64"/>
      <c r="Y753" s="64"/>
      <c r="Z753" s="64"/>
    </row>
    <row r="754" spans="1:26" ht="12.75" customHeight="1" x14ac:dyDescent="0.25">
      <c r="A754" s="64"/>
      <c r="B754" s="64"/>
      <c r="C754" s="64"/>
      <c r="D754" s="64"/>
      <c r="E754" s="64"/>
      <c r="F754" s="64"/>
      <c r="G754" s="64"/>
      <c r="H754" s="64"/>
      <c r="I754" s="64"/>
      <c r="J754" s="64"/>
      <c r="K754" s="64"/>
      <c r="L754" s="64"/>
      <c r="M754" s="64"/>
      <c r="N754" s="64"/>
      <c r="O754" s="64"/>
      <c r="P754" s="64"/>
      <c r="Q754" s="64"/>
      <c r="R754" s="64"/>
      <c r="S754" s="64"/>
      <c r="T754" s="64"/>
      <c r="U754" s="64"/>
      <c r="V754" s="64"/>
      <c r="W754" s="64"/>
      <c r="X754" s="64"/>
      <c r="Y754" s="64"/>
      <c r="Z754" s="64"/>
    </row>
    <row r="755" spans="1:26" ht="12.75" customHeight="1" x14ac:dyDescent="0.25">
      <c r="A755" s="64"/>
      <c r="B755" s="64"/>
      <c r="C755" s="64"/>
      <c r="D755" s="64"/>
      <c r="E755" s="64"/>
      <c r="F755" s="64"/>
      <c r="G755" s="64"/>
      <c r="H755" s="64"/>
      <c r="I755" s="64"/>
      <c r="J755" s="64"/>
      <c r="K755" s="64"/>
      <c r="L755" s="64"/>
      <c r="M755" s="64"/>
      <c r="N755" s="64"/>
      <c r="O755" s="64"/>
      <c r="P755" s="64"/>
      <c r="Q755" s="64"/>
      <c r="R755" s="64"/>
      <c r="S755" s="64"/>
      <c r="T755" s="64"/>
      <c r="U755" s="64"/>
      <c r="V755" s="64"/>
      <c r="W755" s="64"/>
      <c r="X755" s="64"/>
      <c r="Y755" s="64"/>
      <c r="Z755" s="64"/>
    </row>
    <row r="756" spans="1:26" ht="12.75" customHeight="1" x14ac:dyDescent="0.25">
      <c r="A756" s="64"/>
      <c r="B756" s="64"/>
      <c r="C756" s="64"/>
      <c r="D756" s="64"/>
      <c r="E756" s="64"/>
      <c r="F756" s="64"/>
      <c r="G756" s="64"/>
      <c r="H756" s="64"/>
      <c r="I756" s="64"/>
      <c r="J756" s="64"/>
      <c r="K756" s="64"/>
      <c r="L756" s="64"/>
      <c r="M756" s="64"/>
      <c r="N756" s="64"/>
      <c r="O756" s="64"/>
      <c r="P756" s="64"/>
      <c r="Q756" s="64"/>
      <c r="R756" s="64"/>
      <c r="S756" s="64"/>
      <c r="T756" s="64"/>
      <c r="U756" s="64"/>
      <c r="V756" s="64"/>
      <c r="W756" s="64"/>
      <c r="X756" s="64"/>
      <c r="Y756" s="64"/>
      <c r="Z756" s="64"/>
    </row>
    <row r="757" spans="1:26" ht="12.75" customHeight="1" x14ac:dyDescent="0.25">
      <c r="A757" s="64"/>
      <c r="B757" s="64"/>
      <c r="C757" s="64"/>
      <c r="D757" s="64"/>
      <c r="E757" s="64"/>
      <c r="F757" s="64"/>
      <c r="G757" s="64"/>
      <c r="H757" s="64"/>
      <c r="I757" s="64"/>
      <c r="J757" s="64"/>
      <c r="K757" s="64"/>
      <c r="L757" s="64"/>
      <c r="M757" s="64"/>
      <c r="N757" s="64"/>
      <c r="O757" s="64"/>
      <c r="P757" s="64"/>
      <c r="Q757" s="64"/>
      <c r="R757" s="64"/>
      <c r="S757" s="64"/>
      <c r="T757" s="64"/>
      <c r="U757" s="64"/>
      <c r="V757" s="64"/>
      <c r="W757" s="64"/>
      <c r="X757" s="64"/>
      <c r="Y757" s="64"/>
      <c r="Z757" s="64"/>
    </row>
    <row r="758" spans="1:26" ht="12.75" customHeight="1" x14ac:dyDescent="0.25">
      <c r="A758" s="64"/>
      <c r="B758" s="64"/>
      <c r="C758" s="64"/>
      <c r="D758" s="64"/>
      <c r="E758" s="64"/>
      <c r="F758" s="64"/>
      <c r="G758" s="64"/>
      <c r="H758" s="64"/>
      <c r="I758" s="64"/>
      <c r="J758" s="64"/>
      <c r="K758" s="64"/>
      <c r="L758" s="64"/>
      <c r="M758" s="64"/>
      <c r="N758" s="64"/>
      <c r="O758" s="64"/>
      <c r="P758" s="64"/>
      <c r="Q758" s="64"/>
      <c r="R758" s="64"/>
      <c r="S758" s="64"/>
      <c r="T758" s="64"/>
      <c r="U758" s="64"/>
      <c r="V758" s="64"/>
      <c r="W758" s="64"/>
      <c r="X758" s="64"/>
      <c r="Y758" s="64"/>
      <c r="Z758" s="64"/>
    </row>
    <row r="759" spans="1:26" ht="12.75" customHeight="1" x14ac:dyDescent="0.25">
      <c r="A759" s="64"/>
      <c r="B759" s="64"/>
      <c r="C759" s="64"/>
      <c r="D759" s="64"/>
      <c r="E759" s="64"/>
      <c r="F759" s="64"/>
      <c r="G759" s="64"/>
      <c r="H759" s="64"/>
      <c r="I759" s="64"/>
      <c r="J759" s="64"/>
      <c r="K759" s="64"/>
      <c r="L759" s="64"/>
      <c r="M759" s="64"/>
      <c r="N759" s="64"/>
      <c r="O759" s="64"/>
      <c r="P759" s="64"/>
      <c r="Q759" s="64"/>
      <c r="R759" s="64"/>
      <c r="S759" s="64"/>
      <c r="T759" s="64"/>
      <c r="U759" s="64"/>
      <c r="V759" s="64"/>
      <c r="W759" s="64"/>
      <c r="X759" s="64"/>
      <c r="Y759" s="64"/>
      <c r="Z759" s="64"/>
    </row>
    <row r="760" spans="1:26" ht="12.75" customHeight="1" x14ac:dyDescent="0.25">
      <c r="A760" s="64"/>
      <c r="B760" s="64"/>
      <c r="C760" s="64"/>
      <c r="D760" s="64"/>
      <c r="E760" s="64"/>
      <c r="F760" s="64"/>
      <c r="G760" s="64"/>
      <c r="H760" s="64"/>
      <c r="I760" s="64"/>
      <c r="J760" s="64"/>
      <c r="K760" s="64"/>
      <c r="L760" s="64"/>
      <c r="M760" s="64"/>
      <c r="N760" s="64"/>
      <c r="O760" s="64"/>
      <c r="P760" s="64"/>
      <c r="Q760" s="64"/>
      <c r="R760" s="64"/>
      <c r="S760" s="64"/>
      <c r="T760" s="64"/>
      <c r="U760" s="64"/>
      <c r="V760" s="64"/>
      <c r="W760" s="64"/>
      <c r="X760" s="64"/>
      <c r="Y760" s="64"/>
      <c r="Z760" s="64"/>
    </row>
    <row r="761" spans="1:26" ht="12.75" customHeight="1" x14ac:dyDescent="0.25">
      <c r="A761" s="64"/>
      <c r="B761" s="64"/>
      <c r="C761" s="64"/>
      <c r="D761" s="64"/>
      <c r="E761" s="64"/>
      <c r="F761" s="64"/>
      <c r="G761" s="64"/>
      <c r="H761" s="64"/>
      <c r="I761" s="64"/>
      <c r="J761" s="64"/>
      <c r="K761" s="64"/>
      <c r="L761" s="64"/>
      <c r="M761" s="64"/>
      <c r="N761" s="64"/>
      <c r="O761" s="64"/>
      <c r="P761" s="64"/>
      <c r="Q761" s="64"/>
      <c r="R761" s="64"/>
      <c r="S761" s="64"/>
      <c r="T761" s="64"/>
      <c r="U761" s="64"/>
      <c r="V761" s="64"/>
      <c r="W761" s="64"/>
      <c r="X761" s="64"/>
      <c r="Y761" s="64"/>
      <c r="Z761" s="64"/>
    </row>
    <row r="762" spans="1:26" ht="12.75" customHeight="1" x14ac:dyDescent="0.25">
      <c r="A762" s="64"/>
      <c r="B762" s="64"/>
      <c r="C762" s="64"/>
      <c r="D762" s="64"/>
      <c r="E762" s="64"/>
      <c r="F762" s="64"/>
      <c r="G762" s="64"/>
      <c r="H762" s="64"/>
      <c r="I762" s="64"/>
      <c r="J762" s="64"/>
      <c r="K762" s="64"/>
      <c r="L762" s="64"/>
      <c r="M762" s="64"/>
      <c r="N762" s="64"/>
      <c r="O762" s="64"/>
      <c r="P762" s="64"/>
      <c r="Q762" s="64"/>
      <c r="R762" s="64"/>
      <c r="S762" s="64"/>
      <c r="T762" s="64"/>
      <c r="U762" s="64"/>
      <c r="V762" s="64"/>
      <c r="W762" s="64"/>
      <c r="X762" s="64"/>
      <c r="Y762" s="64"/>
      <c r="Z762" s="64"/>
    </row>
    <row r="763" spans="1:26" ht="12.75" customHeight="1" x14ac:dyDescent="0.25">
      <c r="A763" s="64"/>
      <c r="B763" s="64"/>
      <c r="C763" s="64"/>
      <c r="D763" s="64"/>
      <c r="E763" s="64"/>
      <c r="F763" s="64"/>
      <c r="G763" s="64"/>
      <c r="H763" s="64"/>
      <c r="I763" s="64"/>
      <c r="J763" s="64"/>
      <c r="K763" s="64"/>
      <c r="L763" s="64"/>
      <c r="M763" s="64"/>
      <c r="N763" s="64"/>
      <c r="O763" s="64"/>
      <c r="P763" s="64"/>
      <c r="Q763" s="64"/>
      <c r="R763" s="64"/>
      <c r="S763" s="64"/>
      <c r="T763" s="64"/>
      <c r="U763" s="64"/>
      <c r="V763" s="64"/>
      <c r="W763" s="64"/>
      <c r="X763" s="64"/>
      <c r="Y763" s="64"/>
      <c r="Z763" s="64"/>
    </row>
    <row r="764" spans="1:26" ht="12.75" customHeight="1" x14ac:dyDescent="0.25">
      <c r="A764" s="64"/>
      <c r="B764" s="64"/>
      <c r="C764" s="64"/>
      <c r="D764" s="64"/>
      <c r="E764" s="64"/>
      <c r="F764" s="64"/>
      <c r="G764" s="64"/>
      <c r="H764" s="64"/>
      <c r="I764" s="64"/>
      <c r="J764" s="64"/>
      <c r="K764" s="64"/>
      <c r="L764" s="64"/>
      <c r="M764" s="64"/>
      <c r="N764" s="64"/>
      <c r="O764" s="64"/>
      <c r="P764" s="64"/>
      <c r="Q764" s="64"/>
      <c r="R764" s="64"/>
      <c r="S764" s="64"/>
      <c r="T764" s="64"/>
      <c r="U764" s="64"/>
      <c r="V764" s="64"/>
      <c r="W764" s="64"/>
      <c r="X764" s="64"/>
      <c r="Y764" s="64"/>
      <c r="Z764" s="64"/>
    </row>
    <row r="765" spans="1:26" ht="12.75" customHeight="1" x14ac:dyDescent="0.25">
      <c r="A765" s="64"/>
      <c r="B765" s="64"/>
      <c r="C765" s="64"/>
      <c r="D765" s="64"/>
      <c r="E765" s="64"/>
      <c r="F765" s="64"/>
      <c r="G765" s="64"/>
      <c r="H765" s="64"/>
      <c r="I765" s="64"/>
      <c r="J765" s="64"/>
      <c r="K765" s="64"/>
      <c r="L765" s="64"/>
      <c r="M765" s="64"/>
      <c r="N765" s="64"/>
      <c r="O765" s="64"/>
      <c r="P765" s="64"/>
      <c r="Q765" s="64"/>
      <c r="R765" s="64"/>
      <c r="S765" s="64"/>
      <c r="T765" s="64"/>
      <c r="U765" s="64"/>
      <c r="V765" s="64"/>
      <c r="W765" s="64"/>
      <c r="X765" s="64"/>
      <c r="Y765" s="64"/>
      <c r="Z765" s="64"/>
    </row>
    <row r="766" spans="1:26" ht="12.75" customHeight="1" x14ac:dyDescent="0.25">
      <c r="A766" s="64"/>
      <c r="B766" s="64"/>
      <c r="C766" s="64"/>
      <c r="D766" s="64"/>
      <c r="E766" s="64"/>
      <c r="F766" s="64"/>
      <c r="G766" s="64"/>
      <c r="H766" s="64"/>
      <c r="I766" s="64"/>
      <c r="J766" s="64"/>
      <c r="K766" s="64"/>
      <c r="L766" s="64"/>
      <c r="M766" s="64"/>
      <c r="N766" s="64"/>
      <c r="O766" s="64"/>
      <c r="P766" s="64"/>
      <c r="Q766" s="64"/>
      <c r="R766" s="64"/>
      <c r="S766" s="64"/>
      <c r="T766" s="64"/>
      <c r="U766" s="64"/>
      <c r="V766" s="64"/>
      <c r="W766" s="64"/>
      <c r="X766" s="64"/>
      <c r="Y766" s="64"/>
      <c r="Z766" s="64"/>
    </row>
    <row r="767" spans="1:26" ht="12.75" customHeight="1" x14ac:dyDescent="0.25">
      <c r="A767" s="64"/>
      <c r="B767" s="64"/>
      <c r="C767" s="64"/>
      <c r="D767" s="64"/>
      <c r="E767" s="64"/>
      <c r="F767" s="64"/>
      <c r="G767" s="64"/>
      <c r="H767" s="64"/>
      <c r="I767" s="64"/>
      <c r="J767" s="64"/>
      <c r="K767" s="64"/>
      <c r="L767" s="64"/>
      <c r="M767" s="64"/>
      <c r="N767" s="64"/>
      <c r="O767" s="64"/>
      <c r="P767" s="64"/>
      <c r="Q767" s="64"/>
      <c r="R767" s="64"/>
      <c r="S767" s="64"/>
      <c r="T767" s="64"/>
      <c r="U767" s="64"/>
      <c r="V767" s="64"/>
      <c r="W767" s="64"/>
      <c r="X767" s="64"/>
      <c r="Y767" s="64"/>
      <c r="Z767" s="64"/>
    </row>
    <row r="768" spans="1:26" ht="12.75" customHeight="1" x14ac:dyDescent="0.25">
      <c r="A768" s="64"/>
      <c r="B768" s="64"/>
      <c r="C768" s="64"/>
      <c r="D768" s="64"/>
      <c r="E768" s="64"/>
      <c r="F768" s="64"/>
      <c r="G768" s="64"/>
      <c r="H768" s="64"/>
      <c r="I768" s="64"/>
      <c r="J768" s="64"/>
      <c r="K768" s="64"/>
      <c r="L768" s="64"/>
      <c r="M768" s="64"/>
      <c r="N768" s="64"/>
      <c r="O768" s="64"/>
      <c r="P768" s="64"/>
      <c r="Q768" s="64"/>
      <c r="R768" s="64"/>
      <c r="S768" s="64"/>
      <c r="T768" s="64"/>
      <c r="U768" s="64"/>
      <c r="V768" s="64"/>
      <c r="W768" s="64"/>
      <c r="X768" s="64"/>
      <c r="Y768" s="64"/>
      <c r="Z768" s="64"/>
    </row>
    <row r="769" spans="1:26" ht="12.75" customHeight="1" x14ac:dyDescent="0.25">
      <c r="A769" s="64"/>
      <c r="B769" s="64"/>
      <c r="C769" s="64"/>
      <c r="D769" s="64"/>
      <c r="E769" s="64"/>
      <c r="F769" s="64"/>
      <c r="G769" s="64"/>
      <c r="H769" s="64"/>
      <c r="I769" s="64"/>
      <c r="J769" s="64"/>
      <c r="K769" s="64"/>
      <c r="L769" s="64"/>
      <c r="M769" s="64"/>
      <c r="N769" s="64"/>
      <c r="O769" s="64"/>
      <c r="P769" s="64"/>
      <c r="Q769" s="64"/>
      <c r="R769" s="64"/>
      <c r="S769" s="64"/>
      <c r="T769" s="64"/>
      <c r="U769" s="64"/>
      <c r="V769" s="64"/>
      <c r="W769" s="64"/>
      <c r="X769" s="64"/>
      <c r="Y769" s="64"/>
      <c r="Z769" s="64"/>
    </row>
    <row r="770" spans="1:26" ht="12.75" customHeight="1" x14ac:dyDescent="0.25">
      <c r="A770" s="64"/>
      <c r="B770" s="64"/>
      <c r="C770" s="64"/>
      <c r="D770" s="64"/>
      <c r="E770" s="64"/>
      <c r="F770" s="64"/>
      <c r="G770" s="64"/>
      <c r="H770" s="64"/>
      <c r="I770" s="64"/>
      <c r="J770" s="64"/>
      <c r="K770" s="64"/>
      <c r="L770" s="64"/>
      <c r="M770" s="64"/>
      <c r="N770" s="64"/>
      <c r="O770" s="64"/>
      <c r="P770" s="64"/>
      <c r="Q770" s="64"/>
      <c r="R770" s="64"/>
      <c r="S770" s="64"/>
      <c r="T770" s="64"/>
      <c r="U770" s="64"/>
      <c r="V770" s="64"/>
      <c r="W770" s="64"/>
      <c r="X770" s="64"/>
      <c r="Y770" s="64"/>
      <c r="Z770" s="64"/>
    </row>
    <row r="771" spans="1:26" ht="12.75" customHeight="1" x14ac:dyDescent="0.25">
      <c r="A771" s="64"/>
      <c r="B771" s="64"/>
      <c r="C771" s="64"/>
      <c r="D771" s="64"/>
      <c r="E771" s="64"/>
      <c r="F771" s="64"/>
      <c r="G771" s="64"/>
      <c r="H771" s="64"/>
      <c r="I771" s="64"/>
      <c r="J771" s="64"/>
      <c r="K771" s="64"/>
      <c r="L771" s="64"/>
      <c r="M771" s="64"/>
      <c r="N771" s="64"/>
      <c r="O771" s="64"/>
      <c r="P771" s="64"/>
      <c r="Q771" s="64"/>
      <c r="R771" s="64"/>
      <c r="S771" s="64"/>
      <c r="T771" s="64"/>
      <c r="U771" s="64"/>
      <c r="V771" s="64"/>
      <c r="W771" s="64"/>
      <c r="X771" s="64"/>
      <c r="Y771" s="64"/>
      <c r="Z771" s="64"/>
    </row>
    <row r="772" spans="1:26" ht="12.75" customHeight="1" x14ac:dyDescent="0.25">
      <c r="A772" s="64"/>
      <c r="B772" s="64"/>
      <c r="C772" s="64"/>
      <c r="D772" s="64"/>
      <c r="E772" s="64"/>
      <c r="F772" s="64"/>
      <c r="G772" s="64"/>
      <c r="H772" s="64"/>
      <c r="I772" s="64"/>
      <c r="J772" s="64"/>
      <c r="K772" s="64"/>
      <c r="L772" s="64"/>
      <c r="M772" s="64"/>
      <c r="N772" s="64"/>
      <c r="O772" s="64"/>
      <c r="P772" s="64"/>
      <c r="Q772" s="64"/>
      <c r="R772" s="64"/>
      <c r="S772" s="64"/>
      <c r="T772" s="64"/>
      <c r="U772" s="64"/>
      <c r="V772" s="64"/>
      <c r="W772" s="64"/>
      <c r="X772" s="64"/>
      <c r="Y772" s="64"/>
      <c r="Z772" s="64"/>
    </row>
    <row r="773" spans="1:26" ht="12.75" customHeight="1" x14ac:dyDescent="0.25">
      <c r="A773" s="64"/>
      <c r="B773" s="64"/>
      <c r="C773" s="64"/>
      <c r="D773" s="64"/>
      <c r="E773" s="64"/>
      <c r="F773" s="64"/>
      <c r="G773" s="64"/>
      <c r="H773" s="64"/>
      <c r="I773" s="64"/>
      <c r="J773" s="64"/>
      <c r="K773" s="64"/>
      <c r="L773" s="64"/>
      <c r="M773" s="64"/>
      <c r="N773" s="64"/>
      <c r="O773" s="64"/>
      <c r="P773" s="64"/>
      <c r="Q773" s="64"/>
      <c r="R773" s="64"/>
      <c r="S773" s="64"/>
      <c r="T773" s="64"/>
      <c r="U773" s="64"/>
      <c r="V773" s="64"/>
      <c r="W773" s="64"/>
      <c r="X773" s="64"/>
      <c r="Y773" s="64"/>
      <c r="Z773" s="64"/>
    </row>
    <row r="774" spans="1:26" ht="12.75" customHeight="1" x14ac:dyDescent="0.25">
      <c r="A774" s="64"/>
      <c r="B774" s="64"/>
      <c r="C774" s="64"/>
      <c r="D774" s="64"/>
      <c r="E774" s="64"/>
      <c r="F774" s="64"/>
      <c r="G774" s="64"/>
      <c r="H774" s="64"/>
      <c r="I774" s="64"/>
      <c r="J774" s="64"/>
      <c r="K774" s="64"/>
      <c r="L774" s="64"/>
      <c r="M774" s="64"/>
      <c r="N774" s="64"/>
      <c r="O774" s="64"/>
      <c r="P774" s="64"/>
      <c r="Q774" s="64"/>
      <c r="R774" s="64"/>
      <c r="S774" s="64"/>
      <c r="T774" s="64"/>
      <c r="U774" s="64"/>
      <c r="V774" s="64"/>
      <c r="W774" s="64"/>
      <c r="X774" s="64"/>
      <c r="Y774" s="64"/>
      <c r="Z774" s="64"/>
    </row>
    <row r="775" spans="1:26" ht="12.75" customHeight="1" x14ac:dyDescent="0.25">
      <c r="A775" s="64"/>
      <c r="B775" s="64"/>
      <c r="C775" s="64"/>
      <c r="D775" s="64"/>
      <c r="E775" s="64"/>
      <c r="F775" s="64"/>
      <c r="G775" s="64"/>
      <c r="H775" s="64"/>
      <c r="I775" s="64"/>
      <c r="J775" s="64"/>
      <c r="K775" s="64"/>
      <c r="L775" s="64"/>
      <c r="M775" s="64"/>
      <c r="N775" s="64"/>
      <c r="O775" s="64"/>
      <c r="P775" s="64"/>
      <c r="Q775" s="64"/>
      <c r="R775" s="64"/>
      <c r="S775" s="64"/>
      <c r="T775" s="64"/>
      <c r="U775" s="64"/>
      <c r="V775" s="64"/>
      <c r="W775" s="64"/>
      <c r="X775" s="64"/>
      <c r="Y775" s="64"/>
      <c r="Z775" s="64"/>
    </row>
    <row r="776" spans="1:26" ht="12.75" customHeight="1" x14ac:dyDescent="0.25">
      <c r="A776" s="64"/>
      <c r="B776" s="64"/>
      <c r="C776" s="64"/>
      <c r="D776" s="64"/>
      <c r="E776" s="64"/>
      <c r="F776" s="64"/>
      <c r="G776" s="64"/>
      <c r="H776" s="64"/>
      <c r="I776" s="64"/>
      <c r="J776" s="64"/>
      <c r="K776" s="64"/>
      <c r="L776" s="64"/>
      <c r="M776" s="64"/>
      <c r="N776" s="64"/>
      <c r="O776" s="64"/>
      <c r="P776" s="64"/>
      <c r="Q776" s="64"/>
      <c r="R776" s="64"/>
      <c r="S776" s="64"/>
      <c r="T776" s="64"/>
      <c r="U776" s="64"/>
      <c r="V776" s="64"/>
      <c r="W776" s="64"/>
      <c r="X776" s="64"/>
      <c r="Y776" s="64"/>
      <c r="Z776" s="64"/>
    </row>
    <row r="777" spans="1:26" ht="12.75" customHeight="1" x14ac:dyDescent="0.25">
      <c r="A777" s="64"/>
      <c r="B777" s="64"/>
      <c r="C777" s="64"/>
      <c r="D777" s="64"/>
      <c r="E777" s="64"/>
      <c r="F777" s="64"/>
      <c r="G777" s="64"/>
      <c r="H777" s="64"/>
      <c r="I777" s="64"/>
      <c r="J777" s="64"/>
      <c r="K777" s="64"/>
      <c r="L777" s="64"/>
      <c r="M777" s="64"/>
      <c r="N777" s="64"/>
      <c r="O777" s="64"/>
      <c r="P777" s="64"/>
      <c r="Q777" s="64"/>
      <c r="R777" s="64"/>
      <c r="S777" s="64"/>
      <c r="T777" s="64"/>
      <c r="U777" s="64"/>
      <c r="V777" s="64"/>
      <c r="W777" s="64"/>
      <c r="X777" s="64"/>
      <c r="Y777" s="64"/>
      <c r="Z777" s="64"/>
    </row>
    <row r="778" spans="1:26" ht="12.75" customHeight="1" x14ac:dyDescent="0.25">
      <c r="A778" s="64"/>
      <c r="B778" s="64"/>
      <c r="C778" s="64"/>
      <c r="D778" s="64"/>
      <c r="E778" s="64"/>
      <c r="F778" s="64"/>
      <c r="G778" s="64"/>
      <c r="H778" s="64"/>
      <c r="I778" s="64"/>
      <c r="J778" s="64"/>
      <c r="K778" s="64"/>
      <c r="L778" s="64"/>
      <c r="M778" s="64"/>
      <c r="N778" s="64"/>
      <c r="O778" s="64"/>
      <c r="P778" s="64"/>
      <c r="Q778" s="64"/>
      <c r="R778" s="64"/>
      <c r="S778" s="64"/>
      <c r="T778" s="64"/>
      <c r="U778" s="64"/>
      <c r="V778" s="64"/>
      <c r="W778" s="64"/>
      <c r="X778" s="64"/>
      <c r="Y778" s="64"/>
      <c r="Z778" s="64"/>
    </row>
    <row r="779" spans="1:26" ht="12.75" customHeight="1" x14ac:dyDescent="0.25">
      <c r="A779" s="64"/>
      <c r="B779" s="64"/>
      <c r="C779" s="64"/>
      <c r="D779" s="64"/>
      <c r="E779" s="64"/>
      <c r="F779" s="64"/>
      <c r="G779" s="64"/>
      <c r="H779" s="64"/>
      <c r="I779" s="64"/>
      <c r="J779" s="64"/>
      <c r="K779" s="64"/>
      <c r="L779" s="64"/>
      <c r="M779" s="64"/>
      <c r="N779" s="64"/>
      <c r="O779" s="64"/>
      <c r="P779" s="64"/>
      <c r="Q779" s="64"/>
      <c r="R779" s="64"/>
      <c r="S779" s="64"/>
      <c r="T779" s="64"/>
      <c r="U779" s="64"/>
      <c r="V779" s="64"/>
      <c r="W779" s="64"/>
      <c r="X779" s="64"/>
      <c r="Y779" s="64"/>
      <c r="Z779" s="64"/>
    </row>
    <row r="780" spans="1:26" ht="12.75" customHeight="1" x14ac:dyDescent="0.25">
      <c r="A780" s="64"/>
      <c r="B780" s="64"/>
      <c r="C780" s="64"/>
      <c r="D780" s="64"/>
      <c r="E780" s="64"/>
      <c r="F780" s="64"/>
      <c r="G780" s="64"/>
      <c r="H780" s="64"/>
      <c r="I780" s="64"/>
      <c r="J780" s="64"/>
      <c r="K780" s="64"/>
      <c r="L780" s="64"/>
      <c r="M780" s="64"/>
      <c r="N780" s="64"/>
      <c r="O780" s="64"/>
      <c r="P780" s="64"/>
      <c r="Q780" s="64"/>
      <c r="R780" s="64"/>
      <c r="S780" s="64"/>
      <c r="T780" s="64"/>
      <c r="U780" s="64"/>
      <c r="V780" s="64"/>
      <c r="W780" s="64"/>
      <c r="X780" s="64"/>
      <c r="Y780" s="64"/>
      <c r="Z780" s="64"/>
    </row>
    <row r="781" spans="1:26" ht="12.75" customHeight="1" x14ac:dyDescent="0.25">
      <c r="A781" s="64"/>
      <c r="B781" s="64"/>
      <c r="C781" s="64"/>
      <c r="D781" s="64"/>
      <c r="E781" s="64"/>
      <c r="F781" s="64"/>
      <c r="G781" s="64"/>
      <c r="H781" s="64"/>
      <c r="I781" s="64"/>
      <c r="J781" s="64"/>
      <c r="K781" s="64"/>
      <c r="L781" s="64"/>
      <c r="M781" s="64"/>
      <c r="N781" s="64"/>
      <c r="O781" s="64"/>
      <c r="P781" s="64"/>
      <c r="Q781" s="64"/>
      <c r="R781" s="64"/>
      <c r="S781" s="64"/>
      <c r="T781" s="64"/>
      <c r="U781" s="64"/>
      <c r="V781" s="64"/>
      <c r="W781" s="64"/>
      <c r="X781" s="64"/>
      <c r="Y781" s="64"/>
      <c r="Z781" s="64"/>
    </row>
    <row r="782" spans="1:26" ht="12.75" customHeight="1" x14ac:dyDescent="0.25">
      <c r="A782" s="64"/>
      <c r="B782" s="64"/>
      <c r="C782" s="64"/>
      <c r="D782" s="64"/>
      <c r="E782" s="64"/>
      <c r="F782" s="64"/>
      <c r="G782" s="64"/>
      <c r="H782" s="64"/>
      <c r="I782" s="64"/>
      <c r="J782" s="64"/>
      <c r="K782" s="64"/>
      <c r="L782" s="64"/>
      <c r="M782" s="64"/>
      <c r="N782" s="64"/>
      <c r="O782" s="64"/>
      <c r="P782" s="64"/>
      <c r="Q782" s="64"/>
      <c r="R782" s="64"/>
      <c r="S782" s="64"/>
      <c r="T782" s="64"/>
      <c r="U782" s="64"/>
      <c r="V782" s="64"/>
      <c r="W782" s="64"/>
      <c r="X782" s="64"/>
      <c r="Y782" s="64"/>
      <c r="Z782" s="64"/>
    </row>
    <row r="783" spans="1:26" ht="12.75" customHeight="1" x14ac:dyDescent="0.25">
      <c r="A783" s="64"/>
      <c r="B783" s="64"/>
      <c r="C783" s="64"/>
      <c r="D783" s="64"/>
      <c r="E783" s="64"/>
      <c r="F783" s="64"/>
      <c r="G783" s="64"/>
      <c r="H783" s="64"/>
      <c r="I783" s="64"/>
      <c r="J783" s="64"/>
      <c r="K783" s="64"/>
      <c r="L783" s="64"/>
      <c r="M783" s="64"/>
      <c r="N783" s="64"/>
      <c r="O783" s="64"/>
      <c r="P783" s="64"/>
      <c r="Q783" s="64"/>
      <c r="R783" s="64"/>
      <c r="S783" s="64"/>
      <c r="T783" s="64"/>
      <c r="U783" s="64"/>
      <c r="V783" s="64"/>
      <c r="W783" s="64"/>
      <c r="X783" s="64"/>
      <c r="Y783" s="64"/>
      <c r="Z783" s="64"/>
    </row>
    <row r="784" spans="1:26" ht="12.75" customHeight="1" x14ac:dyDescent="0.25">
      <c r="A784" s="64"/>
      <c r="B784" s="64"/>
      <c r="C784" s="64"/>
      <c r="D784" s="64"/>
      <c r="E784" s="64"/>
      <c r="F784" s="64"/>
      <c r="G784" s="64"/>
      <c r="H784" s="64"/>
      <c r="I784" s="64"/>
      <c r="J784" s="64"/>
      <c r="K784" s="64"/>
      <c r="L784" s="64"/>
      <c r="M784" s="64"/>
      <c r="N784" s="64"/>
      <c r="O784" s="64"/>
      <c r="P784" s="64"/>
      <c r="Q784" s="64"/>
      <c r="R784" s="64"/>
      <c r="S784" s="64"/>
      <c r="T784" s="64"/>
      <c r="U784" s="64"/>
      <c r="V784" s="64"/>
      <c r="W784" s="64"/>
      <c r="X784" s="64"/>
      <c r="Y784" s="64"/>
      <c r="Z784" s="64"/>
    </row>
    <row r="785" spans="1:26" ht="12.75" customHeight="1" x14ac:dyDescent="0.25">
      <c r="A785" s="64"/>
      <c r="B785" s="64"/>
      <c r="C785" s="64"/>
      <c r="D785" s="64"/>
      <c r="E785" s="64"/>
      <c r="F785" s="64"/>
      <c r="G785" s="64"/>
      <c r="H785" s="64"/>
      <c r="I785" s="64"/>
      <c r="J785" s="64"/>
      <c r="K785" s="64"/>
      <c r="L785" s="64"/>
      <c r="M785" s="64"/>
      <c r="N785" s="64"/>
      <c r="O785" s="64"/>
      <c r="P785" s="64"/>
      <c r="Q785" s="64"/>
      <c r="R785" s="64"/>
      <c r="S785" s="64"/>
      <c r="T785" s="64"/>
      <c r="U785" s="64"/>
      <c r="V785" s="64"/>
      <c r="W785" s="64"/>
      <c r="X785" s="64"/>
      <c r="Y785" s="64"/>
      <c r="Z785" s="64"/>
    </row>
    <row r="786" spans="1:26" ht="12.75" customHeight="1" x14ac:dyDescent="0.25">
      <c r="A786" s="64"/>
      <c r="B786" s="64"/>
      <c r="C786" s="64"/>
      <c r="D786" s="64"/>
      <c r="E786" s="64"/>
      <c r="F786" s="64"/>
      <c r="G786" s="64"/>
      <c r="H786" s="64"/>
      <c r="I786" s="64"/>
      <c r="J786" s="64"/>
      <c r="K786" s="64"/>
      <c r="L786" s="64"/>
      <c r="M786" s="64"/>
      <c r="N786" s="64"/>
      <c r="O786" s="64"/>
      <c r="P786" s="64"/>
      <c r="Q786" s="64"/>
      <c r="R786" s="64"/>
      <c r="S786" s="64"/>
      <c r="T786" s="64"/>
      <c r="U786" s="64"/>
      <c r="V786" s="64"/>
      <c r="W786" s="64"/>
      <c r="X786" s="64"/>
      <c r="Y786" s="64"/>
      <c r="Z786" s="64"/>
    </row>
    <row r="787" spans="1:26" ht="12.75" customHeight="1" x14ac:dyDescent="0.25">
      <c r="A787" s="64"/>
      <c r="B787" s="64"/>
      <c r="C787" s="64"/>
      <c r="D787" s="64"/>
      <c r="E787" s="64"/>
      <c r="F787" s="64"/>
      <c r="G787" s="64"/>
      <c r="H787" s="64"/>
      <c r="I787" s="64"/>
      <c r="J787" s="64"/>
      <c r="K787" s="64"/>
      <c r="L787" s="64"/>
      <c r="M787" s="64"/>
      <c r="N787" s="64"/>
      <c r="O787" s="64"/>
      <c r="P787" s="64"/>
      <c r="Q787" s="64"/>
      <c r="R787" s="64"/>
      <c r="S787" s="64"/>
      <c r="T787" s="64"/>
      <c r="U787" s="64"/>
      <c r="V787" s="64"/>
      <c r="W787" s="64"/>
      <c r="X787" s="64"/>
      <c r="Y787" s="64"/>
      <c r="Z787" s="64"/>
    </row>
    <row r="788" spans="1:26" ht="12.75" customHeight="1" x14ac:dyDescent="0.25">
      <c r="A788" s="64"/>
      <c r="B788" s="64"/>
      <c r="C788" s="64"/>
      <c r="D788" s="64"/>
      <c r="E788" s="64"/>
      <c r="F788" s="64"/>
      <c r="G788" s="64"/>
      <c r="H788" s="64"/>
      <c r="I788" s="64"/>
      <c r="J788" s="64"/>
      <c r="K788" s="64"/>
      <c r="L788" s="64"/>
      <c r="M788" s="64"/>
      <c r="N788" s="64"/>
      <c r="O788" s="64"/>
      <c r="P788" s="64"/>
      <c r="Q788" s="64"/>
      <c r="R788" s="64"/>
      <c r="S788" s="64"/>
      <c r="T788" s="64"/>
      <c r="U788" s="64"/>
      <c r="V788" s="64"/>
      <c r="W788" s="64"/>
      <c r="X788" s="64"/>
      <c r="Y788" s="64"/>
      <c r="Z788" s="64"/>
    </row>
    <row r="789" spans="1:26" ht="12.75" customHeight="1" x14ac:dyDescent="0.25">
      <c r="A789" s="64"/>
      <c r="B789" s="64"/>
      <c r="C789" s="64"/>
      <c r="D789" s="64"/>
      <c r="E789" s="64"/>
      <c r="F789" s="64"/>
      <c r="G789" s="64"/>
      <c r="H789" s="64"/>
      <c r="I789" s="64"/>
      <c r="J789" s="64"/>
      <c r="K789" s="64"/>
      <c r="L789" s="64"/>
      <c r="M789" s="64"/>
      <c r="N789" s="64"/>
      <c r="O789" s="64"/>
      <c r="P789" s="64"/>
      <c r="Q789" s="64"/>
      <c r="R789" s="64"/>
      <c r="S789" s="64"/>
      <c r="T789" s="64"/>
      <c r="U789" s="64"/>
      <c r="V789" s="64"/>
      <c r="W789" s="64"/>
      <c r="X789" s="64"/>
      <c r="Y789" s="64"/>
      <c r="Z789" s="64"/>
    </row>
    <row r="790" spans="1:26" ht="12.75" customHeight="1" x14ac:dyDescent="0.25">
      <c r="A790" s="64"/>
      <c r="B790" s="64"/>
      <c r="C790" s="64"/>
      <c r="D790" s="64"/>
      <c r="E790" s="64"/>
      <c r="F790" s="64"/>
      <c r="G790" s="64"/>
      <c r="H790" s="64"/>
      <c r="I790" s="64"/>
      <c r="J790" s="64"/>
      <c r="K790" s="64"/>
      <c r="L790" s="64"/>
      <c r="M790" s="64"/>
      <c r="N790" s="64"/>
      <c r="O790" s="64"/>
      <c r="P790" s="64"/>
      <c r="Q790" s="64"/>
      <c r="R790" s="64"/>
      <c r="S790" s="64"/>
      <c r="T790" s="64"/>
      <c r="U790" s="64"/>
      <c r="V790" s="64"/>
      <c r="W790" s="64"/>
      <c r="X790" s="64"/>
      <c r="Y790" s="64"/>
      <c r="Z790" s="64"/>
    </row>
    <row r="791" spans="1:26" ht="12.75" customHeight="1" x14ac:dyDescent="0.25">
      <c r="A791" s="64"/>
      <c r="B791" s="64"/>
      <c r="C791" s="64"/>
      <c r="D791" s="64"/>
      <c r="E791" s="64"/>
      <c r="F791" s="64"/>
      <c r="G791" s="64"/>
      <c r="H791" s="64"/>
      <c r="I791" s="64"/>
      <c r="J791" s="64"/>
      <c r="K791" s="64"/>
      <c r="L791" s="64"/>
      <c r="M791" s="64"/>
      <c r="N791" s="64"/>
      <c r="O791" s="64"/>
      <c r="P791" s="64"/>
      <c r="Q791" s="64"/>
      <c r="R791" s="64"/>
      <c r="S791" s="64"/>
      <c r="T791" s="64"/>
      <c r="U791" s="64"/>
      <c r="V791" s="64"/>
      <c r="W791" s="64"/>
      <c r="X791" s="64"/>
      <c r="Y791" s="64"/>
      <c r="Z791" s="64"/>
    </row>
    <row r="792" spans="1:26" ht="12.75" customHeight="1" x14ac:dyDescent="0.25">
      <c r="A792" s="64"/>
      <c r="B792" s="64"/>
      <c r="C792" s="64"/>
      <c r="D792" s="64"/>
      <c r="E792" s="64"/>
      <c r="F792" s="64"/>
      <c r="G792" s="64"/>
      <c r="H792" s="64"/>
      <c r="I792" s="64"/>
      <c r="J792" s="64"/>
      <c r="K792" s="64"/>
      <c r="L792" s="64"/>
      <c r="M792" s="64"/>
      <c r="N792" s="64"/>
      <c r="O792" s="64"/>
      <c r="P792" s="64"/>
      <c r="Q792" s="64"/>
      <c r="R792" s="64"/>
      <c r="S792" s="64"/>
      <c r="T792" s="64"/>
      <c r="U792" s="64"/>
      <c r="V792" s="64"/>
      <c r="W792" s="64"/>
      <c r="X792" s="64"/>
      <c r="Y792" s="64"/>
      <c r="Z792" s="64"/>
    </row>
    <row r="793" spans="1:26" ht="12.75" customHeight="1" x14ac:dyDescent="0.25">
      <c r="A793" s="64"/>
      <c r="B793" s="64"/>
      <c r="C793" s="64"/>
      <c r="D793" s="64"/>
      <c r="E793" s="64"/>
      <c r="F793" s="64"/>
      <c r="G793" s="64"/>
      <c r="H793" s="64"/>
      <c r="I793" s="64"/>
      <c r="J793" s="64"/>
      <c r="K793" s="64"/>
      <c r="L793" s="64"/>
      <c r="M793" s="64"/>
      <c r="N793" s="64"/>
      <c r="O793" s="64"/>
      <c r="P793" s="64"/>
      <c r="Q793" s="64"/>
      <c r="R793" s="64"/>
      <c r="S793" s="64"/>
      <c r="T793" s="64"/>
      <c r="U793" s="64"/>
      <c r="V793" s="64"/>
      <c r="W793" s="64"/>
      <c r="X793" s="64"/>
      <c r="Y793" s="64"/>
      <c r="Z793" s="64"/>
    </row>
    <row r="794" spans="1:26" ht="12.75" customHeight="1" x14ac:dyDescent="0.25">
      <c r="A794" s="64"/>
      <c r="B794" s="64"/>
      <c r="C794" s="64"/>
      <c r="D794" s="64"/>
      <c r="E794" s="64"/>
      <c r="F794" s="64"/>
      <c r="G794" s="64"/>
      <c r="H794" s="64"/>
      <c r="I794" s="64"/>
      <c r="J794" s="64"/>
      <c r="K794" s="64"/>
      <c r="L794" s="64"/>
      <c r="M794" s="64"/>
      <c r="N794" s="64"/>
      <c r="O794" s="64"/>
      <c r="P794" s="64"/>
      <c r="Q794" s="64"/>
      <c r="R794" s="64"/>
      <c r="S794" s="64"/>
      <c r="T794" s="64"/>
      <c r="U794" s="64"/>
      <c r="V794" s="64"/>
      <c r="W794" s="64"/>
      <c r="X794" s="64"/>
      <c r="Y794" s="64"/>
      <c r="Z794" s="64"/>
    </row>
    <row r="795" spans="1:26" ht="12.75" customHeight="1" x14ac:dyDescent="0.25">
      <c r="A795" s="64"/>
      <c r="B795" s="64"/>
      <c r="C795" s="64"/>
      <c r="D795" s="64"/>
      <c r="E795" s="64"/>
      <c r="F795" s="64"/>
      <c r="G795" s="64"/>
      <c r="H795" s="64"/>
      <c r="I795" s="64"/>
      <c r="J795" s="64"/>
      <c r="K795" s="64"/>
      <c r="L795" s="64"/>
      <c r="M795" s="64"/>
      <c r="N795" s="64"/>
      <c r="O795" s="64"/>
      <c r="P795" s="64"/>
      <c r="Q795" s="64"/>
      <c r="R795" s="64"/>
      <c r="S795" s="64"/>
      <c r="T795" s="64"/>
      <c r="U795" s="64"/>
      <c r="V795" s="64"/>
      <c r="W795" s="64"/>
      <c r="X795" s="64"/>
      <c r="Y795" s="64"/>
      <c r="Z795" s="64"/>
    </row>
    <row r="796" spans="1:26" ht="12.75" customHeight="1" x14ac:dyDescent="0.25">
      <c r="A796" s="64"/>
      <c r="B796" s="64"/>
      <c r="C796" s="64"/>
      <c r="D796" s="64"/>
      <c r="E796" s="64"/>
      <c r="F796" s="64"/>
      <c r="G796" s="64"/>
      <c r="H796" s="64"/>
      <c r="I796" s="64"/>
      <c r="J796" s="64"/>
      <c r="K796" s="64"/>
      <c r="L796" s="64"/>
      <c r="M796" s="64"/>
      <c r="N796" s="64"/>
      <c r="O796" s="64"/>
      <c r="P796" s="64"/>
      <c r="Q796" s="64"/>
      <c r="R796" s="64"/>
      <c r="S796" s="64"/>
      <c r="T796" s="64"/>
      <c r="U796" s="64"/>
      <c r="V796" s="64"/>
      <c r="W796" s="64"/>
      <c r="X796" s="64"/>
      <c r="Y796" s="64"/>
      <c r="Z796" s="64"/>
    </row>
    <row r="797" spans="1:26" ht="12.75" customHeight="1" x14ac:dyDescent="0.25">
      <c r="A797" s="64"/>
      <c r="B797" s="64"/>
      <c r="C797" s="64"/>
      <c r="D797" s="64"/>
      <c r="E797" s="64"/>
      <c r="F797" s="64"/>
      <c r="G797" s="64"/>
      <c r="H797" s="64"/>
      <c r="I797" s="64"/>
      <c r="J797" s="64"/>
      <c r="K797" s="64"/>
      <c r="L797" s="64"/>
      <c r="M797" s="64"/>
      <c r="N797" s="64"/>
      <c r="O797" s="64"/>
      <c r="P797" s="64"/>
      <c r="Q797" s="64"/>
      <c r="R797" s="64"/>
      <c r="S797" s="64"/>
      <c r="T797" s="64"/>
      <c r="U797" s="64"/>
      <c r="V797" s="64"/>
      <c r="W797" s="64"/>
      <c r="X797" s="64"/>
      <c r="Y797" s="64"/>
      <c r="Z797" s="64"/>
    </row>
    <row r="798" spans="1:26" ht="12.75" customHeight="1" x14ac:dyDescent="0.25">
      <c r="A798" s="64"/>
      <c r="B798" s="64"/>
      <c r="C798" s="64"/>
      <c r="D798" s="64"/>
      <c r="E798" s="64"/>
      <c r="F798" s="64"/>
      <c r="G798" s="64"/>
      <c r="H798" s="64"/>
      <c r="I798" s="64"/>
      <c r="J798" s="64"/>
      <c r="K798" s="64"/>
      <c r="L798" s="64"/>
      <c r="M798" s="64"/>
      <c r="N798" s="64"/>
      <c r="O798" s="64"/>
      <c r="P798" s="64"/>
      <c r="Q798" s="64"/>
      <c r="R798" s="64"/>
      <c r="S798" s="64"/>
      <c r="T798" s="64"/>
      <c r="U798" s="64"/>
      <c r="V798" s="64"/>
      <c r="W798" s="64"/>
      <c r="X798" s="64"/>
      <c r="Y798" s="64"/>
      <c r="Z798" s="64"/>
    </row>
    <row r="799" spans="1:26" ht="12.75" customHeight="1" x14ac:dyDescent="0.25">
      <c r="A799" s="64"/>
      <c r="B799" s="64"/>
      <c r="C799" s="64"/>
      <c r="D799" s="64"/>
      <c r="E799" s="64"/>
      <c r="F799" s="64"/>
      <c r="G799" s="64"/>
      <c r="H799" s="64"/>
      <c r="I799" s="64"/>
      <c r="J799" s="64"/>
      <c r="K799" s="64"/>
      <c r="L799" s="64"/>
      <c r="M799" s="64"/>
      <c r="N799" s="64"/>
      <c r="O799" s="64"/>
      <c r="P799" s="64"/>
      <c r="Q799" s="64"/>
      <c r="R799" s="64"/>
      <c r="S799" s="64"/>
      <c r="T799" s="64"/>
      <c r="U799" s="64"/>
      <c r="V799" s="64"/>
      <c r="W799" s="64"/>
      <c r="X799" s="64"/>
      <c r="Y799" s="64"/>
      <c r="Z799" s="64"/>
    </row>
    <row r="800" spans="1:26" ht="12.75" customHeight="1" x14ac:dyDescent="0.25">
      <c r="A800" s="64"/>
      <c r="B800" s="64"/>
      <c r="C800" s="64"/>
      <c r="D800" s="64"/>
      <c r="E800" s="64"/>
      <c r="F800" s="64"/>
      <c r="G800" s="64"/>
      <c r="H800" s="64"/>
      <c r="I800" s="64"/>
      <c r="J800" s="64"/>
      <c r="K800" s="64"/>
      <c r="L800" s="64"/>
      <c r="M800" s="64"/>
      <c r="N800" s="64"/>
      <c r="O800" s="64"/>
      <c r="P800" s="64"/>
      <c r="Q800" s="64"/>
      <c r="R800" s="64"/>
      <c r="S800" s="64"/>
      <c r="T800" s="64"/>
      <c r="U800" s="64"/>
      <c r="V800" s="64"/>
      <c r="W800" s="64"/>
      <c r="X800" s="64"/>
      <c r="Y800" s="64"/>
      <c r="Z800" s="64"/>
    </row>
    <row r="801" spans="1:26" ht="12.75" customHeight="1" x14ac:dyDescent="0.25">
      <c r="A801" s="64"/>
      <c r="B801" s="64"/>
      <c r="C801" s="64"/>
      <c r="D801" s="64"/>
      <c r="E801" s="64"/>
      <c r="F801" s="64"/>
      <c r="G801" s="64"/>
      <c r="H801" s="64"/>
      <c r="I801" s="64"/>
      <c r="J801" s="64"/>
      <c r="K801" s="64"/>
      <c r="L801" s="64"/>
      <c r="M801" s="64"/>
      <c r="N801" s="64"/>
      <c r="O801" s="64"/>
      <c r="P801" s="64"/>
      <c r="Q801" s="64"/>
      <c r="R801" s="64"/>
      <c r="S801" s="64"/>
      <c r="T801" s="64"/>
      <c r="U801" s="64"/>
      <c r="V801" s="64"/>
      <c r="W801" s="64"/>
      <c r="X801" s="64"/>
      <c r="Y801" s="64"/>
      <c r="Z801" s="64"/>
    </row>
    <row r="802" spans="1:26" ht="12.75" customHeight="1" x14ac:dyDescent="0.25">
      <c r="A802" s="64"/>
      <c r="B802" s="64"/>
      <c r="C802" s="64"/>
      <c r="D802" s="64"/>
      <c r="E802" s="64"/>
      <c r="F802" s="64"/>
      <c r="G802" s="64"/>
      <c r="H802" s="64"/>
      <c r="I802" s="64"/>
      <c r="J802" s="64"/>
      <c r="K802" s="64"/>
      <c r="L802" s="64"/>
      <c r="M802" s="64"/>
      <c r="N802" s="64"/>
      <c r="O802" s="64"/>
      <c r="P802" s="64"/>
      <c r="Q802" s="64"/>
      <c r="R802" s="64"/>
      <c r="S802" s="64"/>
      <c r="T802" s="64"/>
      <c r="U802" s="64"/>
      <c r="V802" s="64"/>
      <c r="W802" s="64"/>
      <c r="X802" s="64"/>
      <c r="Y802" s="64"/>
      <c r="Z802" s="64"/>
    </row>
    <row r="803" spans="1:26" ht="12.75" customHeight="1" x14ac:dyDescent="0.25">
      <c r="A803" s="64"/>
      <c r="B803" s="64"/>
      <c r="C803" s="64"/>
      <c r="D803" s="64"/>
      <c r="E803" s="64"/>
      <c r="F803" s="64"/>
      <c r="G803" s="64"/>
      <c r="H803" s="64"/>
      <c r="I803" s="64"/>
      <c r="J803" s="64"/>
      <c r="K803" s="64"/>
      <c r="L803" s="64"/>
      <c r="M803" s="64"/>
      <c r="N803" s="64"/>
      <c r="O803" s="64"/>
      <c r="P803" s="64"/>
      <c r="Q803" s="64"/>
      <c r="R803" s="64"/>
      <c r="S803" s="64"/>
      <c r="T803" s="64"/>
      <c r="U803" s="64"/>
      <c r="V803" s="64"/>
      <c r="W803" s="64"/>
      <c r="X803" s="64"/>
      <c r="Y803" s="64"/>
      <c r="Z803" s="64"/>
    </row>
    <row r="804" spans="1:26" ht="12.75" customHeight="1" x14ac:dyDescent="0.25">
      <c r="A804" s="64"/>
      <c r="B804" s="64"/>
      <c r="C804" s="64"/>
      <c r="D804" s="64"/>
      <c r="E804" s="64"/>
      <c r="F804" s="64"/>
      <c r="G804" s="64"/>
      <c r="H804" s="64"/>
      <c r="I804" s="64"/>
      <c r="J804" s="64"/>
      <c r="K804" s="64"/>
      <c r="L804" s="64"/>
      <c r="M804" s="64"/>
      <c r="N804" s="64"/>
      <c r="O804" s="64"/>
      <c r="P804" s="64"/>
      <c r="Q804" s="64"/>
      <c r="R804" s="64"/>
      <c r="S804" s="64"/>
      <c r="T804" s="64"/>
      <c r="U804" s="64"/>
      <c r="V804" s="64"/>
      <c r="W804" s="64"/>
      <c r="X804" s="64"/>
      <c r="Y804" s="64"/>
      <c r="Z804" s="64"/>
    </row>
    <row r="805" spans="1:26" ht="12.75" customHeight="1" x14ac:dyDescent="0.25">
      <c r="A805" s="64"/>
      <c r="B805" s="64"/>
      <c r="C805" s="64"/>
      <c r="D805" s="64"/>
      <c r="E805" s="64"/>
      <c r="F805" s="64"/>
      <c r="G805" s="64"/>
      <c r="H805" s="64"/>
      <c r="I805" s="64"/>
      <c r="J805" s="64"/>
      <c r="K805" s="64"/>
      <c r="L805" s="64"/>
      <c r="M805" s="64"/>
      <c r="N805" s="64"/>
      <c r="O805" s="64"/>
      <c r="P805" s="64"/>
      <c r="Q805" s="64"/>
      <c r="R805" s="64"/>
      <c r="S805" s="64"/>
      <c r="T805" s="64"/>
      <c r="U805" s="64"/>
      <c r="V805" s="64"/>
      <c r="W805" s="64"/>
      <c r="X805" s="64"/>
      <c r="Y805" s="64"/>
      <c r="Z805" s="64"/>
    </row>
    <row r="806" spans="1:26" ht="12.75" customHeight="1" x14ac:dyDescent="0.25">
      <c r="A806" s="64"/>
      <c r="B806" s="64"/>
      <c r="C806" s="64"/>
      <c r="D806" s="64"/>
      <c r="E806" s="64"/>
      <c r="F806" s="64"/>
      <c r="G806" s="64"/>
      <c r="H806" s="64"/>
      <c r="I806" s="64"/>
      <c r="J806" s="64"/>
      <c r="K806" s="64"/>
      <c r="L806" s="64"/>
      <c r="M806" s="64"/>
      <c r="N806" s="64"/>
      <c r="O806" s="64"/>
      <c r="P806" s="64"/>
      <c r="Q806" s="64"/>
      <c r="R806" s="64"/>
      <c r="S806" s="64"/>
      <c r="T806" s="64"/>
      <c r="U806" s="64"/>
      <c r="V806" s="64"/>
      <c r="W806" s="64"/>
      <c r="X806" s="64"/>
      <c r="Y806" s="64"/>
      <c r="Z806" s="64"/>
    </row>
    <row r="807" spans="1:26" ht="12.75" customHeight="1" x14ac:dyDescent="0.25">
      <c r="A807" s="64"/>
      <c r="B807" s="64"/>
      <c r="C807" s="64"/>
      <c r="D807" s="64"/>
      <c r="E807" s="64"/>
      <c r="F807" s="64"/>
      <c r="G807" s="64"/>
      <c r="H807" s="64"/>
      <c r="I807" s="64"/>
      <c r="J807" s="64"/>
      <c r="K807" s="64"/>
      <c r="L807" s="64"/>
      <c r="M807" s="64"/>
      <c r="N807" s="64"/>
      <c r="O807" s="64"/>
      <c r="P807" s="64"/>
      <c r="Q807" s="64"/>
      <c r="R807" s="64"/>
      <c r="S807" s="64"/>
      <c r="T807" s="64"/>
      <c r="U807" s="64"/>
      <c r="V807" s="64"/>
      <c r="W807" s="64"/>
      <c r="X807" s="64"/>
      <c r="Y807" s="64"/>
      <c r="Z807" s="64"/>
    </row>
    <row r="808" spans="1:26" ht="12.75" customHeight="1" x14ac:dyDescent="0.25">
      <c r="A808" s="64"/>
      <c r="B808" s="64"/>
      <c r="C808" s="64"/>
      <c r="D808" s="64"/>
      <c r="E808" s="64"/>
      <c r="F808" s="64"/>
      <c r="G808" s="64"/>
      <c r="H808" s="64"/>
      <c r="I808" s="64"/>
      <c r="J808" s="64"/>
      <c r="K808" s="64"/>
      <c r="L808" s="64"/>
      <c r="M808" s="64"/>
      <c r="N808" s="64"/>
      <c r="O808" s="64"/>
      <c r="P808" s="64"/>
      <c r="Q808" s="64"/>
      <c r="R808" s="64"/>
      <c r="S808" s="64"/>
      <c r="T808" s="64"/>
      <c r="U808" s="64"/>
      <c r="V808" s="64"/>
      <c r="W808" s="64"/>
      <c r="X808" s="64"/>
      <c r="Y808" s="64"/>
      <c r="Z808" s="64"/>
    </row>
    <row r="809" spans="1:26" ht="12.75" customHeight="1" x14ac:dyDescent="0.25">
      <c r="A809" s="64"/>
      <c r="B809" s="64"/>
      <c r="C809" s="64"/>
      <c r="D809" s="64"/>
      <c r="E809" s="64"/>
      <c r="F809" s="64"/>
      <c r="G809" s="64"/>
      <c r="H809" s="64"/>
      <c r="I809" s="64"/>
      <c r="J809" s="64"/>
      <c r="K809" s="64"/>
      <c r="L809" s="64"/>
      <c r="M809" s="64"/>
      <c r="N809" s="64"/>
      <c r="O809" s="64"/>
      <c r="P809" s="64"/>
      <c r="Q809" s="64"/>
      <c r="R809" s="64"/>
      <c r="S809" s="64"/>
      <c r="T809" s="64"/>
      <c r="U809" s="64"/>
      <c r="V809" s="64"/>
      <c r="W809" s="64"/>
      <c r="X809" s="64"/>
      <c r="Y809" s="64"/>
      <c r="Z809" s="64"/>
    </row>
    <row r="810" spans="1:26" ht="12.75" customHeight="1" x14ac:dyDescent="0.25">
      <c r="A810" s="64"/>
      <c r="B810" s="64"/>
      <c r="C810" s="64"/>
      <c r="D810" s="64"/>
      <c r="E810" s="64"/>
      <c r="F810" s="64"/>
      <c r="G810" s="64"/>
      <c r="H810" s="64"/>
      <c r="I810" s="64"/>
      <c r="J810" s="64"/>
      <c r="K810" s="64"/>
      <c r="L810" s="64"/>
      <c r="M810" s="64"/>
      <c r="N810" s="64"/>
      <c r="O810" s="64"/>
      <c r="P810" s="64"/>
      <c r="Q810" s="64"/>
      <c r="R810" s="64"/>
      <c r="S810" s="64"/>
      <c r="T810" s="64"/>
      <c r="U810" s="64"/>
      <c r="V810" s="64"/>
      <c r="W810" s="64"/>
      <c r="X810" s="64"/>
      <c r="Y810" s="64"/>
      <c r="Z810" s="64"/>
    </row>
    <row r="811" spans="1:26" ht="12.75" customHeight="1" x14ac:dyDescent="0.25">
      <c r="A811" s="64"/>
      <c r="B811" s="64"/>
      <c r="C811" s="64"/>
      <c r="D811" s="64"/>
      <c r="E811" s="64"/>
      <c r="F811" s="64"/>
      <c r="G811" s="64"/>
      <c r="H811" s="64"/>
      <c r="I811" s="64"/>
      <c r="J811" s="64"/>
      <c r="K811" s="64"/>
      <c r="L811" s="64"/>
      <c r="M811" s="64"/>
      <c r="N811" s="64"/>
      <c r="O811" s="64"/>
      <c r="P811" s="64"/>
      <c r="Q811" s="64"/>
      <c r="R811" s="64"/>
      <c r="S811" s="64"/>
      <c r="T811" s="64"/>
      <c r="U811" s="64"/>
      <c r="V811" s="64"/>
      <c r="W811" s="64"/>
      <c r="X811" s="64"/>
      <c r="Y811" s="64"/>
      <c r="Z811" s="64"/>
    </row>
    <row r="812" spans="1:26" ht="12.75" customHeight="1" x14ac:dyDescent="0.25">
      <c r="A812" s="64"/>
      <c r="B812" s="64"/>
      <c r="C812" s="64"/>
      <c r="D812" s="64"/>
      <c r="E812" s="64"/>
      <c r="F812" s="64"/>
      <c r="G812" s="64"/>
      <c r="H812" s="64"/>
      <c r="I812" s="64"/>
      <c r="J812" s="64"/>
      <c r="K812" s="64"/>
      <c r="L812" s="64"/>
      <c r="M812" s="64"/>
      <c r="N812" s="64"/>
      <c r="O812" s="64"/>
      <c r="P812" s="64"/>
      <c r="Q812" s="64"/>
      <c r="R812" s="64"/>
      <c r="S812" s="64"/>
      <c r="T812" s="64"/>
      <c r="U812" s="64"/>
      <c r="V812" s="64"/>
      <c r="W812" s="64"/>
      <c r="X812" s="64"/>
      <c r="Y812" s="64"/>
      <c r="Z812" s="64"/>
    </row>
    <row r="813" spans="1:26" ht="12.75" customHeight="1" x14ac:dyDescent="0.25">
      <c r="A813" s="64"/>
      <c r="B813" s="64"/>
      <c r="C813" s="64"/>
      <c r="D813" s="64"/>
      <c r="E813" s="64"/>
      <c r="F813" s="64"/>
      <c r="G813" s="64"/>
      <c r="H813" s="64"/>
      <c r="I813" s="64"/>
      <c r="J813" s="64"/>
      <c r="K813" s="64"/>
      <c r="L813" s="64"/>
      <c r="M813" s="64"/>
      <c r="N813" s="64"/>
      <c r="O813" s="64"/>
      <c r="P813" s="64"/>
      <c r="Q813" s="64"/>
      <c r="R813" s="64"/>
      <c r="S813" s="64"/>
      <c r="T813" s="64"/>
      <c r="U813" s="64"/>
      <c r="V813" s="64"/>
      <c r="W813" s="64"/>
      <c r="X813" s="64"/>
      <c r="Y813" s="64"/>
      <c r="Z813" s="64"/>
    </row>
    <row r="814" spans="1:26" ht="12.75" customHeight="1" x14ac:dyDescent="0.25">
      <c r="A814" s="64"/>
      <c r="B814" s="64"/>
      <c r="C814" s="64"/>
      <c r="D814" s="64"/>
      <c r="E814" s="64"/>
      <c r="F814" s="64"/>
      <c r="G814" s="64"/>
      <c r="H814" s="64"/>
      <c r="I814" s="64"/>
      <c r="J814" s="64"/>
      <c r="K814" s="64"/>
      <c r="L814" s="64"/>
      <c r="M814" s="64"/>
      <c r="N814" s="64"/>
      <c r="O814" s="64"/>
      <c r="P814" s="64"/>
      <c r="Q814" s="64"/>
      <c r="R814" s="64"/>
      <c r="S814" s="64"/>
      <c r="T814" s="64"/>
      <c r="U814" s="64"/>
      <c r="V814" s="64"/>
      <c r="W814" s="64"/>
      <c r="X814" s="64"/>
      <c r="Y814" s="64"/>
      <c r="Z814" s="64"/>
    </row>
    <row r="815" spans="1:26" ht="12.75" customHeight="1" x14ac:dyDescent="0.25">
      <c r="A815" s="64"/>
      <c r="B815" s="64"/>
      <c r="C815" s="64"/>
      <c r="D815" s="64"/>
      <c r="E815" s="64"/>
      <c r="F815" s="64"/>
      <c r="G815" s="64"/>
      <c r="H815" s="64"/>
      <c r="I815" s="64"/>
      <c r="J815" s="64"/>
      <c r="K815" s="64"/>
      <c r="L815" s="64"/>
      <c r="M815" s="64"/>
      <c r="N815" s="64"/>
      <c r="O815" s="64"/>
      <c r="P815" s="64"/>
      <c r="Q815" s="64"/>
      <c r="R815" s="64"/>
      <c r="S815" s="64"/>
      <c r="T815" s="64"/>
      <c r="U815" s="64"/>
      <c r="V815" s="64"/>
      <c r="W815" s="64"/>
      <c r="X815" s="64"/>
      <c r="Y815" s="64"/>
      <c r="Z815" s="64"/>
    </row>
    <row r="816" spans="1:26" ht="12.75" customHeight="1" x14ac:dyDescent="0.25">
      <c r="A816" s="64"/>
      <c r="B816" s="64"/>
      <c r="C816" s="64"/>
      <c r="D816" s="64"/>
      <c r="E816" s="64"/>
      <c r="F816" s="64"/>
      <c r="G816" s="64"/>
      <c r="H816" s="64"/>
      <c r="I816" s="64"/>
      <c r="J816" s="64"/>
      <c r="K816" s="64"/>
      <c r="L816" s="64"/>
      <c r="M816" s="64"/>
      <c r="N816" s="64"/>
      <c r="O816" s="64"/>
      <c r="P816" s="64"/>
      <c r="Q816" s="64"/>
      <c r="R816" s="64"/>
      <c r="S816" s="64"/>
      <c r="T816" s="64"/>
      <c r="U816" s="64"/>
      <c r="V816" s="64"/>
      <c r="W816" s="64"/>
      <c r="X816" s="64"/>
      <c r="Y816" s="64"/>
      <c r="Z816" s="64"/>
    </row>
    <row r="817" spans="1:26" ht="12.75" customHeight="1" x14ac:dyDescent="0.25">
      <c r="A817" s="64"/>
      <c r="B817" s="64"/>
      <c r="C817" s="64"/>
      <c r="D817" s="64"/>
      <c r="E817" s="64"/>
      <c r="F817" s="64"/>
      <c r="G817" s="64"/>
      <c r="H817" s="64"/>
      <c r="I817" s="64"/>
      <c r="J817" s="64"/>
      <c r="K817" s="64"/>
      <c r="L817" s="64"/>
      <c r="M817" s="64"/>
      <c r="N817" s="64"/>
      <c r="O817" s="64"/>
      <c r="P817" s="64"/>
      <c r="Q817" s="64"/>
      <c r="R817" s="64"/>
      <c r="S817" s="64"/>
      <c r="T817" s="64"/>
      <c r="U817" s="64"/>
      <c r="V817" s="64"/>
      <c r="W817" s="64"/>
      <c r="X817" s="64"/>
      <c r="Y817" s="64"/>
      <c r="Z817" s="64"/>
    </row>
    <row r="818" spans="1:26" ht="12.75" customHeight="1" x14ac:dyDescent="0.25">
      <c r="A818" s="64"/>
      <c r="B818" s="64"/>
      <c r="C818" s="64"/>
      <c r="D818" s="64"/>
      <c r="E818" s="64"/>
      <c r="F818" s="64"/>
      <c r="G818" s="64"/>
      <c r="H818" s="64"/>
      <c r="I818" s="64"/>
      <c r="J818" s="64"/>
      <c r="K818" s="64"/>
      <c r="L818" s="64"/>
      <c r="M818" s="64"/>
      <c r="N818" s="64"/>
      <c r="O818" s="64"/>
      <c r="P818" s="64"/>
      <c r="Q818" s="64"/>
      <c r="R818" s="64"/>
      <c r="S818" s="64"/>
      <c r="T818" s="64"/>
      <c r="U818" s="64"/>
      <c r="V818" s="64"/>
      <c r="W818" s="64"/>
      <c r="X818" s="64"/>
      <c r="Y818" s="64"/>
      <c r="Z818" s="64"/>
    </row>
    <row r="819" spans="1:26" ht="12.75" customHeight="1" x14ac:dyDescent="0.25">
      <c r="A819" s="64"/>
      <c r="B819" s="64"/>
      <c r="C819" s="64"/>
      <c r="D819" s="64"/>
      <c r="E819" s="64"/>
      <c r="F819" s="64"/>
      <c r="G819" s="64"/>
      <c r="H819" s="64"/>
      <c r="I819" s="64"/>
      <c r="J819" s="64"/>
      <c r="K819" s="64"/>
      <c r="L819" s="64"/>
      <c r="M819" s="64"/>
      <c r="N819" s="64"/>
      <c r="O819" s="64"/>
      <c r="P819" s="64"/>
      <c r="Q819" s="64"/>
      <c r="R819" s="64"/>
      <c r="S819" s="64"/>
      <c r="T819" s="64"/>
      <c r="U819" s="64"/>
      <c r="V819" s="64"/>
      <c r="W819" s="64"/>
      <c r="X819" s="64"/>
      <c r="Y819" s="64"/>
      <c r="Z819" s="64"/>
    </row>
    <row r="820" spans="1:26" ht="12.75" customHeight="1" x14ac:dyDescent="0.25">
      <c r="A820" s="64"/>
      <c r="B820" s="64"/>
      <c r="C820" s="64"/>
      <c r="D820" s="64"/>
      <c r="E820" s="64"/>
      <c r="F820" s="64"/>
      <c r="G820" s="64"/>
      <c r="H820" s="64"/>
      <c r="I820" s="64"/>
      <c r="J820" s="64"/>
      <c r="K820" s="64"/>
      <c r="L820" s="64"/>
      <c r="M820" s="64"/>
      <c r="N820" s="64"/>
      <c r="O820" s="64"/>
      <c r="P820" s="64"/>
      <c r="Q820" s="64"/>
      <c r="R820" s="64"/>
      <c r="S820" s="64"/>
      <c r="T820" s="64"/>
      <c r="U820" s="64"/>
      <c r="V820" s="64"/>
      <c r="W820" s="64"/>
      <c r="X820" s="64"/>
      <c r="Y820" s="64"/>
      <c r="Z820" s="64"/>
    </row>
    <row r="821" spans="1:26" ht="12.75" customHeight="1" x14ac:dyDescent="0.25">
      <c r="A821" s="64"/>
      <c r="B821" s="64"/>
      <c r="C821" s="64"/>
      <c r="D821" s="64"/>
      <c r="E821" s="64"/>
      <c r="F821" s="64"/>
      <c r="G821" s="64"/>
      <c r="H821" s="64"/>
      <c r="I821" s="64"/>
      <c r="J821" s="64"/>
      <c r="K821" s="64"/>
      <c r="L821" s="64"/>
      <c r="M821" s="64"/>
      <c r="N821" s="64"/>
      <c r="O821" s="64"/>
      <c r="P821" s="64"/>
      <c r="Q821" s="64"/>
      <c r="R821" s="64"/>
      <c r="S821" s="64"/>
      <c r="T821" s="64"/>
      <c r="U821" s="64"/>
      <c r="V821" s="64"/>
      <c r="W821" s="64"/>
      <c r="X821" s="64"/>
      <c r="Y821" s="64"/>
      <c r="Z821" s="64"/>
    </row>
    <row r="822" spans="1:26" ht="12.75" customHeight="1" x14ac:dyDescent="0.25">
      <c r="A822" s="64"/>
      <c r="B822" s="64"/>
      <c r="C822" s="64"/>
      <c r="D822" s="64"/>
      <c r="E822" s="64"/>
      <c r="F822" s="64"/>
      <c r="G822" s="64"/>
      <c r="H822" s="64"/>
      <c r="I822" s="64"/>
      <c r="J822" s="64"/>
      <c r="K822" s="64"/>
      <c r="L822" s="64"/>
      <c r="M822" s="64"/>
      <c r="N822" s="64"/>
      <c r="O822" s="64"/>
      <c r="P822" s="64"/>
      <c r="Q822" s="64"/>
      <c r="R822" s="64"/>
      <c r="S822" s="64"/>
      <c r="T822" s="64"/>
      <c r="U822" s="64"/>
      <c r="V822" s="64"/>
      <c r="W822" s="64"/>
      <c r="X822" s="64"/>
      <c r="Y822" s="64"/>
      <c r="Z822" s="64"/>
    </row>
    <row r="823" spans="1:26" ht="12.75" customHeight="1" x14ac:dyDescent="0.25">
      <c r="A823" s="64"/>
      <c r="B823" s="64"/>
      <c r="C823" s="64"/>
      <c r="D823" s="64"/>
      <c r="E823" s="64"/>
      <c r="F823" s="64"/>
      <c r="G823" s="64"/>
      <c r="H823" s="64"/>
      <c r="I823" s="64"/>
      <c r="J823" s="64"/>
      <c r="K823" s="64"/>
      <c r="L823" s="64"/>
      <c r="M823" s="64"/>
      <c r="N823" s="64"/>
      <c r="O823" s="64"/>
      <c r="P823" s="64"/>
      <c r="Q823" s="64"/>
      <c r="R823" s="64"/>
      <c r="S823" s="64"/>
      <c r="T823" s="64"/>
      <c r="U823" s="64"/>
      <c r="V823" s="64"/>
      <c r="W823" s="64"/>
      <c r="X823" s="64"/>
      <c r="Y823" s="64"/>
      <c r="Z823" s="64"/>
    </row>
    <row r="824" spans="1:26" ht="12.75" customHeight="1" x14ac:dyDescent="0.25">
      <c r="A824" s="64"/>
      <c r="B824" s="64"/>
      <c r="C824" s="64"/>
      <c r="D824" s="64"/>
      <c r="E824" s="64"/>
      <c r="F824" s="64"/>
      <c r="G824" s="64"/>
      <c r="H824" s="64"/>
      <c r="I824" s="64"/>
      <c r="J824" s="64"/>
      <c r="K824" s="64"/>
      <c r="L824" s="64"/>
      <c r="M824" s="64"/>
      <c r="N824" s="64"/>
      <c r="O824" s="64"/>
      <c r="P824" s="64"/>
      <c r="Q824" s="64"/>
      <c r="R824" s="64"/>
      <c r="S824" s="64"/>
      <c r="T824" s="64"/>
      <c r="U824" s="64"/>
      <c r="V824" s="64"/>
      <c r="W824" s="64"/>
      <c r="X824" s="64"/>
      <c r="Y824" s="64"/>
      <c r="Z824" s="64"/>
    </row>
    <row r="825" spans="1:26" ht="12.75" customHeight="1" x14ac:dyDescent="0.25">
      <c r="A825" s="64"/>
      <c r="B825" s="64"/>
      <c r="C825" s="64"/>
      <c r="D825" s="64"/>
      <c r="E825" s="64"/>
      <c r="F825" s="64"/>
      <c r="G825" s="64"/>
      <c r="H825" s="64"/>
      <c r="I825" s="64"/>
      <c r="J825" s="64"/>
      <c r="K825" s="64"/>
      <c r="L825" s="64"/>
      <c r="M825" s="64"/>
      <c r="N825" s="64"/>
      <c r="O825" s="64"/>
      <c r="P825" s="64"/>
      <c r="Q825" s="64"/>
      <c r="R825" s="64"/>
      <c r="S825" s="64"/>
      <c r="T825" s="64"/>
      <c r="U825" s="64"/>
      <c r="V825" s="64"/>
      <c r="W825" s="64"/>
      <c r="X825" s="64"/>
      <c r="Y825" s="64"/>
      <c r="Z825" s="64"/>
    </row>
    <row r="826" spans="1:26" ht="12.75" customHeight="1" x14ac:dyDescent="0.25">
      <c r="A826" s="64"/>
      <c r="B826" s="64"/>
      <c r="C826" s="64"/>
      <c r="D826" s="64"/>
      <c r="E826" s="64"/>
      <c r="F826" s="64"/>
      <c r="G826" s="64"/>
      <c r="H826" s="64"/>
      <c r="I826" s="64"/>
      <c r="J826" s="64"/>
      <c r="K826" s="64"/>
      <c r="L826" s="64"/>
      <c r="M826" s="64"/>
      <c r="N826" s="64"/>
      <c r="O826" s="64"/>
      <c r="P826" s="64"/>
      <c r="Q826" s="64"/>
      <c r="R826" s="64"/>
      <c r="S826" s="64"/>
      <c r="T826" s="64"/>
      <c r="U826" s="64"/>
      <c r="V826" s="64"/>
      <c r="W826" s="64"/>
      <c r="X826" s="64"/>
      <c r="Y826" s="64"/>
      <c r="Z826" s="64"/>
    </row>
    <row r="827" spans="1:26" ht="12.75" customHeight="1" x14ac:dyDescent="0.25">
      <c r="A827" s="64"/>
      <c r="B827" s="64"/>
      <c r="C827" s="64"/>
      <c r="D827" s="64"/>
      <c r="E827" s="64"/>
      <c r="F827" s="64"/>
      <c r="G827" s="64"/>
      <c r="H827" s="64"/>
      <c r="I827" s="64"/>
      <c r="J827" s="64"/>
      <c r="K827" s="64"/>
      <c r="L827" s="64"/>
      <c r="M827" s="64"/>
      <c r="N827" s="64"/>
      <c r="O827" s="64"/>
      <c r="P827" s="64"/>
      <c r="Q827" s="64"/>
      <c r="R827" s="64"/>
      <c r="S827" s="64"/>
      <c r="T827" s="64"/>
      <c r="U827" s="64"/>
      <c r="V827" s="64"/>
      <c r="W827" s="64"/>
      <c r="X827" s="64"/>
      <c r="Y827" s="64"/>
      <c r="Z827" s="64"/>
    </row>
    <row r="828" spans="1:26" ht="12.75" customHeight="1" x14ac:dyDescent="0.25">
      <c r="A828" s="64"/>
      <c r="B828" s="64"/>
      <c r="C828" s="64"/>
      <c r="D828" s="64"/>
      <c r="E828" s="64"/>
      <c r="F828" s="64"/>
      <c r="G828" s="64"/>
      <c r="H828" s="64"/>
      <c r="I828" s="64"/>
      <c r="J828" s="64"/>
      <c r="K828" s="64"/>
      <c r="L828" s="64"/>
      <c r="M828" s="64"/>
      <c r="N828" s="64"/>
      <c r="O828" s="64"/>
      <c r="P828" s="64"/>
      <c r="Q828" s="64"/>
      <c r="R828" s="64"/>
      <c r="S828" s="64"/>
      <c r="T828" s="64"/>
      <c r="U828" s="64"/>
      <c r="V828" s="64"/>
      <c r="W828" s="64"/>
      <c r="X828" s="64"/>
      <c r="Y828" s="64"/>
      <c r="Z828" s="64"/>
    </row>
    <row r="829" spans="1:26" ht="12.75" customHeight="1" x14ac:dyDescent="0.25">
      <c r="A829" s="64"/>
      <c r="B829" s="64"/>
      <c r="C829" s="64"/>
      <c r="D829" s="64"/>
      <c r="E829" s="64"/>
      <c r="F829" s="64"/>
      <c r="G829" s="64"/>
      <c r="H829" s="64"/>
      <c r="I829" s="64"/>
      <c r="J829" s="64"/>
      <c r="K829" s="64"/>
      <c r="L829" s="64"/>
      <c r="M829" s="64"/>
      <c r="N829" s="64"/>
      <c r="O829" s="64"/>
      <c r="P829" s="64"/>
      <c r="Q829" s="64"/>
      <c r="R829" s="64"/>
      <c r="S829" s="64"/>
      <c r="T829" s="64"/>
      <c r="U829" s="64"/>
      <c r="V829" s="64"/>
      <c r="W829" s="64"/>
      <c r="X829" s="64"/>
      <c r="Y829" s="64"/>
      <c r="Z829" s="64"/>
    </row>
    <row r="830" spans="1:26" ht="12.75" customHeight="1" x14ac:dyDescent="0.25">
      <c r="A830" s="64"/>
      <c r="B830" s="64"/>
      <c r="C830" s="64"/>
      <c r="D830" s="64"/>
      <c r="E830" s="64"/>
      <c r="F830" s="64"/>
      <c r="G830" s="64"/>
      <c r="H830" s="64"/>
      <c r="I830" s="64"/>
      <c r="J830" s="64"/>
      <c r="K830" s="64"/>
      <c r="L830" s="64"/>
      <c r="M830" s="64"/>
      <c r="N830" s="64"/>
      <c r="O830" s="64"/>
      <c r="P830" s="64"/>
      <c r="Q830" s="64"/>
      <c r="R830" s="64"/>
      <c r="S830" s="64"/>
      <c r="T830" s="64"/>
      <c r="U830" s="64"/>
      <c r="V830" s="64"/>
      <c r="W830" s="64"/>
      <c r="X830" s="64"/>
      <c r="Y830" s="64"/>
      <c r="Z830" s="64"/>
    </row>
    <row r="831" spans="1:26" ht="12.75" customHeight="1" x14ac:dyDescent="0.25">
      <c r="A831" s="64"/>
      <c r="B831" s="64"/>
      <c r="C831" s="64"/>
      <c r="D831" s="64"/>
      <c r="E831" s="64"/>
      <c r="F831" s="64"/>
      <c r="G831" s="64"/>
      <c r="H831" s="64"/>
      <c r="I831" s="64"/>
      <c r="J831" s="64"/>
      <c r="K831" s="64"/>
      <c r="L831" s="64"/>
      <c r="M831" s="64"/>
      <c r="N831" s="64"/>
      <c r="O831" s="64"/>
      <c r="P831" s="64"/>
      <c r="Q831" s="64"/>
      <c r="R831" s="64"/>
      <c r="S831" s="64"/>
      <c r="T831" s="64"/>
      <c r="U831" s="64"/>
      <c r="V831" s="64"/>
      <c r="W831" s="64"/>
      <c r="X831" s="64"/>
      <c r="Y831" s="64"/>
      <c r="Z831" s="64"/>
    </row>
    <row r="832" spans="1:26" ht="12.75" customHeight="1" x14ac:dyDescent="0.25">
      <c r="A832" s="64"/>
      <c r="B832" s="64"/>
      <c r="C832" s="64"/>
      <c r="D832" s="64"/>
      <c r="E832" s="64"/>
      <c r="F832" s="64"/>
      <c r="G832" s="64"/>
      <c r="H832" s="64"/>
      <c r="I832" s="64"/>
      <c r="J832" s="64"/>
      <c r="K832" s="64"/>
      <c r="L832" s="64"/>
      <c r="M832" s="64"/>
      <c r="N832" s="64"/>
      <c r="O832" s="64"/>
      <c r="P832" s="64"/>
      <c r="Q832" s="64"/>
      <c r="R832" s="64"/>
      <c r="S832" s="64"/>
      <c r="T832" s="64"/>
      <c r="U832" s="64"/>
      <c r="V832" s="64"/>
      <c r="W832" s="64"/>
      <c r="X832" s="64"/>
      <c r="Y832" s="64"/>
      <c r="Z832" s="64"/>
    </row>
    <row r="833" spans="1:26" ht="12.75" customHeight="1" x14ac:dyDescent="0.25">
      <c r="A833" s="64"/>
      <c r="B833" s="64"/>
      <c r="C833" s="64"/>
      <c r="D833" s="64"/>
      <c r="E833" s="64"/>
      <c r="F833" s="64"/>
      <c r="G833" s="64"/>
      <c r="H833" s="64"/>
      <c r="I833" s="64"/>
      <c r="J833" s="64"/>
      <c r="K833" s="64"/>
      <c r="L833" s="64"/>
      <c r="M833" s="64"/>
      <c r="N833" s="64"/>
      <c r="O833" s="64"/>
      <c r="P833" s="64"/>
      <c r="Q833" s="64"/>
      <c r="R833" s="64"/>
      <c r="S833" s="64"/>
      <c r="T833" s="64"/>
      <c r="U833" s="64"/>
      <c r="V833" s="64"/>
      <c r="W833" s="64"/>
      <c r="X833" s="64"/>
      <c r="Y833" s="64"/>
      <c r="Z833" s="64"/>
    </row>
    <row r="834" spans="1:26" ht="12.75" customHeight="1" x14ac:dyDescent="0.25">
      <c r="A834" s="64"/>
      <c r="B834" s="64"/>
      <c r="C834" s="64"/>
      <c r="D834" s="64"/>
      <c r="E834" s="64"/>
      <c r="F834" s="64"/>
      <c r="G834" s="64"/>
      <c r="H834" s="64"/>
      <c r="I834" s="64"/>
      <c r="J834" s="64"/>
      <c r="K834" s="64"/>
      <c r="L834" s="64"/>
      <c r="M834" s="64"/>
      <c r="N834" s="64"/>
      <c r="O834" s="64"/>
      <c r="P834" s="64"/>
      <c r="Q834" s="64"/>
      <c r="R834" s="64"/>
      <c r="S834" s="64"/>
      <c r="T834" s="64"/>
      <c r="U834" s="64"/>
      <c r="V834" s="64"/>
      <c r="W834" s="64"/>
      <c r="X834" s="64"/>
      <c r="Y834" s="64"/>
      <c r="Z834" s="64"/>
    </row>
    <row r="835" spans="1:26" ht="12.75" customHeight="1" x14ac:dyDescent="0.25">
      <c r="A835" s="64"/>
      <c r="B835" s="64"/>
      <c r="C835" s="64"/>
      <c r="D835" s="64"/>
      <c r="E835" s="64"/>
      <c r="F835" s="64"/>
      <c r="G835" s="64"/>
      <c r="H835" s="64"/>
      <c r="I835" s="64"/>
      <c r="J835" s="64"/>
      <c r="K835" s="64"/>
      <c r="L835" s="64"/>
      <c r="M835" s="64"/>
      <c r="N835" s="64"/>
      <c r="O835" s="64"/>
      <c r="P835" s="64"/>
      <c r="Q835" s="64"/>
      <c r="R835" s="64"/>
      <c r="S835" s="64"/>
      <c r="T835" s="64"/>
      <c r="U835" s="64"/>
      <c r="V835" s="64"/>
      <c r="W835" s="64"/>
      <c r="X835" s="64"/>
      <c r="Y835" s="64"/>
      <c r="Z835" s="64"/>
    </row>
    <row r="836" spans="1:26" ht="12.75" customHeight="1" x14ac:dyDescent="0.25">
      <c r="A836" s="64"/>
      <c r="B836" s="64"/>
      <c r="C836" s="64"/>
      <c r="D836" s="64"/>
      <c r="E836" s="64"/>
      <c r="F836" s="64"/>
      <c r="G836" s="64"/>
      <c r="H836" s="64"/>
      <c r="I836" s="64"/>
      <c r="J836" s="64"/>
      <c r="K836" s="64"/>
      <c r="L836" s="64"/>
      <c r="M836" s="64"/>
      <c r="N836" s="64"/>
      <c r="O836" s="64"/>
      <c r="P836" s="64"/>
      <c r="Q836" s="64"/>
      <c r="R836" s="64"/>
      <c r="S836" s="64"/>
      <c r="T836" s="64"/>
      <c r="U836" s="64"/>
      <c r="V836" s="64"/>
      <c r="W836" s="64"/>
      <c r="X836" s="64"/>
      <c r="Y836" s="64"/>
      <c r="Z836" s="64"/>
    </row>
    <row r="837" spans="1:26" ht="12.75" customHeight="1" x14ac:dyDescent="0.25">
      <c r="A837" s="64"/>
      <c r="B837" s="64"/>
      <c r="C837" s="64"/>
      <c r="D837" s="64"/>
      <c r="E837" s="64"/>
      <c r="F837" s="64"/>
      <c r="G837" s="64"/>
      <c r="H837" s="64"/>
      <c r="I837" s="64"/>
      <c r="J837" s="64"/>
      <c r="K837" s="64"/>
      <c r="L837" s="64"/>
      <c r="M837" s="64"/>
      <c r="N837" s="64"/>
      <c r="O837" s="64"/>
      <c r="P837" s="64"/>
      <c r="Q837" s="64"/>
      <c r="R837" s="64"/>
      <c r="S837" s="64"/>
      <c r="T837" s="64"/>
      <c r="U837" s="64"/>
      <c r="V837" s="64"/>
      <c r="W837" s="64"/>
      <c r="X837" s="64"/>
      <c r="Y837" s="64"/>
      <c r="Z837" s="64"/>
    </row>
    <row r="838" spans="1:26" ht="12.75" customHeight="1" x14ac:dyDescent="0.25">
      <c r="A838" s="64"/>
      <c r="B838" s="64"/>
      <c r="C838" s="64"/>
      <c r="D838" s="64"/>
      <c r="E838" s="64"/>
      <c r="F838" s="64"/>
      <c r="G838" s="64"/>
      <c r="H838" s="64"/>
      <c r="I838" s="64"/>
      <c r="J838" s="64"/>
      <c r="K838" s="64"/>
      <c r="L838" s="64"/>
      <c r="M838" s="64"/>
      <c r="N838" s="64"/>
      <c r="O838" s="64"/>
      <c r="P838" s="64"/>
      <c r="Q838" s="64"/>
      <c r="R838" s="64"/>
      <c r="S838" s="64"/>
      <c r="T838" s="64"/>
      <c r="U838" s="64"/>
      <c r="V838" s="64"/>
      <c r="W838" s="64"/>
      <c r="X838" s="64"/>
      <c r="Y838" s="64"/>
      <c r="Z838" s="64"/>
    </row>
    <row r="839" spans="1:26" ht="12.75" customHeight="1" x14ac:dyDescent="0.25">
      <c r="A839" s="64"/>
      <c r="B839" s="64"/>
      <c r="C839" s="64"/>
      <c r="D839" s="64"/>
      <c r="E839" s="64"/>
      <c r="F839" s="64"/>
      <c r="G839" s="64"/>
      <c r="H839" s="64"/>
      <c r="I839" s="64"/>
      <c r="J839" s="64"/>
      <c r="K839" s="64"/>
      <c r="L839" s="64"/>
      <c r="M839" s="64"/>
      <c r="N839" s="64"/>
      <c r="O839" s="64"/>
      <c r="P839" s="64"/>
      <c r="Q839" s="64"/>
      <c r="R839" s="64"/>
      <c r="S839" s="64"/>
      <c r="T839" s="64"/>
      <c r="U839" s="64"/>
      <c r="V839" s="64"/>
      <c r="W839" s="64"/>
      <c r="X839" s="64"/>
      <c r="Y839" s="64"/>
      <c r="Z839" s="64"/>
    </row>
    <row r="840" spans="1:26" ht="12.75" customHeight="1" x14ac:dyDescent="0.25">
      <c r="A840" s="64"/>
      <c r="B840" s="64"/>
      <c r="C840" s="64"/>
      <c r="D840" s="64"/>
      <c r="E840" s="64"/>
      <c r="F840" s="64"/>
      <c r="G840" s="64"/>
      <c r="H840" s="64"/>
      <c r="I840" s="64"/>
      <c r="J840" s="64"/>
      <c r="K840" s="64"/>
      <c r="L840" s="64"/>
      <c r="M840" s="64"/>
      <c r="N840" s="64"/>
      <c r="O840" s="64"/>
      <c r="P840" s="64"/>
      <c r="Q840" s="64"/>
      <c r="R840" s="64"/>
      <c r="S840" s="64"/>
      <c r="T840" s="64"/>
      <c r="U840" s="64"/>
      <c r="V840" s="64"/>
      <c r="W840" s="64"/>
      <c r="X840" s="64"/>
      <c r="Y840" s="64"/>
      <c r="Z840" s="64"/>
    </row>
    <row r="841" spans="1:26" ht="12.75" customHeight="1" x14ac:dyDescent="0.25">
      <c r="A841" s="64"/>
      <c r="B841" s="64"/>
      <c r="C841" s="64"/>
      <c r="D841" s="64"/>
      <c r="E841" s="64"/>
      <c r="F841" s="64"/>
      <c r="G841" s="64"/>
      <c r="H841" s="64"/>
      <c r="I841" s="64"/>
      <c r="J841" s="64"/>
      <c r="K841" s="64"/>
      <c r="L841" s="64"/>
      <c r="M841" s="64"/>
      <c r="N841" s="64"/>
      <c r="O841" s="64"/>
      <c r="P841" s="64"/>
      <c r="Q841" s="64"/>
      <c r="R841" s="64"/>
      <c r="S841" s="64"/>
      <c r="T841" s="64"/>
      <c r="U841" s="64"/>
      <c r="V841" s="64"/>
      <c r="W841" s="64"/>
      <c r="X841" s="64"/>
      <c r="Y841" s="64"/>
      <c r="Z841" s="64"/>
    </row>
    <row r="842" spans="1:26" ht="12.75" customHeight="1" x14ac:dyDescent="0.25">
      <c r="A842" s="64"/>
      <c r="B842" s="64"/>
      <c r="C842" s="64"/>
      <c r="D842" s="64"/>
      <c r="E842" s="64"/>
      <c r="F842" s="64"/>
      <c r="G842" s="64"/>
      <c r="H842" s="64"/>
      <c r="I842" s="64"/>
      <c r="J842" s="64"/>
      <c r="K842" s="64"/>
      <c r="L842" s="64"/>
      <c r="M842" s="64"/>
      <c r="N842" s="64"/>
      <c r="O842" s="64"/>
      <c r="P842" s="64"/>
      <c r="Q842" s="64"/>
      <c r="R842" s="64"/>
      <c r="S842" s="64"/>
      <c r="T842" s="64"/>
      <c r="U842" s="64"/>
      <c r="V842" s="64"/>
      <c r="W842" s="64"/>
      <c r="X842" s="64"/>
      <c r="Y842" s="64"/>
      <c r="Z842" s="64"/>
    </row>
    <row r="843" spans="1:26" ht="12.75" customHeight="1" x14ac:dyDescent="0.25">
      <c r="A843" s="64"/>
      <c r="B843" s="64"/>
      <c r="C843" s="64"/>
      <c r="D843" s="64"/>
      <c r="E843" s="64"/>
      <c r="F843" s="64"/>
      <c r="G843" s="64"/>
      <c r="H843" s="64"/>
      <c r="I843" s="64"/>
      <c r="J843" s="64"/>
      <c r="K843" s="64"/>
      <c r="L843" s="64"/>
      <c r="M843" s="64"/>
      <c r="N843" s="64"/>
      <c r="O843" s="64"/>
      <c r="P843" s="64"/>
      <c r="Q843" s="64"/>
      <c r="R843" s="64"/>
      <c r="S843" s="64"/>
      <c r="T843" s="64"/>
      <c r="U843" s="64"/>
      <c r="V843" s="64"/>
      <c r="W843" s="64"/>
      <c r="X843" s="64"/>
      <c r="Y843" s="64"/>
      <c r="Z843" s="64"/>
    </row>
    <row r="844" spans="1:26" ht="12.75" customHeight="1" x14ac:dyDescent="0.25">
      <c r="A844" s="64"/>
      <c r="B844" s="64"/>
      <c r="C844" s="64"/>
      <c r="D844" s="64"/>
      <c r="E844" s="64"/>
      <c r="F844" s="64"/>
      <c r="G844" s="64"/>
      <c r="H844" s="64"/>
      <c r="I844" s="64"/>
      <c r="J844" s="64"/>
      <c r="K844" s="64"/>
      <c r="L844" s="64"/>
      <c r="M844" s="64"/>
      <c r="N844" s="64"/>
      <c r="O844" s="64"/>
      <c r="P844" s="64"/>
      <c r="Q844" s="64"/>
      <c r="R844" s="64"/>
      <c r="S844" s="64"/>
      <c r="T844" s="64"/>
      <c r="U844" s="64"/>
      <c r="V844" s="64"/>
      <c r="W844" s="64"/>
      <c r="X844" s="64"/>
      <c r="Y844" s="64"/>
      <c r="Z844" s="64"/>
    </row>
    <row r="845" spans="1:26" ht="12.75" customHeight="1" x14ac:dyDescent="0.25">
      <c r="A845" s="64"/>
      <c r="B845" s="64"/>
      <c r="C845" s="64"/>
      <c r="D845" s="64"/>
      <c r="E845" s="64"/>
      <c r="F845" s="64"/>
      <c r="G845" s="64"/>
      <c r="H845" s="64"/>
      <c r="I845" s="64"/>
      <c r="J845" s="64"/>
      <c r="K845" s="64"/>
      <c r="L845" s="64"/>
      <c r="M845" s="64"/>
      <c r="N845" s="64"/>
      <c r="O845" s="64"/>
      <c r="P845" s="64"/>
      <c r="Q845" s="64"/>
      <c r="R845" s="64"/>
      <c r="S845" s="64"/>
      <c r="T845" s="64"/>
      <c r="U845" s="64"/>
      <c r="V845" s="64"/>
      <c r="W845" s="64"/>
      <c r="X845" s="64"/>
      <c r="Y845" s="64"/>
      <c r="Z845" s="64"/>
    </row>
    <row r="846" spans="1:26" ht="12.75" customHeight="1" x14ac:dyDescent="0.25">
      <c r="A846" s="64"/>
      <c r="B846" s="64"/>
      <c r="C846" s="64"/>
      <c r="D846" s="64"/>
      <c r="E846" s="64"/>
      <c r="F846" s="64"/>
      <c r="G846" s="64"/>
      <c r="H846" s="64"/>
      <c r="I846" s="64"/>
      <c r="J846" s="64"/>
      <c r="K846" s="64"/>
      <c r="L846" s="64"/>
      <c r="M846" s="64"/>
      <c r="N846" s="64"/>
      <c r="O846" s="64"/>
      <c r="P846" s="64"/>
      <c r="Q846" s="64"/>
      <c r="R846" s="64"/>
      <c r="S846" s="64"/>
      <c r="T846" s="64"/>
      <c r="U846" s="64"/>
      <c r="V846" s="64"/>
      <c r="W846" s="64"/>
      <c r="X846" s="64"/>
      <c r="Y846" s="64"/>
      <c r="Z846" s="64"/>
    </row>
    <row r="847" spans="1:26" ht="12.75" customHeight="1" x14ac:dyDescent="0.25">
      <c r="A847" s="64"/>
      <c r="B847" s="64"/>
      <c r="C847" s="64"/>
      <c r="D847" s="64"/>
      <c r="E847" s="64"/>
      <c r="F847" s="64"/>
      <c r="G847" s="64"/>
      <c r="H847" s="64"/>
      <c r="I847" s="64"/>
      <c r="J847" s="64"/>
      <c r="K847" s="64"/>
      <c r="L847" s="64"/>
      <c r="M847" s="64"/>
      <c r="N847" s="64"/>
      <c r="O847" s="64"/>
      <c r="P847" s="64"/>
      <c r="Q847" s="64"/>
      <c r="R847" s="64"/>
      <c r="S847" s="64"/>
      <c r="T847" s="64"/>
      <c r="U847" s="64"/>
      <c r="V847" s="64"/>
      <c r="W847" s="64"/>
      <c r="X847" s="64"/>
      <c r="Y847" s="64"/>
      <c r="Z847" s="64"/>
    </row>
    <row r="848" spans="1:26" ht="12.75" customHeight="1" x14ac:dyDescent="0.25">
      <c r="A848" s="64"/>
      <c r="B848" s="64"/>
      <c r="C848" s="64"/>
      <c r="D848" s="64"/>
      <c r="E848" s="64"/>
      <c r="F848" s="64"/>
      <c r="G848" s="64"/>
      <c r="H848" s="64"/>
      <c r="I848" s="64"/>
      <c r="J848" s="64"/>
      <c r="K848" s="64"/>
      <c r="L848" s="64"/>
      <c r="M848" s="64"/>
      <c r="N848" s="64"/>
      <c r="O848" s="64"/>
      <c r="P848" s="64"/>
      <c r="Q848" s="64"/>
      <c r="R848" s="64"/>
      <c r="S848" s="64"/>
      <c r="T848" s="64"/>
      <c r="U848" s="64"/>
      <c r="V848" s="64"/>
      <c r="W848" s="64"/>
      <c r="X848" s="64"/>
      <c r="Y848" s="64"/>
      <c r="Z848" s="64"/>
    </row>
    <row r="849" spans="1:26" ht="12.75" customHeight="1" x14ac:dyDescent="0.25">
      <c r="A849" s="64"/>
      <c r="B849" s="64"/>
      <c r="C849" s="64"/>
      <c r="D849" s="64"/>
      <c r="E849" s="64"/>
      <c r="F849" s="64"/>
      <c r="G849" s="64"/>
      <c r="H849" s="64"/>
      <c r="I849" s="64"/>
      <c r="J849" s="64"/>
      <c r="K849" s="64"/>
      <c r="L849" s="64"/>
      <c r="M849" s="64"/>
      <c r="N849" s="64"/>
      <c r="O849" s="64"/>
      <c r="P849" s="64"/>
      <c r="Q849" s="64"/>
      <c r="R849" s="64"/>
      <c r="S849" s="64"/>
      <c r="T849" s="64"/>
      <c r="U849" s="64"/>
      <c r="V849" s="64"/>
      <c r="W849" s="64"/>
      <c r="X849" s="64"/>
      <c r="Y849" s="64"/>
      <c r="Z849" s="64"/>
    </row>
    <row r="850" spans="1:26" ht="12.75" customHeight="1" x14ac:dyDescent="0.25">
      <c r="A850" s="64"/>
      <c r="B850" s="64"/>
      <c r="C850" s="64"/>
      <c r="D850" s="64"/>
      <c r="E850" s="64"/>
      <c r="F850" s="64"/>
      <c r="G850" s="64"/>
      <c r="H850" s="64"/>
      <c r="I850" s="64"/>
      <c r="J850" s="64"/>
      <c r="K850" s="64"/>
      <c r="L850" s="64"/>
      <c r="M850" s="64"/>
      <c r="N850" s="64"/>
      <c r="O850" s="64"/>
      <c r="P850" s="64"/>
      <c r="Q850" s="64"/>
      <c r="R850" s="64"/>
      <c r="S850" s="64"/>
      <c r="T850" s="64"/>
      <c r="U850" s="64"/>
      <c r="V850" s="64"/>
      <c r="W850" s="64"/>
      <c r="X850" s="64"/>
      <c r="Y850" s="64"/>
      <c r="Z850" s="64"/>
    </row>
    <row r="851" spans="1:26" ht="12.75" customHeight="1" x14ac:dyDescent="0.25">
      <c r="A851" s="64"/>
      <c r="B851" s="64"/>
      <c r="C851" s="64"/>
      <c r="D851" s="64"/>
      <c r="E851" s="64"/>
      <c r="F851" s="64"/>
      <c r="G851" s="64"/>
      <c r="H851" s="64"/>
      <c r="I851" s="64"/>
      <c r="J851" s="64"/>
      <c r="K851" s="64"/>
      <c r="L851" s="64"/>
      <c r="M851" s="64"/>
      <c r="N851" s="64"/>
      <c r="O851" s="64"/>
      <c r="P851" s="64"/>
      <c r="Q851" s="64"/>
      <c r="R851" s="64"/>
      <c r="S851" s="64"/>
      <c r="T851" s="64"/>
      <c r="U851" s="64"/>
      <c r="V851" s="64"/>
      <c r="W851" s="64"/>
      <c r="X851" s="64"/>
      <c r="Y851" s="64"/>
      <c r="Z851" s="64"/>
    </row>
    <row r="852" spans="1:26" ht="12.75" customHeight="1" x14ac:dyDescent="0.25">
      <c r="A852" s="64"/>
      <c r="B852" s="64"/>
      <c r="C852" s="64"/>
      <c r="D852" s="64"/>
      <c r="E852" s="64"/>
      <c r="F852" s="64"/>
      <c r="G852" s="64"/>
      <c r="H852" s="64"/>
      <c r="I852" s="64"/>
      <c r="J852" s="64"/>
      <c r="K852" s="64"/>
      <c r="L852" s="64"/>
      <c r="M852" s="64"/>
      <c r="N852" s="64"/>
      <c r="O852" s="64"/>
      <c r="P852" s="64"/>
      <c r="Q852" s="64"/>
      <c r="R852" s="64"/>
      <c r="S852" s="64"/>
      <c r="T852" s="64"/>
      <c r="U852" s="64"/>
      <c r="V852" s="64"/>
      <c r="W852" s="64"/>
      <c r="X852" s="64"/>
      <c r="Y852" s="64"/>
      <c r="Z852" s="64"/>
    </row>
    <row r="853" spans="1:26" ht="12.75" customHeight="1" x14ac:dyDescent="0.25">
      <c r="A853" s="64"/>
      <c r="B853" s="64"/>
      <c r="C853" s="64"/>
      <c r="D853" s="64"/>
      <c r="E853" s="64"/>
      <c r="F853" s="64"/>
      <c r="G853" s="64"/>
      <c r="H853" s="64"/>
      <c r="I853" s="64"/>
      <c r="J853" s="64"/>
      <c r="K853" s="64"/>
      <c r="L853" s="64"/>
      <c r="M853" s="64"/>
      <c r="N853" s="64"/>
      <c r="O853" s="64"/>
      <c r="P853" s="64"/>
      <c r="Q853" s="64"/>
      <c r="R853" s="64"/>
      <c r="S853" s="64"/>
      <c r="T853" s="64"/>
      <c r="U853" s="64"/>
      <c r="V853" s="64"/>
      <c r="W853" s="64"/>
      <c r="X853" s="64"/>
      <c r="Y853" s="64"/>
      <c r="Z853" s="64"/>
    </row>
    <row r="854" spans="1:26" ht="12.75" customHeight="1" x14ac:dyDescent="0.25">
      <c r="A854" s="64"/>
      <c r="B854" s="64"/>
      <c r="C854" s="64"/>
      <c r="D854" s="64"/>
      <c r="E854" s="64"/>
      <c r="F854" s="64"/>
      <c r="G854" s="64"/>
      <c r="H854" s="64"/>
      <c r="I854" s="64"/>
      <c r="J854" s="64"/>
      <c r="K854" s="64"/>
      <c r="L854" s="64"/>
      <c r="M854" s="64"/>
      <c r="N854" s="64"/>
      <c r="O854" s="64"/>
      <c r="P854" s="64"/>
      <c r="Q854" s="64"/>
      <c r="R854" s="64"/>
      <c r="S854" s="64"/>
      <c r="T854" s="64"/>
      <c r="U854" s="64"/>
      <c r="V854" s="64"/>
      <c r="W854" s="64"/>
      <c r="X854" s="64"/>
      <c r="Y854" s="64"/>
      <c r="Z854" s="64"/>
    </row>
    <row r="855" spans="1:26" ht="12.75" customHeight="1" x14ac:dyDescent="0.25">
      <c r="A855" s="64"/>
      <c r="B855" s="64"/>
      <c r="C855" s="64"/>
      <c r="D855" s="64"/>
      <c r="E855" s="64"/>
      <c r="F855" s="64"/>
      <c r="G855" s="64"/>
      <c r="H855" s="64"/>
      <c r="I855" s="64"/>
      <c r="J855" s="64"/>
      <c r="K855" s="64"/>
      <c r="L855" s="64"/>
      <c r="M855" s="64"/>
      <c r="N855" s="64"/>
      <c r="O855" s="64"/>
      <c r="P855" s="64"/>
      <c r="Q855" s="64"/>
      <c r="R855" s="64"/>
      <c r="S855" s="64"/>
      <c r="T855" s="64"/>
      <c r="U855" s="64"/>
      <c r="V855" s="64"/>
      <c r="W855" s="64"/>
      <c r="X855" s="64"/>
      <c r="Y855" s="64"/>
      <c r="Z855" s="64"/>
    </row>
    <row r="856" spans="1:26" ht="12.75" customHeight="1" x14ac:dyDescent="0.25">
      <c r="A856" s="64"/>
      <c r="B856" s="64"/>
      <c r="C856" s="64"/>
      <c r="D856" s="64"/>
      <c r="E856" s="64"/>
      <c r="F856" s="64"/>
      <c r="G856" s="64"/>
      <c r="H856" s="64"/>
      <c r="I856" s="64"/>
      <c r="J856" s="64"/>
      <c r="K856" s="64"/>
      <c r="L856" s="64"/>
      <c r="M856" s="64"/>
      <c r="N856" s="64"/>
      <c r="O856" s="64"/>
      <c r="P856" s="64"/>
      <c r="Q856" s="64"/>
      <c r="R856" s="64"/>
      <c r="S856" s="64"/>
      <c r="T856" s="64"/>
      <c r="U856" s="64"/>
      <c r="V856" s="64"/>
      <c r="W856" s="64"/>
      <c r="X856" s="64"/>
      <c r="Y856" s="64"/>
      <c r="Z856" s="64"/>
    </row>
    <row r="857" spans="1:26" ht="12.75" customHeight="1" x14ac:dyDescent="0.25">
      <c r="A857" s="64"/>
      <c r="B857" s="64"/>
      <c r="C857" s="64"/>
      <c r="D857" s="64"/>
      <c r="E857" s="64"/>
      <c r="F857" s="64"/>
      <c r="G857" s="64"/>
      <c r="H857" s="64"/>
      <c r="I857" s="64"/>
      <c r="J857" s="64"/>
      <c r="K857" s="64"/>
      <c r="L857" s="64"/>
      <c r="M857" s="64"/>
      <c r="N857" s="64"/>
      <c r="O857" s="64"/>
      <c r="P857" s="64"/>
      <c r="Q857" s="64"/>
      <c r="R857" s="64"/>
      <c r="S857" s="64"/>
      <c r="T857" s="64"/>
      <c r="U857" s="64"/>
      <c r="V857" s="64"/>
      <c r="W857" s="64"/>
      <c r="X857" s="64"/>
      <c r="Y857" s="64"/>
      <c r="Z857" s="64"/>
    </row>
    <row r="858" spans="1:26" ht="12.75" customHeight="1" x14ac:dyDescent="0.25">
      <c r="A858" s="64"/>
      <c r="B858" s="64"/>
      <c r="C858" s="64"/>
      <c r="D858" s="64"/>
      <c r="E858" s="64"/>
      <c r="F858" s="64"/>
      <c r="G858" s="64"/>
      <c r="H858" s="64"/>
      <c r="I858" s="64"/>
      <c r="J858" s="64"/>
      <c r="K858" s="64"/>
      <c r="L858" s="64"/>
      <c r="M858" s="64"/>
      <c r="N858" s="64"/>
      <c r="O858" s="64"/>
      <c r="P858" s="64"/>
      <c r="Q858" s="64"/>
      <c r="R858" s="64"/>
      <c r="S858" s="64"/>
      <c r="T858" s="64"/>
      <c r="U858" s="64"/>
      <c r="V858" s="64"/>
      <c r="W858" s="64"/>
      <c r="X858" s="64"/>
      <c r="Y858" s="64"/>
      <c r="Z858" s="64"/>
    </row>
    <row r="859" spans="1:26" ht="12.75" customHeight="1" x14ac:dyDescent="0.25">
      <c r="A859" s="64"/>
      <c r="B859" s="64"/>
      <c r="C859" s="64"/>
      <c r="D859" s="64"/>
      <c r="E859" s="64"/>
      <c r="F859" s="64"/>
      <c r="G859" s="64"/>
      <c r="H859" s="64"/>
      <c r="I859" s="64"/>
      <c r="J859" s="64"/>
      <c r="K859" s="64"/>
      <c r="L859" s="64"/>
      <c r="M859" s="64"/>
      <c r="N859" s="64"/>
      <c r="O859" s="64"/>
      <c r="P859" s="64"/>
      <c r="Q859" s="64"/>
      <c r="R859" s="64"/>
      <c r="S859" s="64"/>
      <c r="T859" s="64"/>
      <c r="U859" s="64"/>
      <c r="V859" s="64"/>
      <c r="W859" s="64"/>
      <c r="X859" s="64"/>
      <c r="Y859" s="64"/>
      <c r="Z859" s="64"/>
    </row>
    <row r="860" spans="1:26" ht="12.75" customHeight="1" x14ac:dyDescent="0.25">
      <c r="A860" s="64"/>
      <c r="B860" s="64"/>
      <c r="C860" s="64"/>
      <c r="D860" s="64"/>
      <c r="E860" s="64"/>
      <c r="F860" s="64"/>
      <c r="G860" s="64"/>
      <c r="H860" s="64"/>
      <c r="I860" s="64"/>
      <c r="J860" s="64"/>
      <c r="K860" s="64"/>
      <c r="L860" s="64"/>
      <c r="M860" s="64"/>
      <c r="N860" s="64"/>
      <c r="O860" s="64"/>
      <c r="P860" s="64"/>
      <c r="Q860" s="64"/>
      <c r="R860" s="64"/>
      <c r="S860" s="64"/>
      <c r="T860" s="64"/>
      <c r="U860" s="64"/>
      <c r="V860" s="64"/>
      <c r="W860" s="64"/>
      <c r="X860" s="64"/>
      <c r="Y860" s="64"/>
      <c r="Z860" s="64"/>
    </row>
    <row r="861" spans="1:26" ht="12.75" customHeight="1" x14ac:dyDescent="0.25">
      <c r="A861" s="64"/>
      <c r="B861" s="64"/>
      <c r="C861" s="64"/>
      <c r="D861" s="64"/>
      <c r="E861" s="64"/>
      <c r="F861" s="64"/>
      <c r="G861" s="64"/>
      <c r="H861" s="64"/>
      <c r="I861" s="64"/>
      <c r="J861" s="64"/>
      <c r="K861" s="64"/>
      <c r="L861" s="64"/>
      <c r="M861" s="64"/>
      <c r="N861" s="64"/>
      <c r="O861" s="64"/>
      <c r="P861" s="64"/>
      <c r="Q861" s="64"/>
      <c r="R861" s="64"/>
      <c r="S861" s="64"/>
      <c r="T861" s="64"/>
      <c r="U861" s="64"/>
      <c r="V861" s="64"/>
      <c r="W861" s="64"/>
      <c r="X861" s="64"/>
      <c r="Y861" s="64"/>
      <c r="Z861" s="64"/>
    </row>
    <row r="862" spans="1:26" ht="12.75" customHeight="1" x14ac:dyDescent="0.25">
      <c r="A862" s="64"/>
      <c r="B862" s="64"/>
      <c r="C862" s="64"/>
      <c r="D862" s="64"/>
      <c r="E862" s="64"/>
      <c r="F862" s="64"/>
      <c r="G862" s="64"/>
      <c r="H862" s="64"/>
      <c r="I862" s="64"/>
      <c r="J862" s="64"/>
      <c r="K862" s="64"/>
      <c r="L862" s="64"/>
      <c r="M862" s="64"/>
      <c r="N862" s="64"/>
      <c r="O862" s="64"/>
      <c r="P862" s="64"/>
      <c r="Q862" s="64"/>
      <c r="R862" s="64"/>
      <c r="S862" s="64"/>
      <c r="T862" s="64"/>
      <c r="U862" s="64"/>
      <c r="V862" s="64"/>
      <c r="W862" s="64"/>
      <c r="X862" s="64"/>
      <c r="Y862" s="64"/>
      <c r="Z862" s="64"/>
    </row>
    <row r="863" spans="1:26" ht="12.75" customHeight="1" x14ac:dyDescent="0.25">
      <c r="A863" s="64"/>
      <c r="B863" s="64"/>
      <c r="C863" s="64"/>
      <c r="D863" s="64"/>
      <c r="E863" s="64"/>
      <c r="F863" s="64"/>
      <c r="G863" s="64"/>
      <c r="H863" s="64"/>
      <c r="I863" s="64"/>
      <c r="J863" s="64"/>
      <c r="K863" s="64"/>
      <c r="L863" s="64"/>
      <c r="M863" s="64"/>
      <c r="N863" s="64"/>
      <c r="O863" s="64"/>
      <c r="P863" s="64"/>
      <c r="Q863" s="64"/>
      <c r="R863" s="64"/>
      <c r="S863" s="64"/>
      <c r="T863" s="64"/>
      <c r="U863" s="64"/>
      <c r="V863" s="64"/>
      <c r="W863" s="64"/>
      <c r="X863" s="64"/>
      <c r="Y863" s="64"/>
      <c r="Z863" s="64"/>
    </row>
    <row r="864" spans="1:26" ht="12.75" customHeight="1" x14ac:dyDescent="0.25">
      <c r="A864" s="64"/>
      <c r="B864" s="64"/>
      <c r="C864" s="64"/>
      <c r="D864" s="64"/>
      <c r="E864" s="64"/>
      <c r="F864" s="64"/>
      <c r="G864" s="64"/>
      <c r="H864" s="64"/>
      <c r="I864" s="64"/>
      <c r="J864" s="64"/>
      <c r="K864" s="64"/>
      <c r="L864" s="64"/>
      <c r="M864" s="64"/>
      <c r="N864" s="64"/>
      <c r="O864" s="64"/>
      <c r="P864" s="64"/>
      <c r="Q864" s="64"/>
      <c r="R864" s="64"/>
      <c r="S864" s="64"/>
      <c r="T864" s="64"/>
      <c r="U864" s="64"/>
      <c r="V864" s="64"/>
      <c r="W864" s="64"/>
      <c r="X864" s="64"/>
      <c r="Y864" s="64"/>
      <c r="Z864" s="64"/>
    </row>
    <row r="865" spans="1:26" ht="12.75" customHeight="1" x14ac:dyDescent="0.25">
      <c r="A865" s="64"/>
      <c r="B865" s="64"/>
      <c r="C865" s="64"/>
      <c r="D865" s="64"/>
      <c r="E865" s="64"/>
      <c r="F865" s="64"/>
      <c r="G865" s="64"/>
      <c r="H865" s="64"/>
      <c r="I865" s="64"/>
      <c r="J865" s="64"/>
      <c r="K865" s="64"/>
      <c r="L865" s="64"/>
      <c r="M865" s="64"/>
      <c r="N865" s="64"/>
      <c r="O865" s="64"/>
      <c r="P865" s="64"/>
      <c r="Q865" s="64"/>
      <c r="R865" s="64"/>
      <c r="S865" s="64"/>
      <c r="T865" s="64"/>
      <c r="U865" s="64"/>
      <c r="V865" s="64"/>
      <c r="W865" s="64"/>
      <c r="X865" s="64"/>
      <c r="Y865" s="64"/>
      <c r="Z865" s="64"/>
    </row>
    <row r="866" spans="1:26" ht="12.75" customHeight="1" x14ac:dyDescent="0.25">
      <c r="A866" s="64"/>
      <c r="B866" s="64"/>
      <c r="C866" s="64"/>
      <c r="D866" s="64"/>
      <c r="E866" s="64"/>
      <c r="F866" s="64"/>
      <c r="G866" s="64"/>
      <c r="H866" s="64"/>
      <c r="I866" s="64"/>
      <c r="J866" s="64"/>
      <c r="K866" s="64"/>
      <c r="L866" s="64"/>
      <c r="M866" s="64"/>
      <c r="N866" s="64"/>
      <c r="O866" s="64"/>
      <c r="P866" s="64"/>
      <c r="Q866" s="64"/>
      <c r="R866" s="64"/>
      <c r="S866" s="64"/>
      <c r="T866" s="64"/>
      <c r="U866" s="64"/>
      <c r="V866" s="64"/>
      <c r="W866" s="64"/>
      <c r="X866" s="64"/>
      <c r="Y866" s="64"/>
      <c r="Z866" s="64"/>
    </row>
    <row r="867" spans="1:26" ht="12.75" customHeight="1" x14ac:dyDescent="0.25">
      <c r="A867" s="64"/>
      <c r="B867" s="64"/>
      <c r="C867" s="64"/>
      <c r="D867" s="64"/>
      <c r="E867" s="64"/>
      <c r="F867" s="64"/>
      <c r="G867" s="64"/>
      <c r="H867" s="64"/>
      <c r="I867" s="64"/>
      <c r="J867" s="64"/>
      <c r="K867" s="64"/>
      <c r="L867" s="64"/>
      <c r="M867" s="64"/>
      <c r="N867" s="64"/>
      <c r="O867" s="64"/>
      <c r="P867" s="64"/>
      <c r="Q867" s="64"/>
      <c r="R867" s="64"/>
      <c r="S867" s="64"/>
      <c r="T867" s="64"/>
      <c r="U867" s="64"/>
      <c r="V867" s="64"/>
      <c r="W867" s="64"/>
      <c r="X867" s="64"/>
      <c r="Y867" s="64"/>
      <c r="Z867" s="64"/>
    </row>
    <row r="868" spans="1:26" ht="12.75" customHeight="1" x14ac:dyDescent="0.25">
      <c r="A868" s="64"/>
      <c r="B868" s="64"/>
      <c r="C868" s="64"/>
      <c r="D868" s="64"/>
      <c r="E868" s="64"/>
      <c r="F868" s="64"/>
      <c r="G868" s="64"/>
      <c r="H868" s="64"/>
      <c r="I868" s="64"/>
      <c r="J868" s="64"/>
      <c r="K868" s="64"/>
      <c r="L868" s="64"/>
      <c r="M868" s="64"/>
      <c r="N868" s="64"/>
      <c r="O868" s="64"/>
      <c r="P868" s="64"/>
      <c r="Q868" s="64"/>
      <c r="R868" s="64"/>
      <c r="S868" s="64"/>
      <c r="T868" s="64"/>
      <c r="U868" s="64"/>
      <c r="V868" s="64"/>
      <c r="W868" s="64"/>
      <c r="X868" s="64"/>
      <c r="Y868" s="64"/>
      <c r="Z868" s="64"/>
    </row>
    <row r="869" spans="1:26" ht="12.75" customHeight="1" x14ac:dyDescent="0.25">
      <c r="A869" s="64"/>
      <c r="B869" s="64"/>
      <c r="C869" s="64"/>
      <c r="D869" s="64"/>
      <c r="E869" s="64"/>
      <c r="F869" s="64"/>
      <c r="G869" s="64"/>
      <c r="H869" s="64"/>
      <c r="I869" s="64"/>
      <c r="J869" s="64"/>
      <c r="K869" s="64"/>
      <c r="L869" s="64"/>
      <c r="M869" s="64"/>
      <c r="N869" s="64"/>
      <c r="O869" s="64"/>
      <c r="P869" s="64"/>
      <c r="Q869" s="64"/>
      <c r="R869" s="64"/>
      <c r="S869" s="64"/>
      <c r="T869" s="64"/>
      <c r="U869" s="64"/>
      <c r="V869" s="64"/>
      <c r="W869" s="64"/>
      <c r="X869" s="64"/>
      <c r="Y869" s="64"/>
      <c r="Z869" s="64"/>
    </row>
    <row r="870" spans="1:26" ht="12.75" customHeight="1" x14ac:dyDescent="0.25">
      <c r="A870" s="64"/>
      <c r="B870" s="64"/>
      <c r="C870" s="64"/>
      <c r="D870" s="64"/>
      <c r="E870" s="64"/>
      <c r="F870" s="64"/>
      <c r="G870" s="64"/>
      <c r="H870" s="64"/>
      <c r="I870" s="64"/>
      <c r="J870" s="64"/>
      <c r="K870" s="64"/>
      <c r="L870" s="64"/>
      <c r="M870" s="64"/>
      <c r="N870" s="64"/>
      <c r="O870" s="64"/>
      <c r="P870" s="64"/>
      <c r="Q870" s="64"/>
      <c r="R870" s="64"/>
      <c r="S870" s="64"/>
      <c r="T870" s="64"/>
      <c r="U870" s="64"/>
      <c r="V870" s="64"/>
      <c r="W870" s="64"/>
      <c r="X870" s="64"/>
      <c r="Y870" s="64"/>
      <c r="Z870" s="64"/>
    </row>
    <row r="871" spans="1:26" ht="12.75" customHeight="1" x14ac:dyDescent="0.25">
      <c r="A871" s="64"/>
      <c r="B871" s="64"/>
      <c r="C871" s="64"/>
      <c r="D871" s="64"/>
      <c r="E871" s="64"/>
      <c r="F871" s="64"/>
      <c r="G871" s="64"/>
      <c r="H871" s="64"/>
      <c r="I871" s="64"/>
      <c r="J871" s="64"/>
      <c r="K871" s="64"/>
      <c r="L871" s="64"/>
      <c r="M871" s="64"/>
      <c r="N871" s="64"/>
      <c r="O871" s="64"/>
      <c r="P871" s="64"/>
      <c r="Q871" s="64"/>
      <c r="R871" s="64"/>
      <c r="S871" s="64"/>
      <c r="T871" s="64"/>
      <c r="U871" s="64"/>
      <c r="V871" s="64"/>
      <c r="W871" s="64"/>
      <c r="X871" s="64"/>
      <c r="Y871" s="64"/>
      <c r="Z871" s="64"/>
    </row>
    <row r="872" spans="1:26" ht="12.75" customHeight="1" x14ac:dyDescent="0.25">
      <c r="A872" s="64"/>
      <c r="B872" s="64"/>
      <c r="C872" s="64"/>
      <c r="D872" s="64"/>
      <c r="E872" s="64"/>
      <c r="F872" s="64"/>
      <c r="G872" s="64"/>
      <c r="H872" s="64"/>
      <c r="I872" s="64"/>
      <c r="J872" s="64"/>
      <c r="K872" s="64"/>
      <c r="L872" s="64"/>
      <c r="M872" s="64"/>
      <c r="N872" s="64"/>
      <c r="O872" s="64"/>
      <c r="P872" s="64"/>
      <c r="Q872" s="64"/>
      <c r="R872" s="64"/>
      <c r="S872" s="64"/>
      <c r="T872" s="64"/>
      <c r="U872" s="64"/>
      <c r="V872" s="64"/>
      <c r="W872" s="64"/>
      <c r="X872" s="64"/>
      <c r="Y872" s="64"/>
      <c r="Z872" s="64"/>
    </row>
    <row r="873" spans="1:26" ht="12.75" customHeight="1" x14ac:dyDescent="0.25">
      <c r="A873" s="64"/>
      <c r="B873" s="64"/>
      <c r="C873" s="64"/>
      <c r="D873" s="64"/>
      <c r="E873" s="64"/>
      <c r="F873" s="64"/>
      <c r="G873" s="64"/>
      <c r="H873" s="64"/>
      <c r="I873" s="64"/>
      <c r="J873" s="64"/>
      <c r="K873" s="64"/>
      <c r="L873" s="64"/>
      <c r="M873" s="64"/>
      <c r="N873" s="64"/>
      <c r="O873" s="64"/>
      <c r="P873" s="64"/>
      <c r="Q873" s="64"/>
      <c r="R873" s="64"/>
      <c r="S873" s="64"/>
      <c r="T873" s="64"/>
      <c r="U873" s="64"/>
      <c r="V873" s="64"/>
      <c r="W873" s="64"/>
      <c r="X873" s="64"/>
      <c r="Y873" s="64"/>
      <c r="Z873" s="64"/>
    </row>
    <row r="874" spans="1:26" ht="12.75" customHeight="1" x14ac:dyDescent="0.25">
      <c r="A874" s="64"/>
      <c r="B874" s="64"/>
      <c r="C874" s="64"/>
      <c r="D874" s="64"/>
      <c r="E874" s="64"/>
      <c r="F874" s="64"/>
      <c r="G874" s="64"/>
      <c r="H874" s="64"/>
      <c r="I874" s="64"/>
      <c r="J874" s="64"/>
      <c r="K874" s="64"/>
      <c r="L874" s="64"/>
      <c r="M874" s="64"/>
      <c r="N874" s="64"/>
      <c r="O874" s="64"/>
      <c r="P874" s="64"/>
      <c r="Q874" s="64"/>
      <c r="R874" s="64"/>
      <c r="S874" s="64"/>
      <c r="T874" s="64"/>
      <c r="U874" s="64"/>
      <c r="V874" s="64"/>
      <c r="W874" s="64"/>
      <c r="X874" s="64"/>
      <c r="Y874" s="64"/>
      <c r="Z874" s="64"/>
    </row>
    <row r="875" spans="1:26" ht="12.75" customHeight="1" x14ac:dyDescent="0.25">
      <c r="A875" s="64"/>
      <c r="B875" s="64"/>
      <c r="C875" s="64"/>
      <c r="D875" s="64"/>
      <c r="E875" s="64"/>
      <c r="F875" s="64"/>
      <c r="G875" s="64"/>
      <c r="H875" s="64"/>
      <c r="I875" s="64"/>
      <c r="J875" s="64"/>
      <c r="K875" s="64"/>
      <c r="L875" s="64"/>
      <c r="M875" s="64"/>
      <c r="N875" s="64"/>
      <c r="O875" s="64"/>
      <c r="P875" s="64"/>
      <c r="Q875" s="64"/>
      <c r="R875" s="64"/>
      <c r="S875" s="64"/>
      <c r="T875" s="64"/>
      <c r="U875" s="64"/>
      <c r="V875" s="64"/>
      <c r="W875" s="64"/>
      <c r="X875" s="64"/>
      <c r="Y875" s="64"/>
      <c r="Z875" s="64"/>
    </row>
    <row r="876" spans="1:26" ht="12.75" customHeight="1" x14ac:dyDescent="0.25">
      <c r="A876" s="64"/>
      <c r="B876" s="64"/>
      <c r="C876" s="64"/>
      <c r="D876" s="64"/>
      <c r="E876" s="64"/>
      <c r="F876" s="64"/>
      <c r="G876" s="64"/>
      <c r="H876" s="64"/>
      <c r="I876" s="64"/>
      <c r="J876" s="64"/>
      <c r="K876" s="64"/>
      <c r="L876" s="64"/>
      <c r="M876" s="64"/>
      <c r="N876" s="64"/>
      <c r="O876" s="64"/>
      <c r="P876" s="64"/>
      <c r="Q876" s="64"/>
      <c r="R876" s="64"/>
      <c r="S876" s="64"/>
      <c r="T876" s="64"/>
      <c r="U876" s="64"/>
      <c r="V876" s="64"/>
      <c r="W876" s="64"/>
      <c r="X876" s="64"/>
      <c r="Y876" s="64"/>
      <c r="Z876" s="64"/>
    </row>
    <row r="877" spans="1:26" ht="12.75" customHeight="1" x14ac:dyDescent="0.25">
      <c r="A877" s="64"/>
      <c r="B877" s="64"/>
      <c r="C877" s="64"/>
      <c r="D877" s="64"/>
      <c r="E877" s="64"/>
      <c r="F877" s="64"/>
      <c r="G877" s="64"/>
      <c r="H877" s="64"/>
      <c r="I877" s="64"/>
      <c r="J877" s="64"/>
      <c r="K877" s="64"/>
      <c r="L877" s="64"/>
      <c r="M877" s="64"/>
      <c r="N877" s="64"/>
      <c r="O877" s="64"/>
      <c r="P877" s="64"/>
      <c r="Q877" s="64"/>
      <c r="R877" s="64"/>
      <c r="S877" s="64"/>
      <c r="T877" s="64"/>
      <c r="U877" s="64"/>
      <c r="V877" s="64"/>
      <c r="W877" s="64"/>
      <c r="X877" s="64"/>
      <c r="Y877" s="64"/>
      <c r="Z877" s="64"/>
    </row>
    <row r="878" spans="1:26" ht="12.75" customHeight="1" x14ac:dyDescent="0.25">
      <c r="A878" s="64"/>
      <c r="B878" s="64"/>
      <c r="C878" s="64"/>
      <c r="D878" s="64"/>
      <c r="E878" s="64"/>
      <c r="F878" s="64"/>
      <c r="G878" s="64"/>
      <c r="H878" s="64"/>
      <c r="I878" s="64"/>
      <c r="J878" s="64"/>
      <c r="K878" s="64"/>
      <c r="L878" s="64"/>
      <c r="M878" s="64"/>
      <c r="N878" s="64"/>
      <c r="O878" s="64"/>
      <c r="P878" s="64"/>
      <c r="Q878" s="64"/>
      <c r="R878" s="64"/>
      <c r="S878" s="64"/>
      <c r="T878" s="64"/>
      <c r="U878" s="64"/>
      <c r="V878" s="64"/>
      <c r="W878" s="64"/>
      <c r="X878" s="64"/>
      <c r="Y878" s="64"/>
      <c r="Z878" s="64"/>
    </row>
    <row r="879" spans="1:26" ht="12.75" customHeight="1" x14ac:dyDescent="0.25">
      <c r="A879" s="64"/>
      <c r="B879" s="64"/>
      <c r="C879" s="64"/>
      <c r="D879" s="64"/>
      <c r="E879" s="64"/>
      <c r="F879" s="64"/>
      <c r="G879" s="64"/>
      <c r="H879" s="64"/>
      <c r="I879" s="64"/>
      <c r="J879" s="64"/>
      <c r="K879" s="64"/>
      <c r="L879" s="64"/>
      <c r="M879" s="64"/>
      <c r="N879" s="64"/>
      <c r="O879" s="64"/>
      <c r="P879" s="64"/>
      <c r="Q879" s="64"/>
      <c r="R879" s="64"/>
      <c r="S879" s="64"/>
      <c r="T879" s="64"/>
      <c r="U879" s="64"/>
      <c r="V879" s="64"/>
      <c r="W879" s="64"/>
      <c r="X879" s="64"/>
      <c r="Y879" s="64"/>
      <c r="Z879" s="64"/>
    </row>
    <row r="880" spans="1:26" ht="12.75" customHeight="1" x14ac:dyDescent="0.25">
      <c r="A880" s="64"/>
      <c r="B880" s="64"/>
      <c r="C880" s="64"/>
      <c r="D880" s="64"/>
      <c r="E880" s="64"/>
      <c r="F880" s="64"/>
      <c r="G880" s="64"/>
      <c r="H880" s="64"/>
      <c r="I880" s="64"/>
      <c r="J880" s="64"/>
      <c r="K880" s="64"/>
      <c r="L880" s="64"/>
      <c r="M880" s="64"/>
      <c r="N880" s="64"/>
      <c r="O880" s="64"/>
      <c r="P880" s="64"/>
      <c r="Q880" s="64"/>
      <c r="R880" s="64"/>
      <c r="S880" s="64"/>
      <c r="T880" s="64"/>
      <c r="U880" s="64"/>
      <c r="V880" s="64"/>
      <c r="W880" s="64"/>
      <c r="X880" s="64"/>
      <c r="Y880" s="64"/>
      <c r="Z880" s="64"/>
    </row>
    <row r="881" spans="1:26" ht="12.75" customHeight="1" x14ac:dyDescent="0.25">
      <c r="A881" s="64"/>
      <c r="B881" s="64"/>
      <c r="C881" s="64"/>
      <c r="D881" s="64"/>
      <c r="E881" s="64"/>
      <c r="F881" s="64"/>
      <c r="G881" s="64"/>
      <c r="H881" s="64"/>
      <c r="I881" s="64"/>
      <c r="J881" s="64"/>
      <c r="K881" s="64"/>
      <c r="L881" s="64"/>
      <c r="M881" s="64"/>
      <c r="N881" s="64"/>
      <c r="O881" s="64"/>
      <c r="P881" s="64"/>
      <c r="Q881" s="64"/>
      <c r="R881" s="64"/>
      <c r="S881" s="64"/>
      <c r="T881" s="64"/>
      <c r="U881" s="64"/>
      <c r="V881" s="64"/>
      <c r="W881" s="64"/>
      <c r="X881" s="64"/>
      <c r="Y881" s="64"/>
      <c r="Z881" s="64"/>
    </row>
    <row r="882" spans="1:26" ht="12.75" customHeight="1" x14ac:dyDescent="0.25">
      <c r="A882" s="64"/>
      <c r="B882" s="64"/>
      <c r="C882" s="64"/>
      <c r="D882" s="64"/>
      <c r="E882" s="64"/>
      <c r="F882" s="64"/>
      <c r="G882" s="64"/>
      <c r="H882" s="64"/>
      <c r="I882" s="64"/>
      <c r="J882" s="64"/>
      <c r="K882" s="64"/>
      <c r="L882" s="64"/>
      <c r="M882" s="64"/>
      <c r="N882" s="64"/>
      <c r="O882" s="64"/>
      <c r="P882" s="64"/>
      <c r="Q882" s="64"/>
      <c r="R882" s="64"/>
      <c r="S882" s="64"/>
      <c r="T882" s="64"/>
      <c r="U882" s="64"/>
      <c r="V882" s="64"/>
      <c r="W882" s="64"/>
      <c r="X882" s="64"/>
      <c r="Y882" s="64"/>
      <c r="Z882" s="64"/>
    </row>
    <row r="883" spans="1:26" ht="12.75" customHeight="1" x14ac:dyDescent="0.25">
      <c r="A883" s="64"/>
      <c r="B883" s="64"/>
      <c r="C883" s="64"/>
      <c r="D883" s="64"/>
      <c r="E883" s="64"/>
      <c r="F883" s="64"/>
      <c r="G883" s="64"/>
      <c r="H883" s="64"/>
      <c r="I883" s="64"/>
      <c r="J883" s="64"/>
      <c r="K883" s="64"/>
      <c r="L883" s="64"/>
      <c r="M883" s="64"/>
      <c r="N883" s="64"/>
      <c r="O883" s="64"/>
      <c r="P883" s="64"/>
      <c r="Q883" s="64"/>
      <c r="R883" s="64"/>
      <c r="S883" s="64"/>
      <c r="T883" s="64"/>
      <c r="U883" s="64"/>
      <c r="V883" s="64"/>
      <c r="W883" s="64"/>
      <c r="X883" s="64"/>
      <c r="Y883" s="64"/>
      <c r="Z883" s="64"/>
    </row>
    <row r="884" spans="1:26" ht="12.75" customHeight="1" x14ac:dyDescent="0.25">
      <c r="A884" s="64"/>
      <c r="B884" s="64"/>
      <c r="C884" s="64"/>
      <c r="D884" s="64"/>
      <c r="E884" s="64"/>
      <c r="F884" s="64"/>
      <c r="G884" s="64"/>
      <c r="H884" s="64"/>
      <c r="I884" s="64"/>
      <c r="J884" s="64"/>
      <c r="K884" s="64"/>
      <c r="L884" s="64"/>
      <c r="M884" s="64"/>
      <c r="N884" s="64"/>
      <c r="O884" s="64"/>
      <c r="P884" s="64"/>
      <c r="Q884" s="64"/>
      <c r="R884" s="64"/>
      <c r="S884" s="64"/>
      <c r="T884" s="64"/>
      <c r="U884" s="64"/>
      <c r="V884" s="64"/>
      <c r="W884" s="64"/>
      <c r="X884" s="64"/>
      <c r="Y884" s="64"/>
      <c r="Z884" s="64"/>
    </row>
    <row r="885" spans="1:26" ht="12.75" customHeight="1" x14ac:dyDescent="0.25">
      <c r="A885" s="64"/>
      <c r="B885" s="64"/>
      <c r="C885" s="64"/>
      <c r="D885" s="64"/>
      <c r="E885" s="64"/>
      <c r="F885" s="64"/>
      <c r="G885" s="64"/>
      <c r="H885" s="64"/>
      <c r="I885" s="64"/>
      <c r="J885" s="64"/>
      <c r="K885" s="64"/>
      <c r="L885" s="64"/>
      <c r="M885" s="64"/>
      <c r="N885" s="64"/>
      <c r="O885" s="64"/>
      <c r="P885" s="64"/>
      <c r="Q885" s="64"/>
      <c r="R885" s="64"/>
      <c r="S885" s="64"/>
      <c r="T885" s="64"/>
      <c r="U885" s="64"/>
      <c r="V885" s="64"/>
      <c r="W885" s="64"/>
      <c r="X885" s="64"/>
      <c r="Y885" s="64"/>
      <c r="Z885" s="64"/>
    </row>
    <row r="886" spans="1:26" ht="12.75" customHeight="1" x14ac:dyDescent="0.25">
      <c r="A886" s="64"/>
      <c r="B886" s="64"/>
      <c r="C886" s="64"/>
      <c r="D886" s="64"/>
      <c r="E886" s="64"/>
      <c r="F886" s="64"/>
      <c r="G886" s="64"/>
      <c r="H886" s="64"/>
      <c r="I886" s="64"/>
      <c r="J886" s="64"/>
      <c r="K886" s="64"/>
      <c r="L886" s="64"/>
      <c r="M886" s="64"/>
      <c r="N886" s="64"/>
      <c r="O886" s="64"/>
      <c r="P886" s="64"/>
      <c r="Q886" s="64"/>
      <c r="R886" s="64"/>
      <c r="S886" s="64"/>
      <c r="T886" s="64"/>
      <c r="U886" s="64"/>
      <c r="V886" s="64"/>
      <c r="W886" s="64"/>
      <c r="X886" s="64"/>
      <c r="Y886" s="64"/>
      <c r="Z886" s="64"/>
    </row>
    <row r="887" spans="1:26" ht="12.75" customHeight="1" x14ac:dyDescent="0.25">
      <c r="A887" s="64"/>
      <c r="B887" s="64"/>
      <c r="C887" s="64"/>
      <c r="D887" s="64"/>
      <c r="E887" s="64"/>
      <c r="F887" s="64"/>
      <c r="G887" s="64"/>
      <c r="H887" s="64"/>
      <c r="I887" s="64"/>
      <c r="J887" s="64"/>
      <c r="K887" s="64"/>
      <c r="L887" s="64"/>
      <c r="M887" s="64"/>
      <c r="N887" s="64"/>
      <c r="O887" s="64"/>
      <c r="P887" s="64"/>
      <c r="Q887" s="64"/>
      <c r="R887" s="64"/>
      <c r="S887" s="64"/>
      <c r="T887" s="64"/>
      <c r="U887" s="64"/>
      <c r="V887" s="64"/>
      <c r="W887" s="64"/>
      <c r="X887" s="64"/>
      <c r="Y887" s="64"/>
      <c r="Z887" s="64"/>
    </row>
    <row r="888" spans="1:26" ht="12.75" customHeight="1" x14ac:dyDescent="0.25">
      <c r="A888" s="64"/>
      <c r="B888" s="64"/>
      <c r="C888" s="64"/>
      <c r="D888" s="64"/>
      <c r="E888" s="64"/>
      <c r="F888" s="64"/>
      <c r="G888" s="64"/>
      <c r="H888" s="64"/>
      <c r="I888" s="64"/>
      <c r="J888" s="64"/>
      <c r="K888" s="64"/>
      <c r="L888" s="64"/>
      <c r="M888" s="64"/>
      <c r="N888" s="64"/>
      <c r="O888" s="64"/>
      <c r="P888" s="64"/>
      <c r="Q888" s="64"/>
      <c r="R888" s="64"/>
      <c r="S888" s="64"/>
      <c r="T888" s="64"/>
      <c r="U888" s="64"/>
      <c r="V888" s="64"/>
      <c r="W888" s="64"/>
      <c r="X888" s="64"/>
      <c r="Y888" s="64"/>
      <c r="Z888" s="64"/>
    </row>
    <row r="889" spans="1:26" ht="12.75" customHeight="1" x14ac:dyDescent="0.25">
      <c r="A889" s="64"/>
      <c r="B889" s="64"/>
      <c r="C889" s="64"/>
      <c r="D889" s="64"/>
      <c r="E889" s="64"/>
      <c r="F889" s="64"/>
      <c r="G889" s="64"/>
      <c r="H889" s="64"/>
      <c r="I889" s="64"/>
      <c r="J889" s="64"/>
      <c r="K889" s="64"/>
      <c r="L889" s="64"/>
      <c r="M889" s="64"/>
      <c r="N889" s="64"/>
      <c r="O889" s="64"/>
      <c r="P889" s="64"/>
      <c r="Q889" s="64"/>
      <c r="R889" s="64"/>
      <c r="S889" s="64"/>
      <c r="T889" s="64"/>
      <c r="U889" s="64"/>
      <c r="V889" s="64"/>
      <c r="W889" s="64"/>
      <c r="X889" s="64"/>
      <c r="Y889" s="64"/>
      <c r="Z889" s="64"/>
    </row>
    <row r="890" spans="1:26" ht="12.75" customHeight="1" x14ac:dyDescent="0.25">
      <c r="A890" s="64"/>
      <c r="B890" s="64"/>
      <c r="C890" s="64"/>
      <c r="D890" s="64"/>
      <c r="E890" s="64"/>
      <c r="F890" s="64"/>
      <c r="G890" s="64"/>
      <c r="H890" s="64"/>
      <c r="I890" s="64"/>
      <c r="J890" s="64"/>
      <c r="K890" s="64"/>
      <c r="L890" s="64"/>
      <c r="M890" s="64"/>
      <c r="N890" s="64"/>
      <c r="O890" s="64"/>
      <c r="P890" s="64"/>
      <c r="Q890" s="64"/>
      <c r="R890" s="64"/>
      <c r="S890" s="64"/>
      <c r="T890" s="64"/>
      <c r="U890" s="64"/>
      <c r="V890" s="64"/>
      <c r="W890" s="64"/>
      <c r="X890" s="64"/>
      <c r="Y890" s="64"/>
      <c r="Z890" s="64"/>
    </row>
    <row r="891" spans="1:26" ht="12.75" customHeight="1" x14ac:dyDescent="0.25">
      <c r="A891" s="64"/>
      <c r="B891" s="64"/>
      <c r="C891" s="64"/>
      <c r="D891" s="64"/>
      <c r="E891" s="64"/>
      <c r="F891" s="64"/>
      <c r="G891" s="64"/>
      <c r="H891" s="64"/>
      <c r="I891" s="64"/>
      <c r="J891" s="64"/>
      <c r="K891" s="64"/>
      <c r="L891" s="64"/>
      <c r="M891" s="64"/>
      <c r="N891" s="64"/>
      <c r="O891" s="64"/>
      <c r="P891" s="64"/>
      <c r="Q891" s="64"/>
      <c r="R891" s="64"/>
      <c r="S891" s="64"/>
      <c r="T891" s="64"/>
      <c r="U891" s="64"/>
      <c r="V891" s="64"/>
      <c r="W891" s="64"/>
      <c r="X891" s="64"/>
      <c r="Y891" s="64"/>
      <c r="Z891" s="64"/>
    </row>
    <row r="892" spans="1:26" ht="12.75" customHeight="1" x14ac:dyDescent="0.25">
      <c r="A892" s="64"/>
      <c r="B892" s="64"/>
      <c r="C892" s="64"/>
      <c r="D892" s="64"/>
      <c r="E892" s="64"/>
      <c r="F892" s="64"/>
      <c r="G892" s="64"/>
      <c r="H892" s="64"/>
      <c r="I892" s="64"/>
      <c r="J892" s="64"/>
      <c r="K892" s="64"/>
      <c r="L892" s="64"/>
      <c r="M892" s="64"/>
      <c r="N892" s="64"/>
      <c r="O892" s="64"/>
      <c r="P892" s="64"/>
      <c r="Q892" s="64"/>
      <c r="R892" s="64"/>
      <c r="S892" s="64"/>
      <c r="T892" s="64"/>
      <c r="U892" s="64"/>
      <c r="V892" s="64"/>
      <c r="W892" s="64"/>
      <c r="X892" s="64"/>
      <c r="Y892" s="64"/>
      <c r="Z892" s="64"/>
    </row>
    <row r="893" spans="1:26" ht="12.75" customHeight="1" x14ac:dyDescent="0.25">
      <c r="A893" s="64"/>
      <c r="B893" s="64"/>
      <c r="C893" s="64"/>
      <c r="D893" s="64"/>
      <c r="E893" s="64"/>
      <c r="F893" s="64"/>
      <c r="G893" s="64"/>
      <c r="H893" s="64"/>
      <c r="I893" s="64"/>
      <c r="J893" s="64"/>
      <c r="K893" s="64"/>
      <c r="L893" s="64"/>
      <c r="M893" s="64"/>
      <c r="N893" s="64"/>
      <c r="O893" s="64"/>
      <c r="P893" s="64"/>
      <c r="Q893" s="64"/>
      <c r="R893" s="64"/>
      <c r="S893" s="64"/>
      <c r="T893" s="64"/>
      <c r="U893" s="64"/>
      <c r="V893" s="64"/>
      <c r="W893" s="64"/>
      <c r="X893" s="64"/>
      <c r="Y893" s="64"/>
      <c r="Z893" s="64"/>
    </row>
    <row r="894" spans="1:26" ht="12.75" customHeight="1" x14ac:dyDescent="0.25">
      <c r="A894" s="64"/>
      <c r="B894" s="64"/>
      <c r="C894" s="64"/>
      <c r="D894" s="64"/>
      <c r="E894" s="64"/>
      <c r="F894" s="64"/>
      <c r="G894" s="64"/>
      <c r="H894" s="64"/>
      <c r="I894" s="64"/>
      <c r="J894" s="64"/>
      <c r="K894" s="64"/>
      <c r="L894" s="64"/>
      <c r="M894" s="64"/>
      <c r="N894" s="64"/>
      <c r="O894" s="64"/>
      <c r="P894" s="64"/>
      <c r="Q894" s="64"/>
      <c r="R894" s="64"/>
      <c r="S894" s="64"/>
      <c r="T894" s="64"/>
      <c r="U894" s="64"/>
      <c r="V894" s="64"/>
      <c r="W894" s="64"/>
      <c r="X894" s="64"/>
      <c r="Y894" s="64"/>
      <c r="Z894" s="64"/>
    </row>
    <row r="895" spans="1:26" ht="12.75" customHeight="1" x14ac:dyDescent="0.25">
      <c r="A895" s="64"/>
      <c r="B895" s="64"/>
      <c r="C895" s="64"/>
      <c r="D895" s="64"/>
      <c r="E895" s="64"/>
      <c r="F895" s="64"/>
      <c r="G895" s="64"/>
      <c r="H895" s="64"/>
      <c r="I895" s="64"/>
      <c r="J895" s="64"/>
      <c r="K895" s="64"/>
      <c r="L895" s="64"/>
      <c r="M895" s="64"/>
      <c r="N895" s="64"/>
      <c r="O895" s="64"/>
      <c r="P895" s="64"/>
      <c r="Q895" s="64"/>
      <c r="R895" s="64"/>
      <c r="S895" s="64"/>
      <c r="T895" s="64"/>
      <c r="U895" s="64"/>
      <c r="V895" s="64"/>
      <c r="W895" s="64"/>
      <c r="X895" s="64"/>
      <c r="Y895" s="64"/>
      <c r="Z895" s="64"/>
    </row>
    <row r="896" spans="1:26" ht="12.75" customHeight="1" x14ac:dyDescent="0.25">
      <c r="A896" s="64"/>
      <c r="B896" s="64"/>
      <c r="C896" s="64"/>
      <c r="D896" s="64"/>
      <c r="E896" s="64"/>
      <c r="F896" s="64"/>
      <c r="G896" s="64"/>
      <c r="H896" s="64"/>
      <c r="I896" s="64"/>
      <c r="J896" s="64"/>
      <c r="K896" s="64"/>
      <c r="L896" s="64"/>
      <c r="M896" s="64"/>
      <c r="N896" s="64"/>
      <c r="O896" s="64"/>
      <c r="P896" s="64"/>
      <c r="Q896" s="64"/>
      <c r="R896" s="64"/>
      <c r="S896" s="64"/>
      <c r="T896" s="64"/>
      <c r="U896" s="64"/>
      <c r="V896" s="64"/>
      <c r="W896" s="64"/>
      <c r="X896" s="64"/>
      <c r="Y896" s="64"/>
      <c r="Z896" s="64"/>
    </row>
    <row r="897" spans="1:26" ht="12.75" customHeight="1" x14ac:dyDescent="0.25">
      <c r="A897" s="64"/>
      <c r="B897" s="64"/>
      <c r="C897" s="64"/>
      <c r="D897" s="64"/>
      <c r="E897" s="64"/>
      <c r="F897" s="64"/>
      <c r="G897" s="64"/>
      <c r="H897" s="64"/>
      <c r="I897" s="64"/>
      <c r="J897" s="64"/>
      <c r="K897" s="64"/>
      <c r="L897" s="64"/>
      <c r="M897" s="64"/>
      <c r="N897" s="64"/>
      <c r="O897" s="64"/>
      <c r="P897" s="64"/>
      <c r="Q897" s="64"/>
      <c r="R897" s="64"/>
      <c r="S897" s="64"/>
      <c r="T897" s="64"/>
      <c r="U897" s="64"/>
      <c r="V897" s="64"/>
      <c r="W897" s="64"/>
      <c r="X897" s="64"/>
      <c r="Y897" s="64"/>
      <c r="Z897" s="64"/>
    </row>
    <row r="898" spans="1:26" ht="12.75" customHeight="1" x14ac:dyDescent="0.25">
      <c r="A898" s="64"/>
      <c r="B898" s="64"/>
      <c r="C898" s="64"/>
      <c r="D898" s="64"/>
      <c r="E898" s="64"/>
      <c r="F898" s="64"/>
      <c r="G898" s="64"/>
      <c r="H898" s="64"/>
      <c r="I898" s="64"/>
      <c r="J898" s="64"/>
      <c r="K898" s="64"/>
      <c r="L898" s="64"/>
      <c r="M898" s="64"/>
      <c r="N898" s="64"/>
      <c r="O898" s="64"/>
      <c r="P898" s="64"/>
      <c r="Q898" s="64"/>
      <c r="R898" s="64"/>
      <c r="S898" s="64"/>
      <c r="T898" s="64"/>
      <c r="U898" s="64"/>
      <c r="V898" s="64"/>
      <c r="W898" s="64"/>
      <c r="X898" s="64"/>
      <c r="Y898" s="64"/>
      <c r="Z898" s="64"/>
    </row>
    <row r="899" spans="1:26" ht="12.75" customHeight="1" x14ac:dyDescent="0.25">
      <c r="A899" s="64"/>
      <c r="B899" s="64"/>
      <c r="C899" s="64"/>
      <c r="D899" s="64"/>
      <c r="E899" s="64"/>
      <c r="F899" s="64"/>
      <c r="G899" s="64"/>
      <c r="H899" s="64"/>
      <c r="I899" s="64"/>
      <c r="J899" s="64"/>
      <c r="K899" s="64"/>
      <c r="L899" s="64"/>
      <c r="M899" s="64"/>
      <c r="N899" s="64"/>
      <c r="O899" s="64"/>
      <c r="P899" s="64"/>
      <c r="Q899" s="64"/>
      <c r="R899" s="64"/>
      <c r="S899" s="64"/>
      <c r="T899" s="64"/>
      <c r="U899" s="64"/>
      <c r="V899" s="64"/>
      <c r="W899" s="64"/>
      <c r="X899" s="64"/>
      <c r="Y899" s="64"/>
      <c r="Z899" s="64"/>
    </row>
    <row r="900" spans="1:26" ht="12.75" customHeight="1" x14ac:dyDescent="0.25">
      <c r="A900" s="64"/>
      <c r="B900" s="64"/>
      <c r="C900" s="64"/>
      <c r="D900" s="64"/>
      <c r="E900" s="64"/>
      <c r="F900" s="64"/>
      <c r="G900" s="64"/>
      <c r="H900" s="64"/>
      <c r="I900" s="64"/>
      <c r="J900" s="64"/>
      <c r="K900" s="64"/>
      <c r="L900" s="64"/>
      <c r="M900" s="64"/>
      <c r="N900" s="64"/>
      <c r="O900" s="64"/>
      <c r="P900" s="64"/>
      <c r="Q900" s="64"/>
      <c r="R900" s="64"/>
      <c r="S900" s="64"/>
      <c r="T900" s="64"/>
      <c r="U900" s="64"/>
      <c r="V900" s="64"/>
      <c r="W900" s="64"/>
      <c r="X900" s="64"/>
      <c r="Y900" s="64"/>
      <c r="Z900" s="64"/>
    </row>
    <row r="901" spans="1:26" ht="12.75" customHeight="1" x14ac:dyDescent="0.25">
      <c r="A901" s="64"/>
      <c r="B901" s="64"/>
      <c r="C901" s="64"/>
      <c r="D901" s="64"/>
      <c r="E901" s="64"/>
      <c r="F901" s="64"/>
      <c r="G901" s="64"/>
      <c r="H901" s="64"/>
      <c r="I901" s="64"/>
      <c r="J901" s="64"/>
      <c r="K901" s="64"/>
      <c r="L901" s="64"/>
      <c r="M901" s="64"/>
      <c r="N901" s="64"/>
      <c r="O901" s="64"/>
      <c r="P901" s="64"/>
      <c r="Q901" s="64"/>
      <c r="R901" s="64"/>
      <c r="S901" s="64"/>
      <c r="T901" s="64"/>
      <c r="U901" s="64"/>
      <c r="V901" s="64"/>
      <c r="W901" s="64"/>
      <c r="X901" s="64"/>
      <c r="Y901" s="64"/>
      <c r="Z901" s="64"/>
    </row>
    <row r="902" spans="1:26" ht="12.75" customHeight="1" x14ac:dyDescent="0.25">
      <c r="A902" s="64"/>
      <c r="B902" s="64"/>
      <c r="C902" s="64"/>
      <c r="D902" s="64"/>
      <c r="E902" s="64"/>
      <c r="F902" s="64"/>
      <c r="G902" s="64"/>
      <c r="H902" s="64"/>
      <c r="I902" s="64"/>
      <c r="J902" s="64"/>
      <c r="K902" s="64"/>
      <c r="L902" s="64"/>
      <c r="M902" s="64"/>
      <c r="N902" s="64"/>
      <c r="O902" s="64"/>
      <c r="P902" s="64"/>
      <c r="Q902" s="64"/>
      <c r="R902" s="64"/>
      <c r="S902" s="64"/>
      <c r="T902" s="64"/>
      <c r="U902" s="64"/>
      <c r="V902" s="64"/>
      <c r="W902" s="64"/>
      <c r="X902" s="64"/>
      <c r="Y902" s="64"/>
      <c r="Z902" s="64"/>
    </row>
    <row r="903" spans="1:26" ht="12.75" customHeight="1" x14ac:dyDescent="0.25">
      <c r="A903" s="64"/>
      <c r="B903" s="64"/>
      <c r="C903" s="64"/>
      <c r="D903" s="64"/>
      <c r="E903" s="64"/>
      <c r="F903" s="64"/>
      <c r="G903" s="64"/>
      <c r="H903" s="64"/>
      <c r="I903" s="64"/>
      <c r="J903" s="64"/>
      <c r="K903" s="64"/>
      <c r="L903" s="64"/>
      <c r="M903" s="64"/>
      <c r="N903" s="64"/>
      <c r="O903" s="64"/>
      <c r="P903" s="64"/>
      <c r="Q903" s="64"/>
      <c r="R903" s="64"/>
      <c r="S903" s="64"/>
      <c r="T903" s="64"/>
      <c r="U903" s="64"/>
      <c r="V903" s="64"/>
      <c r="W903" s="64"/>
      <c r="X903" s="64"/>
      <c r="Y903" s="64"/>
      <c r="Z903" s="64"/>
    </row>
    <row r="904" spans="1:26" ht="12.75" customHeight="1" x14ac:dyDescent="0.25">
      <c r="A904" s="64"/>
      <c r="B904" s="64"/>
      <c r="C904" s="64"/>
      <c r="D904" s="64"/>
      <c r="E904" s="64"/>
      <c r="F904" s="64"/>
      <c r="G904" s="64"/>
      <c r="H904" s="64"/>
      <c r="I904" s="64"/>
      <c r="J904" s="64"/>
      <c r="K904" s="64"/>
      <c r="L904" s="64"/>
      <c r="M904" s="64"/>
      <c r="N904" s="64"/>
      <c r="O904" s="64"/>
      <c r="P904" s="64"/>
      <c r="Q904" s="64"/>
      <c r="R904" s="64"/>
      <c r="S904" s="64"/>
      <c r="T904" s="64"/>
      <c r="U904" s="64"/>
      <c r="V904" s="64"/>
      <c r="W904" s="64"/>
      <c r="X904" s="64"/>
      <c r="Y904" s="64"/>
      <c r="Z904" s="64"/>
    </row>
    <row r="905" spans="1:26" ht="12.75" customHeight="1" x14ac:dyDescent="0.25">
      <c r="A905" s="64"/>
      <c r="B905" s="64"/>
      <c r="C905" s="64"/>
      <c r="D905" s="64"/>
      <c r="E905" s="64"/>
      <c r="F905" s="64"/>
      <c r="G905" s="64"/>
      <c r="H905" s="64"/>
      <c r="I905" s="64"/>
      <c r="J905" s="64"/>
      <c r="K905" s="64"/>
      <c r="L905" s="64"/>
      <c r="M905" s="64"/>
      <c r="N905" s="64"/>
      <c r="O905" s="64"/>
      <c r="P905" s="64"/>
      <c r="Q905" s="64"/>
      <c r="R905" s="64"/>
      <c r="S905" s="64"/>
      <c r="T905" s="64"/>
      <c r="U905" s="64"/>
      <c r="V905" s="64"/>
      <c r="W905" s="64"/>
      <c r="X905" s="64"/>
      <c r="Y905" s="64"/>
      <c r="Z905" s="64"/>
    </row>
    <row r="906" spans="1:26" ht="12.75" customHeight="1" x14ac:dyDescent="0.25">
      <c r="A906" s="64"/>
      <c r="B906" s="64"/>
      <c r="C906" s="64"/>
      <c r="D906" s="64"/>
      <c r="E906" s="64"/>
      <c r="F906" s="64"/>
      <c r="G906" s="64"/>
      <c r="H906" s="64"/>
      <c r="I906" s="64"/>
      <c r="J906" s="64"/>
      <c r="K906" s="64"/>
      <c r="L906" s="64"/>
      <c r="M906" s="64"/>
      <c r="N906" s="64"/>
      <c r="O906" s="64"/>
      <c r="P906" s="64"/>
      <c r="Q906" s="64"/>
      <c r="R906" s="64"/>
      <c r="S906" s="64"/>
      <c r="T906" s="64"/>
      <c r="U906" s="64"/>
      <c r="V906" s="64"/>
      <c r="W906" s="64"/>
      <c r="X906" s="64"/>
      <c r="Y906" s="64"/>
      <c r="Z906" s="64"/>
    </row>
    <row r="907" spans="1:26" ht="12.75" customHeight="1" x14ac:dyDescent="0.25">
      <c r="A907" s="64"/>
      <c r="B907" s="64"/>
      <c r="C907" s="64"/>
      <c r="D907" s="64"/>
      <c r="E907" s="64"/>
      <c r="F907" s="64"/>
      <c r="G907" s="64"/>
      <c r="H907" s="64"/>
      <c r="I907" s="64"/>
      <c r="J907" s="64"/>
      <c r="K907" s="64"/>
      <c r="L907" s="64"/>
      <c r="M907" s="64"/>
      <c r="N907" s="64"/>
      <c r="O907" s="64"/>
      <c r="P907" s="64"/>
      <c r="Q907" s="64"/>
      <c r="R907" s="64"/>
      <c r="S907" s="64"/>
      <c r="T907" s="64"/>
      <c r="U907" s="64"/>
      <c r="V907" s="64"/>
      <c r="W907" s="64"/>
      <c r="X907" s="64"/>
      <c r="Y907" s="64"/>
      <c r="Z907" s="64"/>
    </row>
    <row r="908" spans="1:26" ht="12.75" customHeight="1" x14ac:dyDescent="0.25">
      <c r="A908" s="64"/>
      <c r="B908" s="64"/>
      <c r="C908" s="64"/>
      <c r="D908" s="64"/>
      <c r="E908" s="64"/>
      <c r="F908" s="64"/>
      <c r="G908" s="64"/>
      <c r="H908" s="64"/>
      <c r="I908" s="64"/>
      <c r="J908" s="64"/>
      <c r="K908" s="64"/>
      <c r="L908" s="64"/>
      <c r="M908" s="64"/>
      <c r="N908" s="64"/>
      <c r="O908" s="64"/>
      <c r="P908" s="64"/>
      <c r="Q908" s="64"/>
      <c r="R908" s="64"/>
      <c r="S908" s="64"/>
      <c r="T908" s="64"/>
      <c r="U908" s="64"/>
      <c r="V908" s="64"/>
      <c r="W908" s="64"/>
      <c r="X908" s="64"/>
      <c r="Y908" s="64"/>
      <c r="Z908" s="64"/>
    </row>
    <row r="909" spans="1:26" ht="12.75" customHeight="1" x14ac:dyDescent="0.25">
      <c r="A909" s="64"/>
      <c r="B909" s="64"/>
      <c r="C909" s="64"/>
      <c r="D909" s="64"/>
      <c r="E909" s="64"/>
      <c r="F909" s="64"/>
      <c r="G909" s="64"/>
      <c r="H909" s="64"/>
      <c r="I909" s="64"/>
      <c r="J909" s="64"/>
      <c r="K909" s="64"/>
      <c r="L909" s="64"/>
      <c r="M909" s="64"/>
      <c r="N909" s="64"/>
      <c r="O909" s="64"/>
      <c r="P909" s="64"/>
      <c r="Q909" s="64"/>
      <c r="R909" s="64"/>
      <c r="S909" s="64"/>
      <c r="T909" s="64"/>
      <c r="U909" s="64"/>
      <c r="V909" s="64"/>
      <c r="W909" s="64"/>
      <c r="X909" s="64"/>
      <c r="Y909" s="64"/>
      <c r="Z909" s="64"/>
    </row>
    <row r="910" spans="1:26" ht="12.75" customHeight="1" x14ac:dyDescent="0.25">
      <c r="A910" s="64"/>
      <c r="B910" s="64"/>
      <c r="C910" s="64"/>
      <c r="D910" s="64"/>
      <c r="E910" s="64"/>
      <c r="F910" s="64"/>
      <c r="G910" s="64"/>
      <c r="H910" s="64"/>
      <c r="I910" s="64"/>
      <c r="J910" s="64"/>
      <c r="K910" s="64"/>
      <c r="L910" s="64"/>
      <c r="M910" s="64"/>
      <c r="N910" s="64"/>
      <c r="O910" s="64"/>
      <c r="P910" s="64"/>
      <c r="Q910" s="64"/>
      <c r="R910" s="64"/>
      <c r="S910" s="64"/>
      <c r="T910" s="64"/>
      <c r="U910" s="64"/>
      <c r="V910" s="64"/>
      <c r="W910" s="64"/>
      <c r="X910" s="64"/>
      <c r="Y910" s="64"/>
      <c r="Z910" s="64"/>
    </row>
    <row r="911" spans="1:26" ht="12.75" customHeight="1" x14ac:dyDescent="0.25">
      <c r="A911" s="64"/>
      <c r="B911" s="64"/>
      <c r="C911" s="64"/>
      <c r="D911" s="64"/>
      <c r="E911" s="64"/>
      <c r="F911" s="64"/>
      <c r="G911" s="64"/>
      <c r="H911" s="64"/>
      <c r="I911" s="64"/>
      <c r="J911" s="64"/>
      <c r="K911" s="64"/>
      <c r="L911" s="64"/>
      <c r="M911" s="64"/>
      <c r="N911" s="64"/>
      <c r="O911" s="64"/>
      <c r="P911" s="64"/>
      <c r="Q911" s="64"/>
      <c r="R911" s="64"/>
      <c r="S911" s="64"/>
      <c r="T911" s="64"/>
      <c r="U911" s="64"/>
      <c r="V911" s="64"/>
      <c r="W911" s="64"/>
      <c r="X911" s="64"/>
      <c r="Y911" s="64"/>
      <c r="Z911" s="64"/>
    </row>
    <row r="912" spans="1:26" ht="12.75" customHeight="1" x14ac:dyDescent="0.25">
      <c r="A912" s="64"/>
      <c r="B912" s="64"/>
      <c r="C912" s="64"/>
      <c r="D912" s="64"/>
      <c r="E912" s="64"/>
      <c r="F912" s="64"/>
      <c r="G912" s="64"/>
      <c r="H912" s="64"/>
      <c r="I912" s="64"/>
      <c r="J912" s="64"/>
      <c r="K912" s="64"/>
      <c r="L912" s="64"/>
      <c r="M912" s="64"/>
      <c r="N912" s="64"/>
      <c r="O912" s="64"/>
      <c r="P912" s="64"/>
      <c r="Q912" s="64"/>
      <c r="R912" s="64"/>
      <c r="S912" s="64"/>
      <c r="T912" s="64"/>
      <c r="U912" s="64"/>
      <c r="V912" s="64"/>
      <c r="W912" s="64"/>
      <c r="X912" s="64"/>
      <c r="Y912" s="64"/>
      <c r="Z912" s="64"/>
    </row>
    <row r="913" spans="1:26" ht="12.75" customHeight="1" x14ac:dyDescent="0.25">
      <c r="A913" s="64"/>
      <c r="B913" s="64"/>
      <c r="C913" s="64"/>
      <c r="D913" s="64"/>
      <c r="E913" s="64"/>
      <c r="F913" s="64"/>
      <c r="G913" s="64"/>
      <c r="H913" s="64"/>
      <c r="I913" s="64"/>
      <c r="J913" s="64"/>
      <c r="K913" s="64"/>
      <c r="L913" s="64"/>
      <c r="M913" s="64"/>
      <c r="N913" s="64"/>
      <c r="O913" s="64"/>
      <c r="P913" s="64"/>
      <c r="Q913" s="64"/>
      <c r="R913" s="64"/>
      <c r="S913" s="64"/>
      <c r="T913" s="64"/>
      <c r="U913" s="64"/>
      <c r="V913" s="64"/>
      <c r="W913" s="64"/>
      <c r="X913" s="64"/>
      <c r="Y913" s="64"/>
      <c r="Z913" s="64"/>
    </row>
    <row r="914" spans="1:26" ht="12.75" customHeight="1" x14ac:dyDescent="0.25">
      <c r="A914" s="64"/>
      <c r="B914" s="64"/>
      <c r="C914" s="64"/>
      <c r="D914" s="64"/>
      <c r="E914" s="64"/>
      <c r="F914" s="64"/>
      <c r="G914" s="64"/>
      <c r="H914" s="64"/>
      <c r="I914" s="64"/>
      <c r="J914" s="64"/>
      <c r="K914" s="64"/>
      <c r="L914" s="64"/>
      <c r="M914" s="64"/>
      <c r="N914" s="64"/>
      <c r="O914" s="64"/>
      <c r="P914" s="64"/>
      <c r="Q914" s="64"/>
      <c r="R914" s="64"/>
      <c r="S914" s="64"/>
      <c r="T914" s="64"/>
      <c r="U914" s="64"/>
      <c r="V914" s="64"/>
      <c r="W914" s="64"/>
      <c r="X914" s="64"/>
      <c r="Y914" s="64"/>
      <c r="Z914" s="64"/>
    </row>
    <row r="915" spans="1:26" ht="12.75" customHeight="1" x14ac:dyDescent="0.25">
      <c r="A915" s="64"/>
      <c r="B915" s="64"/>
      <c r="C915" s="64"/>
      <c r="D915" s="64"/>
      <c r="E915" s="64"/>
      <c r="F915" s="64"/>
      <c r="G915" s="64"/>
      <c r="H915" s="64"/>
      <c r="I915" s="64"/>
      <c r="J915" s="64"/>
      <c r="K915" s="64"/>
      <c r="L915" s="64"/>
      <c r="M915" s="64"/>
      <c r="N915" s="64"/>
      <c r="O915" s="64"/>
      <c r="P915" s="64"/>
      <c r="Q915" s="64"/>
      <c r="R915" s="64"/>
      <c r="S915" s="64"/>
      <c r="T915" s="64"/>
      <c r="U915" s="64"/>
      <c r="V915" s="64"/>
      <c r="W915" s="64"/>
      <c r="X915" s="64"/>
      <c r="Y915" s="64"/>
      <c r="Z915" s="64"/>
    </row>
    <row r="916" spans="1:26" ht="12.75" customHeight="1" x14ac:dyDescent="0.25">
      <c r="A916" s="64"/>
      <c r="B916" s="64"/>
      <c r="C916" s="64"/>
      <c r="D916" s="64"/>
      <c r="E916" s="64"/>
      <c r="F916" s="64"/>
      <c r="G916" s="64"/>
      <c r="H916" s="64"/>
      <c r="I916" s="64"/>
      <c r="J916" s="64"/>
      <c r="K916" s="64"/>
      <c r="L916" s="64"/>
      <c r="M916" s="64"/>
      <c r="N916" s="64"/>
      <c r="O916" s="64"/>
      <c r="P916" s="64"/>
      <c r="Q916" s="64"/>
      <c r="R916" s="64"/>
      <c r="S916" s="64"/>
      <c r="T916" s="64"/>
      <c r="U916" s="64"/>
      <c r="V916" s="64"/>
      <c r="W916" s="64"/>
      <c r="X916" s="64"/>
      <c r="Y916" s="64"/>
      <c r="Z916" s="64"/>
    </row>
    <row r="917" spans="1:26" ht="12.75" customHeight="1" x14ac:dyDescent="0.25">
      <c r="A917" s="64"/>
      <c r="B917" s="64"/>
      <c r="C917" s="64"/>
      <c r="D917" s="64"/>
      <c r="E917" s="64"/>
      <c r="F917" s="64"/>
      <c r="G917" s="64"/>
      <c r="H917" s="64"/>
      <c r="I917" s="64"/>
      <c r="J917" s="64"/>
      <c r="K917" s="64"/>
      <c r="L917" s="64"/>
      <c r="M917" s="64"/>
      <c r="N917" s="64"/>
      <c r="O917" s="64"/>
      <c r="P917" s="64"/>
      <c r="Q917" s="64"/>
      <c r="R917" s="64"/>
      <c r="S917" s="64"/>
      <c r="T917" s="64"/>
      <c r="U917" s="64"/>
      <c r="V917" s="64"/>
      <c r="W917" s="64"/>
      <c r="X917" s="64"/>
      <c r="Y917" s="64"/>
      <c r="Z917" s="64"/>
    </row>
    <row r="918" spans="1:26" ht="12.75" customHeight="1" x14ac:dyDescent="0.25">
      <c r="A918" s="64"/>
      <c r="B918" s="64"/>
      <c r="C918" s="64"/>
      <c r="D918" s="64"/>
      <c r="E918" s="64"/>
      <c r="F918" s="64"/>
      <c r="G918" s="64"/>
      <c r="H918" s="64"/>
      <c r="I918" s="64"/>
      <c r="J918" s="64"/>
      <c r="K918" s="64"/>
      <c r="L918" s="64"/>
      <c r="M918" s="64"/>
      <c r="N918" s="64"/>
      <c r="O918" s="64"/>
      <c r="P918" s="64"/>
      <c r="Q918" s="64"/>
      <c r="R918" s="64"/>
      <c r="S918" s="64"/>
      <c r="T918" s="64"/>
      <c r="U918" s="64"/>
      <c r="V918" s="64"/>
      <c r="W918" s="64"/>
      <c r="X918" s="64"/>
      <c r="Y918" s="64"/>
      <c r="Z918" s="64"/>
    </row>
    <row r="919" spans="1:26" ht="12.75" customHeight="1" x14ac:dyDescent="0.25">
      <c r="A919" s="64"/>
      <c r="B919" s="64"/>
      <c r="C919" s="64"/>
      <c r="D919" s="64"/>
      <c r="E919" s="64"/>
      <c r="F919" s="64"/>
      <c r="G919" s="64"/>
      <c r="H919" s="64"/>
      <c r="I919" s="64"/>
      <c r="J919" s="64"/>
      <c r="K919" s="64"/>
      <c r="L919" s="64"/>
      <c r="M919" s="64"/>
      <c r="N919" s="64"/>
      <c r="O919" s="64"/>
      <c r="P919" s="64"/>
      <c r="Q919" s="64"/>
      <c r="R919" s="64"/>
      <c r="S919" s="64"/>
      <c r="T919" s="64"/>
      <c r="U919" s="64"/>
      <c r="V919" s="64"/>
      <c r="W919" s="64"/>
      <c r="X919" s="64"/>
      <c r="Y919" s="64"/>
      <c r="Z919" s="64"/>
    </row>
    <row r="920" spans="1:26" ht="12.75" customHeight="1" x14ac:dyDescent="0.25">
      <c r="A920" s="64"/>
      <c r="B920" s="64"/>
      <c r="C920" s="64"/>
      <c r="D920" s="64"/>
      <c r="E920" s="64"/>
      <c r="F920" s="64"/>
      <c r="G920" s="64"/>
      <c r="H920" s="64"/>
      <c r="I920" s="64"/>
      <c r="J920" s="64"/>
      <c r="K920" s="64"/>
      <c r="L920" s="64"/>
      <c r="M920" s="64"/>
      <c r="N920" s="64"/>
      <c r="O920" s="64"/>
      <c r="P920" s="64"/>
      <c r="Q920" s="64"/>
      <c r="R920" s="64"/>
      <c r="S920" s="64"/>
      <c r="T920" s="64"/>
      <c r="U920" s="64"/>
      <c r="V920" s="64"/>
      <c r="W920" s="64"/>
      <c r="X920" s="64"/>
      <c r="Y920" s="64"/>
      <c r="Z920" s="64"/>
    </row>
    <row r="921" spans="1:26" ht="12.75" customHeight="1" x14ac:dyDescent="0.25">
      <c r="A921" s="64"/>
      <c r="B921" s="64"/>
      <c r="C921" s="64"/>
      <c r="D921" s="64"/>
      <c r="E921" s="64"/>
      <c r="F921" s="64"/>
      <c r="G921" s="64"/>
      <c r="H921" s="64"/>
      <c r="I921" s="64"/>
      <c r="J921" s="64"/>
      <c r="K921" s="64"/>
      <c r="L921" s="64"/>
      <c r="M921" s="64"/>
      <c r="N921" s="64"/>
      <c r="O921" s="64"/>
      <c r="P921" s="64"/>
      <c r="Q921" s="64"/>
      <c r="R921" s="64"/>
      <c r="S921" s="64"/>
      <c r="T921" s="64"/>
      <c r="U921" s="64"/>
      <c r="V921" s="64"/>
      <c r="W921" s="64"/>
      <c r="X921" s="64"/>
      <c r="Y921" s="64"/>
      <c r="Z921" s="64"/>
    </row>
    <row r="922" spans="1:26" ht="12.75" customHeight="1" x14ac:dyDescent="0.25">
      <c r="A922" s="64"/>
      <c r="B922" s="64"/>
      <c r="C922" s="64"/>
      <c r="D922" s="64"/>
      <c r="E922" s="64"/>
      <c r="F922" s="64"/>
      <c r="G922" s="64"/>
      <c r="H922" s="64"/>
      <c r="I922" s="64"/>
      <c r="J922" s="64"/>
      <c r="K922" s="64"/>
      <c r="L922" s="64"/>
      <c r="M922" s="64"/>
      <c r="N922" s="64"/>
      <c r="O922" s="64"/>
      <c r="P922" s="64"/>
      <c r="Q922" s="64"/>
      <c r="R922" s="64"/>
      <c r="S922" s="64"/>
      <c r="T922" s="64"/>
      <c r="U922" s="64"/>
      <c r="V922" s="64"/>
      <c r="W922" s="64"/>
      <c r="X922" s="64"/>
      <c r="Y922" s="64"/>
      <c r="Z922" s="64"/>
    </row>
    <row r="923" spans="1:26" ht="12.75" customHeight="1" x14ac:dyDescent="0.25">
      <c r="A923" s="64"/>
      <c r="B923" s="64"/>
      <c r="C923" s="64"/>
      <c r="D923" s="64"/>
      <c r="E923" s="64"/>
      <c r="F923" s="64"/>
      <c r="G923" s="64"/>
      <c r="H923" s="64"/>
      <c r="I923" s="64"/>
      <c r="J923" s="64"/>
      <c r="K923" s="64"/>
      <c r="L923" s="64"/>
      <c r="M923" s="64"/>
      <c r="N923" s="64"/>
      <c r="O923" s="64"/>
      <c r="P923" s="64"/>
      <c r="Q923" s="64"/>
      <c r="R923" s="64"/>
      <c r="S923" s="64"/>
      <c r="T923" s="64"/>
      <c r="U923" s="64"/>
      <c r="V923" s="64"/>
      <c r="W923" s="64"/>
      <c r="X923" s="64"/>
      <c r="Y923" s="64"/>
      <c r="Z923" s="64"/>
    </row>
    <row r="924" spans="1:26" ht="12.75" customHeight="1" x14ac:dyDescent="0.25">
      <c r="A924" s="64"/>
      <c r="B924" s="64"/>
      <c r="C924" s="64"/>
      <c r="D924" s="64"/>
      <c r="E924" s="64"/>
      <c r="F924" s="64"/>
      <c r="G924" s="64"/>
      <c r="H924" s="64"/>
      <c r="I924" s="64"/>
      <c r="J924" s="64"/>
      <c r="K924" s="64"/>
      <c r="L924" s="64"/>
      <c r="M924" s="64"/>
      <c r="N924" s="64"/>
      <c r="O924" s="64"/>
      <c r="P924" s="64"/>
      <c r="Q924" s="64"/>
      <c r="R924" s="64"/>
      <c r="S924" s="64"/>
      <c r="T924" s="64"/>
      <c r="U924" s="64"/>
      <c r="V924" s="64"/>
      <c r="W924" s="64"/>
      <c r="X924" s="64"/>
      <c r="Y924" s="64"/>
      <c r="Z924" s="64"/>
    </row>
    <row r="925" spans="1:26" ht="12.75" customHeight="1" x14ac:dyDescent="0.25">
      <c r="A925" s="64"/>
      <c r="B925" s="64"/>
      <c r="C925" s="64"/>
      <c r="D925" s="64"/>
      <c r="E925" s="64"/>
      <c r="F925" s="64"/>
      <c r="G925" s="64"/>
      <c r="H925" s="64"/>
      <c r="I925" s="64"/>
      <c r="J925" s="64"/>
      <c r="K925" s="64"/>
      <c r="L925" s="64"/>
      <c r="M925" s="64"/>
      <c r="N925" s="64"/>
      <c r="O925" s="64"/>
      <c r="P925" s="64"/>
      <c r="Q925" s="64"/>
      <c r="R925" s="64"/>
      <c r="S925" s="64"/>
      <c r="T925" s="64"/>
      <c r="U925" s="64"/>
      <c r="V925" s="64"/>
      <c r="W925" s="64"/>
      <c r="X925" s="64"/>
      <c r="Y925" s="64"/>
      <c r="Z925" s="64"/>
    </row>
    <row r="926" spans="1:26" ht="12.75" customHeight="1" x14ac:dyDescent="0.25">
      <c r="A926" s="64"/>
      <c r="B926" s="64"/>
      <c r="C926" s="64"/>
      <c r="D926" s="64"/>
      <c r="E926" s="64"/>
      <c r="F926" s="64"/>
      <c r="G926" s="64"/>
      <c r="H926" s="64"/>
      <c r="I926" s="64"/>
      <c r="J926" s="64"/>
      <c r="K926" s="64"/>
      <c r="L926" s="64"/>
      <c r="M926" s="64"/>
      <c r="N926" s="64"/>
      <c r="O926" s="64"/>
      <c r="P926" s="64"/>
      <c r="Q926" s="64"/>
      <c r="R926" s="64"/>
      <c r="S926" s="64"/>
      <c r="T926" s="64"/>
      <c r="U926" s="64"/>
      <c r="V926" s="64"/>
      <c r="W926" s="64"/>
      <c r="X926" s="64"/>
      <c r="Y926" s="64"/>
      <c r="Z926" s="64"/>
    </row>
    <row r="927" spans="1:26" ht="12.75" customHeight="1" x14ac:dyDescent="0.25">
      <c r="A927" s="64"/>
      <c r="B927" s="64"/>
      <c r="C927" s="64"/>
      <c r="D927" s="64"/>
      <c r="E927" s="64"/>
      <c r="F927" s="64"/>
      <c r="G927" s="64"/>
      <c r="H927" s="64"/>
      <c r="I927" s="64"/>
      <c r="J927" s="64"/>
      <c r="K927" s="64"/>
      <c r="L927" s="64"/>
      <c r="M927" s="64"/>
      <c r="N927" s="64"/>
      <c r="O927" s="64"/>
      <c r="P927" s="64"/>
      <c r="Q927" s="64"/>
      <c r="R927" s="64"/>
      <c r="S927" s="64"/>
      <c r="T927" s="64"/>
      <c r="U927" s="64"/>
      <c r="V927" s="64"/>
      <c r="W927" s="64"/>
      <c r="X927" s="64"/>
      <c r="Y927" s="64"/>
      <c r="Z927" s="64"/>
    </row>
    <row r="928" spans="1:26" ht="12.75" customHeight="1" x14ac:dyDescent="0.25">
      <c r="A928" s="64"/>
      <c r="B928" s="64"/>
      <c r="C928" s="64"/>
      <c r="D928" s="64"/>
      <c r="E928" s="64"/>
      <c r="F928" s="64"/>
      <c r="G928" s="64"/>
      <c r="H928" s="64"/>
      <c r="I928" s="64"/>
      <c r="J928" s="64"/>
      <c r="K928" s="64"/>
      <c r="L928" s="64"/>
      <c r="M928" s="64"/>
      <c r="N928" s="64"/>
      <c r="O928" s="64"/>
      <c r="P928" s="64"/>
      <c r="Q928" s="64"/>
      <c r="R928" s="64"/>
      <c r="S928" s="64"/>
      <c r="T928" s="64"/>
      <c r="U928" s="64"/>
      <c r="V928" s="64"/>
      <c r="W928" s="64"/>
      <c r="X928" s="64"/>
      <c r="Y928" s="64"/>
      <c r="Z928" s="64"/>
    </row>
    <row r="929" spans="1:26" ht="12.75" customHeight="1" x14ac:dyDescent="0.25">
      <c r="A929" s="64"/>
      <c r="B929" s="64"/>
      <c r="C929" s="64"/>
      <c r="D929" s="64"/>
      <c r="E929" s="64"/>
      <c r="F929" s="64"/>
      <c r="G929" s="64"/>
      <c r="H929" s="64"/>
      <c r="I929" s="64"/>
      <c r="J929" s="64"/>
      <c r="K929" s="64"/>
      <c r="L929" s="64"/>
      <c r="M929" s="64"/>
      <c r="N929" s="64"/>
      <c r="O929" s="64"/>
      <c r="P929" s="64"/>
      <c r="Q929" s="64"/>
      <c r="R929" s="64"/>
      <c r="S929" s="64"/>
      <c r="T929" s="64"/>
      <c r="U929" s="64"/>
      <c r="V929" s="64"/>
      <c r="W929" s="64"/>
      <c r="X929" s="64"/>
      <c r="Y929" s="64"/>
      <c r="Z929" s="64"/>
    </row>
    <row r="930" spans="1:26" ht="12.75" customHeight="1" x14ac:dyDescent="0.25">
      <c r="A930" s="64"/>
      <c r="B930" s="64"/>
      <c r="C930" s="64"/>
      <c r="D930" s="64"/>
      <c r="E930" s="64"/>
      <c r="F930" s="64"/>
      <c r="G930" s="64"/>
      <c r="H930" s="64"/>
      <c r="I930" s="64"/>
      <c r="J930" s="64"/>
      <c r="K930" s="64"/>
      <c r="L930" s="64"/>
      <c r="M930" s="64"/>
      <c r="N930" s="64"/>
      <c r="O930" s="64"/>
      <c r="P930" s="64"/>
      <c r="Q930" s="64"/>
      <c r="R930" s="64"/>
      <c r="S930" s="64"/>
      <c r="T930" s="64"/>
      <c r="U930" s="64"/>
      <c r="V930" s="64"/>
      <c r="W930" s="64"/>
      <c r="X930" s="64"/>
      <c r="Y930" s="64"/>
      <c r="Z930" s="64"/>
    </row>
    <row r="931" spans="1:26" ht="12.75" customHeight="1" x14ac:dyDescent="0.25">
      <c r="A931" s="64"/>
      <c r="B931" s="64"/>
      <c r="C931" s="64"/>
      <c r="D931" s="64"/>
      <c r="E931" s="64"/>
      <c r="F931" s="64"/>
      <c r="G931" s="64"/>
      <c r="H931" s="64"/>
      <c r="I931" s="64"/>
      <c r="J931" s="64"/>
      <c r="K931" s="64"/>
      <c r="L931" s="64"/>
      <c r="M931" s="64"/>
      <c r="N931" s="64"/>
      <c r="O931" s="64"/>
      <c r="P931" s="64"/>
      <c r="Q931" s="64"/>
      <c r="R931" s="64"/>
      <c r="S931" s="64"/>
      <c r="T931" s="64"/>
      <c r="U931" s="64"/>
      <c r="V931" s="64"/>
      <c r="W931" s="64"/>
      <c r="X931" s="64"/>
      <c r="Y931" s="64"/>
      <c r="Z931" s="64"/>
    </row>
    <row r="932" spans="1:26" ht="12.75" customHeight="1" x14ac:dyDescent="0.25">
      <c r="A932" s="64"/>
      <c r="B932" s="64"/>
      <c r="C932" s="64"/>
      <c r="D932" s="64"/>
      <c r="E932" s="64"/>
      <c r="F932" s="64"/>
      <c r="G932" s="64"/>
      <c r="H932" s="64"/>
      <c r="I932" s="64"/>
      <c r="J932" s="64"/>
      <c r="K932" s="64"/>
      <c r="L932" s="64"/>
      <c r="M932" s="64"/>
      <c r="N932" s="64"/>
      <c r="O932" s="64"/>
      <c r="P932" s="64"/>
      <c r="Q932" s="64"/>
      <c r="R932" s="64"/>
      <c r="S932" s="64"/>
      <c r="T932" s="64"/>
      <c r="U932" s="64"/>
      <c r="V932" s="64"/>
      <c r="W932" s="64"/>
      <c r="X932" s="64"/>
      <c r="Y932" s="64"/>
      <c r="Z932" s="64"/>
    </row>
    <row r="933" spans="1:26" ht="12.75" customHeight="1" x14ac:dyDescent="0.25">
      <c r="A933" s="64"/>
      <c r="B933" s="64"/>
      <c r="C933" s="64"/>
      <c r="D933" s="64"/>
      <c r="E933" s="64"/>
      <c r="F933" s="64"/>
      <c r="G933" s="64"/>
      <c r="H933" s="64"/>
      <c r="I933" s="64"/>
      <c r="J933" s="64"/>
      <c r="K933" s="64"/>
      <c r="L933" s="64"/>
      <c r="M933" s="64"/>
      <c r="N933" s="64"/>
      <c r="O933" s="64"/>
      <c r="P933" s="64"/>
      <c r="Q933" s="64"/>
      <c r="R933" s="64"/>
      <c r="S933" s="64"/>
      <c r="T933" s="64"/>
      <c r="U933" s="64"/>
      <c r="V933" s="64"/>
      <c r="W933" s="64"/>
      <c r="X933" s="64"/>
      <c r="Y933" s="64"/>
      <c r="Z933" s="64"/>
    </row>
    <row r="934" spans="1:26" ht="12.75" customHeight="1" x14ac:dyDescent="0.25">
      <c r="A934" s="64"/>
      <c r="B934" s="64"/>
      <c r="C934" s="64"/>
      <c r="D934" s="64"/>
      <c r="E934" s="64"/>
      <c r="F934" s="64"/>
      <c r="G934" s="64"/>
      <c r="H934" s="64"/>
      <c r="I934" s="64"/>
      <c r="J934" s="64"/>
      <c r="K934" s="64"/>
      <c r="L934" s="64"/>
      <c r="M934" s="64"/>
      <c r="N934" s="64"/>
      <c r="O934" s="64"/>
      <c r="P934" s="64"/>
      <c r="Q934" s="64"/>
      <c r="R934" s="64"/>
      <c r="S934" s="64"/>
      <c r="T934" s="64"/>
      <c r="U934" s="64"/>
      <c r="V934" s="64"/>
      <c r="W934" s="64"/>
      <c r="X934" s="64"/>
      <c r="Y934" s="64"/>
      <c r="Z934" s="64"/>
    </row>
    <row r="935" spans="1:26" ht="12.75" customHeight="1" x14ac:dyDescent="0.25">
      <c r="A935" s="64"/>
      <c r="B935" s="64"/>
      <c r="C935" s="64"/>
      <c r="D935" s="64"/>
      <c r="E935" s="64"/>
      <c r="F935" s="64"/>
      <c r="G935" s="64"/>
      <c r="H935" s="64"/>
      <c r="I935" s="64"/>
      <c r="J935" s="64"/>
      <c r="K935" s="64"/>
      <c r="L935" s="64"/>
      <c r="M935" s="64"/>
      <c r="N935" s="64"/>
      <c r="O935" s="64"/>
      <c r="P935" s="64"/>
      <c r="Q935" s="64"/>
      <c r="R935" s="64"/>
      <c r="S935" s="64"/>
      <c r="T935" s="64"/>
      <c r="U935" s="64"/>
      <c r="V935" s="64"/>
      <c r="W935" s="64"/>
      <c r="X935" s="64"/>
      <c r="Y935" s="64"/>
      <c r="Z935" s="64"/>
    </row>
    <row r="936" spans="1:26" ht="12.75" customHeight="1" x14ac:dyDescent="0.25">
      <c r="A936" s="64"/>
      <c r="B936" s="64"/>
      <c r="C936" s="64"/>
      <c r="D936" s="64"/>
      <c r="E936" s="64"/>
      <c r="F936" s="64"/>
      <c r="G936" s="64"/>
      <c r="H936" s="64"/>
      <c r="I936" s="64"/>
      <c r="J936" s="64"/>
      <c r="K936" s="64"/>
      <c r="L936" s="64"/>
      <c r="M936" s="64"/>
      <c r="N936" s="64"/>
      <c r="O936" s="64"/>
      <c r="P936" s="64"/>
      <c r="Q936" s="64"/>
      <c r="R936" s="64"/>
      <c r="S936" s="64"/>
      <c r="T936" s="64"/>
      <c r="U936" s="64"/>
      <c r="V936" s="64"/>
      <c r="W936" s="64"/>
      <c r="X936" s="64"/>
      <c r="Y936" s="64"/>
      <c r="Z936" s="64"/>
    </row>
    <row r="937" spans="1:26" ht="12.75" customHeight="1" x14ac:dyDescent="0.25">
      <c r="A937" s="64"/>
      <c r="B937" s="64"/>
      <c r="C937" s="64"/>
      <c r="D937" s="64"/>
      <c r="E937" s="64"/>
      <c r="F937" s="64"/>
      <c r="G937" s="64"/>
      <c r="H937" s="64"/>
      <c r="I937" s="64"/>
      <c r="J937" s="64"/>
      <c r="K937" s="64"/>
      <c r="L937" s="64"/>
      <c r="M937" s="64"/>
      <c r="N937" s="64"/>
      <c r="O937" s="64"/>
      <c r="P937" s="64"/>
      <c r="Q937" s="64"/>
      <c r="R937" s="64"/>
      <c r="S937" s="64"/>
      <c r="T937" s="64"/>
      <c r="U937" s="64"/>
      <c r="V937" s="64"/>
      <c r="W937" s="64"/>
      <c r="X937" s="64"/>
      <c r="Y937" s="64"/>
      <c r="Z937" s="64"/>
    </row>
    <row r="938" spans="1:26" ht="12.75" customHeight="1" x14ac:dyDescent="0.25">
      <c r="A938" s="64"/>
      <c r="B938" s="64"/>
      <c r="C938" s="64"/>
      <c r="D938" s="64"/>
      <c r="E938" s="64"/>
      <c r="F938" s="64"/>
      <c r="G938" s="64"/>
      <c r="H938" s="64"/>
      <c r="I938" s="64"/>
      <c r="J938" s="64"/>
      <c r="K938" s="64"/>
      <c r="L938" s="64"/>
      <c r="M938" s="64"/>
      <c r="N938" s="64"/>
      <c r="O938" s="64"/>
      <c r="P938" s="64"/>
      <c r="Q938" s="64"/>
      <c r="R938" s="64"/>
      <c r="S938" s="64"/>
      <c r="T938" s="64"/>
      <c r="U938" s="64"/>
      <c r="V938" s="64"/>
      <c r="W938" s="64"/>
      <c r="X938" s="64"/>
      <c r="Y938" s="64"/>
      <c r="Z938" s="64"/>
    </row>
    <row r="939" spans="1:26" ht="12.75" customHeight="1" x14ac:dyDescent="0.25">
      <c r="A939" s="64"/>
      <c r="B939" s="64"/>
      <c r="C939" s="64"/>
      <c r="D939" s="64"/>
      <c r="E939" s="64"/>
      <c r="F939" s="64"/>
      <c r="G939" s="64"/>
      <c r="H939" s="64"/>
      <c r="I939" s="64"/>
      <c r="J939" s="64"/>
      <c r="K939" s="64"/>
      <c r="L939" s="64"/>
      <c r="M939" s="64"/>
      <c r="N939" s="64"/>
      <c r="O939" s="64"/>
      <c r="P939" s="64"/>
      <c r="Q939" s="64"/>
      <c r="R939" s="64"/>
      <c r="S939" s="64"/>
      <c r="T939" s="64"/>
      <c r="U939" s="64"/>
      <c r="V939" s="64"/>
      <c r="W939" s="64"/>
      <c r="X939" s="64"/>
      <c r="Y939" s="64"/>
      <c r="Z939" s="64"/>
    </row>
    <row r="940" spans="1:26" ht="12.75" customHeight="1" x14ac:dyDescent="0.25">
      <c r="A940" s="64"/>
      <c r="B940" s="64"/>
      <c r="C940" s="64"/>
      <c r="D940" s="64"/>
      <c r="E940" s="64"/>
      <c r="F940" s="64"/>
      <c r="G940" s="64"/>
      <c r="H940" s="64"/>
      <c r="I940" s="64"/>
      <c r="J940" s="64"/>
      <c r="K940" s="64"/>
      <c r="L940" s="64"/>
      <c r="M940" s="64"/>
      <c r="N940" s="64"/>
      <c r="O940" s="64"/>
      <c r="P940" s="64"/>
      <c r="Q940" s="64"/>
      <c r="R940" s="64"/>
      <c r="S940" s="64"/>
      <c r="T940" s="64"/>
      <c r="U940" s="64"/>
      <c r="V940" s="64"/>
      <c r="W940" s="64"/>
      <c r="X940" s="64"/>
      <c r="Y940" s="64"/>
      <c r="Z940" s="64"/>
    </row>
    <row r="941" spans="1:26" ht="12.75" customHeight="1" x14ac:dyDescent="0.25">
      <c r="A941" s="64"/>
      <c r="B941" s="64"/>
      <c r="C941" s="64"/>
      <c r="D941" s="64"/>
      <c r="E941" s="64"/>
      <c r="F941" s="64"/>
      <c r="G941" s="64"/>
      <c r="H941" s="64"/>
      <c r="I941" s="64"/>
      <c r="J941" s="64"/>
      <c r="K941" s="64"/>
      <c r="L941" s="64"/>
      <c r="M941" s="64"/>
      <c r="N941" s="64"/>
      <c r="O941" s="64"/>
      <c r="P941" s="64"/>
      <c r="Q941" s="64"/>
      <c r="R941" s="64"/>
      <c r="S941" s="64"/>
      <c r="T941" s="64"/>
      <c r="U941" s="64"/>
      <c r="V941" s="64"/>
      <c r="W941" s="64"/>
      <c r="X941" s="64"/>
      <c r="Y941" s="64"/>
      <c r="Z941" s="64"/>
    </row>
    <row r="942" spans="1:26" ht="12.75" customHeight="1" x14ac:dyDescent="0.25">
      <c r="A942" s="64"/>
      <c r="B942" s="64"/>
      <c r="C942" s="64"/>
      <c r="D942" s="64"/>
      <c r="E942" s="64"/>
      <c r="F942" s="64"/>
      <c r="G942" s="64"/>
      <c r="H942" s="64"/>
      <c r="I942" s="64"/>
      <c r="J942" s="64"/>
      <c r="K942" s="64"/>
      <c r="L942" s="64"/>
      <c r="M942" s="64"/>
      <c r="N942" s="64"/>
      <c r="O942" s="64"/>
      <c r="P942" s="64"/>
      <c r="Q942" s="64"/>
      <c r="R942" s="64"/>
      <c r="S942" s="64"/>
      <c r="T942" s="64"/>
      <c r="U942" s="64"/>
      <c r="V942" s="64"/>
      <c r="W942" s="64"/>
      <c r="X942" s="64"/>
      <c r="Y942" s="64"/>
      <c r="Z942" s="64"/>
    </row>
    <row r="943" spans="1:26" ht="12.75" customHeight="1" x14ac:dyDescent="0.25">
      <c r="A943" s="64"/>
      <c r="B943" s="64"/>
      <c r="C943" s="64"/>
      <c r="D943" s="64"/>
      <c r="E943" s="64"/>
      <c r="F943" s="64"/>
      <c r="G943" s="64"/>
      <c r="H943" s="64"/>
      <c r="I943" s="64"/>
      <c r="J943" s="64"/>
      <c r="K943" s="64"/>
      <c r="L943" s="64"/>
      <c r="M943" s="64"/>
      <c r="N943" s="64"/>
      <c r="O943" s="64"/>
      <c r="P943" s="64"/>
      <c r="Q943" s="64"/>
      <c r="R943" s="64"/>
      <c r="S943" s="64"/>
      <c r="T943" s="64"/>
      <c r="U943" s="64"/>
      <c r="V943" s="64"/>
      <c r="W943" s="64"/>
      <c r="X943" s="64"/>
      <c r="Y943" s="64"/>
      <c r="Z943" s="64"/>
    </row>
    <row r="944" spans="1:26" ht="12.75" customHeight="1" x14ac:dyDescent="0.25">
      <c r="A944" s="64"/>
      <c r="B944" s="64"/>
      <c r="C944" s="64"/>
      <c r="D944" s="64"/>
      <c r="E944" s="64"/>
      <c r="F944" s="64"/>
      <c r="G944" s="64"/>
      <c r="H944" s="64"/>
      <c r="I944" s="64"/>
      <c r="J944" s="64"/>
      <c r="K944" s="64"/>
      <c r="L944" s="64"/>
      <c r="M944" s="64"/>
      <c r="N944" s="64"/>
      <c r="O944" s="64"/>
      <c r="P944" s="64"/>
      <c r="Q944" s="64"/>
      <c r="R944" s="64"/>
      <c r="S944" s="64"/>
      <c r="T944" s="64"/>
      <c r="U944" s="64"/>
      <c r="V944" s="64"/>
      <c r="W944" s="64"/>
      <c r="X944" s="64"/>
      <c r="Y944" s="64"/>
      <c r="Z944" s="64"/>
    </row>
    <row r="945" spans="1:26" ht="12.75" customHeight="1" x14ac:dyDescent="0.25">
      <c r="A945" s="64"/>
      <c r="B945" s="64"/>
      <c r="C945" s="64"/>
      <c r="D945" s="64"/>
      <c r="E945" s="64"/>
      <c r="F945" s="64"/>
      <c r="G945" s="64"/>
      <c r="H945" s="64"/>
      <c r="I945" s="64"/>
      <c r="J945" s="64"/>
      <c r="K945" s="64"/>
      <c r="L945" s="64"/>
      <c r="M945" s="64"/>
      <c r="N945" s="64"/>
      <c r="O945" s="64"/>
      <c r="P945" s="64"/>
      <c r="Q945" s="64"/>
      <c r="R945" s="64"/>
      <c r="S945" s="64"/>
      <c r="T945" s="64"/>
      <c r="U945" s="64"/>
      <c r="V945" s="64"/>
      <c r="W945" s="64"/>
      <c r="X945" s="64"/>
      <c r="Y945" s="64"/>
      <c r="Z945" s="64"/>
    </row>
    <row r="946" spans="1:26" ht="12.75" customHeight="1" x14ac:dyDescent="0.25">
      <c r="A946" s="64"/>
      <c r="B946" s="64"/>
      <c r="C946" s="64"/>
      <c r="D946" s="64"/>
      <c r="E946" s="64"/>
      <c r="F946" s="64"/>
      <c r="G946" s="64"/>
      <c r="H946" s="64"/>
      <c r="I946" s="64"/>
      <c r="J946" s="64"/>
      <c r="K946" s="64"/>
      <c r="L946" s="64"/>
      <c r="M946" s="64"/>
      <c r="N946" s="64"/>
      <c r="O946" s="64"/>
      <c r="P946" s="64"/>
      <c r="Q946" s="64"/>
      <c r="R946" s="64"/>
      <c r="S946" s="64"/>
      <c r="T946" s="64"/>
      <c r="U946" s="64"/>
      <c r="V946" s="64"/>
      <c r="W946" s="64"/>
      <c r="X946" s="64"/>
      <c r="Y946" s="64"/>
      <c r="Z946" s="64"/>
    </row>
    <row r="947" spans="1:26" ht="12.75" customHeight="1" x14ac:dyDescent="0.25">
      <c r="A947" s="64"/>
      <c r="B947" s="64"/>
      <c r="C947" s="64"/>
      <c r="D947" s="64"/>
      <c r="E947" s="64"/>
      <c r="F947" s="64"/>
      <c r="G947" s="64"/>
      <c r="H947" s="64"/>
      <c r="I947" s="64"/>
      <c r="J947" s="64"/>
      <c r="K947" s="64"/>
      <c r="L947" s="64"/>
      <c r="M947" s="64"/>
      <c r="N947" s="64"/>
      <c r="O947" s="64"/>
      <c r="P947" s="64"/>
      <c r="Q947" s="64"/>
      <c r="R947" s="64"/>
      <c r="S947" s="64"/>
      <c r="T947" s="64"/>
      <c r="U947" s="64"/>
      <c r="V947" s="64"/>
      <c r="W947" s="64"/>
      <c r="X947" s="64"/>
      <c r="Y947" s="64"/>
      <c r="Z947" s="64"/>
    </row>
    <row r="948" spans="1:26" ht="12.75" customHeight="1" x14ac:dyDescent="0.25">
      <c r="A948" s="64"/>
      <c r="B948" s="64"/>
      <c r="C948" s="64"/>
      <c r="D948" s="64"/>
      <c r="E948" s="64"/>
      <c r="F948" s="64"/>
      <c r="G948" s="64"/>
      <c r="H948" s="64"/>
      <c r="I948" s="64"/>
      <c r="J948" s="64"/>
      <c r="K948" s="64"/>
      <c r="L948" s="64"/>
      <c r="M948" s="64"/>
      <c r="N948" s="64"/>
      <c r="O948" s="64"/>
      <c r="P948" s="64"/>
      <c r="Q948" s="64"/>
      <c r="R948" s="64"/>
      <c r="S948" s="64"/>
      <c r="T948" s="64"/>
      <c r="U948" s="64"/>
      <c r="V948" s="64"/>
      <c r="W948" s="64"/>
      <c r="X948" s="64"/>
      <c r="Y948" s="64"/>
      <c r="Z948" s="64"/>
    </row>
    <row r="949" spans="1:26" ht="12.75" customHeight="1" x14ac:dyDescent="0.25">
      <c r="A949" s="64"/>
      <c r="B949" s="64"/>
      <c r="C949" s="64"/>
      <c r="D949" s="64"/>
      <c r="E949" s="64"/>
      <c r="F949" s="64"/>
      <c r="G949" s="64"/>
      <c r="H949" s="64"/>
      <c r="I949" s="64"/>
      <c r="J949" s="64"/>
      <c r="K949" s="64"/>
      <c r="L949" s="64"/>
      <c r="M949" s="64"/>
      <c r="N949" s="64"/>
      <c r="O949" s="64"/>
      <c r="P949" s="64"/>
      <c r="Q949" s="64"/>
      <c r="R949" s="64"/>
      <c r="S949" s="64"/>
      <c r="T949" s="64"/>
      <c r="U949" s="64"/>
      <c r="V949" s="64"/>
      <c r="W949" s="64"/>
      <c r="X949" s="64"/>
      <c r="Y949" s="64"/>
      <c r="Z949" s="64"/>
    </row>
    <row r="950" spans="1:26" ht="12.75" customHeight="1" x14ac:dyDescent="0.25">
      <c r="A950" s="64"/>
      <c r="B950" s="64"/>
      <c r="C950" s="64"/>
      <c r="D950" s="64"/>
      <c r="E950" s="64"/>
      <c r="F950" s="64"/>
      <c r="G950" s="64"/>
      <c r="H950" s="64"/>
      <c r="I950" s="64"/>
      <c r="J950" s="64"/>
      <c r="K950" s="64"/>
      <c r="L950" s="64"/>
      <c r="M950" s="64"/>
      <c r="N950" s="64"/>
      <c r="O950" s="64"/>
      <c r="P950" s="64"/>
      <c r="Q950" s="64"/>
      <c r="R950" s="64"/>
      <c r="S950" s="64"/>
      <c r="T950" s="64"/>
      <c r="U950" s="64"/>
      <c r="V950" s="64"/>
      <c r="W950" s="64"/>
      <c r="X950" s="64"/>
      <c r="Y950" s="64"/>
      <c r="Z950" s="64"/>
    </row>
    <row r="951" spans="1:26" ht="12.75" customHeight="1" x14ac:dyDescent="0.25">
      <c r="A951" s="64"/>
      <c r="B951" s="64"/>
      <c r="C951" s="64"/>
      <c r="D951" s="64"/>
      <c r="E951" s="64"/>
      <c r="F951" s="64"/>
      <c r="G951" s="64"/>
      <c r="H951" s="64"/>
      <c r="I951" s="64"/>
      <c r="J951" s="64"/>
      <c r="K951" s="64"/>
      <c r="L951" s="64"/>
      <c r="M951" s="64"/>
      <c r="N951" s="64"/>
      <c r="O951" s="64"/>
      <c r="P951" s="64"/>
      <c r="Q951" s="64"/>
      <c r="R951" s="64"/>
      <c r="S951" s="64"/>
      <c r="T951" s="64"/>
      <c r="U951" s="64"/>
      <c r="V951" s="64"/>
      <c r="W951" s="64"/>
      <c r="X951" s="64"/>
      <c r="Y951" s="64"/>
      <c r="Z951" s="64"/>
    </row>
    <row r="952" spans="1:26" ht="12.75" customHeight="1" x14ac:dyDescent="0.25">
      <c r="A952" s="64"/>
      <c r="B952" s="64"/>
      <c r="C952" s="64"/>
      <c r="D952" s="64"/>
      <c r="E952" s="64"/>
      <c r="F952" s="64"/>
      <c r="G952" s="64"/>
      <c r="H952" s="64"/>
      <c r="I952" s="64"/>
      <c r="J952" s="64"/>
      <c r="K952" s="64"/>
      <c r="L952" s="64"/>
      <c r="M952" s="64"/>
      <c r="N952" s="64"/>
      <c r="O952" s="64"/>
      <c r="P952" s="64"/>
      <c r="Q952" s="64"/>
      <c r="R952" s="64"/>
      <c r="S952" s="64"/>
      <c r="T952" s="64"/>
      <c r="U952" s="64"/>
      <c r="V952" s="64"/>
      <c r="W952" s="64"/>
      <c r="X952" s="64"/>
      <c r="Y952" s="64"/>
      <c r="Z952" s="64"/>
    </row>
    <row r="953" spans="1:26" ht="12.75" customHeight="1" x14ac:dyDescent="0.25">
      <c r="A953" s="64"/>
      <c r="B953" s="64"/>
      <c r="C953" s="64"/>
      <c r="D953" s="64"/>
      <c r="E953" s="64"/>
      <c r="F953" s="64"/>
      <c r="G953" s="64"/>
      <c r="H953" s="64"/>
      <c r="I953" s="64"/>
      <c r="J953" s="64"/>
      <c r="K953" s="64"/>
      <c r="L953" s="64"/>
      <c r="M953" s="64"/>
      <c r="N953" s="64"/>
      <c r="O953" s="64"/>
      <c r="P953" s="64"/>
      <c r="Q953" s="64"/>
      <c r="R953" s="64"/>
      <c r="S953" s="64"/>
      <c r="T953" s="64"/>
      <c r="U953" s="64"/>
      <c r="V953" s="64"/>
      <c r="W953" s="64"/>
      <c r="X953" s="64"/>
      <c r="Y953" s="64"/>
      <c r="Z953" s="64"/>
    </row>
    <row r="954" spans="1:26" ht="12.75" customHeight="1" x14ac:dyDescent="0.25">
      <c r="A954" s="64"/>
      <c r="B954" s="64"/>
      <c r="C954" s="64"/>
      <c r="D954" s="64"/>
      <c r="E954" s="64"/>
      <c r="F954" s="64"/>
      <c r="G954" s="64"/>
      <c r="H954" s="64"/>
      <c r="I954" s="64"/>
      <c r="J954" s="64"/>
      <c r="K954" s="64"/>
      <c r="L954" s="64"/>
      <c r="M954" s="64"/>
      <c r="N954" s="64"/>
      <c r="O954" s="64"/>
      <c r="P954" s="64"/>
      <c r="Q954" s="64"/>
      <c r="R954" s="64"/>
      <c r="S954" s="64"/>
      <c r="T954" s="64"/>
      <c r="U954" s="64"/>
      <c r="V954" s="64"/>
      <c r="W954" s="64"/>
      <c r="X954" s="64"/>
      <c r="Y954" s="64"/>
      <c r="Z954" s="64"/>
    </row>
    <row r="955" spans="1:26" ht="12.75" customHeight="1" x14ac:dyDescent="0.25">
      <c r="A955" s="64"/>
      <c r="B955" s="64"/>
      <c r="C955" s="64"/>
      <c r="D955" s="64"/>
      <c r="E955" s="64"/>
      <c r="F955" s="64"/>
      <c r="G955" s="64"/>
      <c r="H955" s="64"/>
      <c r="I955" s="64"/>
      <c r="J955" s="64"/>
      <c r="K955" s="64"/>
      <c r="L955" s="64"/>
      <c r="M955" s="64"/>
      <c r="N955" s="64"/>
      <c r="O955" s="64"/>
      <c r="P955" s="64"/>
      <c r="Q955" s="64"/>
      <c r="R955" s="64"/>
      <c r="S955" s="64"/>
      <c r="T955" s="64"/>
      <c r="U955" s="64"/>
      <c r="V955" s="64"/>
      <c r="W955" s="64"/>
      <c r="X955" s="64"/>
      <c r="Y955" s="64"/>
      <c r="Z955" s="64"/>
    </row>
    <row r="956" spans="1:26" ht="12.75" customHeight="1" x14ac:dyDescent="0.25">
      <c r="A956" s="64"/>
      <c r="B956" s="64"/>
      <c r="C956" s="64"/>
      <c r="D956" s="64"/>
      <c r="E956" s="64"/>
      <c r="F956" s="64"/>
      <c r="G956" s="64"/>
      <c r="H956" s="64"/>
      <c r="I956" s="64"/>
      <c r="J956" s="64"/>
      <c r="K956" s="64"/>
      <c r="L956" s="64"/>
      <c r="M956" s="64"/>
      <c r="N956" s="64"/>
      <c r="O956" s="64"/>
      <c r="P956" s="64"/>
      <c r="Q956" s="64"/>
      <c r="R956" s="64"/>
      <c r="S956" s="64"/>
      <c r="T956" s="64"/>
      <c r="U956" s="64"/>
      <c r="V956" s="64"/>
      <c r="W956" s="64"/>
      <c r="X956" s="64"/>
      <c r="Y956" s="64"/>
      <c r="Z956" s="64"/>
    </row>
    <row r="957" spans="1:26" ht="12.75" customHeight="1" x14ac:dyDescent="0.25">
      <c r="A957" s="64"/>
      <c r="B957" s="64"/>
      <c r="C957" s="64"/>
      <c r="D957" s="64"/>
      <c r="E957" s="64"/>
      <c r="F957" s="64"/>
      <c r="G957" s="64"/>
      <c r="H957" s="64"/>
      <c r="I957" s="64"/>
      <c r="J957" s="64"/>
      <c r="K957" s="64"/>
      <c r="L957" s="64"/>
      <c r="M957" s="64"/>
      <c r="N957" s="64"/>
      <c r="O957" s="64"/>
      <c r="P957" s="64"/>
      <c r="Q957" s="64"/>
      <c r="R957" s="64"/>
      <c r="S957" s="64"/>
      <c r="T957" s="64"/>
      <c r="U957" s="64"/>
      <c r="V957" s="64"/>
      <c r="W957" s="64"/>
      <c r="X957" s="64"/>
      <c r="Y957" s="64"/>
      <c r="Z957" s="64"/>
    </row>
    <row r="958" spans="1:26" ht="12.75" customHeight="1" x14ac:dyDescent="0.25">
      <c r="A958" s="64"/>
      <c r="B958" s="64"/>
      <c r="C958" s="64"/>
      <c r="D958" s="64"/>
      <c r="E958" s="64"/>
      <c r="F958" s="64"/>
      <c r="G958" s="64"/>
      <c r="H958" s="64"/>
      <c r="I958" s="64"/>
      <c r="J958" s="64"/>
      <c r="K958" s="64"/>
      <c r="L958" s="64"/>
      <c r="M958" s="64"/>
      <c r="N958" s="64"/>
      <c r="O958" s="64"/>
      <c r="P958" s="64"/>
      <c r="Q958" s="64"/>
      <c r="R958" s="64"/>
      <c r="S958" s="64"/>
      <c r="T958" s="64"/>
      <c r="U958" s="64"/>
      <c r="V958" s="64"/>
      <c r="W958" s="64"/>
      <c r="X958" s="64"/>
      <c r="Y958" s="64"/>
      <c r="Z958" s="64"/>
    </row>
    <row r="959" spans="1:26" ht="12.75" customHeight="1" x14ac:dyDescent="0.25">
      <c r="A959" s="64"/>
      <c r="B959" s="64"/>
      <c r="C959" s="64"/>
      <c r="D959" s="64"/>
      <c r="E959" s="64"/>
      <c r="F959" s="64"/>
      <c r="G959" s="64"/>
      <c r="H959" s="64"/>
      <c r="I959" s="64"/>
      <c r="J959" s="64"/>
      <c r="K959" s="64"/>
      <c r="L959" s="64"/>
      <c r="M959" s="64"/>
      <c r="N959" s="64"/>
      <c r="O959" s="64"/>
      <c r="P959" s="64"/>
      <c r="Q959" s="64"/>
      <c r="R959" s="64"/>
      <c r="S959" s="64"/>
      <c r="T959" s="64"/>
      <c r="U959" s="64"/>
      <c r="V959" s="64"/>
      <c r="W959" s="64"/>
      <c r="X959" s="64"/>
      <c r="Y959" s="64"/>
      <c r="Z959" s="64"/>
    </row>
    <row r="960" spans="1:26" ht="12.75" customHeight="1" x14ac:dyDescent="0.25">
      <c r="A960" s="64"/>
      <c r="B960" s="64"/>
      <c r="C960" s="64"/>
      <c r="D960" s="64"/>
      <c r="E960" s="64"/>
      <c r="F960" s="64"/>
      <c r="G960" s="64"/>
      <c r="H960" s="64"/>
      <c r="I960" s="64"/>
      <c r="J960" s="64"/>
      <c r="K960" s="64"/>
      <c r="L960" s="64"/>
      <c r="M960" s="64"/>
      <c r="N960" s="64"/>
      <c r="O960" s="64"/>
      <c r="P960" s="64"/>
      <c r="Q960" s="64"/>
      <c r="R960" s="64"/>
      <c r="S960" s="64"/>
      <c r="T960" s="64"/>
      <c r="U960" s="64"/>
      <c r="V960" s="64"/>
      <c r="W960" s="64"/>
      <c r="X960" s="64"/>
      <c r="Y960" s="64"/>
      <c r="Z960" s="64"/>
    </row>
    <row r="961" spans="1:26" ht="12.75" customHeight="1" x14ac:dyDescent="0.25">
      <c r="A961" s="64"/>
      <c r="B961" s="64"/>
      <c r="C961" s="64"/>
      <c r="D961" s="64"/>
      <c r="E961" s="64"/>
      <c r="F961" s="64"/>
      <c r="G961" s="64"/>
      <c r="H961" s="64"/>
      <c r="I961" s="64"/>
      <c r="J961" s="64"/>
      <c r="K961" s="64"/>
      <c r="L961" s="64"/>
      <c r="M961" s="64"/>
      <c r="N961" s="64"/>
      <c r="O961" s="64"/>
      <c r="P961" s="64"/>
      <c r="Q961" s="64"/>
      <c r="R961" s="64"/>
      <c r="S961" s="64"/>
      <c r="T961" s="64"/>
      <c r="U961" s="64"/>
      <c r="V961" s="64"/>
      <c r="W961" s="64"/>
      <c r="X961" s="64"/>
      <c r="Y961" s="64"/>
      <c r="Z961" s="64"/>
    </row>
    <row r="962" spans="1:26" ht="12.75" customHeight="1" x14ac:dyDescent="0.25">
      <c r="A962" s="64"/>
      <c r="B962" s="64"/>
      <c r="C962" s="64"/>
      <c r="D962" s="64"/>
      <c r="E962" s="64"/>
      <c r="F962" s="64"/>
      <c r="G962" s="64"/>
      <c r="H962" s="64"/>
      <c r="I962" s="64"/>
      <c r="J962" s="64"/>
      <c r="K962" s="64"/>
      <c r="L962" s="64"/>
      <c r="M962" s="64"/>
      <c r="N962" s="64"/>
      <c r="O962" s="64"/>
      <c r="P962" s="64"/>
      <c r="Q962" s="64"/>
      <c r="R962" s="64"/>
      <c r="S962" s="64"/>
      <c r="T962" s="64"/>
      <c r="U962" s="64"/>
      <c r="V962" s="64"/>
      <c r="W962" s="64"/>
      <c r="X962" s="64"/>
      <c r="Y962" s="64"/>
      <c r="Z962" s="64"/>
    </row>
    <row r="963" spans="1:26" ht="12.75" customHeight="1" x14ac:dyDescent="0.25">
      <c r="A963" s="64"/>
      <c r="B963" s="64"/>
      <c r="C963" s="64"/>
      <c r="D963" s="64"/>
      <c r="E963" s="64"/>
      <c r="F963" s="64"/>
      <c r="G963" s="64"/>
      <c r="H963" s="64"/>
      <c r="I963" s="64"/>
      <c r="J963" s="64"/>
      <c r="K963" s="64"/>
      <c r="L963" s="64"/>
      <c r="M963" s="64"/>
      <c r="N963" s="64"/>
      <c r="O963" s="64"/>
      <c r="P963" s="64"/>
      <c r="Q963" s="64"/>
      <c r="R963" s="64"/>
      <c r="S963" s="64"/>
      <c r="T963" s="64"/>
      <c r="U963" s="64"/>
      <c r="V963" s="64"/>
      <c r="W963" s="64"/>
      <c r="X963" s="64"/>
      <c r="Y963" s="64"/>
      <c r="Z963" s="64"/>
    </row>
    <row r="964" spans="1:26" ht="12.75" customHeight="1" x14ac:dyDescent="0.25">
      <c r="A964" s="64"/>
      <c r="B964" s="64"/>
      <c r="C964" s="64"/>
      <c r="D964" s="64"/>
      <c r="E964" s="64"/>
      <c r="F964" s="64"/>
      <c r="G964" s="64"/>
      <c r="H964" s="64"/>
      <c r="I964" s="64"/>
      <c r="J964" s="64"/>
      <c r="K964" s="64"/>
      <c r="L964" s="64"/>
      <c r="M964" s="64"/>
      <c r="N964" s="64"/>
      <c r="O964" s="64"/>
      <c r="P964" s="64"/>
      <c r="Q964" s="64"/>
      <c r="R964" s="64"/>
      <c r="S964" s="64"/>
      <c r="T964" s="64"/>
      <c r="U964" s="64"/>
      <c r="V964" s="64"/>
      <c r="W964" s="64"/>
      <c r="X964" s="64"/>
      <c r="Y964" s="64"/>
      <c r="Z964" s="64"/>
    </row>
    <row r="965" spans="1:26" ht="12.75" customHeight="1" x14ac:dyDescent="0.25">
      <c r="A965" s="64"/>
      <c r="B965" s="64"/>
      <c r="C965" s="64"/>
      <c r="D965" s="64"/>
      <c r="E965" s="64"/>
      <c r="F965" s="64"/>
      <c r="G965" s="64"/>
      <c r="H965" s="64"/>
      <c r="I965" s="64"/>
      <c r="J965" s="64"/>
      <c r="K965" s="64"/>
      <c r="L965" s="64"/>
      <c r="M965" s="64"/>
      <c r="N965" s="64"/>
      <c r="O965" s="64"/>
      <c r="P965" s="64"/>
      <c r="Q965" s="64"/>
      <c r="R965" s="64"/>
      <c r="S965" s="64"/>
      <c r="T965" s="64"/>
      <c r="U965" s="64"/>
      <c r="V965" s="64"/>
      <c r="W965" s="64"/>
      <c r="X965" s="64"/>
      <c r="Y965" s="64"/>
      <c r="Z965" s="64"/>
    </row>
    <row r="966" spans="1:26" ht="12.75" customHeight="1" x14ac:dyDescent="0.25">
      <c r="A966" s="64"/>
      <c r="B966" s="64"/>
      <c r="C966" s="64"/>
      <c r="D966" s="64"/>
      <c r="E966" s="64"/>
      <c r="F966" s="64"/>
      <c r="G966" s="64"/>
      <c r="H966" s="64"/>
      <c r="I966" s="64"/>
      <c r="J966" s="64"/>
      <c r="K966" s="64"/>
      <c r="L966" s="64"/>
      <c r="M966" s="64"/>
      <c r="N966" s="64"/>
      <c r="O966" s="64"/>
      <c r="P966" s="64"/>
      <c r="Q966" s="64"/>
      <c r="R966" s="64"/>
      <c r="S966" s="64"/>
      <c r="T966" s="64"/>
      <c r="U966" s="64"/>
      <c r="V966" s="64"/>
      <c r="W966" s="64"/>
      <c r="X966" s="64"/>
      <c r="Y966" s="64"/>
      <c r="Z966" s="64"/>
    </row>
    <row r="967" spans="1:26" ht="12.75" customHeight="1" x14ac:dyDescent="0.25">
      <c r="A967" s="64"/>
      <c r="B967" s="64"/>
      <c r="C967" s="64"/>
      <c r="D967" s="64"/>
      <c r="E967" s="64"/>
      <c r="F967" s="64"/>
      <c r="G967" s="64"/>
      <c r="H967" s="64"/>
      <c r="I967" s="64"/>
      <c r="J967" s="64"/>
      <c r="K967" s="64"/>
      <c r="L967" s="64"/>
      <c r="M967" s="64"/>
      <c r="N967" s="64"/>
      <c r="O967" s="64"/>
      <c r="P967" s="64"/>
      <c r="Q967" s="64"/>
      <c r="R967" s="64"/>
      <c r="S967" s="64"/>
      <c r="T967" s="64"/>
      <c r="U967" s="64"/>
      <c r="V967" s="64"/>
      <c r="W967" s="64"/>
      <c r="X967" s="64"/>
      <c r="Y967" s="64"/>
      <c r="Z967" s="64"/>
    </row>
    <row r="968" spans="1:26" ht="12.75" customHeight="1" x14ac:dyDescent="0.25">
      <c r="A968" s="64"/>
      <c r="B968" s="64"/>
      <c r="C968" s="64"/>
      <c r="D968" s="64"/>
      <c r="E968" s="64"/>
      <c r="F968" s="64"/>
      <c r="G968" s="64"/>
      <c r="H968" s="64"/>
      <c r="I968" s="64"/>
      <c r="J968" s="64"/>
      <c r="K968" s="64"/>
      <c r="L968" s="64"/>
      <c r="M968" s="64"/>
      <c r="N968" s="64"/>
      <c r="O968" s="64"/>
      <c r="P968" s="64"/>
      <c r="Q968" s="64"/>
      <c r="R968" s="64"/>
      <c r="S968" s="64"/>
      <c r="T968" s="64"/>
      <c r="U968" s="64"/>
      <c r="V968" s="64"/>
      <c r="W968" s="64"/>
      <c r="X968" s="64"/>
      <c r="Y968" s="64"/>
      <c r="Z968" s="64"/>
    </row>
    <row r="969" spans="1:26" ht="12.75" customHeight="1" x14ac:dyDescent="0.25">
      <c r="A969" s="64"/>
      <c r="B969" s="64"/>
      <c r="C969" s="64"/>
      <c r="D969" s="64"/>
      <c r="E969" s="64"/>
      <c r="F969" s="64"/>
      <c r="G969" s="64"/>
      <c r="H969" s="64"/>
      <c r="I969" s="64"/>
      <c r="J969" s="64"/>
      <c r="K969" s="64"/>
      <c r="L969" s="64"/>
      <c r="M969" s="64"/>
      <c r="N969" s="64"/>
      <c r="O969" s="64"/>
      <c r="P969" s="64"/>
      <c r="Q969" s="64"/>
      <c r="R969" s="64"/>
      <c r="S969" s="64"/>
      <c r="T969" s="64"/>
      <c r="U969" s="64"/>
      <c r="V969" s="64"/>
      <c r="W969" s="64"/>
      <c r="X969" s="64"/>
      <c r="Y969" s="64"/>
      <c r="Z969" s="64"/>
    </row>
    <row r="970" spans="1:26" ht="12.75" customHeight="1" x14ac:dyDescent="0.25">
      <c r="A970" s="64"/>
      <c r="B970" s="64"/>
      <c r="C970" s="64"/>
      <c r="D970" s="64"/>
      <c r="E970" s="64"/>
      <c r="F970" s="64"/>
      <c r="G970" s="64"/>
      <c r="H970" s="64"/>
      <c r="I970" s="64"/>
      <c r="J970" s="64"/>
      <c r="K970" s="64"/>
      <c r="L970" s="64"/>
      <c r="M970" s="64"/>
      <c r="N970" s="64"/>
      <c r="O970" s="64"/>
      <c r="P970" s="64"/>
      <c r="Q970" s="64"/>
      <c r="R970" s="64"/>
      <c r="S970" s="64"/>
      <c r="T970" s="64"/>
      <c r="U970" s="64"/>
      <c r="V970" s="64"/>
      <c r="W970" s="64"/>
      <c r="X970" s="64"/>
      <c r="Y970" s="64"/>
      <c r="Z970" s="64"/>
    </row>
    <row r="971" spans="1:26" ht="12.75" customHeight="1" x14ac:dyDescent="0.25">
      <c r="A971" s="64"/>
      <c r="B971" s="64"/>
      <c r="C971" s="64"/>
      <c r="D971" s="64"/>
      <c r="E971" s="64"/>
      <c r="F971" s="64"/>
      <c r="G971" s="64"/>
      <c r="H971" s="64"/>
      <c r="I971" s="64"/>
      <c r="J971" s="64"/>
      <c r="K971" s="64"/>
      <c r="L971" s="64"/>
      <c r="M971" s="64"/>
      <c r="N971" s="64"/>
      <c r="O971" s="64"/>
      <c r="P971" s="64"/>
      <c r="Q971" s="64"/>
      <c r="R971" s="64"/>
      <c r="S971" s="64"/>
      <c r="T971" s="64"/>
      <c r="U971" s="64"/>
      <c r="V971" s="64"/>
      <c r="W971" s="64"/>
      <c r="X971" s="64"/>
      <c r="Y971" s="64"/>
      <c r="Z971" s="64"/>
    </row>
    <row r="972" spans="1:26" ht="12.75" customHeight="1" x14ac:dyDescent="0.25">
      <c r="A972" s="64"/>
      <c r="B972" s="64"/>
      <c r="C972" s="64"/>
      <c r="D972" s="64"/>
      <c r="E972" s="64"/>
      <c r="F972" s="64"/>
      <c r="G972" s="64"/>
      <c r="H972" s="64"/>
      <c r="I972" s="64"/>
      <c r="J972" s="64"/>
      <c r="K972" s="64"/>
      <c r="L972" s="64"/>
      <c r="M972" s="64"/>
      <c r="N972" s="64"/>
      <c r="O972" s="64"/>
      <c r="P972" s="64"/>
      <c r="Q972" s="64"/>
      <c r="R972" s="64"/>
      <c r="S972" s="64"/>
      <c r="T972" s="64"/>
      <c r="U972" s="64"/>
      <c r="V972" s="64"/>
      <c r="W972" s="64"/>
      <c r="X972" s="64"/>
      <c r="Y972" s="64"/>
      <c r="Z972" s="64"/>
    </row>
    <row r="973" spans="1:26" ht="12.75" customHeight="1" x14ac:dyDescent="0.25">
      <c r="A973" s="64"/>
      <c r="B973" s="64"/>
      <c r="C973" s="64"/>
      <c r="D973" s="64"/>
      <c r="E973" s="64"/>
      <c r="F973" s="64"/>
      <c r="G973" s="64"/>
      <c r="H973" s="64"/>
      <c r="I973" s="64"/>
      <c r="J973" s="64"/>
      <c r="K973" s="64"/>
      <c r="L973" s="64"/>
      <c r="M973" s="64"/>
      <c r="N973" s="64"/>
      <c r="O973" s="64"/>
      <c r="P973" s="64"/>
      <c r="Q973" s="64"/>
      <c r="R973" s="64"/>
      <c r="S973" s="64"/>
      <c r="T973" s="64"/>
      <c r="U973" s="64"/>
      <c r="V973" s="64"/>
      <c r="W973" s="64"/>
      <c r="X973" s="64"/>
      <c r="Y973" s="64"/>
      <c r="Z973" s="64"/>
    </row>
    <row r="974" spans="1:26" ht="12.75" customHeight="1" x14ac:dyDescent="0.25">
      <c r="A974" s="64"/>
      <c r="B974" s="64"/>
      <c r="C974" s="64"/>
      <c r="D974" s="64"/>
      <c r="E974" s="64"/>
      <c r="F974" s="64"/>
      <c r="G974" s="64"/>
      <c r="H974" s="64"/>
      <c r="I974" s="64"/>
      <c r="J974" s="64"/>
      <c r="K974" s="64"/>
      <c r="L974" s="64"/>
      <c r="M974" s="64"/>
      <c r="N974" s="64"/>
      <c r="O974" s="64"/>
      <c r="P974" s="64"/>
      <c r="Q974" s="64"/>
      <c r="R974" s="64"/>
      <c r="S974" s="64"/>
      <c r="T974" s="64"/>
      <c r="U974" s="64"/>
      <c r="V974" s="64"/>
      <c r="W974" s="64"/>
      <c r="X974" s="64"/>
      <c r="Y974" s="64"/>
      <c r="Z974" s="64"/>
    </row>
    <row r="975" spans="1:26" ht="12.75" customHeight="1" x14ac:dyDescent="0.25">
      <c r="A975" s="64"/>
      <c r="B975" s="64"/>
      <c r="C975" s="64"/>
      <c r="D975" s="64"/>
      <c r="E975" s="64"/>
      <c r="F975" s="64"/>
      <c r="G975" s="64"/>
      <c r="H975" s="64"/>
      <c r="I975" s="64"/>
      <c r="J975" s="64"/>
      <c r="K975" s="64"/>
      <c r="L975" s="64"/>
      <c r="M975" s="64"/>
      <c r="N975" s="64"/>
      <c r="O975" s="64"/>
      <c r="P975" s="64"/>
      <c r="Q975" s="64"/>
      <c r="R975" s="64"/>
      <c r="S975" s="64"/>
      <c r="T975" s="64"/>
      <c r="U975" s="64"/>
      <c r="V975" s="64"/>
      <c r="W975" s="64"/>
      <c r="X975" s="64"/>
      <c r="Y975" s="64"/>
      <c r="Z975" s="64"/>
    </row>
    <row r="976" spans="1:26" ht="12.75" customHeight="1" x14ac:dyDescent="0.25">
      <c r="A976" s="64"/>
      <c r="B976" s="64"/>
      <c r="C976" s="64"/>
      <c r="D976" s="64"/>
      <c r="E976" s="64"/>
      <c r="F976" s="64"/>
      <c r="G976" s="64"/>
      <c r="H976" s="64"/>
      <c r="I976" s="64"/>
      <c r="J976" s="64"/>
      <c r="K976" s="64"/>
      <c r="L976" s="64"/>
      <c r="M976" s="64"/>
      <c r="N976" s="64"/>
      <c r="O976" s="64"/>
      <c r="P976" s="64"/>
      <c r="Q976" s="64"/>
      <c r="R976" s="64"/>
      <c r="S976" s="64"/>
      <c r="T976" s="64"/>
      <c r="U976" s="64"/>
      <c r="V976" s="64"/>
      <c r="W976" s="64"/>
      <c r="X976" s="64"/>
      <c r="Y976" s="64"/>
      <c r="Z976" s="64"/>
    </row>
    <row r="977" spans="1:26" ht="12.75" customHeight="1" x14ac:dyDescent="0.25">
      <c r="A977" s="64"/>
      <c r="B977" s="64"/>
      <c r="C977" s="64"/>
      <c r="D977" s="64"/>
      <c r="E977" s="64"/>
      <c r="F977" s="64"/>
      <c r="G977" s="64"/>
      <c r="H977" s="64"/>
      <c r="I977" s="64"/>
      <c r="J977" s="64"/>
      <c r="K977" s="64"/>
      <c r="L977" s="64"/>
      <c r="M977" s="64"/>
      <c r="N977" s="64"/>
      <c r="O977" s="64"/>
      <c r="P977" s="64"/>
      <c r="Q977" s="64"/>
      <c r="R977" s="64"/>
      <c r="S977" s="64"/>
      <c r="T977" s="64"/>
      <c r="U977" s="64"/>
      <c r="V977" s="64"/>
      <c r="W977" s="64"/>
      <c r="X977" s="64"/>
      <c r="Y977" s="64"/>
      <c r="Z977" s="64"/>
    </row>
    <row r="978" spans="1:26" ht="12.75" customHeight="1" x14ac:dyDescent="0.25">
      <c r="A978" s="64"/>
      <c r="B978" s="64"/>
      <c r="C978" s="64"/>
      <c r="D978" s="64"/>
      <c r="E978" s="64"/>
      <c r="F978" s="64"/>
      <c r="G978" s="64"/>
      <c r="H978" s="64"/>
      <c r="I978" s="64"/>
      <c r="J978" s="64"/>
      <c r="K978" s="64"/>
      <c r="L978" s="64"/>
      <c r="M978" s="64"/>
      <c r="N978" s="64"/>
      <c r="O978" s="64"/>
      <c r="P978" s="64"/>
      <c r="Q978" s="64"/>
      <c r="R978" s="64"/>
      <c r="S978" s="64"/>
      <c r="T978" s="64"/>
      <c r="U978" s="64"/>
      <c r="V978" s="64"/>
      <c r="W978" s="64"/>
      <c r="X978" s="64"/>
      <c r="Y978" s="64"/>
      <c r="Z978" s="64"/>
    </row>
    <row r="979" spans="1:26" ht="12.75" customHeight="1" x14ac:dyDescent="0.25">
      <c r="A979" s="64"/>
      <c r="B979" s="64"/>
      <c r="C979" s="64"/>
      <c r="D979" s="64"/>
      <c r="E979" s="64"/>
      <c r="F979" s="64"/>
      <c r="G979" s="64"/>
      <c r="H979" s="64"/>
      <c r="I979" s="64"/>
      <c r="J979" s="64"/>
      <c r="K979" s="64"/>
      <c r="L979" s="64"/>
      <c r="M979" s="64"/>
      <c r="N979" s="64"/>
      <c r="O979" s="64"/>
      <c r="P979" s="64"/>
      <c r="Q979" s="64"/>
      <c r="R979" s="64"/>
      <c r="S979" s="64"/>
      <c r="T979" s="64"/>
      <c r="U979" s="64"/>
      <c r="V979" s="64"/>
      <c r="W979" s="64"/>
      <c r="X979" s="64"/>
      <c r="Y979" s="64"/>
      <c r="Z979" s="64"/>
    </row>
    <row r="980" spans="1:26" ht="12.75" customHeight="1" x14ac:dyDescent="0.25">
      <c r="A980" s="64"/>
      <c r="B980" s="64"/>
      <c r="C980" s="64"/>
      <c r="D980" s="64"/>
      <c r="E980" s="64"/>
      <c r="F980" s="64"/>
      <c r="G980" s="64"/>
      <c r="H980" s="64"/>
      <c r="I980" s="64"/>
      <c r="J980" s="64"/>
      <c r="K980" s="64"/>
      <c r="L980" s="64"/>
      <c r="M980" s="64"/>
      <c r="N980" s="64"/>
      <c r="O980" s="64"/>
      <c r="P980" s="64"/>
      <c r="Q980" s="64"/>
      <c r="R980" s="64"/>
      <c r="S980" s="64"/>
      <c r="T980" s="64"/>
      <c r="U980" s="64"/>
      <c r="V980" s="64"/>
      <c r="W980" s="64"/>
      <c r="X980" s="64"/>
      <c r="Y980" s="64"/>
      <c r="Z980" s="64"/>
    </row>
    <row r="981" spans="1:26" ht="12.75" customHeight="1" x14ac:dyDescent="0.25">
      <c r="A981" s="64"/>
      <c r="B981" s="64"/>
      <c r="C981" s="64"/>
      <c r="D981" s="64"/>
      <c r="E981" s="64"/>
      <c r="F981" s="64"/>
      <c r="G981" s="64"/>
      <c r="H981" s="64"/>
      <c r="I981" s="64"/>
      <c r="J981" s="64"/>
      <c r="K981" s="64"/>
      <c r="L981" s="64"/>
      <c r="M981" s="64"/>
      <c r="N981" s="64"/>
      <c r="O981" s="64"/>
      <c r="P981" s="64"/>
      <c r="Q981" s="64"/>
      <c r="R981" s="64"/>
      <c r="S981" s="64"/>
      <c r="T981" s="64"/>
      <c r="U981" s="64"/>
      <c r="V981" s="64"/>
      <c r="W981" s="64"/>
      <c r="X981" s="64"/>
      <c r="Y981" s="64"/>
      <c r="Z981" s="64"/>
    </row>
    <row r="982" spans="1:26" ht="12.75" customHeight="1" x14ac:dyDescent="0.25">
      <c r="A982" s="64"/>
      <c r="B982" s="64"/>
      <c r="C982" s="64"/>
      <c r="D982" s="64"/>
      <c r="E982" s="64"/>
      <c r="F982" s="64"/>
      <c r="G982" s="64"/>
      <c r="H982" s="64"/>
      <c r="I982" s="64"/>
      <c r="J982" s="64"/>
      <c r="K982" s="64"/>
      <c r="L982" s="64"/>
      <c r="M982" s="64"/>
      <c r="N982" s="64"/>
      <c r="O982" s="64"/>
      <c r="P982" s="64"/>
      <c r="Q982" s="64"/>
      <c r="R982" s="64"/>
      <c r="S982" s="64"/>
      <c r="T982" s="64"/>
      <c r="U982" s="64"/>
      <c r="V982" s="64"/>
      <c r="W982" s="64"/>
      <c r="X982" s="64"/>
      <c r="Y982" s="64"/>
      <c r="Z982" s="64"/>
    </row>
    <row r="983" spans="1:26" ht="12.75" customHeight="1" x14ac:dyDescent="0.25">
      <c r="A983" s="64"/>
      <c r="B983" s="64"/>
      <c r="C983" s="64"/>
      <c r="D983" s="64"/>
      <c r="E983" s="64"/>
      <c r="F983" s="64"/>
      <c r="G983" s="64"/>
      <c r="H983" s="64"/>
      <c r="I983" s="64"/>
      <c r="J983" s="64"/>
      <c r="K983" s="64"/>
      <c r="L983" s="64"/>
      <c r="M983" s="64"/>
      <c r="N983" s="64"/>
      <c r="O983" s="64"/>
      <c r="P983" s="64"/>
      <c r="Q983" s="64"/>
      <c r="R983" s="64"/>
      <c r="S983" s="64"/>
      <c r="T983" s="64"/>
      <c r="U983" s="64"/>
      <c r="V983" s="64"/>
      <c r="W983" s="64"/>
      <c r="X983" s="64"/>
      <c r="Y983" s="64"/>
      <c r="Z983" s="64"/>
    </row>
    <row r="984" spans="1:26" ht="12.75" customHeight="1" x14ac:dyDescent="0.25">
      <c r="A984" s="64"/>
      <c r="B984" s="64"/>
      <c r="C984" s="64"/>
      <c r="D984" s="64"/>
      <c r="E984" s="64"/>
      <c r="F984" s="64"/>
      <c r="G984" s="64"/>
      <c r="H984" s="64"/>
      <c r="I984" s="64"/>
      <c r="J984" s="64"/>
      <c r="K984" s="64"/>
      <c r="L984" s="64"/>
      <c r="M984" s="64"/>
      <c r="N984" s="64"/>
      <c r="O984" s="64"/>
      <c r="P984" s="64"/>
      <c r="Q984" s="64"/>
      <c r="R984" s="64"/>
      <c r="S984" s="64"/>
      <c r="T984" s="64"/>
      <c r="U984" s="64"/>
      <c r="V984" s="64"/>
      <c r="W984" s="64"/>
      <c r="X984" s="64"/>
      <c r="Y984" s="64"/>
      <c r="Z984" s="64"/>
    </row>
    <row r="985" spans="1:26" ht="12.75" customHeight="1" x14ac:dyDescent="0.25">
      <c r="A985" s="64"/>
      <c r="B985" s="64"/>
      <c r="C985" s="64"/>
      <c r="D985" s="64"/>
      <c r="E985" s="64"/>
      <c r="F985" s="64"/>
      <c r="G985" s="64"/>
      <c r="H985" s="64"/>
      <c r="I985" s="64"/>
      <c r="J985" s="64"/>
      <c r="K985" s="64"/>
      <c r="L985" s="64"/>
      <c r="M985" s="64"/>
      <c r="N985" s="64"/>
      <c r="O985" s="64"/>
      <c r="P985" s="64"/>
      <c r="Q985" s="64"/>
      <c r="R985" s="64"/>
      <c r="S985" s="64"/>
      <c r="T985" s="64"/>
      <c r="U985" s="64"/>
      <c r="V985" s="64"/>
      <c r="W985" s="64"/>
      <c r="X985" s="64"/>
      <c r="Y985" s="64"/>
      <c r="Z985" s="64"/>
    </row>
    <row r="986" spans="1:26" ht="12.75" customHeight="1" x14ac:dyDescent="0.25">
      <c r="A986" s="64"/>
      <c r="B986" s="64"/>
      <c r="C986" s="64"/>
      <c r="D986" s="64"/>
      <c r="E986" s="64"/>
      <c r="F986" s="64"/>
      <c r="G986" s="64"/>
      <c r="H986" s="64"/>
      <c r="I986" s="64"/>
      <c r="J986" s="64"/>
      <c r="K986" s="64"/>
      <c r="L986" s="64"/>
      <c r="M986" s="64"/>
      <c r="N986" s="64"/>
      <c r="O986" s="64"/>
      <c r="P986" s="64"/>
      <c r="Q986" s="64"/>
      <c r="R986" s="64"/>
      <c r="S986" s="64"/>
      <c r="T986" s="64"/>
      <c r="U986" s="64"/>
      <c r="V986" s="64"/>
      <c r="W986" s="64"/>
      <c r="X986" s="64"/>
      <c r="Y986" s="64"/>
      <c r="Z986" s="64"/>
    </row>
    <row r="987" spans="1:26" ht="12.75" customHeight="1" x14ac:dyDescent="0.25">
      <c r="A987" s="64"/>
      <c r="B987" s="64"/>
      <c r="C987" s="64"/>
      <c r="D987" s="64"/>
      <c r="E987" s="64"/>
      <c r="F987" s="64"/>
      <c r="G987" s="64"/>
      <c r="H987" s="64"/>
      <c r="I987" s="64"/>
      <c r="J987" s="64"/>
      <c r="K987" s="64"/>
      <c r="L987" s="64"/>
      <c r="M987" s="64"/>
      <c r="N987" s="64"/>
      <c r="O987" s="64"/>
      <c r="P987" s="64"/>
      <c r="Q987" s="64"/>
      <c r="R987" s="64"/>
      <c r="S987" s="64"/>
      <c r="T987" s="64"/>
      <c r="U987" s="64"/>
      <c r="V987" s="64"/>
      <c r="W987" s="64"/>
      <c r="X987" s="64"/>
      <c r="Y987" s="64"/>
      <c r="Z987" s="64"/>
    </row>
    <row r="988" spans="1:26" ht="12.75" customHeight="1" x14ac:dyDescent="0.25">
      <c r="A988" s="64"/>
      <c r="B988" s="64"/>
      <c r="C988" s="64"/>
      <c r="D988" s="64"/>
      <c r="E988" s="64"/>
      <c r="F988" s="64"/>
      <c r="G988" s="64"/>
      <c r="H988" s="64"/>
      <c r="I988" s="64"/>
      <c r="J988" s="64"/>
      <c r="K988" s="64"/>
      <c r="L988" s="64"/>
      <c r="M988" s="64"/>
      <c r="N988" s="64"/>
      <c r="O988" s="64"/>
      <c r="P988" s="64"/>
      <c r="Q988" s="64"/>
      <c r="R988" s="64"/>
      <c r="S988" s="64"/>
      <c r="T988" s="64"/>
      <c r="U988" s="64"/>
      <c r="V988" s="64"/>
      <c r="W988" s="64"/>
      <c r="X988" s="64"/>
      <c r="Y988" s="64"/>
      <c r="Z988" s="64"/>
    </row>
    <row r="989" spans="1:26" ht="12.75" customHeight="1" x14ac:dyDescent="0.25">
      <c r="A989" s="64"/>
      <c r="B989" s="64"/>
      <c r="C989" s="64"/>
      <c r="D989" s="64"/>
      <c r="E989" s="64"/>
      <c r="F989" s="64"/>
      <c r="G989" s="64"/>
      <c r="H989" s="64"/>
      <c r="I989" s="64"/>
      <c r="J989" s="64"/>
      <c r="K989" s="64"/>
      <c r="L989" s="64"/>
      <c r="M989" s="64"/>
      <c r="N989" s="64"/>
      <c r="O989" s="64"/>
      <c r="P989" s="64"/>
      <c r="Q989" s="64"/>
      <c r="R989" s="64"/>
      <c r="S989" s="64"/>
      <c r="T989" s="64"/>
      <c r="U989" s="64"/>
      <c r="V989" s="64"/>
      <c r="W989" s="64"/>
      <c r="X989" s="64"/>
      <c r="Y989" s="64"/>
      <c r="Z989" s="64"/>
    </row>
    <row r="990" spans="1:26" ht="12.75" customHeight="1" x14ac:dyDescent="0.25">
      <c r="A990" s="64"/>
      <c r="B990" s="64"/>
      <c r="C990" s="64"/>
      <c r="D990" s="64"/>
      <c r="E990" s="64"/>
      <c r="F990" s="64"/>
      <c r="G990" s="64"/>
      <c r="H990" s="64"/>
      <c r="I990" s="64"/>
      <c r="J990" s="64"/>
      <c r="K990" s="64"/>
      <c r="L990" s="64"/>
      <c r="M990" s="64"/>
      <c r="N990" s="64"/>
      <c r="O990" s="64"/>
      <c r="P990" s="64"/>
      <c r="Q990" s="64"/>
      <c r="R990" s="64"/>
      <c r="S990" s="64"/>
      <c r="T990" s="64"/>
      <c r="U990" s="64"/>
      <c r="V990" s="64"/>
      <c r="W990" s="64"/>
      <c r="X990" s="64"/>
      <c r="Y990" s="64"/>
      <c r="Z990" s="64"/>
    </row>
    <row r="991" spans="1:26" ht="12.75" customHeight="1" x14ac:dyDescent="0.25">
      <c r="A991" s="64"/>
      <c r="B991" s="64"/>
      <c r="C991" s="64"/>
      <c r="D991" s="64"/>
      <c r="E991" s="64"/>
      <c r="F991" s="64"/>
      <c r="G991" s="64"/>
      <c r="H991" s="64"/>
      <c r="I991" s="64"/>
      <c r="J991" s="64"/>
      <c r="K991" s="64"/>
      <c r="L991" s="64"/>
      <c r="M991" s="64"/>
      <c r="N991" s="64"/>
      <c r="O991" s="64"/>
      <c r="P991" s="64"/>
      <c r="Q991" s="64"/>
      <c r="R991" s="64"/>
      <c r="S991" s="64"/>
      <c r="T991" s="64"/>
      <c r="U991" s="64"/>
      <c r="V991" s="64"/>
      <c r="W991" s="64"/>
      <c r="X991" s="64"/>
      <c r="Y991" s="64"/>
      <c r="Z991" s="64"/>
    </row>
    <row r="992" spans="1:26" ht="12.75" customHeight="1" x14ac:dyDescent="0.25">
      <c r="A992" s="64"/>
      <c r="B992" s="64"/>
      <c r="C992" s="64"/>
      <c r="D992" s="64"/>
      <c r="E992" s="64"/>
      <c r="F992" s="64"/>
      <c r="G992" s="64"/>
      <c r="H992" s="64"/>
      <c r="I992" s="64"/>
      <c r="J992" s="64"/>
      <c r="K992" s="64"/>
      <c r="L992" s="64"/>
      <c r="M992" s="64"/>
      <c r="N992" s="64"/>
      <c r="O992" s="64"/>
      <c r="P992" s="64"/>
      <c r="Q992" s="64"/>
      <c r="R992" s="64"/>
      <c r="S992" s="64"/>
      <c r="T992" s="64"/>
      <c r="U992" s="64"/>
      <c r="V992" s="64"/>
      <c r="W992" s="64"/>
      <c r="X992" s="64"/>
      <c r="Y992" s="64"/>
      <c r="Z992" s="64"/>
    </row>
    <row r="993" spans="1:26" ht="12.75" customHeight="1" x14ac:dyDescent="0.25">
      <c r="A993" s="64"/>
      <c r="B993" s="64"/>
      <c r="C993" s="64"/>
      <c r="D993" s="64"/>
      <c r="E993" s="64"/>
      <c r="F993" s="64"/>
      <c r="G993" s="64"/>
      <c r="H993" s="64"/>
      <c r="I993" s="64"/>
      <c r="J993" s="64"/>
      <c r="K993" s="64"/>
      <c r="L993" s="64"/>
      <c r="M993" s="64"/>
      <c r="N993" s="64"/>
      <c r="O993" s="64"/>
      <c r="P993" s="64"/>
      <c r="Q993" s="64"/>
      <c r="R993" s="64"/>
      <c r="S993" s="64"/>
      <c r="T993" s="64"/>
      <c r="U993" s="64"/>
      <c r="V993" s="64"/>
      <c r="W993" s="64"/>
      <c r="X993" s="64"/>
      <c r="Y993" s="64"/>
      <c r="Z993" s="64"/>
    </row>
    <row r="994" spans="1:26" ht="12.75" customHeight="1" x14ac:dyDescent="0.25">
      <c r="A994" s="64"/>
      <c r="B994" s="64"/>
      <c r="C994" s="64"/>
      <c r="D994" s="64"/>
      <c r="E994" s="64"/>
      <c r="F994" s="64"/>
      <c r="G994" s="64"/>
      <c r="H994" s="64"/>
      <c r="I994" s="64"/>
      <c r="J994" s="64"/>
      <c r="K994" s="64"/>
      <c r="L994" s="64"/>
      <c r="M994" s="64"/>
      <c r="N994" s="64"/>
      <c r="O994" s="64"/>
      <c r="P994" s="64"/>
      <c r="Q994" s="64"/>
      <c r="R994" s="64"/>
      <c r="S994" s="64"/>
      <c r="T994" s="64"/>
      <c r="U994" s="64"/>
      <c r="V994" s="64"/>
      <c r="W994" s="64"/>
      <c r="X994" s="64"/>
      <c r="Y994" s="64"/>
      <c r="Z994" s="64"/>
    </row>
    <row r="995" spans="1:26" ht="12.75" customHeight="1" x14ac:dyDescent="0.25">
      <c r="A995" s="64"/>
      <c r="B995" s="64"/>
      <c r="C995" s="64"/>
      <c r="D995" s="64"/>
      <c r="E995" s="64"/>
      <c r="F995" s="64"/>
      <c r="G995" s="64"/>
      <c r="H995" s="64"/>
      <c r="I995" s="64"/>
      <c r="J995" s="64"/>
      <c r="K995" s="64"/>
      <c r="L995" s="64"/>
      <c r="M995" s="64"/>
      <c r="N995" s="64"/>
      <c r="O995" s="64"/>
      <c r="P995" s="64"/>
      <c r="Q995" s="64"/>
      <c r="R995" s="64"/>
      <c r="S995" s="64"/>
      <c r="T995" s="64"/>
      <c r="U995" s="64"/>
      <c r="V995" s="64"/>
      <c r="W995" s="64"/>
      <c r="X995" s="64"/>
      <c r="Y995" s="64"/>
      <c r="Z995" s="64"/>
    </row>
    <row r="996" spans="1:26" ht="12.75" customHeight="1" x14ac:dyDescent="0.25">
      <c r="A996" s="64"/>
      <c r="B996" s="64"/>
      <c r="C996" s="64"/>
      <c r="D996" s="64"/>
      <c r="E996" s="64"/>
      <c r="F996" s="64"/>
      <c r="G996" s="64"/>
      <c r="H996" s="64"/>
      <c r="I996" s="64"/>
      <c r="J996" s="64"/>
      <c r="K996" s="64"/>
      <c r="L996" s="64"/>
      <c r="M996" s="64"/>
      <c r="N996" s="64"/>
      <c r="O996" s="64"/>
      <c r="P996" s="64"/>
      <c r="Q996" s="64"/>
      <c r="R996" s="64"/>
      <c r="S996" s="64"/>
      <c r="T996" s="64"/>
      <c r="U996" s="64"/>
      <c r="V996" s="64"/>
      <c r="W996" s="64"/>
      <c r="X996" s="64"/>
      <c r="Y996" s="64"/>
      <c r="Z996" s="64"/>
    </row>
    <row r="997" spans="1:26" ht="12.75" customHeight="1" x14ac:dyDescent="0.25">
      <c r="A997" s="64"/>
      <c r="B997" s="64"/>
      <c r="C997" s="64"/>
      <c r="D997" s="64"/>
      <c r="E997" s="64"/>
      <c r="F997" s="64"/>
      <c r="G997" s="64"/>
      <c r="H997" s="64"/>
      <c r="I997" s="64"/>
      <c r="J997" s="64"/>
      <c r="K997" s="64"/>
      <c r="L997" s="64"/>
      <c r="M997" s="64"/>
      <c r="N997" s="64"/>
      <c r="O997" s="64"/>
      <c r="P997" s="64"/>
      <c r="Q997" s="64"/>
      <c r="R997" s="64"/>
      <c r="S997" s="64"/>
      <c r="T997" s="64"/>
      <c r="U997" s="64"/>
      <c r="V997" s="64"/>
      <c r="W997" s="64"/>
      <c r="X997" s="64"/>
      <c r="Y997" s="64"/>
      <c r="Z997" s="64"/>
    </row>
    <row r="998" spans="1:26" ht="12.75" customHeight="1" x14ac:dyDescent="0.25">
      <c r="A998" s="64"/>
      <c r="B998" s="64"/>
      <c r="C998" s="64"/>
      <c r="D998" s="64"/>
      <c r="E998" s="64"/>
      <c r="F998" s="64"/>
      <c r="G998" s="64"/>
      <c r="H998" s="64"/>
      <c r="I998" s="64"/>
      <c r="J998" s="64"/>
      <c r="K998" s="64"/>
      <c r="L998" s="64"/>
      <c r="M998" s="64"/>
      <c r="N998" s="64"/>
      <c r="O998" s="64"/>
      <c r="P998" s="64"/>
      <c r="Q998" s="64"/>
      <c r="R998" s="64"/>
      <c r="S998" s="64"/>
      <c r="T998" s="64"/>
      <c r="U998" s="64"/>
      <c r="V998" s="64"/>
      <c r="W998" s="64"/>
      <c r="X998" s="64"/>
      <c r="Y998" s="64"/>
      <c r="Z998" s="64"/>
    </row>
    <row r="999" spans="1:26" ht="12.75" customHeight="1" x14ac:dyDescent="0.25">
      <c r="A999" s="64"/>
      <c r="B999" s="64"/>
      <c r="C999" s="64"/>
      <c r="D999" s="64"/>
      <c r="E999" s="64"/>
      <c r="F999" s="64"/>
      <c r="G999" s="64"/>
      <c r="H999" s="64"/>
      <c r="I999" s="64"/>
      <c r="J999" s="64"/>
      <c r="K999" s="64"/>
      <c r="L999" s="64"/>
      <c r="M999" s="64"/>
      <c r="N999" s="64"/>
      <c r="O999" s="64"/>
      <c r="P999" s="64"/>
      <c r="Q999" s="64"/>
      <c r="R999" s="64"/>
      <c r="S999" s="64"/>
      <c r="T999" s="64"/>
      <c r="U999" s="64"/>
      <c r="V999" s="64"/>
      <c r="W999" s="64"/>
      <c r="X999" s="64"/>
      <c r="Y999" s="64"/>
      <c r="Z999" s="64"/>
    </row>
    <row r="1000" spans="1:26" ht="12.75" customHeight="1" x14ac:dyDescent="0.25">
      <c r="A1000" s="64"/>
      <c r="B1000" s="64"/>
      <c r="C1000" s="64"/>
      <c r="D1000" s="64"/>
      <c r="E1000" s="64"/>
      <c r="F1000" s="64"/>
      <c r="G1000" s="64"/>
      <c r="H1000" s="64"/>
      <c r="I1000" s="64"/>
      <c r="J1000" s="64"/>
      <c r="K1000" s="64"/>
      <c r="L1000" s="64"/>
      <c r="M1000" s="64"/>
      <c r="N1000" s="64"/>
      <c r="O1000" s="64"/>
      <c r="P1000" s="64"/>
      <c r="Q1000" s="64"/>
      <c r="R1000" s="64"/>
      <c r="S1000" s="64"/>
      <c r="T1000" s="64"/>
      <c r="U1000" s="64"/>
      <c r="V1000" s="64"/>
      <c r="W1000" s="64"/>
      <c r="X1000" s="64"/>
      <c r="Y1000" s="64"/>
      <c r="Z1000" s="64"/>
    </row>
  </sheetData>
  <pageMargins left="0.7" right="0.7" top="0.78740157499999996" bottom="0.78740157499999996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8</vt:i4>
      </vt:variant>
    </vt:vector>
  </HeadingPairs>
  <TitlesOfParts>
    <vt:vector size="8" baseType="lpstr">
      <vt:lpstr>Rohdaten</vt:lpstr>
      <vt:lpstr>Zusammenfassung Tag1</vt:lpstr>
      <vt:lpstr>Zusammenfassung Tag2</vt:lpstr>
      <vt:lpstr>Zusammenfassung Tag1-2</vt:lpstr>
      <vt:lpstr>Zusammenfassung Tag3</vt:lpstr>
      <vt:lpstr>Zusammenfassung Tag1-3</vt:lpstr>
      <vt:lpstr>Zusammenfassung Tag4</vt:lpstr>
      <vt:lpstr>Zusammenfassung Tag1-4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Manuel Hartmann</cp:lastModifiedBy>
  <dcterms:modified xsi:type="dcterms:W3CDTF">2026-07-15T16:50:40Z</dcterms:modified>
</cp:coreProperties>
</file>