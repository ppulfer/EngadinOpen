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manuel.hartmann.ILUAG\Desktop\Privat\16_Diverses\Sport\Golfstats\2023\"/>
    </mc:Choice>
  </mc:AlternateContent>
  <xr:revisionPtr revIDLastSave="0" documentId="13_ncr:1_{CA27ED8F-52AB-400C-AA6C-D106586CB466}" xr6:coauthVersionLast="47" xr6:coauthVersionMax="47" xr10:uidLastSave="{00000000-0000-0000-0000-000000000000}"/>
  <bookViews>
    <workbookView xWindow="-108" yWindow="-108" windowWidth="23256" windowHeight="12576" firstSheet="5" activeTab="7" xr2:uid="{00000000-000D-0000-FFFF-FFFF00000000}"/>
  </bookViews>
  <sheets>
    <sheet name="Rohdaten" sheetId="1" r:id="rId1"/>
    <sheet name="Zusammenfassung Tag1" sheetId="4" r:id="rId2"/>
    <sheet name="Zusammenfassung Tag2" sheetId="6" r:id="rId3"/>
    <sheet name="Zusammenfassung Tag1-2" sheetId="5" r:id="rId4"/>
    <sheet name="Zusammenfassung Tag3" sheetId="7" r:id="rId5"/>
    <sheet name="Zusammenfassung Tag1-3" sheetId="8" r:id="rId6"/>
    <sheet name="Zusammenfassung Tag4" sheetId="9" r:id="rId7"/>
    <sheet name="Zusammenfassung Tag1-4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0" i="3" l="1" a="1"/>
  <c r="B50" i="3" s="1"/>
  <c r="B49" i="3" a="1"/>
  <c r="B49" i="3" s="1"/>
  <c r="A50" i="3"/>
  <c r="A49" i="3"/>
  <c r="A50" i="5"/>
  <c r="A49" i="5"/>
  <c r="A50" i="8"/>
  <c r="A49" i="8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5" i="3"/>
  <c r="J4" i="3"/>
  <c r="J25" i="3" s="1"/>
  <c r="J3" i="3"/>
  <c r="J24" i="3" s="1"/>
  <c r="J27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5" i="9"/>
  <c r="J4" i="9"/>
  <c r="J3" i="9"/>
  <c r="J6" i="9" s="1"/>
  <c r="GG69" i="1"/>
  <c r="I18" i="5"/>
  <c r="DW45" i="1"/>
  <c r="IO83" i="1"/>
  <c r="IM83" i="1"/>
  <c r="HK83" i="1"/>
  <c r="HI83" i="1"/>
  <c r="GG83" i="1"/>
  <c r="GE83" i="1"/>
  <c r="FC83" i="1"/>
  <c r="FA83" i="1"/>
  <c r="IO59" i="1"/>
  <c r="J11" i="7" s="1"/>
  <c r="IM59" i="1"/>
  <c r="J4" i="7" s="1"/>
  <c r="HK59" i="1"/>
  <c r="HI59" i="1"/>
  <c r="GG59" i="1"/>
  <c r="GE59" i="1"/>
  <c r="FC59" i="1"/>
  <c r="FA59" i="1"/>
  <c r="IO35" i="1"/>
  <c r="J11" i="6" s="1"/>
  <c r="IM35" i="1"/>
  <c r="J4" i="6" s="1"/>
  <c r="HK35" i="1"/>
  <c r="HI35" i="1"/>
  <c r="GG35" i="1"/>
  <c r="GE35" i="1"/>
  <c r="FC35" i="1"/>
  <c r="FA35" i="1"/>
  <c r="I18" i="4"/>
  <c r="G18" i="4"/>
  <c r="HK12" i="1"/>
  <c r="HI12" i="1"/>
  <c r="GG12" i="1"/>
  <c r="GE12" i="1"/>
  <c r="FC12" i="1"/>
  <c r="FA12" i="1"/>
  <c r="IO12" i="1"/>
  <c r="IM12" i="1"/>
  <c r="J4" i="4" s="1"/>
  <c r="AL3" i="1"/>
  <c r="AL4" i="1" s="1"/>
  <c r="AL5" i="1" s="1"/>
  <c r="AL6" i="1" s="1"/>
  <c r="AL7" i="1" s="1"/>
  <c r="AL8" i="1" s="1"/>
  <c r="AL9" i="1" s="1"/>
  <c r="AL10" i="1" s="1"/>
  <c r="AL11" i="1" s="1"/>
  <c r="AL13" i="1" s="1"/>
  <c r="AL14" i="1" s="1"/>
  <c r="AL15" i="1" s="1"/>
  <c r="AL16" i="1" s="1"/>
  <c r="AL17" i="1" s="1"/>
  <c r="AL18" i="1" s="1"/>
  <c r="AL19" i="1" s="1"/>
  <c r="AL20" i="1" s="1"/>
  <c r="AL21" i="1" s="1"/>
  <c r="BP3" i="1"/>
  <c r="BP4" i="1" s="1"/>
  <c r="BP5" i="1" s="1"/>
  <c r="BP6" i="1" s="1"/>
  <c r="BP7" i="1" s="1"/>
  <c r="BP8" i="1" s="1"/>
  <c r="BP9" i="1" s="1"/>
  <c r="BP10" i="1" s="1"/>
  <c r="BP11" i="1" s="1"/>
  <c r="J11" i="4"/>
  <c r="A45" i="4"/>
  <c r="A44" i="4"/>
  <c r="A43" i="4"/>
  <c r="A42" i="4"/>
  <c r="A41" i="4"/>
  <c r="A40" i="4"/>
  <c r="A39" i="4"/>
  <c r="A38" i="4"/>
  <c r="A37" i="4"/>
  <c r="A36" i="4"/>
  <c r="A34" i="4"/>
  <c r="A35" i="4"/>
  <c r="A32" i="4"/>
  <c r="A31" i="4"/>
  <c r="A48" i="4"/>
  <c r="A47" i="4"/>
  <c r="A46" i="4"/>
  <c r="A65" i="3"/>
  <c r="A64" i="3"/>
  <c r="A63" i="3"/>
  <c r="A62" i="3"/>
  <c r="A61" i="3"/>
  <c r="A60" i="3"/>
  <c r="A59" i="3"/>
  <c r="A58" i="3"/>
  <c r="A57" i="3"/>
  <c r="A56" i="3"/>
  <c r="A55" i="3"/>
  <c r="A52" i="3"/>
  <c r="A54" i="3"/>
  <c r="A53" i="3"/>
  <c r="A51" i="3"/>
  <c r="A48" i="3"/>
  <c r="A47" i="3"/>
  <c r="A46" i="3"/>
  <c r="A65" i="8"/>
  <c r="A64" i="8"/>
  <c r="A63" i="8"/>
  <c r="A62" i="8"/>
  <c r="A61" i="8"/>
  <c r="A60" i="8"/>
  <c r="A59" i="8"/>
  <c r="A58" i="8"/>
  <c r="A57" i="8"/>
  <c r="A56" i="8"/>
  <c r="A55" i="8"/>
  <c r="A52" i="8"/>
  <c r="A54" i="8"/>
  <c r="A53" i="8"/>
  <c r="A51" i="8"/>
  <c r="A48" i="8"/>
  <c r="A47" i="8"/>
  <c r="A46" i="8"/>
  <c r="A62" i="5"/>
  <c r="A63" i="5"/>
  <c r="A64" i="5"/>
  <c r="A65" i="5"/>
  <c r="A55" i="5"/>
  <c r="A56" i="5"/>
  <c r="A57" i="5"/>
  <c r="A58" i="5"/>
  <c r="A59" i="5"/>
  <c r="A60" i="5"/>
  <c r="A61" i="5"/>
  <c r="A54" i="5"/>
  <c r="A53" i="5"/>
  <c r="A52" i="5"/>
  <c r="A51" i="5"/>
  <c r="A48" i="5"/>
  <c r="A47" i="5"/>
  <c r="A46" i="5"/>
  <c r="I4" i="6" l="1"/>
  <c r="FA93" i="1"/>
  <c r="JH52" i="1"/>
  <c r="CT3" i="1"/>
  <c r="CT4" i="1" s="1"/>
  <c r="CT5" i="1" s="1"/>
  <c r="CT6" i="1" s="1"/>
  <c r="CT7" i="1" s="1"/>
  <c r="CT8" i="1" s="1"/>
  <c r="CT9" i="1" s="1"/>
  <c r="CT10" i="1" s="1"/>
  <c r="CT11" i="1" s="1"/>
  <c r="CT13" i="1" s="1"/>
  <c r="CT14" i="1" s="1"/>
  <c r="CT15" i="1" s="1"/>
  <c r="CT16" i="1" s="1"/>
  <c r="CT17" i="1" s="1"/>
  <c r="CT18" i="1" s="1"/>
  <c r="CT19" i="1" s="1"/>
  <c r="CT20" i="1" s="1"/>
  <c r="CT21" i="1" s="1"/>
  <c r="CT26" i="1" s="1"/>
  <c r="CT27" i="1" s="1"/>
  <c r="CT28" i="1" s="1"/>
  <c r="CT29" i="1" s="1"/>
  <c r="CT30" i="1" s="1"/>
  <c r="CT31" i="1" s="1"/>
  <c r="CT32" i="1" s="1"/>
  <c r="CT33" i="1" s="1"/>
  <c r="CT34" i="1" s="1"/>
  <c r="CT36" i="1" s="1"/>
  <c r="CT37" i="1" s="1"/>
  <c r="CT38" i="1" s="1"/>
  <c r="CT39" i="1" s="1"/>
  <c r="CT40" i="1" s="1"/>
  <c r="CT41" i="1" s="1"/>
  <c r="CT42" i="1" s="1"/>
  <c r="CT43" i="1" s="1"/>
  <c r="CT44" i="1" s="1"/>
  <c r="CT50" i="1" s="1"/>
  <c r="CT51" i="1" s="1"/>
  <c r="CT52" i="1" s="1"/>
  <c r="CT53" i="1" s="1"/>
  <c r="CT54" i="1" s="1"/>
  <c r="CT55" i="1" s="1"/>
  <c r="CT56" i="1" s="1"/>
  <c r="CT57" i="1" s="1"/>
  <c r="CT58" i="1" s="1"/>
  <c r="CT60" i="1" s="1"/>
  <c r="CT61" i="1" s="1"/>
  <c r="CT62" i="1" s="1"/>
  <c r="CT63" i="1" s="1"/>
  <c r="CT64" i="1" s="1"/>
  <c r="CT65" i="1" s="1"/>
  <c r="CT66" i="1" s="1"/>
  <c r="CT67" i="1" s="1"/>
  <c r="CT68" i="1" s="1"/>
  <c r="CT74" i="1" s="1"/>
  <c r="CT75" i="1" s="1"/>
  <c r="CT76" i="1" s="1"/>
  <c r="CT77" i="1" s="1"/>
  <c r="CT78" i="1" s="1"/>
  <c r="CT79" i="1" s="1"/>
  <c r="CT80" i="1" s="1"/>
  <c r="CT81" i="1" s="1"/>
  <c r="CT82" i="1" s="1"/>
  <c r="CT84" i="1" s="1"/>
  <c r="CT85" i="1" s="1"/>
  <c r="CT86" i="1" s="1"/>
  <c r="CT87" i="1" s="1"/>
  <c r="CT88" i="1" s="1"/>
  <c r="CT89" i="1" s="1"/>
  <c r="CT90" i="1" s="1"/>
  <c r="CT91" i="1" s="1"/>
  <c r="CT92" i="1" s="1"/>
  <c r="BP13" i="1"/>
  <c r="BP14" i="1" s="1"/>
  <c r="BP15" i="1" s="1"/>
  <c r="BP16" i="1" s="1"/>
  <c r="BP17" i="1" s="1"/>
  <c r="BP18" i="1" s="1"/>
  <c r="BP19" i="1" s="1"/>
  <c r="BP20" i="1" s="1"/>
  <c r="BP21" i="1" s="1"/>
  <c r="BP26" i="1" s="1"/>
  <c r="BP27" i="1" s="1"/>
  <c r="BP28" i="1" s="1"/>
  <c r="BP29" i="1" s="1"/>
  <c r="BP30" i="1" s="1"/>
  <c r="BP31" i="1" s="1"/>
  <c r="BP32" i="1" s="1"/>
  <c r="BP33" i="1" s="1"/>
  <c r="BP34" i="1" s="1"/>
  <c r="BP36" i="1" s="1"/>
  <c r="BP37" i="1" s="1"/>
  <c r="BP38" i="1" s="1"/>
  <c r="BP39" i="1" s="1"/>
  <c r="BP40" i="1" s="1"/>
  <c r="BP41" i="1" s="1"/>
  <c r="BP42" i="1" s="1"/>
  <c r="BP43" i="1" s="1"/>
  <c r="BP44" i="1" s="1"/>
  <c r="BP50" i="1" s="1"/>
  <c r="BP51" i="1" s="1"/>
  <c r="BP52" i="1" s="1"/>
  <c r="BP53" i="1" s="1"/>
  <c r="BP54" i="1" s="1"/>
  <c r="BP55" i="1" s="1"/>
  <c r="BP56" i="1" s="1"/>
  <c r="BP57" i="1" s="1"/>
  <c r="BP58" i="1" s="1"/>
  <c r="BP60" i="1" s="1"/>
  <c r="BP61" i="1" s="1"/>
  <c r="BP62" i="1" s="1"/>
  <c r="BP63" i="1" s="1"/>
  <c r="BP64" i="1" s="1"/>
  <c r="BP65" i="1" s="1"/>
  <c r="BP66" i="1" s="1"/>
  <c r="BP67" i="1" s="1"/>
  <c r="BP68" i="1" s="1"/>
  <c r="BP74" i="1" s="1"/>
  <c r="BP75" i="1" s="1"/>
  <c r="BP76" i="1" s="1"/>
  <c r="BP77" i="1" s="1"/>
  <c r="BP78" i="1" s="1"/>
  <c r="BP79" i="1" s="1"/>
  <c r="BP80" i="1" s="1"/>
  <c r="BP81" i="1" s="1"/>
  <c r="BP82" i="1" s="1"/>
  <c r="BP84" i="1" s="1"/>
  <c r="BP85" i="1" s="1"/>
  <c r="BP86" i="1" s="1"/>
  <c r="BP87" i="1" s="1"/>
  <c r="BP88" i="1" s="1"/>
  <c r="BP89" i="1" s="1"/>
  <c r="BP90" i="1" s="1"/>
  <c r="BP91" i="1" s="1"/>
  <c r="BP92" i="1" s="1"/>
  <c r="AL26" i="1"/>
  <c r="AL27" i="1" s="1"/>
  <c r="AL28" i="1" s="1"/>
  <c r="AL29" i="1" s="1"/>
  <c r="AL30" i="1" s="1"/>
  <c r="AL31" i="1" s="1"/>
  <c r="AL32" i="1" s="1"/>
  <c r="AL33" i="1" s="1"/>
  <c r="AL34" i="1" s="1"/>
  <c r="AL36" i="1" s="1"/>
  <c r="AL37" i="1" s="1"/>
  <c r="AL38" i="1" s="1"/>
  <c r="AL39" i="1" s="1"/>
  <c r="AL40" i="1" s="1"/>
  <c r="AL41" i="1" s="1"/>
  <c r="AL42" i="1" s="1"/>
  <c r="AL43" i="1" s="1"/>
  <c r="AL44" i="1" s="1"/>
  <c r="AL50" i="1" s="1"/>
  <c r="AL51" i="1" s="1"/>
  <c r="AL52" i="1" s="1"/>
  <c r="AL53" i="1" s="1"/>
  <c r="AL54" i="1" s="1"/>
  <c r="AL55" i="1" s="1"/>
  <c r="AL56" i="1" s="1"/>
  <c r="AL57" i="1" s="1"/>
  <c r="AL58" i="1" s="1"/>
  <c r="AL60" i="1" s="1"/>
  <c r="AL61" i="1" s="1"/>
  <c r="AL62" i="1" s="1"/>
  <c r="AL63" i="1" s="1"/>
  <c r="AL64" i="1" s="1"/>
  <c r="AL65" i="1" s="1"/>
  <c r="AL66" i="1" s="1"/>
  <c r="AL67" i="1" s="1"/>
  <c r="AL68" i="1" s="1"/>
  <c r="AL74" i="1" s="1"/>
  <c r="AL75" i="1" s="1"/>
  <c r="AL76" i="1" s="1"/>
  <c r="AL77" i="1" s="1"/>
  <c r="AL78" i="1" s="1"/>
  <c r="AL79" i="1" s="1"/>
  <c r="AL80" i="1" s="1"/>
  <c r="AL81" i="1" s="1"/>
  <c r="AL82" i="1" s="1"/>
  <c r="AL84" i="1" s="1"/>
  <c r="AL85" i="1" s="1"/>
  <c r="AL86" i="1" s="1"/>
  <c r="AL87" i="1" s="1"/>
  <c r="AL88" i="1" s="1"/>
  <c r="AL89" i="1" s="1"/>
  <c r="AL90" i="1" s="1"/>
  <c r="AL91" i="1" s="1"/>
  <c r="AL92" i="1" s="1"/>
  <c r="H3" i="1"/>
  <c r="H4" i="1" s="1"/>
  <c r="H5" i="1" s="1"/>
  <c r="H6" i="1" s="1"/>
  <c r="H7" i="1" s="1"/>
  <c r="H8" i="1" s="1"/>
  <c r="H9" i="1" s="1"/>
  <c r="H10" i="1" s="1"/>
  <c r="H11" i="1" s="1"/>
  <c r="H13" i="1" s="1"/>
  <c r="H14" i="1" s="1"/>
  <c r="H15" i="1" s="1"/>
  <c r="H16" i="1" s="1"/>
  <c r="H17" i="1" s="1"/>
  <c r="H18" i="1" s="1"/>
  <c r="H19" i="1" s="1"/>
  <c r="H20" i="1" s="1"/>
  <c r="H21" i="1" s="1"/>
  <c r="H26" i="1" s="1"/>
  <c r="H27" i="1" s="1"/>
  <c r="H28" i="1" s="1"/>
  <c r="H29" i="1" s="1"/>
  <c r="H30" i="1" s="1"/>
  <c r="H31" i="1" s="1"/>
  <c r="H32" i="1" s="1"/>
  <c r="H33" i="1" s="1"/>
  <c r="H34" i="1" s="1"/>
  <c r="H36" i="1" s="1"/>
  <c r="H37" i="1" s="1"/>
  <c r="H38" i="1" s="1"/>
  <c r="H39" i="1" s="1"/>
  <c r="H40" i="1" s="1"/>
  <c r="H41" i="1" s="1"/>
  <c r="H42" i="1" s="1"/>
  <c r="H43" i="1" s="1"/>
  <c r="H44" i="1" s="1"/>
  <c r="H50" i="1" s="1"/>
  <c r="H51" i="1" s="1"/>
  <c r="H52" i="1" s="1"/>
  <c r="H53" i="1" s="1"/>
  <c r="H54" i="1" s="1"/>
  <c r="H55" i="1" s="1"/>
  <c r="H56" i="1" s="1"/>
  <c r="H57" i="1" s="1"/>
  <c r="H58" i="1" s="1"/>
  <c r="H60" i="1" s="1"/>
  <c r="H61" i="1" s="1"/>
  <c r="H62" i="1" s="1"/>
  <c r="H63" i="1" s="1"/>
  <c r="H64" i="1" s="1"/>
  <c r="H65" i="1" s="1"/>
  <c r="H66" i="1" s="1"/>
  <c r="H67" i="1" s="1"/>
  <c r="H68" i="1" s="1"/>
  <c r="H74" i="1" s="1"/>
  <c r="H75" i="1" s="1"/>
  <c r="H76" i="1" s="1"/>
  <c r="H77" i="1" s="1"/>
  <c r="H78" i="1" s="1"/>
  <c r="H79" i="1" s="1"/>
  <c r="H80" i="1" s="1"/>
  <c r="H81" i="1" s="1"/>
  <c r="H82" i="1" s="1"/>
  <c r="H84" i="1" s="1"/>
  <c r="H85" i="1" s="1"/>
  <c r="H86" i="1" s="1"/>
  <c r="H87" i="1" s="1"/>
  <c r="H88" i="1" s="1"/>
  <c r="H89" i="1" s="1"/>
  <c r="H90" i="1" s="1"/>
  <c r="H91" i="1" s="1"/>
  <c r="H92" i="1" s="1"/>
  <c r="K13" i="1"/>
  <c r="P13" i="1"/>
  <c r="R13" i="1"/>
  <c r="T13" i="1"/>
  <c r="V13" i="1"/>
  <c r="X13" i="1"/>
  <c r="Z13" i="1"/>
  <c r="AB13" i="1"/>
  <c r="AD13" i="1"/>
  <c r="AG13" i="1"/>
  <c r="AI13" i="1"/>
  <c r="K14" i="1"/>
  <c r="P14" i="1"/>
  <c r="R14" i="1"/>
  <c r="T14" i="1"/>
  <c r="V14" i="1"/>
  <c r="X14" i="1"/>
  <c r="Z14" i="1"/>
  <c r="AB14" i="1"/>
  <c r="AD14" i="1"/>
  <c r="AG14" i="1"/>
  <c r="AI14" i="1"/>
  <c r="K15" i="1"/>
  <c r="P15" i="1"/>
  <c r="R15" i="1"/>
  <c r="T15" i="1"/>
  <c r="V15" i="1"/>
  <c r="X15" i="1"/>
  <c r="Z15" i="1"/>
  <c r="AB15" i="1"/>
  <c r="AD15" i="1"/>
  <c r="AG15" i="1"/>
  <c r="AI15" i="1"/>
  <c r="K16" i="1"/>
  <c r="P16" i="1"/>
  <c r="R16" i="1"/>
  <c r="T16" i="1"/>
  <c r="V16" i="1"/>
  <c r="X16" i="1"/>
  <c r="Z16" i="1"/>
  <c r="AB16" i="1"/>
  <c r="AD16" i="1"/>
  <c r="AH16" i="1"/>
  <c r="AI16" i="1"/>
  <c r="K17" i="1"/>
  <c r="P17" i="1"/>
  <c r="R17" i="1"/>
  <c r="T17" i="1"/>
  <c r="V17" i="1"/>
  <c r="X17" i="1"/>
  <c r="Z17" i="1"/>
  <c r="AB17" i="1"/>
  <c r="AD17" i="1"/>
  <c r="AF17" i="1"/>
  <c r="AI17" i="1"/>
  <c r="K18" i="1"/>
  <c r="P18" i="1"/>
  <c r="R18" i="1"/>
  <c r="T18" i="1"/>
  <c r="V18" i="1"/>
  <c r="X18" i="1"/>
  <c r="Z18" i="1"/>
  <c r="AB18" i="1"/>
  <c r="AD18" i="1"/>
  <c r="AG18" i="1"/>
  <c r="AI18" i="1"/>
  <c r="K19" i="1"/>
  <c r="P19" i="1"/>
  <c r="R19" i="1"/>
  <c r="T19" i="1"/>
  <c r="V19" i="1"/>
  <c r="X19" i="1"/>
  <c r="Z19" i="1"/>
  <c r="AB19" i="1"/>
  <c r="AD19" i="1"/>
  <c r="AF19" i="1"/>
  <c r="AI19" i="1"/>
  <c r="K20" i="1"/>
  <c r="P20" i="1"/>
  <c r="R20" i="1"/>
  <c r="T20" i="1"/>
  <c r="V20" i="1"/>
  <c r="X20" i="1"/>
  <c r="Z20" i="1"/>
  <c r="AB20" i="1"/>
  <c r="AD20" i="1"/>
  <c r="AH20" i="1"/>
  <c r="AI20" i="1"/>
  <c r="K21" i="1"/>
  <c r="P21" i="1"/>
  <c r="R21" i="1"/>
  <c r="T21" i="1"/>
  <c r="V21" i="1"/>
  <c r="X21" i="1"/>
  <c r="Z21" i="1"/>
  <c r="AB21" i="1"/>
  <c r="AD21" i="1"/>
  <c r="AG21" i="1"/>
  <c r="AI21" i="1"/>
  <c r="I18" i="6"/>
  <c r="I34" i="5"/>
  <c r="KL92" i="1"/>
  <c r="KL91" i="1"/>
  <c r="KL90" i="1"/>
  <c r="KL89" i="1"/>
  <c r="KL88" i="1"/>
  <c r="KL87" i="1"/>
  <c r="KL86" i="1"/>
  <c r="KL85" i="1"/>
  <c r="KL84" i="1"/>
  <c r="KL82" i="1"/>
  <c r="KL81" i="1"/>
  <c r="KL80" i="1"/>
  <c r="KL79" i="1"/>
  <c r="KL78" i="1"/>
  <c r="KL77" i="1"/>
  <c r="KL76" i="1"/>
  <c r="KL75" i="1"/>
  <c r="KL74" i="1"/>
  <c r="JH92" i="1"/>
  <c r="JH91" i="1"/>
  <c r="JH90" i="1"/>
  <c r="JH89" i="1"/>
  <c r="JH88" i="1"/>
  <c r="JH87" i="1"/>
  <c r="JH86" i="1"/>
  <c r="JH85" i="1"/>
  <c r="JH84" i="1"/>
  <c r="JH82" i="1"/>
  <c r="JH81" i="1"/>
  <c r="JH80" i="1"/>
  <c r="JH79" i="1"/>
  <c r="JH78" i="1"/>
  <c r="JH77" i="1"/>
  <c r="JH76" i="1"/>
  <c r="JH75" i="1"/>
  <c r="JH74" i="1"/>
  <c r="JI74" i="1" s="1"/>
  <c r="ID92" i="1"/>
  <c r="ID91" i="1"/>
  <c r="ID90" i="1"/>
  <c r="ID89" i="1"/>
  <c r="ID88" i="1"/>
  <c r="ID87" i="1"/>
  <c r="ID86" i="1"/>
  <c r="ID85" i="1"/>
  <c r="ID84" i="1"/>
  <c r="ID82" i="1"/>
  <c r="ID81" i="1"/>
  <c r="ID80" i="1"/>
  <c r="ID79" i="1"/>
  <c r="ID78" i="1"/>
  <c r="ID77" i="1"/>
  <c r="ID76" i="1"/>
  <c r="ID75" i="1"/>
  <c r="ID74" i="1"/>
  <c r="IE74" i="1" s="1"/>
  <c r="GZ92" i="1"/>
  <c r="GZ91" i="1"/>
  <c r="GZ90" i="1"/>
  <c r="GZ89" i="1"/>
  <c r="GZ88" i="1"/>
  <c r="GZ87" i="1"/>
  <c r="GZ86" i="1"/>
  <c r="GZ85" i="1"/>
  <c r="GZ84" i="1"/>
  <c r="GZ82" i="1"/>
  <c r="GZ81" i="1"/>
  <c r="GZ80" i="1"/>
  <c r="GZ79" i="1"/>
  <c r="GZ78" i="1"/>
  <c r="GZ77" i="1"/>
  <c r="GZ76" i="1"/>
  <c r="GZ75" i="1"/>
  <c r="GZ74" i="1"/>
  <c r="HA74" i="1" s="1"/>
  <c r="FV92" i="1"/>
  <c r="FV91" i="1"/>
  <c r="FV90" i="1"/>
  <c r="FV89" i="1"/>
  <c r="FV88" i="1"/>
  <c r="FV87" i="1"/>
  <c r="FV86" i="1"/>
  <c r="FV85" i="1"/>
  <c r="FV84" i="1"/>
  <c r="FV82" i="1"/>
  <c r="FV81" i="1"/>
  <c r="FV80" i="1"/>
  <c r="FV79" i="1"/>
  <c r="FV78" i="1"/>
  <c r="FV77" i="1"/>
  <c r="FV76" i="1"/>
  <c r="FV75" i="1"/>
  <c r="FV74" i="1"/>
  <c r="FW74" i="1" s="1"/>
  <c r="ER92" i="1"/>
  <c r="ER91" i="1"/>
  <c r="ER90" i="1"/>
  <c r="ER89" i="1"/>
  <c r="ER88" i="1"/>
  <c r="ER87" i="1"/>
  <c r="ER86" i="1"/>
  <c r="ER85" i="1"/>
  <c r="ER84" i="1"/>
  <c r="ER82" i="1"/>
  <c r="ER81" i="1"/>
  <c r="ER80" i="1"/>
  <c r="ER79" i="1"/>
  <c r="ER78" i="1"/>
  <c r="ER77" i="1"/>
  <c r="ER76" i="1"/>
  <c r="ER75" i="1"/>
  <c r="ER74" i="1"/>
  <c r="ES74" i="1" s="1"/>
  <c r="DN92" i="1"/>
  <c r="DN91" i="1"/>
  <c r="DN90" i="1"/>
  <c r="DN89" i="1"/>
  <c r="DN88" i="1"/>
  <c r="DN87" i="1"/>
  <c r="DN86" i="1"/>
  <c r="DN85" i="1"/>
  <c r="DN84" i="1"/>
  <c r="DN82" i="1"/>
  <c r="DN81" i="1"/>
  <c r="DN80" i="1"/>
  <c r="DN79" i="1"/>
  <c r="DN78" i="1"/>
  <c r="DN77" i="1"/>
  <c r="DN76" i="1"/>
  <c r="DN75" i="1"/>
  <c r="DN74" i="1"/>
  <c r="DO74" i="1" s="1"/>
  <c r="CJ92" i="1"/>
  <c r="CJ91" i="1"/>
  <c r="CJ90" i="1"/>
  <c r="CJ89" i="1"/>
  <c r="CJ88" i="1"/>
  <c r="CJ87" i="1"/>
  <c r="CJ86" i="1"/>
  <c r="CJ85" i="1"/>
  <c r="CJ84" i="1"/>
  <c r="CJ82" i="1"/>
  <c r="CJ81" i="1"/>
  <c r="CJ80" i="1"/>
  <c r="CJ79" i="1"/>
  <c r="CJ78" i="1"/>
  <c r="CJ77" i="1"/>
  <c r="CJ76" i="1"/>
  <c r="CJ75" i="1"/>
  <c r="CJ74" i="1"/>
  <c r="CK74" i="1" s="1"/>
  <c r="BF92" i="1"/>
  <c r="BF91" i="1"/>
  <c r="BF90" i="1"/>
  <c r="BF89" i="1"/>
  <c r="BF88" i="1"/>
  <c r="BF87" i="1"/>
  <c r="BF86" i="1"/>
  <c r="BF85" i="1"/>
  <c r="BF84" i="1"/>
  <c r="BF82" i="1"/>
  <c r="BF81" i="1"/>
  <c r="BF80" i="1"/>
  <c r="BF79" i="1"/>
  <c r="BF78" i="1"/>
  <c r="BF77" i="1"/>
  <c r="BF76" i="1"/>
  <c r="BF75" i="1"/>
  <c r="BF74" i="1"/>
  <c r="BG74" i="1" s="1"/>
  <c r="KL68" i="1"/>
  <c r="KL67" i="1"/>
  <c r="KL66" i="1"/>
  <c r="KL65" i="1"/>
  <c r="KL64" i="1"/>
  <c r="KL63" i="1"/>
  <c r="KL62" i="1"/>
  <c r="KL61" i="1"/>
  <c r="KL60" i="1"/>
  <c r="KL58" i="1"/>
  <c r="KL57" i="1"/>
  <c r="KL56" i="1"/>
  <c r="KL55" i="1"/>
  <c r="KL54" i="1"/>
  <c r="KL53" i="1"/>
  <c r="KL52" i="1"/>
  <c r="KL51" i="1"/>
  <c r="KL50" i="1"/>
  <c r="JH51" i="1"/>
  <c r="JH50" i="1"/>
  <c r="ID68" i="1"/>
  <c r="ID67" i="1"/>
  <c r="ID66" i="1"/>
  <c r="ID65" i="1"/>
  <c r="ID64" i="1"/>
  <c r="ID63" i="1"/>
  <c r="ID62" i="1"/>
  <c r="ID61" i="1"/>
  <c r="ID60" i="1"/>
  <c r="ID58" i="1"/>
  <c r="ID57" i="1"/>
  <c r="ID56" i="1"/>
  <c r="ID55" i="1"/>
  <c r="ID54" i="1"/>
  <c r="ID53" i="1"/>
  <c r="ID52" i="1"/>
  <c r="ID51" i="1"/>
  <c r="ID50" i="1"/>
  <c r="GZ68" i="1"/>
  <c r="GZ67" i="1"/>
  <c r="GZ66" i="1"/>
  <c r="GZ65" i="1"/>
  <c r="GZ64" i="1"/>
  <c r="GZ63" i="1"/>
  <c r="GZ62" i="1"/>
  <c r="GZ61" i="1"/>
  <c r="GZ60" i="1"/>
  <c r="GZ58" i="1"/>
  <c r="GZ57" i="1"/>
  <c r="GZ56" i="1"/>
  <c r="GZ55" i="1"/>
  <c r="GZ54" i="1"/>
  <c r="GZ53" i="1"/>
  <c r="GZ52" i="1"/>
  <c r="GZ51" i="1"/>
  <c r="GZ50" i="1"/>
  <c r="FV68" i="1"/>
  <c r="FV67" i="1"/>
  <c r="FV66" i="1"/>
  <c r="FV65" i="1"/>
  <c r="FV64" i="1"/>
  <c r="FV63" i="1"/>
  <c r="FV62" i="1"/>
  <c r="FV61" i="1"/>
  <c r="FV60" i="1"/>
  <c r="FV58" i="1"/>
  <c r="FV57" i="1"/>
  <c r="FV56" i="1"/>
  <c r="FV55" i="1"/>
  <c r="FV54" i="1"/>
  <c r="FV53" i="1"/>
  <c r="FV52" i="1"/>
  <c r="FV51" i="1"/>
  <c r="FV50" i="1"/>
  <c r="FW50" i="1" s="1"/>
  <c r="ER68" i="1"/>
  <c r="ER67" i="1"/>
  <c r="ER66" i="1"/>
  <c r="ER65" i="1"/>
  <c r="ER64" i="1"/>
  <c r="ER63" i="1"/>
  <c r="ER62" i="1"/>
  <c r="ER61" i="1"/>
  <c r="ER60" i="1"/>
  <c r="ER58" i="1"/>
  <c r="ER57" i="1"/>
  <c r="ER56" i="1"/>
  <c r="ER55" i="1"/>
  <c r="ER54" i="1"/>
  <c r="ER53" i="1"/>
  <c r="ER52" i="1"/>
  <c r="ER51" i="1"/>
  <c r="ER50" i="1"/>
  <c r="DN68" i="1"/>
  <c r="DN67" i="1"/>
  <c r="DN66" i="1"/>
  <c r="DN65" i="1"/>
  <c r="DN64" i="1"/>
  <c r="DN63" i="1"/>
  <c r="DN62" i="1"/>
  <c r="DN61" i="1"/>
  <c r="DN60" i="1"/>
  <c r="DN58" i="1"/>
  <c r="DN57" i="1"/>
  <c r="DN56" i="1"/>
  <c r="DN55" i="1"/>
  <c r="DN54" i="1"/>
  <c r="DN53" i="1"/>
  <c r="DN52" i="1"/>
  <c r="DN51" i="1"/>
  <c r="DN50" i="1"/>
  <c r="DO50" i="1" s="1"/>
  <c r="CJ68" i="1"/>
  <c r="CJ67" i="1"/>
  <c r="CJ66" i="1"/>
  <c r="CJ65" i="1"/>
  <c r="CJ64" i="1"/>
  <c r="CJ63" i="1"/>
  <c r="CJ62" i="1"/>
  <c r="CJ61" i="1"/>
  <c r="CJ60" i="1"/>
  <c r="CJ58" i="1"/>
  <c r="CJ57" i="1"/>
  <c r="CJ56" i="1"/>
  <c r="CJ55" i="1"/>
  <c r="CJ54" i="1"/>
  <c r="CJ53" i="1"/>
  <c r="CJ52" i="1"/>
  <c r="CJ51" i="1"/>
  <c r="CJ50" i="1"/>
  <c r="CK50" i="1" s="1"/>
  <c r="BF68" i="1"/>
  <c r="BF67" i="1"/>
  <c r="BF66" i="1"/>
  <c r="BF65" i="1"/>
  <c r="BF64" i="1"/>
  <c r="BF63" i="1"/>
  <c r="BF62" i="1"/>
  <c r="BF61" i="1"/>
  <c r="BF60" i="1"/>
  <c r="BF58" i="1"/>
  <c r="BF57" i="1"/>
  <c r="BF56" i="1"/>
  <c r="BF55" i="1"/>
  <c r="BF54" i="1"/>
  <c r="BF53" i="1"/>
  <c r="BF52" i="1"/>
  <c r="BF51" i="1"/>
  <c r="BF50" i="1"/>
  <c r="KL44" i="1"/>
  <c r="KL43" i="1"/>
  <c r="KL42" i="1"/>
  <c r="KL41" i="1"/>
  <c r="KL40" i="1"/>
  <c r="KL39" i="1"/>
  <c r="KL38" i="1"/>
  <c r="KL37" i="1"/>
  <c r="KL36" i="1"/>
  <c r="KL34" i="1"/>
  <c r="KL33" i="1"/>
  <c r="KL32" i="1"/>
  <c r="KL31" i="1"/>
  <c r="KL30" i="1"/>
  <c r="KL29" i="1"/>
  <c r="KL28" i="1"/>
  <c r="KL27" i="1"/>
  <c r="KL26" i="1"/>
  <c r="JH44" i="1"/>
  <c r="JH43" i="1"/>
  <c r="JH42" i="1"/>
  <c r="JH41" i="1"/>
  <c r="JH40" i="1"/>
  <c r="JH39" i="1"/>
  <c r="JH38" i="1"/>
  <c r="JH37" i="1"/>
  <c r="JH36" i="1"/>
  <c r="JH34" i="1"/>
  <c r="JH33" i="1"/>
  <c r="JH32" i="1"/>
  <c r="JH31" i="1"/>
  <c r="JH30" i="1"/>
  <c r="JH29" i="1"/>
  <c r="JH28" i="1"/>
  <c r="JH27" i="1"/>
  <c r="JH26" i="1"/>
  <c r="JI26" i="1" s="1"/>
  <c r="ID44" i="1"/>
  <c r="ID43" i="1"/>
  <c r="ID42" i="1"/>
  <c r="ID41" i="1"/>
  <c r="ID40" i="1"/>
  <c r="ID39" i="1"/>
  <c r="ID38" i="1"/>
  <c r="ID37" i="1"/>
  <c r="ID36" i="1"/>
  <c r="ID34" i="1"/>
  <c r="ID33" i="1"/>
  <c r="ID32" i="1"/>
  <c r="ID31" i="1"/>
  <c r="ID30" i="1"/>
  <c r="ID29" i="1"/>
  <c r="ID28" i="1"/>
  <c r="ID27" i="1"/>
  <c r="ID26" i="1"/>
  <c r="GZ44" i="1"/>
  <c r="GZ43" i="1"/>
  <c r="GZ42" i="1"/>
  <c r="GZ41" i="1"/>
  <c r="GZ40" i="1"/>
  <c r="GZ39" i="1"/>
  <c r="GZ38" i="1"/>
  <c r="GZ37" i="1"/>
  <c r="GZ36" i="1"/>
  <c r="GZ34" i="1"/>
  <c r="GZ33" i="1"/>
  <c r="GZ32" i="1"/>
  <c r="GZ31" i="1"/>
  <c r="GZ30" i="1"/>
  <c r="GZ29" i="1"/>
  <c r="GZ28" i="1"/>
  <c r="GZ27" i="1"/>
  <c r="GZ26" i="1"/>
  <c r="HA26" i="1" s="1"/>
  <c r="FV44" i="1"/>
  <c r="FV43" i="1"/>
  <c r="FV42" i="1"/>
  <c r="FV41" i="1"/>
  <c r="FV40" i="1"/>
  <c r="FV39" i="1"/>
  <c r="FV38" i="1"/>
  <c r="FV37" i="1"/>
  <c r="FV36" i="1"/>
  <c r="FV34" i="1"/>
  <c r="FV33" i="1"/>
  <c r="FV32" i="1"/>
  <c r="FV31" i="1"/>
  <c r="FV30" i="1"/>
  <c r="FV29" i="1"/>
  <c r="FV28" i="1"/>
  <c r="FV27" i="1"/>
  <c r="FV26" i="1"/>
  <c r="ER44" i="1"/>
  <c r="ER43" i="1"/>
  <c r="ER42" i="1"/>
  <c r="ER41" i="1"/>
  <c r="ER40" i="1"/>
  <c r="ER39" i="1"/>
  <c r="ER38" i="1"/>
  <c r="ER37" i="1"/>
  <c r="ER36" i="1"/>
  <c r="ER34" i="1"/>
  <c r="ER33" i="1"/>
  <c r="ER32" i="1"/>
  <c r="ER31" i="1"/>
  <c r="ER30" i="1"/>
  <c r="ER29" i="1"/>
  <c r="ER28" i="1"/>
  <c r="ER27" i="1"/>
  <c r="ER26" i="1"/>
  <c r="ES26" i="1" s="1"/>
  <c r="DN44" i="1"/>
  <c r="DN43" i="1"/>
  <c r="DN42" i="1"/>
  <c r="DN41" i="1"/>
  <c r="DN40" i="1"/>
  <c r="DN39" i="1"/>
  <c r="DN38" i="1"/>
  <c r="DN37" i="1"/>
  <c r="DN36" i="1"/>
  <c r="DN34" i="1"/>
  <c r="DN33" i="1"/>
  <c r="DN32" i="1"/>
  <c r="DN31" i="1"/>
  <c r="DN30" i="1"/>
  <c r="DN29" i="1"/>
  <c r="DN28" i="1"/>
  <c r="DN27" i="1"/>
  <c r="DN26" i="1"/>
  <c r="DO26" i="1" s="1"/>
  <c r="CJ44" i="1"/>
  <c r="CJ43" i="1"/>
  <c r="CJ42" i="1"/>
  <c r="CJ41" i="1"/>
  <c r="CJ40" i="1"/>
  <c r="CJ39" i="1"/>
  <c r="CJ38" i="1"/>
  <c r="CJ37" i="1"/>
  <c r="CJ36" i="1"/>
  <c r="CJ34" i="1"/>
  <c r="CJ33" i="1"/>
  <c r="CJ32" i="1"/>
  <c r="CJ31" i="1"/>
  <c r="CJ30" i="1"/>
  <c r="CJ29" i="1"/>
  <c r="CJ28" i="1"/>
  <c r="CJ27" i="1"/>
  <c r="CJ26" i="1"/>
  <c r="CK26" i="1" s="1"/>
  <c r="BF44" i="1"/>
  <c r="BF43" i="1"/>
  <c r="BF42" i="1"/>
  <c r="BF41" i="1"/>
  <c r="BF40" i="1"/>
  <c r="BF39" i="1"/>
  <c r="BF38" i="1"/>
  <c r="BF37" i="1"/>
  <c r="BF36" i="1"/>
  <c r="BF34" i="1"/>
  <c r="BF33" i="1"/>
  <c r="BF32" i="1"/>
  <c r="BF31" i="1"/>
  <c r="BF30" i="1"/>
  <c r="BF29" i="1"/>
  <c r="BF28" i="1"/>
  <c r="BF27" i="1"/>
  <c r="BF26" i="1"/>
  <c r="KL21" i="1"/>
  <c r="KL20" i="1"/>
  <c r="KL19" i="1"/>
  <c r="KL18" i="1"/>
  <c r="KL17" i="1"/>
  <c r="KL16" i="1"/>
  <c r="KL15" i="1"/>
  <c r="KL14" i="1"/>
  <c r="KL13" i="1"/>
  <c r="KL11" i="1"/>
  <c r="KL10" i="1"/>
  <c r="KL9" i="1"/>
  <c r="KL8" i="1"/>
  <c r="KL7" i="1"/>
  <c r="KL6" i="1"/>
  <c r="KL5" i="1"/>
  <c r="KL4" i="1"/>
  <c r="KL3" i="1"/>
  <c r="KM3" i="1" s="1"/>
  <c r="JH21" i="1"/>
  <c r="JH20" i="1"/>
  <c r="JH19" i="1"/>
  <c r="JH18" i="1"/>
  <c r="JH17" i="1"/>
  <c r="JH16" i="1"/>
  <c r="JH15" i="1"/>
  <c r="JH14" i="1"/>
  <c r="JH13" i="1"/>
  <c r="JH11" i="1"/>
  <c r="JH10" i="1"/>
  <c r="JH9" i="1"/>
  <c r="JH8" i="1"/>
  <c r="JH7" i="1"/>
  <c r="JH6" i="1"/>
  <c r="JH5" i="1"/>
  <c r="JH4" i="1"/>
  <c r="JH3" i="1"/>
  <c r="ID21" i="1"/>
  <c r="ID20" i="1"/>
  <c r="ID19" i="1"/>
  <c r="ID18" i="1"/>
  <c r="ID17" i="1"/>
  <c r="ID16" i="1"/>
  <c r="ID15" i="1"/>
  <c r="ID14" i="1"/>
  <c r="ID13" i="1"/>
  <c r="ID11" i="1"/>
  <c r="ID10" i="1"/>
  <c r="ID9" i="1"/>
  <c r="ID8" i="1"/>
  <c r="ID7" i="1"/>
  <c r="ID6" i="1"/>
  <c r="ID5" i="1"/>
  <c r="ID4" i="1"/>
  <c r="ID3" i="1"/>
  <c r="GZ21" i="1"/>
  <c r="GZ20" i="1"/>
  <c r="GZ19" i="1"/>
  <c r="GZ18" i="1"/>
  <c r="GZ17" i="1"/>
  <c r="GZ16" i="1"/>
  <c r="GZ15" i="1"/>
  <c r="GZ14" i="1"/>
  <c r="GZ13" i="1"/>
  <c r="GZ11" i="1"/>
  <c r="GZ10" i="1"/>
  <c r="GZ9" i="1"/>
  <c r="GZ8" i="1"/>
  <c r="GZ7" i="1"/>
  <c r="GZ6" i="1"/>
  <c r="GZ5" i="1"/>
  <c r="GZ4" i="1"/>
  <c r="GZ3" i="1"/>
  <c r="FV21" i="1"/>
  <c r="FV20" i="1"/>
  <c r="FV19" i="1"/>
  <c r="FV18" i="1"/>
  <c r="FV17" i="1"/>
  <c r="FV16" i="1"/>
  <c r="FV15" i="1"/>
  <c r="FV14" i="1"/>
  <c r="FV13" i="1"/>
  <c r="FV11" i="1"/>
  <c r="FV10" i="1"/>
  <c r="FV9" i="1"/>
  <c r="FV8" i="1"/>
  <c r="FV7" i="1"/>
  <c r="FV6" i="1"/>
  <c r="FV5" i="1"/>
  <c r="FV4" i="1"/>
  <c r="FV3" i="1"/>
  <c r="ER21" i="1"/>
  <c r="ER20" i="1"/>
  <c r="ER19" i="1"/>
  <c r="ER18" i="1"/>
  <c r="ER17" i="1"/>
  <c r="ER16" i="1"/>
  <c r="ER15" i="1"/>
  <c r="ER14" i="1"/>
  <c r="ER13" i="1"/>
  <c r="ER11" i="1"/>
  <c r="ER10" i="1"/>
  <c r="ER9" i="1"/>
  <c r="ER8" i="1"/>
  <c r="ER7" i="1"/>
  <c r="ER6" i="1"/>
  <c r="ER5" i="1"/>
  <c r="ER4" i="1"/>
  <c r="ER3" i="1"/>
  <c r="DN21" i="1"/>
  <c r="DN20" i="1"/>
  <c r="DN19" i="1"/>
  <c r="DN18" i="1"/>
  <c r="DN17" i="1"/>
  <c r="DN16" i="1"/>
  <c r="DN15" i="1"/>
  <c r="DN14" i="1"/>
  <c r="DN13" i="1"/>
  <c r="DN11" i="1"/>
  <c r="DN10" i="1"/>
  <c r="DN9" i="1"/>
  <c r="DN8" i="1"/>
  <c r="DN7" i="1"/>
  <c r="DN6" i="1"/>
  <c r="DN5" i="1"/>
  <c r="DN4" i="1"/>
  <c r="DN3" i="1"/>
  <c r="CJ21" i="1"/>
  <c r="CJ20" i="1"/>
  <c r="CJ19" i="1"/>
  <c r="CJ18" i="1"/>
  <c r="CJ17" i="1"/>
  <c r="CJ16" i="1"/>
  <c r="CJ15" i="1"/>
  <c r="CJ14" i="1"/>
  <c r="CJ13" i="1"/>
  <c r="CJ11" i="1"/>
  <c r="CJ10" i="1"/>
  <c r="CJ9" i="1"/>
  <c r="CJ8" i="1"/>
  <c r="CJ7" i="1"/>
  <c r="CJ6" i="1"/>
  <c r="CJ5" i="1"/>
  <c r="CJ4" i="1"/>
  <c r="CJ3" i="1"/>
  <c r="BF21" i="1"/>
  <c r="BF20" i="1"/>
  <c r="BF19" i="1"/>
  <c r="BF18" i="1"/>
  <c r="BF17" i="1"/>
  <c r="BF16" i="1"/>
  <c r="BF15" i="1"/>
  <c r="BF14" i="1"/>
  <c r="BF13" i="1"/>
  <c r="BF11" i="1"/>
  <c r="BF10" i="1"/>
  <c r="BF9" i="1"/>
  <c r="BF8" i="1"/>
  <c r="BF7" i="1"/>
  <c r="BF6" i="1"/>
  <c r="BF5" i="1"/>
  <c r="BF4" i="1"/>
  <c r="BF3" i="1"/>
  <c r="AB92" i="1"/>
  <c r="AB91" i="1"/>
  <c r="AB90" i="1"/>
  <c r="AB89" i="1"/>
  <c r="AB88" i="1"/>
  <c r="AB87" i="1"/>
  <c r="AB86" i="1"/>
  <c r="AB85" i="1"/>
  <c r="AB84" i="1"/>
  <c r="AB82" i="1"/>
  <c r="AB81" i="1"/>
  <c r="AB80" i="1"/>
  <c r="AB79" i="1"/>
  <c r="AB78" i="1"/>
  <c r="AB77" i="1"/>
  <c r="AB76" i="1"/>
  <c r="AB75" i="1"/>
  <c r="AB74" i="1"/>
  <c r="AC74" i="1" s="1"/>
  <c r="AB68" i="1"/>
  <c r="AB67" i="1"/>
  <c r="AB66" i="1"/>
  <c r="AB65" i="1"/>
  <c r="AB64" i="1"/>
  <c r="AB63" i="1"/>
  <c r="AB62" i="1"/>
  <c r="AB61" i="1"/>
  <c r="AB60" i="1"/>
  <c r="AB58" i="1"/>
  <c r="AB57" i="1"/>
  <c r="AB56" i="1"/>
  <c r="AB55" i="1"/>
  <c r="AB54" i="1"/>
  <c r="AB53" i="1"/>
  <c r="AB52" i="1"/>
  <c r="AB51" i="1"/>
  <c r="AB50" i="1"/>
  <c r="AB44" i="1"/>
  <c r="AB43" i="1"/>
  <c r="AB42" i="1"/>
  <c r="AB41" i="1"/>
  <c r="AB40" i="1"/>
  <c r="AB39" i="1"/>
  <c r="AB38" i="1"/>
  <c r="AB37" i="1"/>
  <c r="AB36" i="1"/>
  <c r="AB34" i="1"/>
  <c r="AB33" i="1"/>
  <c r="AB32" i="1"/>
  <c r="AB31" i="1"/>
  <c r="AB30" i="1"/>
  <c r="AB29" i="1"/>
  <c r="AB28" i="1"/>
  <c r="AB27" i="1"/>
  <c r="AB26" i="1"/>
  <c r="AB4" i="1"/>
  <c r="AB5" i="1"/>
  <c r="AB6" i="1"/>
  <c r="AB7" i="1"/>
  <c r="AB8" i="1"/>
  <c r="AB9" i="1"/>
  <c r="AB10" i="1"/>
  <c r="AB11" i="1"/>
  <c r="AB3" i="1"/>
  <c r="AC3" i="1" s="1"/>
  <c r="AC4" i="1" s="1"/>
  <c r="I11" i="7"/>
  <c r="I4" i="7"/>
  <c r="I11" i="9"/>
  <c r="I4" i="9"/>
  <c r="H11" i="9"/>
  <c r="H4" i="9"/>
  <c r="H11" i="7"/>
  <c r="H4" i="7"/>
  <c r="G11" i="9"/>
  <c r="G4" i="9"/>
  <c r="G11" i="7"/>
  <c r="G4" i="7"/>
  <c r="DY83" i="1"/>
  <c r="F11" i="9" s="1"/>
  <c r="DW83" i="1"/>
  <c r="F4" i="9" s="1"/>
  <c r="DY59" i="1"/>
  <c r="F11" i="7" s="1"/>
  <c r="DW59" i="1"/>
  <c r="F4" i="7" s="1"/>
  <c r="CU83" i="1"/>
  <c r="E11" i="9" s="1"/>
  <c r="CS83" i="1"/>
  <c r="E4" i="9" s="1"/>
  <c r="CU59" i="1"/>
  <c r="E11" i="7" s="1"/>
  <c r="CS59" i="1"/>
  <c r="E4" i="7" s="1"/>
  <c r="BQ83" i="1"/>
  <c r="D11" i="9" s="1"/>
  <c r="BO83" i="1"/>
  <c r="D4" i="9" s="1"/>
  <c r="BQ59" i="1"/>
  <c r="D11" i="7" s="1"/>
  <c r="BO59" i="1"/>
  <c r="D4" i="7" s="1"/>
  <c r="AM83" i="1"/>
  <c r="C11" i="9" s="1"/>
  <c r="AK83" i="1"/>
  <c r="C4" i="9" s="1"/>
  <c r="AK93" i="1"/>
  <c r="C5" i="9" s="1"/>
  <c r="AM93" i="1"/>
  <c r="C12" i="9" s="1"/>
  <c r="AM59" i="1"/>
  <c r="C11" i="7" s="1"/>
  <c r="AK59" i="1"/>
  <c r="C4" i="7" s="1"/>
  <c r="I83" i="1"/>
  <c r="B11" i="9" s="1"/>
  <c r="G83" i="1"/>
  <c r="B4" i="9" s="1"/>
  <c r="I59" i="1"/>
  <c r="B11" i="7" s="1"/>
  <c r="G59" i="1"/>
  <c r="B4" i="7" s="1"/>
  <c r="I35" i="1"/>
  <c r="B11" i="6" s="1"/>
  <c r="G35" i="1"/>
  <c r="B4" i="6" s="1"/>
  <c r="AM35" i="1"/>
  <c r="C11" i="6" s="1"/>
  <c r="AK35" i="1"/>
  <c r="C4" i="6" s="1"/>
  <c r="BQ35" i="1"/>
  <c r="D11" i="6" s="1"/>
  <c r="BO35" i="1"/>
  <c r="D4" i="6" s="1"/>
  <c r="CU35" i="1"/>
  <c r="E11" i="6" s="1"/>
  <c r="CS35" i="1"/>
  <c r="E4" i="6" s="1"/>
  <c r="DY35" i="1"/>
  <c r="F11" i="6" s="1"/>
  <c r="DW35" i="1"/>
  <c r="F4" i="6" s="1"/>
  <c r="G11" i="6"/>
  <c r="G4" i="6"/>
  <c r="H11" i="6"/>
  <c r="H4" i="6"/>
  <c r="I11" i="6"/>
  <c r="I11" i="4"/>
  <c r="I4" i="4"/>
  <c r="H11" i="4"/>
  <c r="H4" i="4"/>
  <c r="G11" i="4"/>
  <c r="G4" i="4"/>
  <c r="DY12" i="1"/>
  <c r="F11" i="4" s="1"/>
  <c r="DW12" i="1"/>
  <c r="F4" i="4" s="1"/>
  <c r="CU12" i="1"/>
  <c r="E11" i="4" s="1"/>
  <c r="CS12" i="1"/>
  <c r="E4" i="4" s="1"/>
  <c r="BQ12" i="1"/>
  <c r="D11" i="4" s="1"/>
  <c r="BO12" i="1"/>
  <c r="D4" i="4" s="1"/>
  <c r="AM12" i="1"/>
  <c r="C11" i="4" s="1"/>
  <c r="AK12" i="1"/>
  <c r="C4" i="4" s="1"/>
  <c r="KS92" i="1"/>
  <c r="KS91" i="1"/>
  <c r="KS90" i="1"/>
  <c r="KS89" i="1"/>
  <c r="KS88" i="1"/>
  <c r="KS87" i="1"/>
  <c r="KS86" i="1"/>
  <c r="KS85" i="1"/>
  <c r="KS84" i="1"/>
  <c r="KS82" i="1"/>
  <c r="KS81" i="1"/>
  <c r="KS80" i="1"/>
  <c r="KS79" i="1"/>
  <c r="KS78" i="1"/>
  <c r="KS77" i="1"/>
  <c r="KS76" i="1"/>
  <c r="KS75" i="1"/>
  <c r="KS74" i="1"/>
  <c r="KS68" i="1"/>
  <c r="KS67" i="1"/>
  <c r="KS66" i="1"/>
  <c r="KS65" i="1"/>
  <c r="KS64" i="1"/>
  <c r="KS63" i="1"/>
  <c r="KS62" i="1"/>
  <c r="KS61" i="1"/>
  <c r="KS60" i="1"/>
  <c r="KS58" i="1"/>
  <c r="KS57" i="1"/>
  <c r="KS56" i="1"/>
  <c r="KS55" i="1"/>
  <c r="KS54" i="1"/>
  <c r="KS53" i="1"/>
  <c r="KS52" i="1"/>
  <c r="KS51" i="1"/>
  <c r="KS50" i="1"/>
  <c r="KS44" i="1"/>
  <c r="KS43" i="1"/>
  <c r="KS42" i="1"/>
  <c r="KS41" i="1"/>
  <c r="KS40" i="1"/>
  <c r="KS39" i="1"/>
  <c r="KS38" i="1"/>
  <c r="KS37" i="1"/>
  <c r="KS36" i="1"/>
  <c r="KS34" i="1"/>
  <c r="KS33" i="1"/>
  <c r="KS32" i="1"/>
  <c r="KS31" i="1"/>
  <c r="KS30" i="1"/>
  <c r="KS29" i="1"/>
  <c r="KS28" i="1"/>
  <c r="KS27" i="1"/>
  <c r="KS26" i="1"/>
  <c r="KS21" i="1"/>
  <c r="KS20" i="1"/>
  <c r="KS19" i="1"/>
  <c r="KS18" i="1"/>
  <c r="KS17" i="1"/>
  <c r="KS16" i="1"/>
  <c r="KS15" i="1"/>
  <c r="KS14" i="1"/>
  <c r="KS13" i="1"/>
  <c r="KS11" i="1"/>
  <c r="KS10" i="1"/>
  <c r="KS9" i="1"/>
  <c r="KS8" i="1"/>
  <c r="KS7" i="1"/>
  <c r="KS6" i="1"/>
  <c r="KS5" i="1"/>
  <c r="KS4" i="1"/>
  <c r="KS3" i="1"/>
  <c r="JO92" i="1"/>
  <c r="JO91" i="1"/>
  <c r="JO90" i="1"/>
  <c r="JO89" i="1"/>
  <c r="JO88" i="1"/>
  <c r="JO87" i="1"/>
  <c r="JO86" i="1"/>
  <c r="JO85" i="1"/>
  <c r="JO84" i="1"/>
  <c r="JO82" i="1"/>
  <c r="JO81" i="1"/>
  <c r="JO80" i="1"/>
  <c r="JO79" i="1"/>
  <c r="JO78" i="1"/>
  <c r="JO77" i="1"/>
  <c r="JO76" i="1"/>
  <c r="JO75" i="1"/>
  <c r="JO74" i="1"/>
  <c r="JO68" i="1"/>
  <c r="JO67" i="1"/>
  <c r="JO66" i="1"/>
  <c r="JO65" i="1"/>
  <c r="JO64" i="1"/>
  <c r="JO63" i="1"/>
  <c r="JO62" i="1"/>
  <c r="JO61" i="1"/>
  <c r="JO60" i="1"/>
  <c r="JO58" i="1"/>
  <c r="JO57" i="1"/>
  <c r="JO56" i="1"/>
  <c r="JO55" i="1"/>
  <c r="JO54" i="1"/>
  <c r="JO53" i="1"/>
  <c r="JO52" i="1"/>
  <c r="JO51" i="1"/>
  <c r="JO50" i="1"/>
  <c r="JO44" i="1"/>
  <c r="JO43" i="1"/>
  <c r="JO42" i="1"/>
  <c r="JO41" i="1"/>
  <c r="JO40" i="1"/>
  <c r="JO39" i="1"/>
  <c r="JO38" i="1"/>
  <c r="JO37" i="1"/>
  <c r="JO36" i="1"/>
  <c r="JO34" i="1"/>
  <c r="JO33" i="1"/>
  <c r="JO32" i="1"/>
  <c r="JO31" i="1"/>
  <c r="JO30" i="1"/>
  <c r="JO29" i="1"/>
  <c r="JO28" i="1"/>
  <c r="JO27" i="1"/>
  <c r="JO26" i="1"/>
  <c r="JO21" i="1"/>
  <c r="JO20" i="1"/>
  <c r="JO19" i="1"/>
  <c r="JO18" i="1"/>
  <c r="JO17" i="1"/>
  <c r="JO16" i="1"/>
  <c r="JO15" i="1"/>
  <c r="JO14" i="1"/>
  <c r="JO13" i="1"/>
  <c r="JO11" i="1"/>
  <c r="JO10" i="1"/>
  <c r="JO9" i="1"/>
  <c r="JO8" i="1"/>
  <c r="JO7" i="1"/>
  <c r="JO6" i="1"/>
  <c r="JO5" i="1"/>
  <c r="JO4" i="1"/>
  <c r="JO3" i="1"/>
  <c r="JP3" i="1" s="1"/>
  <c r="IK92" i="1"/>
  <c r="IK91" i="1"/>
  <c r="IK90" i="1"/>
  <c r="IK89" i="1"/>
  <c r="IK88" i="1"/>
  <c r="IK87" i="1"/>
  <c r="IK86" i="1"/>
  <c r="IK85" i="1"/>
  <c r="IK84" i="1"/>
  <c r="IK82" i="1"/>
  <c r="IK81" i="1"/>
  <c r="IK80" i="1"/>
  <c r="IK79" i="1"/>
  <c r="IK78" i="1"/>
  <c r="IK77" i="1"/>
  <c r="IK76" i="1"/>
  <c r="IK75" i="1"/>
  <c r="IK74" i="1"/>
  <c r="IK68" i="1"/>
  <c r="IK67" i="1"/>
  <c r="IK66" i="1"/>
  <c r="IK65" i="1"/>
  <c r="IK64" i="1"/>
  <c r="IK63" i="1"/>
  <c r="IK62" i="1"/>
  <c r="IK61" i="1"/>
  <c r="IK60" i="1"/>
  <c r="IK58" i="1"/>
  <c r="IK57" i="1"/>
  <c r="IK56" i="1"/>
  <c r="IK55" i="1"/>
  <c r="IK54" i="1"/>
  <c r="IK53" i="1"/>
  <c r="IK52" i="1"/>
  <c r="IK51" i="1"/>
  <c r="IK50" i="1"/>
  <c r="IK44" i="1"/>
  <c r="IK43" i="1"/>
  <c r="IK42" i="1"/>
  <c r="IK41" i="1"/>
  <c r="IK40" i="1"/>
  <c r="IK39" i="1"/>
  <c r="IK38" i="1"/>
  <c r="IK37" i="1"/>
  <c r="IK36" i="1"/>
  <c r="IK34" i="1"/>
  <c r="IK33" i="1"/>
  <c r="IK32" i="1"/>
  <c r="IK31" i="1"/>
  <c r="IK30" i="1"/>
  <c r="IK29" i="1"/>
  <c r="IK28" i="1"/>
  <c r="IK27" i="1"/>
  <c r="IK26" i="1"/>
  <c r="IK21" i="1"/>
  <c r="IK20" i="1"/>
  <c r="IK19" i="1"/>
  <c r="IK18" i="1"/>
  <c r="IK17" i="1"/>
  <c r="IK16" i="1"/>
  <c r="IK15" i="1"/>
  <c r="IK14" i="1"/>
  <c r="IK13" i="1"/>
  <c r="IK11" i="1"/>
  <c r="IK10" i="1"/>
  <c r="IK9" i="1"/>
  <c r="IK8" i="1"/>
  <c r="IK7" i="1"/>
  <c r="IK6" i="1"/>
  <c r="IK5" i="1"/>
  <c r="IK4" i="1"/>
  <c r="IK3" i="1"/>
  <c r="IL3" i="1" s="1"/>
  <c r="HG92" i="1"/>
  <c r="HG91" i="1"/>
  <c r="HG90" i="1"/>
  <c r="HG89" i="1"/>
  <c r="HG88" i="1"/>
  <c r="HG87" i="1"/>
  <c r="HG86" i="1"/>
  <c r="HG85" i="1"/>
  <c r="HG84" i="1"/>
  <c r="HG82" i="1"/>
  <c r="HG81" i="1"/>
  <c r="HG80" i="1"/>
  <c r="HG79" i="1"/>
  <c r="HG78" i="1"/>
  <c r="HG77" i="1"/>
  <c r="HG76" i="1"/>
  <c r="HG75" i="1"/>
  <c r="HG74" i="1"/>
  <c r="HG68" i="1"/>
  <c r="HG67" i="1"/>
  <c r="HG66" i="1"/>
  <c r="HG65" i="1"/>
  <c r="HG64" i="1"/>
  <c r="HG63" i="1"/>
  <c r="HG62" i="1"/>
  <c r="HG61" i="1"/>
  <c r="HG60" i="1"/>
  <c r="HG58" i="1"/>
  <c r="HG57" i="1"/>
  <c r="HG56" i="1"/>
  <c r="HG55" i="1"/>
  <c r="HG54" i="1"/>
  <c r="HG53" i="1"/>
  <c r="HG52" i="1"/>
  <c r="HG51" i="1"/>
  <c r="HG50" i="1"/>
  <c r="HG44" i="1"/>
  <c r="HG43" i="1"/>
  <c r="HG42" i="1"/>
  <c r="HG41" i="1"/>
  <c r="HG40" i="1"/>
  <c r="HG39" i="1"/>
  <c r="HG38" i="1"/>
  <c r="HG37" i="1"/>
  <c r="HG36" i="1"/>
  <c r="HG34" i="1"/>
  <c r="HG33" i="1"/>
  <c r="HG32" i="1"/>
  <c r="HG31" i="1"/>
  <c r="HG30" i="1"/>
  <c r="HG29" i="1"/>
  <c r="HG28" i="1"/>
  <c r="HG27" i="1"/>
  <c r="HG26" i="1"/>
  <c r="HG21" i="1"/>
  <c r="HG20" i="1"/>
  <c r="HG19" i="1"/>
  <c r="HG18" i="1"/>
  <c r="HG17" i="1"/>
  <c r="HG16" i="1"/>
  <c r="HG15" i="1"/>
  <c r="HG14" i="1"/>
  <c r="HG13" i="1"/>
  <c r="HG11" i="1"/>
  <c r="HG10" i="1"/>
  <c r="HG9" i="1"/>
  <c r="HG8" i="1"/>
  <c r="HG7" i="1"/>
  <c r="HG6" i="1"/>
  <c r="HG5" i="1"/>
  <c r="HG4" i="1"/>
  <c r="HG3" i="1"/>
  <c r="HH3" i="1" s="1"/>
  <c r="GC92" i="1"/>
  <c r="GC91" i="1"/>
  <c r="GC90" i="1"/>
  <c r="GC89" i="1"/>
  <c r="GC88" i="1"/>
  <c r="GC87" i="1"/>
  <c r="GC86" i="1"/>
  <c r="GC85" i="1"/>
  <c r="GC84" i="1"/>
  <c r="GC82" i="1"/>
  <c r="GC81" i="1"/>
  <c r="GC80" i="1"/>
  <c r="GC79" i="1"/>
  <c r="GC78" i="1"/>
  <c r="GC77" i="1"/>
  <c r="GC76" i="1"/>
  <c r="GC75" i="1"/>
  <c r="GC74" i="1"/>
  <c r="GC68" i="1"/>
  <c r="GC67" i="1"/>
  <c r="GC66" i="1"/>
  <c r="GC65" i="1"/>
  <c r="GC64" i="1"/>
  <c r="GC63" i="1"/>
  <c r="GC62" i="1"/>
  <c r="GC61" i="1"/>
  <c r="GC60" i="1"/>
  <c r="GC58" i="1"/>
  <c r="GC57" i="1"/>
  <c r="GC56" i="1"/>
  <c r="GC55" i="1"/>
  <c r="GC54" i="1"/>
  <c r="GC53" i="1"/>
  <c r="GC52" i="1"/>
  <c r="GC51" i="1"/>
  <c r="GC50" i="1"/>
  <c r="GC44" i="1"/>
  <c r="GC43" i="1"/>
  <c r="GC42" i="1"/>
  <c r="GC41" i="1"/>
  <c r="GC40" i="1"/>
  <c r="GC39" i="1"/>
  <c r="GC38" i="1"/>
  <c r="GC37" i="1"/>
  <c r="GC36" i="1"/>
  <c r="GC34" i="1"/>
  <c r="GC33" i="1"/>
  <c r="GC32" i="1"/>
  <c r="GC31" i="1"/>
  <c r="GC30" i="1"/>
  <c r="GC29" i="1"/>
  <c r="GC28" i="1"/>
  <c r="GC27" i="1"/>
  <c r="GC26" i="1"/>
  <c r="GC21" i="1"/>
  <c r="GC20" i="1"/>
  <c r="GC19" i="1"/>
  <c r="GC18" i="1"/>
  <c r="GC17" i="1"/>
  <c r="GC16" i="1"/>
  <c r="GC15" i="1"/>
  <c r="GC14" i="1"/>
  <c r="GC13" i="1"/>
  <c r="GC11" i="1"/>
  <c r="GC10" i="1"/>
  <c r="GC9" i="1"/>
  <c r="GC8" i="1"/>
  <c r="GC7" i="1"/>
  <c r="GC6" i="1"/>
  <c r="GC5" i="1"/>
  <c r="GC4" i="1"/>
  <c r="GC3" i="1"/>
  <c r="GD3" i="1" s="1"/>
  <c r="EY92" i="1"/>
  <c r="EY91" i="1"/>
  <c r="EY90" i="1"/>
  <c r="EY89" i="1"/>
  <c r="EY88" i="1"/>
  <c r="EY87" i="1"/>
  <c r="EY86" i="1"/>
  <c r="EY85" i="1"/>
  <c r="EY84" i="1"/>
  <c r="EY82" i="1"/>
  <c r="EY81" i="1"/>
  <c r="EY80" i="1"/>
  <c r="EY79" i="1"/>
  <c r="EY78" i="1"/>
  <c r="EY77" i="1"/>
  <c r="EY76" i="1"/>
  <c r="EY75" i="1"/>
  <c r="EY74" i="1"/>
  <c r="EY68" i="1"/>
  <c r="EY67" i="1"/>
  <c r="EY66" i="1"/>
  <c r="EY65" i="1"/>
  <c r="EY64" i="1"/>
  <c r="EY63" i="1"/>
  <c r="EY62" i="1"/>
  <c r="EY61" i="1"/>
  <c r="EY60" i="1"/>
  <c r="EY58" i="1"/>
  <c r="EY57" i="1"/>
  <c r="EY56" i="1"/>
  <c r="EY55" i="1"/>
  <c r="EY54" i="1"/>
  <c r="EY53" i="1"/>
  <c r="EY52" i="1"/>
  <c r="EY51" i="1"/>
  <c r="EY50" i="1"/>
  <c r="EY44" i="1"/>
  <c r="EY43" i="1"/>
  <c r="EY42" i="1"/>
  <c r="EY41" i="1"/>
  <c r="EY40" i="1"/>
  <c r="EY39" i="1"/>
  <c r="EY38" i="1"/>
  <c r="EY37" i="1"/>
  <c r="EY36" i="1"/>
  <c r="EY34" i="1"/>
  <c r="EY33" i="1"/>
  <c r="EY32" i="1"/>
  <c r="EY31" i="1"/>
  <c r="EY30" i="1"/>
  <c r="EY29" i="1"/>
  <c r="EY28" i="1"/>
  <c r="EY27" i="1"/>
  <c r="EY26" i="1"/>
  <c r="EY21" i="1"/>
  <c r="EY20" i="1"/>
  <c r="EY19" i="1"/>
  <c r="EY18" i="1"/>
  <c r="EY17" i="1"/>
  <c r="EY16" i="1"/>
  <c r="EY15" i="1"/>
  <c r="EY14" i="1"/>
  <c r="EY13" i="1"/>
  <c r="EY11" i="1"/>
  <c r="EY10" i="1"/>
  <c r="EY9" i="1"/>
  <c r="EY8" i="1"/>
  <c r="EY7" i="1"/>
  <c r="EY6" i="1"/>
  <c r="EY5" i="1"/>
  <c r="EY4" i="1"/>
  <c r="EY3" i="1"/>
  <c r="EZ3" i="1" s="1"/>
  <c r="JS93" i="1"/>
  <c r="JQ93" i="1"/>
  <c r="KQ92" i="1"/>
  <c r="KN92" i="1"/>
  <c r="KJ92" i="1"/>
  <c r="KH92" i="1"/>
  <c r="KF92" i="1"/>
  <c r="KD92" i="1"/>
  <c r="KB92" i="1"/>
  <c r="JZ92" i="1"/>
  <c r="JU92" i="1"/>
  <c r="KR91" i="1"/>
  <c r="KN91" i="1"/>
  <c r="KJ91" i="1"/>
  <c r="KH91" i="1"/>
  <c r="KF91" i="1"/>
  <c r="KD91" i="1"/>
  <c r="KB91" i="1"/>
  <c r="JZ91" i="1"/>
  <c r="JU91" i="1"/>
  <c r="JW91" i="1" s="1"/>
  <c r="KP90" i="1"/>
  <c r="KN90" i="1"/>
  <c r="KJ90" i="1"/>
  <c r="KH90" i="1"/>
  <c r="KF90" i="1"/>
  <c r="KD90" i="1"/>
  <c r="KB90" i="1"/>
  <c r="JZ90" i="1"/>
  <c r="JU90" i="1"/>
  <c r="JW90" i="1" s="1"/>
  <c r="KQ89" i="1"/>
  <c r="KN89" i="1"/>
  <c r="KJ89" i="1"/>
  <c r="KH89" i="1"/>
  <c r="KF89" i="1"/>
  <c r="KD89" i="1"/>
  <c r="KB89" i="1"/>
  <c r="JZ89" i="1"/>
  <c r="JU89" i="1"/>
  <c r="JW89" i="1" s="1"/>
  <c r="KP88" i="1"/>
  <c r="KN88" i="1"/>
  <c r="KJ88" i="1"/>
  <c r="KH88" i="1"/>
  <c r="KF88" i="1"/>
  <c r="KD88" i="1"/>
  <c r="KB88" i="1"/>
  <c r="JZ88" i="1"/>
  <c r="JU88" i="1"/>
  <c r="JW88" i="1" s="1"/>
  <c r="KR87" i="1"/>
  <c r="KN87" i="1"/>
  <c r="KJ87" i="1"/>
  <c r="KH87" i="1"/>
  <c r="KF87" i="1"/>
  <c r="KD87" i="1"/>
  <c r="KB87" i="1"/>
  <c r="JZ87" i="1"/>
  <c r="JU87" i="1"/>
  <c r="JW87" i="1" s="1"/>
  <c r="KQ86" i="1"/>
  <c r="KN86" i="1"/>
  <c r="KJ86" i="1"/>
  <c r="KH86" i="1"/>
  <c r="KF86" i="1"/>
  <c r="KD86" i="1"/>
  <c r="KB86" i="1"/>
  <c r="JZ86" i="1"/>
  <c r="JU86" i="1"/>
  <c r="JW86" i="1" s="1"/>
  <c r="KQ85" i="1"/>
  <c r="KN85" i="1"/>
  <c r="KJ85" i="1"/>
  <c r="KH85" i="1"/>
  <c r="KF85" i="1"/>
  <c r="KD85" i="1"/>
  <c r="KB85" i="1"/>
  <c r="JZ85" i="1"/>
  <c r="JU85" i="1"/>
  <c r="JW85" i="1" s="1"/>
  <c r="KQ84" i="1"/>
  <c r="KN84" i="1"/>
  <c r="KJ84" i="1"/>
  <c r="KH84" i="1"/>
  <c r="KF84" i="1"/>
  <c r="KD84" i="1"/>
  <c r="KB84" i="1"/>
  <c r="JZ84" i="1"/>
  <c r="JU84" i="1"/>
  <c r="KQ82" i="1"/>
  <c r="KN82" i="1"/>
  <c r="KJ82" i="1"/>
  <c r="KH82" i="1"/>
  <c r="KF82" i="1"/>
  <c r="KD82" i="1"/>
  <c r="KB82" i="1"/>
  <c r="JZ82" i="1"/>
  <c r="JU82" i="1"/>
  <c r="JW82" i="1" s="1"/>
  <c r="KP81" i="1"/>
  <c r="KN81" i="1"/>
  <c r="KJ81" i="1"/>
  <c r="KH81" i="1"/>
  <c r="KF81" i="1"/>
  <c r="KD81" i="1"/>
  <c r="KB81" i="1"/>
  <c r="JZ81" i="1"/>
  <c r="JU81" i="1"/>
  <c r="JW81" i="1" s="1"/>
  <c r="KR80" i="1"/>
  <c r="KN80" i="1"/>
  <c r="KJ80" i="1"/>
  <c r="KH80" i="1"/>
  <c r="KF80" i="1"/>
  <c r="KD80" i="1"/>
  <c r="KB80" i="1"/>
  <c r="JZ80" i="1"/>
  <c r="JU80" i="1"/>
  <c r="JW80" i="1" s="1"/>
  <c r="KQ79" i="1"/>
  <c r="KN79" i="1"/>
  <c r="KJ79" i="1"/>
  <c r="KH79" i="1"/>
  <c r="KF79" i="1"/>
  <c r="KD79" i="1"/>
  <c r="KB79" i="1"/>
  <c r="JZ79" i="1"/>
  <c r="JU79" i="1"/>
  <c r="JW79" i="1" s="1"/>
  <c r="KQ78" i="1"/>
  <c r="KN78" i="1"/>
  <c r="KJ78" i="1"/>
  <c r="KH78" i="1"/>
  <c r="KF78" i="1"/>
  <c r="KD78" i="1"/>
  <c r="KB78" i="1"/>
  <c r="JZ78" i="1"/>
  <c r="JU78" i="1"/>
  <c r="JW78" i="1" s="1"/>
  <c r="KP77" i="1"/>
  <c r="KN77" i="1"/>
  <c r="KJ77" i="1"/>
  <c r="KH77" i="1"/>
  <c r="KF77" i="1"/>
  <c r="KD77" i="1"/>
  <c r="KB77" i="1"/>
  <c r="JZ77" i="1"/>
  <c r="JU77" i="1"/>
  <c r="JW77" i="1" s="1"/>
  <c r="KQ76" i="1"/>
  <c r="KN76" i="1"/>
  <c r="KJ76" i="1"/>
  <c r="KH76" i="1"/>
  <c r="KF76" i="1"/>
  <c r="KD76" i="1"/>
  <c r="KB76" i="1"/>
  <c r="JZ76" i="1"/>
  <c r="JU76" i="1"/>
  <c r="KR75" i="1"/>
  <c r="KN75" i="1"/>
  <c r="KJ75" i="1"/>
  <c r="KH75" i="1"/>
  <c r="KF75" i="1"/>
  <c r="KD75" i="1"/>
  <c r="KB75" i="1"/>
  <c r="JZ75" i="1"/>
  <c r="JU75" i="1"/>
  <c r="JW75" i="1" s="1"/>
  <c r="KQ74" i="1"/>
  <c r="KN74" i="1"/>
  <c r="KJ74" i="1"/>
  <c r="KH74" i="1"/>
  <c r="KF74" i="1"/>
  <c r="KD74" i="1"/>
  <c r="KB74" i="1"/>
  <c r="JZ74" i="1"/>
  <c r="KA74" i="1" s="1"/>
  <c r="JU74" i="1"/>
  <c r="JW74" i="1" s="1"/>
  <c r="JS69" i="1"/>
  <c r="JQ69" i="1"/>
  <c r="JQ70" i="1" s="1"/>
  <c r="KR68" i="1"/>
  <c r="KN68" i="1"/>
  <c r="KJ68" i="1"/>
  <c r="KH68" i="1"/>
  <c r="KF68" i="1"/>
  <c r="KD68" i="1"/>
  <c r="KB68" i="1"/>
  <c r="JZ68" i="1"/>
  <c r="JU68" i="1"/>
  <c r="JW68" i="1" s="1"/>
  <c r="KP67" i="1"/>
  <c r="KN67" i="1"/>
  <c r="KJ67" i="1"/>
  <c r="KH67" i="1"/>
  <c r="KF67" i="1"/>
  <c r="KD67" i="1"/>
  <c r="KB67" i="1"/>
  <c r="JZ67" i="1"/>
  <c r="JU67" i="1"/>
  <c r="JW67" i="1" s="1"/>
  <c r="KQ66" i="1"/>
  <c r="KN66" i="1"/>
  <c r="KJ66" i="1"/>
  <c r="KH66" i="1"/>
  <c r="KF66" i="1"/>
  <c r="KD66" i="1"/>
  <c r="KB66" i="1"/>
  <c r="JZ66" i="1"/>
  <c r="JU66" i="1"/>
  <c r="KP65" i="1"/>
  <c r="KN65" i="1"/>
  <c r="KJ65" i="1"/>
  <c r="KH65" i="1"/>
  <c r="KF65" i="1"/>
  <c r="KD65" i="1"/>
  <c r="KB65" i="1"/>
  <c r="JZ65" i="1"/>
  <c r="JU65" i="1"/>
  <c r="JW65" i="1" s="1"/>
  <c r="KQ64" i="1"/>
  <c r="KN64" i="1"/>
  <c r="KJ64" i="1"/>
  <c r="KH64" i="1"/>
  <c r="KF64" i="1"/>
  <c r="KD64" i="1"/>
  <c r="KB64" i="1"/>
  <c r="JZ64" i="1"/>
  <c r="JU64" i="1"/>
  <c r="JW64" i="1" s="1"/>
  <c r="KR63" i="1"/>
  <c r="KN63" i="1"/>
  <c r="KJ63" i="1"/>
  <c r="KH63" i="1"/>
  <c r="KF63" i="1"/>
  <c r="KD63" i="1"/>
  <c r="KB63" i="1"/>
  <c r="JZ63" i="1"/>
  <c r="JU63" i="1"/>
  <c r="JW63" i="1" s="1"/>
  <c r="KQ62" i="1"/>
  <c r="KN62" i="1"/>
  <c r="KJ62" i="1"/>
  <c r="KH62" i="1"/>
  <c r="KF62" i="1"/>
  <c r="KD62" i="1"/>
  <c r="KB62" i="1"/>
  <c r="JZ62" i="1"/>
  <c r="JU62" i="1"/>
  <c r="JW62" i="1" s="1"/>
  <c r="KQ61" i="1"/>
  <c r="KN61" i="1"/>
  <c r="KJ61" i="1"/>
  <c r="KH61" i="1"/>
  <c r="KF61" i="1"/>
  <c r="KD61" i="1"/>
  <c r="KB61" i="1"/>
  <c r="JZ61" i="1"/>
  <c r="JU61" i="1"/>
  <c r="JW61" i="1" s="1"/>
  <c r="KP60" i="1"/>
  <c r="KN60" i="1"/>
  <c r="KJ60" i="1"/>
  <c r="KH60" i="1"/>
  <c r="KF60" i="1"/>
  <c r="KD60" i="1"/>
  <c r="KB60" i="1"/>
  <c r="JZ60" i="1"/>
  <c r="JU60" i="1"/>
  <c r="JW60" i="1" s="1"/>
  <c r="KQ58" i="1"/>
  <c r="KN58" i="1"/>
  <c r="KJ58" i="1"/>
  <c r="KH58" i="1"/>
  <c r="KF58" i="1"/>
  <c r="KD58" i="1"/>
  <c r="KB58" i="1"/>
  <c r="JZ58" i="1"/>
  <c r="JU58" i="1"/>
  <c r="KQ57" i="1"/>
  <c r="KN57" i="1"/>
  <c r="KJ57" i="1"/>
  <c r="KH57" i="1"/>
  <c r="KF57" i="1"/>
  <c r="KD57" i="1"/>
  <c r="KB57" i="1"/>
  <c r="JZ57" i="1"/>
  <c r="JU57" i="1"/>
  <c r="JW57" i="1" s="1"/>
  <c r="KP56" i="1"/>
  <c r="KP59" i="1" s="1"/>
  <c r="KN56" i="1"/>
  <c r="KJ56" i="1"/>
  <c r="KH56" i="1"/>
  <c r="KF56" i="1"/>
  <c r="KD56" i="1"/>
  <c r="KB56" i="1"/>
  <c r="JZ56" i="1"/>
  <c r="JU56" i="1"/>
  <c r="JW56" i="1" s="1"/>
  <c r="KQ55" i="1"/>
  <c r="KN55" i="1"/>
  <c r="KJ55" i="1"/>
  <c r="KH55" i="1"/>
  <c r="KF55" i="1"/>
  <c r="KD55" i="1"/>
  <c r="KB55" i="1"/>
  <c r="JZ55" i="1"/>
  <c r="JU55" i="1"/>
  <c r="JW55" i="1" s="1"/>
  <c r="KQ54" i="1"/>
  <c r="KN54" i="1"/>
  <c r="KJ54" i="1"/>
  <c r="KH54" i="1"/>
  <c r="KF54" i="1"/>
  <c r="KD54" i="1"/>
  <c r="KB54" i="1"/>
  <c r="JZ54" i="1"/>
  <c r="JU54" i="1"/>
  <c r="JW54" i="1" s="1"/>
  <c r="KQ53" i="1"/>
  <c r="KN53" i="1"/>
  <c r="KJ53" i="1"/>
  <c r="KH53" i="1"/>
  <c r="KF53" i="1"/>
  <c r="KD53" i="1"/>
  <c r="KB53" i="1"/>
  <c r="JZ53" i="1"/>
  <c r="JU53" i="1"/>
  <c r="JW53" i="1" s="1"/>
  <c r="KR52" i="1"/>
  <c r="KN52" i="1"/>
  <c r="KJ52" i="1"/>
  <c r="KH52" i="1"/>
  <c r="KF52" i="1"/>
  <c r="KD52" i="1"/>
  <c r="KB52" i="1"/>
  <c r="JZ52" i="1"/>
  <c r="JU52" i="1"/>
  <c r="JW52" i="1" s="1"/>
  <c r="KR51" i="1"/>
  <c r="KN51" i="1"/>
  <c r="KJ51" i="1"/>
  <c r="KH51" i="1"/>
  <c r="KF51" i="1"/>
  <c r="KD51" i="1"/>
  <c r="KB51" i="1"/>
  <c r="JZ51" i="1"/>
  <c r="JU51" i="1"/>
  <c r="JW51" i="1" s="1"/>
  <c r="KQ50" i="1"/>
  <c r="KN50" i="1"/>
  <c r="KJ50" i="1"/>
  <c r="KH50" i="1"/>
  <c r="KF50" i="1"/>
  <c r="KD50" i="1"/>
  <c r="KB50" i="1"/>
  <c r="KC50" i="1" s="1"/>
  <c r="JZ50" i="1"/>
  <c r="KA50" i="1" s="1"/>
  <c r="JU50" i="1"/>
  <c r="JS45" i="1"/>
  <c r="JQ45" i="1"/>
  <c r="KR44" i="1"/>
  <c r="KN44" i="1"/>
  <c r="KJ44" i="1"/>
  <c r="KH44" i="1"/>
  <c r="KF44" i="1"/>
  <c r="KD44" i="1"/>
  <c r="KB44" i="1"/>
  <c r="JZ44" i="1"/>
  <c r="JU44" i="1"/>
  <c r="JW44" i="1" s="1"/>
  <c r="KP43" i="1"/>
  <c r="KN43" i="1"/>
  <c r="KJ43" i="1"/>
  <c r="KH43" i="1"/>
  <c r="KF43" i="1"/>
  <c r="KD43" i="1"/>
  <c r="KB43" i="1"/>
  <c r="JZ43" i="1"/>
  <c r="JU43" i="1"/>
  <c r="JW43" i="1" s="1"/>
  <c r="KQ42" i="1"/>
  <c r="KN42" i="1"/>
  <c r="KJ42" i="1"/>
  <c r="KH42" i="1"/>
  <c r="KF42" i="1"/>
  <c r="KD42" i="1"/>
  <c r="KB42" i="1"/>
  <c r="JZ42" i="1"/>
  <c r="JU42" i="1"/>
  <c r="KP41" i="1"/>
  <c r="KN41" i="1"/>
  <c r="KJ41" i="1"/>
  <c r="KH41" i="1"/>
  <c r="KF41" i="1"/>
  <c r="KD41" i="1"/>
  <c r="KB41" i="1"/>
  <c r="JZ41" i="1"/>
  <c r="JU41" i="1"/>
  <c r="JW41" i="1" s="1"/>
  <c r="KQ40" i="1"/>
  <c r="KN40" i="1"/>
  <c r="KJ40" i="1"/>
  <c r="KH40" i="1"/>
  <c r="KF40" i="1"/>
  <c r="KD40" i="1"/>
  <c r="KB40" i="1"/>
  <c r="JZ40" i="1"/>
  <c r="JU40" i="1"/>
  <c r="JW40" i="1" s="1"/>
  <c r="KR39" i="1"/>
  <c r="KN39" i="1"/>
  <c r="KJ39" i="1"/>
  <c r="KH39" i="1"/>
  <c r="KF39" i="1"/>
  <c r="KD39" i="1"/>
  <c r="KB39" i="1"/>
  <c r="JZ39" i="1"/>
  <c r="JU39" i="1"/>
  <c r="JW39" i="1" s="1"/>
  <c r="KQ38" i="1"/>
  <c r="KN38" i="1"/>
  <c r="KJ38" i="1"/>
  <c r="KH38" i="1"/>
  <c r="KF38" i="1"/>
  <c r="KD38" i="1"/>
  <c r="KB38" i="1"/>
  <c r="JZ38" i="1"/>
  <c r="JU38" i="1"/>
  <c r="JW38" i="1" s="1"/>
  <c r="KQ37" i="1"/>
  <c r="KN37" i="1"/>
  <c r="KJ37" i="1"/>
  <c r="KH37" i="1"/>
  <c r="KF37" i="1"/>
  <c r="KD37" i="1"/>
  <c r="KB37" i="1"/>
  <c r="JZ37" i="1"/>
  <c r="JU37" i="1"/>
  <c r="JW37" i="1" s="1"/>
  <c r="KP36" i="1"/>
  <c r="KN36" i="1"/>
  <c r="KJ36" i="1"/>
  <c r="KH36" i="1"/>
  <c r="KF36" i="1"/>
  <c r="KD36" i="1"/>
  <c r="KB36" i="1"/>
  <c r="JZ36" i="1"/>
  <c r="JU36" i="1"/>
  <c r="KQ34" i="1"/>
  <c r="KN34" i="1"/>
  <c r="KJ34" i="1"/>
  <c r="KH34" i="1"/>
  <c r="KF34" i="1"/>
  <c r="KD34" i="1"/>
  <c r="KB34" i="1"/>
  <c r="JZ34" i="1"/>
  <c r="JU34" i="1"/>
  <c r="KQ33" i="1"/>
  <c r="KN33" i="1"/>
  <c r="KJ33" i="1"/>
  <c r="KH33" i="1"/>
  <c r="KF33" i="1"/>
  <c r="KD33" i="1"/>
  <c r="KB33" i="1"/>
  <c r="JZ33" i="1"/>
  <c r="JU33" i="1"/>
  <c r="JW33" i="1" s="1"/>
  <c r="KP32" i="1"/>
  <c r="KP35" i="1" s="1"/>
  <c r="KN32" i="1"/>
  <c r="KJ32" i="1"/>
  <c r="KH32" i="1"/>
  <c r="KF32" i="1"/>
  <c r="KD32" i="1"/>
  <c r="KB32" i="1"/>
  <c r="JZ32" i="1"/>
  <c r="JU32" i="1"/>
  <c r="JW32" i="1" s="1"/>
  <c r="KQ31" i="1"/>
  <c r="KN31" i="1"/>
  <c r="KJ31" i="1"/>
  <c r="KH31" i="1"/>
  <c r="KF31" i="1"/>
  <c r="KD31" i="1"/>
  <c r="KB31" i="1"/>
  <c r="JZ31" i="1"/>
  <c r="JU31" i="1"/>
  <c r="JW31" i="1" s="1"/>
  <c r="KQ30" i="1"/>
  <c r="KN30" i="1"/>
  <c r="KJ30" i="1"/>
  <c r="KH30" i="1"/>
  <c r="KF30" i="1"/>
  <c r="KD30" i="1"/>
  <c r="KB30" i="1"/>
  <c r="JZ30" i="1"/>
  <c r="JU30" i="1"/>
  <c r="JW30" i="1" s="1"/>
  <c r="KQ29" i="1"/>
  <c r="KN29" i="1"/>
  <c r="KJ29" i="1"/>
  <c r="KH29" i="1"/>
  <c r="KF29" i="1"/>
  <c r="KD29" i="1"/>
  <c r="KB29" i="1"/>
  <c r="JZ29" i="1"/>
  <c r="JU29" i="1"/>
  <c r="KR28" i="1"/>
  <c r="KN28" i="1"/>
  <c r="KJ28" i="1"/>
  <c r="KH28" i="1"/>
  <c r="KF28" i="1"/>
  <c r="KD28" i="1"/>
  <c r="KB28" i="1"/>
  <c r="JZ28" i="1"/>
  <c r="JU28" i="1"/>
  <c r="KR27" i="1"/>
  <c r="KN27" i="1"/>
  <c r="KJ27" i="1"/>
  <c r="KH27" i="1"/>
  <c r="KF27" i="1"/>
  <c r="KD27" i="1"/>
  <c r="KB27" i="1"/>
  <c r="JZ27" i="1"/>
  <c r="JU27" i="1"/>
  <c r="KQ26" i="1"/>
  <c r="KN26" i="1"/>
  <c r="KJ26" i="1"/>
  <c r="KH26" i="1"/>
  <c r="KF26" i="1"/>
  <c r="KD26" i="1"/>
  <c r="KB26" i="1"/>
  <c r="KC26" i="1" s="1"/>
  <c r="JZ26" i="1"/>
  <c r="JU26" i="1"/>
  <c r="JS22" i="1"/>
  <c r="JQ22" i="1"/>
  <c r="KQ21" i="1"/>
  <c r="KN21" i="1"/>
  <c r="KJ21" i="1"/>
  <c r="KH21" i="1"/>
  <c r="KF21" i="1"/>
  <c r="KD21" i="1"/>
  <c r="KB21" i="1"/>
  <c r="JZ21" i="1"/>
  <c r="JU21" i="1"/>
  <c r="JW21" i="1" s="1"/>
  <c r="KR20" i="1"/>
  <c r="KN20" i="1"/>
  <c r="KJ20" i="1"/>
  <c r="KH20" i="1"/>
  <c r="KF20" i="1"/>
  <c r="KD20" i="1"/>
  <c r="KB20" i="1"/>
  <c r="JZ20" i="1"/>
  <c r="JU20" i="1"/>
  <c r="KP19" i="1"/>
  <c r="KN19" i="1"/>
  <c r="KJ19" i="1"/>
  <c r="KH19" i="1"/>
  <c r="KF19" i="1"/>
  <c r="KD19" i="1"/>
  <c r="KB19" i="1"/>
  <c r="JZ19" i="1"/>
  <c r="JU19" i="1"/>
  <c r="JW19" i="1" s="1"/>
  <c r="KQ18" i="1"/>
  <c r="KN18" i="1"/>
  <c r="KJ18" i="1"/>
  <c r="KH18" i="1"/>
  <c r="KF18" i="1"/>
  <c r="KD18" i="1"/>
  <c r="KB18" i="1"/>
  <c r="JZ18" i="1"/>
  <c r="JU18" i="1"/>
  <c r="JW18" i="1" s="1"/>
  <c r="KP17" i="1"/>
  <c r="KN17" i="1"/>
  <c r="KJ17" i="1"/>
  <c r="KH17" i="1"/>
  <c r="KF17" i="1"/>
  <c r="KD17" i="1"/>
  <c r="KB17" i="1"/>
  <c r="JZ17" i="1"/>
  <c r="JU17" i="1"/>
  <c r="JW17" i="1" s="1"/>
  <c r="KR16" i="1"/>
  <c r="KN16" i="1"/>
  <c r="KJ16" i="1"/>
  <c r="KH16" i="1"/>
  <c r="KF16" i="1"/>
  <c r="KD16" i="1"/>
  <c r="KB16" i="1"/>
  <c r="JZ16" i="1"/>
  <c r="JU16" i="1"/>
  <c r="KQ15" i="1"/>
  <c r="KN15" i="1"/>
  <c r="KJ15" i="1"/>
  <c r="KH15" i="1"/>
  <c r="KF15" i="1"/>
  <c r="KD15" i="1"/>
  <c r="KB15" i="1"/>
  <c r="JZ15" i="1"/>
  <c r="JU15" i="1"/>
  <c r="JW15" i="1" s="1"/>
  <c r="KQ14" i="1"/>
  <c r="KN14" i="1"/>
  <c r="KJ14" i="1"/>
  <c r="KH14" i="1"/>
  <c r="KF14" i="1"/>
  <c r="KD14" i="1"/>
  <c r="KB14" i="1"/>
  <c r="JZ14" i="1"/>
  <c r="JU14" i="1"/>
  <c r="JW14" i="1" s="1"/>
  <c r="KQ13" i="1"/>
  <c r="KN13" i="1"/>
  <c r="KJ13" i="1"/>
  <c r="KH13" i="1"/>
  <c r="KF13" i="1"/>
  <c r="KD13" i="1"/>
  <c r="KB13" i="1"/>
  <c r="JZ13" i="1"/>
  <c r="JU13" i="1"/>
  <c r="JW13" i="1" s="1"/>
  <c r="KQ11" i="1"/>
  <c r="KN11" i="1"/>
  <c r="KJ11" i="1"/>
  <c r="KH11" i="1"/>
  <c r="KF11" i="1"/>
  <c r="KD11" i="1"/>
  <c r="KB11" i="1"/>
  <c r="JZ11" i="1"/>
  <c r="JU11" i="1"/>
  <c r="JW11" i="1" s="1"/>
  <c r="KP10" i="1"/>
  <c r="KN10" i="1"/>
  <c r="KJ10" i="1"/>
  <c r="KH10" i="1"/>
  <c r="KF10" i="1"/>
  <c r="KD10" i="1"/>
  <c r="KB10" i="1"/>
  <c r="JZ10" i="1"/>
  <c r="JU10" i="1"/>
  <c r="JW10" i="1" s="1"/>
  <c r="KR9" i="1"/>
  <c r="KN9" i="1"/>
  <c r="KJ9" i="1"/>
  <c r="KH9" i="1"/>
  <c r="KF9" i="1"/>
  <c r="KD9" i="1"/>
  <c r="KB9" i="1"/>
  <c r="JZ9" i="1"/>
  <c r="JU9" i="1"/>
  <c r="KQ8" i="1"/>
  <c r="KN8" i="1"/>
  <c r="KJ8" i="1"/>
  <c r="KH8" i="1"/>
  <c r="KF8" i="1"/>
  <c r="KD8" i="1"/>
  <c r="KB8" i="1"/>
  <c r="JZ8" i="1"/>
  <c r="JU8" i="1"/>
  <c r="JW8" i="1" s="1"/>
  <c r="KQ7" i="1"/>
  <c r="KN7" i="1"/>
  <c r="KJ7" i="1"/>
  <c r="KH7" i="1"/>
  <c r="KF7" i="1"/>
  <c r="KD7" i="1"/>
  <c r="KB7" i="1"/>
  <c r="JZ7" i="1"/>
  <c r="JU7" i="1"/>
  <c r="JW7" i="1" s="1"/>
  <c r="KP6" i="1"/>
  <c r="KN6" i="1"/>
  <c r="KJ6" i="1"/>
  <c r="KH6" i="1"/>
  <c r="KF6" i="1"/>
  <c r="KD6" i="1"/>
  <c r="KB6" i="1"/>
  <c r="JZ6" i="1"/>
  <c r="JU6" i="1"/>
  <c r="JW6" i="1" s="1"/>
  <c r="KQ5" i="1"/>
  <c r="KN5" i="1"/>
  <c r="KJ5" i="1"/>
  <c r="KH5" i="1"/>
  <c r="KF5" i="1"/>
  <c r="KD5" i="1"/>
  <c r="KB5" i="1"/>
  <c r="JZ5" i="1"/>
  <c r="JU5" i="1"/>
  <c r="JW5" i="1" s="1"/>
  <c r="KR4" i="1"/>
  <c r="KN4" i="1"/>
  <c r="KJ4" i="1"/>
  <c r="KH4" i="1"/>
  <c r="KF4" i="1"/>
  <c r="KD4" i="1"/>
  <c r="KB4" i="1"/>
  <c r="JZ4" i="1"/>
  <c r="JU4" i="1"/>
  <c r="JW4" i="1" s="1"/>
  <c r="KT3" i="1"/>
  <c r="KQ3" i="1"/>
  <c r="KN3" i="1"/>
  <c r="KO3" i="1" s="1"/>
  <c r="KJ3" i="1"/>
  <c r="KK3" i="1" s="1"/>
  <c r="KH3" i="1"/>
  <c r="KI3" i="1" s="1"/>
  <c r="KF3" i="1"/>
  <c r="KD3" i="1"/>
  <c r="KE3" i="1" s="1"/>
  <c r="KB3" i="1"/>
  <c r="KC3" i="1" s="1"/>
  <c r="JZ3" i="1"/>
  <c r="KA3" i="1" s="1"/>
  <c r="JU3" i="1"/>
  <c r="JT3" i="1"/>
  <c r="JT4" i="1" s="1"/>
  <c r="JT5" i="1" s="1"/>
  <c r="JT6" i="1" s="1"/>
  <c r="JT7" i="1" s="1"/>
  <c r="JT8" i="1" s="1"/>
  <c r="JT9" i="1" s="1"/>
  <c r="JT10" i="1" s="1"/>
  <c r="JT11" i="1" s="1"/>
  <c r="JT13" i="1" s="1"/>
  <c r="JT14" i="1" s="1"/>
  <c r="JT15" i="1" s="1"/>
  <c r="JT16" i="1" s="1"/>
  <c r="JT17" i="1" s="1"/>
  <c r="JT18" i="1" s="1"/>
  <c r="JT19" i="1" s="1"/>
  <c r="JT20" i="1" s="1"/>
  <c r="JT21" i="1" s="1"/>
  <c r="JT26" i="1" s="1"/>
  <c r="JT27" i="1" s="1"/>
  <c r="JT28" i="1" s="1"/>
  <c r="JT29" i="1" s="1"/>
  <c r="JT30" i="1" s="1"/>
  <c r="JT31" i="1" s="1"/>
  <c r="JT32" i="1" s="1"/>
  <c r="JT33" i="1" s="1"/>
  <c r="JT34" i="1" s="1"/>
  <c r="JT36" i="1" s="1"/>
  <c r="JT37" i="1" s="1"/>
  <c r="JT38" i="1" s="1"/>
  <c r="JT39" i="1" s="1"/>
  <c r="JT40" i="1" s="1"/>
  <c r="JT41" i="1" s="1"/>
  <c r="JT42" i="1" s="1"/>
  <c r="JT43" i="1" s="1"/>
  <c r="JT44" i="1" s="1"/>
  <c r="JT50" i="1" s="1"/>
  <c r="JT51" i="1" s="1"/>
  <c r="JT52" i="1" s="1"/>
  <c r="JT53" i="1" s="1"/>
  <c r="JT54" i="1" s="1"/>
  <c r="JT55" i="1" s="1"/>
  <c r="JT56" i="1" s="1"/>
  <c r="JT57" i="1" s="1"/>
  <c r="JT58" i="1" s="1"/>
  <c r="JT60" i="1" s="1"/>
  <c r="JT61" i="1" s="1"/>
  <c r="JT62" i="1" s="1"/>
  <c r="JT63" i="1" s="1"/>
  <c r="JT64" i="1" s="1"/>
  <c r="JT65" i="1" s="1"/>
  <c r="JT66" i="1" s="1"/>
  <c r="JT67" i="1" s="1"/>
  <c r="JT68" i="1" s="1"/>
  <c r="JT74" i="1" s="1"/>
  <c r="JT75" i="1" s="1"/>
  <c r="JT76" i="1" s="1"/>
  <c r="JT77" i="1" s="1"/>
  <c r="JT78" i="1" s="1"/>
  <c r="JT79" i="1" s="1"/>
  <c r="JT80" i="1" s="1"/>
  <c r="JT81" i="1" s="1"/>
  <c r="JT82" i="1" s="1"/>
  <c r="JT84" i="1" s="1"/>
  <c r="JT85" i="1" s="1"/>
  <c r="JT86" i="1" s="1"/>
  <c r="JT87" i="1" s="1"/>
  <c r="JT88" i="1" s="1"/>
  <c r="JT89" i="1" s="1"/>
  <c r="JT90" i="1" s="1"/>
  <c r="JT91" i="1" s="1"/>
  <c r="JT92" i="1" s="1"/>
  <c r="IO93" i="1"/>
  <c r="IM93" i="1"/>
  <c r="JM92" i="1"/>
  <c r="JJ92" i="1"/>
  <c r="JF92" i="1"/>
  <c r="JD92" i="1"/>
  <c r="JB92" i="1"/>
  <c r="IZ92" i="1"/>
  <c r="IX92" i="1"/>
  <c r="IV92" i="1"/>
  <c r="IQ92" i="1"/>
  <c r="JN91" i="1"/>
  <c r="JJ91" i="1"/>
  <c r="JF91" i="1"/>
  <c r="JD91" i="1"/>
  <c r="JB91" i="1"/>
  <c r="IZ91" i="1"/>
  <c r="IX91" i="1"/>
  <c r="IV91" i="1"/>
  <c r="IQ91" i="1"/>
  <c r="IS91" i="1" s="1"/>
  <c r="JL90" i="1"/>
  <c r="JJ90" i="1"/>
  <c r="JF90" i="1"/>
  <c r="JD90" i="1"/>
  <c r="JB90" i="1"/>
  <c r="IZ90" i="1"/>
  <c r="IX90" i="1"/>
  <c r="IV90" i="1"/>
  <c r="IQ90" i="1"/>
  <c r="IS90" i="1" s="1"/>
  <c r="JM89" i="1"/>
  <c r="JJ89" i="1"/>
  <c r="JF89" i="1"/>
  <c r="JD89" i="1"/>
  <c r="JB89" i="1"/>
  <c r="IZ89" i="1"/>
  <c r="IX89" i="1"/>
  <c r="IV89" i="1"/>
  <c r="IQ89" i="1"/>
  <c r="IS89" i="1" s="1"/>
  <c r="JL88" i="1"/>
  <c r="JJ88" i="1"/>
  <c r="JF88" i="1"/>
  <c r="JD88" i="1"/>
  <c r="JB88" i="1"/>
  <c r="IZ88" i="1"/>
  <c r="IX88" i="1"/>
  <c r="IV88" i="1"/>
  <c r="IQ88" i="1"/>
  <c r="IS88" i="1" s="1"/>
  <c r="JN87" i="1"/>
  <c r="JJ87" i="1"/>
  <c r="JF87" i="1"/>
  <c r="JD87" i="1"/>
  <c r="JB87" i="1"/>
  <c r="IZ87" i="1"/>
  <c r="IX87" i="1"/>
  <c r="IV87" i="1"/>
  <c r="IQ87" i="1"/>
  <c r="IS87" i="1" s="1"/>
  <c r="JM86" i="1"/>
  <c r="JJ86" i="1"/>
  <c r="JF86" i="1"/>
  <c r="JD86" i="1"/>
  <c r="JB86" i="1"/>
  <c r="IZ86" i="1"/>
  <c r="IX86" i="1"/>
  <c r="IV86" i="1"/>
  <c r="IQ86" i="1"/>
  <c r="IS86" i="1" s="1"/>
  <c r="JM85" i="1"/>
  <c r="JJ85" i="1"/>
  <c r="JF85" i="1"/>
  <c r="JD85" i="1"/>
  <c r="JB85" i="1"/>
  <c r="IZ85" i="1"/>
  <c r="IX85" i="1"/>
  <c r="IV85" i="1"/>
  <c r="IQ85" i="1"/>
  <c r="IS85" i="1" s="1"/>
  <c r="JM84" i="1"/>
  <c r="JJ84" i="1"/>
  <c r="JF84" i="1"/>
  <c r="JD84" i="1"/>
  <c r="JB84" i="1"/>
  <c r="IZ84" i="1"/>
  <c r="IX84" i="1"/>
  <c r="IV84" i="1"/>
  <c r="IQ84" i="1"/>
  <c r="JM82" i="1"/>
  <c r="JJ82" i="1"/>
  <c r="JF82" i="1"/>
  <c r="JD82" i="1"/>
  <c r="JB82" i="1"/>
  <c r="IZ82" i="1"/>
  <c r="IX82" i="1"/>
  <c r="IV82" i="1"/>
  <c r="IQ82" i="1"/>
  <c r="IS82" i="1" s="1"/>
  <c r="JL81" i="1"/>
  <c r="JJ81" i="1"/>
  <c r="JF81" i="1"/>
  <c r="JD81" i="1"/>
  <c r="JB81" i="1"/>
  <c r="IZ81" i="1"/>
  <c r="IX81" i="1"/>
  <c r="IV81" i="1"/>
  <c r="IQ81" i="1"/>
  <c r="IS81" i="1" s="1"/>
  <c r="JN80" i="1"/>
  <c r="JJ80" i="1"/>
  <c r="JF80" i="1"/>
  <c r="JD80" i="1"/>
  <c r="JB80" i="1"/>
  <c r="IZ80" i="1"/>
  <c r="IX80" i="1"/>
  <c r="IV80" i="1"/>
  <c r="IQ80" i="1"/>
  <c r="IS80" i="1" s="1"/>
  <c r="JM79" i="1"/>
  <c r="JJ79" i="1"/>
  <c r="JF79" i="1"/>
  <c r="JD79" i="1"/>
  <c r="JB79" i="1"/>
  <c r="IZ79" i="1"/>
  <c r="IX79" i="1"/>
  <c r="IV79" i="1"/>
  <c r="IQ79" i="1"/>
  <c r="IS79" i="1" s="1"/>
  <c r="JM78" i="1"/>
  <c r="JJ78" i="1"/>
  <c r="JF78" i="1"/>
  <c r="JD78" i="1"/>
  <c r="JB78" i="1"/>
  <c r="IZ78" i="1"/>
  <c r="IX78" i="1"/>
  <c r="IV78" i="1"/>
  <c r="IQ78" i="1"/>
  <c r="IS78" i="1" s="1"/>
  <c r="JL77" i="1"/>
  <c r="JJ77" i="1"/>
  <c r="JF77" i="1"/>
  <c r="JD77" i="1"/>
  <c r="JB77" i="1"/>
  <c r="IZ77" i="1"/>
  <c r="IX77" i="1"/>
  <c r="IV77" i="1"/>
  <c r="IQ77" i="1"/>
  <c r="IS77" i="1" s="1"/>
  <c r="JM76" i="1"/>
  <c r="JJ76" i="1"/>
  <c r="JF76" i="1"/>
  <c r="JD76" i="1"/>
  <c r="JB76" i="1"/>
  <c r="IZ76" i="1"/>
  <c r="IX76" i="1"/>
  <c r="IV76" i="1"/>
  <c r="IQ76" i="1"/>
  <c r="JN75" i="1"/>
  <c r="JJ75" i="1"/>
  <c r="JF75" i="1"/>
  <c r="JD75" i="1"/>
  <c r="JB75" i="1"/>
  <c r="IZ75" i="1"/>
  <c r="IX75" i="1"/>
  <c r="IV75" i="1"/>
  <c r="IQ75" i="1"/>
  <c r="IS75" i="1" s="1"/>
  <c r="JM74" i="1"/>
  <c r="JJ74" i="1"/>
  <c r="JF74" i="1"/>
  <c r="JD74" i="1"/>
  <c r="JB74" i="1"/>
  <c r="IZ74" i="1"/>
  <c r="IX74" i="1"/>
  <c r="IV74" i="1"/>
  <c r="IW74" i="1" s="1"/>
  <c r="IQ74" i="1"/>
  <c r="IS74" i="1" s="1"/>
  <c r="IM69" i="1"/>
  <c r="J5" i="7" s="1"/>
  <c r="JN68" i="1"/>
  <c r="JB68" i="1"/>
  <c r="IZ68" i="1"/>
  <c r="IX68" i="1"/>
  <c r="IV68" i="1"/>
  <c r="JL67" i="1"/>
  <c r="JB67" i="1"/>
  <c r="IZ67" i="1"/>
  <c r="IX67" i="1"/>
  <c r="IV67" i="1"/>
  <c r="JM66" i="1"/>
  <c r="JB66" i="1"/>
  <c r="IZ66" i="1"/>
  <c r="IX66" i="1"/>
  <c r="IV66" i="1"/>
  <c r="JL65" i="1"/>
  <c r="JB65" i="1"/>
  <c r="IZ65" i="1"/>
  <c r="IX65" i="1"/>
  <c r="IV65" i="1"/>
  <c r="JM64" i="1"/>
  <c r="JB64" i="1"/>
  <c r="IZ64" i="1"/>
  <c r="IX64" i="1"/>
  <c r="IV64" i="1"/>
  <c r="JN63" i="1"/>
  <c r="JB63" i="1"/>
  <c r="IZ63" i="1"/>
  <c r="IX63" i="1"/>
  <c r="IV63" i="1"/>
  <c r="JM62" i="1"/>
  <c r="JB62" i="1"/>
  <c r="IZ62" i="1"/>
  <c r="IX62" i="1"/>
  <c r="IV62" i="1"/>
  <c r="JM61" i="1"/>
  <c r="JB61" i="1"/>
  <c r="IZ61" i="1"/>
  <c r="IX61" i="1"/>
  <c r="IV61" i="1"/>
  <c r="JL60" i="1"/>
  <c r="JB60" i="1"/>
  <c r="IZ60" i="1"/>
  <c r="IX60" i="1"/>
  <c r="IV60" i="1"/>
  <c r="JM58" i="1"/>
  <c r="JB58" i="1"/>
  <c r="IZ58" i="1"/>
  <c r="IX58" i="1"/>
  <c r="IV58" i="1"/>
  <c r="JM57" i="1"/>
  <c r="JB57" i="1"/>
  <c r="IZ57" i="1"/>
  <c r="IX57" i="1"/>
  <c r="IV57" i="1"/>
  <c r="JL56" i="1"/>
  <c r="JL59" i="1" s="1"/>
  <c r="JB56" i="1"/>
  <c r="IZ56" i="1"/>
  <c r="IX56" i="1"/>
  <c r="IV56" i="1"/>
  <c r="JM55" i="1"/>
  <c r="JB55" i="1"/>
  <c r="IZ55" i="1"/>
  <c r="IX55" i="1"/>
  <c r="IV55" i="1"/>
  <c r="JM54" i="1"/>
  <c r="JB54" i="1"/>
  <c r="IZ54" i="1"/>
  <c r="IX54" i="1"/>
  <c r="IV54" i="1"/>
  <c r="JM53" i="1"/>
  <c r="JB53" i="1"/>
  <c r="IZ53" i="1"/>
  <c r="IX53" i="1"/>
  <c r="IV53" i="1"/>
  <c r="JN52" i="1"/>
  <c r="JD52" i="1"/>
  <c r="JB52" i="1"/>
  <c r="IZ52" i="1"/>
  <c r="IX52" i="1"/>
  <c r="IV52" i="1"/>
  <c r="JN51" i="1"/>
  <c r="JJ51" i="1"/>
  <c r="JF51" i="1"/>
  <c r="JD51" i="1"/>
  <c r="JB51" i="1"/>
  <c r="IZ51" i="1"/>
  <c r="IX51" i="1"/>
  <c r="IV51" i="1"/>
  <c r="IQ51" i="1"/>
  <c r="IS51" i="1" s="1"/>
  <c r="JM50" i="1"/>
  <c r="JJ50" i="1"/>
  <c r="JF50" i="1"/>
  <c r="JD50" i="1"/>
  <c r="JB50" i="1"/>
  <c r="JC50" i="1" s="1"/>
  <c r="IZ50" i="1"/>
  <c r="IX50" i="1"/>
  <c r="IV50" i="1"/>
  <c r="IQ50" i="1"/>
  <c r="IO45" i="1"/>
  <c r="J12" i="6" s="1"/>
  <c r="IM45" i="1"/>
  <c r="JN44" i="1"/>
  <c r="JJ44" i="1"/>
  <c r="JF44" i="1"/>
  <c r="JD44" i="1"/>
  <c r="JB44" i="1"/>
  <c r="IZ44" i="1"/>
  <c r="IX44" i="1"/>
  <c r="IV44" i="1"/>
  <c r="IQ44" i="1"/>
  <c r="IS44" i="1" s="1"/>
  <c r="JL43" i="1"/>
  <c r="JJ43" i="1"/>
  <c r="JF43" i="1"/>
  <c r="JD43" i="1"/>
  <c r="JB43" i="1"/>
  <c r="IZ43" i="1"/>
  <c r="IX43" i="1"/>
  <c r="IV43" i="1"/>
  <c r="IQ43" i="1"/>
  <c r="IS43" i="1" s="1"/>
  <c r="JM42" i="1"/>
  <c r="JJ42" i="1"/>
  <c r="JF42" i="1"/>
  <c r="JD42" i="1"/>
  <c r="JB42" i="1"/>
  <c r="IZ42" i="1"/>
  <c r="IX42" i="1"/>
  <c r="IV42" i="1"/>
  <c r="IQ42" i="1"/>
  <c r="JL41" i="1"/>
  <c r="JJ41" i="1"/>
  <c r="JF41" i="1"/>
  <c r="JD41" i="1"/>
  <c r="JB41" i="1"/>
  <c r="IZ41" i="1"/>
  <c r="IX41" i="1"/>
  <c r="IV41" i="1"/>
  <c r="IQ41" i="1"/>
  <c r="IS41" i="1" s="1"/>
  <c r="JM40" i="1"/>
  <c r="JJ40" i="1"/>
  <c r="JF40" i="1"/>
  <c r="JD40" i="1"/>
  <c r="JB40" i="1"/>
  <c r="IZ40" i="1"/>
  <c r="IX40" i="1"/>
  <c r="IV40" i="1"/>
  <c r="IQ40" i="1"/>
  <c r="IS40" i="1" s="1"/>
  <c r="JN39" i="1"/>
  <c r="JJ39" i="1"/>
  <c r="JF39" i="1"/>
  <c r="JD39" i="1"/>
  <c r="JB39" i="1"/>
  <c r="IZ39" i="1"/>
  <c r="IX39" i="1"/>
  <c r="IV39" i="1"/>
  <c r="IQ39" i="1"/>
  <c r="IS39" i="1" s="1"/>
  <c r="JM38" i="1"/>
  <c r="JJ38" i="1"/>
  <c r="JF38" i="1"/>
  <c r="JD38" i="1"/>
  <c r="JB38" i="1"/>
  <c r="IZ38" i="1"/>
  <c r="IX38" i="1"/>
  <c r="IV38" i="1"/>
  <c r="IQ38" i="1"/>
  <c r="IS38" i="1" s="1"/>
  <c r="JM37" i="1"/>
  <c r="JJ37" i="1"/>
  <c r="JF37" i="1"/>
  <c r="JD37" i="1"/>
  <c r="JB37" i="1"/>
  <c r="IZ37" i="1"/>
  <c r="IX37" i="1"/>
  <c r="IV37" i="1"/>
  <c r="IQ37" i="1"/>
  <c r="IS37" i="1" s="1"/>
  <c r="JL36" i="1"/>
  <c r="JJ36" i="1"/>
  <c r="JF36" i="1"/>
  <c r="JD36" i="1"/>
  <c r="JB36" i="1"/>
  <c r="IZ36" i="1"/>
  <c r="IX36" i="1"/>
  <c r="IV36" i="1"/>
  <c r="IQ36" i="1"/>
  <c r="IS36" i="1" s="1"/>
  <c r="JM34" i="1"/>
  <c r="JJ34" i="1"/>
  <c r="JF34" i="1"/>
  <c r="JD34" i="1"/>
  <c r="JB34" i="1"/>
  <c r="IZ34" i="1"/>
  <c r="IX34" i="1"/>
  <c r="IV34" i="1"/>
  <c r="IQ34" i="1"/>
  <c r="JM33" i="1"/>
  <c r="JJ33" i="1"/>
  <c r="JF33" i="1"/>
  <c r="JD33" i="1"/>
  <c r="JB33" i="1"/>
  <c r="IZ33" i="1"/>
  <c r="IX33" i="1"/>
  <c r="IV33" i="1"/>
  <c r="IQ33" i="1"/>
  <c r="IS33" i="1" s="1"/>
  <c r="JL32" i="1"/>
  <c r="JL35" i="1" s="1"/>
  <c r="JJ32" i="1"/>
  <c r="JF32" i="1"/>
  <c r="JD32" i="1"/>
  <c r="JB32" i="1"/>
  <c r="IZ32" i="1"/>
  <c r="IX32" i="1"/>
  <c r="IV32" i="1"/>
  <c r="IQ32" i="1"/>
  <c r="IS32" i="1" s="1"/>
  <c r="JM31" i="1"/>
  <c r="JJ31" i="1"/>
  <c r="JF31" i="1"/>
  <c r="JD31" i="1"/>
  <c r="JB31" i="1"/>
  <c r="IZ31" i="1"/>
  <c r="IX31" i="1"/>
  <c r="IV31" i="1"/>
  <c r="IQ31" i="1"/>
  <c r="IS31" i="1" s="1"/>
  <c r="JM30" i="1"/>
  <c r="JJ30" i="1"/>
  <c r="JF30" i="1"/>
  <c r="JD30" i="1"/>
  <c r="JB30" i="1"/>
  <c r="IZ30" i="1"/>
  <c r="IX30" i="1"/>
  <c r="IV30" i="1"/>
  <c r="IQ30" i="1"/>
  <c r="IS30" i="1" s="1"/>
  <c r="JM29" i="1"/>
  <c r="JJ29" i="1"/>
  <c r="JF29" i="1"/>
  <c r="JD29" i="1"/>
  <c r="JB29" i="1"/>
  <c r="IZ29" i="1"/>
  <c r="IX29" i="1"/>
  <c r="IV29" i="1"/>
  <c r="IQ29" i="1"/>
  <c r="IS29" i="1" s="1"/>
  <c r="JN28" i="1"/>
  <c r="JJ28" i="1"/>
  <c r="JF28" i="1"/>
  <c r="JD28" i="1"/>
  <c r="JB28" i="1"/>
  <c r="IZ28" i="1"/>
  <c r="IX28" i="1"/>
  <c r="IV28" i="1"/>
  <c r="IQ28" i="1"/>
  <c r="IS28" i="1" s="1"/>
  <c r="JN27" i="1"/>
  <c r="JJ27" i="1"/>
  <c r="JF27" i="1"/>
  <c r="JD27" i="1"/>
  <c r="JB27" i="1"/>
  <c r="IZ27" i="1"/>
  <c r="IX27" i="1"/>
  <c r="IV27" i="1"/>
  <c r="IQ27" i="1"/>
  <c r="IS27" i="1" s="1"/>
  <c r="JM26" i="1"/>
  <c r="JJ26" i="1"/>
  <c r="JF26" i="1"/>
  <c r="JD26" i="1"/>
  <c r="JB26" i="1"/>
  <c r="IZ26" i="1"/>
  <c r="IX26" i="1"/>
  <c r="IY26" i="1" s="1"/>
  <c r="IV26" i="1"/>
  <c r="IQ26" i="1"/>
  <c r="IO22" i="1"/>
  <c r="J12" i="4" s="1"/>
  <c r="IM22" i="1"/>
  <c r="JM21" i="1"/>
  <c r="JJ21" i="1"/>
  <c r="JF21" i="1"/>
  <c r="JD21" i="1"/>
  <c r="JB21" i="1"/>
  <c r="IZ21" i="1"/>
  <c r="IX21" i="1"/>
  <c r="IV21" i="1"/>
  <c r="IQ21" i="1"/>
  <c r="IS21" i="1" s="1"/>
  <c r="JN20" i="1"/>
  <c r="JJ20" i="1"/>
  <c r="JF20" i="1"/>
  <c r="JD20" i="1"/>
  <c r="JB20" i="1"/>
  <c r="IZ20" i="1"/>
  <c r="IX20" i="1"/>
  <c r="IV20" i="1"/>
  <c r="IQ20" i="1"/>
  <c r="IS20" i="1" s="1"/>
  <c r="JL19" i="1"/>
  <c r="JJ19" i="1"/>
  <c r="JF19" i="1"/>
  <c r="JD19" i="1"/>
  <c r="JB19" i="1"/>
  <c r="IZ19" i="1"/>
  <c r="IX19" i="1"/>
  <c r="IV19" i="1"/>
  <c r="IQ19" i="1"/>
  <c r="IS19" i="1" s="1"/>
  <c r="JM18" i="1"/>
  <c r="JJ18" i="1"/>
  <c r="JF18" i="1"/>
  <c r="JD18" i="1"/>
  <c r="JB18" i="1"/>
  <c r="IZ18" i="1"/>
  <c r="IX18" i="1"/>
  <c r="IV18" i="1"/>
  <c r="IQ18" i="1"/>
  <c r="IS18" i="1" s="1"/>
  <c r="JL17" i="1"/>
  <c r="JJ17" i="1"/>
  <c r="JF17" i="1"/>
  <c r="JD17" i="1"/>
  <c r="JB17" i="1"/>
  <c r="IZ17" i="1"/>
  <c r="IX17" i="1"/>
  <c r="IV17" i="1"/>
  <c r="IQ17" i="1"/>
  <c r="IS17" i="1" s="1"/>
  <c r="JN16" i="1"/>
  <c r="JJ16" i="1"/>
  <c r="JF16" i="1"/>
  <c r="JD16" i="1"/>
  <c r="JB16" i="1"/>
  <c r="IZ16" i="1"/>
  <c r="IX16" i="1"/>
  <c r="IV16" i="1"/>
  <c r="IQ16" i="1"/>
  <c r="IS16" i="1" s="1"/>
  <c r="JM15" i="1"/>
  <c r="JJ15" i="1"/>
  <c r="JF15" i="1"/>
  <c r="JD15" i="1"/>
  <c r="JB15" i="1"/>
  <c r="IZ15" i="1"/>
  <c r="IX15" i="1"/>
  <c r="IV15" i="1"/>
  <c r="IQ15" i="1"/>
  <c r="IS15" i="1" s="1"/>
  <c r="JM14" i="1"/>
  <c r="JJ14" i="1"/>
  <c r="JF14" i="1"/>
  <c r="JD14" i="1"/>
  <c r="JB14" i="1"/>
  <c r="IZ14" i="1"/>
  <c r="IX14" i="1"/>
  <c r="IV14" i="1"/>
  <c r="IQ14" i="1"/>
  <c r="IS14" i="1" s="1"/>
  <c r="JM13" i="1"/>
  <c r="JJ13" i="1"/>
  <c r="JF13" i="1"/>
  <c r="JD13" i="1"/>
  <c r="JB13" i="1"/>
  <c r="IZ13" i="1"/>
  <c r="IX13" i="1"/>
  <c r="IV13" i="1"/>
  <c r="IQ13" i="1"/>
  <c r="IS13" i="1" s="1"/>
  <c r="JM11" i="1"/>
  <c r="JJ11" i="1"/>
  <c r="JF11" i="1"/>
  <c r="JD11" i="1"/>
  <c r="JB11" i="1"/>
  <c r="IZ11" i="1"/>
  <c r="IX11" i="1"/>
  <c r="IV11" i="1"/>
  <c r="IQ11" i="1"/>
  <c r="IS11" i="1" s="1"/>
  <c r="JL10" i="1"/>
  <c r="JJ10" i="1"/>
  <c r="JF10" i="1"/>
  <c r="JD10" i="1"/>
  <c r="JB10" i="1"/>
  <c r="IZ10" i="1"/>
  <c r="IX10" i="1"/>
  <c r="IV10" i="1"/>
  <c r="IQ10" i="1"/>
  <c r="IS10" i="1" s="1"/>
  <c r="JN9" i="1"/>
  <c r="JJ9" i="1"/>
  <c r="JF9" i="1"/>
  <c r="JD9" i="1"/>
  <c r="JB9" i="1"/>
  <c r="IZ9" i="1"/>
  <c r="IX9" i="1"/>
  <c r="IV9" i="1"/>
  <c r="IQ9" i="1"/>
  <c r="IS9" i="1" s="1"/>
  <c r="JM8" i="1"/>
  <c r="JJ8" i="1"/>
  <c r="JF8" i="1"/>
  <c r="JD8" i="1"/>
  <c r="JB8" i="1"/>
  <c r="IZ8" i="1"/>
  <c r="IX8" i="1"/>
  <c r="IV8" i="1"/>
  <c r="IQ8" i="1"/>
  <c r="IS8" i="1" s="1"/>
  <c r="JM7" i="1"/>
  <c r="JJ7" i="1"/>
  <c r="JF7" i="1"/>
  <c r="JD7" i="1"/>
  <c r="JB7" i="1"/>
  <c r="IZ7" i="1"/>
  <c r="IX7" i="1"/>
  <c r="IV7" i="1"/>
  <c r="IQ7" i="1"/>
  <c r="IS7" i="1" s="1"/>
  <c r="JL6" i="1"/>
  <c r="JJ6" i="1"/>
  <c r="JF6" i="1"/>
  <c r="JD6" i="1"/>
  <c r="JB6" i="1"/>
  <c r="IZ6" i="1"/>
  <c r="IX6" i="1"/>
  <c r="IV6" i="1"/>
  <c r="IQ6" i="1"/>
  <c r="IS6" i="1" s="1"/>
  <c r="JM5" i="1"/>
  <c r="JJ5" i="1"/>
  <c r="JF5" i="1"/>
  <c r="JD5" i="1"/>
  <c r="JB5" i="1"/>
  <c r="IZ5" i="1"/>
  <c r="IX5" i="1"/>
  <c r="IV5" i="1"/>
  <c r="IQ5" i="1"/>
  <c r="IS5" i="1" s="1"/>
  <c r="JN4" i="1"/>
  <c r="JJ4" i="1"/>
  <c r="JF4" i="1"/>
  <c r="JD4" i="1"/>
  <c r="JB4" i="1"/>
  <c r="IZ4" i="1"/>
  <c r="IX4" i="1"/>
  <c r="IV4" i="1"/>
  <c r="IQ4" i="1"/>
  <c r="IS4" i="1" s="1"/>
  <c r="JM3" i="1"/>
  <c r="JJ3" i="1"/>
  <c r="JF3" i="1"/>
  <c r="JG3" i="1" s="1"/>
  <c r="JD3" i="1"/>
  <c r="JB3" i="1"/>
  <c r="IZ3" i="1"/>
  <c r="IX3" i="1"/>
  <c r="IY3" i="1" s="1"/>
  <c r="IV3" i="1"/>
  <c r="IQ3" i="1"/>
  <c r="IP3" i="1"/>
  <c r="IP4" i="1" s="1"/>
  <c r="IP5" i="1" s="1"/>
  <c r="IP6" i="1" s="1"/>
  <c r="IP7" i="1" s="1"/>
  <c r="IP8" i="1" s="1"/>
  <c r="IP9" i="1" s="1"/>
  <c r="IP10" i="1" s="1"/>
  <c r="IP11" i="1" s="1"/>
  <c r="IP13" i="1" s="1"/>
  <c r="IP14" i="1" s="1"/>
  <c r="IP15" i="1" s="1"/>
  <c r="IP16" i="1" s="1"/>
  <c r="IP17" i="1" s="1"/>
  <c r="IP18" i="1" s="1"/>
  <c r="IP19" i="1" s="1"/>
  <c r="IP20" i="1" s="1"/>
  <c r="IP21" i="1" s="1"/>
  <c r="IP26" i="1" s="1"/>
  <c r="IP27" i="1" s="1"/>
  <c r="IP28" i="1" s="1"/>
  <c r="IP29" i="1" s="1"/>
  <c r="IP30" i="1" s="1"/>
  <c r="IP31" i="1" s="1"/>
  <c r="IP32" i="1" s="1"/>
  <c r="IP33" i="1" s="1"/>
  <c r="IP34" i="1" s="1"/>
  <c r="IP36" i="1" s="1"/>
  <c r="IP37" i="1" s="1"/>
  <c r="IP38" i="1" s="1"/>
  <c r="IP39" i="1" s="1"/>
  <c r="IP40" i="1" s="1"/>
  <c r="IP41" i="1" s="1"/>
  <c r="IP42" i="1" s="1"/>
  <c r="IP43" i="1" s="1"/>
  <c r="IP44" i="1" s="1"/>
  <c r="IP50" i="1" s="1"/>
  <c r="IP51" i="1" s="1"/>
  <c r="HK93" i="1"/>
  <c r="HI93" i="1"/>
  <c r="HI94" i="1" s="1"/>
  <c r="I3" i="9" s="1"/>
  <c r="II92" i="1"/>
  <c r="IF92" i="1"/>
  <c r="IB92" i="1"/>
  <c r="HZ92" i="1"/>
  <c r="HX92" i="1"/>
  <c r="HV92" i="1"/>
  <c r="HT92" i="1"/>
  <c r="HR92" i="1"/>
  <c r="HM92" i="1"/>
  <c r="HO92" i="1" s="1"/>
  <c r="IJ91" i="1"/>
  <c r="IF91" i="1"/>
  <c r="IB91" i="1"/>
  <c r="HZ91" i="1"/>
  <c r="HX91" i="1"/>
  <c r="HV91" i="1"/>
  <c r="HT91" i="1"/>
  <c r="HR91" i="1"/>
  <c r="HM91" i="1"/>
  <c r="HO91" i="1" s="1"/>
  <c r="IH90" i="1"/>
  <c r="IF90" i="1"/>
  <c r="IB90" i="1"/>
  <c r="HZ90" i="1"/>
  <c r="HX90" i="1"/>
  <c r="HV90" i="1"/>
  <c r="HT90" i="1"/>
  <c r="HR90" i="1"/>
  <c r="HM90" i="1"/>
  <c r="II89" i="1"/>
  <c r="IF89" i="1"/>
  <c r="IB89" i="1"/>
  <c r="HZ89" i="1"/>
  <c r="HX89" i="1"/>
  <c r="HV89" i="1"/>
  <c r="HT89" i="1"/>
  <c r="HR89" i="1"/>
  <c r="HM89" i="1"/>
  <c r="HO89" i="1" s="1"/>
  <c r="IH88" i="1"/>
  <c r="IF88" i="1"/>
  <c r="IB88" i="1"/>
  <c r="HZ88" i="1"/>
  <c r="HX88" i="1"/>
  <c r="HV88" i="1"/>
  <c r="HT88" i="1"/>
  <c r="HR88" i="1"/>
  <c r="HM88" i="1"/>
  <c r="HO88" i="1" s="1"/>
  <c r="IJ87" i="1"/>
  <c r="IF87" i="1"/>
  <c r="IB87" i="1"/>
  <c r="HZ87" i="1"/>
  <c r="HX87" i="1"/>
  <c r="HV87" i="1"/>
  <c r="HT87" i="1"/>
  <c r="HR87" i="1"/>
  <c r="HM87" i="1"/>
  <c r="HO87" i="1" s="1"/>
  <c r="II86" i="1"/>
  <c r="IF86" i="1"/>
  <c r="IB86" i="1"/>
  <c r="HZ86" i="1"/>
  <c r="HX86" i="1"/>
  <c r="HV86" i="1"/>
  <c r="HT86" i="1"/>
  <c r="HR86" i="1"/>
  <c r="HM86" i="1"/>
  <c r="HO86" i="1" s="1"/>
  <c r="II85" i="1"/>
  <c r="IF85" i="1"/>
  <c r="IB85" i="1"/>
  <c r="HZ85" i="1"/>
  <c r="HX85" i="1"/>
  <c r="HV85" i="1"/>
  <c r="HT85" i="1"/>
  <c r="HR85" i="1"/>
  <c r="HM85" i="1"/>
  <c r="HO85" i="1" s="1"/>
  <c r="II84" i="1"/>
  <c r="IF84" i="1"/>
  <c r="IB84" i="1"/>
  <c r="HZ84" i="1"/>
  <c r="HX84" i="1"/>
  <c r="HV84" i="1"/>
  <c r="HT84" i="1"/>
  <c r="HR84" i="1"/>
  <c r="HM84" i="1"/>
  <c r="HO84" i="1" s="1"/>
  <c r="II82" i="1"/>
  <c r="IF82" i="1"/>
  <c r="IB82" i="1"/>
  <c r="HZ82" i="1"/>
  <c r="HX82" i="1"/>
  <c r="HV82" i="1"/>
  <c r="HT82" i="1"/>
  <c r="HR82" i="1"/>
  <c r="HM82" i="1"/>
  <c r="IH81" i="1"/>
  <c r="IF81" i="1"/>
  <c r="IB81" i="1"/>
  <c r="HZ81" i="1"/>
  <c r="HX81" i="1"/>
  <c r="HV81" i="1"/>
  <c r="HT81" i="1"/>
  <c r="HR81" i="1"/>
  <c r="HM81" i="1"/>
  <c r="HO81" i="1" s="1"/>
  <c r="IJ80" i="1"/>
  <c r="IF80" i="1"/>
  <c r="IB80" i="1"/>
  <c r="HZ80" i="1"/>
  <c r="HX80" i="1"/>
  <c r="HV80" i="1"/>
  <c r="HT80" i="1"/>
  <c r="HR80" i="1"/>
  <c r="HM80" i="1"/>
  <c r="HO80" i="1" s="1"/>
  <c r="II79" i="1"/>
  <c r="IF79" i="1"/>
  <c r="IB79" i="1"/>
  <c r="HZ79" i="1"/>
  <c r="HX79" i="1"/>
  <c r="HV79" i="1"/>
  <c r="HT79" i="1"/>
  <c r="HR79" i="1"/>
  <c r="HM79" i="1"/>
  <c r="HO79" i="1" s="1"/>
  <c r="II78" i="1"/>
  <c r="IF78" i="1"/>
  <c r="IB78" i="1"/>
  <c r="HZ78" i="1"/>
  <c r="HX78" i="1"/>
  <c r="HV78" i="1"/>
  <c r="HT78" i="1"/>
  <c r="HR78" i="1"/>
  <c r="HM78" i="1"/>
  <c r="HO78" i="1" s="1"/>
  <c r="IH77" i="1"/>
  <c r="IF77" i="1"/>
  <c r="IB77" i="1"/>
  <c r="HZ77" i="1"/>
  <c r="HX77" i="1"/>
  <c r="HV77" i="1"/>
  <c r="HT77" i="1"/>
  <c r="HR77" i="1"/>
  <c r="HM77" i="1"/>
  <c r="HO77" i="1" s="1"/>
  <c r="II76" i="1"/>
  <c r="IF76" i="1"/>
  <c r="IB76" i="1"/>
  <c r="HZ76" i="1"/>
  <c r="HX76" i="1"/>
  <c r="HV76" i="1"/>
  <c r="HT76" i="1"/>
  <c r="HR76" i="1"/>
  <c r="HM76" i="1"/>
  <c r="IJ75" i="1"/>
  <c r="IF75" i="1"/>
  <c r="IB75" i="1"/>
  <c r="HZ75" i="1"/>
  <c r="HX75" i="1"/>
  <c r="HV75" i="1"/>
  <c r="HT75" i="1"/>
  <c r="HR75" i="1"/>
  <c r="HM75" i="1"/>
  <c r="HO75" i="1" s="1"/>
  <c r="II74" i="1"/>
  <c r="IF74" i="1"/>
  <c r="IB74" i="1"/>
  <c r="HZ74" i="1"/>
  <c r="HX74" i="1"/>
  <c r="HV74" i="1"/>
  <c r="HT74" i="1"/>
  <c r="HR74" i="1"/>
  <c r="HS74" i="1" s="1"/>
  <c r="HM74" i="1"/>
  <c r="HK69" i="1"/>
  <c r="I12" i="7" s="1"/>
  <c r="HI69" i="1"/>
  <c r="I5" i="7" s="1"/>
  <c r="IJ68" i="1"/>
  <c r="IF68" i="1"/>
  <c r="IB68" i="1"/>
  <c r="HZ68" i="1"/>
  <c r="HX68" i="1"/>
  <c r="HV68" i="1"/>
  <c r="HT68" i="1"/>
  <c r="HR68" i="1"/>
  <c r="HM68" i="1"/>
  <c r="HO68" i="1" s="1"/>
  <c r="IH67" i="1"/>
  <c r="IF67" i="1"/>
  <c r="IB67" i="1"/>
  <c r="HZ67" i="1"/>
  <c r="HX67" i="1"/>
  <c r="HV67" i="1"/>
  <c r="HT67" i="1"/>
  <c r="HR67" i="1"/>
  <c r="HM67" i="1"/>
  <c r="HO67" i="1" s="1"/>
  <c r="II66" i="1"/>
  <c r="IF66" i="1"/>
  <c r="IB66" i="1"/>
  <c r="HZ66" i="1"/>
  <c r="HX66" i="1"/>
  <c r="HV66" i="1"/>
  <c r="HT66" i="1"/>
  <c r="HR66" i="1"/>
  <c r="HM66" i="1"/>
  <c r="HO66" i="1" s="1"/>
  <c r="IH65" i="1"/>
  <c r="IF65" i="1"/>
  <c r="IB65" i="1"/>
  <c r="HZ65" i="1"/>
  <c r="HX65" i="1"/>
  <c r="HV65" i="1"/>
  <c r="HT65" i="1"/>
  <c r="HR65" i="1"/>
  <c r="HM65" i="1"/>
  <c r="HO65" i="1" s="1"/>
  <c r="II64" i="1"/>
  <c r="IF64" i="1"/>
  <c r="IB64" i="1"/>
  <c r="HZ64" i="1"/>
  <c r="HX64" i="1"/>
  <c r="HV64" i="1"/>
  <c r="HT64" i="1"/>
  <c r="HR64" i="1"/>
  <c r="HM64" i="1"/>
  <c r="IJ63" i="1"/>
  <c r="IF63" i="1"/>
  <c r="IB63" i="1"/>
  <c r="HZ63" i="1"/>
  <c r="HX63" i="1"/>
  <c r="HV63" i="1"/>
  <c r="HT63" i="1"/>
  <c r="HR63" i="1"/>
  <c r="HM63" i="1"/>
  <c r="HO63" i="1" s="1"/>
  <c r="II62" i="1"/>
  <c r="IF62" i="1"/>
  <c r="IB62" i="1"/>
  <c r="HZ62" i="1"/>
  <c r="HX62" i="1"/>
  <c r="HV62" i="1"/>
  <c r="HT62" i="1"/>
  <c r="HR62" i="1"/>
  <c r="HM62" i="1"/>
  <c r="HO62" i="1" s="1"/>
  <c r="II61" i="1"/>
  <c r="IF61" i="1"/>
  <c r="IB61" i="1"/>
  <c r="HZ61" i="1"/>
  <c r="HX61" i="1"/>
  <c r="HV61" i="1"/>
  <c r="HT61" i="1"/>
  <c r="HR61" i="1"/>
  <c r="HM61" i="1"/>
  <c r="HO61" i="1" s="1"/>
  <c r="IH60" i="1"/>
  <c r="IF60" i="1"/>
  <c r="IB60" i="1"/>
  <c r="HZ60" i="1"/>
  <c r="HX60" i="1"/>
  <c r="HV60" i="1"/>
  <c r="HT60" i="1"/>
  <c r="HR60" i="1"/>
  <c r="HM60" i="1"/>
  <c r="HO60" i="1" s="1"/>
  <c r="II58" i="1"/>
  <c r="IF58" i="1"/>
  <c r="IB58" i="1"/>
  <c r="HZ58" i="1"/>
  <c r="HX58" i="1"/>
  <c r="HV58" i="1"/>
  <c r="HT58" i="1"/>
  <c r="HR58" i="1"/>
  <c r="HM58" i="1"/>
  <c r="HO58" i="1" s="1"/>
  <c r="II57" i="1"/>
  <c r="IF57" i="1"/>
  <c r="IB57" i="1"/>
  <c r="HZ57" i="1"/>
  <c r="HX57" i="1"/>
  <c r="HV57" i="1"/>
  <c r="HT57" i="1"/>
  <c r="HR57" i="1"/>
  <c r="HM57" i="1"/>
  <c r="HO57" i="1" s="1"/>
  <c r="IH56" i="1"/>
  <c r="IH59" i="1" s="1"/>
  <c r="IF56" i="1"/>
  <c r="IB56" i="1"/>
  <c r="HZ56" i="1"/>
  <c r="HX56" i="1"/>
  <c r="HV56" i="1"/>
  <c r="HT56" i="1"/>
  <c r="HR56" i="1"/>
  <c r="HM56" i="1"/>
  <c r="II55" i="1"/>
  <c r="IF55" i="1"/>
  <c r="IB55" i="1"/>
  <c r="HZ55" i="1"/>
  <c r="HX55" i="1"/>
  <c r="HV55" i="1"/>
  <c r="HT55" i="1"/>
  <c r="HR55" i="1"/>
  <c r="HM55" i="1"/>
  <c r="HO55" i="1" s="1"/>
  <c r="II54" i="1"/>
  <c r="IF54" i="1"/>
  <c r="IB54" i="1"/>
  <c r="HZ54" i="1"/>
  <c r="HX54" i="1"/>
  <c r="HV54" i="1"/>
  <c r="HT54" i="1"/>
  <c r="HR54" i="1"/>
  <c r="HM54" i="1"/>
  <c r="HO54" i="1" s="1"/>
  <c r="II53" i="1"/>
  <c r="IF53" i="1"/>
  <c r="IB53" i="1"/>
  <c r="HZ53" i="1"/>
  <c r="HX53" i="1"/>
  <c r="HV53" i="1"/>
  <c r="HT53" i="1"/>
  <c r="HR53" i="1"/>
  <c r="HM53" i="1"/>
  <c r="HO53" i="1" s="1"/>
  <c r="IJ52" i="1"/>
  <c r="IF52" i="1"/>
  <c r="IB52" i="1"/>
  <c r="HZ52" i="1"/>
  <c r="HX52" i="1"/>
  <c r="HV52" i="1"/>
  <c r="HT52" i="1"/>
  <c r="HR52" i="1"/>
  <c r="HM52" i="1"/>
  <c r="HO52" i="1" s="1"/>
  <c r="IJ51" i="1"/>
  <c r="IF51" i="1"/>
  <c r="IB51" i="1"/>
  <c r="HZ51" i="1"/>
  <c r="HX51" i="1"/>
  <c r="HV51" i="1"/>
  <c r="HT51" i="1"/>
  <c r="HR51" i="1"/>
  <c r="HM51" i="1"/>
  <c r="HO51" i="1" s="1"/>
  <c r="II50" i="1"/>
  <c r="IF50" i="1"/>
  <c r="IB50" i="1"/>
  <c r="HZ50" i="1"/>
  <c r="HX50" i="1"/>
  <c r="HV50" i="1"/>
  <c r="HT50" i="1"/>
  <c r="HU50" i="1" s="1"/>
  <c r="HR50" i="1"/>
  <c r="HM50" i="1"/>
  <c r="HO50" i="1" s="1"/>
  <c r="HK45" i="1"/>
  <c r="I12" i="6" s="1"/>
  <c r="HI45" i="1"/>
  <c r="HI46" i="1" s="1"/>
  <c r="I3" i="6" s="1"/>
  <c r="IJ44" i="1"/>
  <c r="IF44" i="1"/>
  <c r="IB44" i="1"/>
  <c r="HZ44" i="1"/>
  <c r="HX44" i="1"/>
  <c r="HV44" i="1"/>
  <c r="HT44" i="1"/>
  <c r="HR44" i="1"/>
  <c r="HM44" i="1"/>
  <c r="HO44" i="1" s="1"/>
  <c r="IH43" i="1"/>
  <c r="IF43" i="1"/>
  <c r="IB43" i="1"/>
  <c r="HZ43" i="1"/>
  <c r="HX43" i="1"/>
  <c r="HV43" i="1"/>
  <c r="HT43" i="1"/>
  <c r="HR43" i="1"/>
  <c r="HM43" i="1"/>
  <c r="HO43" i="1" s="1"/>
  <c r="II42" i="1"/>
  <c r="IF42" i="1"/>
  <c r="IB42" i="1"/>
  <c r="HZ42" i="1"/>
  <c r="HX42" i="1"/>
  <c r="HV42" i="1"/>
  <c r="HT42" i="1"/>
  <c r="HR42" i="1"/>
  <c r="HM42" i="1"/>
  <c r="IH41" i="1"/>
  <c r="IF41" i="1"/>
  <c r="IB41" i="1"/>
  <c r="HZ41" i="1"/>
  <c r="HX41" i="1"/>
  <c r="HV41" i="1"/>
  <c r="HT41" i="1"/>
  <c r="HR41" i="1"/>
  <c r="HM41" i="1"/>
  <c r="HO41" i="1" s="1"/>
  <c r="II40" i="1"/>
  <c r="IF40" i="1"/>
  <c r="IB40" i="1"/>
  <c r="HZ40" i="1"/>
  <c r="HX40" i="1"/>
  <c r="HV40" i="1"/>
  <c r="HT40" i="1"/>
  <c r="HR40" i="1"/>
  <c r="HM40" i="1"/>
  <c r="HO40" i="1" s="1"/>
  <c r="IJ39" i="1"/>
  <c r="IF39" i="1"/>
  <c r="IB39" i="1"/>
  <c r="HZ39" i="1"/>
  <c r="HX39" i="1"/>
  <c r="HV39" i="1"/>
  <c r="HT39" i="1"/>
  <c r="HR39" i="1"/>
  <c r="HM39" i="1"/>
  <c r="HO39" i="1" s="1"/>
  <c r="II38" i="1"/>
  <c r="IF38" i="1"/>
  <c r="IB38" i="1"/>
  <c r="HZ38" i="1"/>
  <c r="HX38" i="1"/>
  <c r="HV38" i="1"/>
  <c r="HT38" i="1"/>
  <c r="HR38" i="1"/>
  <c r="HM38" i="1"/>
  <c r="II37" i="1"/>
  <c r="IF37" i="1"/>
  <c r="IB37" i="1"/>
  <c r="HZ37" i="1"/>
  <c r="HX37" i="1"/>
  <c r="HV37" i="1"/>
  <c r="HT37" i="1"/>
  <c r="HR37" i="1"/>
  <c r="HM37" i="1"/>
  <c r="IH36" i="1"/>
  <c r="IF36" i="1"/>
  <c r="IB36" i="1"/>
  <c r="HZ36" i="1"/>
  <c r="HX36" i="1"/>
  <c r="HV36" i="1"/>
  <c r="HT36" i="1"/>
  <c r="HR36" i="1"/>
  <c r="HM36" i="1"/>
  <c r="HO36" i="1" s="1"/>
  <c r="II34" i="1"/>
  <c r="IF34" i="1"/>
  <c r="IB34" i="1"/>
  <c r="HZ34" i="1"/>
  <c r="HX34" i="1"/>
  <c r="HV34" i="1"/>
  <c r="HT34" i="1"/>
  <c r="HR34" i="1"/>
  <c r="HM34" i="1"/>
  <c r="II33" i="1"/>
  <c r="IF33" i="1"/>
  <c r="IB33" i="1"/>
  <c r="HZ33" i="1"/>
  <c r="HX33" i="1"/>
  <c r="HV33" i="1"/>
  <c r="HT33" i="1"/>
  <c r="HR33" i="1"/>
  <c r="HM33" i="1"/>
  <c r="HO33" i="1" s="1"/>
  <c r="IH32" i="1"/>
  <c r="IH35" i="1" s="1"/>
  <c r="IF32" i="1"/>
  <c r="IB32" i="1"/>
  <c r="HZ32" i="1"/>
  <c r="HX32" i="1"/>
  <c r="HV32" i="1"/>
  <c r="HT32" i="1"/>
  <c r="HR32" i="1"/>
  <c r="HM32" i="1"/>
  <c r="HO32" i="1" s="1"/>
  <c r="II31" i="1"/>
  <c r="IF31" i="1"/>
  <c r="IB31" i="1"/>
  <c r="HZ31" i="1"/>
  <c r="HX31" i="1"/>
  <c r="HV31" i="1"/>
  <c r="HT31" i="1"/>
  <c r="HR31" i="1"/>
  <c r="HM31" i="1"/>
  <c r="HO31" i="1" s="1"/>
  <c r="II30" i="1"/>
  <c r="IF30" i="1"/>
  <c r="IB30" i="1"/>
  <c r="HZ30" i="1"/>
  <c r="HX30" i="1"/>
  <c r="HV30" i="1"/>
  <c r="HT30" i="1"/>
  <c r="HR30" i="1"/>
  <c r="HM30" i="1"/>
  <c r="HO30" i="1" s="1"/>
  <c r="II29" i="1"/>
  <c r="IF29" i="1"/>
  <c r="IB29" i="1"/>
  <c r="HZ29" i="1"/>
  <c r="HX29" i="1"/>
  <c r="HV29" i="1"/>
  <c r="HT29" i="1"/>
  <c r="HR29" i="1"/>
  <c r="HM29" i="1"/>
  <c r="HO29" i="1" s="1"/>
  <c r="IJ28" i="1"/>
  <c r="IF28" i="1"/>
  <c r="IB28" i="1"/>
  <c r="HZ28" i="1"/>
  <c r="HX28" i="1"/>
  <c r="HV28" i="1"/>
  <c r="HT28" i="1"/>
  <c r="HR28" i="1"/>
  <c r="HM28" i="1"/>
  <c r="HO28" i="1" s="1"/>
  <c r="IJ27" i="1"/>
  <c r="IF27" i="1"/>
  <c r="IB27" i="1"/>
  <c r="HZ27" i="1"/>
  <c r="HX27" i="1"/>
  <c r="HV27" i="1"/>
  <c r="HT27" i="1"/>
  <c r="HR27" i="1"/>
  <c r="HM27" i="1"/>
  <c r="HO27" i="1" s="1"/>
  <c r="II26" i="1"/>
  <c r="IF26" i="1"/>
  <c r="IB26" i="1"/>
  <c r="HZ26" i="1"/>
  <c r="HX26" i="1"/>
  <c r="HY26" i="1" s="1"/>
  <c r="HV26" i="1"/>
  <c r="HT26" i="1"/>
  <c r="HU26" i="1" s="1"/>
  <c r="HR26" i="1"/>
  <c r="HS26" i="1" s="1"/>
  <c r="HM26" i="1"/>
  <c r="HK22" i="1"/>
  <c r="HI22" i="1"/>
  <c r="I5" i="4" s="1"/>
  <c r="II21" i="1"/>
  <c r="IF21" i="1"/>
  <c r="IB21" i="1"/>
  <c r="HZ21" i="1"/>
  <c r="HX21" i="1"/>
  <c r="HV21" i="1"/>
  <c r="HT21" i="1"/>
  <c r="HR21" i="1"/>
  <c r="HM21" i="1"/>
  <c r="HO21" i="1" s="1"/>
  <c r="IJ20" i="1"/>
  <c r="IF20" i="1"/>
  <c r="IB20" i="1"/>
  <c r="HZ20" i="1"/>
  <c r="HX20" i="1"/>
  <c r="HV20" i="1"/>
  <c r="HT20" i="1"/>
  <c r="HR20" i="1"/>
  <c r="HM20" i="1"/>
  <c r="IH19" i="1"/>
  <c r="IF19" i="1"/>
  <c r="IB19" i="1"/>
  <c r="HZ19" i="1"/>
  <c r="HX19" i="1"/>
  <c r="HV19" i="1"/>
  <c r="HT19" i="1"/>
  <c r="HR19" i="1"/>
  <c r="HM19" i="1"/>
  <c r="HO19" i="1" s="1"/>
  <c r="II18" i="1"/>
  <c r="IF18" i="1"/>
  <c r="IB18" i="1"/>
  <c r="HZ18" i="1"/>
  <c r="HX18" i="1"/>
  <c r="HV18" i="1"/>
  <c r="HT18" i="1"/>
  <c r="HR18" i="1"/>
  <c r="HM18" i="1"/>
  <c r="IH17" i="1"/>
  <c r="IF17" i="1"/>
  <c r="IB17" i="1"/>
  <c r="HZ17" i="1"/>
  <c r="HX17" i="1"/>
  <c r="HV17" i="1"/>
  <c r="HT17" i="1"/>
  <c r="HR17" i="1"/>
  <c r="HM17" i="1"/>
  <c r="HO17" i="1" s="1"/>
  <c r="IJ16" i="1"/>
  <c r="IF16" i="1"/>
  <c r="IB16" i="1"/>
  <c r="HZ16" i="1"/>
  <c r="HX16" i="1"/>
  <c r="HV16" i="1"/>
  <c r="HT16" i="1"/>
  <c r="HR16" i="1"/>
  <c r="HM16" i="1"/>
  <c r="HO16" i="1" s="1"/>
  <c r="II15" i="1"/>
  <c r="IF15" i="1"/>
  <c r="IB15" i="1"/>
  <c r="HZ15" i="1"/>
  <c r="HX15" i="1"/>
  <c r="HV15" i="1"/>
  <c r="HT15" i="1"/>
  <c r="HR15" i="1"/>
  <c r="HM15" i="1"/>
  <c r="HO15" i="1" s="1"/>
  <c r="II14" i="1"/>
  <c r="IF14" i="1"/>
  <c r="IB14" i="1"/>
  <c r="HZ14" i="1"/>
  <c r="HX14" i="1"/>
  <c r="HV14" i="1"/>
  <c r="HT14" i="1"/>
  <c r="HR14" i="1"/>
  <c r="HM14" i="1"/>
  <c r="HO14" i="1" s="1"/>
  <c r="II13" i="1"/>
  <c r="IF13" i="1"/>
  <c r="IB13" i="1"/>
  <c r="HZ13" i="1"/>
  <c r="HX13" i="1"/>
  <c r="HV13" i="1"/>
  <c r="HT13" i="1"/>
  <c r="HR13" i="1"/>
  <c r="HM13" i="1"/>
  <c r="HO13" i="1" s="1"/>
  <c r="II11" i="1"/>
  <c r="IF11" i="1"/>
  <c r="IB11" i="1"/>
  <c r="HZ11" i="1"/>
  <c r="HX11" i="1"/>
  <c r="HV11" i="1"/>
  <c r="HT11" i="1"/>
  <c r="HR11" i="1"/>
  <c r="HM11" i="1"/>
  <c r="HO11" i="1" s="1"/>
  <c r="IH10" i="1"/>
  <c r="IF10" i="1"/>
  <c r="IB10" i="1"/>
  <c r="HZ10" i="1"/>
  <c r="HX10" i="1"/>
  <c r="HV10" i="1"/>
  <c r="HT10" i="1"/>
  <c r="HR10" i="1"/>
  <c r="HM10" i="1"/>
  <c r="IJ9" i="1"/>
  <c r="IF9" i="1"/>
  <c r="IB9" i="1"/>
  <c r="HZ9" i="1"/>
  <c r="HX9" i="1"/>
  <c r="HV9" i="1"/>
  <c r="HT9" i="1"/>
  <c r="HR9" i="1"/>
  <c r="HM9" i="1"/>
  <c r="HO9" i="1" s="1"/>
  <c r="II8" i="1"/>
  <c r="IF8" i="1"/>
  <c r="IB8" i="1"/>
  <c r="HZ8" i="1"/>
  <c r="HX8" i="1"/>
  <c r="HV8" i="1"/>
  <c r="HT8" i="1"/>
  <c r="HR8" i="1"/>
  <c r="HM8" i="1"/>
  <c r="HO8" i="1" s="1"/>
  <c r="II7" i="1"/>
  <c r="IF7" i="1"/>
  <c r="IB7" i="1"/>
  <c r="HZ7" i="1"/>
  <c r="HX7" i="1"/>
  <c r="HV7" i="1"/>
  <c r="HT7" i="1"/>
  <c r="HR7" i="1"/>
  <c r="HM7" i="1"/>
  <c r="HO7" i="1" s="1"/>
  <c r="IH6" i="1"/>
  <c r="IF6" i="1"/>
  <c r="IB6" i="1"/>
  <c r="HZ6" i="1"/>
  <c r="HX6" i="1"/>
  <c r="HV6" i="1"/>
  <c r="HT6" i="1"/>
  <c r="HR6" i="1"/>
  <c r="HM6" i="1"/>
  <c r="HO6" i="1" s="1"/>
  <c r="II5" i="1"/>
  <c r="IF5" i="1"/>
  <c r="IB5" i="1"/>
  <c r="HZ5" i="1"/>
  <c r="HX5" i="1"/>
  <c r="HV5" i="1"/>
  <c r="HT5" i="1"/>
  <c r="HR5" i="1"/>
  <c r="HM5" i="1"/>
  <c r="HO5" i="1" s="1"/>
  <c r="IJ4" i="1"/>
  <c r="IF4" i="1"/>
  <c r="IB4" i="1"/>
  <c r="HZ4" i="1"/>
  <c r="HX4" i="1"/>
  <c r="HV4" i="1"/>
  <c r="HT4" i="1"/>
  <c r="HR4" i="1"/>
  <c r="HM4" i="1"/>
  <c r="II3" i="1"/>
  <c r="IF3" i="1"/>
  <c r="IG3" i="1" s="1"/>
  <c r="IB3" i="1"/>
  <c r="IC3" i="1" s="1"/>
  <c r="HZ3" i="1"/>
  <c r="HX3" i="1"/>
  <c r="HY3" i="1" s="1"/>
  <c r="HV3" i="1"/>
  <c r="HW3" i="1" s="1"/>
  <c r="HT3" i="1"/>
  <c r="HU3" i="1" s="1"/>
  <c r="HR3" i="1"/>
  <c r="HS3" i="1" s="1"/>
  <c r="HM3" i="1"/>
  <c r="HO3" i="1" s="1"/>
  <c r="HL3" i="1"/>
  <c r="HL4" i="1" s="1"/>
  <c r="HL5" i="1" s="1"/>
  <c r="HL6" i="1" s="1"/>
  <c r="HL7" i="1" s="1"/>
  <c r="HL8" i="1" s="1"/>
  <c r="HL9" i="1" s="1"/>
  <c r="HL10" i="1" s="1"/>
  <c r="HL11" i="1" s="1"/>
  <c r="HL13" i="1" s="1"/>
  <c r="HL14" i="1" s="1"/>
  <c r="HL15" i="1" s="1"/>
  <c r="HL16" i="1" s="1"/>
  <c r="HL17" i="1" s="1"/>
  <c r="HL18" i="1" s="1"/>
  <c r="HL19" i="1" s="1"/>
  <c r="HL20" i="1" s="1"/>
  <c r="HL21" i="1" s="1"/>
  <c r="HL26" i="1" s="1"/>
  <c r="HL27" i="1" s="1"/>
  <c r="HL28" i="1" s="1"/>
  <c r="HL29" i="1" s="1"/>
  <c r="HL30" i="1" s="1"/>
  <c r="HL31" i="1" s="1"/>
  <c r="HL32" i="1" s="1"/>
  <c r="HL33" i="1" s="1"/>
  <c r="HL34" i="1" s="1"/>
  <c r="HL36" i="1" s="1"/>
  <c r="HL37" i="1" s="1"/>
  <c r="HL38" i="1" s="1"/>
  <c r="HL39" i="1" s="1"/>
  <c r="HL40" i="1" s="1"/>
  <c r="HL41" i="1" s="1"/>
  <c r="HL42" i="1" s="1"/>
  <c r="HL43" i="1" s="1"/>
  <c r="HL44" i="1" s="1"/>
  <c r="HL50" i="1" s="1"/>
  <c r="HL51" i="1" s="1"/>
  <c r="HL52" i="1" s="1"/>
  <c r="HL53" i="1" s="1"/>
  <c r="HL54" i="1" s="1"/>
  <c r="HL55" i="1" s="1"/>
  <c r="HL56" i="1" s="1"/>
  <c r="HL57" i="1" s="1"/>
  <c r="HL58" i="1" s="1"/>
  <c r="HL60" i="1" s="1"/>
  <c r="HL61" i="1" s="1"/>
  <c r="HL62" i="1" s="1"/>
  <c r="HL63" i="1" s="1"/>
  <c r="HL64" i="1" s="1"/>
  <c r="HL65" i="1" s="1"/>
  <c r="HL66" i="1" s="1"/>
  <c r="HL67" i="1" s="1"/>
  <c r="HL68" i="1" s="1"/>
  <c r="HL74" i="1" s="1"/>
  <c r="HL75" i="1" s="1"/>
  <c r="HL76" i="1" s="1"/>
  <c r="HL77" i="1" s="1"/>
  <c r="HL78" i="1" s="1"/>
  <c r="HL79" i="1" s="1"/>
  <c r="HL80" i="1" s="1"/>
  <c r="HL81" i="1" s="1"/>
  <c r="HL82" i="1" s="1"/>
  <c r="HL84" i="1" s="1"/>
  <c r="HL85" i="1" s="1"/>
  <c r="HL86" i="1" s="1"/>
  <c r="HL87" i="1" s="1"/>
  <c r="HL88" i="1" s="1"/>
  <c r="HL89" i="1" s="1"/>
  <c r="HL90" i="1" s="1"/>
  <c r="HL91" i="1" s="1"/>
  <c r="HL92" i="1" s="1"/>
  <c r="GG93" i="1"/>
  <c r="GG94" i="1" s="1"/>
  <c r="H10" i="9" s="1"/>
  <c r="H24" i="9" s="1"/>
  <c r="GE93" i="1"/>
  <c r="H5" i="9" s="1"/>
  <c r="HE92" i="1"/>
  <c r="HB92" i="1"/>
  <c r="GX92" i="1"/>
  <c r="GV92" i="1"/>
  <c r="GT92" i="1"/>
  <c r="GR92" i="1"/>
  <c r="GP92" i="1"/>
  <c r="GN92" i="1"/>
  <c r="GI92" i="1"/>
  <c r="HF91" i="1"/>
  <c r="HB91" i="1"/>
  <c r="GX91" i="1"/>
  <c r="GV91" i="1"/>
  <c r="GT91" i="1"/>
  <c r="GR91" i="1"/>
  <c r="GP91" i="1"/>
  <c r="GN91" i="1"/>
  <c r="GI91" i="1"/>
  <c r="GK91" i="1" s="1"/>
  <c r="HD90" i="1"/>
  <c r="HB90" i="1"/>
  <c r="GX90" i="1"/>
  <c r="GV90" i="1"/>
  <c r="GT90" i="1"/>
  <c r="GR90" i="1"/>
  <c r="GP90" i="1"/>
  <c r="GN90" i="1"/>
  <c r="GI90" i="1"/>
  <c r="GK90" i="1" s="1"/>
  <c r="HE89" i="1"/>
  <c r="HB89" i="1"/>
  <c r="GX89" i="1"/>
  <c r="GV89" i="1"/>
  <c r="GT89" i="1"/>
  <c r="GR89" i="1"/>
  <c r="GP89" i="1"/>
  <c r="GN89" i="1"/>
  <c r="GI89" i="1"/>
  <c r="HD88" i="1"/>
  <c r="HB88" i="1"/>
  <c r="GX88" i="1"/>
  <c r="GV88" i="1"/>
  <c r="GT88" i="1"/>
  <c r="GR88" i="1"/>
  <c r="GP88" i="1"/>
  <c r="GN88" i="1"/>
  <c r="GI88" i="1"/>
  <c r="GK88" i="1" s="1"/>
  <c r="HF87" i="1"/>
  <c r="HB87" i="1"/>
  <c r="GX87" i="1"/>
  <c r="GV87" i="1"/>
  <c r="GT87" i="1"/>
  <c r="GR87" i="1"/>
  <c r="GP87" i="1"/>
  <c r="GN87" i="1"/>
  <c r="GI87" i="1"/>
  <c r="GK87" i="1" s="1"/>
  <c r="HE86" i="1"/>
  <c r="HB86" i="1"/>
  <c r="GX86" i="1"/>
  <c r="GV86" i="1"/>
  <c r="GT86" i="1"/>
  <c r="GR86" i="1"/>
  <c r="GP86" i="1"/>
  <c r="GN86" i="1"/>
  <c r="GI86" i="1"/>
  <c r="GK86" i="1" s="1"/>
  <c r="HE85" i="1"/>
  <c r="HB85" i="1"/>
  <c r="GX85" i="1"/>
  <c r="GV85" i="1"/>
  <c r="GT85" i="1"/>
  <c r="GR85" i="1"/>
  <c r="GP85" i="1"/>
  <c r="GN85" i="1"/>
  <c r="GI85" i="1"/>
  <c r="HE84" i="1"/>
  <c r="HB84" i="1"/>
  <c r="GX84" i="1"/>
  <c r="GV84" i="1"/>
  <c r="GT84" i="1"/>
  <c r="GR84" i="1"/>
  <c r="GP84" i="1"/>
  <c r="GN84" i="1"/>
  <c r="GI84" i="1"/>
  <c r="HE82" i="1"/>
  <c r="HB82" i="1"/>
  <c r="GX82" i="1"/>
  <c r="GV82" i="1"/>
  <c r="GT82" i="1"/>
  <c r="GR82" i="1"/>
  <c r="GP82" i="1"/>
  <c r="GN82" i="1"/>
  <c r="GI82" i="1"/>
  <c r="GK82" i="1" s="1"/>
  <c r="HD81" i="1"/>
  <c r="HB81" i="1"/>
  <c r="GX81" i="1"/>
  <c r="GV81" i="1"/>
  <c r="GT81" i="1"/>
  <c r="GR81" i="1"/>
  <c r="GP81" i="1"/>
  <c r="GN81" i="1"/>
  <c r="GI81" i="1"/>
  <c r="HF80" i="1"/>
  <c r="HB80" i="1"/>
  <c r="GX80" i="1"/>
  <c r="GV80" i="1"/>
  <c r="GT80" i="1"/>
  <c r="GR80" i="1"/>
  <c r="GP80" i="1"/>
  <c r="GN80" i="1"/>
  <c r="GI80" i="1"/>
  <c r="GK80" i="1" s="1"/>
  <c r="HE79" i="1"/>
  <c r="HB79" i="1"/>
  <c r="GX79" i="1"/>
  <c r="GV79" i="1"/>
  <c r="GT79" i="1"/>
  <c r="GR79" i="1"/>
  <c r="GP79" i="1"/>
  <c r="GN79" i="1"/>
  <c r="GI79" i="1"/>
  <c r="GK79" i="1" s="1"/>
  <c r="HE78" i="1"/>
  <c r="HB78" i="1"/>
  <c r="GX78" i="1"/>
  <c r="GV78" i="1"/>
  <c r="GT78" i="1"/>
  <c r="GR78" i="1"/>
  <c r="GP78" i="1"/>
  <c r="GN78" i="1"/>
  <c r="GI78" i="1"/>
  <c r="GK78" i="1" s="1"/>
  <c r="HD77" i="1"/>
  <c r="HB77" i="1"/>
  <c r="GX77" i="1"/>
  <c r="GV77" i="1"/>
  <c r="GT77" i="1"/>
  <c r="GR77" i="1"/>
  <c r="GP77" i="1"/>
  <c r="GN77" i="1"/>
  <c r="GI77" i="1"/>
  <c r="GK77" i="1" s="1"/>
  <c r="HE76" i="1"/>
  <c r="HB76" i="1"/>
  <c r="GX76" i="1"/>
  <c r="GV76" i="1"/>
  <c r="GT76" i="1"/>
  <c r="GR76" i="1"/>
  <c r="GP76" i="1"/>
  <c r="GN76" i="1"/>
  <c r="GI76" i="1"/>
  <c r="HF75" i="1"/>
  <c r="HB75" i="1"/>
  <c r="GX75" i="1"/>
  <c r="GV75" i="1"/>
  <c r="GT75" i="1"/>
  <c r="GR75" i="1"/>
  <c r="GP75" i="1"/>
  <c r="GN75" i="1"/>
  <c r="GI75" i="1"/>
  <c r="GK75" i="1" s="1"/>
  <c r="HE74" i="1"/>
  <c r="HB74" i="1"/>
  <c r="GX74" i="1"/>
  <c r="GV74" i="1"/>
  <c r="GW74" i="1" s="1"/>
  <c r="GT74" i="1"/>
  <c r="GR74" i="1"/>
  <c r="GS74" i="1" s="1"/>
  <c r="GP74" i="1"/>
  <c r="GN74" i="1"/>
  <c r="GO74" i="1" s="1"/>
  <c r="GI74" i="1"/>
  <c r="H12" i="7"/>
  <c r="GE69" i="1"/>
  <c r="H5" i="7" s="1"/>
  <c r="HF68" i="1"/>
  <c r="HB68" i="1"/>
  <c r="GX68" i="1"/>
  <c r="GV68" i="1"/>
  <c r="GT68" i="1"/>
  <c r="GR68" i="1"/>
  <c r="GP68" i="1"/>
  <c r="GN68" i="1"/>
  <c r="GI68" i="1"/>
  <c r="GK68" i="1" s="1"/>
  <c r="HD67" i="1"/>
  <c r="HB67" i="1"/>
  <c r="GX67" i="1"/>
  <c r="GV67" i="1"/>
  <c r="GT67" i="1"/>
  <c r="GR67" i="1"/>
  <c r="GP67" i="1"/>
  <c r="GN67" i="1"/>
  <c r="GI67" i="1"/>
  <c r="GK67" i="1" s="1"/>
  <c r="HE66" i="1"/>
  <c r="HB66" i="1"/>
  <c r="GX66" i="1"/>
  <c r="GV66" i="1"/>
  <c r="GT66" i="1"/>
  <c r="GR66" i="1"/>
  <c r="GP66" i="1"/>
  <c r="GN66" i="1"/>
  <c r="GI66" i="1"/>
  <c r="HD65" i="1"/>
  <c r="HB65" i="1"/>
  <c r="GX65" i="1"/>
  <c r="GV65" i="1"/>
  <c r="GT65" i="1"/>
  <c r="GR65" i="1"/>
  <c r="GP65" i="1"/>
  <c r="GN65" i="1"/>
  <c r="GI65" i="1"/>
  <c r="GK65" i="1" s="1"/>
  <c r="HE64" i="1"/>
  <c r="HB64" i="1"/>
  <c r="GX64" i="1"/>
  <c r="GV64" i="1"/>
  <c r="GT64" i="1"/>
  <c r="GR64" i="1"/>
  <c r="GP64" i="1"/>
  <c r="GN64" i="1"/>
  <c r="GI64" i="1"/>
  <c r="GK64" i="1" s="1"/>
  <c r="HF63" i="1"/>
  <c r="HB63" i="1"/>
  <c r="GX63" i="1"/>
  <c r="GV63" i="1"/>
  <c r="GT63" i="1"/>
  <c r="GR63" i="1"/>
  <c r="GP63" i="1"/>
  <c r="GN63" i="1"/>
  <c r="GI63" i="1"/>
  <c r="HE62" i="1"/>
  <c r="HB62" i="1"/>
  <c r="GX62" i="1"/>
  <c r="GV62" i="1"/>
  <c r="GT62" i="1"/>
  <c r="GR62" i="1"/>
  <c r="GP62" i="1"/>
  <c r="GN62" i="1"/>
  <c r="GI62" i="1"/>
  <c r="GK62" i="1" s="1"/>
  <c r="HE61" i="1"/>
  <c r="HB61" i="1"/>
  <c r="GX61" i="1"/>
  <c r="GV61" i="1"/>
  <c r="GT61" i="1"/>
  <c r="GR61" i="1"/>
  <c r="GP61" i="1"/>
  <c r="GN61" i="1"/>
  <c r="GI61" i="1"/>
  <c r="GK61" i="1" s="1"/>
  <c r="HD60" i="1"/>
  <c r="HB60" i="1"/>
  <c r="GX60" i="1"/>
  <c r="GV60" i="1"/>
  <c r="GT60" i="1"/>
  <c r="GR60" i="1"/>
  <c r="GP60" i="1"/>
  <c r="GN60" i="1"/>
  <c r="GI60" i="1"/>
  <c r="GK60" i="1" s="1"/>
  <c r="HE58" i="1"/>
  <c r="HB58" i="1"/>
  <c r="GX58" i="1"/>
  <c r="GV58" i="1"/>
  <c r="GT58" i="1"/>
  <c r="GR58" i="1"/>
  <c r="GP58" i="1"/>
  <c r="GN58" i="1"/>
  <c r="GI58" i="1"/>
  <c r="HE57" i="1"/>
  <c r="HB57" i="1"/>
  <c r="GX57" i="1"/>
  <c r="GV57" i="1"/>
  <c r="GT57" i="1"/>
  <c r="GR57" i="1"/>
  <c r="GP57" i="1"/>
  <c r="GN57" i="1"/>
  <c r="GI57" i="1"/>
  <c r="GK57" i="1" s="1"/>
  <c r="HD56" i="1"/>
  <c r="HD59" i="1" s="1"/>
  <c r="HB56" i="1"/>
  <c r="GX56" i="1"/>
  <c r="GV56" i="1"/>
  <c r="GT56" i="1"/>
  <c r="GR56" i="1"/>
  <c r="GP56" i="1"/>
  <c r="GN56" i="1"/>
  <c r="GI56" i="1"/>
  <c r="GK56" i="1" s="1"/>
  <c r="HE55" i="1"/>
  <c r="HB55" i="1"/>
  <c r="GX55" i="1"/>
  <c r="GV55" i="1"/>
  <c r="GT55" i="1"/>
  <c r="GR55" i="1"/>
  <c r="GP55" i="1"/>
  <c r="GN55" i="1"/>
  <c r="GI55" i="1"/>
  <c r="HE54" i="1"/>
  <c r="HB54" i="1"/>
  <c r="GX54" i="1"/>
  <c r="GV54" i="1"/>
  <c r="GT54" i="1"/>
  <c r="GR54" i="1"/>
  <c r="GP54" i="1"/>
  <c r="GN54" i="1"/>
  <c r="GI54" i="1"/>
  <c r="GK54" i="1" s="1"/>
  <c r="HE53" i="1"/>
  <c r="HB53" i="1"/>
  <c r="GX53" i="1"/>
  <c r="GV53" i="1"/>
  <c r="GT53" i="1"/>
  <c r="GR53" i="1"/>
  <c r="GP53" i="1"/>
  <c r="GN53" i="1"/>
  <c r="GI53" i="1"/>
  <c r="GK53" i="1" s="1"/>
  <c r="HF52" i="1"/>
  <c r="HB52" i="1"/>
  <c r="GX52" i="1"/>
  <c r="GV52" i="1"/>
  <c r="GT52" i="1"/>
  <c r="GR52" i="1"/>
  <c r="GP52" i="1"/>
  <c r="GN52" i="1"/>
  <c r="GI52" i="1"/>
  <c r="GK52" i="1" s="1"/>
  <c r="HF51" i="1"/>
  <c r="HB51" i="1"/>
  <c r="GX51" i="1"/>
  <c r="GV51" i="1"/>
  <c r="GT51" i="1"/>
  <c r="GR51" i="1"/>
  <c r="GP51" i="1"/>
  <c r="GN51" i="1"/>
  <c r="GI51" i="1"/>
  <c r="GK51" i="1" s="1"/>
  <c r="HE50" i="1"/>
  <c r="HB50" i="1"/>
  <c r="GX50" i="1"/>
  <c r="GV50" i="1"/>
  <c r="GW50" i="1" s="1"/>
  <c r="GT50" i="1"/>
  <c r="GU50" i="1" s="1"/>
  <c r="GR50" i="1"/>
  <c r="GP50" i="1"/>
  <c r="GQ50" i="1" s="1"/>
  <c r="GN50" i="1"/>
  <c r="GO50" i="1" s="1"/>
  <c r="GI50" i="1"/>
  <c r="GG45" i="1"/>
  <c r="H12" i="6" s="1"/>
  <c r="GE45" i="1"/>
  <c r="H5" i="6" s="1"/>
  <c r="HF44" i="1"/>
  <c r="HB44" i="1"/>
  <c r="GX44" i="1"/>
  <c r="GV44" i="1"/>
  <c r="GT44" i="1"/>
  <c r="GR44" i="1"/>
  <c r="GP44" i="1"/>
  <c r="GN44" i="1"/>
  <c r="GI44" i="1"/>
  <c r="GK44" i="1" s="1"/>
  <c r="HD43" i="1"/>
  <c r="HB43" i="1"/>
  <c r="GX43" i="1"/>
  <c r="GV43" i="1"/>
  <c r="GT43" i="1"/>
  <c r="GR43" i="1"/>
  <c r="GP43" i="1"/>
  <c r="GN43" i="1"/>
  <c r="GI43" i="1"/>
  <c r="HE42" i="1"/>
  <c r="HB42" i="1"/>
  <c r="GX42" i="1"/>
  <c r="GV42" i="1"/>
  <c r="GT42" i="1"/>
  <c r="GR42" i="1"/>
  <c r="GP42" i="1"/>
  <c r="GN42" i="1"/>
  <c r="GI42" i="1"/>
  <c r="GK42" i="1" s="1"/>
  <c r="HD41" i="1"/>
  <c r="HB41" i="1"/>
  <c r="GX41" i="1"/>
  <c r="GV41" i="1"/>
  <c r="GT41" i="1"/>
  <c r="GR41" i="1"/>
  <c r="GP41" i="1"/>
  <c r="GN41" i="1"/>
  <c r="GI41" i="1"/>
  <c r="GK41" i="1" s="1"/>
  <c r="HE40" i="1"/>
  <c r="HB40" i="1"/>
  <c r="GX40" i="1"/>
  <c r="GV40" i="1"/>
  <c r="GT40" i="1"/>
  <c r="GR40" i="1"/>
  <c r="GP40" i="1"/>
  <c r="GN40" i="1"/>
  <c r="GI40" i="1"/>
  <c r="GK40" i="1" s="1"/>
  <c r="HF39" i="1"/>
  <c r="HB39" i="1"/>
  <c r="GX39" i="1"/>
  <c r="GV39" i="1"/>
  <c r="GT39" i="1"/>
  <c r="GR39" i="1"/>
  <c r="GP39" i="1"/>
  <c r="GN39" i="1"/>
  <c r="GI39" i="1"/>
  <c r="GK39" i="1" s="1"/>
  <c r="HE38" i="1"/>
  <c r="HB38" i="1"/>
  <c r="GX38" i="1"/>
  <c r="GV38" i="1"/>
  <c r="GT38" i="1"/>
  <c r="GR38" i="1"/>
  <c r="GP38" i="1"/>
  <c r="GN38" i="1"/>
  <c r="GI38" i="1"/>
  <c r="HE37" i="1"/>
  <c r="HB37" i="1"/>
  <c r="GX37" i="1"/>
  <c r="GV37" i="1"/>
  <c r="GT37" i="1"/>
  <c r="GR37" i="1"/>
  <c r="GP37" i="1"/>
  <c r="GN37" i="1"/>
  <c r="GI37" i="1"/>
  <c r="GK37" i="1" s="1"/>
  <c r="HD36" i="1"/>
  <c r="HB36" i="1"/>
  <c r="GX36" i="1"/>
  <c r="GV36" i="1"/>
  <c r="GT36" i="1"/>
  <c r="GR36" i="1"/>
  <c r="GP36" i="1"/>
  <c r="GN36" i="1"/>
  <c r="GI36" i="1"/>
  <c r="GK36" i="1" s="1"/>
  <c r="HE34" i="1"/>
  <c r="HB34" i="1"/>
  <c r="GX34" i="1"/>
  <c r="GV34" i="1"/>
  <c r="GT34" i="1"/>
  <c r="GR34" i="1"/>
  <c r="GP34" i="1"/>
  <c r="GN34" i="1"/>
  <c r="GI34" i="1"/>
  <c r="HE33" i="1"/>
  <c r="HB33" i="1"/>
  <c r="GX33" i="1"/>
  <c r="GV33" i="1"/>
  <c r="GT33" i="1"/>
  <c r="GR33" i="1"/>
  <c r="GP33" i="1"/>
  <c r="GN33" i="1"/>
  <c r="GI33" i="1"/>
  <c r="GK33" i="1" s="1"/>
  <c r="HD32" i="1"/>
  <c r="HD35" i="1" s="1"/>
  <c r="HB32" i="1"/>
  <c r="GX32" i="1"/>
  <c r="GV32" i="1"/>
  <c r="GT32" i="1"/>
  <c r="GR32" i="1"/>
  <c r="GP32" i="1"/>
  <c r="GN32" i="1"/>
  <c r="GI32" i="1"/>
  <c r="GK32" i="1" s="1"/>
  <c r="HE31" i="1"/>
  <c r="HB31" i="1"/>
  <c r="GX31" i="1"/>
  <c r="GV31" i="1"/>
  <c r="GT31" i="1"/>
  <c r="GR31" i="1"/>
  <c r="GP31" i="1"/>
  <c r="GN31" i="1"/>
  <c r="GI31" i="1"/>
  <c r="HE30" i="1"/>
  <c r="HB30" i="1"/>
  <c r="GX30" i="1"/>
  <c r="GV30" i="1"/>
  <c r="GT30" i="1"/>
  <c r="GR30" i="1"/>
  <c r="GP30" i="1"/>
  <c r="GN30" i="1"/>
  <c r="GI30" i="1"/>
  <c r="GK30" i="1" s="1"/>
  <c r="HE29" i="1"/>
  <c r="HB29" i="1"/>
  <c r="GX29" i="1"/>
  <c r="GV29" i="1"/>
  <c r="GT29" i="1"/>
  <c r="GR29" i="1"/>
  <c r="GP29" i="1"/>
  <c r="GN29" i="1"/>
  <c r="GI29" i="1"/>
  <c r="GK29" i="1" s="1"/>
  <c r="HF28" i="1"/>
  <c r="HB28" i="1"/>
  <c r="GX28" i="1"/>
  <c r="GV28" i="1"/>
  <c r="GT28" i="1"/>
  <c r="GR28" i="1"/>
  <c r="GP28" i="1"/>
  <c r="GN28" i="1"/>
  <c r="GI28" i="1"/>
  <c r="HF27" i="1"/>
  <c r="HB27" i="1"/>
  <c r="GX27" i="1"/>
  <c r="GV27" i="1"/>
  <c r="GT27" i="1"/>
  <c r="GR27" i="1"/>
  <c r="GP27" i="1"/>
  <c r="GN27" i="1"/>
  <c r="GI27" i="1"/>
  <c r="GK27" i="1" s="1"/>
  <c r="HE26" i="1"/>
  <c r="HB26" i="1"/>
  <c r="GX26" i="1"/>
  <c r="GV26" i="1"/>
  <c r="GT26" i="1"/>
  <c r="GU26" i="1" s="1"/>
  <c r="GR26" i="1"/>
  <c r="GP26" i="1"/>
  <c r="GN26" i="1"/>
  <c r="GI26" i="1"/>
  <c r="GK26" i="1" s="1"/>
  <c r="GG22" i="1"/>
  <c r="GG23" i="1" s="1"/>
  <c r="H10" i="4" s="1"/>
  <c r="H24" i="4" s="1"/>
  <c r="GE22" i="1"/>
  <c r="H5" i="4" s="1"/>
  <c r="HE21" i="1"/>
  <c r="HB21" i="1"/>
  <c r="GX21" i="1"/>
  <c r="GV21" i="1"/>
  <c r="GT21" i="1"/>
  <c r="GR21" i="1"/>
  <c r="GP21" i="1"/>
  <c r="GN21" i="1"/>
  <c r="GI21" i="1"/>
  <c r="GK21" i="1" s="1"/>
  <c r="HF20" i="1"/>
  <c r="HB20" i="1"/>
  <c r="GX20" i="1"/>
  <c r="GV20" i="1"/>
  <c r="GT20" i="1"/>
  <c r="GR20" i="1"/>
  <c r="GP20" i="1"/>
  <c r="GN20" i="1"/>
  <c r="GI20" i="1"/>
  <c r="GK20" i="1" s="1"/>
  <c r="HD19" i="1"/>
  <c r="HB19" i="1"/>
  <c r="GX19" i="1"/>
  <c r="GV19" i="1"/>
  <c r="GT19" i="1"/>
  <c r="GR19" i="1"/>
  <c r="GP19" i="1"/>
  <c r="GN19" i="1"/>
  <c r="GI19" i="1"/>
  <c r="GK19" i="1" s="1"/>
  <c r="HE18" i="1"/>
  <c r="HB18" i="1"/>
  <c r="GX18" i="1"/>
  <c r="GV18" i="1"/>
  <c r="GT18" i="1"/>
  <c r="GR18" i="1"/>
  <c r="GP18" i="1"/>
  <c r="GN18" i="1"/>
  <c r="GI18" i="1"/>
  <c r="GK18" i="1" s="1"/>
  <c r="HD17" i="1"/>
  <c r="HB17" i="1"/>
  <c r="GX17" i="1"/>
  <c r="GV17" i="1"/>
  <c r="GT17" i="1"/>
  <c r="GR17" i="1"/>
  <c r="GP17" i="1"/>
  <c r="GN17" i="1"/>
  <c r="GI17" i="1"/>
  <c r="GK17" i="1" s="1"/>
  <c r="HF16" i="1"/>
  <c r="HB16" i="1"/>
  <c r="GX16" i="1"/>
  <c r="GV16" i="1"/>
  <c r="GT16" i="1"/>
  <c r="GR16" i="1"/>
  <c r="GP16" i="1"/>
  <c r="GN16" i="1"/>
  <c r="GI16" i="1"/>
  <c r="GK16" i="1" s="1"/>
  <c r="HE15" i="1"/>
  <c r="HB15" i="1"/>
  <c r="GX15" i="1"/>
  <c r="GV15" i="1"/>
  <c r="GT15" i="1"/>
  <c r="GR15" i="1"/>
  <c r="GP15" i="1"/>
  <c r="GN15" i="1"/>
  <c r="GI15" i="1"/>
  <c r="GK15" i="1" s="1"/>
  <c r="HE14" i="1"/>
  <c r="HB14" i="1"/>
  <c r="GX14" i="1"/>
  <c r="GV14" i="1"/>
  <c r="GT14" i="1"/>
  <c r="GR14" i="1"/>
  <c r="GP14" i="1"/>
  <c r="GN14" i="1"/>
  <c r="GI14" i="1"/>
  <c r="HE13" i="1"/>
  <c r="HB13" i="1"/>
  <c r="GX13" i="1"/>
  <c r="GV13" i="1"/>
  <c r="GT13" i="1"/>
  <c r="GR13" i="1"/>
  <c r="GP13" i="1"/>
  <c r="GN13" i="1"/>
  <c r="GI13" i="1"/>
  <c r="GK13" i="1" s="1"/>
  <c r="HE11" i="1"/>
  <c r="HB11" i="1"/>
  <c r="GX11" i="1"/>
  <c r="GV11" i="1"/>
  <c r="GT11" i="1"/>
  <c r="GR11" i="1"/>
  <c r="GP11" i="1"/>
  <c r="GN11" i="1"/>
  <c r="GI11" i="1"/>
  <c r="GK11" i="1" s="1"/>
  <c r="HD10" i="1"/>
  <c r="HB10" i="1"/>
  <c r="GX10" i="1"/>
  <c r="GV10" i="1"/>
  <c r="GT10" i="1"/>
  <c r="GR10" i="1"/>
  <c r="GP10" i="1"/>
  <c r="GN10" i="1"/>
  <c r="GI10" i="1"/>
  <c r="GK10" i="1" s="1"/>
  <c r="HF9" i="1"/>
  <c r="HB9" i="1"/>
  <c r="GX9" i="1"/>
  <c r="GV9" i="1"/>
  <c r="GT9" i="1"/>
  <c r="GR9" i="1"/>
  <c r="GP9" i="1"/>
  <c r="GN9" i="1"/>
  <c r="GI9" i="1"/>
  <c r="GK9" i="1" s="1"/>
  <c r="HE8" i="1"/>
  <c r="HB8" i="1"/>
  <c r="GX8" i="1"/>
  <c r="GV8" i="1"/>
  <c r="GT8" i="1"/>
  <c r="GR8" i="1"/>
  <c r="GP8" i="1"/>
  <c r="GN8" i="1"/>
  <c r="GI8" i="1"/>
  <c r="GK8" i="1" s="1"/>
  <c r="HE7" i="1"/>
  <c r="HB7" i="1"/>
  <c r="GX7" i="1"/>
  <c r="GV7" i="1"/>
  <c r="GT7" i="1"/>
  <c r="GR7" i="1"/>
  <c r="GP7" i="1"/>
  <c r="GN7" i="1"/>
  <c r="GI7" i="1"/>
  <c r="GK7" i="1" s="1"/>
  <c r="HD6" i="1"/>
  <c r="HB6" i="1"/>
  <c r="GX6" i="1"/>
  <c r="GV6" i="1"/>
  <c r="GT6" i="1"/>
  <c r="GR6" i="1"/>
  <c r="GP6" i="1"/>
  <c r="GN6" i="1"/>
  <c r="GI6" i="1"/>
  <c r="GK6" i="1" s="1"/>
  <c r="HE5" i="1"/>
  <c r="HB5" i="1"/>
  <c r="GX5" i="1"/>
  <c r="GV5" i="1"/>
  <c r="GT5" i="1"/>
  <c r="GR5" i="1"/>
  <c r="GP5" i="1"/>
  <c r="GN5" i="1"/>
  <c r="GI5" i="1"/>
  <c r="GK5" i="1" s="1"/>
  <c r="HF4" i="1"/>
  <c r="HB4" i="1"/>
  <c r="GX4" i="1"/>
  <c r="GV4" i="1"/>
  <c r="GT4" i="1"/>
  <c r="GR4" i="1"/>
  <c r="GP4" i="1"/>
  <c r="GN4" i="1"/>
  <c r="GI4" i="1"/>
  <c r="GK4" i="1" s="1"/>
  <c r="HE3" i="1"/>
  <c r="HB3" i="1"/>
  <c r="HC3" i="1" s="1"/>
  <c r="GX3" i="1"/>
  <c r="GY3" i="1" s="1"/>
  <c r="GV3" i="1"/>
  <c r="GT3" i="1"/>
  <c r="GR3" i="1"/>
  <c r="GP3" i="1"/>
  <c r="GN3" i="1"/>
  <c r="GO3" i="1" s="1"/>
  <c r="GI3" i="1"/>
  <c r="GJ3" i="1" s="1"/>
  <c r="GH3" i="1"/>
  <c r="GH4" i="1" s="1"/>
  <c r="GH5" i="1" s="1"/>
  <c r="GH6" i="1" s="1"/>
  <c r="GH7" i="1" s="1"/>
  <c r="GH8" i="1" s="1"/>
  <c r="GH9" i="1" s="1"/>
  <c r="GH10" i="1" s="1"/>
  <c r="GH11" i="1" s="1"/>
  <c r="GH13" i="1" s="1"/>
  <c r="GH14" i="1" s="1"/>
  <c r="GH15" i="1" s="1"/>
  <c r="GH16" i="1" s="1"/>
  <c r="GH17" i="1" s="1"/>
  <c r="GH18" i="1" s="1"/>
  <c r="GH19" i="1" s="1"/>
  <c r="GH20" i="1" s="1"/>
  <c r="GH21" i="1" s="1"/>
  <c r="GH26" i="1" s="1"/>
  <c r="GH27" i="1" s="1"/>
  <c r="GH28" i="1" s="1"/>
  <c r="GH29" i="1" s="1"/>
  <c r="GH30" i="1" s="1"/>
  <c r="GH31" i="1" s="1"/>
  <c r="GH32" i="1" s="1"/>
  <c r="GH33" i="1" s="1"/>
  <c r="GH34" i="1" s="1"/>
  <c r="GH36" i="1" s="1"/>
  <c r="GH37" i="1" s="1"/>
  <c r="GH38" i="1" s="1"/>
  <c r="GH39" i="1" s="1"/>
  <c r="GH40" i="1" s="1"/>
  <c r="GH41" i="1" s="1"/>
  <c r="GH42" i="1" s="1"/>
  <c r="GH43" i="1" s="1"/>
  <c r="GH44" i="1" s="1"/>
  <c r="GH50" i="1" s="1"/>
  <c r="GH51" i="1" s="1"/>
  <c r="GH52" i="1" s="1"/>
  <c r="GH53" i="1" s="1"/>
  <c r="GH54" i="1" s="1"/>
  <c r="GH55" i="1" s="1"/>
  <c r="GH56" i="1" s="1"/>
  <c r="GH57" i="1" s="1"/>
  <c r="GH58" i="1" s="1"/>
  <c r="GH60" i="1" s="1"/>
  <c r="GH61" i="1" s="1"/>
  <c r="GH62" i="1" s="1"/>
  <c r="GH63" i="1" s="1"/>
  <c r="GH64" i="1" s="1"/>
  <c r="GH65" i="1" s="1"/>
  <c r="GH66" i="1" s="1"/>
  <c r="GH67" i="1" s="1"/>
  <c r="GH68" i="1" s="1"/>
  <c r="GH74" i="1" s="1"/>
  <c r="GH75" i="1" s="1"/>
  <c r="GH76" i="1" s="1"/>
  <c r="GH77" i="1" s="1"/>
  <c r="GH78" i="1" s="1"/>
  <c r="GH79" i="1" s="1"/>
  <c r="GH80" i="1" s="1"/>
  <c r="GH81" i="1" s="1"/>
  <c r="GH82" i="1" s="1"/>
  <c r="GH84" i="1" s="1"/>
  <c r="GH85" i="1" s="1"/>
  <c r="GH86" i="1" s="1"/>
  <c r="GH87" i="1" s="1"/>
  <c r="GH88" i="1" s="1"/>
  <c r="GH89" i="1" s="1"/>
  <c r="GH90" i="1" s="1"/>
  <c r="GH91" i="1" s="1"/>
  <c r="GH92" i="1" s="1"/>
  <c r="FC93" i="1"/>
  <c r="G12" i="9" s="1"/>
  <c r="GA92" i="1"/>
  <c r="FX92" i="1"/>
  <c r="FT92" i="1"/>
  <c r="FR92" i="1"/>
  <c r="FP92" i="1"/>
  <c r="FN92" i="1"/>
  <c r="FL92" i="1"/>
  <c r="FJ92" i="1"/>
  <c r="FE92" i="1"/>
  <c r="GB91" i="1"/>
  <c r="FX91" i="1"/>
  <c r="FT91" i="1"/>
  <c r="FR91" i="1"/>
  <c r="FP91" i="1"/>
  <c r="FN91" i="1"/>
  <c r="FL91" i="1"/>
  <c r="FJ91" i="1"/>
  <c r="FE91" i="1"/>
  <c r="FG91" i="1" s="1"/>
  <c r="FZ90" i="1"/>
  <c r="FX90" i="1"/>
  <c r="FT90" i="1"/>
  <c r="FR90" i="1"/>
  <c r="FP90" i="1"/>
  <c r="FN90" i="1"/>
  <c r="FL90" i="1"/>
  <c r="FJ90" i="1"/>
  <c r="FE90" i="1"/>
  <c r="FG90" i="1" s="1"/>
  <c r="GA89" i="1"/>
  <c r="FX89" i="1"/>
  <c r="FT89" i="1"/>
  <c r="FR89" i="1"/>
  <c r="FP89" i="1"/>
  <c r="FN89" i="1"/>
  <c r="FL89" i="1"/>
  <c r="FJ89" i="1"/>
  <c r="FE89" i="1"/>
  <c r="FG89" i="1" s="1"/>
  <c r="FZ88" i="1"/>
  <c r="FX88" i="1"/>
  <c r="FT88" i="1"/>
  <c r="FR88" i="1"/>
  <c r="FP88" i="1"/>
  <c r="FN88" i="1"/>
  <c r="FL88" i="1"/>
  <c r="FJ88" i="1"/>
  <c r="FE88" i="1"/>
  <c r="FG88" i="1" s="1"/>
  <c r="GB87" i="1"/>
  <c r="FX87" i="1"/>
  <c r="FT87" i="1"/>
  <c r="FR87" i="1"/>
  <c r="FP87" i="1"/>
  <c r="FN87" i="1"/>
  <c r="FL87" i="1"/>
  <c r="FJ87" i="1"/>
  <c r="FE87" i="1"/>
  <c r="FG87" i="1" s="1"/>
  <c r="GA86" i="1"/>
  <c r="FX86" i="1"/>
  <c r="FT86" i="1"/>
  <c r="FR86" i="1"/>
  <c r="FP86" i="1"/>
  <c r="FN86" i="1"/>
  <c r="FL86" i="1"/>
  <c r="FJ86" i="1"/>
  <c r="FE86" i="1"/>
  <c r="FG86" i="1" s="1"/>
  <c r="GA85" i="1"/>
  <c r="FX85" i="1"/>
  <c r="FT85" i="1"/>
  <c r="FR85" i="1"/>
  <c r="FP85" i="1"/>
  <c r="FN85" i="1"/>
  <c r="FL85" i="1"/>
  <c r="FJ85" i="1"/>
  <c r="FE85" i="1"/>
  <c r="GA84" i="1"/>
  <c r="FX84" i="1"/>
  <c r="FT84" i="1"/>
  <c r="FR84" i="1"/>
  <c r="FP84" i="1"/>
  <c r="FN84" i="1"/>
  <c r="FL84" i="1"/>
  <c r="FJ84" i="1"/>
  <c r="FE84" i="1"/>
  <c r="FG84" i="1" s="1"/>
  <c r="GA82" i="1"/>
  <c r="FX82" i="1"/>
  <c r="FT82" i="1"/>
  <c r="FR82" i="1"/>
  <c r="FP82" i="1"/>
  <c r="FN82" i="1"/>
  <c r="FL82" i="1"/>
  <c r="FJ82" i="1"/>
  <c r="FE82" i="1"/>
  <c r="FZ81" i="1"/>
  <c r="FX81" i="1"/>
  <c r="FT81" i="1"/>
  <c r="FR81" i="1"/>
  <c r="FP81" i="1"/>
  <c r="FN81" i="1"/>
  <c r="FL81" i="1"/>
  <c r="FJ81" i="1"/>
  <c r="FE81" i="1"/>
  <c r="FG81" i="1" s="1"/>
  <c r="GB80" i="1"/>
  <c r="FX80" i="1"/>
  <c r="FT80" i="1"/>
  <c r="FR80" i="1"/>
  <c r="FP80" i="1"/>
  <c r="FN80" i="1"/>
  <c r="FL80" i="1"/>
  <c r="FJ80" i="1"/>
  <c r="FE80" i="1"/>
  <c r="FG80" i="1" s="1"/>
  <c r="GA79" i="1"/>
  <c r="FX79" i="1"/>
  <c r="FT79" i="1"/>
  <c r="FR79" i="1"/>
  <c r="FP79" i="1"/>
  <c r="FN79" i="1"/>
  <c r="FL79" i="1"/>
  <c r="FJ79" i="1"/>
  <c r="FE79" i="1"/>
  <c r="FG79" i="1" s="1"/>
  <c r="GA78" i="1"/>
  <c r="FX78" i="1"/>
  <c r="FT78" i="1"/>
  <c r="FR78" i="1"/>
  <c r="FP78" i="1"/>
  <c r="FN78" i="1"/>
  <c r="FL78" i="1"/>
  <c r="FJ78" i="1"/>
  <c r="FE78" i="1"/>
  <c r="FG78" i="1" s="1"/>
  <c r="FZ77" i="1"/>
  <c r="FX77" i="1"/>
  <c r="FT77" i="1"/>
  <c r="FR77" i="1"/>
  <c r="FP77" i="1"/>
  <c r="FN77" i="1"/>
  <c r="FL77" i="1"/>
  <c r="FJ77" i="1"/>
  <c r="FE77" i="1"/>
  <c r="FG77" i="1" s="1"/>
  <c r="GA76" i="1"/>
  <c r="FX76" i="1"/>
  <c r="FT76" i="1"/>
  <c r="FR76" i="1"/>
  <c r="FP76" i="1"/>
  <c r="FN76" i="1"/>
  <c r="FL76" i="1"/>
  <c r="FJ76" i="1"/>
  <c r="FE76" i="1"/>
  <c r="GB75" i="1"/>
  <c r="FX75" i="1"/>
  <c r="FT75" i="1"/>
  <c r="FR75" i="1"/>
  <c r="FP75" i="1"/>
  <c r="FN75" i="1"/>
  <c r="FL75" i="1"/>
  <c r="FJ75" i="1"/>
  <c r="FE75" i="1"/>
  <c r="FG75" i="1" s="1"/>
  <c r="GA74" i="1"/>
  <c r="FX74" i="1"/>
  <c r="FT74" i="1"/>
  <c r="FR74" i="1"/>
  <c r="FP74" i="1"/>
  <c r="FN74" i="1"/>
  <c r="FL74" i="1"/>
  <c r="FJ74" i="1"/>
  <c r="FE74" i="1"/>
  <c r="FC69" i="1"/>
  <c r="FA69" i="1"/>
  <c r="GB68" i="1"/>
  <c r="FX68" i="1"/>
  <c r="FT68" i="1"/>
  <c r="FR68" i="1"/>
  <c r="FP68" i="1"/>
  <c r="FN68" i="1"/>
  <c r="FL68" i="1"/>
  <c r="FJ68" i="1"/>
  <c r="FE68" i="1"/>
  <c r="FG68" i="1" s="1"/>
  <c r="FZ67" i="1"/>
  <c r="FX67" i="1"/>
  <c r="FT67" i="1"/>
  <c r="FR67" i="1"/>
  <c r="FP67" i="1"/>
  <c r="FN67" i="1"/>
  <c r="FL67" i="1"/>
  <c r="FJ67" i="1"/>
  <c r="FE67" i="1"/>
  <c r="FG67" i="1" s="1"/>
  <c r="GA66" i="1"/>
  <c r="FX66" i="1"/>
  <c r="FT66" i="1"/>
  <c r="FR66" i="1"/>
  <c r="FP66" i="1"/>
  <c r="FN66" i="1"/>
  <c r="FL66" i="1"/>
  <c r="FJ66" i="1"/>
  <c r="FE66" i="1"/>
  <c r="FZ65" i="1"/>
  <c r="FX65" i="1"/>
  <c r="FT65" i="1"/>
  <c r="FR65" i="1"/>
  <c r="FP65" i="1"/>
  <c r="FN65" i="1"/>
  <c r="FL65" i="1"/>
  <c r="FJ65" i="1"/>
  <c r="FE65" i="1"/>
  <c r="FG65" i="1" s="1"/>
  <c r="GA64" i="1"/>
  <c r="FX64" i="1"/>
  <c r="FT64" i="1"/>
  <c r="FR64" i="1"/>
  <c r="FP64" i="1"/>
  <c r="FN64" i="1"/>
  <c r="FL64" i="1"/>
  <c r="FJ64" i="1"/>
  <c r="FE64" i="1"/>
  <c r="GB63" i="1"/>
  <c r="FX63" i="1"/>
  <c r="FT63" i="1"/>
  <c r="FR63" i="1"/>
  <c r="FP63" i="1"/>
  <c r="FN63" i="1"/>
  <c r="FL63" i="1"/>
  <c r="FJ63" i="1"/>
  <c r="FE63" i="1"/>
  <c r="FG63" i="1" s="1"/>
  <c r="GA62" i="1"/>
  <c r="FX62" i="1"/>
  <c r="FT62" i="1"/>
  <c r="FR62" i="1"/>
  <c r="FP62" i="1"/>
  <c r="FN62" i="1"/>
  <c r="FL62" i="1"/>
  <c r="FJ62" i="1"/>
  <c r="FE62" i="1"/>
  <c r="FG62" i="1" s="1"/>
  <c r="GA61" i="1"/>
  <c r="FX61" i="1"/>
  <c r="FT61" i="1"/>
  <c r="FR61" i="1"/>
  <c r="FP61" i="1"/>
  <c r="FN61" i="1"/>
  <c r="FL61" i="1"/>
  <c r="FJ61" i="1"/>
  <c r="FE61" i="1"/>
  <c r="FG61" i="1" s="1"/>
  <c r="FZ60" i="1"/>
  <c r="FX60" i="1"/>
  <c r="FT60" i="1"/>
  <c r="FR60" i="1"/>
  <c r="FP60" i="1"/>
  <c r="FN60" i="1"/>
  <c r="FL60" i="1"/>
  <c r="FJ60" i="1"/>
  <c r="FE60" i="1"/>
  <c r="GA58" i="1"/>
  <c r="FX58" i="1"/>
  <c r="FT58" i="1"/>
  <c r="FR58" i="1"/>
  <c r="FP58" i="1"/>
  <c r="FN58" i="1"/>
  <c r="FL58" i="1"/>
  <c r="FJ58" i="1"/>
  <c r="FE58" i="1"/>
  <c r="GA57" i="1"/>
  <c r="FX57" i="1"/>
  <c r="FT57" i="1"/>
  <c r="FR57" i="1"/>
  <c r="FP57" i="1"/>
  <c r="FN57" i="1"/>
  <c r="FL57" i="1"/>
  <c r="FJ57" i="1"/>
  <c r="FE57" i="1"/>
  <c r="FG57" i="1" s="1"/>
  <c r="FZ56" i="1"/>
  <c r="FZ59" i="1" s="1"/>
  <c r="FX56" i="1"/>
  <c r="FT56" i="1"/>
  <c r="FR56" i="1"/>
  <c r="FP56" i="1"/>
  <c r="FN56" i="1"/>
  <c r="FL56" i="1"/>
  <c r="FJ56" i="1"/>
  <c r="FE56" i="1"/>
  <c r="GA55" i="1"/>
  <c r="FX55" i="1"/>
  <c r="FT55" i="1"/>
  <c r="FR55" i="1"/>
  <c r="FP55" i="1"/>
  <c r="FN55" i="1"/>
  <c r="FL55" i="1"/>
  <c r="FJ55" i="1"/>
  <c r="FE55" i="1"/>
  <c r="FG55" i="1" s="1"/>
  <c r="GA54" i="1"/>
  <c r="FX54" i="1"/>
  <c r="FT54" i="1"/>
  <c r="FR54" i="1"/>
  <c r="FP54" i="1"/>
  <c r="FN54" i="1"/>
  <c r="FL54" i="1"/>
  <c r="FJ54" i="1"/>
  <c r="FE54" i="1"/>
  <c r="FG54" i="1" s="1"/>
  <c r="GA53" i="1"/>
  <c r="FX53" i="1"/>
  <c r="FT53" i="1"/>
  <c r="FR53" i="1"/>
  <c r="FP53" i="1"/>
  <c r="FN53" i="1"/>
  <c r="FL53" i="1"/>
  <c r="FJ53" i="1"/>
  <c r="FE53" i="1"/>
  <c r="FG53" i="1" s="1"/>
  <c r="GB52" i="1"/>
  <c r="FX52" i="1"/>
  <c r="FT52" i="1"/>
  <c r="FR52" i="1"/>
  <c r="FP52" i="1"/>
  <c r="FN52" i="1"/>
  <c r="FL52" i="1"/>
  <c r="FJ52" i="1"/>
  <c r="FE52" i="1"/>
  <c r="FG52" i="1" s="1"/>
  <c r="GB51" i="1"/>
  <c r="FX51" i="1"/>
  <c r="FT51" i="1"/>
  <c r="FR51" i="1"/>
  <c r="FP51" i="1"/>
  <c r="FN51" i="1"/>
  <c r="FL51" i="1"/>
  <c r="FJ51" i="1"/>
  <c r="FE51" i="1"/>
  <c r="FG51" i="1" s="1"/>
  <c r="GA50" i="1"/>
  <c r="FX50" i="1"/>
  <c r="FT50" i="1"/>
  <c r="FR50" i="1"/>
  <c r="FP50" i="1"/>
  <c r="FN50" i="1"/>
  <c r="FL50" i="1"/>
  <c r="FJ50" i="1"/>
  <c r="FK50" i="1" s="1"/>
  <c r="FE50" i="1"/>
  <c r="FC45" i="1"/>
  <c r="FC46" i="1" s="1"/>
  <c r="G10" i="6" s="1"/>
  <c r="G24" i="6" s="1"/>
  <c r="FA45" i="1"/>
  <c r="G5" i="6" s="1"/>
  <c r="GB44" i="1"/>
  <c r="FX44" i="1"/>
  <c r="FT44" i="1"/>
  <c r="FR44" i="1"/>
  <c r="FP44" i="1"/>
  <c r="FN44" i="1"/>
  <c r="FL44" i="1"/>
  <c r="FJ44" i="1"/>
  <c r="FE44" i="1"/>
  <c r="FZ43" i="1"/>
  <c r="FX43" i="1"/>
  <c r="FT43" i="1"/>
  <c r="FR43" i="1"/>
  <c r="FP43" i="1"/>
  <c r="FN43" i="1"/>
  <c r="FL43" i="1"/>
  <c r="FJ43" i="1"/>
  <c r="FE43" i="1"/>
  <c r="FG43" i="1" s="1"/>
  <c r="GA42" i="1"/>
  <c r="FX42" i="1"/>
  <c r="FT42" i="1"/>
  <c r="FR42" i="1"/>
  <c r="FP42" i="1"/>
  <c r="FN42" i="1"/>
  <c r="FL42" i="1"/>
  <c r="FJ42" i="1"/>
  <c r="FE42" i="1"/>
  <c r="FG42" i="1" s="1"/>
  <c r="FZ41" i="1"/>
  <c r="FX41" i="1"/>
  <c r="FT41" i="1"/>
  <c r="FR41" i="1"/>
  <c r="FP41" i="1"/>
  <c r="FN41" i="1"/>
  <c r="FL41" i="1"/>
  <c r="FJ41" i="1"/>
  <c r="FE41" i="1"/>
  <c r="FG41" i="1" s="1"/>
  <c r="GA40" i="1"/>
  <c r="FX40" i="1"/>
  <c r="FT40" i="1"/>
  <c r="FR40" i="1"/>
  <c r="FP40" i="1"/>
  <c r="FN40" i="1"/>
  <c r="FL40" i="1"/>
  <c r="FJ40" i="1"/>
  <c r="FE40" i="1"/>
  <c r="FG40" i="1" s="1"/>
  <c r="GB39" i="1"/>
  <c r="FX39" i="1"/>
  <c r="FT39" i="1"/>
  <c r="FR39" i="1"/>
  <c r="FP39" i="1"/>
  <c r="FN39" i="1"/>
  <c r="FL39" i="1"/>
  <c r="FJ39" i="1"/>
  <c r="FE39" i="1"/>
  <c r="FG39" i="1" s="1"/>
  <c r="GA38" i="1"/>
  <c r="FX38" i="1"/>
  <c r="FT38" i="1"/>
  <c r="FR38" i="1"/>
  <c r="FP38" i="1"/>
  <c r="FN38" i="1"/>
  <c r="FL38" i="1"/>
  <c r="FJ38" i="1"/>
  <c r="FE38" i="1"/>
  <c r="FG38" i="1" s="1"/>
  <c r="GA37" i="1"/>
  <c r="FX37" i="1"/>
  <c r="FT37" i="1"/>
  <c r="FR37" i="1"/>
  <c r="FP37" i="1"/>
  <c r="FN37" i="1"/>
  <c r="FL37" i="1"/>
  <c r="FJ37" i="1"/>
  <c r="FE37" i="1"/>
  <c r="FZ36" i="1"/>
  <c r="FX36" i="1"/>
  <c r="FT36" i="1"/>
  <c r="FR36" i="1"/>
  <c r="FP36" i="1"/>
  <c r="FN36" i="1"/>
  <c r="FL36" i="1"/>
  <c r="FJ36" i="1"/>
  <c r="FE36" i="1"/>
  <c r="GA34" i="1"/>
  <c r="FX34" i="1"/>
  <c r="FT34" i="1"/>
  <c r="FR34" i="1"/>
  <c r="FP34" i="1"/>
  <c r="FN34" i="1"/>
  <c r="FL34" i="1"/>
  <c r="FJ34" i="1"/>
  <c r="FE34" i="1"/>
  <c r="FG34" i="1" s="1"/>
  <c r="GA33" i="1"/>
  <c r="FX33" i="1"/>
  <c r="FT33" i="1"/>
  <c r="FR33" i="1"/>
  <c r="FP33" i="1"/>
  <c r="FN33" i="1"/>
  <c r="FL33" i="1"/>
  <c r="FJ33" i="1"/>
  <c r="FE33" i="1"/>
  <c r="FG33" i="1" s="1"/>
  <c r="FZ32" i="1"/>
  <c r="FZ35" i="1" s="1"/>
  <c r="FX32" i="1"/>
  <c r="FT32" i="1"/>
  <c r="FR32" i="1"/>
  <c r="FP32" i="1"/>
  <c r="FN32" i="1"/>
  <c r="FL32" i="1"/>
  <c r="FJ32" i="1"/>
  <c r="FE32" i="1"/>
  <c r="FG32" i="1" s="1"/>
  <c r="GA31" i="1"/>
  <c r="FX31" i="1"/>
  <c r="FT31" i="1"/>
  <c r="FR31" i="1"/>
  <c r="FP31" i="1"/>
  <c r="FN31" i="1"/>
  <c r="FL31" i="1"/>
  <c r="FJ31" i="1"/>
  <c r="FE31" i="1"/>
  <c r="FG31" i="1" s="1"/>
  <c r="GA30" i="1"/>
  <c r="FX30" i="1"/>
  <c r="FT30" i="1"/>
  <c r="FR30" i="1"/>
  <c r="FP30" i="1"/>
  <c r="FN30" i="1"/>
  <c r="FL30" i="1"/>
  <c r="FJ30" i="1"/>
  <c r="FE30" i="1"/>
  <c r="FG30" i="1" s="1"/>
  <c r="GA29" i="1"/>
  <c r="FX29" i="1"/>
  <c r="FT29" i="1"/>
  <c r="FR29" i="1"/>
  <c r="FP29" i="1"/>
  <c r="FN29" i="1"/>
  <c r="FL29" i="1"/>
  <c r="FJ29" i="1"/>
  <c r="FE29" i="1"/>
  <c r="GB28" i="1"/>
  <c r="FX28" i="1"/>
  <c r="FT28" i="1"/>
  <c r="FR28" i="1"/>
  <c r="FP28" i="1"/>
  <c r="FN28" i="1"/>
  <c r="FL28" i="1"/>
  <c r="FJ28" i="1"/>
  <c r="FE28" i="1"/>
  <c r="GB27" i="1"/>
  <c r="FX27" i="1"/>
  <c r="FT27" i="1"/>
  <c r="FR27" i="1"/>
  <c r="FP27" i="1"/>
  <c r="FN27" i="1"/>
  <c r="FL27" i="1"/>
  <c r="FJ27" i="1"/>
  <c r="FE27" i="1"/>
  <c r="FG27" i="1" s="1"/>
  <c r="GA26" i="1"/>
  <c r="FX26" i="1"/>
  <c r="FT26" i="1"/>
  <c r="FR26" i="1"/>
  <c r="FS26" i="1" s="1"/>
  <c r="FP26" i="1"/>
  <c r="FQ26" i="1" s="1"/>
  <c r="FN26" i="1"/>
  <c r="FO26" i="1" s="1"/>
  <c r="FL26" i="1"/>
  <c r="FM26" i="1" s="1"/>
  <c r="FJ26" i="1"/>
  <c r="FK26" i="1" s="1"/>
  <c r="FE26" i="1"/>
  <c r="FC22" i="1"/>
  <c r="G12" i="4" s="1"/>
  <c r="FA22" i="1"/>
  <c r="G5" i="4" s="1"/>
  <c r="GA21" i="1"/>
  <c r="FX21" i="1"/>
  <c r="FT21" i="1"/>
  <c r="FR21" i="1"/>
  <c r="FP21" i="1"/>
  <c r="FN21" i="1"/>
  <c r="FL21" i="1"/>
  <c r="FJ21" i="1"/>
  <c r="FE21" i="1"/>
  <c r="FG21" i="1" s="1"/>
  <c r="GB20" i="1"/>
  <c r="FX20" i="1"/>
  <c r="FT20" i="1"/>
  <c r="FR20" i="1"/>
  <c r="FP20" i="1"/>
  <c r="FN20" i="1"/>
  <c r="FL20" i="1"/>
  <c r="FJ20" i="1"/>
  <c r="FE20" i="1"/>
  <c r="FG20" i="1" s="1"/>
  <c r="FZ19" i="1"/>
  <c r="FX19" i="1"/>
  <c r="FT19" i="1"/>
  <c r="FR19" i="1"/>
  <c r="FP19" i="1"/>
  <c r="FN19" i="1"/>
  <c r="FL19" i="1"/>
  <c r="FJ19" i="1"/>
  <c r="FE19" i="1"/>
  <c r="GA18" i="1"/>
  <c r="FX18" i="1"/>
  <c r="FT18" i="1"/>
  <c r="FR18" i="1"/>
  <c r="FP18" i="1"/>
  <c r="FN18" i="1"/>
  <c r="FL18" i="1"/>
  <c r="FJ18" i="1"/>
  <c r="FE18" i="1"/>
  <c r="FZ17" i="1"/>
  <c r="FX17" i="1"/>
  <c r="FT17" i="1"/>
  <c r="FR17" i="1"/>
  <c r="FP17" i="1"/>
  <c r="FN17" i="1"/>
  <c r="FL17" i="1"/>
  <c r="FJ17" i="1"/>
  <c r="FE17" i="1"/>
  <c r="FG17" i="1" s="1"/>
  <c r="GB16" i="1"/>
  <c r="FX16" i="1"/>
  <c r="FT16" i="1"/>
  <c r="FR16" i="1"/>
  <c r="FP16" i="1"/>
  <c r="FN16" i="1"/>
  <c r="FL16" i="1"/>
  <c r="FJ16" i="1"/>
  <c r="FE16" i="1"/>
  <c r="FG16" i="1" s="1"/>
  <c r="GA15" i="1"/>
  <c r="FX15" i="1"/>
  <c r="FT15" i="1"/>
  <c r="FR15" i="1"/>
  <c r="FP15" i="1"/>
  <c r="FN15" i="1"/>
  <c r="FL15" i="1"/>
  <c r="FJ15" i="1"/>
  <c r="FE15" i="1"/>
  <c r="FG15" i="1" s="1"/>
  <c r="GA14" i="1"/>
  <c r="FX14" i="1"/>
  <c r="FT14" i="1"/>
  <c r="FR14" i="1"/>
  <c r="FP14" i="1"/>
  <c r="FN14" i="1"/>
  <c r="FL14" i="1"/>
  <c r="FJ14" i="1"/>
  <c r="FE14" i="1"/>
  <c r="FG14" i="1" s="1"/>
  <c r="GA13" i="1"/>
  <c r="FX13" i="1"/>
  <c r="FT13" i="1"/>
  <c r="FR13" i="1"/>
  <c r="FP13" i="1"/>
  <c r="FN13" i="1"/>
  <c r="FL13" i="1"/>
  <c r="FJ13" i="1"/>
  <c r="FE13" i="1"/>
  <c r="GA11" i="1"/>
  <c r="FX11" i="1"/>
  <c r="FT11" i="1"/>
  <c r="FR11" i="1"/>
  <c r="FP11" i="1"/>
  <c r="FN11" i="1"/>
  <c r="FL11" i="1"/>
  <c r="FJ11" i="1"/>
  <c r="FE11" i="1"/>
  <c r="FG11" i="1" s="1"/>
  <c r="FZ10" i="1"/>
  <c r="FX10" i="1"/>
  <c r="FT10" i="1"/>
  <c r="FR10" i="1"/>
  <c r="FP10" i="1"/>
  <c r="FN10" i="1"/>
  <c r="FL10" i="1"/>
  <c r="FJ10" i="1"/>
  <c r="FE10" i="1"/>
  <c r="FG10" i="1" s="1"/>
  <c r="GB9" i="1"/>
  <c r="FX9" i="1"/>
  <c r="FT9" i="1"/>
  <c r="FR9" i="1"/>
  <c r="FP9" i="1"/>
  <c r="FN9" i="1"/>
  <c r="FL9" i="1"/>
  <c r="FJ9" i="1"/>
  <c r="FE9" i="1"/>
  <c r="FG9" i="1" s="1"/>
  <c r="GA8" i="1"/>
  <c r="FX8" i="1"/>
  <c r="FT8" i="1"/>
  <c r="FR8" i="1"/>
  <c r="FP8" i="1"/>
  <c r="FN8" i="1"/>
  <c r="FL8" i="1"/>
  <c r="FJ8" i="1"/>
  <c r="FE8" i="1"/>
  <c r="FG8" i="1" s="1"/>
  <c r="GA7" i="1"/>
  <c r="FX7" i="1"/>
  <c r="FT7" i="1"/>
  <c r="FR7" i="1"/>
  <c r="FP7" i="1"/>
  <c r="FN7" i="1"/>
  <c r="FL7" i="1"/>
  <c r="FJ7" i="1"/>
  <c r="FE7" i="1"/>
  <c r="FZ6" i="1"/>
  <c r="FX6" i="1"/>
  <c r="FT6" i="1"/>
  <c r="FR6" i="1"/>
  <c r="FP6" i="1"/>
  <c r="FN6" i="1"/>
  <c r="FL6" i="1"/>
  <c r="FJ6" i="1"/>
  <c r="FE6" i="1"/>
  <c r="FG6" i="1" s="1"/>
  <c r="GA5" i="1"/>
  <c r="FX5" i="1"/>
  <c r="FT5" i="1"/>
  <c r="FR5" i="1"/>
  <c r="FP5" i="1"/>
  <c r="FN5" i="1"/>
  <c r="FL5" i="1"/>
  <c r="FJ5" i="1"/>
  <c r="FE5" i="1"/>
  <c r="FG5" i="1" s="1"/>
  <c r="GB4" i="1"/>
  <c r="FX4" i="1"/>
  <c r="FT4" i="1"/>
  <c r="FR4" i="1"/>
  <c r="FP4" i="1"/>
  <c r="FN4" i="1"/>
  <c r="FL4" i="1"/>
  <c r="FJ4" i="1"/>
  <c r="FE4" i="1"/>
  <c r="FG4" i="1" s="1"/>
  <c r="GA3" i="1"/>
  <c r="FX3" i="1"/>
  <c r="FT3" i="1"/>
  <c r="FU3" i="1" s="1"/>
  <c r="FR3" i="1"/>
  <c r="FP3" i="1"/>
  <c r="FQ3" i="1" s="1"/>
  <c r="FN3" i="1"/>
  <c r="FO3" i="1" s="1"/>
  <c r="FL3" i="1"/>
  <c r="FJ3" i="1"/>
  <c r="FE3" i="1"/>
  <c r="FD3" i="1"/>
  <c r="FD4" i="1" s="1"/>
  <c r="FD5" i="1" s="1"/>
  <c r="FD6" i="1" s="1"/>
  <c r="FD7" i="1" s="1"/>
  <c r="FD8" i="1" s="1"/>
  <c r="FD9" i="1" s="1"/>
  <c r="FD10" i="1" s="1"/>
  <c r="FD11" i="1" s="1"/>
  <c r="FD13" i="1" s="1"/>
  <c r="FD14" i="1" s="1"/>
  <c r="FD15" i="1" s="1"/>
  <c r="FD16" i="1" s="1"/>
  <c r="FD17" i="1" s="1"/>
  <c r="FD18" i="1" s="1"/>
  <c r="FD19" i="1" s="1"/>
  <c r="FD20" i="1" s="1"/>
  <c r="FD21" i="1" s="1"/>
  <c r="FD26" i="1" s="1"/>
  <c r="FD27" i="1" s="1"/>
  <c r="FD28" i="1" s="1"/>
  <c r="FD29" i="1" s="1"/>
  <c r="FD30" i="1" s="1"/>
  <c r="FD31" i="1" s="1"/>
  <c r="FD32" i="1" s="1"/>
  <c r="FD33" i="1" s="1"/>
  <c r="FD34" i="1" s="1"/>
  <c r="FD36" i="1" s="1"/>
  <c r="FD37" i="1" s="1"/>
  <c r="FD38" i="1" s="1"/>
  <c r="FD39" i="1" s="1"/>
  <c r="FD40" i="1" s="1"/>
  <c r="FD41" i="1" s="1"/>
  <c r="FD42" i="1" s="1"/>
  <c r="FD43" i="1" s="1"/>
  <c r="FD44" i="1" s="1"/>
  <c r="FD50" i="1" s="1"/>
  <c r="FD51" i="1" s="1"/>
  <c r="FD52" i="1" s="1"/>
  <c r="FD53" i="1" s="1"/>
  <c r="FD54" i="1" s="1"/>
  <c r="FD55" i="1" s="1"/>
  <c r="FD56" i="1" s="1"/>
  <c r="FD57" i="1" s="1"/>
  <c r="FD58" i="1" s="1"/>
  <c r="FD60" i="1" s="1"/>
  <c r="FD61" i="1" s="1"/>
  <c r="FD62" i="1" s="1"/>
  <c r="FD63" i="1" s="1"/>
  <c r="FD64" i="1" s="1"/>
  <c r="FD65" i="1" s="1"/>
  <c r="FD66" i="1" s="1"/>
  <c r="FD67" i="1" s="1"/>
  <c r="FD68" i="1" s="1"/>
  <c r="FD74" i="1" s="1"/>
  <c r="FD75" i="1" s="1"/>
  <c r="FD76" i="1" s="1"/>
  <c r="FD77" i="1" s="1"/>
  <c r="FD78" i="1" s="1"/>
  <c r="FD79" i="1" s="1"/>
  <c r="FD80" i="1" s="1"/>
  <c r="FD81" i="1" s="1"/>
  <c r="FD82" i="1" s="1"/>
  <c r="FD84" i="1" s="1"/>
  <c r="FD85" i="1" s="1"/>
  <c r="FD86" i="1" s="1"/>
  <c r="FD87" i="1" s="1"/>
  <c r="FD88" i="1" s="1"/>
  <c r="FD89" i="1" s="1"/>
  <c r="FD90" i="1" s="1"/>
  <c r="FD91" i="1" s="1"/>
  <c r="FD92" i="1" s="1"/>
  <c r="DY93" i="1"/>
  <c r="DY94" i="1" s="1"/>
  <c r="F10" i="9" s="1"/>
  <c r="F24" i="9" s="1"/>
  <c r="DW93" i="1"/>
  <c r="F5" i="9" s="1"/>
  <c r="EW92" i="1"/>
  <c r="ET92" i="1"/>
  <c r="EP92" i="1"/>
  <c r="EN92" i="1"/>
  <c r="EL92" i="1"/>
  <c r="EJ92" i="1"/>
  <c r="EH92" i="1"/>
  <c r="EF92" i="1"/>
  <c r="EA92" i="1"/>
  <c r="EC92" i="1" s="1"/>
  <c r="EX91" i="1"/>
  <c r="ET91" i="1"/>
  <c r="EP91" i="1"/>
  <c r="EN91" i="1"/>
  <c r="EL91" i="1"/>
  <c r="EJ91" i="1"/>
  <c r="EH91" i="1"/>
  <c r="EF91" i="1"/>
  <c r="EA91" i="1"/>
  <c r="EC91" i="1" s="1"/>
  <c r="EV90" i="1"/>
  <c r="ET90" i="1"/>
  <c r="EP90" i="1"/>
  <c r="EN90" i="1"/>
  <c r="EL90" i="1"/>
  <c r="EJ90" i="1"/>
  <c r="EH90" i="1"/>
  <c r="EF90" i="1"/>
  <c r="EA90" i="1"/>
  <c r="EW89" i="1"/>
  <c r="ET89" i="1"/>
  <c r="EP89" i="1"/>
  <c r="EN89" i="1"/>
  <c r="EL89" i="1"/>
  <c r="EJ89" i="1"/>
  <c r="EH89" i="1"/>
  <c r="EF89" i="1"/>
  <c r="EA89" i="1"/>
  <c r="EC89" i="1" s="1"/>
  <c r="EV88" i="1"/>
  <c r="ET88" i="1"/>
  <c r="EP88" i="1"/>
  <c r="EN88" i="1"/>
  <c r="EL88" i="1"/>
  <c r="EJ88" i="1"/>
  <c r="EH88" i="1"/>
  <c r="EF88" i="1"/>
  <c r="EA88" i="1"/>
  <c r="EC88" i="1" s="1"/>
  <c r="EX87" i="1"/>
  <c r="ET87" i="1"/>
  <c r="EP87" i="1"/>
  <c r="EN87" i="1"/>
  <c r="EL87" i="1"/>
  <c r="EJ87" i="1"/>
  <c r="EH87" i="1"/>
  <c r="EF87" i="1"/>
  <c r="EA87" i="1"/>
  <c r="EC87" i="1" s="1"/>
  <c r="EW86" i="1"/>
  <c r="ET86" i="1"/>
  <c r="EP86" i="1"/>
  <c r="EN86" i="1"/>
  <c r="EL86" i="1"/>
  <c r="EJ86" i="1"/>
  <c r="EH86" i="1"/>
  <c r="EF86" i="1"/>
  <c r="EA86" i="1"/>
  <c r="EC86" i="1" s="1"/>
  <c r="EW85" i="1"/>
  <c r="ET85" i="1"/>
  <c r="EP85" i="1"/>
  <c r="EN85" i="1"/>
  <c r="EL85" i="1"/>
  <c r="EJ85" i="1"/>
  <c r="EH85" i="1"/>
  <c r="EF85" i="1"/>
  <c r="EA85" i="1"/>
  <c r="EC85" i="1" s="1"/>
  <c r="EW84" i="1"/>
  <c r="ET84" i="1"/>
  <c r="EP84" i="1"/>
  <c r="EN84" i="1"/>
  <c r="EL84" i="1"/>
  <c r="EJ84" i="1"/>
  <c r="EH84" i="1"/>
  <c r="EF84" i="1"/>
  <c r="EA84" i="1"/>
  <c r="EW82" i="1"/>
  <c r="ET82" i="1"/>
  <c r="EP82" i="1"/>
  <c r="EN82" i="1"/>
  <c r="EL82" i="1"/>
  <c r="EJ82" i="1"/>
  <c r="EH82" i="1"/>
  <c r="EF82" i="1"/>
  <c r="EA82" i="1"/>
  <c r="EV81" i="1"/>
  <c r="ET81" i="1"/>
  <c r="EP81" i="1"/>
  <c r="EN81" i="1"/>
  <c r="EL81" i="1"/>
  <c r="EJ81" i="1"/>
  <c r="EH81" i="1"/>
  <c r="EF81" i="1"/>
  <c r="EA81" i="1"/>
  <c r="EC81" i="1" s="1"/>
  <c r="EX80" i="1"/>
  <c r="ET80" i="1"/>
  <c r="EP80" i="1"/>
  <c r="EN80" i="1"/>
  <c r="EL80" i="1"/>
  <c r="EJ80" i="1"/>
  <c r="EH80" i="1"/>
  <c r="EF80" i="1"/>
  <c r="EA80" i="1"/>
  <c r="EC80" i="1" s="1"/>
  <c r="EW79" i="1"/>
  <c r="ET79" i="1"/>
  <c r="EP79" i="1"/>
  <c r="EN79" i="1"/>
  <c r="EL79" i="1"/>
  <c r="EJ79" i="1"/>
  <c r="EH79" i="1"/>
  <c r="EF79" i="1"/>
  <c r="EA79" i="1"/>
  <c r="EC79" i="1" s="1"/>
  <c r="EW78" i="1"/>
  <c r="ET78" i="1"/>
  <c r="EP78" i="1"/>
  <c r="EN78" i="1"/>
  <c r="EL78" i="1"/>
  <c r="EJ78" i="1"/>
  <c r="EH78" i="1"/>
  <c r="EF78" i="1"/>
  <c r="EA78" i="1"/>
  <c r="EC78" i="1" s="1"/>
  <c r="EV77" i="1"/>
  <c r="ET77" i="1"/>
  <c r="EP77" i="1"/>
  <c r="EN77" i="1"/>
  <c r="EL77" i="1"/>
  <c r="EJ77" i="1"/>
  <c r="EH77" i="1"/>
  <c r="EF77" i="1"/>
  <c r="EA77" i="1"/>
  <c r="EC77" i="1" s="1"/>
  <c r="EW76" i="1"/>
  <c r="ET76" i="1"/>
  <c r="EP76" i="1"/>
  <c r="EN76" i="1"/>
  <c r="EL76" i="1"/>
  <c r="EJ76" i="1"/>
  <c r="EH76" i="1"/>
  <c r="EF76" i="1"/>
  <c r="EA76" i="1"/>
  <c r="EX75" i="1"/>
  <c r="ET75" i="1"/>
  <c r="EP75" i="1"/>
  <c r="EN75" i="1"/>
  <c r="EL75" i="1"/>
  <c r="EJ75" i="1"/>
  <c r="EH75" i="1"/>
  <c r="EF75" i="1"/>
  <c r="EA75" i="1"/>
  <c r="EC75" i="1" s="1"/>
  <c r="EW74" i="1"/>
  <c r="ET74" i="1"/>
  <c r="EP74" i="1"/>
  <c r="EN74" i="1"/>
  <c r="EO74" i="1" s="1"/>
  <c r="EL74" i="1"/>
  <c r="EJ74" i="1"/>
  <c r="EH74" i="1"/>
  <c r="EF74" i="1"/>
  <c r="EG74" i="1" s="1"/>
  <c r="EA74" i="1"/>
  <c r="DY69" i="1"/>
  <c r="F12" i="7" s="1"/>
  <c r="DW69" i="1"/>
  <c r="F5" i="7" s="1"/>
  <c r="EX68" i="1"/>
  <c r="ET68" i="1"/>
  <c r="EP68" i="1"/>
  <c r="EN68" i="1"/>
  <c r="EL68" i="1"/>
  <c r="EJ68" i="1"/>
  <c r="EH68" i="1"/>
  <c r="EF68" i="1"/>
  <c r="EA68" i="1"/>
  <c r="EC68" i="1" s="1"/>
  <c r="EV67" i="1"/>
  <c r="ET67" i="1"/>
  <c r="EP67" i="1"/>
  <c r="EN67" i="1"/>
  <c r="EL67" i="1"/>
  <c r="EJ67" i="1"/>
  <c r="EH67" i="1"/>
  <c r="EF67" i="1"/>
  <c r="EA67" i="1"/>
  <c r="EC67" i="1" s="1"/>
  <c r="EW66" i="1"/>
  <c r="ET66" i="1"/>
  <c r="EP66" i="1"/>
  <c r="EN66" i="1"/>
  <c r="EL66" i="1"/>
  <c r="EJ66" i="1"/>
  <c r="EH66" i="1"/>
  <c r="EF66" i="1"/>
  <c r="EA66" i="1"/>
  <c r="EV65" i="1"/>
  <c r="ET65" i="1"/>
  <c r="EP65" i="1"/>
  <c r="EN65" i="1"/>
  <c r="EL65" i="1"/>
  <c r="EJ65" i="1"/>
  <c r="EH65" i="1"/>
  <c r="EF65" i="1"/>
  <c r="EA65" i="1"/>
  <c r="EC65" i="1" s="1"/>
  <c r="EW64" i="1"/>
  <c r="ET64" i="1"/>
  <c r="EP64" i="1"/>
  <c r="EN64" i="1"/>
  <c r="EL64" i="1"/>
  <c r="EJ64" i="1"/>
  <c r="EH64" i="1"/>
  <c r="EF64" i="1"/>
  <c r="EA64" i="1"/>
  <c r="EX63" i="1"/>
  <c r="ET63" i="1"/>
  <c r="EP63" i="1"/>
  <c r="EN63" i="1"/>
  <c r="EL63" i="1"/>
  <c r="EJ63" i="1"/>
  <c r="EH63" i="1"/>
  <c r="EF63" i="1"/>
  <c r="EA63" i="1"/>
  <c r="EC63" i="1" s="1"/>
  <c r="EW62" i="1"/>
  <c r="ET62" i="1"/>
  <c r="EP62" i="1"/>
  <c r="EN62" i="1"/>
  <c r="EL62" i="1"/>
  <c r="EJ62" i="1"/>
  <c r="EH62" i="1"/>
  <c r="EF62" i="1"/>
  <c r="EA62" i="1"/>
  <c r="EC62" i="1" s="1"/>
  <c r="EW61" i="1"/>
  <c r="ET61" i="1"/>
  <c r="EP61" i="1"/>
  <c r="EN61" i="1"/>
  <c r="EL61" i="1"/>
  <c r="EJ61" i="1"/>
  <c r="EH61" i="1"/>
  <c r="EF61" i="1"/>
  <c r="EA61" i="1"/>
  <c r="EC61" i="1" s="1"/>
  <c r="EV60" i="1"/>
  <c r="ET60" i="1"/>
  <c r="EP60" i="1"/>
  <c r="EN60" i="1"/>
  <c r="EL60" i="1"/>
  <c r="EJ60" i="1"/>
  <c r="EH60" i="1"/>
  <c r="EF60" i="1"/>
  <c r="EA60" i="1"/>
  <c r="EC60" i="1" s="1"/>
  <c r="EW58" i="1"/>
  <c r="ET58" i="1"/>
  <c r="EP58" i="1"/>
  <c r="EN58" i="1"/>
  <c r="EL58" i="1"/>
  <c r="EJ58" i="1"/>
  <c r="EH58" i="1"/>
  <c r="EF58" i="1"/>
  <c r="EA58" i="1"/>
  <c r="EW57" i="1"/>
  <c r="ET57" i="1"/>
  <c r="EP57" i="1"/>
  <c r="EN57" i="1"/>
  <c r="EL57" i="1"/>
  <c r="EJ57" i="1"/>
  <c r="EH57" i="1"/>
  <c r="EF57" i="1"/>
  <c r="EA57" i="1"/>
  <c r="EC57" i="1" s="1"/>
  <c r="EV56" i="1"/>
  <c r="EV59" i="1" s="1"/>
  <c r="ET56" i="1"/>
  <c r="EP56" i="1"/>
  <c r="EN56" i="1"/>
  <c r="EL56" i="1"/>
  <c r="EJ56" i="1"/>
  <c r="EH56" i="1"/>
  <c r="EF56" i="1"/>
  <c r="EA56" i="1"/>
  <c r="EW55" i="1"/>
  <c r="ET55" i="1"/>
  <c r="EP55" i="1"/>
  <c r="EN55" i="1"/>
  <c r="EL55" i="1"/>
  <c r="EJ55" i="1"/>
  <c r="EH55" i="1"/>
  <c r="EF55" i="1"/>
  <c r="EA55" i="1"/>
  <c r="EC55" i="1" s="1"/>
  <c r="EW54" i="1"/>
  <c r="ET54" i="1"/>
  <c r="EP54" i="1"/>
  <c r="EN54" i="1"/>
  <c r="EL54" i="1"/>
  <c r="EJ54" i="1"/>
  <c r="EH54" i="1"/>
  <c r="EF54" i="1"/>
  <c r="EA54" i="1"/>
  <c r="EW53" i="1"/>
  <c r="ET53" i="1"/>
  <c r="EP53" i="1"/>
  <c r="EN53" i="1"/>
  <c r="EL53" i="1"/>
  <c r="EJ53" i="1"/>
  <c r="EH53" i="1"/>
  <c r="EF53" i="1"/>
  <c r="EA53" i="1"/>
  <c r="EC53" i="1" s="1"/>
  <c r="EX52" i="1"/>
  <c r="ET52" i="1"/>
  <c r="EP52" i="1"/>
  <c r="EN52" i="1"/>
  <c r="EL52" i="1"/>
  <c r="EJ52" i="1"/>
  <c r="EH52" i="1"/>
  <c r="EF52" i="1"/>
  <c r="EA52" i="1"/>
  <c r="EC52" i="1" s="1"/>
  <c r="EX51" i="1"/>
  <c r="ET51" i="1"/>
  <c r="EP51" i="1"/>
  <c r="EN51" i="1"/>
  <c r="EL51" i="1"/>
  <c r="EJ51" i="1"/>
  <c r="EH51" i="1"/>
  <c r="EF51" i="1"/>
  <c r="EA51" i="1"/>
  <c r="EC51" i="1" s="1"/>
  <c r="EW50" i="1"/>
  <c r="ET50" i="1"/>
  <c r="EP50" i="1"/>
  <c r="EN50" i="1"/>
  <c r="EL50" i="1"/>
  <c r="EJ50" i="1"/>
  <c r="EH50" i="1"/>
  <c r="EI50" i="1" s="1"/>
  <c r="EF50" i="1"/>
  <c r="EA50" i="1"/>
  <c r="DY45" i="1"/>
  <c r="F12" i="6" s="1"/>
  <c r="EX44" i="1"/>
  <c r="ET44" i="1"/>
  <c r="EP44" i="1"/>
  <c r="EN44" i="1"/>
  <c r="EL44" i="1"/>
  <c r="EJ44" i="1"/>
  <c r="EH44" i="1"/>
  <c r="EF44" i="1"/>
  <c r="EA44" i="1"/>
  <c r="EV43" i="1"/>
  <c r="ET43" i="1"/>
  <c r="EP43" i="1"/>
  <c r="EN43" i="1"/>
  <c r="EL43" i="1"/>
  <c r="EJ43" i="1"/>
  <c r="EH43" i="1"/>
  <c r="EF43" i="1"/>
  <c r="EA43" i="1"/>
  <c r="EC43" i="1" s="1"/>
  <c r="EW42" i="1"/>
  <c r="ET42" i="1"/>
  <c r="EP42" i="1"/>
  <c r="EN42" i="1"/>
  <c r="EL42" i="1"/>
  <c r="EJ42" i="1"/>
  <c r="EH42" i="1"/>
  <c r="EF42" i="1"/>
  <c r="EA42" i="1"/>
  <c r="EC42" i="1" s="1"/>
  <c r="EV41" i="1"/>
  <c r="ET41" i="1"/>
  <c r="EP41" i="1"/>
  <c r="EN41" i="1"/>
  <c r="EL41" i="1"/>
  <c r="EJ41" i="1"/>
  <c r="EH41" i="1"/>
  <c r="EF41" i="1"/>
  <c r="EA41" i="1"/>
  <c r="EC41" i="1" s="1"/>
  <c r="EW40" i="1"/>
  <c r="ET40" i="1"/>
  <c r="EP40" i="1"/>
  <c r="EN40" i="1"/>
  <c r="EL40" i="1"/>
  <c r="EJ40" i="1"/>
  <c r="EH40" i="1"/>
  <c r="EF40" i="1"/>
  <c r="EA40" i="1"/>
  <c r="EC40" i="1" s="1"/>
  <c r="EX39" i="1"/>
  <c r="ET39" i="1"/>
  <c r="EP39" i="1"/>
  <c r="EN39" i="1"/>
  <c r="EL39" i="1"/>
  <c r="EJ39" i="1"/>
  <c r="EH39" i="1"/>
  <c r="EF39" i="1"/>
  <c r="EA39" i="1"/>
  <c r="EC39" i="1" s="1"/>
  <c r="EW38" i="1"/>
  <c r="ET38" i="1"/>
  <c r="EP38" i="1"/>
  <c r="EN38" i="1"/>
  <c r="EL38" i="1"/>
  <c r="EJ38" i="1"/>
  <c r="EH38" i="1"/>
  <c r="EF38" i="1"/>
  <c r="EA38" i="1"/>
  <c r="EC38" i="1" s="1"/>
  <c r="EW37" i="1"/>
  <c r="ET37" i="1"/>
  <c r="EP37" i="1"/>
  <c r="EN37" i="1"/>
  <c r="EL37" i="1"/>
  <c r="EJ37" i="1"/>
  <c r="EH37" i="1"/>
  <c r="EF37" i="1"/>
  <c r="EA37" i="1"/>
  <c r="EC37" i="1" s="1"/>
  <c r="EV36" i="1"/>
  <c r="ET36" i="1"/>
  <c r="EP36" i="1"/>
  <c r="EN36" i="1"/>
  <c r="EL36" i="1"/>
  <c r="EJ36" i="1"/>
  <c r="EH36" i="1"/>
  <c r="EF36" i="1"/>
  <c r="EA36" i="1"/>
  <c r="EW34" i="1"/>
  <c r="ET34" i="1"/>
  <c r="EP34" i="1"/>
  <c r="EN34" i="1"/>
  <c r="EL34" i="1"/>
  <c r="EJ34" i="1"/>
  <c r="EH34" i="1"/>
  <c r="EF34" i="1"/>
  <c r="EA34" i="1"/>
  <c r="EC34" i="1" s="1"/>
  <c r="EW33" i="1"/>
  <c r="ET33" i="1"/>
  <c r="EP33" i="1"/>
  <c r="EN33" i="1"/>
  <c r="EL33" i="1"/>
  <c r="EJ33" i="1"/>
  <c r="EH33" i="1"/>
  <c r="EF33" i="1"/>
  <c r="EA33" i="1"/>
  <c r="EC33" i="1" s="1"/>
  <c r="EV32" i="1"/>
  <c r="EV35" i="1" s="1"/>
  <c r="ET32" i="1"/>
  <c r="EP32" i="1"/>
  <c r="EN32" i="1"/>
  <c r="EL32" i="1"/>
  <c r="EJ32" i="1"/>
  <c r="EH32" i="1"/>
  <c r="EF32" i="1"/>
  <c r="EA32" i="1"/>
  <c r="EC32" i="1" s="1"/>
  <c r="EW31" i="1"/>
  <c r="ET31" i="1"/>
  <c r="EP31" i="1"/>
  <c r="EN31" i="1"/>
  <c r="EL31" i="1"/>
  <c r="EJ31" i="1"/>
  <c r="EH31" i="1"/>
  <c r="EF31" i="1"/>
  <c r="EA31" i="1"/>
  <c r="EC31" i="1" s="1"/>
  <c r="EW30" i="1"/>
  <c r="ET30" i="1"/>
  <c r="EP30" i="1"/>
  <c r="EN30" i="1"/>
  <c r="EL30" i="1"/>
  <c r="EJ30" i="1"/>
  <c r="EH30" i="1"/>
  <c r="EF30" i="1"/>
  <c r="EA30" i="1"/>
  <c r="EC30" i="1" s="1"/>
  <c r="EW29" i="1"/>
  <c r="ET29" i="1"/>
  <c r="EP29" i="1"/>
  <c r="EN29" i="1"/>
  <c r="EL29" i="1"/>
  <c r="EJ29" i="1"/>
  <c r="EH29" i="1"/>
  <c r="EF29" i="1"/>
  <c r="EA29" i="1"/>
  <c r="EC29" i="1" s="1"/>
  <c r="EX28" i="1"/>
  <c r="ET28" i="1"/>
  <c r="EP28" i="1"/>
  <c r="EN28" i="1"/>
  <c r="EL28" i="1"/>
  <c r="EJ28" i="1"/>
  <c r="EH28" i="1"/>
  <c r="EF28" i="1"/>
  <c r="EA28" i="1"/>
  <c r="EC28" i="1" s="1"/>
  <c r="EX27" i="1"/>
  <c r="ET27" i="1"/>
  <c r="EP27" i="1"/>
  <c r="EN27" i="1"/>
  <c r="EL27" i="1"/>
  <c r="EJ27" i="1"/>
  <c r="EH27" i="1"/>
  <c r="EF27" i="1"/>
  <c r="EA27" i="1"/>
  <c r="EW26" i="1"/>
  <c r="ET26" i="1"/>
  <c r="EP26" i="1"/>
  <c r="EN26" i="1"/>
  <c r="EO26" i="1" s="1"/>
  <c r="EL26" i="1"/>
  <c r="EM26" i="1" s="1"/>
  <c r="EJ26" i="1"/>
  <c r="EK26" i="1" s="1"/>
  <c r="EH26" i="1"/>
  <c r="EI26" i="1" s="1"/>
  <c r="EF26" i="1"/>
  <c r="EA26" i="1"/>
  <c r="EC26" i="1" s="1"/>
  <c r="DY22" i="1"/>
  <c r="F12" i="4" s="1"/>
  <c r="DW22" i="1"/>
  <c r="EW21" i="1"/>
  <c r="ET21" i="1"/>
  <c r="EP21" i="1"/>
  <c r="EN21" i="1"/>
  <c r="EL21" i="1"/>
  <c r="EJ21" i="1"/>
  <c r="EH21" i="1"/>
  <c r="EF21" i="1"/>
  <c r="EA21" i="1"/>
  <c r="EC21" i="1" s="1"/>
  <c r="EX20" i="1"/>
  <c r="ET20" i="1"/>
  <c r="EP20" i="1"/>
  <c r="EN20" i="1"/>
  <c r="EL20" i="1"/>
  <c r="EJ20" i="1"/>
  <c r="EH20" i="1"/>
  <c r="EF20" i="1"/>
  <c r="EA20" i="1"/>
  <c r="EC20" i="1" s="1"/>
  <c r="EV19" i="1"/>
  <c r="ET19" i="1"/>
  <c r="EP19" i="1"/>
  <c r="EN19" i="1"/>
  <c r="EL19" i="1"/>
  <c r="EJ19" i="1"/>
  <c r="EH19" i="1"/>
  <c r="EF19" i="1"/>
  <c r="EA19" i="1"/>
  <c r="EC19" i="1" s="1"/>
  <c r="EW18" i="1"/>
  <c r="ET18" i="1"/>
  <c r="EP18" i="1"/>
  <c r="EN18" i="1"/>
  <c r="EL18" i="1"/>
  <c r="EJ18" i="1"/>
  <c r="EH18" i="1"/>
  <c r="EF18" i="1"/>
  <c r="EA18" i="1"/>
  <c r="EC18" i="1" s="1"/>
  <c r="EV17" i="1"/>
  <c r="ET17" i="1"/>
  <c r="EP17" i="1"/>
  <c r="EN17" i="1"/>
  <c r="EL17" i="1"/>
  <c r="EJ17" i="1"/>
  <c r="EH17" i="1"/>
  <c r="EF17" i="1"/>
  <c r="EA17" i="1"/>
  <c r="EX16" i="1"/>
  <c r="ET16" i="1"/>
  <c r="EP16" i="1"/>
  <c r="EN16" i="1"/>
  <c r="EL16" i="1"/>
  <c r="EJ16" i="1"/>
  <c r="EH16" i="1"/>
  <c r="EF16" i="1"/>
  <c r="EA16" i="1"/>
  <c r="EC16" i="1" s="1"/>
  <c r="EW15" i="1"/>
  <c r="ET15" i="1"/>
  <c r="EP15" i="1"/>
  <c r="EN15" i="1"/>
  <c r="EL15" i="1"/>
  <c r="EJ15" i="1"/>
  <c r="EH15" i="1"/>
  <c r="EF15" i="1"/>
  <c r="EA15" i="1"/>
  <c r="EW14" i="1"/>
  <c r="ET14" i="1"/>
  <c r="EP14" i="1"/>
  <c r="EN14" i="1"/>
  <c r="EL14" i="1"/>
  <c r="EJ14" i="1"/>
  <c r="EH14" i="1"/>
  <c r="EF14" i="1"/>
  <c r="EA14" i="1"/>
  <c r="EC14" i="1" s="1"/>
  <c r="EW13" i="1"/>
  <c r="ET13" i="1"/>
  <c r="EP13" i="1"/>
  <c r="EN13" i="1"/>
  <c r="EL13" i="1"/>
  <c r="EJ13" i="1"/>
  <c r="EH13" i="1"/>
  <c r="EF13" i="1"/>
  <c r="EA13" i="1"/>
  <c r="EC13" i="1" s="1"/>
  <c r="EW11" i="1"/>
  <c r="ET11" i="1"/>
  <c r="EP11" i="1"/>
  <c r="EN11" i="1"/>
  <c r="EL11" i="1"/>
  <c r="EJ11" i="1"/>
  <c r="EH11" i="1"/>
  <c r="EF11" i="1"/>
  <c r="EA11" i="1"/>
  <c r="EC11" i="1" s="1"/>
  <c r="EV10" i="1"/>
  <c r="ET10" i="1"/>
  <c r="EP10" i="1"/>
  <c r="EN10" i="1"/>
  <c r="EL10" i="1"/>
  <c r="EJ10" i="1"/>
  <c r="EH10" i="1"/>
  <c r="EF10" i="1"/>
  <c r="EA10" i="1"/>
  <c r="EC10" i="1" s="1"/>
  <c r="EX9" i="1"/>
  <c r="ET9" i="1"/>
  <c r="EP9" i="1"/>
  <c r="EN9" i="1"/>
  <c r="EL9" i="1"/>
  <c r="EJ9" i="1"/>
  <c r="EH9" i="1"/>
  <c r="EF9" i="1"/>
  <c r="EA9" i="1"/>
  <c r="EC9" i="1" s="1"/>
  <c r="EW8" i="1"/>
  <c r="ET8" i="1"/>
  <c r="EP8" i="1"/>
  <c r="EN8" i="1"/>
  <c r="EL8" i="1"/>
  <c r="EJ8" i="1"/>
  <c r="EH8" i="1"/>
  <c r="EF8" i="1"/>
  <c r="EA8" i="1"/>
  <c r="EC8" i="1" s="1"/>
  <c r="EW7" i="1"/>
  <c r="ET7" i="1"/>
  <c r="EP7" i="1"/>
  <c r="EN7" i="1"/>
  <c r="EL7" i="1"/>
  <c r="EJ7" i="1"/>
  <c r="EH7" i="1"/>
  <c r="EF7" i="1"/>
  <c r="EA7" i="1"/>
  <c r="EV6" i="1"/>
  <c r="ET6" i="1"/>
  <c r="EP6" i="1"/>
  <c r="EN6" i="1"/>
  <c r="EL6" i="1"/>
  <c r="EJ6" i="1"/>
  <c r="EH6" i="1"/>
  <c r="EF6" i="1"/>
  <c r="EA6" i="1"/>
  <c r="EC6" i="1" s="1"/>
  <c r="EW5" i="1"/>
  <c r="ET5" i="1"/>
  <c r="EP5" i="1"/>
  <c r="EN5" i="1"/>
  <c r="EL5" i="1"/>
  <c r="EJ5" i="1"/>
  <c r="EH5" i="1"/>
  <c r="EF5" i="1"/>
  <c r="EA5" i="1"/>
  <c r="EC5" i="1" s="1"/>
  <c r="EX4" i="1"/>
  <c r="ET4" i="1"/>
  <c r="EP4" i="1"/>
  <c r="EN4" i="1"/>
  <c r="EL4" i="1"/>
  <c r="EJ4" i="1"/>
  <c r="EH4" i="1"/>
  <c r="EF4" i="1"/>
  <c r="EA4" i="1"/>
  <c r="EC4" i="1" s="1"/>
  <c r="EW3" i="1"/>
  <c r="ET3" i="1"/>
  <c r="EU3" i="1" s="1"/>
  <c r="EP3" i="1"/>
  <c r="EQ3" i="1" s="1"/>
  <c r="EN3" i="1"/>
  <c r="EL3" i="1"/>
  <c r="EM3" i="1" s="1"/>
  <c r="EJ3" i="1"/>
  <c r="EK3" i="1" s="1"/>
  <c r="EH3" i="1"/>
  <c r="EF3" i="1"/>
  <c r="EA3" i="1"/>
  <c r="EC3" i="1" s="1"/>
  <c r="DZ3" i="1"/>
  <c r="DZ4" i="1" s="1"/>
  <c r="DZ5" i="1" s="1"/>
  <c r="DZ6" i="1" s="1"/>
  <c r="DZ7" i="1" s="1"/>
  <c r="DZ8" i="1" s="1"/>
  <c r="DZ9" i="1" s="1"/>
  <c r="DZ10" i="1" s="1"/>
  <c r="DZ11" i="1" s="1"/>
  <c r="DZ13" i="1" s="1"/>
  <c r="DZ14" i="1" s="1"/>
  <c r="DZ15" i="1" s="1"/>
  <c r="DZ16" i="1" s="1"/>
  <c r="DZ17" i="1" s="1"/>
  <c r="DZ18" i="1" s="1"/>
  <c r="DZ19" i="1" s="1"/>
  <c r="DZ20" i="1" s="1"/>
  <c r="DZ21" i="1" s="1"/>
  <c r="DZ26" i="1" s="1"/>
  <c r="DZ27" i="1" s="1"/>
  <c r="DZ28" i="1" s="1"/>
  <c r="DZ29" i="1" s="1"/>
  <c r="DZ30" i="1" s="1"/>
  <c r="DZ31" i="1" s="1"/>
  <c r="DZ32" i="1" s="1"/>
  <c r="DZ33" i="1" s="1"/>
  <c r="DZ34" i="1" s="1"/>
  <c r="DZ36" i="1" s="1"/>
  <c r="DZ37" i="1" s="1"/>
  <c r="DZ38" i="1" s="1"/>
  <c r="DZ39" i="1" s="1"/>
  <c r="DZ40" i="1" s="1"/>
  <c r="DZ41" i="1" s="1"/>
  <c r="DZ42" i="1" s="1"/>
  <c r="DZ43" i="1" s="1"/>
  <c r="DZ44" i="1" s="1"/>
  <c r="DZ50" i="1" s="1"/>
  <c r="DZ51" i="1" s="1"/>
  <c r="DZ52" i="1" s="1"/>
  <c r="DZ53" i="1" s="1"/>
  <c r="DZ54" i="1" s="1"/>
  <c r="DZ55" i="1" s="1"/>
  <c r="DZ56" i="1" s="1"/>
  <c r="DZ57" i="1" s="1"/>
  <c r="DZ58" i="1" s="1"/>
  <c r="DZ60" i="1" s="1"/>
  <c r="DZ61" i="1" s="1"/>
  <c r="DZ62" i="1" s="1"/>
  <c r="DZ63" i="1" s="1"/>
  <c r="DZ64" i="1" s="1"/>
  <c r="DZ65" i="1" s="1"/>
  <c r="DZ66" i="1" s="1"/>
  <c r="DZ67" i="1" s="1"/>
  <c r="DZ68" i="1" s="1"/>
  <c r="DZ74" i="1" s="1"/>
  <c r="DZ75" i="1" s="1"/>
  <c r="DZ76" i="1" s="1"/>
  <c r="DZ77" i="1" s="1"/>
  <c r="DZ78" i="1" s="1"/>
  <c r="DZ79" i="1" s="1"/>
  <c r="DZ80" i="1" s="1"/>
  <c r="DZ81" i="1" s="1"/>
  <c r="DZ82" i="1" s="1"/>
  <c r="DZ84" i="1" s="1"/>
  <c r="DZ85" i="1" s="1"/>
  <c r="DZ86" i="1" s="1"/>
  <c r="DZ87" i="1" s="1"/>
  <c r="DZ88" i="1" s="1"/>
  <c r="DZ89" i="1" s="1"/>
  <c r="DZ90" i="1" s="1"/>
  <c r="DZ91" i="1" s="1"/>
  <c r="DZ92" i="1" s="1"/>
  <c r="DU92" i="1"/>
  <c r="DU91" i="1"/>
  <c r="DU90" i="1"/>
  <c r="DU89" i="1"/>
  <c r="DU88" i="1"/>
  <c r="DU87" i="1"/>
  <c r="DU86" i="1"/>
  <c r="DU85" i="1"/>
  <c r="DU84" i="1"/>
  <c r="DU82" i="1"/>
  <c r="DU81" i="1"/>
  <c r="DU80" i="1"/>
  <c r="DU79" i="1"/>
  <c r="DU78" i="1"/>
  <c r="DU77" i="1"/>
  <c r="DU76" i="1"/>
  <c r="DU75" i="1"/>
  <c r="DU74" i="1"/>
  <c r="DU68" i="1"/>
  <c r="DU67" i="1"/>
  <c r="DU66" i="1"/>
  <c r="DU65" i="1"/>
  <c r="DU64" i="1"/>
  <c r="DU63" i="1"/>
  <c r="DU62" i="1"/>
  <c r="DU61" i="1"/>
  <c r="DU60" i="1"/>
  <c r="DU58" i="1"/>
  <c r="DU57" i="1"/>
  <c r="DU56" i="1"/>
  <c r="DU55" i="1"/>
  <c r="DU54" i="1"/>
  <c r="DU53" i="1"/>
  <c r="DU52" i="1"/>
  <c r="DU51" i="1"/>
  <c r="DU50" i="1"/>
  <c r="DU44" i="1"/>
  <c r="DU43" i="1"/>
  <c r="DU42" i="1"/>
  <c r="DU41" i="1"/>
  <c r="DU40" i="1"/>
  <c r="DU39" i="1"/>
  <c r="DU38" i="1"/>
  <c r="DU37" i="1"/>
  <c r="DU36" i="1"/>
  <c r="DU34" i="1"/>
  <c r="DU33" i="1"/>
  <c r="DU32" i="1"/>
  <c r="DU31" i="1"/>
  <c r="DU30" i="1"/>
  <c r="DU29" i="1"/>
  <c r="DU28" i="1"/>
  <c r="DU27" i="1"/>
  <c r="DU26" i="1"/>
  <c r="DU21" i="1"/>
  <c r="DU20" i="1"/>
  <c r="DU19" i="1"/>
  <c r="DU18" i="1"/>
  <c r="DU17" i="1"/>
  <c r="DU16" i="1"/>
  <c r="DU15" i="1"/>
  <c r="DU14" i="1"/>
  <c r="DU13" i="1"/>
  <c r="DU11" i="1"/>
  <c r="DU10" i="1"/>
  <c r="DU9" i="1"/>
  <c r="DU8" i="1"/>
  <c r="DU7" i="1"/>
  <c r="DU6" i="1"/>
  <c r="DU5" i="1"/>
  <c r="DU4" i="1"/>
  <c r="DU3" i="1"/>
  <c r="CQ92" i="1"/>
  <c r="CQ91" i="1"/>
  <c r="CQ90" i="1"/>
  <c r="CQ89" i="1"/>
  <c r="CQ88" i="1"/>
  <c r="CQ87" i="1"/>
  <c r="CQ86" i="1"/>
  <c r="CQ85" i="1"/>
  <c r="CQ84" i="1"/>
  <c r="CQ82" i="1"/>
  <c r="CQ81" i="1"/>
  <c r="CQ80" i="1"/>
  <c r="CQ79" i="1"/>
  <c r="CQ78" i="1"/>
  <c r="CQ77" i="1"/>
  <c r="CQ76" i="1"/>
  <c r="CQ75" i="1"/>
  <c r="CQ74" i="1"/>
  <c r="CQ68" i="1"/>
  <c r="CQ67" i="1"/>
  <c r="CQ66" i="1"/>
  <c r="CQ65" i="1"/>
  <c r="CQ64" i="1"/>
  <c r="CQ63" i="1"/>
  <c r="CQ62" i="1"/>
  <c r="CQ61" i="1"/>
  <c r="CQ60" i="1"/>
  <c r="CQ58" i="1"/>
  <c r="CQ57" i="1"/>
  <c r="CQ56" i="1"/>
  <c r="CQ55" i="1"/>
  <c r="CQ54" i="1"/>
  <c r="CQ53" i="1"/>
  <c r="CQ52" i="1"/>
  <c r="CQ51" i="1"/>
  <c r="CQ50" i="1"/>
  <c r="CQ44" i="1"/>
  <c r="CQ43" i="1"/>
  <c r="CQ42" i="1"/>
  <c r="CQ41" i="1"/>
  <c r="CQ40" i="1"/>
  <c r="CQ39" i="1"/>
  <c r="CQ38" i="1"/>
  <c r="CQ37" i="1"/>
  <c r="CQ36" i="1"/>
  <c r="CQ34" i="1"/>
  <c r="CQ33" i="1"/>
  <c r="CQ32" i="1"/>
  <c r="CQ31" i="1"/>
  <c r="CQ30" i="1"/>
  <c r="CQ29" i="1"/>
  <c r="CQ28" i="1"/>
  <c r="CQ27" i="1"/>
  <c r="CQ26" i="1"/>
  <c r="CQ21" i="1"/>
  <c r="CQ20" i="1"/>
  <c r="CQ19" i="1"/>
  <c r="CQ18" i="1"/>
  <c r="CQ17" i="1"/>
  <c r="CQ16" i="1"/>
  <c r="CQ15" i="1"/>
  <c r="CQ14" i="1"/>
  <c r="CQ13" i="1"/>
  <c r="CQ11" i="1"/>
  <c r="CQ10" i="1"/>
  <c r="CQ9" i="1"/>
  <c r="CQ8" i="1"/>
  <c r="CQ7" i="1"/>
  <c r="CQ6" i="1"/>
  <c r="CQ5" i="1"/>
  <c r="CQ4" i="1"/>
  <c r="CQ3" i="1"/>
  <c r="BM92" i="1"/>
  <c r="BM91" i="1"/>
  <c r="BM90" i="1"/>
  <c r="BM89" i="1"/>
  <c r="BM88" i="1"/>
  <c r="BM87" i="1"/>
  <c r="BM86" i="1"/>
  <c r="BM85" i="1"/>
  <c r="BM84" i="1"/>
  <c r="BM82" i="1"/>
  <c r="BM81" i="1"/>
  <c r="BM80" i="1"/>
  <c r="BM79" i="1"/>
  <c r="BM78" i="1"/>
  <c r="BM77" i="1"/>
  <c r="BM76" i="1"/>
  <c r="BM75" i="1"/>
  <c r="BM74" i="1"/>
  <c r="BM68" i="1"/>
  <c r="BM67" i="1"/>
  <c r="BM66" i="1"/>
  <c r="BM65" i="1"/>
  <c r="BM64" i="1"/>
  <c r="BM63" i="1"/>
  <c r="BM62" i="1"/>
  <c r="BM61" i="1"/>
  <c r="BM60" i="1"/>
  <c r="BM58" i="1"/>
  <c r="BM57" i="1"/>
  <c r="BM56" i="1"/>
  <c r="BM55" i="1"/>
  <c r="BM54" i="1"/>
  <c r="BM53" i="1"/>
  <c r="BM52" i="1"/>
  <c r="BM51" i="1"/>
  <c r="BM50" i="1"/>
  <c r="BM44" i="1"/>
  <c r="BM43" i="1"/>
  <c r="BM42" i="1"/>
  <c r="BM41" i="1"/>
  <c r="BM40" i="1"/>
  <c r="BM39" i="1"/>
  <c r="BM38" i="1"/>
  <c r="BM37" i="1"/>
  <c r="BM36" i="1"/>
  <c r="BM34" i="1"/>
  <c r="BM33" i="1"/>
  <c r="BM32" i="1"/>
  <c r="BM31" i="1"/>
  <c r="BM30" i="1"/>
  <c r="BM29" i="1"/>
  <c r="BM28" i="1"/>
  <c r="BM27" i="1"/>
  <c r="BM26" i="1"/>
  <c r="BM21" i="1"/>
  <c r="BM20" i="1"/>
  <c r="BM19" i="1"/>
  <c r="BM18" i="1"/>
  <c r="BM17" i="1"/>
  <c r="BM16" i="1"/>
  <c r="BM15" i="1"/>
  <c r="BM14" i="1"/>
  <c r="BM13" i="1"/>
  <c r="BM11" i="1"/>
  <c r="BM10" i="1"/>
  <c r="BM9" i="1"/>
  <c r="BM8" i="1"/>
  <c r="BM7" i="1"/>
  <c r="BM6" i="1"/>
  <c r="BM5" i="1"/>
  <c r="BM4" i="1"/>
  <c r="BM3" i="1"/>
  <c r="AI92" i="1"/>
  <c r="AI91" i="1"/>
  <c r="AI90" i="1"/>
  <c r="AI89" i="1"/>
  <c r="AI88" i="1"/>
  <c r="AI87" i="1"/>
  <c r="AI86" i="1"/>
  <c r="AI85" i="1"/>
  <c r="AI84" i="1"/>
  <c r="AI82" i="1"/>
  <c r="AI81" i="1"/>
  <c r="AI80" i="1"/>
  <c r="AI79" i="1"/>
  <c r="AI78" i="1"/>
  <c r="AI77" i="1"/>
  <c r="AI76" i="1"/>
  <c r="AI75" i="1"/>
  <c r="AI74" i="1"/>
  <c r="AI68" i="1"/>
  <c r="AI67" i="1"/>
  <c r="AI66" i="1"/>
  <c r="AI65" i="1"/>
  <c r="AI64" i="1"/>
  <c r="AI63" i="1"/>
  <c r="AI62" i="1"/>
  <c r="AI61" i="1"/>
  <c r="AI60" i="1"/>
  <c r="AI58" i="1"/>
  <c r="AI57" i="1"/>
  <c r="AI56" i="1"/>
  <c r="AI55" i="1"/>
  <c r="AI54" i="1"/>
  <c r="AI53" i="1"/>
  <c r="AI52" i="1"/>
  <c r="AI51" i="1"/>
  <c r="AI50" i="1"/>
  <c r="AI44" i="1"/>
  <c r="AI43" i="1"/>
  <c r="AI42" i="1"/>
  <c r="AI41" i="1"/>
  <c r="AI40" i="1"/>
  <c r="AI39" i="1"/>
  <c r="AI38" i="1"/>
  <c r="AI37" i="1"/>
  <c r="AI36" i="1"/>
  <c r="AI34" i="1"/>
  <c r="AI33" i="1"/>
  <c r="AI32" i="1"/>
  <c r="AI31" i="1"/>
  <c r="AI30" i="1"/>
  <c r="AI29" i="1"/>
  <c r="AI28" i="1"/>
  <c r="AI27" i="1"/>
  <c r="AI26" i="1"/>
  <c r="AI11" i="1"/>
  <c r="AI10" i="1"/>
  <c r="AI9" i="1"/>
  <c r="AI8" i="1"/>
  <c r="AI7" i="1"/>
  <c r="AI6" i="1"/>
  <c r="AI5" i="1"/>
  <c r="AI4" i="1"/>
  <c r="AI3" i="1"/>
  <c r="DS92" i="1"/>
  <c r="DT91" i="1"/>
  <c r="DR90" i="1"/>
  <c r="DS89" i="1"/>
  <c r="DR88" i="1"/>
  <c r="DT87" i="1"/>
  <c r="DS86" i="1"/>
  <c r="DS85" i="1"/>
  <c r="DS84" i="1"/>
  <c r="DS82" i="1"/>
  <c r="DR81" i="1"/>
  <c r="DT80" i="1"/>
  <c r="DS79" i="1"/>
  <c r="DS78" i="1"/>
  <c r="DR77" i="1"/>
  <c r="DS76" i="1"/>
  <c r="DT75" i="1"/>
  <c r="DS74" i="1"/>
  <c r="CO92" i="1"/>
  <c r="CP91" i="1"/>
  <c r="CN90" i="1"/>
  <c r="CO89" i="1"/>
  <c r="CN88" i="1"/>
  <c r="CP87" i="1"/>
  <c r="CO86" i="1"/>
  <c r="CO85" i="1"/>
  <c r="CO84" i="1"/>
  <c r="CO82" i="1"/>
  <c r="CN81" i="1"/>
  <c r="CP80" i="1"/>
  <c r="CO79" i="1"/>
  <c r="CO78" i="1"/>
  <c r="CN77" i="1"/>
  <c r="CO76" i="1"/>
  <c r="CP75" i="1"/>
  <c r="CO74" i="1"/>
  <c r="BK92" i="1"/>
  <c r="BL91" i="1"/>
  <c r="BJ90" i="1"/>
  <c r="BK89" i="1"/>
  <c r="BJ88" i="1"/>
  <c r="BL87" i="1"/>
  <c r="BK86" i="1"/>
  <c r="BK85" i="1"/>
  <c r="BK84" i="1"/>
  <c r="BK82" i="1"/>
  <c r="BJ81" i="1"/>
  <c r="BL80" i="1"/>
  <c r="BK79" i="1"/>
  <c r="BK78" i="1"/>
  <c r="BJ77" i="1"/>
  <c r="BK76" i="1"/>
  <c r="BL75" i="1"/>
  <c r="BK74" i="1"/>
  <c r="DT68" i="1"/>
  <c r="DR67" i="1"/>
  <c r="DS66" i="1"/>
  <c r="DR65" i="1"/>
  <c r="DS64" i="1"/>
  <c r="DT63" i="1"/>
  <c r="DS62" i="1"/>
  <c r="DS61" i="1"/>
  <c r="DR60" i="1"/>
  <c r="DS58" i="1"/>
  <c r="DS57" i="1"/>
  <c r="DR56" i="1"/>
  <c r="DR59" i="1" s="1"/>
  <c r="DS55" i="1"/>
  <c r="DS54" i="1"/>
  <c r="DS53" i="1"/>
  <c r="DT52" i="1"/>
  <c r="DT51" i="1"/>
  <c r="DS50" i="1"/>
  <c r="CP68" i="1"/>
  <c r="CN67" i="1"/>
  <c r="CO66" i="1"/>
  <c r="CN65" i="1"/>
  <c r="CO64" i="1"/>
  <c r="CP63" i="1"/>
  <c r="CO62" i="1"/>
  <c r="CO61" i="1"/>
  <c r="CN60" i="1"/>
  <c r="CO58" i="1"/>
  <c r="CO57" i="1"/>
  <c r="CN56" i="1"/>
  <c r="CN59" i="1" s="1"/>
  <c r="CO55" i="1"/>
  <c r="CO54" i="1"/>
  <c r="CO53" i="1"/>
  <c r="CP52" i="1"/>
  <c r="CP51" i="1"/>
  <c r="CO50" i="1"/>
  <c r="BL68" i="1"/>
  <c r="BJ67" i="1"/>
  <c r="BK66" i="1"/>
  <c r="BJ65" i="1"/>
  <c r="BK64" i="1"/>
  <c r="BL63" i="1"/>
  <c r="BK62" i="1"/>
  <c r="BK61" i="1"/>
  <c r="BJ60" i="1"/>
  <c r="BK58" i="1"/>
  <c r="BK57" i="1"/>
  <c r="BJ56" i="1"/>
  <c r="BJ59" i="1" s="1"/>
  <c r="BK55" i="1"/>
  <c r="BK54" i="1"/>
  <c r="BK53" i="1"/>
  <c r="BL52" i="1"/>
  <c r="BL51" i="1"/>
  <c r="BK50" i="1"/>
  <c r="DT44" i="1"/>
  <c r="DR43" i="1"/>
  <c r="DS42" i="1"/>
  <c r="DR41" i="1"/>
  <c r="DS40" i="1"/>
  <c r="DT39" i="1"/>
  <c r="DS38" i="1"/>
  <c r="DS37" i="1"/>
  <c r="DR36" i="1"/>
  <c r="DS34" i="1"/>
  <c r="DS33" i="1"/>
  <c r="DR32" i="1"/>
  <c r="DR35" i="1" s="1"/>
  <c r="DS31" i="1"/>
  <c r="DS30" i="1"/>
  <c r="DS29" i="1"/>
  <c r="DT28" i="1"/>
  <c r="DT27" i="1"/>
  <c r="DS26" i="1"/>
  <c r="CP44" i="1"/>
  <c r="CN43" i="1"/>
  <c r="CO42" i="1"/>
  <c r="CN41" i="1"/>
  <c r="CO40" i="1"/>
  <c r="CP39" i="1"/>
  <c r="CO38" i="1"/>
  <c r="CO37" i="1"/>
  <c r="CN36" i="1"/>
  <c r="CO34" i="1"/>
  <c r="CO33" i="1"/>
  <c r="CN32" i="1"/>
  <c r="CN35" i="1" s="1"/>
  <c r="CO31" i="1"/>
  <c r="CO30" i="1"/>
  <c r="CO29" i="1"/>
  <c r="CP28" i="1"/>
  <c r="CP27" i="1"/>
  <c r="CO26" i="1"/>
  <c r="BL44" i="1"/>
  <c r="BJ43" i="1"/>
  <c r="BK42" i="1"/>
  <c r="BJ41" i="1"/>
  <c r="BK40" i="1"/>
  <c r="BL39" i="1"/>
  <c r="BK38" i="1"/>
  <c r="BK37" i="1"/>
  <c r="BJ36" i="1"/>
  <c r="BK34" i="1"/>
  <c r="BK33" i="1"/>
  <c r="BJ32" i="1"/>
  <c r="BJ35" i="1" s="1"/>
  <c r="BK31" i="1"/>
  <c r="BK30" i="1"/>
  <c r="BK29" i="1"/>
  <c r="BL28" i="1"/>
  <c r="BL27" i="1"/>
  <c r="BK26" i="1"/>
  <c r="DS21" i="1"/>
  <c r="DT20" i="1"/>
  <c r="DR19" i="1"/>
  <c r="DS18" i="1"/>
  <c r="DR17" i="1"/>
  <c r="DT16" i="1"/>
  <c r="DS15" i="1"/>
  <c r="DS14" i="1"/>
  <c r="DS13" i="1"/>
  <c r="DS11" i="1"/>
  <c r="DR10" i="1"/>
  <c r="DT9" i="1"/>
  <c r="DS8" i="1"/>
  <c r="DS7" i="1"/>
  <c r="DR6" i="1"/>
  <c r="DS5" i="1"/>
  <c r="DT4" i="1"/>
  <c r="DS3" i="1"/>
  <c r="CO21" i="1"/>
  <c r="CP20" i="1"/>
  <c r="CN19" i="1"/>
  <c r="CO18" i="1"/>
  <c r="CN17" i="1"/>
  <c r="CP16" i="1"/>
  <c r="CO15" i="1"/>
  <c r="CO14" i="1"/>
  <c r="CO13" i="1"/>
  <c r="CO11" i="1"/>
  <c r="CN10" i="1"/>
  <c r="CP9" i="1"/>
  <c r="CO8" i="1"/>
  <c r="CO7" i="1"/>
  <c r="CN6" i="1"/>
  <c r="CO5" i="1"/>
  <c r="CP4" i="1"/>
  <c r="CO3" i="1"/>
  <c r="BK21" i="1"/>
  <c r="BL20" i="1"/>
  <c r="BJ19" i="1"/>
  <c r="BK18" i="1"/>
  <c r="BJ17" i="1"/>
  <c r="BL16" i="1"/>
  <c r="BK15" i="1"/>
  <c r="BK14" i="1"/>
  <c r="BK13" i="1"/>
  <c r="BK11" i="1"/>
  <c r="BJ10" i="1"/>
  <c r="BL9" i="1"/>
  <c r="BK8" i="1"/>
  <c r="BK7" i="1"/>
  <c r="BJ6" i="1"/>
  <c r="BK5" i="1"/>
  <c r="BL4" i="1"/>
  <c r="BK3" i="1"/>
  <c r="AH68" i="1"/>
  <c r="AF67" i="1"/>
  <c r="AG66" i="1"/>
  <c r="AF65" i="1"/>
  <c r="AG64" i="1"/>
  <c r="AH63" i="1"/>
  <c r="AG62" i="1"/>
  <c r="AG61" i="1"/>
  <c r="AF60" i="1"/>
  <c r="AG58" i="1"/>
  <c r="AG57" i="1"/>
  <c r="AF56" i="1"/>
  <c r="AF59" i="1" s="1"/>
  <c r="AG55" i="1"/>
  <c r="AG54" i="1"/>
  <c r="AG53" i="1"/>
  <c r="AH52" i="1"/>
  <c r="AH51" i="1"/>
  <c r="AG50" i="1"/>
  <c r="AH44" i="1"/>
  <c r="AH39" i="1"/>
  <c r="AH28" i="1"/>
  <c r="AH27" i="1"/>
  <c r="AG42" i="1"/>
  <c r="AG40" i="1"/>
  <c r="AG38" i="1"/>
  <c r="AG33" i="1"/>
  <c r="AG30" i="1"/>
  <c r="AG29" i="1"/>
  <c r="AF43" i="1"/>
  <c r="AF41" i="1"/>
  <c r="AF36" i="1"/>
  <c r="AF32" i="1"/>
  <c r="AG92" i="1"/>
  <c r="AH91" i="1"/>
  <c r="AF90" i="1"/>
  <c r="AG89" i="1"/>
  <c r="AF88" i="1"/>
  <c r="AH87" i="1"/>
  <c r="AG86" i="1"/>
  <c r="AG85" i="1"/>
  <c r="AG84" i="1"/>
  <c r="AG82" i="1"/>
  <c r="AF81" i="1"/>
  <c r="AH80" i="1"/>
  <c r="AG79" i="1"/>
  <c r="AG78" i="1"/>
  <c r="AF77" i="1"/>
  <c r="AG76" i="1"/>
  <c r="AH75" i="1"/>
  <c r="AG74" i="1"/>
  <c r="AH9" i="1"/>
  <c r="AH4" i="1"/>
  <c r="AG11" i="1"/>
  <c r="AG8" i="1"/>
  <c r="AG7" i="1"/>
  <c r="AG5" i="1"/>
  <c r="AF10" i="1"/>
  <c r="E59" i="1"/>
  <c r="E83" i="1"/>
  <c r="IM46" i="1" l="1"/>
  <c r="J3" i="6" s="1"/>
  <c r="J6" i="6" s="1"/>
  <c r="J5" i="6"/>
  <c r="IM23" i="1"/>
  <c r="J5" i="4"/>
  <c r="CN93" i="1"/>
  <c r="JN22" i="1"/>
  <c r="BL45" i="1"/>
  <c r="II71" i="1"/>
  <c r="I41" i="8" s="1"/>
  <c r="IJ71" i="1"/>
  <c r="I42" i="8" s="1"/>
  <c r="JM47" i="1"/>
  <c r="J41" i="5" s="1"/>
  <c r="JM95" i="1"/>
  <c r="JM71" i="1"/>
  <c r="J41" i="8" s="1"/>
  <c r="JN47" i="1"/>
  <c r="J42" i="5" s="1"/>
  <c r="JN95" i="1"/>
  <c r="JN71" i="1"/>
  <c r="J42" i="8" s="1"/>
  <c r="KQ47" i="1"/>
  <c r="KQ71" i="1"/>
  <c r="IH71" i="1"/>
  <c r="I40" i="8" s="1"/>
  <c r="JL47" i="1"/>
  <c r="J40" i="5" s="1"/>
  <c r="JL95" i="1"/>
  <c r="JL71" i="1"/>
  <c r="J40" i="8" s="1"/>
  <c r="KR47" i="1"/>
  <c r="KR71" i="1"/>
  <c r="KP47" i="1"/>
  <c r="KP71" i="1"/>
  <c r="KP12" i="1"/>
  <c r="KP22" i="1"/>
  <c r="DW23" i="1"/>
  <c r="F3" i="4" s="1"/>
  <c r="F5" i="4"/>
  <c r="DW46" i="1"/>
  <c r="F3" i="6" s="1"/>
  <c r="JS70" i="1"/>
  <c r="AH45" i="1"/>
  <c r="BL22" i="1"/>
  <c r="CP45" i="1"/>
  <c r="DT69" i="1"/>
  <c r="EX22" i="1"/>
  <c r="EX69" i="1"/>
  <c r="FA70" i="1"/>
  <c r="G3" i="7" s="1"/>
  <c r="II22" i="1"/>
  <c r="IH69" i="1"/>
  <c r="IH93" i="1"/>
  <c r="JM69" i="1"/>
  <c r="IO94" i="1"/>
  <c r="KR46" i="1"/>
  <c r="KP45" i="1"/>
  <c r="JS46" i="1"/>
  <c r="FA94" i="1"/>
  <c r="G3" i="9" s="1"/>
  <c r="AH22" i="1"/>
  <c r="CN23" i="1"/>
  <c r="D25" i="4" s="1"/>
  <c r="BL70" i="1"/>
  <c r="C27" i="7" s="1"/>
  <c r="BJ94" i="1"/>
  <c r="C25" i="9" s="1"/>
  <c r="FC70" i="1"/>
  <c r="G10" i="7" s="1"/>
  <c r="G24" i="7" s="1"/>
  <c r="JN93" i="1"/>
  <c r="HK23" i="1"/>
  <c r="I10" i="4" s="1"/>
  <c r="I24" i="4" s="1"/>
  <c r="CN22" i="1"/>
  <c r="BJ93" i="1"/>
  <c r="CN94" i="1"/>
  <c r="D25" i="9" s="1"/>
  <c r="FZ22" i="1"/>
  <c r="IJ22" i="1"/>
  <c r="KL35" i="1"/>
  <c r="IH45" i="1"/>
  <c r="AH93" i="1"/>
  <c r="HF93" i="1"/>
  <c r="IH22" i="1"/>
  <c r="IH94" i="1"/>
  <c r="I25" i="9" s="1"/>
  <c r="HK94" i="1"/>
  <c r="I10" i="9" s="1"/>
  <c r="I24" i="9" s="1"/>
  <c r="JL22" i="1"/>
  <c r="JN46" i="1"/>
  <c r="J27" i="6" s="1"/>
  <c r="JL45" i="1"/>
  <c r="DT93" i="1"/>
  <c r="IJ45" i="1"/>
  <c r="KR69" i="1"/>
  <c r="G12" i="6"/>
  <c r="JQ94" i="1"/>
  <c r="JS94" i="1"/>
  <c r="KR94" i="1"/>
  <c r="KR93" i="1"/>
  <c r="I5" i="9"/>
  <c r="I12" i="9"/>
  <c r="I5" i="6"/>
  <c r="I12" i="4"/>
  <c r="H12" i="9"/>
  <c r="H12" i="4"/>
  <c r="HD23" i="1"/>
  <c r="H25" i="4" s="1"/>
  <c r="G5" i="9"/>
  <c r="G5" i="7"/>
  <c r="G12" i="7"/>
  <c r="GB45" i="1"/>
  <c r="F12" i="9"/>
  <c r="ES75" i="1"/>
  <c r="ES76" i="1" s="1"/>
  <c r="ES77" i="1" s="1"/>
  <c r="ES78" i="1" s="1"/>
  <c r="ES79" i="1" s="1"/>
  <c r="ES80" i="1" s="1"/>
  <c r="ES81" i="1" s="1"/>
  <c r="ES82" i="1" s="1"/>
  <c r="ES84" i="1" s="1"/>
  <c r="ES85" i="1" s="1"/>
  <c r="ES86" i="1" s="1"/>
  <c r="ES87" i="1" s="1"/>
  <c r="ES88" i="1" s="1"/>
  <c r="ES89" i="1" s="1"/>
  <c r="ES90" i="1" s="1"/>
  <c r="ES91" i="1" s="1"/>
  <c r="ES92" i="1" s="1"/>
  <c r="F5" i="6"/>
  <c r="DY23" i="1"/>
  <c r="F10" i="4" s="1"/>
  <c r="F24" i="4" s="1"/>
  <c r="FZ69" i="1"/>
  <c r="HE22" i="1"/>
  <c r="HD93" i="1"/>
  <c r="II70" i="1"/>
  <c r="I26" i="7" s="1"/>
  <c r="IJ93" i="1"/>
  <c r="JM45" i="1"/>
  <c r="KQ46" i="1"/>
  <c r="BJ69" i="1"/>
  <c r="EX94" i="1"/>
  <c r="F27" i="9" s="1"/>
  <c r="EW93" i="1"/>
  <c r="FZ23" i="1"/>
  <c r="G25" i="4" s="1"/>
  <c r="II69" i="1"/>
  <c r="JN45" i="1"/>
  <c r="KQ45" i="1"/>
  <c r="CP22" i="1"/>
  <c r="BK69" i="1"/>
  <c r="BL93" i="1"/>
  <c r="GB69" i="1"/>
  <c r="HF69" i="1"/>
  <c r="JM22" i="1"/>
  <c r="JN70" i="1"/>
  <c r="J27" i="7" s="1"/>
  <c r="JN69" i="1"/>
  <c r="JL93" i="1"/>
  <c r="CK51" i="1"/>
  <c r="CK52" i="1" s="1"/>
  <c r="CK53" i="1" s="1"/>
  <c r="CK54" i="1" s="1"/>
  <c r="CK55" i="1" s="1"/>
  <c r="CK56" i="1" s="1"/>
  <c r="CK57" i="1" s="1"/>
  <c r="CK58" i="1" s="1"/>
  <c r="CK60" i="1" s="1"/>
  <c r="CK61" i="1" s="1"/>
  <c r="CK62" i="1" s="1"/>
  <c r="CK63" i="1" s="1"/>
  <c r="CK64" i="1" s="1"/>
  <c r="CK65" i="1" s="1"/>
  <c r="CK66" i="1" s="1"/>
  <c r="CK67" i="1" s="1"/>
  <c r="CK68" i="1" s="1"/>
  <c r="BG75" i="1"/>
  <c r="BG76" i="1" s="1"/>
  <c r="BG77" i="1" s="1"/>
  <c r="BG78" i="1" s="1"/>
  <c r="BG79" i="1" s="1"/>
  <c r="BG80" i="1" s="1"/>
  <c r="BG81" i="1" s="1"/>
  <c r="BG82" i="1" s="1"/>
  <c r="BG84" i="1" s="1"/>
  <c r="BG85" i="1" s="1"/>
  <c r="BG86" i="1" s="1"/>
  <c r="BG87" i="1" s="1"/>
  <c r="BG88" i="1" s="1"/>
  <c r="BG89" i="1" s="1"/>
  <c r="BG90" i="1" s="1"/>
  <c r="BG91" i="1" s="1"/>
  <c r="BG92" i="1" s="1"/>
  <c r="FW75" i="1"/>
  <c r="FW76" i="1" s="1"/>
  <c r="FW77" i="1" s="1"/>
  <c r="FW78" i="1" s="1"/>
  <c r="FW79" i="1" s="1"/>
  <c r="FW80" i="1" s="1"/>
  <c r="FW81" i="1" s="1"/>
  <c r="FW82" i="1" s="1"/>
  <c r="FW84" i="1" s="1"/>
  <c r="FW85" i="1" s="1"/>
  <c r="FW86" i="1" s="1"/>
  <c r="FW87" i="1" s="1"/>
  <c r="FW88" i="1" s="1"/>
  <c r="FW89" i="1" s="1"/>
  <c r="FW90" i="1" s="1"/>
  <c r="FW91" i="1" s="1"/>
  <c r="FW92" i="1" s="1"/>
  <c r="HE93" i="1"/>
  <c r="II46" i="1"/>
  <c r="I26" i="6" s="1"/>
  <c r="JL69" i="1"/>
  <c r="KR45" i="1"/>
  <c r="GZ69" i="1"/>
  <c r="AH94" i="1"/>
  <c r="B27" i="9" s="1"/>
  <c r="CP70" i="1"/>
  <c r="D27" i="7" s="1"/>
  <c r="CP93" i="1"/>
  <c r="EX93" i="1"/>
  <c r="II93" i="1"/>
  <c r="KQ22" i="1"/>
  <c r="AG93" i="1"/>
  <c r="CN69" i="1"/>
  <c r="DT94" i="1"/>
  <c r="E27" i="9" s="1"/>
  <c r="AF94" i="1"/>
  <c r="B25" i="9" s="1"/>
  <c r="DR23" i="1"/>
  <c r="E25" i="4" s="1"/>
  <c r="CP46" i="1"/>
  <c r="D27" i="6" s="1"/>
  <c r="CN45" i="1"/>
  <c r="DT70" i="1"/>
  <c r="E27" i="7" s="1"/>
  <c r="EX70" i="1"/>
  <c r="F27" i="7" s="1"/>
  <c r="EV93" i="1"/>
  <c r="II45" i="1"/>
  <c r="JM46" i="1"/>
  <c r="J26" i="6" s="1"/>
  <c r="DO51" i="1"/>
  <c r="DO52" i="1" s="1"/>
  <c r="DO53" i="1" s="1"/>
  <c r="DO54" i="1" s="1"/>
  <c r="DO55" i="1" s="1"/>
  <c r="DO56" i="1" s="1"/>
  <c r="DO57" i="1" s="1"/>
  <c r="DO58" i="1" s="1"/>
  <c r="DO60" i="1" s="1"/>
  <c r="DO61" i="1" s="1"/>
  <c r="DO62" i="1" s="1"/>
  <c r="DO63" i="1" s="1"/>
  <c r="DO64" i="1" s="1"/>
  <c r="DO65" i="1" s="1"/>
  <c r="DO66" i="1" s="1"/>
  <c r="DO67" i="1" s="1"/>
  <c r="DO68" i="1" s="1"/>
  <c r="CJ93" i="1"/>
  <c r="HF46" i="1"/>
  <c r="H27" i="6" s="1"/>
  <c r="HD69" i="1"/>
  <c r="HE94" i="1"/>
  <c r="H26" i="9" s="1"/>
  <c r="HD94" i="1"/>
  <c r="H25" i="9" s="1"/>
  <c r="FZ94" i="1"/>
  <c r="G25" i="9" s="1"/>
  <c r="GB93" i="1"/>
  <c r="FZ93" i="1"/>
  <c r="GB70" i="1"/>
  <c r="G27" i="7" s="1"/>
  <c r="EW69" i="1"/>
  <c r="EV69" i="1"/>
  <c r="EW94" i="1"/>
  <c r="F26" i="9" s="1"/>
  <c r="DS69" i="1"/>
  <c r="DS70" i="1"/>
  <c r="E26" i="7" s="1"/>
  <c r="CO69" i="1"/>
  <c r="CP69" i="1"/>
  <c r="CO93" i="1"/>
  <c r="CO94" i="1"/>
  <c r="D26" i="9" s="1"/>
  <c r="BK93" i="1"/>
  <c r="BL69" i="1"/>
  <c r="JM94" i="1"/>
  <c r="J26" i="9" s="1"/>
  <c r="JM93" i="1"/>
  <c r="JN94" i="1"/>
  <c r="KQ69" i="1"/>
  <c r="JH12" i="1"/>
  <c r="IO23" i="1"/>
  <c r="J10" i="4" s="1"/>
  <c r="J24" i="4" s="1"/>
  <c r="ID12" i="1"/>
  <c r="HK70" i="1"/>
  <c r="ID83" i="1"/>
  <c r="HA75" i="1"/>
  <c r="HA76" i="1" s="1"/>
  <c r="HA77" i="1" s="1"/>
  <c r="HA78" i="1" s="1"/>
  <c r="HA79" i="1" s="1"/>
  <c r="HA80" i="1" s="1"/>
  <c r="HA81" i="1" s="1"/>
  <c r="HA82" i="1" s="1"/>
  <c r="HA84" i="1" s="1"/>
  <c r="HA85" i="1" s="1"/>
  <c r="HA86" i="1" s="1"/>
  <c r="HA87" i="1" s="1"/>
  <c r="HA88" i="1" s="1"/>
  <c r="HA89" i="1" s="1"/>
  <c r="HA90" i="1" s="1"/>
  <c r="HA91" i="1" s="1"/>
  <c r="HA92" i="1" s="1"/>
  <c r="GZ45" i="1"/>
  <c r="FV83" i="1"/>
  <c r="FC94" i="1"/>
  <c r="G10" i="9" s="1"/>
  <c r="G24" i="9" s="1"/>
  <c r="DO75" i="1"/>
  <c r="DO76" i="1" s="1"/>
  <c r="DO77" i="1" s="1"/>
  <c r="DO78" i="1" s="1"/>
  <c r="DO79" i="1" s="1"/>
  <c r="DO80" i="1" s="1"/>
  <c r="DO81" i="1" s="1"/>
  <c r="DO82" i="1" s="1"/>
  <c r="DO84" i="1" s="1"/>
  <c r="DO85" i="1" s="1"/>
  <c r="DO86" i="1" s="1"/>
  <c r="DO87" i="1" s="1"/>
  <c r="DO88" i="1" s="1"/>
  <c r="DO89" i="1" s="1"/>
  <c r="DO90" i="1" s="1"/>
  <c r="DO91" i="1" s="1"/>
  <c r="DO92" i="1" s="1"/>
  <c r="AH69" i="1"/>
  <c r="AH70" i="1"/>
  <c r="B27" i="7" s="1"/>
  <c r="KP94" i="1"/>
  <c r="KP93" i="1"/>
  <c r="KR95" i="1"/>
  <c r="KQ94" i="1"/>
  <c r="KQ70" i="1"/>
  <c r="KP70" i="1"/>
  <c r="KP95" i="1"/>
  <c r="KQ95" i="1"/>
  <c r="HF70" i="1"/>
  <c r="H27" i="7" s="1"/>
  <c r="HE69" i="1"/>
  <c r="HF45" i="1"/>
  <c r="HD45" i="1"/>
  <c r="HF22" i="1"/>
  <c r="HE23" i="1"/>
  <c r="H26" i="4" s="1"/>
  <c r="KL83" i="1"/>
  <c r="KM74" i="1"/>
  <c r="KM75" i="1" s="1"/>
  <c r="KM76" i="1" s="1"/>
  <c r="KM77" i="1" s="1"/>
  <c r="KM78" i="1" s="1"/>
  <c r="KM79" i="1" s="1"/>
  <c r="KM80" i="1" s="1"/>
  <c r="KM81" i="1" s="1"/>
  <c r="KM82" i="1" s="1"/>
  <c r="KM84" i="1" s="1"/>
  <c r="KM85" i="1" s="1"/>
  <c r="KM86" i="1" s="1"/>
  <c r="KM87" i="1" s="1"/>
  <c r="KM88" i="1" s="1"/>
  <c r="KM89" i="1" s="1"/>
  <c r="KM90" i="1" s="1"/>
  <c r="KM91" i="1" s="1"/>
  <c r="KM92" i="1" s="1"/>
  <c r="KL93" i="1"/>
  <c r="KQ93" i="1"/>
  <c r="KL69" i="1"/>
  <c r="KP69" i="1"/>
  <c r="KR70" i="1"/>
  <c r="KL59" i="1"/>
  <c r="KL45" i="1"/>
  <c r="KP46" i="1"/>
  <c r="KR22" i="1"/>
  <c r="KP23" i="1"/>
  <c r="KQ23" i="1"/>
  <c r="KR23" i="1"/>
  <c r="JH93" i="1"/>
  <c r="JL94" i="1"/>
  <c r="JH83" i="1"/>
  <c r="JI75" i="1"/>
  <c r="JI76" i="1" s="1"/>
  <c r="JI77" i="1" s="1"/>
  <c r="JI78" i="1" s="1"/>
  <c r="JI79" i="1" s="1"/>
  <c r="JI80" i="1" s="1"/>
  <c r="JI81" i="1" s="1"/>
  <c r="JI82" i="1" s="1"/>
  <c r="JI84" i="1" s="1"/>
  <c r="JI85" i="1" s="1"/>
  <c r="JI86" i="1" s="1"/>
  <c r="JI87" i="1" s="1"/>
  <c r="JI88" i="1" s="1"/>
  <c r="JI89" i="1" s="1"/>
  <c r="JI90" i="1" s="1"/>
  <c r="JI91" i="1" s="1"/>
  <c r="JI92" i="1" s="1"/>
  <c r="JM70" i="1"/>
  <c r="J26" i="7" s="1"/>
  <c r="JL70" i="1"/>
  <c r="J25" i="7" s="1"/>
  <c r="JH45" i="1"/>
  <c r="JI27" i="1"/>
  <c r="JI28" i="1" s="1"/>
  <c r="JI29" i="1" s="1"/>
  <c r="JI30" i="1" s="1"/>
  <c r="JI31" i="1" s="1"/>
  <c r="JI32" i="1" s="1"/>
  <c r="JI33" i="1" s="1"/>
  <c r="JI34" i="1" s="1"/>
  <c r="JI36" i="1" s="1"/>
  <c r="JI37" i="1" s="1"/>
  <c r="JI38" i="1" s="1"/>
  <c r="JI39" i="1" s="1"/>
  <c r="JI40" i="1" s="1"/>
  <c r="JI41" i="1" s="1"/>
  <c r="JI42" i="1" s="1"/>
  <c r="JI43" i="1" s="1"/>
  <c r="JI44" i="1" s="1"/>
  <c r="JH35" i="1"/>
  <c r="IO46" i="1"/>
  <c r="J10" i="6" s="1"/>
  <c r="J24" i="6" s="1"/>
  <c r="JL46" i="1"/>
  <c r="J25" i="6" s="1"/>
  <c r="JI3" i="1"/>
  <c r="JI4" i="1" s="1"/>
  <c r="JI5" i="1" s="1"/>
  <c r="JI6" i="1" s="1"/>
  <c r="JI7" i="1" s="1"/>
  <c r="JI8" i="1" s="1"/>
  <c r="JI9" i="1" s="1"/>
  <c r="JI10" i="1" s="1"/>
  <c r="JI11" i="1" s="1"/>
  <c r="JI13" i="1" s="1"/>
  <c r="JI14" i="1" s="1"/>
  <c r="JI15" i="1" s="1"/>
  <c r="JI16" i="1" s="1"/>
  <c r="JI17" i="1" s="1"/>
  <c r="JI18" i="1" s="1"/>
  <c r="JI19" i="1" s="1"/>
  <c r="JI20" i="1" s="1"/>
  <c r="JI21" i="1" s="1"/>
  <c r="JH22" i="1"/>
  <c r="JL23" i="1"/>
  <c r="J25" i="4" s="1"/>
  <c r="JM23" i="1"/>
  <c r="J26" i="4" s="1"/>
  <c r="JN23" i="1"/>
  <c r="J27" i="4" s="1"/>
  <c r="IE75" i="1"/>
  <c r="IE76" i="1" s="1"/>
  <c r="IE77" i="1" s="1"/>
  <c r="IE78" i="1" s="1"/>
  <c r="IE79" i="1" s="1"/>
  <c r="IE80" i="1" s="1"/>
  <c r="IE81" i="1" s="1"/>
  <c r="IE82" i="1" s="1"/>
  <c r="IE84" i="1" s="1"/>
  <c r="IE85" i="1" s="1"/>
  <c r="IE86" i="1" s="1"/>
  <c r="IE87" i="1" s="1"/>
  <c r="IE88" i="1" s="1"/>
  <c r="IE89" i="1" s="1"/>
  <c r="IE90" i="1" s="1"/>
  <c r="IE91" i="1" s="1"/>
  <c r="IE92" i="1" s="1"/>
  <c r="ID93" i="1"/>
  <c r="II95" i="1"/>
  <c r="II94" i="1"/>
  <c r="I26" i="9" s="1"/>
  <c r="IJ94" i="1"/>
  <c r="I27" i="9" s="1"/>
  <c r="ID69" i="1"/>
  <c r="ID59" i="1"/>
  <c r="IH70" i="1"/>
  <c r="I25" i="7" s="1"/>
  <c r="HI70" i="1"/>
  <c r="I3" i="7" s="1"/>
  <c r="IJ46" i="1"/>
  <c r="I27" i="6" s="1"/>
  <c r="ID35" i="1"/>
  <c r="IH46" i="1"/>
  <c r="I25" i="6" s="1"/>
  <c r="IH47" i="1"/>
  <c r="ID22" i="1"/>
  <c r="IJ23" i="1"/>
  <c r="I27" i="4" s="1"/>
  <c r="IH95" i="1"/>
  <c r="IJ95" i="1"/>
  <c r="II47" i="1"/>
  <c r="IH23" i="1"/>
  <c r="I25" i="4" s="1"/>
  <c r="IJ47" i="1"/>
  <c r="II23" i="1"/>
  <c r="I26" i="4" s="1"/>
  <c r="GZ93" i="1"/>
  <c r="HF94" i="1"/>
  <c r="H27" i="9" s="1"/>
  <c r="GZ83" i="1"/>
  <c r="GZ59" i="1"/>
  <c r="HE70" i="1"/>
  <c r="H26" i="7" s="1"/>
  <c r="HD70" i="1"/>
  <c r="H25" i="7" s="1"/>
  <c r="HA27" i="1"/>
  <c r="HA28" i="1" s="1"/>
  <c r="HA29" i="1" s="1"/>
  <c r="HA30" i="1" s="1"/>
  <c r="HA31" i="1" s="1"/>
  <c r="HA32" i="1" s="1"/>
  <c r="HA33" i="1" s="1"/>
  <c r="HA34" i="1" s="1"/>
  <c r="HA36" i="1" s="1"/>
  <c r="HA37" i="1" s="1"/>
  <c r="HA38" i="1" s="1"/>
  <c r="HA39" i="1" s="1"/>
  <c r="HA40" i="1" s="1"/>
  <c r="HA41" i="1" s="1"/>
  <c r="HA42" i="1" s="1"/>
  <c r="HA43" i="1" s="1"/>
  <c r="HA44" i="1" s="1"/>
  <c r="HD95" i="1"/>
  <c r="HD46" i="1"/>
  <c r="H25" i="6" s="1"/>
  <c r="GZ12" i="1"/>
  <c r="HA3" i="1"/>
  <c r="HA4" i="1" s="1"/>
  <c r="HA5" i="1" s="1"/>
  <c r="HA6" i="1" s="1"/>
  <c r="HA7" i="1" s="1"/>
  <c r="HA8" i="1" s="1"/>
  <c r="HA9" i="1" s="1"/>
  <c r="HA10" i="1" s="1"/>
  <c r="HA11" i="1" s="1"/>
  <c r="HA13" i="1" s="1"/>
  <c r="HA14" i="1" s="1"/>
  <c r="HA15" i="1" s="1"/>
  <c r="HA16" i="1" s="1"/>
  <c r="HA17" i="1" s="1"/>
  <c r="HA18" i="1" s="1"/>
  <c r="HA19" i="1" s="1"/>
  <c r="HA20" i="1" s="1"/>
  <c r="HA21" i="1" s="1"/>
  <c r="GZ22" i="1"/>
  <c r="HF71" i="1"/>
  <c r="H42" i="8" s="1"/>
  <c r="HD22" i="1"/>
  <c r="HF95" i="1"/>
  <c r="HE47" i="1"/>
  <c r="HD47" i="1"/>
  <c r="HF23" i="1"/>
  <c r="H27" i="4" s="1"/>
  <c r="HF47" i="1"/>
  <c r="HD71" i="1"/>
  <c r="H40" i="8" s="1"/>
  <c r="FV93" i="1"/>
  <c r="GA94" i="1"/>
  <c r="G26" i="9" s="1"/>
  <c r="GA93" i="1"/>
  <c r="GB94" i="1"/>
  <c r="G27" i="9" s="1"/>
  <c r="FV69" i="1"/>
  <c r="GA69" i="1"/>
  <c r="FV59" i="1"/>
  <c r="FZ70" i="1"/>
  <c r="G25" i="7" s="1"/>
  <c r="GA70" i="1"/>
  <c r="G26" i="7" s="1"/>
  <c r="GB46" i="1"/>
  <c r="G27" i="6" s="1"/>
  <c r="FV12" i="1"/>
  <c r="GA22" i="1"/>
  <c r="GB22" i="1"/>
  <c r="EV94" i="1"/>
  <c r="F25" i="9" s="1"/>
  <c r="ER83" i="1"/>
  <c r="ER59" i="1"/>
  <c r="ER69" i="1"/>
  <c r="EW70" i="1"/>
  <c r="F26" i="7" s="1"/>
  <c r="EV70" i="1"/>
  <c r="F25" i="7" s="1"/>
  <c r="DY46" i="1"/>
  <c r="F10" i="6" s="1"/>
  <c r="F24" i="6" s="1"/>
  <c r="ER12" i="1"/>
  <c r="DN93" i="1"/>
  <c r="DS94" i="1"/>
  <c r="E26" i="9" s="1"/>
  <c r="DN83" i="1"/>
  <c r="DR94" i="1"/>
  <c r="E25" i="9" s="1"/>
  <c r="DN59" i="1"/>
  <c r="DN69" i="1"/>
  <c r="DR69" i="1"/>
  <c r="DS45" i="1"/>
  <c r="CP94" i="1"/>
  <c r="D27" i="9" s="1"/>
  <c r="CJ83" i="1"/>
  <c r="CJ69" i="1"/>
  <c r="CO70" i="1"/>
  <c r="D26" i="7" s="1"/>
  <c r="CN70" i="1"/>
  <c r="D25" i="7" s="1"/>
  <c r="CP47" i="1"/>
  <c r="BF93" i="1"/>
  <c r="BK94" i="1"/>
  <c r="C26" i="9" s="1"/>
  <c r="BL94" i="1"/>
  <c r="C27" i="9" s="1"/>
  <c r="BF83" i="1"/>
  <c r="BF69" i="1"/>
  <c r="BK70" i="1"/>
  <c r="C26" i="7" s="1"/>
  <c r="BF59" i="1"/>
  <c r="BJ70" i="1"/>
  <c r="C25" i="7" s="1"/>
  <c r="BJ45" i="1"/>
  <c r="BK45" i="1"/>
  <c r="AG94" i="1"/>
  <c r="B26" i="9" s="1"/>
  <c r="AF69" i="1"/>
  <c r="AG69" i="1"/>
  <c r="AG22" i="1"/>
  <c r="AH47" i="1"/>
  <c r="B42" i="5" s="1"/>
  <c r="JF52" i="1"/>
  <c r="JJ52" i="1"/>
  <c r="IQ52" i="1"/>
  <c r="IS52" i="1" s="1"/>
  <c r="IP52" i="1"/>
  <c r="IP53" i="1" s="1"/>
  <c r="CP23" i="1"/>
  <c r="D27" i="4" s="1"/>
  <c r="CO22" i="1"/>
  <c r="BL46" i="1"/>
  <c r="C27" i="6" s="1"/>
  <c r="EW45" i="1"/>
  <c r="EW46" i="1"/>
  <c r="F26" i="6" s="1"/>
  <c r="EX23" i="1"/>
  <c r="F27" i="4" s="1"/>
  <c r="FV45" i="1"/>
  <c r="AG70" i="1"/>
  <c r="B26" i="7" s="1"/>
  <c r="FZ45" i="1"/>
  <c r="FV35" i="1"/>
  <c r="GA46" i="1"/>
  <c r="G26" i="6" s="1"/>
  <c r="FV22" i="1"/>
  <c r="GB23" i="1"/>
  <c r="G27" i="4" s="1"/>
  <c r="GA23" i="1"/>
  <c r="G26" i="4" s="1"/>
  <c r="FW3" i="1"/>
  <c r="FW4" i="1" s="1"/>
  <c r="FW5" i="1" s="1"/>
  <c r="FW6" i="1" s="1"/>
  <c r="FW7" i="1" s="1"/>
  <c r="FW8" i="1" s="1"/>
  <c r="FW9" i="1" s="1"/>
  <c r="FW10" i="1" s="1"/>
  <c r="FW11" i="1" s="1"/>
  <c r="FW13" i="1" s="1"/>
  <c r="FW14" i="1" s="1"/>
  <c r="FW15" i="1" s="1"/>
  <c r="FW16" i="1" s="1"/>
  <c r="FW17" i="1" s="1"/>
  <c r="FW18" i="1" s="1"/>
  <c r="FW19" i="1" s="1"/>
  <c r="FW20" i="1" s="1"/>
  <c r="FW21" i="1" s="1"/>
  <c r="GB71" i="1"/>
  <c r="G42" i="8" s="1"/>
  <c r="GB47" i="1"/>
  <c r="GB95" i="1"/>
  <c r="EV23" i="1"/>
  <c r="F25" i="4" s="1"/>
  <c r="EW23" i="1"/>
  <c r="F26" i="4" s="1"/>
  <c r="DN12" i="1"/>
  <c r="DO3" i="1"/>
  <c r="DO4" i="1" s="1"/>
  <c r="DO5" i="1" s="1"/>
  <c r="DO6" i="1" s="1"/>
  <c r="DO7" i="1" s="1"/>
  <c r="DO8" i="1" s="1"/>
  <c r="DO9" i="1" s="1"/>
  <c r="DO10" i="1" s="1"/>
  <c r="DO11" i="1" s="1"/>
  <c r="DO13" i="1" s="1"/>
  <c r="DO14" i="1" s="1"/>
  <c r="DO15" i="1" s="1"/>
  <c r="DO16" i="1" s="1"/>
  <c r="DO17" i="1" s="1"/>
  <c r="DO18" i="1" s="1"/>
  <c r="DO19" i="1" s="1"/>
  <c r="DO20" i="1" s="1"/>
  <c r="DO21" i="1" s="1"/>
  <c r="DS23" i="1"/>
  <c r="E26" i="4" s="1"/>
  <c r="DT23" i="1"/>
  <c r="E27" i="4" s="1"/>
  <c r="CJ12" i="1"/>
  <c r="CJ22" i="1"/>
  <c r="DR22" i="1"/>
  <c r="DS22" i="1"/>
  <c r="DT47" i="1"/>
  <c r="DR47" i="1"/>
  <c r="DT22" i="1"/>
  <c r="DT95" i="1"/>
  <c r="DN22" i="1"/>
  <c r="EV22" i="1"/>
  <c r="EW22" i="1"/>
  <c r="ER45" i="1"/>
  <c r="ES27" i="1"/>
  <c r="ES28" i="1" s="1"/>
  <c r="ES29" i="1" s="1"/>
  <c r="ES30" i="1" s="1"/>
  <c r="ES31" i="1" s="1"/>
  <c r="ES32" i="1" s="1"/>
  <c r="ES33" i="1" s="1"/>
  <c r="ES34" i="1" s="1"/>
  <c r="ES36" i="1" s="1"/>
  <c r="ES37" i="1" s="1"/>
  <c r="ES38" i="1" s="1"/>
  <c r="ES39" i="1" s="1"/>
  <c r="ES40" i="1" s="1"/>
  <c r="ES41" i="1" s="1"/>
  <c r="ES42" i="1" s="1"/>
  <c r="ES43" i="1" s="1"/>
  <c r="ES44" i="1" s="1"/>
  <c r="EV95" i="1"/>
  <c r="EV71" i="1"/>
  <c r="F40" i="8" s="1"/>
  <c r="EX46" i="1"/>
  <c r="F27" i="6" s="1"/>
  <c r="EV47" i="1"/>
  <c r="EX95" i="1"/>
  <c r="EV46" i="1"/>
  <c r="F25" i="6" s="1"/>
  <c r="EV45" i="1"/>
  <c r="DN45" i="1"/>
  <c r="DS46" i="1"/>
  <c r="E26" i="6" s="1"/>
  <c r="DR45" i="1"/>
  <c r="DT71" i="1"/>
  <c r="E42" i="8" s="1"/>
  <c r="DT45" i="1"/>
  <c r="DR46" i="1"/>
  <c r="E25" i="6" s="1"/>
  <c r="DT46" i="1"/>
  <c r="E27" i="6" s="1"/>
  <c r="CJ45" i="1"/>
  <c r="CO45" i="1"/>
  <c r="CK27" i="1"/>
  <c r="CK28" i="1" s="1"/>
  <c r="CK29" i="1" s="1"/>
  <c r="CK30" i="1" s="1"/>
  <c r="CK31" i="1" s="1"/>
  <c r="CK32" i="1" s="1"/>
  <c r="CK33" i="1" s="1"/>
  <c r="CK34" i="1" s="1"/>
  <c r="CK36" i="1" s="1"/>
  <c r="CK37" i="1" s="1"/>
  <c r="CK38" i="1" s="1"/>
  <c r="CK39" i="1" s="1"/>
  <c r="CK40" i="1" s="1"/>
  <c r="CK41" i="1" s="1"/>
  <c r="CK42" i="1" s="1"/>
  <c r="CK43" i="1" s="1"/>
  <c r="CK44" i="1" s="1"/>
  <c r="CN46" i="1"/>
  <c r="D25" i="6" s="1"/>
  <c r="BF35" i="1"/>
  <c r="BK46" i="1"/>
  <c r="C26" i="6" s="1"/>
  <c r="BJ46" i="1"/>
  <c r="C25" i="6" s="1"/>
  <c r="AF46" i="1"/>
  <c r="B25" i="6" s="1"/>
  <c r="AH46" i="1"/>
  <c r="B27" i="6" s="1"/>
  <c r="CO23" i="1"/>
  <c r="D26" i="4" s="1"/>
  <c r="CN95" i="1"/>
  <c r="CN71" i="1"/>
  <c r="D40" i="8" s="1"/>
  <c r="CP95" i="1"/>
  <c r="CN47" i="1"/>
  <c r="CP71" i="1"/>
  <c r="D42" i="8" s="1"/>
  <c r="BF22" i="1"/>
  <c r="BJ71" i="1"/>
  <c r="C40" i="8" s="1"/>
  <c r="BJ47" i="1"/>
  <c r="BF12" i="1"/>
  <c r="BK23" i="1"/>
  <c r="C26" i="4" s="1"/>
  <c r="AH71" i="1"/>
  <c r="B42" i="8" s="1"/>
  <c r="BL23" i="1"/>
  <c r="C27" i="4" s="1"/>
  <c r="M21" i="1"/>
  <c r="M20" i="1"/>
  <c r="M19" i="1"/>
  <c r="M18" i="1"/>
  <c r="M17" i="1"/>
  <c r="M16" i="1"/>
  <c r="M15" i="1"/>
  <c r="M14" i="1"/>
  <c r="M13" i="1"/>
  <c r="BL47" i="1"/>
  <c r="BK71" i="1"/>
  <c r="C41" i="8" s="1"/>
  <c r="BL71" i="1"/>
  <c r="C42" i="8" s="1"/>
  <c r="BJ95" i="1"/>
  <c r="BJ22" i="1"/>
  <c r="BK95" i="1"/>
  <c r="BK22" i="1"/>
  <c r="BL95" i="1"/>
  <c r="BK47" i="1"/>
  <c r="BJ23" i="1"/>
  <c r="C25" i="4" s="1"/>
  <c r="AH23" i="1"/>
  <c r="B27" i="4" s="1"/>
  <c r="AH95" i="1"/>
  <c r="DR93" i="1"/>
  <c r="DS93" i="1"/>
  <c r="IJ70" i="1"/>
  <c r="I27" i="7" s="1"/>
  <c r="IJ69" i="1"/>
  <c r="DR70" i="1"/>
  <c r="E25" i="7" s="1"/>
  <c r="DR71" i="1"/>
  <c r="E40" i="8" s="1"/>
  <c r="DR95" i="1"/>
  <c r="HE45" i="1"/>
  <c r="HE95" i="1"/>
  <c r="HE46" i="1"/>
  <c r="H26" i="6" s="1"/>
  <c r="HE71" i="1"/>
  <c r="H41" i="8" s="1"/>
  <c r="GA71" i="1"/>
  <c r="G41" i="8" s="1"/>
  <c r="GA47" i="1"/>
  <c r="GA45" i="1"/>
  <c r="GA95" i="1"/>
  <c r="FZ46" i="1"/>
  <c r="G25" i="6" s="1"/>
  <c r="FZ95" i="1"/>
  <c r="FZ47" i="1"/>
  <c r="FZ71" i="1"/>
  <c r="G40" i="8" s="1"/>
  <c r="EX47" i="1"/>
  <c r="EX71" i="1"/>
  <c r="F42" i="8" s="1"/>
  <c r="EX45" i="1"/>
  <c r="EW47" i="1"/>
  <c r="EW95" i="1"/>
  <c r="EW71" i="1"/>
  <c r="F41" i="8" s="1"/>
  <c r="DS47" i="1"/>
  <c r="DS71" i="1"/>
  <c r="E41" i="8" s="1"/>
  <c r="DS95" i="1"/>
  <c r="CO71" i="1"/>
  <c r="D41" i="8" s="1"/>
  <c r="CO46" i="1"/>
  <c r="D26" i="6" s="1"/>
  <c r="CO95" i="1"/>
  <c r="CO47" i="1"/>
  <c r="BF45" i="1"/>
  <c r="AF70" i="1"/>
  <c r="B25" i="7" s="1"/>
  <c r="ER93" i="1"/>
  <c r="CK75" i="1"/>
  <c r="CK76" i="1" s="1"/>
  <c r="CK77" i="1" s="1"/>
  <c r="CK78" i="1" s="1"/>
  <c r="CK79" i="1" s="1"/>
  <c r="CK80" i="1" s="1"/>
  <c r="CK81" i="1" s="1"/>
  <c r="CK82" i="1" s="1"/>
  <c r="CK84" i="1" s="1"/>
  <c r="CK85" i="1" s="1"/>
  <c r="CK86" i="1" s="1"/>
  <c r="CK87" i="1" s="1"/>
  <c r="CK88" i="1" s="1"/>
  <c r="CK89" i="1" s="1"/>
  <c r="CK90" i="1" s="1"/>
  <c r="CK91" i="1" s="1"/>
  <c r="CK92" i="1" s="1"/>
  <c r="KM50" i="1"/>
  <c r="KM51" i="1" s="1"/>
  <c r="KM52" i="1" s="1"/>
  <c r="KM53" i="1" s="1"/>
  <c r="KM54" i="1" s="1"/>
  <c r="KM55" i="1" s="1"/>
  <c r="KM56" i="1" s="1"/>
  <c r="KM57" i="1" s="1"/>
  <c r="KM58" i="1" s="1"/>
  <c r="KM60" i="1" s="1"/>
  <c r="KM61" i="1" s="1"/>
  <c r="KM62" i="1" s="1"/>
  <c r="KM63" i="1" s="1"/>
  <c r="KM64" i="1" s="1"/>
  <c r="KM65" i="1" s="1"/>
  <c r="KM66" i="1" s="1"/>
  <c r="KM67" i="1" s="1"/>
  <c r="KM68" i="1" s="1"/>
  <c r="JI50" i="1"/>
  <c r="JI51" i="1" s="1"/>
  <c r="JI52" i="1" s="1"/>
  <c r="IE50" i="1"/>
  <c r="IE51" i="1" s="1"/>
  <c r="IE52" i="1" s="1"/>
  <c r="IE53" i="1" s="1"/>
  <c r="IE54" i="1" s="1"/>
  <c r="IE55" i="1" s="1"/>
  <c r="IE56" i="1" s="1"/>
  <c r="IE57" i="1" s="1"/>
  <c r="IE58" i="1" s="1"/>
  <c r="IE60" i="1" s="1"/>
  <c r="IE61" i="1" s="1"/>
  <c r="IE62" i="1" s="1"/>
  <c r="IE63" i="1" s="1"/>
  <c r="IE64" i="1" s="1"/>
  <c r="IE65" i="1" s="1"/>
  <c r="IE66" i="1" s="1"/>
  <c r="IE67" i="1" s="1"/>
  <c r="IE68" i="1" s="1"/>
  <c r="HA50" i="1"/>
  <c r="HA51" i="1" s="1"/>
  <c r="HA52" i="1" s="1"/>
  <c r="HA53" i="1" s="1"/>
  <c r="HA54" i="1" s="1"/>
  <c r="HA55" i="1" s="1"/>
  <c r="HA56" i="1" s="1"/>
  <c r="HA57" i="1" s="1"/>
  <c r="HA58" i="1" s="1"/>
  <c r="HA60" i="1" s="1"/>
  <c r="HA61" i="1" s="1"/>
  <c r="HA62" i="1" s="1"/>
  <c r="HA63" i="1" s="1"/>
  <c r="HA64" i="1" s="1"/>
  <c r="HA65" i="1" s="1"/>
  <c r="HA66" i="1" s="1"/>
  <c r="HA67" i="1" s="1"/>
  <c r="HA68" i="1" s="1"/>
  <c r="FW51" i="1"/>
  <c r="FW52" i="1" s="1"/>
  <c r="FW53" i="1" s="1"/>
  <c r="FW54" i="1" s="1"/>
  <c r="FW55" i="1" s="1"/>
  <c r="FW56" i="1" s="1"/>
  <c r="FW57" i="1" s="1"/>
  <c r="FW58" i="1" s="1"/>
  <c r="FW60" i="1" s="1"/>
  <c r="FW61" i="1" s="1"/>
  <c r="FW62" i="1" s="1"/>
  <c r="FW63" i="1" s="1"/>
  <c r="FW64" i="1" s="1"/>
  <c r="FW65" i="1" s="1"/>
  <c r="FW66" i="1" s="1"/>
  <c r="FW67" i="1" s="1"/>
  <c r="FW68" i="1" s="1"/>
  <c r="ES50" i="1"/>
  <c r="ES51" i="1" s="1"/>
  <c r="ES52" i="1" s="1"/>
  <c r="ES53" i="1" s="1"/>
  <c r="ES54" i="1" s="1"/>
  <c r="ES55" i="1" s="1"/>
  <c r="ES56" i="1" s="1"/>
  <c r="ES57" i="1" s="1"/>
  <c r="ES58" i="1" s="1"/>
  <c r="ES60" i="1" s="1"/>
  <c r="ES61" i="1" s="1"/>
  <c r="ES62" i="1" s="1"/>
  <c r="ES63" i="1" s="1"/>
  <c r="ES64" i="1" s="1"/>
  <c r="ES65" i="1" s="1"/>
  <c r="ES66" i="1" s="1"/>
  <c r="ES67" i="1" s="1"/>
  <c r="ES68" i="1" s="1"/>
  <c r="CJ59" i="1"/>
  <c r="BG50" i="1"/>
  <c r="BG51" i="1" s="1"/>
  <c r="BG52" i="1" s="1"/>
  <c r="BG53" i="1" s="1"/>
  <c r="BG54" i="1" s="1"/>
  <c r="BG55" i="1" s="1"/>
  <c r="BG56" i="1" s="1"/>
  <c r="BG57" i="1" s="1"/>
  <c r="BG58" i="1" s="1"/>
  <c r="BG60" i="1" s="1"/>
  <c r="BG61" i="1" s="1"/>
  <c r="BG62" i="1" s="1"/>
  <c r="BG63" i="1" s="1"/>
  <c r="BG64" i="1" s="1"/>
  <c r="BG65" i="1" s="1"/>
  <c r="BG66" i="1" s="1"/>
  <c r="BG67" i="1" s="1"/>
  <c r="BG68" i="1" s="1"/>
  <c r="KM26" i="1"/>
  <c r="KM27" i="1" s="1"/>
  <c r="KM28" i="1" s="1"/>
  <c r="KM29" i="1" s="1"/>
  <c r="KM30" i="1" s="1"/>
  <c r="KM31" i="1" s="1"/>
  <c r="KM32" i="1" s="1"/>
  <c r="KM33" i="1" s="1"/>
  <c r="KM34" i="1" s="1"/>
  <c r="KM36" i="1" s="1"/>
  <c r="KM37" i="1" s="1"/>
  <c r="KM38" i="1" s="1"/>
  <c r="KM39" i="1" s="1"/>
  <c r="KM40" i="1" s="1"/>
  <c r="KM41" i="1" s="1"/>
  <c r="KM42" i="1" s="1"/>
  <c r="KM43" i="1" s="1"/>
  <c r="KM44" i="1" s="1"/>
  <c r="IE26" i="1"/>
  <c r="IE27" i="1" s="1"/>
  <c r="IE28" i="1" s="1"/>
  <c r="IE29" i="1" s="1"/>
  <c r="IE30" i="1" s="1"/>
  <c r="IE31" i="1" s="1"/>
  <c r="IE32" i="1" s="1"/>
  <c r="IE33" i="1" s="1"/>
  <c r="IE34" i="1" s="1"/>
  <c r="IE36" i="1" s="1"/>
  <c r="IE37" i="1" s="1"/>
  <c r="IE38" i="1" s="1"/>
  <c r="IE39" i="1" s="1"/>
  <c r="IE40" i="1" s="1"/>
  <c r="IE41" i="1" s="1"/>
  <c r="IE42" i="1" s="1"/>
  <c r="IE43" i="1" s="1"/>
  <c r="IE44" i="1" s="1"/>
  <c r="ID45" i="1"/>
  <c r="GZ35" i="1"/>
  <c r="FW26" i="1"/>
  <c r="FW27" i="1" s="1"/>
  <c r="FW28" i="1" s="1"/>
  <c r="FW29" i="1" s="1"/>
  <c r="FW30" i="1" s="1"/>
  <c r="FW31" i="1" s="1"/>
  <c r="FW32" i="1" s="1"/>
  <c r="FW33" i="1" s="1"/>
  <c r="FW34" i="1" s="1"/>
  <c r="FW36" i="1" s="1"/>
  <c r="FW37" i="1" s="1"/>
  <c r="FW38" i="1" s="1"/>
  <c r="FW39" i="1" s="1"/>
  <c r="FW40" i="1" s="1"/>
  <c r="FW41" i="1" s="1"/>
  <c r="FW42" i="1" s="1"/>
  <c r="FW43" i="1" s="1"/>
  <c r="FW44" i="1" s="1"/>
  <c r="ER35" i="1"/>
  <c r="DO27" i="1"/>
  <c r="DO28" i="1" s="1"/>
  <c r="DO29" i="1" s="1"/>
  <c r="DO30" i="1" s="1"/>
  <c r="DO31" i="1" s="1"/>
  <c r="DO32" i="1" s="1"/>
  <c r="DO33" i="1" s="1"/>
  <c r="DO34" i="1" s="1"/>
  <c r="DO36" i="1" s="1"/>
  <c r="DO37" i="1" s="1"/>
  <c r="DO38" i="1" s="1"/>
  <c r="DO39" i="1" s="1"/>
  <c r="DO40" i="1" s="1"/>
  <c r="DO41" i="1" s="1"/>
  <c r="DO42" i="1" s="1"/>
  <c r="DO43" i="1" s="1"/>
  <c r="DO44" i="1" s="1"/>
  <c r="DN35" i="1"/>
  <c r="CJ35" i="1"/>
  <c r="BG26" i="1"/>
  <c r="BG27" i="1" s="1"/>
  <c r="BG28" i="1" s="1"/>
  <c r="BG29" i="1" s="1"/>
  <c r="BG30" i="1" s="1"/>
  <c r="BG31" i="1" s="1"/>
  <c r="BG32" i="1" s="1"/>
  <c r="BG33" i="1" s="1"/>
  <c r="BG34" i="1" s="1"/>
  <c r="BG36" i="1" s="1"/>
  <c r="BG37" i="1" s="1"/>
  <c r="BG38" i="1" s="1"/>
  <c r="BG39" i="1" s="1"/>
  <c r="BG40" i="1" s="1"/>
  <c r="BG41" i="1" s="1"/>
  <c r="BG42" i="1" s="1"/>
  <c r="BG43" i="1" s="1"/>
  <c r="BG44" i="1" s="1"/>
  <c r="KM4" i="1"/>
  <c r="KM5" i="1" s="1"/>
  <c r="KM6" i="1" s="1"/>
  <c r="KM7" i="1" s="1"/>
  <c r="KM8" i="1" s="1"/>
  <c r="KM9" i="1" s="1"/>
  <c r="KM10" i="1" s="1"/>
  <c r="KM11" i="1" s="1"/>
  <c r="KM13" i="1" s="1"/>
  <c r="KM14" i="1" s="1"/>
  <c r="KM15" i="1" s="1"/>
  <c r="KM16" i="1" s="1"/>
  <c r="KM17" i="1" s="1"/>
  <c r="KM18" i="1" s="1"/>
  <c r="KM19" i="1" s="1"/>
  <c r="KM20" i="1" s="1"/>
  <c r="KM21" i="1" s="1"/>
  <c r="KL12" i="1"/>
  <c r="KL22" i="1"/>
  <c r="IE3" i="1"/>
  <c r="IE4" i="1" s="1"/>
  <c r="IE5" i="1" s="1"/>
  <c r="IE6" i="1" s="1"/>
  <c r="IE7" i="1" s="1"/>
  <c r="IE8" i="1" s="1"/>
  <c r="IE9" i="1" s="1"/>
  <c r="IE10" i="1" s="1"/>
  <c r="IE11" i="1" s="1"/>
  <c r="IE13" i="1" s="1"/>
  <c r="IE14" i="1" s="1"/>
  <c r="IE15" i="1" s="1"/>
  <c r="IE16" i="1" s="1"/>
  <c r="IE17" i="1" s="1"/>
  <c r="IE18" i="1" s="1"/>
  <c r="IE19" i="1" s="1"/>
  <c r="IE20" i="1" s="1"/>
  <c r="IE21" i="1" s="1"/>
  <c r="ES3" i="1"/>
  <c r="ES4" i="1" s="1"/>
  <c r="ES5" i="1" s="1"/>
  <c r="ES6" i="1" s="1"/>
  <c r="ES7" i="1" s="1"/>
  <c r="ES8" i="1" s="1"/>
  <c r="ES9" i="1" s="1"/>
  <c r="ES10" i="1" s="1"/>
  <c r="ES11" i="1" s="1"/>
  <c r="ES13" i="1" s="1"/>
  <c r="ES14" i="1" s="1"/>
  <c r="ES15" i="1" s="1"/>
  <c r="ES16" i="1" s="1"/>
  <c r="ES17" i="1" s="1"/>
  <c r="ES18" i="1" s="1"/>
  <c r="ES19" i="1" s="1"/>
  <c r="ES20" i="1" s="1"/>
  <c r="ES21" i="1" s="1"/>
  <c r="ER22" i="1"/>
  <c r="CK3" i="1"/>
  <c r="CK4" i="1" s="1"/>
  <c r="CK5" i="1" s="1"/>
  <c r="CK6" i="1" s="1"/>
  <c r="CK7" i="1" s="1"/>
  <c r="CK8" i="1" s="1"/>
  <c r="CK9" i="1" s="1"/>
  <c r="CK10" i="1" s="1"/>
  <c r="CK11" i="1" s="1"/>
  <c r="CK13" i="1" s="1"/>
  <c r="CK14" i="1" s="1"/>
  <c r="CK15" i="1" s="1"/>
  <c r="CK16" i="1" s="1"/>
  <c r="CK17" i="1" s="1"/>
  <c r="CK18" i="1" s="1"/>
  <c r="CK19" i="1" s="1"/>
  <c r="CK20" i="1" s="1"/>
  <c r="CK21" i="1" s="1"/>
  <c r="BG3" i="1"/>
  <c r="BG4" i="1" s="1"/>
  <c r="BG5" i="1" s="1"/>
  <c r="BG6" i="1" s="1"/>
  <c r="BG7" i="1" s="1"/>
  <c r="BG8" i="1" s="1"/>
  <c r="BG9" i="1" s="1"/>
  <c r="BG10" i="1" s="1"/>
  <c r="BG11" i="1" s="1"/>
  <c r="BG13" i="1" s="1"/>
  <c r="BG14" i="1" s="1"/>
  <c r="BG15" i="1" s="1"/>
  <c r="BG16" i="1" s="1"/>
  <c r="BG17" i="1" s="1"/>
  <c r="BG18" i="1" s="1"/>
  <c r="BG19" i="1" s="1"/>
  <c r="BG20" i="1" s="1"/>
  <c r="BG21" i="1" s="1"/>
  <c r="GE94" i="1"/>
  <c r="H3" i="9" s="1"/>
  <c r="IC4" i="1"/>
  <c r="IC5" i="1" s="1"/>
  <c r="IC6" i="1" s="1"/>
  <c r="IC7" i="1" s="1"/>
  <c r="IC8" i="1" s="1"/>
  <c r="IC9" i="1" s="1"/>
  <c r="IC10" i="1" s="1"/>
  <c r="IC11" i="1" s="1"/>
  <c r="IC13" i="1" s="1"/>
  <c r="IC14" i="1" s="1"/>
  <c r="IC15" i="1" s="1"/>
  <c r="IC16" i="1" s="1"/>
  <c r="IC17" i="1" s="1"/>
  <c r="IC18" i="1" s="1"/>
  <c r="IC19" i="1" s="1"/>
  <c r="IC20" i="1" s="1"/>
  <c r="IC21" i="1" s="1"/>
  <c r="IC26" i="1" s="1"/>
  <c r="IC27" i="1" s="1"/>
  <c r="IC28" i="1" s="1"/>
  <c r="IC29" i="1" s="1"/>
  <c r="IC30" i="1" s="1"/>
  <c r="IC31" i="1" s="1"/>
  <c r="IC32" i="1" s="1"/>
  <c r="IC33" i="1" s="1"/>
  <c r="IC34" i="1" s="1"/>
  <c r="IC36" i="1" s="1"/>
  <c r="IC37" i="1" s="1"/>
  <c r="IC38" i="1" s="1"/>
  <c r="IC39" i="1" s="1"/>
  <c r="IC40" i="1" s="1"/>
  <c r="IC41" i="1" s="1"/>
  <c r="IC42" i="1" s="1"/>
  <c r="IC43" i="1" s="1"/>
  <c r="IC44" i="1" s="1"/>
  <c r="IC50" i="1" s="1"/>
  <c r="IC51" i="1" s="1"/>
  <c r="IC52" i="1" s="1"/>
  <c r="IC53" i="1" s="1"/>
  <c r="IC54" i="1" s="1"/>
  <c r="IC55" i="1" s="1"/>
  <c r="IC56" i="1" s="1"/>
  <c r="IC57" i="1" s="1"/>
  <c r="IC58" i="1" s="1"/>
  <c r="IC60" i="1" s="1"/>
  <c r="IC61" i="1" s="1"/>
  <c r="IC62" i="1" s="1"/>
  <c r="IC63" i="1" s="1"/>
  <c r="IC64" i="1" s="1"/>
  <c r="IC65" i="1" s="1"/>
  <c r="IC66" i="1" s="1"/>
  <c r="IC67" i="1" s="1"/>
  <c r="IC68" i="1" s="1"/>
  <c r="IC74" i="1" s="1"/>
  <c r="IC75" i="1" s="1"/>
  <c r="IC76" i="1" s="1"/>
  <c r="IC77" i="1" s="1"/>
  <c r="IC78" i="1" s="1"/>
  <c r="IC79" i="1" s="1"/>
  <c r="IC80" i="1" s="1"/>
  <c r="IC81" i="1" s="1"/>
  <c r="IC82" i="1" s="1"/>
  <c r="IC84" i="1" s="1"/>
  <c r="IC85" i="1" s="1"/>
  <c r="IC86" i="1" s="1"/>
  <c r="IC87" i="1" s="1"/>
  <c r="IC88" i="1" s="1"/>
  <c r="IC89" i="1" s="1"/>
  <c r="IC90" i="1" s="1"/>
  <c r="IC91" i="1" s="1"/>
  <c r="IC92" i="1" s="1"/>
  <c r="KO4" i="1"/>
  <c r="KO5" i="1" s="1"/>
  <c r="KO6" i="1" s="1"/>
  <c r="KO7" i="1" s="1"/>
  <c r="KO8" i="1" s="1"/>
  <c r="KO9" i="1" s="1"/>
  <c r="KO10" i="1" s="1"/>
  <c r="KO11" i="1" s="1"/>
  <c r="KO13" i="1" s="1"/>
  <c r="KO14" i="1" s="1"/>
  <c r="KO15" i="1" s="1"/>
  <c r="KO16" i="1" s="1"/>
  <c r="KO17" i="1" s="1"/>
  <c r="KO18" i="1" s="1"/>
  <c r="KO19" i="1" s="1"/>
  <c r="KO20" i="1" s="1"/>
  <c r="KO21" i="1" s="1"/>
  <c r="KO26" i="1" s="1"/>
  <c r="KO27" i="1" s="1"/>
  <c r="KO28" i="1" s="1"/>
  <c r="KO29" i="1" s="1"/>
  <c r="KO30" i="1" s="1"/>
  <c r="KO31" i="1" s="1"/>
  <c r="KO32" i="1" s="1"/>
  <c r="KO33" i="1" s="1"/>
  <c r="KO34" i="1" s="1"/>
  <c r="KO36" i="1" s="1"/>
  <c r="KO37" i="1" s="1"/>
  <c r="KO38" i="1" s="1"/>
  <c r="KO39" i="1" s="1"/>
  <c r="KO40" i="1" s="1"/>
  <c r="KO41" i="1" s="1"/>
  <c r="KO42" i="1" s="1"/>
  <c r="KO43" i="1" s="1"/>
  <c r="KO44" i="1" s="1"/>
  <c r="KO50" i="1" s="1"/>
  <c r="KO51" i="1" s="1"/>
  <c r="KO52" i="1" s="1"/>
  <c r="KO53" i="1" s="1"/>
  <c r="KO54" i="1" s="1"/>
  <c r="KO55" i="1" s="1"/>
  <c r="KO56" i="1" s="1"/>
  <c r="KO57" i="1" s="1"/>
  <c r="KO58" i="1" s="1"/>
  <c r="KO60" i="1" s="1"/>
  <c r="KO61" i="1" s="1"/>
  <c r="KO62" i="1" s="1"/>
  <c r="KO63" i="1" s="1"/>
  <c r="KO64" i="1" s="1"/>
  <c r="KO65" i="1" s="1"/>
  <c r="KO66" i="1" s="1"/>
  <c r="KO67" i="1" s="1"/>
  <c r="KO68" i="1" s="1"/>
  <c r="KO74" i="1" s="1"/>
  <c r="KO75" i="1" s="1"/>
  <c r="KO76" i="1" s="1"/>
  <c r="KO77" i="1" s="1"/>
  <c r="KO78" i="1" s="1"/>
  <c r="KO79" i="1" s="1"/>
  <c r="KO80" i="1" s="1"/>
  <c r="KO81" i="1" s="1"/>
  <c r="KO82" i="1" s="1"/>
  <c r="KO84" i="1" s="1"/>
  <c r="KO85" i="1" s="1"/>
  <c r="KO86" i="1" s="1"/>
  <c r="KO87" i="1" s="1"/>
  <c r="KO88" i="1" s="1"/>
  <c r="KO89" i="1" s="1"/>
  <c r="KO90" i="1" s="1"/>
  <c r="KO91" i="1" s="1"/>
  <c r="KO92" i="1" s="1"/>
  <c r="KC27" i="1"/>
  <c r="KC28" i="1" s="1"/>
  <c r="KC29" i="1" s="1"/>
  <c r="KC30" i="1" s="1"/>
  <c r="KC31" i="1" s="1"/>
  <c r="KC32" i="1" s="1"/>
  <c r="KC33" i="1" s="1"/>
  <c r="KC34" i="1" s="1"/>
  <c r="KC36" i="1" s="1"/>
  <c r="KC37" i="1" s="1"/>
  <c r="KC38" i="1" s="1"/>
  <c r="KC39" i="1" s="1"/>
  <c r="KC40" i="1" s="1"/>
  <c r="KC41" i="1" s="1"/>
  <c r="KC42" i="1" s="1"/>
  <c r="KC43" i="1" s="1"/>
  <c r="KC44" i="1" s="1"/>
  <c r="HC4" i="1"/>
  <c r="HC5" i="1" s="1"/>
  <c r="HC6" i="1" s="1"/>
  <c r="HC7" i="1" s="1"/>
  <c r="HC8" i="1" s="1"/>
  <c r="HC9" i="1" s="1"/>
  <c r="HC10" i="1" s="1"/>
  <c r="HC11" i="1" s="1"/>
  <c r="HC13" i="1" s="1"/>
  <c r="HC14" i="1" s="1"/>
  <c r="HC15" i="1" s="1"/>
  <c r="HC16" i="1" s="1"/>
  <c r="HC17" i="1" s="1"/>
  <c r="HC18" i="1" s="1"/>
  <c r="HC19" i="1" s="1"/>
  <c r="HC20" i="1" s="1"/>
  <c r="HC21" i="1" s="1"/>
  <c r="HC26" i="1" s="1"/>
  <c r="HC27" i="1" s="1"/>
  <c r="HC28" i="1" s="1"/>
  <c r="HC29" i="1" s="1"/>
  <c r="HC30" i="1" s="1"/>
  <c r="HC31" i="1" s="1"/>
  <c r="HC32" i="1" s="1"/>
  <c r="HC33" i="1" s="1"/>
  <c r="HC34" i="1" s="1"/>
  <c r="HC36" i="1" s="1"/>
  <c r="HC37" i="1" s="1"/>
  <c r="HC38" i="1" s="1"/>
  <c r="HC39" i="1" s="1"/>
  <c r="HC40" i="1" s="1"/>
  <c r="HC41" i="1" s="1"/>
  <c r="HC42" i="1" s="1"/>
  <c r="HC43" i="1" s="1"/>
  <c r="HC44" i="1" s="1"/>
  <c r="HC50" i="1" s="1"/>
  <c r="HC51" i="1" s="1"/>
  <c r="HC52" i="1" s="1"/>
  <c r="HC53" i="1" s="1"/>
  <c r="HC54" i="1" s="1"/>
  <c r="HC55" i="1" s="1"/>
  <c r="HC56" i="1" s="1"/>
  <c r="HC57" i="1" s="1"/>
  <c r="HC58" i="1" s="1"/>
  <c r="HC60" i="1" s="1"/>
  <c r="HC61" i="1" s="1"/>
  <c r="HC62" i="1" s="1"/>
  <c r="HC63" i="1" s="1"/>
  <c r="HC64" i="1" s="1"/>
  <c r="HC65" i="1" s="1"/>
  <c r="HC66" i="1" s="1"/>
  <c r="HC67" i="1" s="1"/>
  <c r="HC68" i="1" s="1"/>
  <c r="HC74" i="1" s="1"/>
  <c r="HC75" i="1" s="1"/>
  <c r="HC76" i="1" s="1"/>
  <c r="HC77" i="1" s="1"/>
  <c r="HC78" i="1" s="1"/>
  <c r="HC79" i="1" s="1"/>
  <c r="HC80" i="1" s="1"/>
  <c r="HC81" i="1" s="1"/>
  <c r="HC82" i="1" s="1"/>
  <c r="HC84" i="1" s="1"/>
  <c r="HC85" i="1" s="1"/>
  <c r="HC86" i="1" s="1"/>
  <c r="HC87" i="1" s="1"/>
  <c r="HC88" i="1" s="1"/>
  <c r="HC89" i="1" s="1"/>
  <c r="HC90" i="1" s="1"/>
  <c r="HC91" i="1" s="1"/>
  <c r="HC92" i="1" s="1"/>
  <c r="HD83" i="1"/>
  <c r="FC23" i="1"/>
  <c r="KA4" i="1"/>
  <c r="KA5" i="1" s="1"/>
  <c r="KA6" i="1" s="1"/>
  <c r="KA7" i="1" s="1"/>
  <c r="KA8" i="1" s="1"/>
  <c r="KA9" i="1" s="1"/>
  <c r="KA10" i="1" s="1"/>
  <c r="KA11" i="1" s="1"/>
  <c r="KA13" i="1" s="1"/>
  <c r="KA14" i="1" s="1"/>
  <c r="KA15" i="1" s="1"/>
  <c r="KA16" i="1" s="1"/>
  <c r="KA17" i="1" s="1"/>
  <c r="KA18" i="1" s="1"/>
  <c r="KA19" i="1" s="1"/>
  <c r="KA20" i="1" s="1"/>
  <c r="KA21" i="1" s="1"/>
  <c r="GG70" i="1"/>
  <c r="H10" i="7" s="1"/>
  <c r="H24" i="7" s="1"/>
  <c r="DY70" i="1"/>
  <c r="F10" i="7" s="1"/>
  <c r="F24" i="7" s="1"/>
  <c r="KR12" i="1"/>
  <c r="FZ12" i="1"/>
  <c r="GG46" i="1"/>
  <c r="IH12" i="1"/>
  <c r="DT12" i="1"/>
  <c r="JS23" i="1"/>
  <c r="FQ27" i="1"/>
  <c r="FQ28" i="1" s="1"/>
  <c r="FQ29" i="1" s="1"/>
  <c r="FQ30" i="1" s="1"/>
  <c r="FQ31" i="1" s="1"/>
  <c r="FQ32" i="1" s="1"/>
  <c r="FQ33" i="1" s="1"/>
  <c r="FQ34" i="1" s="1"/>
  <c r="FQ36" i="1" s="1"/>
  <c r="FQ37" i="1" s="1"/>
  <c r="FQ38" i="1" s="1"/>
  <c r="FQ39" i="1" s="1"/>
  <c r="FQ40" i="1" s="1"/>
  <c r="FQ41" i="1" s="1"/>
  <c r="FQ42" i="1" s="1"/>
  <c r="FQ43" i="1" s="1"/>
  <c r="FQ44" i="1" s="1"/>
  <c r="FA23" i="1"/>
  <c r="G3" i="4" s="1"/>
  <c r="AC5" i="1"/>
  <c r="AC6" i="1" s="1"/>
  <c r="AC7" i="1" s="1"/>
  <c r="AC8" i="1" s="1"/>
  <c r="AC9" i="1" s="1"/>
  <c r="AC10" i="1" s="1"/>
  <c r="AC11" i="1" s="1"/>
  <c r="AC13" i="1" s="1"/>
  <c r="AC14" i="1" s="1"/>
  <c r="AC15" i="1" s="1"/>
  <c r="AC16" i="1" s="1"/>
  <c r="AC17" i="1" s="1"/>
  <c r="AC18" i="1" s="1"/>
  <c r="AC19" i="1" s="1"/>
  <c r="AC20" i="1" s="1"/>
  <c r="AC21" i="1" s="1"/>
  <c r="AB93" i="1"/>
  <c r="FK51" i="1"/>
  <c r="FK52" i="1" s="1"/>
  <c r="FK53" i="1" s="1"/>
  <c r="FK54" i="1" s="1"/>
  <c r="FK55" i="1" s="1"/>
  <c r="FK56" i="1" s="1"/>
  <c r="FK57" i="1" s="1"/>
  <c r="FK58" i="1" s="1"/>
  <c r="FK60" i="1" s="1"/>
  <c r="FK61" i="1" s="1"/>
  <c r="FK62" i="1" s="1"/>
  <c r="FK63" i="1" s="1"/>
  <c r="FK64" i="1" s="1"/>
  <c r="FK65" i="1" s="1"/>
  <c r="FK66" i="1" s="1"/>
  <c r="FK67" i="1" s="1"/>
  <c r="FK68" i="1" s="1"/>
  <c r="JQ46" i="1"/>
  <c r="DW94" i="1"/>
  <c r="F3" i="9" s="1"/>
  <c r="GO4" i="1"/>
  <c r="GO5" i="1" s="1"/>
  <c r="GO6" i="1" s="1"/>
  <c r="GO7" i="1" s="1"/>
  <c r="GO8" i="1" s="1"/>
  <c r="GO9" i="1" s="1"/>
  <c r="GO10" i="1" s="1"/>
  <c r="GO11" i="1" s="1"/>
  <c r="GO13" i="1" s="1"/>
  <c r="GO14" i="1" s="1"/>
  <c r="GO15" i="1" s="1"/>
  <c r="GO16" i="1" s="1"/>
  <c r="GO17" i="1" s="1"/>
  <c r="GO18" i="1" s="1"/>
  <c r="GO19" i="1" s="1"/>
  <c r="GO20" i="1" s="1"/>
  <c r="GO21" i="1" s="1"/>
  <c r="IM94" i="1"/>
  <c r="JN12" i="1"/>
  <c r="FA46" i="1"/>
  <c r="AB69" i="1"/>
  <c r="JC51" i="1"/>
  <c r="JC52" i="1" s="1"/>
  <c r="JC53" i="1" s="1"/>
  <c r="JC54" i="1" s="1"/>
  <c r="JC55" i="1" s="1"/>
  <c r="JC56" i="1" s="1"/>
  <c r="JC57" i="1" s="1"/>
  <c r="JC58" i="1" s="1"/>
  <c r="JC60" i="1" s="1"/>
  <c r="JC61" i="1" s="1"/>
  <c r="JC62" i="1" s="1"/>
  <c r="JC63" i="1" s="1"/>
  <c r="JC64" i="1" s="1"/>
  <c r="JC65" i="1" s="1"/>
  <c r="JC66" i="1" s="1"/>
  <c r="JC67" i="1" s="1"/>
  <c r="JC68" i="1" s="1"/>
  <c r="EK4" i="1"/>
  <c r="EK5" i="1" s="1"/>
  <c r="EK6" i="1" s="1"/>
  <c r="EK7" i="1" s="1"/>
  <c r="EK8" i="1" s="1"/>
  <c r="EK9" i="1" s="1"/>
  <c r="EK10" i="1" s="1"/>
  <c r="EK11" i="1" s="1"/>
  <c r="EK13" i="1" s="1"/>
  <c r="EK14" i="1" s="1"/>
  <c r="EK15" i="1" s="1"/>
  <c r="EK16" i="1" s="1"/>
  <c r="EK17" i="1" s="1"/>
  <c r="EK18" i="1" s="1"/>
  <c r="EK19" i="1" s="1"/>
  <c r="EK20" i="1" s="1"/>
  <c r="EK21" i="1" s="1"/>
  <c r="GE46" i="1"/>
  <c r="AB22" i="1"/>
  <c r="HS4" i="1"/>
  <c r="HS5" i="1" s="1"/>
  <c r="HS6" i="1" s="1"/>
  <c r="HS7" i="1" s="1"/>
  <c r="HS8" i="1" s="1"/>
  <c r="HS9" i="1" s="1"/>
  <c r="HS10" i="1" s="1"/>
  <c r="HS11" i="1" s="1"/>
  <c r="HS13" i="1" s="1"/>
  <c r="HS14" i="1" s="1"/>
  <c r="HS15" i="1" s="1"/>
  <c r="HS16" i="1" s="1"/>
  <c r="HS17" i="1" s="1"/>
  <c r="HS18" i="1" s="1"/>
  <c r="HS19" i="1" s="1"/>
  <c r="HS20" i="1" s="1"/>
  <c r="HS21" i="1" s="1"/>
  <c r="IJ12" i="1"/>
  <c r="AB35" i="1"/>
  <c r="AC75" i="1"/>
  <c r="AC76" i="1" s="1"/>
  <c r="AC77" i="1" s="1"/>
  <c r="AC78" i="1" s="1"/>
  <c r="AC79" i="1" s="1"/>
  <c r="AC80" i="1" s="1"/>
  <c r="AC81" i="1" s="1"/>
  <c r="AC82" i="1" s="1"/>
  <c r="AC84" i="1" s="1"/>
  <c r="AC85" i="1" s="1"/>
  <c r="AC86" i="1" s="1"/>
  <c r="AC87" i="1" s="1"/>
  <c r="AC88" i="1" s="1"/>
  <c r="AC89" i="1" s="1"/>
  <c r="AC90" i="1" s="1"/>
  <c r="AC91" i="1" s="1"/>
  <c r="AC92" i="1" s="1"/>
  <c r="IH83" i="1"/>
  <c r="JL12" i="1"/>
  <c r="KH35" i="1"/>
  <c r="AB45" i="1"/>
  <c r="GS75" i="1"/>
  <c r="GS76" i="1" s="1"/>
  <c r="GS77" i="1" s="1"/>
  <c r="GS78" i="1" s="1"/>
  <c r="GS79" i="1" s="1"/>
  <c r="GS80" i="1" s="1"/>
  <c r="GS81" i="1" s="1"/>
  <c r="GS82" i="1" s="1"/>
  <c r="GS84" i="1" s="1"/>
  <c r="GS85" i="1" s="1"/>
  <c r="GS86" i="1" s="1"/>
  <c r="GS87" i="1" s="1"/>
  <c r="GS88" i="1" s="1"/>
  <c r="GS89" i="1" s="1"/>
  <c r="GS90" i="1" s="1"/>
  <c r="GS91" i="1" s="1"/>
  <c r="GS92" i="1" s="1"/>
  <c r="JQ23" i="1"/>
  <c r="KQ83" i="1"/>
  <c r="DW70" i="1"/>
  <c r="F3" i="7" s="1"/>
  <c r="AB12" i="1"/>
  <c r="AB59" i="1"/>
  <c r="BK12" i="1"/>
  <c r="EX35" i="1"/>
  <c r="HM35" i="1"/>
  <c r="IM70" i="1"/>
  <c r="KA51" i="1"/>
  <c r="KA52" i="1" s="1"/>
  <c r="KA53" i="1" s="1"/>
  <c r="KA54" i="1" s="1"/>
  <c r="KA55" i="1" s="1"/>
  <c r="KA56" i="1" s="1"/>
  <c r="KA57" i="1" s="1"/>
  <c r="KA58" i="1" s="1"/>
  <c r="KA60" i="1" s="1"/>
  <c r="KA61" i="1" s="1"/>
  <c r="KA62" i="1" s="1"/>
  <c r="KA63" i="1" s="1"/>
  <c r="KA64" i="1" s="1"/>
  <c r="KA65" i="1" s="1"/>
  <c r="KA66" i="1" s="1"/>
  <c r="KA67" i="1" s="1"/>
  <c r="KA68" i="1" s="1"/>
  <c r="AB83" i="1"/>
  <c r="AC50" i="1"/>
  <c r="AC51" i="1" s="1"/>
  <c r="AC52" i="1" s="1"/>
  <c r="AC53" i="1" s="1"/>
  <c r="AC54" i="1" s="1"/>
  <c r="AC55" i="1" s="1"/>
  <c r="AC56" i="1" s="1"/>
  <c r="AC57" i="1" s="1"/>
  <c r="AC58" i="1" s="1"/>
  <c r="AC60" i="1" s="1"/>
  <c r="AC61" i="1" s="1"/>
  <c r="AC62" i="1" s="1"/>
  <c r="AC63" i="1" s="1"/>
  <c r="AC64" i="1" s="1"/>
  <c r="AC65" i="1" s="1"/>
  <c r="AC66" i="1" s="1"/>
  <c r="AC67" i="1" s="1"/>
  <c r="AC68" i="1" s="1"/>
  <c r="AC26" i="1"/>
  <c r="AC27" i="1" s="1"/>
  <c r="AC28" i="1" s="1"/>
  <c r="AC29" i="1" s="1"/>
  <c r="AC30" i="1" s="1"/>
  <c r="AC31" i="1" s="1"/>
  <c r="AC32" i="1" s="1"/>
  <c r="AC33" i="1" s="1"/>
  <c r="AC34" i="1" s="1"/>
  <c r="AC36" i="1" s="1"/>
  <c r="AC37" i="1" s="1"/>
  <c r="AC38" i="1" s="1"/>
  <c r="AC39" i="1" s="1"/>
  <c r="AC40" i="1" s="1"/>
  <c r="AC41" i="1" s="1"/>
  <c r="AC42" i="1" s="1"/>
  <c r="AC43" i="1" s="1"/>
  <c r="AC44" i="1" s="1"/>
  <c r="GB35" i="1"/>
  <c r="II35" i="1"/>
  <c r="KH59" i="1"/>
  <c r="EW12" i="1"/>
  <c r="EX83" i="1"/>
  <c r="GJ4" i="1"/>
  <c r="GJ5" i="1" s="1"/>
  <c r="GJ6" i="1" s="1"/>
  <c r="GJ7" i="1" s="1"/>
  <c r="GJ8" i="1" s="1"/>
  <c r="GJ9" i="1" s="1"/>
  <c r="GJ10" i="1" s="1"/>
  <c r="GJ11" i="1" s="1"/>
  <c r="GJ13" i="1" s="1"/>
  <c r="GJ14" i="1" s="1"/>
  <c r="GJ15" i="1" s="1"/>
  <c r="GJ16" i="1" s="1"/>
  <c r="GJ17" i="1" s="1"/>
  <c r="GJ18" i="1" s="1"/>
  <c r="GJ19" i="1" s="1"/>
  <c r="GJ20" i="1" s="1"/>
  <c r="GJ21" i="1" s="1"/>
  <c r="GJ26" i="1" s="1"/>
  <c r="GJ27" i="1" s="1"/>
  <c r="GJ28" i="1" s="1"/>
  <c r="GJ29" i="1" s="1"/>
  <c r="GJ30" i="1" s="1"/>
  <c r="GJ31" i="1" s="1"/>
  <c r="GJ32" i="1" s="1"/>
  <c r="GJ33" i="1" s="1"/>
  <c r="GJ34" i="1" s="1"/>
  <c r="GJ36" i="1" s="1"/>
  <c r="GJ37" i="1" s="1"/>
  <c r="GJ38" i="1" s="1"/>
  <c r="GJ39" i="1" s="1"/>
  <c r="GJ40" i="1" s="1"/>
  <c r="GJ41" i="1" s="1"/>
  <c r="GJ42" i="1" s="1"/>
  <c r="GJ43" i="1" s="1"/>
  <c r="GJ44" i="1" s="1"/>
  <c r="GJ50" i="1" s="1"/>
  <c r="GJ51" i="1" s="1"/>
  <c r="GJ52" i="1" s="1"/>
  <c r="GJ53" i="1" s="1"/>
  <c r="GJ54" i="1" s="1"/>
  <c r="GJ55" i="1" s="1"/>
  <c r="GJ56" i="1" s="1"/>
  <c r="GJ57" i="1" s="1"/>
  <c r="GJ58" i="1" s="1"/>
  <c r="GJ60" i="1" s="1"/>
  <c r="GJ61" i="1" s="1"/>
  <c r="GJ62" i="1" s="1"/>
  <c r="GJ63" i="1" s="1"/>
  <c r="GJ64" i="1" s="1"/>
  <c r="GJ65" i="1" s="1"/>
  <c r="GJ66" i="1" s="1"/>
  <c r="GJ67" i="1" s="1"/>
  <c r="GJ68" i="1" s="1"/>
  <c r="GJ74" i="1" s="1"/>
  <c r="GJ75" i="1" s="1"/>
  <c r="GJ76" i="1" s="1"/>
  <c r="GJ77" i="1" s="1"/>
  <c r="GJ78" i="1" s="1"/>
  <c r="GJ79" i="1" s="1"/>
  <c r="GJ80" i="1" s="1"/>
  <c r="GJ81" i="1" s="1"/>
  <c r="GJ82" i="1" s="1"/>
  <c r="GJ84" i="1" s="1"/>
  <c r="GJ85" i="1" s="1"/>
  <c r="GJ86" i="1" s="1"/>
  <c r="GJ87" i="1" s="1"/>
  <c r="GJ88" i="1" s="1"/>
  <c r="GJ89" i="1" s="1"/>
  <c r="GJ90" i="1" s="1"/>
  <c r="GJ91" i="1" s="1"/>
  <c r="GJ92" i="1" s="1"/>
  <c r="HN3" i="1"/>
  <c r="HN4" i="1" s="1"/>
  <c r="HN5" i="1" s="1"/>
  <c r="HN6" i="1" s="1"/>
  <c r="HN7" i="1" s="1"/>
  <c r="HN8" i="1" s="1"/>
  <c r="HN9" i="1" s="1"/>
  <c r="HN10" i="1" s="1"/>
  <c r="HN11" i="1" s="1"/>
  <c r="HN13" i="1" s="1"/>
  <c r="HN14" i="1" s="1"/>
  <c r="HN15" i="1" s="1"/>
  <c r="HN16" i="1" s="1"/>
  <c r="HN17" i="1" s="1"/>
  <c r="HN18" i="1" s="1"/>
  <c r="HN19" i="1" s="1"/>
  <c r="HN20" i="1" s="1"/>
  <c r="HN21" i="1" s="1"/>
  <c r="HN26" i="1" s="1"/>
  <c r="HN27" i="1" s="1"/>
  <c r="HN28" i="1" s="1"/>
  <c r="HN29" i="1" s="1"/>
  <c r="HN30" i="1" s="1"/>
  <c r="HN31" i="1" s="1"/>
  <c r="HN32" i="1" s="1"/>
  <c r="HN33" i="1" s="1"/>
  <c r="HN34" i="1" s="1"/>
  <c r="HN36" i="1" s="1"/>
  <c r="HN37" i="1" s="1"/>
  <c r="HN38" i="1" s="1"/>
  <c r="HN39" i="1" s="1"/>
  <c r="HN40" i="1" s="1"/>
  <c r="HN41" i="1" s="1"/>
  <c r="HN42" i="1" s="1"/>
  <c r="HN43" i="1" s="1"/>
  <c r="HN44" i="1" s="1"/>
  <c r="HN50" i="1" s="1"/>
  <c r="HN51" i="1" s="1"/>
  <c r="HN52" i="1" s="1"/>
  <c r="HN53" i="1" s="1"/>
  <c r="HN54" i="1" s="1"/>
  <c r="HN55" i="1" s="1"/>
  <c r="HN56" i="1" s="1"/>
  <c r="HN57" i="1" s="1"/>
  <c r="HN58" i="1" s="1"/>
  <c r="HN60" i="1" s="1"/>
  <c r="HN61" i="1" s="1"/>
  <c r="HN62" i="1" s="1"/>
  <c r="HN63" i="1" s="1"/>
  <c r="HN64" i="1" s="1"/>
  <c r="HN65" i="1" s="1"/>
  <c r="HN66" i="1" s="1"/>
  <c r="HN67" i="1" s="1"/>
  <c r="HN68" i="1" s="1"/>
  <c r="HN74" i="1" s="1"/>
  <c r="HN75" i="1" s="1"/>
  <c r="HN76" i="1" s="1"/>
  <c r="HN77" i="1" s="1"/>
  <c r="HN78" i="1" s="1"/>
  <c r="HN79" i="1" s="1"/>
  <c r="HN80" i="1" s="1"/>
  <c r="HN81" i="1" s="1"/>
  <c r="HN82" i="1" s="1"/>
  <c r="HN84" i="1" s="1"/>
  <c r="HN85" i="1" s="1"/>
  <c r="HN86" i="1" s="1"/>
  <c r="HN87" i="1" s="1"/>
  <c r="HN88" i="1" s="1"/>
  <c r="HN89" i="1" s="1"/>
  <c r="HN90" i="1" s="1"/>
  <c r="HN91" i="1" s="1"/>
  <c r="HN92" i="1" s="1"/>
  <c r="IJ59" i="1"/>
  <c r="JN83" i="1"/>
  <c r="FT93" i="1"/>
  <c r="HF83" i="1"/>
  <c r="II12" i="1"/>
  <c r="HS27" i="1"/>
  <c r="HS28" i="1" s="1"/>
  <c r="HS29" i="1" s="1"/>
  <c r="HS30" i="1" s="1"/>
  <c r="HS31" i="1" s="1"/>
  <c r="HS32" i="1" s="1"/>
  <c r="HS33" i="1" s="1"/>
  <c r="HS34" i="1" s="1"/>
  <c r="HS36" i="1" s="1"/>
  <c r="HS37" i="1" s="1"/>
  <c r="HS38" i="1" s="1"/>
  <c r="HS39" i="1" s="1"/>
  <c r="HS40" i="1" s="1"/>
  <c r="HS41" i="1" s="1"/>
  <c r="HS42" i="1" s="1"/>
  <c r="HS43" i="1" s="1"/>
  <c r="HS44" i="1" s="1"/>
  <c r="KP83" i="1"/>
  <c r="EI27" i="1"/>
  <c r="EI28" i="1" s="1"/>
  <c r="EI29" i="1" s="1"/>
  <c r="EI30" i="1" s="1"/>
  <c r="EI31" i="1" s="1"/>
  <c r="EI32" i="1" s="1"/>
  <c r="EI33" i="1" s="1"/>
  <c r="EI34" i="1" s="1"/>
  <c r="EI36" i="1" s="1"/>
  <c r="EI37" i="1" s="1"/>
  <c r="EI38" i="1" s="1"/>
  <c r="EI39" i="1" s="1"/>
  <c r="EI40" i="1" s="1"/>
  <c r="EI41" i="1" s="1"/>
  <c r="EI42" i="1" s="1"/>
  <c r="EI43" i="1" s="1"/>
  <c r="EI44" i="1" s="1"/>
  <c r="JL83" i="1"/>
  <c r="FZ83" i="1"/>
  <c r="HY27" i="1"/>
  <c r="HY28" i="1" s="1"/>
  <c r="HY29" i="1" s="1"/>
  <c r="HY30" i="1" s="1"/>
  <c r="HY31" i="1" s="1"/>
  <c r="HY32" i="1" s="1"/>
  <c r="HY33" i="1" s="1"/>
  <c r="HY34" i="1" s="1"/>
  <c r="HY36" i="1" s="1"/>
  <c r="HY37" i="1" s="1"/>
  <c r="HY38" i="1" s="1"/>
  <c r="HY39" i="1" s="1"/>
  <c r="HY40" i="1" s="1"/>
  <c r="HY41" i="1" s="1"/>
  <c r="HY42" i="1" s="1"/>
  <c r="HY43" i="1" s="1"/>
  <c r="HY44" i="1" s="1"/>
  <c r="KE4" i="1"/>
  <c r="KE5" i="1" s="1"/>
  <c r="KE6" i="1" s="1"/>
  <c r="KE7" i="1" s="1"/>
  <c r="KE8" i="1" s="1"/>
  <c r="KE9" i="1" s="1"/>
  <c r="KE10" i="1" s="1"/>
  <c r="KE11" i="1" s="1"/>
  <c r="KE13" i="1" s="1"/>
  <c r="KE14" i="1" s="1"/>
  <c r="KE15" i="1" s="1"/>
  <c r="KE16" i="1" s="1"/>
  <c r="KE17" i="1" s="1"/>
  <c r="KE18" i="1" s="1"/>
  <c r="KE19" i="1" s="1"/>
  <c r="KE20" i="1" s="1"/>
  <c r="KE21" i="1" s="1"/>
  <c r="GW75" i="1"/>
  <c r="GW76" i="1" s="1"/>
  <c r="GW77" i="1" s="1"/>
  <c r="GW78" i="1" s="1"/>
  <c r="GW79" i="1" s="1"/>
  <c r="GW80" i="1" s="1"/>
  <c r="GW81" i="1" s="1"/>
  <c r="GW82" i="1" s="1"/>
  <c r="GW84" i="1" s="1"/>
  <c r="GW85" i="1" s="1"/>
  <c r="GW86" i="1" s="1"/>
  <c r="GW87" i="1" s="1"/>
  <c r="GW88" i="1" s="1"/>
  <c r="GW89" i="1" s="1"/>
  <c r="GW90" i="1" s="1"/>
  <c r="GW91" i="1" s="1"/>
  <c r="GW92" i="1" s="1"/>
  <c r="CP83" i="1"/>
  <c r="IZ12" i="1"/>
  <c r="KJ83" i="1"/>
  <c r="FL59" i="1"/>
  <c r="JD22" i="1"/>
  <c r="JN35" i="1"/>
  <c r="IX69" i="1"/>
  <c r="JU45" i="1"/>
  <c r="AH83" i="1"/>
  <c r="AH59" i="1"/>
  <c r="BL35" i="1"/>
  <c r="EH69" i="1"/>
  <c r="EV83" i="1"/>
  <c r="FO27" i="1"/>
  <c r="FO28" i="1" s="1"/>
  <c r="FO29" i="1" s="1"/>
  <c r="FO30" i="1" s="1"/>
  <c r="FO31" i="1" s="1"/>
  <c r="FO32" i="1" s="1"/>
  <c r="FO33" i="1" s="1"/>
  <c r="FO34" i="1" s="1"/>
  <c r="FO36" i="1" s="1"/>
  <c r="FO37" i="1" s="1"/>
  <c r="FO38" i="1" s="1"/>
  <c r="FO39" i="1" s="1"/>
  <c r="FO40" i="1" s="1"/>
  <c r="FO41" i="1" s="1"/>
  <c r="FO42" i="1" s="1"/>
  <c r="FO43" i="1" s="1"/>
  <c r="FO44" i="1" s="1"/>
  <c r="FJ83" i="1"/>
  <c r="HF12" i="1"/>
  <c r="JF45" i="1"/>
  <c r="EM27" i="1"/>
  <c r="EM28" i="1" s="1"/>
  <c r="EM29" i="1" s="1"/>
  <c r="EM30" i="1" s="1"/>
  <c r="EM31" i="1" s="1"/>
  <c r="EM32" i="1" s="1"/>
  <c r="EM33" i="1" s="1"/>
  <c r="EM34" i="1" s="1"/>
  <c r="EM36" i="1" s="1"/>
  <c r="EM37" i="1" s="1"/>
  <c r="EM38" i="1" s="1"/>
  <c r="EM39" i="1" s="1"/>
  <c r="EM40" i="1" s="1"/>
  <c r="EM41" i="1" s="1"/>
  <c r="EM42" i="1" s="1"/>
  <c r="EM43" i="1" s="1"/>
  <c r="EM44" i="1" s="1"/>
  <c r="FO4" i="1"/>
  <c r="FO5" i="1" s="1"/>
  <c r="FO6" i="1" s="1"/>
  <c r="FO7" i="1" s="1"/>
  <c r="FO8" i="1" s="1"/>
  <c r="FO9" i="1" s="1"/>
  <c r="FO10" i="1" s="1"/>
  <c r="FO11" i="1" s="1"/>
  <c r="FO13" i="1" s="1"/>
  <c r="FO14" i="1" s="1"/>
  <c r="FO15" i="1" s="1"/>
  <c r="FO16" i="1" s="1"/>
  <c r="FO17" i="1" s="1"/>
  <c r="FO18" i="1" s="1"/>
  <c r="FO19" i="1" s="1"/>
  <c r="FO20" i="1" s="1"/>
  <c r="FO21" i="1" s="1"/>
  <c r="GB83" i="1"/>
  <c r="HF35" i="1"/>
  <c r="HE83" i="1"/>
  <c r="HT22" i="1"/>
  <c r="JG4" i="1"/>
  <c r="JG5" i="1" s="1"/>
  <c r="JG6" i="1" s="1"/>
  <c r="JG7" i="1" s="1"/>
  <c r="JG8" i="1" s="1"/>
  <c r="JG9" i="1" s="1"/>
  <c r="JG10" i="1" s="1"/>
  <c r="JG11" i="1" s="1"/>
  <c r="JG13" i="1" s="1"/>
  <c r="JG14" i="1" s="1"/>
  <c r="JG15" i="1" s="1"/>
  <c r="JG16" i="1" s="1"/>
  <c r="JG17" i="1" s="1"/>
  <c r="JG18" i="1" s="1"/>
  <c r="JG19" i="1" s="1"/>
  <c r="JG20" i="1" s="1"/>
  <c r="JG21" i="1" s="1"/>
  <c r="JG26" i="1" s="1"/>
  <c r="JG27" i="1" s="1"/>
  <c r="JG28" i="1" s="1"/>
  <c r="JG29" i="1" s="1"/>
  <c r="JG30" i="1" s="1"/>
  <c r="JG31" i="1" s="1"/>
  <c r="JG32" i="1" s="1"/>
  <c r="JG33" i="1" s="1"/>
  <c r="JG34" i="1" s="1"/>
  <c r="JG36" i="1" s="1"/>
  <c r="JG37" i="1" s="1"/>
  <c r="JG38" i="1" s="1"/>
  <c r="JG39" i="1" s="1"/>
  <c r="JG40" i="1" s="1"/>
  <c r="JG41" i="1" s="1"/>
  <c r="JG42" i="1" s="1"/>
  <c r="JG43" i="1" s="1"/>
  <c r="JG44" i="1" s="1"/>
  <c r="JG50" i="1" s="1"/>
  <c r="JG51" i="1" s="1"/>
  <c r="JJ22" i="1"/>
  <c r="IY27" i="1"/>
  <c r="IY28" i="1" s="1"/>
  <c r="IY29" i="1" s="1"/>
  <c r="IY30" i="1" s="1"/>
  <c r="IY31" i="1" s="1"/>
  <c r="IY32" i="1" s="1"/>
  <c r="IY33" i="1" s="1"/>
  <c r="IY34" i="1" s="1"/>
  <c r="IY36" i="1" s="1"/>
  <c r="IY37" i="1" s="1"/>
  <c r="IY38" i="1" s="1"/>
  <c r="IY39" i="1" s="1"/>
  <c r="IY40" i="1" s="1"/>
  <c r="IY41" i="1" s="1"/>
  <c r="IY42" i="1" s="1"/>
  <c r="IY43" i="1" s="1"/>
  <c r="IY44" i="1" s="1"/>
  <c r="JM83" i="1"/>
  <c r="KJ35" i="1"/>
  <c r="BL12" i="1"/>
  <c r="DT59" i="1"/>
  <c r="EW59" i="1"/>
  <c r="FE69" i="1"/>
  <c r="GP69" i="1"/>
  <c r="HS75" i="1"/>
  <c r="HS76" i="1" s="1"/>
  <c r="HS77" i="1" s="1"/>
  <c r="HS78" i="1" s="1"/>
  <c r="HS79" i="1" s="1"/>
  <c r="HS80" i="1" s="1"/>
  <c r="HS81" i="1" s="1"/>
  <c r="HS82" i="1" s="1"/>
  <c r="HS84" i="1" s="1"/>
  <c r="HS85" i="1" s="1"/>
  <c r="HS86" i="1" s="1"/>
  <c r="HS87" i="1" s="1"/>
  <c r="HS88" i="1" s="1"/>
  <c r="HS89" i="1" s="1"/>
  <c r="HS90" i="1" s="1"/>
  <c r="HS91" i="1" s="1"/>
  <c r="HS92" i="1" s="1"/>
  <c r="JB35" i="1"/>
  <c r="IW75" i="1"/>
  <c r="IW76" i="1" s="1"/>
  <c r="IW77" i="1" s="1"/>
  <c r="IW78" i="1" s="1"/>
  <c r="IW79" i="1" s="1"/>
  <c r="IW80" i="1" s="1"/>
  <c r="IW81" i="1" s="1"/>
  <c r="IW82" i="1" s="1"/>
  <c r="IW84" i="1" s="1"/>
  <c r="IW85" i="1" s="1"/>
  <c r="IW86" i="1" s="1"/>
  <c r="IW87" i="1" s="1"/>
  <c r="IW88" i="1" s="1"/>
  <c r="IW89" i="1" s="1"/>
  <c r="IW90" i="1" s="1"/>
  <c r="IW91" i="1" s="1"/>
  <c r="IW92" i="1" s="1"/>
  <c r="KF22" i="1"/>
  <c r="KR83" i="1"/>
  <c r="GY4" i="1"/>
  <c r="GY5" i="1" s="1"/>
  <c r="GY6" i="1" s="1"/>
  <c r="GY7" i="1" s="1"/>
  <c r="GY8" i="1" s="1"/>
  <c r="GY9" i="1" s="1"/>
  <c r="GY10" i="1" s="1"/>
  <c r="GY11" i="1" s="1"/>
  <c r="GY13" i="1" s="1"/>
  <c r="GY14" i="1" s="1"/>
  <c r="GY15" i="1" s="1"/>
  <c r="GY16" i="1" s="1"/>
  <c r="GY17" i="1" s="1"/>
  <c r="GY18" i="1" s="1"/>
  <c r="GY19" i="1" s="1"/>
  <c r="GY20" i="1" s="1"/>
  <c r="GY21" i="1" s="1"/>
  <c r="GY26" i="1" s="1"/>
  <c r="GY27" i="1" s="1"/>
  <c r="GY28" i="1" s="1"/>
  <c r="GY29" i="1" s="1"/>
  <c r="GY30" i="1" s="1"/>
  <c r="GY31" i="1" s="1"/>
  <c r="GY32" i="1" s="1"/>
  <c r="GY33" i="1" s="1"/>
  <c r="GY34" i="1" s="1"/>
  <c r="GY36" i="1" s="1"/>
  <c r="GY37" i="1" s="1"/>
  <c r="GY38" i="1" s="1"/>
  <c r="GY39" i="1" s="1"/>
  <c r="GY40" i="1" s="1"/>
  <c r="GY41" i="1" s="1"/>
  <c r="GY42" i="1" s="1"/>
  <c r="GY43" i="1" s="1"/>
  <c r="GY44" i="1" s="1"/>
  <c r="GY50" i="1" s="1"/>
  <c r="GY51" i="1" s="1"/>
  <c r="GY52" i="1" s="1"/>
  <c r="GY53" i="1" s="1"/>
  <c r="GY54" i="1" s="1"/>
  <c r="GY55" i="1" s="1"/>
  <c r="GY56" i="1" s="1"/>
  <c r="GY57" i="1" s="1"/>
  <c r="GY58" i="1" s="1"/>
  <c r="GY60" i="1" s="1"/>
  <c r="GY61" i="1" s="1"/>
  <c r="GY62" i="1" s="1"/>
  <c r="GY63" i="1" s="1"/>
  <c r="GY64" i="1" s="1"/>
  <c r="GY65" i="1" s="1"/>
  <c r="GY66" i="1" s="1"/>
  <c r="GY67" i="1" s="1"/>
  <c r="GY68" i="1" s="1"/>
  <c r="GY74" i="1" s="1"/>
  <c r="GY75" i="1" s="1"/>
  <c r="GY76" i="1" s="1"/>
  <c r="GY77" i="1" s="1"/>
  <c r="GY78" i="1" s="1"/>
  <c r="GY79" i="1" s="1"/>
  <c r="GY80" i="1" s="1"/>
  <c r="GY81" i="1" s="1"/>
  <c r="GY82" i="1" s="1"/>
  <c r="GY84" i="1" s="1"/>
  <c r="GY85" i="1" s="1"/>
  <c r="GY86" i="1" s="1"/>
  <c r="GY87" i="1" s="1"/>
  <c r="GY88" i="1" s="1"/>
  <c r="GY89" i="1" s="1"/>
  <c r="GY90" i="1" s="1"/>
  <c r="GY91" i="1" s="1"/>
  <c r="GY92" i="1" s="1"/>
  <c r="GU27" i="1"/>
  <c r="GU28" i="1" s="1"/>
  <c r="GU29" i="1" s="1"/>
  <c r="GU30" i="1" s="1"/>
  <c r="GU31" i="1" s="1"/>
  <c r="GU32" i="1" s="1"/>
  <c r="GU33" i="1" s="1"/>
  <c r="GU34" i="1" s="1"/>
  <c r="GU36" i="1" s="1"/>
  <c r="GU37" i="1" s="1"/>
  <c r="GU38" i="1" s="1"/>
  <c r="GU39" i="1" s="1"/>
  <c r="GU40" i="1" s="1"/>
  <c r="GU41" i="1" s="1"/>
  <c r="GU42" i="1" s="1"/>
  <c r="GU43" i="1" s="1"/>
  <c r="GU44" i="1" s="1"/>
  <c r="HT93" i="1"/>
  <c r="KQ35" i="1"/>
  <c r="CP12" i="1"/>
  <c r="DT35" i="1"/>
  <c r="BL83" i="1"/>
  <c r="EQ4" i="1"/>
  <c r="EQ5" i="1" s="1"/>
  <c r="EQ6" i="1" s="1"/>
  <c r="EQ7" i="1" s="1"/>
  <c r="EQ8" i="1" s="1"/>
  <c r="EQ9" i="1" s="1"/>
  <c r="EQ10" i="1" s="1"/>
  <c r="EQ11" i="1" s="1"/>
  <c r="EQ13" i="1" s="1"/>
  <c r="EQ14" i="1" s="1"/>
  <c r="EQ15" i="1" s="1"/>
  <c r="EQ16" i="1" s="1"/>
  <c r="EQ17" i="1" s="1"/>
  <c r="EQ18" i="1" s="1"/>
  <c r="EQ19" i="1" s="1"/>
  <c r="EQ20" i="1" s="1"/>
  <c r="EQ21" i="1" s="1"/>
  <c r="EQ26" i="1" s="1"/>
  <c r="EQ27" i="1" s="1"/>
  <c r="EQ28" i="1" s="1"/>
  <c r="EQ29" i="1" s="1"/>
  <c r="EQ30" i="1" s="1"/>
  <c r="EQ31" i="1" s="1"/>
  <c r="EQ32" i="1" s="1"/>
  <c r="EQ33" i="1" s="1"/>
  <c r="EQ34" i="1" s="1"/>
  <c r="EQ36" i="1" s="1"/>
  <c r="EQ37" i="1" s="1"/>
  <c r="EQ38" i="1" s="1"/>
  <c r="EQ39" i="1" s="1"/>
  <c r="EQ40" i="1" s="1"/>
  <c r="EQ41" i="1" s="1"/>
  <c r="EQ42" i="1" s="1"/>
  <c r="EQ43" i="1" s="1"/>
  <c r="EQ44" i="1" s="1"/>
  <c r="EQ50" i="1" s="1"/>
  <c r="EQ51" i="1" s="1"/>
  <c r="EQ52" i="1" s="1"/>
  <c r="EQ53" i="1" s="1"/>
  <c r="EQ54" i="1" s="1"/>
  <c r="EQ55" i="1" s="1"/>
  <c r="EQ56" i="1" s="1"/>
  <c r="EQ57" i="1" s="1"/>
  <c r="EQ58" i="1" s="1"/>
  <c r="EQ60" i="1" s="1"/>
  <c r="EQ61" i="1" s="1"/>
  <c r="EQ62" i="1" s="1"/>
  <c r="EQ63" i="1" s="1"/>
  <c r="EQ64" i="1" s="1"/>
  <c r="EQ65" i="1" s="1"/>
  <c r="EQ66" i="1" s="1"/>
  <c r="EQ67" i="1" s="1"/>
  <c r="EQ68" i="1" s="1"/>
  <c r="EQ74" i="1" s="1"/>
  <c r="EQ75" i="1" s="1"/>
  <c r="EQ76" i="1" s="1"/>
  <c r="EQ77" i="1" s="1"/>
  <c r="EQ78" i="1" s="1"/>
  <c r="EQ79" i="1" s="1"/>
  <c r="EQ80" i="1" s="1"/>
  <c r="EQ81" i="1" s="1"/>
  <c r="EQ82" i="1" s="1"/>
  <c r="EQ84" i="1" s="1"/>
  <c r="EQ85" i="1" s="1"/>
  <c r="EQ86" i="1" s="1"/>
  <c r="EQ87" i="1" s="1"/>
  <c r="EQ88" i="1" s="1"/>
  <c r="EQ89" i="1" s="1"/>
  <c r="EQ90" i="1" s="1"/>
  <c r="EQ91" i="1" s="1"/>
  <c r="EQ92" i="1" s="1"/>
  <c r="EW83" i="1"/>
  <c r="FR83" i="1"/>
  <c r="KR35" i="1"/>
  <c r="FM27" i="1"/>
  <c r="FM28" i="1" s="1"/>
  <c r="FM29" i="1" s="1"/>
  <c r="FM30" i="1" s="1"/>
  <c r="FM31" i="1" s="1"/>
  <c r="FM32" i="1" s="1"/>
  <c r="FM33" i="1" s="1"/>
  <c r="FM34" i="1" s="1"/>
  <c r="FM36" i="1" s="1"/>
  <c r="FM37" i="1" s="1"/>
  <c r="FM38" i="1" s="1"/>
  <c r="FM39" i="1" s="1"/>
  <c r="FM40" i="1" s="1"/>
  <c r="FM41" i="1" s="1"/>
  <c r="FM42" i="1" s="1"/>
  <c r="FM43" i="1" s="1"/>
  <c r="FM44" i="1" s="1"/>
  <c r="GK3" i="1"/>
  <c r="GL3" i="1" s="1"/>
  <c r="GL4" i="1" s="1"/>
  <c r="GL5" i="1" s="1"/>
  <c r="GL6" i="1" s="1"/>
  <c r="GL7" i="1" s="1"/>
  <c r="GL8" i="1" s="1"/>
  <c r="GL9" i="1" s="1"/>
  <c r="GL10" i="1" s="1"/>
  <c r="GL11" i="1" s="1"/>
  <c r="GL13" i="1" s="1"/>
  <c r="IY4" i="1"/>
  <c r="IY5" i="1" s="1"/>
  <c r="IY6" i="1" s="1"/>
  <c r="IY7" i="1" s="1"/>
  <c r="IY8" i="1" s="1"/>
  <c r="IY9" i="1" s="1"/>
  <c r="IY10" i="1" s="1"/>
  <c r="IY11" i="1" s="1"/>
  <c r="IY13" i="1" s="1"/>
  <c r="IY14" i="1" s="1"/>
  <c r="IY15" i="1" s="1"/>
  <c r="IY16" i="1" s="1"/>
  <c r="IY17" i="1" s="1"/>
  <c r="IY18" i="1" s="1"/>
  <c r="IY19" i="1" s="1"/>
  <c r="IY20" i="1" s="1"/>
  <c r="IY21" i="1" s="1"/>
  <c r="JJ35" i="1"/>
  <c r="GC45" i="1"/>
  <c r="KS59" i="1"/>
  <c r="KS83" i="1"/>
  <c r="KS93" i="1"/>
  <c r="IL4" i="1"/>
  <c r="IL5" i="1" s="1"/>
  <c r="IL6" i="1" s="1"/>
  <c r="IL7" i="1" s="1"/>
  <c r="IL8" i="1" s="1"/>
  <c r="IL9" i="1" s="1"/>
  <c r="IL10" i="1" s="1"/>
  <c r="IL11" i="1" s="1"/>
  <c r="IL13" i="1" s="1"/>
  <c r="IL14" i="1" s="1"/>
  <c r="IL15" i="1" s="1"/>
  <c r="IL16" i="1" s="1"/>
  <c r="IL17" i="1" s="1"/>
  <c r="IL18" i="1" s="1"/>
  <c r="IL19" i="1" s="1"/>
  <c r="IL20" i="1" s="1"/>
  <c r="IL21" i="1" s="1"/>
  <c r="IL26" i="1" s="1"/>
  <c r="IL27" i="1" s="1"/>
  <c r="IL28" i="1" s="1"/>
  <c r="IL29" i="1" s="1"/>
  <c r="IL30" i="1" s="1"/>
  <c r="IL31" i="1" s="1"/>
  <c r="IL32" i="1" s="1"/>
  <c r="IL33" i="1" s="1"/>
  <c r="IL34" i="1" s="1"/>
  <c r="IL36" i="1" s="1"/>
  <c r="IL37" i="1" s="1"/>
  <c r="IL38" i="1" s="1"/>
  <c r="IL39" i="1" s="1"/>
  <c r="IL40" i="1" s="1"/>
  <c r="IL41" i="1" s="1"/>
  <c r="IL42" i="1" s="1"/>
  <c r="IL43" i="1" s="1"/>
  <c r="IL44" i="1" s="1"/>
  <c r="IL50" i="1" s="1"/>
  <c r="IL51" i="1" s="1"/>
  <c r="IL52" i="1" s="1"/>
  <c r="IL53" i="1" s="1"/>
  <c r="IL54" i="1" s="1"/>
  <c r="IL55" i="1" s="1"/>
  <c r="IL56" i="1" s="1"/>
  <c r="IL57" i="1" s="1"/>
  <c r="IL58" i="1" s="1"/>
  <c r="IL60" i="1" s="1"/>
  <c r="IL61" i="1" s="1"/>
  <c r="IL62" i="1" s="1"/>
  <c r="IL63" i="1" s="1"/>
  <c r="IL64" i="1" s="1"/>
  <c r="IL65" i="1" s="1"/>
  <c r="IL66" i="1" s="1"/>
  <c r="IL67" i="1" s="1"/>
  <c r="IL68" i="1" s="1"/>
  <c r="IL74" i="1" s="1"/>
  <c r="IL75" i="1" s="1"/>
  <c r="IL76" i="1" s="1"/>
  <c r="IL77" i="1" s="1"/>
  <c r="IL78" i="1" s="1"/>
  <c r="IL79" i="1" s="1"/>
  <c r="IL80" i="1" s="1"/>
  <c r="IL81" i="1" s="1"/>
  <c r="IL82" i="1" s="1"/>
  <c r="IL84" i="1" s="1"/>
  <c r="IL85" i="1" s="1"/>
  <c r="IL86" i="1" s="1"/>
  <c r="IL87" i="1" s="1"/>
  <c r="IL88" i="1" s="1"/>
  <c r="IL89" i="1" s="1"/>
  <c r="IL90" i="1" s="1"/>
  <c r="IL91" i="1" s="1"/>
  <c r="IL92" i="1" s="1"/>
  <c r="JO69" i="1"/>
  <c r="GC22" i="1"/>
  <c r="HG35" i="1"/>
  <c r="CQ59" i="1"/>
  <c r="JZ93" i="1"/>
  <c r="KD83" i="1"/>
  <c r="KA75" i="1"/>
  <c r="KA76" i="1" s="1"/>
  <c r="KA77" i="1" s="1"/>
  <c r="KA78" i="1" s="1"/>
  <c r="KA79" i="1" s="1"/>
  <c r="KA80" i="1" s="1"/>
  <c r="KA81" i="1" s="1"/>
  <c r="KA82" i="1" s="1"/>
  <c r="KA84" i="1" s="1"/>
  <c r="KA85" i="1" s="1"/>
  <c r="KA86" i="1" s="1"/>
  <c r="KA87" i="1" s="1"/>
  <c r="KA88" i="1" s="1"/>
  <c r="KA89" i="1" s="1"/>
  <c r="KA90" i="1" s="1"/>
  <c r="KA91" i="1" s="1"/>
  <c r="KA92" i="1" s="1"/>
  <c r="KF93" i="1"/>
  <c r="KH83" i="1"/>
  <c r="KI50" i="1"/>
  <c r="KI51" i="1" s="1"/>
  <c r="KI52" i="1" s="1"/>
  <c r="KI53" i="1" s="1"/>
  <c r="KI54" i="1" s="1"/>
  <c r="KI55" i="1" s="1"/>
  <c r="KI56" i="1" s="1"/>
  <c r="KI57" i="1" s="1"/>
  <c r="KI58" i="1" s="1"/>
  <c r="KI60" i="1" s="1"/>
  <c r="KI61" i="1" s="1"/>
  <c r="KI62" i="1" s="1"/>
  <c r="KI63" i="1" s="1"/>
  <c r="KI64" i="1" s="1"/>
  <c r="KI65" i="1" s="1"/>
  <c r="KI66" i="1" s="1"/>
  <c r="KI67" i="1" s="1"/>
  <c r="KI68" i="1" s="1"/>
  <c r="KH69" i="1"/>
  <c r="JZ59" i="1"/>
  <c r="KQ59" i="1"/>
  <c r="KR59" i="1"/>
  <c r="KF59" i="1"/>
  <c r="JD83" i="1"/>
  <c r="JD93" i="1"/>
  <c r="JF83" i="1"/>
  <c r="IZ83" i="1"/>
  <c r="JO83" i="1"/>
  <c r="JB83" i="1"/>
  <c r="JB93" i="1"/>
  <c r="IV69" i="1"/>
  <c r="JO59" i="1"/>
  <c r="JN59" i="1"/>
  <c r="HT59" i="1"/>
  <c r="HU51" i="1"/>
  <c r="HU52" i="1" s="1"/>
  <c r="HU53" i="1" s="1"/>
  <c r="HU54" i="1" s="1"/>
  <c r="HU55" i="1" s="1"/>
  <c r="HU56" i="1" s="1"/>
  <c r="HU57" i="1" s="1"/>
  <c r="HU58" i="1" s="1"/>
  <c r="HU60" i="1" s="1"/>
  <c r="HU61" i="1" s="1"/>
  <c r="HU62" i="1" s="1"/>
  <c r="HU63" i="1" s="1"/>
  <c r="HU64" i="1" s="1"/>
  <c r="HU65" i="1" s="1"/>
  <c r="HU66" i="1" s="1"/>
  <c r="HU67" i="1" s="1"/>
  <c r="HU68" i="1" s="1"/>
  <c r="IK59" i="1"/>
  <c r="II59" i="1"/>
  <c r="IK69" i="1"/>
  <c r="IK93" i="1"/>
  <c r="IJ83" i="1"/>
  <c r="HX83" i="1"/>
  <c r="II83" i="1"/>
  <c r="IK83" i="1"/>
  <c r="GI83" i="1"/>
  <c r="GT93" i="1"/>
  <c r="GK74" i="1"/>
  <c r="GV83" i="1"/>
  <c r="GX93" i="1"/>
  <c r="HG83" i="1"/>
  <c r="GO75" i="1"/>
  <c r="GO76" i="1" s="1"/>
  <c r="GO77" i="1" s="1"/>
  <c r="GO78" i="1" s="1"/>
  <c r="GO79" i="1" s="1"/>
  <c r="GO80" i="1" s="1"/>
  <c r="GO81" i="1" s="1"/>
  <c r="GO82" i="1" s="1"/>
  <c r="GO84" i="1" s="1"/>
  <c r="GO85" i="1" s="1"/>
  <c r="GO86" i="1" s="1"/>
  <c r="GO87" i="1" s="1"/>
  <c r="GO88" i="1" s="1"/>
  <c r="GO89" i="1" s="1"/>
  <c r="GO90" i="1" s="1"/>
  <c r="GO91" i="1" s="1"/>
  <c r="GO92" i="1" s="1"/>
  <c r="GW51" i="1"/>
  <c r="GW52" i="1" s="1"/>
  <c r="GW53" i="1" s="1"/>
  <c r="GW54" i="1" s="1"/>
  <c r="GW55" i="1" s="1"/>
  <c r="GW56" i="1" s="1"/>
  <c r="GW57" i="1" s="1"/>
  <c r="GW58" i="1" s="1"/>
  <c r="GW60" i="1" s="1"/>
  <c r="GW61" i="1" s="1"/>
  <c r="GW62" i="1" s="1"/>
  <c r="GW63" i="1" s="1"/>
  <c r="GW64" i="1" s="1"/>
  <c r="GW65" i="1" s="1"/>
  <c r="GW66" i="1" s="1"/>
  <c r="GW67" i="1" s="1"/>
  <c r="GW68" i="1" s="1"/>
  <c r="GU51" i="1"/>
  <c r="GU52" i="1" s="1"/>
  <c r="GU53" i="1" s="1"/>
  <c r="GU54" i="1" s="1"/>
  <c r="GU55" i="1" s="1"/>
  <c r="GU56" i="1" s="1"/>
  <c r="GU57" i="1" s="1"/>
  <c r="GU58" i="1" s="1"/>
  <c r="GU60" i="1" s="1"/>
  <c r="GU61" i="1" s="1"/>
  <c r="GU62" i="1" s="1"/>
  <c r="GU63" i="1" s="1"/>
  <c r="GU64" i="1" s="1"/>
  <c r="GU65" i="1" s="1"/>
  <c r="GU66" i="1" s="1"/>
  <c r="GU67" i="1" s="1"/>
  <c r="GU68" i="1" s="1"/>
  <c r="HG59" i="1"/>
  <c r="GO51" i="1"/>
  <c r="GO52" i="1" s="1"/>
  <c r="GO53" i="1" s="1"/>
  <c r="GO54" i="1" s="1"/>
  <c r="GO55" i="1" s="1"/>
  <c r="GO56" i="1" s="1"/>
  <c r="GO57" i="1" s="1"/>
  <c r="GO58" i="1" s="1"/>
  <c r="GO60" i="1" s="1"/>
  <c r="GO61" i="1" s="1"/>
  <c r="GO62" i="1" s="1"/>
  <c r="GO63" i="1" s="1"/>
  <c r="GO64" i="1" s="1"/>
  <c r="GO65" i="1" s="1"/>
  <c r="GO66" i="1" s="1"/>
  <c r="GO67" i="1" s="1"/>
  <c r="GO68" i="1" s="1"/>
  <c r="HB59" i="1"/>
  <c r="GV59" i="1"/>
  <c r="FK74" i="1"/>
  <c r="FK75" i="1" s="1"/>
  <c r="FK76" i="1" s="1"/>
  <c r="FK77" i="1" s="1"/>
  <c r="FK78" i="1" s="1"/>
  <c r="FK79" i="1" s="1"/>
  <c r="FK80" i="1" s="1"/>
  <c r="FK81" i="1" s="1"/>
  <c r="FK82" i="1" s="1"/>
  <c r="FK84" i="1" s="1"/>
  <c r="FK85" i="1" s="1"/>
  <c r="FK86" i="1" s="1"/>
  <c r="FK87" i="1" s="1"/>
  <c r="FK88" i="1" s="1"/>
  <c r="FK89" i="1" s="1"/>
  <c r="FK90" i="1" s="1"/>
  <c r="FK91" i="1" s="1"/>
  <c r="FK92" i="1" s="1"/>
  <c r="FS74" i="1"/>
  <c r="FS75" i="1" s="1"/>
  <c r="FS76" i="1" s="1"/>
  <c r="FS77" i="1" s="1"/>
  <c r="FS78" i="1" s="1"/>
  <c r="FS79" i="1" s="1"/>
  <c r="FS80" i="1" s="1"/>
  <c r="FS81" i="1" s="1"/>
  <c r="FS82" i="1" s="1"/>
  <c r="FS84" i="1" s="1"/>
  <c r="FS85" i="1" s="1"/>
  <c r="FS86" i="1" s="1"/>
  <c r="FS87" i="1" s="1"/>
  <c r="FS88" i="1" s="1"/>
  <c r="FS89" i="1" s="1"/>
  <c r="FS90" i="1" s="1"/>
  <c r="FS91" i="1" s="1"/>
  <c r="FS92" i="1" s="1"/>
  <c r="FR93" i="1"/>
  <c r="GC83" i="1"/>
  <c r="FM50" i="1"/>
  <c r="FM51" i="1" s="1"/>
  <c r="FM52" i="1" s="1"/>
  <c r="FM53" i="1" s="1"/>
  <c r="FM54" i="1" s="1"/>
  <c r="FM55" i="1" s="1"/>
  <c r="FM56" i="1" s="1"/>
  <c r="FM57" i="1" s="1"/>
  <c r="FM58" i="1" s="1"/>
  <c r="FM60" i="1" s="1"/>
  <c r="FM61" i="1" s="1"/>
  <c r="FM62" i="1" s="1"/>
  <c r="FM63" i="1" s="1"/>
  <c r="FM64" i="1" s="1"/>
  <c r="FM65" i="1" s="1"/>
  <c r="FM66" i="1" s="1"/>
  <c r="FM67" i="1" s="1"/>
  <c r="FM68" i="1" s="1"/>
  <c r="FG60" i="1"/>
  <c r="GB59" i="1"/>
  <c r="FR59" i="1"/>
  <c r="FT59" i="1"/>
  <c r="GC59" i="1"/>
  <c r="EP93" i="1"/>
  <c r="EG75" i="1"/>
  <c r="EG76" i="1" s="1"/>
  <c r="EG77" i="1" s="1"/>
  <c r="EG78" i="1" s="1"/>
  <c r="EG79" i="1" s="1"/>
  <c r="EG80" i="1" s="1"/>
  <c r="EG81" i="1" s="1"/>
  <c r="EG82" i="1" s="1"/>
  <c r="EG84" i="1" s="1"/>
  <c r="EG85" i="1" s="1"/>
  <c r="EG86" i="1" s="1"/>
  <c r="EG87" i="1" s="1"/>
  <c r="EG88" i="1" s="1"/>
  <c r="EG89" i="1" s="1"/>
  <c r="EG90" i="1" s="1"/>
  <c r="EG91" i="1" s="1"/>
  <c r="EG92" i="1" s="1"/>
  <c r="EY83" i="1"/>
  <c r="EO75" i="1"/>
  <c r="EO76" i="1" s="1"/>
  <c r="EO77" i="1" s="1"/>
  <c r="EO78" i="1" s="1"/>
  <c r="EO79" i="1" s="1"/>
  <c r="EO80" i="1" s="1"/>
  <c r="EO81" i="1" s="1"/>
  <c r="EO82" i="1" s="1"/>
  <c r="EO84" i="1" s="1"/>
  <c r="EO85" i="1" s="1"/>
  <c r="EO86" i="1" s="1"/>
  <c r="EO87" i="1" s="1"/>
  <c r="EO88" i="1" s="1"/>
  <c r="EO89" i="1" s="1"/>
  <c r="EO90" i="1" s="1"/>
  <c r="EO91" i="1" s="1"/>
  <c r="EO92" i="1" s="1"/>
  <c r="EI51" i="1"/>
  <c r="EI52" i="1" s="1"/>
  <c r="EI53" i="1" s="1"/>
  <c r="EI54" i="1" s="1"/>
  <c r="EI55" i="1" s="1"/>
  <c r="EI56" i="1" s="1"/>
  <c r="EI57" i="1" s="1"/>
  <c r="EI58" i="1" s="1"/>
  <c r="EI60" i="1" s="1"/>
  <c r="EI61" i="1" s="1"/>
  <c r="EI62" i="1" s="1"/>
  <c r="EI63" i="1" s="1"/>
  <c r="EI64" i="1" s="1"/>
  <c r="EI65" i="1" s="1"/>
  <c r="EI66" i="1" s="1"/>
  <c r="EI67" i="1" s="1"/>
  <c r="EI68" i="1" s="1"/>
  <c r="EX59" i="1"/>
  <c r="EY59" i="1"/>
  <c r="DS83" i="1"/>
  <c r="DU83" i="1"/>
  <c r="DT83" i="1"/>
  <c r="DU59" i="1"/>
  <c r="CQ83" i="1"/>
  <c r="CO59" i="1"/>
  <c r="BK83" i="1"/>
  <c r="BM83" i="1"/>
  <c r="BL59" i="1"/>
  <c r="BM59" i="1"/>
  <c r="AF83" i="1"/>
  <c r="BM35" i="1"/>
  <c r="CQ35" i="1"/>
  <c r="DU35" i="1"/>
  <c r="EO27" i="1"/>
  <c r="EO28" i="1" s="1"/>
  <c r="EO29" i="1" s="1"/>
  <c r="EO30" i="1" s="1"/>
  <c r="EO31" i="1" s="1"/>
  <c r="EO32" i="1" s="1"/>
  <c r="EO33" i="1" s="1"/>
  <c r="EO34" i="1" s="1"/>
  <c r="EO36" i="1" s="1"/>
  <c r="EO37" i="1" s="1"/>
  <c r="EO38" i="1" s="1"/>
  <c r="EO39" i="1" s="1"/>
  <c r="EO40" i="1" s="1"/>
  <c r="EO41" i="1" s="1"/>
  <c r="EO42" i="1" s="1"/>
  <c r="EO43" i="1" s="1"/>
  <c r="EO44" i="1" s="1"/>
  <c r="EY35" i="1"/>
  <c r="EF35" i="1"/>
  <c r="FS27" i="1"/>
  <c r="FS28" i="1" s="1"/>
  <c r="FS29" i="1" s="1"/>
  <c r="FS30" i="1" s="1"/>
  <c r="FS31" i="1" s="1"/>
  <c r="FS32" i="1" s="1"/>
  <c r="FS33" i="1" s="1"/>
  <c r="FS34" i="1" s="1"/>
  <c r="FS36" i="1" s="1"/>
  <c r="FS37" i="1" s="1"/>
  <c r="FS38" i="1" s="1"/>
  <c r="FS39" i="1" s="1"/>
  <c r="FS40" i="1" s="1"/>
  <c r="FS41" i="1" s="1"/>
  <c r="FS42" i="1" s="1"/>
  <c r="FS43" i="1" s="1"/>
  <c r="FS44" i="1" s="1"/>
  <c r="FL35" i="1"/>
  <c r="FT35" i="1"/>
  <c r="FP35" i="1"/>
  <c r="GC35" i="1"/>
  <c r="HB45" i="1"/>
  <c r="HB35" i="1"/>
  <c r="HE35" i="1"/>
  <c r="GP35" i="1"/>
  <c r="HR45" i="1"/>
  <c r="IK35" i="1"/>
  <c r="HX45" i="1"/>
  <c r="HT45" i="1"/>
  <c r="JC26" i="1"/>
  <c r="JC27" i="1" s="1"/>
  <c r="JC28" i="1" s="1"/>
  <c r="JC29" i="1" s="1"/>
  <c r="JC30" i="1" s="1"/>
  <c r="JC31" i="1" s="1"/>
  <c r="JC32" i="1" s="1"/>
  <c r="JC33" i="1" s="1"/>
  <c r="JC34" i="1" s="1"/>
  <c r="JC36" i="1" s="1"/>
  <c r="JC37" i="1" s="1"/>
  <c r="JC38" i="1" s="1"/>
  <c r="JC39" i="1" s="1"/>
  <c r="JC40" i="1" s="1"/>
  <c r="JC41" i="1" s="1"/>
  <c r="JC42" i="1" s="1"/>
  <c r="JC43" i="1" s="1"/>
  <c r="JC44" i="1" s="1"/>
  <c r="JF35" i="1"/>
  <c r="JO35" i="1"/>
  <c r="KI26" i="1"/>
  <c r="KI27" i="1" s="1"/>
  <c r="KI28" i="1" s="1"/>
  <c r="KI29" i="1" s="1"/>
  <c r="KI30" i="1" s="1"/>
  <c r="KI31" i="1" s="1"/>
  <c r="KI32" i="1" s="1"/>
  <c r="KI33" i="1" s="1"/>
  <c r="KI34" i="1" s="1"/>
  <c r="KI36" i="1" s="1"/>
  <c r="KI37" i="1" s="1"/>
  <c r="KI38" i="1" s="1"/>
  <c r="KI39" i="1" s="1"/>
  <c r="KI40" i="1" s="1"/>
  <c r="KI41" i="1" s="1"/>
  <c r="KI42" i="1" s="1"/>
  <c r="KI43" i="1" s="1"/>
  <c r="KI44" i="1" s="1"/>
  <c r="JZ35" i="1"/>
  <c r="KS35" i="1"/>
  <c r="KA26" i="1"/>
  <c r="KA27" i="1" s="1"/>
  <c r="KA28" i="1" s="1"/>
  <c r="KA29" i="1" s="1"/>
  <c r="KA30" i="1" s="1"/>
  <c r="KA31" i="1" s="1"/>
  <c r="KA32" i="1" s="1"/>
  <c r="KA33" i="1" s="1"/>
  <c r="KA34" i="1" s="1"/>
  <c r="KA36" i="1" s="1"/>
  <c r="KA37" i="1" s="1"/>
  <c r="KA38" i="1" s="1"/>
  <c r="KA39" i="1" s="1"/>
  <c r="KA40" i="1" s="1"/>
  <c r="KA41" i="1" s="1"/>
  <c r="KA42" i="1" s="1"/>
  <c r="KA43" i="1" s="1"/>
  <c r="KA44" i="1" s="1"/>
  <c r="KT4" i="1"/>
  <c r="KT5" i="1" s="1"/>
  <c r="KT6" i="1" s="1"/>
  <c r="KT7" i="1" s="1"/>
  <c r="KT8" i="1" s="1"/>
  <c r="KT9" i="1" s="1"/>
  <c r="KT10" i="1" s="1"/>
  <c r="KT11" i="1" s="1"/>
  <c r="KT13" i="1" s="1"/>
  <c r="KT14" i="1" s="1"/>
  <c r="KT15" i="1" s="1"/>
  <c r="KT16" i="1" s="1"/>
  <c r="KT17" i="1" s="1"/>
  <c r="KT18" i="1" s="1"/>
  <c r="KT19" i="1" s="1"/>
  <c r="KT20" i="1" s="1"/>
  <c r="KT21" i="1" s="1"/>
  <c r="KT26" i="1" s="1"/>
  <c r="KT27" i="1" s="1"/>
  <c r="KT28" i="1" s="1"/>
  <c r="KT29" i="1" s="1"/>
  <c r="KT30" i="1" s="1"/>
  <c r="KT31" i="1" s="1"/>
  <c r="KT32" i="1" s="1"/>
  <c r="KT33" i="1" s="1"/>
  <c r="KT34" i="1" s="1"/>
  <c r="KT36" i="1" s="1"/>
  <c r="KT37" i="1" s="1"/>
  <c r="KT38" i="1" s="1"/>
  <c r="KT39" i="1" s="1"/>
  <c r="KT40" i="1" s="1"/>
  <c r="KT41" i="1" s="1"/>
  <c r="KT42" i="1" s="1"/>
  <c r="KT43" i="1" s="1"/>
  <c r="KT44" i="1" s="1"/>
  <c r="KT50" i="1" s="1"/>
  <c r="KT51" i="1" s="1"/>
  <c r="KT52" i="1" s="1"/>
  <c r="KT53" i="1" s="1"/>
  <c r="KT54" i="1" s="1"/>
  <c r="KT55" i="1" s="1"/>
  <c r="KT56" i="1" s="1"/>
  <c r="KT57" i="1" s="1"/>
  <c r="KT58" i="1" s="1"/>
  <c r="KT60" i="1" s="1"/>
  <c r="KT61" i="1" s="1"/>
  <c r="KT62" i="1" s="1"/>
  <c r="KT63" i="1" s="1"/>
  <c r="KT64" i="1" s="1"/>
  <c r="KT65" i="1" s="1"/>
  <c r="KT66" i="1" s="1"/>
  <c r="KT67" i="1" s="1"/>
  <c r="KT68" i="1" s="1"/>
  <c r="KT74" i="1" s="1"/>
  <c r="KT75" i="1" s="1"/>
  <c r="KT76" i="1" s="1"/>
  <c r="KT77" i="1" s="1"/>
  <c r="KT78" i="1" s="1"/>
  <c r="KT79" i="1" s="1"/>
  <c r="KT80" i="1" s="1"/>
  <c r="KT81" i="1" s="1"/>
  <c r="KT82" i="1" s="1"/>
  <c r="KT84" i="1" s="1"/>
  <c r="KT85" i="1" s="1"/>
  <c r="KT86" i="1" s="1"/>
  <c r="KT87" i="1" s="1"/>
  <c r="KT88" i="1" s="1"/>
  <c r="KT89" i="1" s="1"/>
  <c r="KT90" i="1" s="1"/>
  <c r="KT91" i="1" s="1"/>
  <c r="KT92" i="1" s="1"/>
  <c r="KD12" i="1"/>
  <c r="KQ12" i="1"/>
  <c r="JU12" i="1"/>
  <c r="JV3" i="1"/>
  <c r="JV4" i="1" s="1"/>
  <c r="JV5" i="1" s="1"/>
  <c r="JV6" i="1" s="1"/>
  <c r="JV7" i="1" s="1"/>
  <c r="JV8" i="1" s="1"/>
  <c r="JV9" i="1" s="1"/>
  <c r="JV10" i="1" s="1"/>
  <c r="JV11" i="1" s="1"/>
  <c r="JV13" i="1" s="1"/>
  <c r="JV14" i="1" s="1"/>
  <c r="JV15" i="1" s="1"/>
  <c r="JV16" i="1" s="1"/>
  <c r="JV17" i="1" s="1"/>
  <c r="JV18" i="1" s="1"/>
  <c r="JV19" i="1" s="1"/>
  <c r="JV20" i="1" s="1"/>
  <c r="JV21" i="1" s="1"/>
  <c r="JV26" i="1" s="1"/>
  <c r="JV27" i="1" s="1"/>
  <c r="JV28" i="1" s="1"/>
  <c r="JV29" i="1" s="1"/>
  <c r="JV30" i="1" s="1"/>
  <c r="JV31" i="1" s="1"/>
  <c r="JV32" i="1" s="1"/>
  <c r="JV33" i="1" s="1"/>
  <c r="JV34" i="1" s="1"/>
  <c r="JV36" i="1" s="1"/>
  <c r="JV37" i="1" s="1"/>
  <c r="JV38" i="1" s="1"/>
  <c r="JV39" i="1" s="1"/>
  <c r="JV40" i="1" s="1"/>
  <c r="JV41" i="1" s="1"/>
  <c r="JV42" i="1" s="1"/>
  <c r="JV43" i="1" s="1"/>
  <c r="JV44" i="1" s="1"/>
  <c r="JV50" i="1" s="1"/>
  <c r="JV51" i="1" s="1"/>
  <c r="JV52" i="1" s="1"/>
  <c r="JV53" i="1" s="1"/>
  <c r="JV54" i="1" s="1"/>
  <c r="JV55" i="1" s="1"/>
  <c r="JV56" i="1" s="1"/>
  <c r="JV57" i="1" s="1"/>
  <c r="JV58" i="1" s="1"/>
  <c r="JV60" i="1" s="1"/>
  <c r="JV61" i="1" s="1"/>
  <c r="JV62" i="1" s="1"/>
  <c r="JV63" i="1" s="1"/>
  <c r="JV64" i="1" s="1"/>
  <c r="JV65" i="1" s="1"/>
  <c r="JV66" i="1" s="1"/>
  <c r="JV67" i="1" s="1"/>
  <c r="JV68" i="1" s="1"/>
  <c r="JV74" i="1" s="1"/>
  <c r="JV75" i="1" s="1"/>
  <c r="JV76" i="1" s="1"/>
  <c r="JV77" i="1" s="1"/>
  <c r="JV78" i="1" s="1"/>
  <c r="JV79" i="1" s="1"/>
  <c r="JV80" i="1" s="1"/>
  <c r="JV81" i="1" s="1"/>
  <c r="JV82" i="1" s="1"/>
  <c r="JV84" i="1" s="1"/>
  <c r="JV85" i="1" s="1"/>
  <c r="JV86" i="1" s="1"/>
  <c r="JV87" i="1" s="1"/>
  <c r="JV88" i="1" s="1"/>
  <c r="JV89" i="1" s="1"/>
  <c r="JV90" i="1" s="1"/>
  <c r="JV91" i="1" s="1"/>
  <c r="JV92" i="1" s="1"/>
  <c r="JW3" i="1"/>
  <c r="JX3" i="1" s="1"/>
  <c r="JX4" i="1" s="1"/>
  <c r="JX5" i="1" s="1"/>
  <c r="JX6" i="1" s="1"/>
  <c r="JX7" i="1" s="1"/>
  <c r="JX8" i="1" s="1"/>
  <c r="KI4" i="1"/>
  <c r="KI5" i="1" s="1"/>
  <c r="KI6" i="1" s="1"/>
  <c r="KI7" i="1" s="1"/>
  <c r="KI8" i="1" s="1"/>
  <c r="KI9" i="1" s="1"/>
  <c r="KI10" i="1" s="1"/>
  <c r="KI11" i="1" s="1"/>
  <c r="KI13" i="1" s="1"/>
  <c r="KI14" i="1" s="1"/>
  <c r="KI15" i="1" s="1"/>
  <c r="KI16" i="1" s="1"/>
  <c r="KI17" i="1" s="1"/>
  <c r="KI18" i="1" s="1"/>
  <c r="KI19" i="1" s="1"/>
  <c r="KI20" i="1" s="1"/>
  <c r="KI21" i="1" s="1"/>
  <c r="JB12" i="1"/>
  <c r="IX12" i="1"/>
  <c r="JD12" i="1"/>
  <c r="JE3" i="1"/>
  <c r="JE4" i="1" s="1"/>
  <c r="JE5" i="1" s="1"/>
  <c r="JE6" i="1" s="1"/>
  <c r="JE7" i="1" s="1"/>
  <c r="JE8" i="1" s="1"/>
  <c r="JE9" i="1" s="1"/>
  <c r="JE10" i="1" s="1"/>
  <c r="JE11" i="1" s="1"/>
  <c r="JE13" i="1" s="1"/>
  <c r="JE14" i="1" s="1"/>
  <c r="JE15" i="1" s="1"/>
  <c r="JE16" i="1" s="1"/>
  <c r="JE17" i="1" s="1"/>
  <c r="JE18" i="1" s="1"/>
  <c r="JE19" i="1" s="1"/>
  <c r="JE20" i="1" s="1"/>
  <c r="JE21" i="1" s="1"/>
  <c r="IV22" i="1"/>
  <c r="IQ12" i="1"/>
  <c r="IV12" i="1"/>
  <c r="JJ12" i="1"/>
  <c r="IW3" i="1"/>
  <c r="IW4" i="1" s="1"/>
  <c r="IW5" i="1" s="1"/>
  <c r="IW6" i="1" s="1"/>
  <c r="IW7" i="1" s="1"/>
  <c r="IW8" i="1" s="1"/>
  <c r="IW9" i="1" s="1"/>
  <c r="IW10" i="1" s="1"/>
  <c r="IW11" i="1" s="1"/>
  <c r="IW13" i="1" s="1"/>
  <c r="IW14" i="1" s="1"/>
  <c r="IW15" i="1" s="1"/>
  <c r="IW16" i="1" s="1"/>
  <c r="IW17" i="1" s="1"/>
  <c r="IW18" i="1" s="1"/>
  <c r="IW19" i="1" s="1"/>
  <c r="IW20" i="1" s="1"/>
  <c r="IW21" i="1" s="1"/>
  <c r="JM12" i="1"/>
  <c r="JB22" i="1"/>
  <c r="JO22" i="1"/>
  <c r="HZ12" i="1"/>
  <c r="HW4" i="1"/>
  <c r="HW5" i="1" s="1"/>
  <c r="HW6" i="1" s="1"/>
  <c r="HW7" i="1" s="1"/>
  <c r="HW8" i="1" s="1"/>
  <c r="HW9" i="1" s="1"/>
  <c r="HW10" i="1" s="1"/>
  <c r="HW11" i="1" s="1"/>
  <c r="HW13" i="1" s="1"/>
  <c r="HW14" i="1" s="1"/>
  <c r="HW15" i="1" s="1"/>
  <c r="HW16" i="1" s="1"/>
  <c r="HW17" i="1" s="1"/>
  <c r="HW18" i="1" s="1"/>
  <c r="HW19" i="1" s="1"/>
  <c r="HW20" i="1" s="1"/>
  <c r="HW21" i="1" s="1"/>
  <c r="HU4" i="1"/>
  <c r="HU5" i="1" s="1"/>
  <c r="HU6" i="1" s="1"/>
  <c r="HU7" i="1" s="1"/>
  <c r="HU8" i="1" s="1"/>
  <c r="HU9" i="1" s="1"/>
  <c r="HU10" i="1" s="1"/>
  <c r="HU11" i="1" s="1"/>
  <c r="HU13" i="1" s="1"/>
  <c r="HU14" i="1" s="1"/>
  <c r="HU15" i="1" s="1"/>
  <c r="HU16" i="1" s="1"/>
  <c r="HU17" i="1" s="1"/>
  <c r="HU18" i="1" s="1"/>
  <c r="HU19" i="1" s="1"/>
  <c r="HU20" i="1" s="1"/>
  <c r="HU21" i="1" s="1"/>
  <c r="HX22" i="1"/>
  <c r="GP12" i="1"/>
  <c r="HE12" i="1"/>
  <c r="GI12" i="1"/>
  <c r="GX22" i="1"/>
  <c r="GR12" i="1"/>
  <c r="GV22" i="1"/>
  <c r="GS3" i="1"/>
  <c r="GS4" i="1" s="1"/>
  <c r="GS5" i="1" s="1"/>
  <c r="GS6" i="1" s="1"/>
  <c r="GS7" i="1" s="1"/>
  <c r="GS8" i="1" s="1"/>
  <c r="GS9" i="1" s="1"/>
  <c r="GS10" i="1" s="1"/>
  <c r="GS11" i="1" s="1"/>
  <c r="GS13" i="1" s="1"/>
  <c r="GS14" i="1" s="1"/>
  <c r="GS15" i="1" s="1"/>
  <c r="GS16" i="1" s="1"/>
  <c r="GS17" i="1" s="1"/>
  <c r="GS18" i="1" s="1"/>
  <c r="GS19" i="1" s="1"/>
  <c r="GS20" i="1" s="1"/>
  <c r="GS21" i="1" s="1"/>
  <c r="GI22" i="1"/>
  <c r="HG22" i="1"/>
  <c r="GV12" i="1"/>
  <c r="HB12" i="1"/>
  <c r="GK14" i="1"/>
  <c r="GK22" i="1" s="1"/>
  <c r="HD12" i="1"/>
  <c r="FL12" i="1"/>
  <c r="FM3" i="1"/>
  <c r="FM4" i="1" s="1"/>
  <c r="FM5" i="1" s="1"/>
  <c r="FM6" i="1" s="1"/>
  <c r="FM7" i="1" s="1"/>
  <c r="FM8" i="1" s="1"/>
  <c r="FM9" i="1" s="1"/>
  <c r="FM10" i="1" s="1"/>
  <c r="FM11" i="1" s="1"/>
  <c r="FM13" i="1" s="1"/>
  <c r="FM14" i="1" s="1"/>
  <c r="FM15" i="1" s="1"/>
  <c r="FM16" i="1" s="1"/>
  <c r="FM17" i="1" s="1"/>
  <c r="FM18" i="1" s="1"/>
  <c r="FM19" i="1" s="1"/>
  <c r="FM20" i="1" s="1"/>
  <c r="FM21" i="1" s="1"/>
  <c r="FE22" i="1"/>
  <c r="GB12" i="1"/>
  <c r="FQ4" i="1"/>
  <c r="FQ5" i="1" s="1"/>
  <c r="FQ6" i="1" s="1"/>
  <c r="FQ7" i="1" s="1"/>
  <c r="FQ8" i="1" s="1"/>
  <c r="FQ9" i="1" s="1"/>
  <c r="FQ10" i="1" s="1"/>
  <c r="FQ11" i="1" s="1"/>
  <c r="FQ13" i="1" s="1"/>
  <c r="FQ14" i="1" s="1"/>
  <c r="FQ15" i="1" s="1"/>
  <c r="FQ16" i="1" s="1"/>
  <c r="FQ17" i="1" s="1"/>
  <c r="FQ18" i="1" s="1"/>
  <c r="FQ19" i="1" s="1"/>
  <c r="FQ20" i="1" s="1"/>
  <c r="FQ21" i="1" s="1"/>
  <c r="FL22" i="1"/>
  <c r="FT12" i="1"/>
  <c r="FE12" i="1"/>
  <c r="FU4" i="1"/>
  <c r="FU5" i="1" s="1"/>
  <c r="FU6" i="1" s="1"/>
  <c r="FU7" i="1" s="1"/>
  <c r="FU8" i="1" s="1"/>
  <c r="FU9" i="1" s="1"/>
  <c r="FU10" i="1" s="1"/>
  <c r="FU11" i="1" s="1"/>
  <c r="FU13" i="1" s="1"/>
  <c r="FU14" i="1" s="1"/>
  <c r="FU15" i="1" s="1"/>
  <c r="FU16" i="1" s="1"/>
  <c r="FU17" i="1" s="1"/>
  <c r="FU18" i="1" s="1"/>
  <c r="FU19" i="1" s="1"/>
  <c r="FU20" i="1" s="1"/>
  <c r="FU21" i="1" s="1"/>
  <c r="FU26" i="1" s="1"/>
  <c r="FU27" i="1" s="1"/>
  <c r="FU28" i="1" s="1"/>
  <c r="FU29" i="1" s="1"/>
  <c r="FU30" i="1" s="1"/>
  <c r="FU31" i="1" s="1"/>
  <c r="FU32" i="1" s="1"/>
  <c r="FU33" i="1" s="1"/>
  <c r="FU34" i="1" s="1"/>
  <c r="FU36" i="1" s="1"/>
  <c r="FU37" i="1" s="1"/>
  <c r="FU38" i="1" s="1"/>
  <c r="FU39" i="1" s="1"/>
  <c r="FU40" i="1" s="1"/>
  <c r="FU41" i="1" s="1"/>
  <c r="FU42" i="1" s="1"/>
  <c r="FU43" i="1" s="1"/>
  <c r="FU44" i="1" s="1"/>
  <c r="FU50" i="1" s="1"/>
  <c r="FU51" i="1" s="1"/>
  <c r="FU52" i="1" s="1"/>
  <c r="FU53" i="1" s="1"/>
  <c r="FU54" i="1" s="1"/>
  <c r="FU55" i="1" s="1"/>
  <c r="FU56" i="1" s="1"/>
  <c r="FU57" i="1" s="1"/>
  <c r="FU58" i="1" s="1"/>
  <c r="FU60" i="1" s="1"/>
  <c r="FU61" i="1" s="1"/>
  <c r="FU62" i="1" s="1"/>
  <c r="FU63" i="1" s="1"/>
  <c r="FU64" i="1" s="1"/>
  <c r="FU65" i="1" s="1"/>
  <c r="FU66" i="1" s="1"/>
  <c r="FU67" i="1" s="1"/>
  <c r="FU68" i="1" s="1"/>
  <c r="FU74" i="1" s="1"/>
  <c r="FU75" i="1" s="1"/>
  <c r="FU76" i="1" s="1"/>
  <c r="FU77" i="1" s="1"/>
  <c r="FU78" i="1" s="1"/>
  <c r="FU79" i="1" s="1"/>
  <c r="FU80" i="1" s="1"/>
  <c r="FU81" i="1" s="1"/>
  <c r="FU82" i="1" s="1"/>
  <c r="FU84" i="1" s="1"/>
  <c r="FU85" i="1" s="1"/>
  <c r="FU86" i="1" s="1"/>
  <c r="FU87" i="1" s="1"/>
  <c r="FU88" i="1" s="1"/>
  <c r="FU89" i="1" s="1"/>
  <c r="FU90" i="1" s="1"/>
  <c r="FU91" i="1" s="1"/>
  <c r="FU92" i="1" s="1"/>
  <c r="FR22" i="1"/>
  <c r="FJ12" i="1"/>
  <c r="FX12" i="1"/>
  <c r="GC12" i="1"/>
  <c r="EJ12" i="1"/>
  <c r="EY12" i="1"/>
  <c r="EV12" i="1"/>
  <c r="EJ22" i="1"/>
  <c r="EU4" i="1"/>
  <c r="EU5" i="1" s="1"/>
  <c r="EU6" i="1" s="1"/>
  <c r="EU7" i="1" s="1"/>
  <c r="EU8" i="1" s="1"/>
  <c r="EU9" i="1" s="1"/>
  <c r="EU10" i="1" s="1"/>
  <c r="EU11" i="1" s="1"/>
  <c r="EU13" i="1" s="1"/>
  <c r="EU14" i="1" s="1"/>
  <c r="EU15" i="1" s="1"/>
  <c r="EU16" i="1" s="1"/>
  <c r="EU17" i="1" s="1"/>
  <c r="EU18" i="1" s="1"/>
  <c r="EU19" i="1" s="1"/>
  <c r="EU20" i="1" s="1"/>
  <c r="EU21" i="1" s="1"/>
  <c r="EU26" i="1" s="1"/>
  <c r="EU27" i="1" s="1"/>
  <c r="EU28" i="1" s="1"/>
  <c r="EU29" i="1" s="1"/>
  <c r="EU30" i="1" s="1"/>
  <c r="EU31" i="1" s="1"/>
  <c r="EU32" i="1" s="1"/>
  <c r="EU33" i="1" s="1"/>
  <c r="EU34" i="1" s="1"/>
  <c r="EU36" i="1" s="1"/>
  <c r="EU37" i="1" s="1"/>
  <c r="EU38" i="1" s="1"/>
  <c r="EU39" i="1" s="1"/>
  <c r="EU40" i="1" s="1"/>
  <c r="EU41" i="1" s="1"/>
  <c r="EU42" i="1" s="1"/>
  <c r="EU43" i="1" s="1"/>
  <c r="EU44" i="1" s="1"/>
  <c r="EU50" i="1" s="1"/>
  <c r="EU51" i="1" s="1"/>
  <c r="EU52" i="1" s="1"/>
  <c r="EU53" i="1" s="1"/>
  <c r="EU54" i="1" s="1"/>
  <c r="EU55" i="1" s="1"/>
  <c r="EU56" i="1" s="1"/>
  <c r="EU57" i="1" s="1"/>
  <c r="EU58" i="1" s="1"/>
  <c r="EU60" i="1" s="1"/>
  <c r="EU61" i="1" s="1"/>
  <c r="EU62" i="1" s="1"/>
  <c r="EU63" i="1" s="1"/>
  <c r="EU64" i="1" s="1"/>
  <c r="EU65" i="1" s="1"/>
  <c r="EU66" i="1" s="1"/>
  <c r="EU67" i="1" s="1"/>
  <c r="EU68" i="1" s="1"/>
  <c r="EU74" i="1" s="1"/>
  <c r="EU75" i="1" s="1"/>
  <c r="EU76" i="1" s="1"/>
  <c r="EU77" i="1" s="1"/>
  <c r="EU78" i="1" s="1"/>
  <c r="EU79" i="1" s="1"/>
  <c r="EU80" i="1" s="1"/>
  <c r="EU81" i="1" s="1"/>
  <c r="EU82" i="1" s="1"/>
  <c r="EU84" i="1" s="1"/>
  <c r="EU85" i="1" s="1"/>
  <c r="EU86" i="1" s="1"/>
  <c r="EU87" i="1" s="1"/>
  <c r="EU88" i="1" s="1"/>
  <c r="EU89" i="1" s="1"/>
  <c r="EU90" i="1" s="1"/>
  <c r="EU91" i="1" s="1"/>
  <c r="EU92" i="1" s="1"/>
  <c r="DS12" i="1"/>
  <c r="DR12" i="1"/>
  <c r="CN12" i="1"/>
  <c r="AI59" i="1"/>
  <c r="AI83" i="1"/>
  <c r="AG59" i="1"/>
  <c r="AI35" i="1"/>
  <c r="KS12" i="1"/>
  <c r="JP4" i="1"/>
  <c r="JP5" i="1" s="1"/>
  <c r="JP6" i="1" s="1"/>
  <c r="JP7" i="1" s="1"/>
  <c r="JP8" i="1" s="1"/>
  <c r="JP9" i="1" s="1"/>
  <c r="JP10" i="1" s="1"/>
  <c r="JP11" i="1" s="1"/>
  <c r="JP13" i="1" s="1"/>
  <c r="JP14" i="1" s="1"/>
  <c r="JP15" i="1" s="1"/>
  <c r="JP16" i="1" s="1"/>
  <c r="JP17" i="1" s="1"/>
  <c r="JP18" i="1" s="1"/>
  <c r="JP19" i="1" s="1"/>
  <c r="JP20" i="1" s="1"/>
  <c r="JP21" i="1" s="1"/>
  <c r="JP26" i="1" s="1"/>
  <c r="JP27" i="1" s="1"/>
  <c r="JP28" i="1" s="1"/>
  <c r="JP29" i="1" s="1"/>
  <c r="JP30" i="1" s="1"/>
  <c r="JP31" i="1" s="1"/>
  <c r="JP32" i="1" s="1"/>
  <c r="JP33" i="1" s="1"/>
  <c r="JP34" i="1" s="1"/>
  <c r="JP36" i="1" s="1"/>
  <c r="JP37" i="1" s="1"/>
  <c r="JP38" i="1" s="1"/>
  <c r="JP39" i="1" s="1"/>
  <c r="JP40" i="1" s="1"/>
  <c r="JP41" i="1" s="1"/>
  <c r="JP42" i="1" s="1"/>
  <c r="JP43" i="1" s="1"/>
  <c r="JP44" i="1" s="1"/>
  <c r="JP50" i="1" s="1"/>
  <c r="JP51" i="1" s="1"/>
  <c r="JP52" i="1" s="1"/>
  <c r="JP53" i="1" s="1"/>
  <c r="JP54" i="1" s="1"/>
  <c r="JP55" i="1" s="1"/>
  <c r="JP56" i="1" s="1"/>
  <c r="JP57" i="1" s="1"/>
  <c r="JP58" i="1" s="1"/>
  <c r="JP60" i="1" s="1"/>
  <c r="JP61" i="1" s="1"/>
  <c r="JP62" i="1" s="1"/>
  <c r="JP63" i="1" s="1"/>
  <c r="JP64" i="1" s="1"/>
  <c r="JP65" i="1" s="1"/>
  <c r="JP66" i="1" s="1"/>
  <c r="JP67" i="1" s="1"/>
  <c r="JP68" i="1" s="1"/>
  <c r="JP74" i="1" s="1"/>
  <c r="JP75" i="1" s="1"/>
  <c r="JP76" i="1" s="1"/>
  <c r="JP77" i="1" s="1"/>
  <c r="JP78" i="1" s="1"/>
  <c r="JP79" i="1" s="1"/>
  <c r="JP80" i="1" s="1"/>
  <c r="JP81" i="1" s="1"/>
  <c r="JP82" i="1" s="1"/>
  <c r="JP84" i="1" s="1"/>
  <c r="JP85" i="1" s="1"/>
  <c r="JP86" i="1" s="1"/>
  <c r="JP87" i="1" s="1"/>
  <c r="JP88" i="1" s="1"/>
  <c r="JP89" i="1" s="1"/>
  <c r="JP90" i="1" s="1"/>
  <c r="JP91" i="1" s="1"/>
  <c r="JP92" i="1" s="1"/>
  <c r="HH4" i="1"/>
  <c r="HH5" i="1" s="1"/>
  <c r="HH6" i="1" s="1"/>
  <c r="HH7" i="1" s="1"/>
  <c r="HH8" i="1" s="1"/>
  <c r="HH9" i="1" s="1"/>
  <c r="HH10" i="1" s="1"/>
  <c r="HH11" i="1" s="1"/>
  <c r="HH13" i="1" s="1"/>
  <c r="HH14" i="1" s="1"/>
  <c r="HH15" i="1" s="1"/>
  <c r="HH16" i="1" s="1"/>
  <c r="HH17" i="1" s="1"/>
  <c r="HH18" i="1" s="1"/>
  <c r="HH19" i="1" s="1"/>
  <c r="HH20" i="1" s="1"/>
  <c r="HH21" i="1" s="1"/>
  <c r="HH26" i="1" s="1"/>
  <c r="HH27" i="1" s="1"/>
  <c r="HH28" i="1" s="1"/>
  <c r="HH29" i="1" s="1"/>
  <c r="HH30" i="1" s="1"/>
  <c r="HH31" i="1" s="1"/>
  <c r="HH32" i="1" s="1"/>
  <c r="HH33" i="1" s="1"/>
  <c r="HH34" i="1" s="1"/>
  <c r="HH36" i="1" s="1"/>
  <c r="HH37" i="1" s="1"/>
  <c r="HH38" i="1" s="1"/>
  <c r="HH39" i="1" s="1"/>
  <c r="HH40" i="1" s="1"/>
  <c r="HH41" i="1" s="1"/>
  <c r="HH42" i="1" s="1"/>
  <c r="HH43" i="1" s="1"/>
  <c r="HH44" i="1" s="1"/>
  <c r="HH50" i="1" s="1"/>
  <c r="HH51" i="1" s="1"/>
  <c r="HH52" i="1" s="1"/>
  <c r="HH53" i="1" s="1"/>
  <c r="HH54" i="1" s="1"/>
  <c r="HH55" i="1" s="1"/>
  <c r="HH56" i="1" s="1"/>
  <c r="HH57" i="1" s="1"/>
  <c r="HH58" i="1" s="1"/>
  <c r="HH60" i="1" s="1"/>
  <c r="HH61" i="1" s="1"/>
  <c r="HH62" i="1" s="1"/>
  <c r="HH63" i="1" s="1"/>
  <c r="HH64" i="1" s="1"/>
  <c r="HH65" i="1" s="1"/>
  <c r="HH66" i="1" s="1"/>
  <c r="HH67" i="1" s="1"/>
  <c r="HH68" i="1" s="1"/>
  <c r="HH74" i="1" s="1"/>
  <c r="HH75" i="1" s="1"/>
  <c r="HH76" i="1" s="1"/>
  <c r="HH77" i="1" s="1"/>
  <c r="HH78" i="1" s="1"/>
  <c r="HH79" i="1" s="1"/>
  <c r="HH80" i="1" s="1"/>
  <c r="HH81" i="1" s="1"/>
  <c r="HH82" i="1" s="1"/>
  <c r="HH84" i="1" s="1"/>
  <c r="HH85" i="1" s="1"/>
  <c r="HH86" i="1" s="1"/>
  <c r="HH87" i="1" s="1"/>
  <c r="HH88" i="1" s="1"/>
  <c r="HH89" i="1" s="1"/>
  <c r="HH90" i="1" s="1"/>
  <c r="HH91" i="1" s="1"/>
  <c r="HH92" i="1" s="1"/>
  <c r="EZ4" i="1"/>
  <c r="EZ5" i="1" s="1"/>
  <c r="EZ6" i="1" s="1"/>
  <c r="EZ7" i="1" s="1"/>
  <c r="EZ8" i="1" s="1"/>
  <c r="EZ9" i="1" s="1"/>
  <c r="EZ10" i="1" s="1"/>
  <c r="EZ11" i="1" s="1"/>
  <c r="EZ13" i="1" s="1"/>
  <c r="EZ14" i="1" s="1"/>
  <c r="EZ15" i="1" s="1"/>
  <c r="EZ16" i="1" s="1"/>
  <c r="EZ17" i="1" s="1"/>
  <c r="EZ18" i="1" s="1"/>
  <c r="EZ19" i="1" s="1"/>
  <c r="EZ20" i="1" s="1"/>
  <c r="EZ21" i="1" s="1"/>
  <c r="EZ26" i="1" s="1"/>
  <c r="EZ27" i="1" s="1"/>
  <c r="EZ28" i="1" s="1"/>
  <c r="EZ29" i="1" s="1"/>
  <c r="EZ30" i="1" s="1"/>
  <c r="EZ31" i="1" s="1"/>
  <c r="EZ32" i="1" s="1"/>
  <c r="EZ33" i="1" s="1"/>
  <c r="EZ34" i="1" s="1"/>
  <c r="EZ36" i="1" s="1"/>
  <c r="EZ37" i="1" s="1"/>
  <c r="EZ38" i="1" s="1"/>
  <c r="EZ39" i="1" s="1"/>
  <c r="EZ40" i="1" s="1"/>
  <c r="EZ41" i="1" s="1"/>
  <c r="EZ42" i="1" s="1"/>
  <c r="EZ43" i="1" s="1"/>
  <c r="EZ44" i="1" s="1"/>
  <c r="EZ50" i="1" s="1"/>
  <c r="EZ51" i="1" s="1"/>
  <c r="EZ52" i="1" s="1"/>
  <c r="EZ53" i="1" s="1"/>
  <c r="EZ54" i="1" s="1"/>
  <c r="EZ55" i="1" s="1"/>
  <c r="EZ56" i="1" s="1"/>
  <c r="EZ57" i="1" s="1"/>
  <c r="EZ58" i="1" s="1"/>
  <c r="EZ60" i="1" s="1"/>
  <c r="EZ61" i="1" s="1"/>
  <c r="EZ62" i="1" s="1"/>
  <c r="EZ63" i="1" s="1"/>
  <c r="EZ64" i="1" s="1"/>
  <c r="EZ65" i="1" s="1"/>
  <c r="EZ66" i="1" s="1"/>
  <c r="EZ67" i="1" s="1"/>
  <c r="EZ68" i="1" s="1"/>
  <c r="EZ74" i="1" s="1"/>
  <c r="EZ75" i="1" s="1"/>
  <c r="EZ76" i="1" s="1"/>
  <c r="EZ77" i="1" s="1"/>
  <c r="EZ78" i="1" s="1"/>
  <c r="EZ79" i="1" s="1"/>
  <c r="EZ80" i="1" s="1"/>
  <c r="EZ81" i="1" s="1"/>
  <c r="EZ82" i="1" s="1"/>
  <c r="EZ84" i="1" s="1"/>
  <c r="EZ85" i="1" s="1"/>
  <c r="EZ86" i="1" s="1"/>
  <c r="EZ87" i="1" s="1"/>
  <c r="EZ88" i="1" s="1"/>
  <c r="EZ89" i="1" s="1"/>
  <c r="EZ90" i="1" s="1"/>
  <c r="EZ91" i="1" s="1"/>
  <c r="EZ92" i="1" s="1"/>
  <c r="KC4" i="1"/>
  <c r="KC5" i="1" s="1"/>
  <c r="KC6" i="1" s="1"/>
  <c r="KC7" i="1" s="1"/>
  <c r="KC8" i="1" s="1"/>
  <c r="KC9" i="1" s="1"/>
  <c r="KC10" i="1" s="1"/>
  <c r="KC11" i="1" s="1"/>
  <c r="KC13" i="1" s="1"/>
  <c r="KC14" i="1" s="1"/>
  <c r="KC15" i="1" s="1"/>
  <c r="KC16" i="1" s="1"/>
  <c r="KC17" i="1" s="1"/>
  <c r="KC18" i="1" s="1"/>
  <c r="KC19" i="1" s="1"/>
  <c r="KC20" i="1" s="1"/>
  <c r="KC21" i="1" s="1"/>
  <c r="KH12" i="1"/>
  <c r="JW9" i="1"/>
  <c r="JW27" i="1"/>
  <c r="KF12" i="1"/>
  <c r="KG3" i="1"/>
  <c r="KG4" i="1" s="1"/>
  <c r="KG5" i="1" s="1"/>
  <c r="KG6" i="1" s="1"/>
  <c r="KG7" i="1" s="1"/>
  <c r="KG8" i="1" s="1"/>
  <c r="KG9" i="1" s="1"/>
  <c r="KG10" i="1" s="1"/>
  <c r="KG11" i="1" s="1"/>
  <c r="KG13" i="1" s="1"/>
  <c r="KG14" i="1" s="1"/>
  <c r="KG15" i="1" s="1"/>
  <c r="KG16" i="1" s="1"/>
  <c r="KG17" i="1" s="1"/>
  <c r="KG18" i="1" s="1"/>
  <c r="KG19" i="1" s="1"/>
  <c r="KG20" i="1" s="1"/>
  <c r="KG21" i="1" s="1"/>
  <c r="JZ12" i="1"/>
  <c r="JW20" i="1"/>
  <c r="JZ22" i="1"/>
  <c r="JZ45" i="1"/>
  <c r="KH22" i="1"/>
  <c r="KB12" i="1"/>
  <c r="KS22" i="1"/>
  <c r="JW28" i="1"/>
  <c r="KN45" i="1"/>
  <c r="JW26" i="1"/>
  <c r="JU35" i="1"/>
  <c r="KN35" i="1"/>
  <c r="KK4" i="1"/>
  <c r="KK5" i="1" s="1"/>
  <c r="KK6" i="1" s="1"/>
  <c r="KK7" i="1" s="1"/>
  <c r="KK8" i="1" s="1"/>
  <c r="KK9" i="1" s="1"/>
  <c r="KK10" i="1" s="1"/>
  <c r="KK11" i="1" s="1"/>
  <c r="KK13" i="1" s="1"/>
  <c r="KK14" i="1" s="1"/>
  <c r="KK15" i="1" s="1"/>
  <c r="KK16" i="1" s="1"/>
  <c r="KK17" i="1" s="1"/>
  <c r="KK18" i="1" s="1"/>
  <c r="KK19" i="1" s="1"/>
  <c r="KK20" i="1" s="1"/>
  <c r="KK21" i="1" s="1"/>
  <c r="KK26" i="1" s="1"/>
  <c r="KK27" i="1" s="1"/>
  <c r="KK28" i="1" s="1"/>
  <c r="KK29" i="1" s="1"/>
  <c r="KK30" i="1" s="1"/>
  <c r="KK31" i="1" s="1"/>
  <c r="KK32" i="1" s="1"/>
  <c r="KK33" i="1" s="1"/>
  <c r="KK34" i="1" s="1"/>
  <c r="KK36" i="1" s="1"/>
  <c r="KK37" i="1" s="1"/>
  <c r="KK38" i="1" s="1"/>
  <c r="KK39" i="1" s="1"/>
  <c r="KK40" i="1" s="1"/>
  <c r="KK41" i="1" s="1"/>
  <c r="KK42" i="1" s="1"/>
  <c r="KK43" i="1" s="1"/>
  <c r="KK44" i="1" s="1"/>
  <c r="KK50" i="1" s="1"/>
  <c r="KK51" i="1" s="1"/>
  <c r="KK52" i="1" s="1"/>
  <c r="KK53" i="1" s="1"/>
  <c r="KK54" i="1" s="1"/>
  <c r="KK55" i="1" s="1"/>
  <c r="KK56" i="1" s="1"/>
  <c r="KK57" i="1" s="1"/>
  <c r="KK58" i="1" s="1"/>
  <c r="KK60" i="1" s="1"/>
  <c r="KK61" i="1" s="1"/>
  <c r="KK62" i="1" s="1"/>
  <c r="KK63" i="1" s="1"/>
  <c r="KK64" i="1" s="1"/>
  <c r="KK65" i="1" s="1"/>
  <c r="KK66" i="1" s="1"/>
  <c r="KK67" i="1" s="1"/>
  <c r="KK68" i="1" s="1"/>
  <c r="KK74" i="1" s="1"/>
  <c r="KK75" i="1" s="1"/>
  <c r="KK76" i="1" s="1"/>
  <c r="KK77" i="1" s="1"/>
  <c r="KK78" i="1" s="1"/>
  <c r="KK79" i="1" s="1"/>
  <c r="KK80" i="1" s="1"/>
  <c r="KK81" i="1" s="1"/>
  <c r="KK82" i="1" s="1"/>
  <c r="KK84" i="1" s="1"/>
  <c r="KK85" i="1" s="1"/>
  <c r="KK86" i="1" s="1"/>
  <c r="KK87" i="1" s="1"/>
  <c r="KK88" i="1" s="1"/>
  <c r="KK89" i="1" s="1"/>
  <c r="KK90" i="1" s="1"/>
  <c r="KK91" i="1" s="1"/>
  <c r="KK92" i="1" s="1"/>
  <c r="JW29" i="1"/>
  <c r="KN12" i="1"/>
  <c r="KB22" i="1"/>
  <c r="KD22" i="1"/>
  <c r="KD45" i="1"/>
  <c r="JW42" i="1"/>
  <c r="KC51" i="1"/>
  <c r="KC52" i="1" s="1"/>
  <c r="KC53" i="1" s="1"/>
  <c r="KC54" i="1" s="1"/>
  <c r="KC55" i="1" s="1"/>
  <c r="KC56" i="1" s="1"/>
  <c r="KC57" i="1" s="1"/>
  <c r="KC58" i="1" s="1"/>
  <c r="KC60" i="1" s="1"/>
  <c r="KC61" i="1" s="1"/>
  <c r="KC62" i="1" s="1"/>
  <c r="KC63" i="1" s="1"/>
  <c r="KC64" i="1" s="1"/>
  <c r="KC65" i="1" s="1"/>
  <c r="KC66" i="1" s="1"/>
  <c r="KC67" i="1" s="1"/>
  <c r="KC68" i="1" s="1"/>
  <c r="KJ22" i="1"/>
  <c r="JW16" i="1"/>
  <c r="KB35" i="1"/>
  <c r="JU59" i="1"/>
  <c r="JW50" i="1"/>
  <c r="KB69" i="1"/>
  <c r="KB45" i="1"/>
  <c r="KN59" i="1"/>
  <c r="KJ12" i="1"/>
  <c r="JU22" i="1"/>
  <c r="KN22" i="1"/>
  <c r="KD35" i="1"/>
  <c r="KE26" i="1"/>
  <c r="KE27" i="1" s="1"/>
  <c r="KE28" i="1" s="1"/>
  <c r="KE29" i="1" s="1"/>
  <c r="KE30" i="1" s="1"/>
  <c r="KE31" i="1" s="1"/>
  <c r="KE32" i="1" s="1"/>
  <c r="KE33" i="1" s="1"/>
  <c r="KE34" i="1" s="1"/>
  <c r="KE36" i="1" s="1"/>
  <c r="KE37" i="1" s="1"/>
  <c r="KE38" i="1" s="1"/>
  <c r="KE39" i="1" s="1"/>
  <c r="KE40" i="1" s="1"/>
  <c r="KE41" i="1" s="1"/>
  <c r="KE42" i="1" s="1"/>
  <c r="KE43" i="1" s="1"/>
  <c r="KE44" i="1" s="1"/>
  <c r="JW34" i="1"/>
  <c r="KF45" i="1"/>
  <c r="JZ69" i="1"/>
  <c r="KF35" i="1"/>
  <c r="JW36" i="1"/>
  <c r="JW58" i="1"/>
  <c r="JW66" i="1"/>
  <c r="JW76" i="1"/>
  <c r="JW83" i="1" s="1"/>
  <c r="KD93" i="1"/>
  <c r="KS45" i="1"/>
  <c r="KD59" i="1"/>
  <c r="KE50" i="1"/>
  <c r="KE51" i="1" s="1"/>
  <c r="KE52" i="1" s="1"/>
  <c r="KE53" i="1" s="1"/>
  <c r="KE54" i="1" s="1"/>
  <c r="KE55" i="1" s="1"/>
  <c r="KE56" i="1" s="1"/>
  <c r="KE57" i="1" s="1"/>
  <c r="KE58" i="1" s="1"/>
  <c r="KE60" i="1" s="1"/>
  <c r="KE61" i="1" s="1"/>
  <c r="KE62" i="1" s="1"/>
  <c r="KE63" i="1" s="1"/>
  <c r="KE64" i="1" s="1"/>
  <c r="KE65" i="1" s="1"/>
  <c r="KE66" i="1" s="1"/>
  <c r="KE67" i="1" s="1"/>
  <c r="KE68" i="1" s="1"/>
  <c r="KH45" i="1"/>
  <c r="KF69" i="1"/>
  <c r="KB83" i="1"/>
  <c r="KC74" i="1"/>
  <c r="KC75" i="1" s="1"/>
  <c r="KC76" i="1" s="1"/>
  <c r="KC77" i="1" s="1"/>
  <c r="KC78" i="1" s="1"/>
  <c r="KC79" i="1" s="1"/>
  <c r="KC80" i="1" s="1"/>
  <c r="KC81" i="1" s="1"/>
  <c r="KC82" i="1" s="1"/>
  <c r="KC84" i="1" s="1"/>
  <c r="KC85" i="1" s="1"/>
  <c r="KC86" i="1" s="1"/>
  <c r="KC87" i="1" s="1"/>
  <c r="KC88" i="1" s="1"/>
  <c r="KC89" i="1" s="1"/>
  <c r="KC90" i="1" s="1"/>
  <c r="KC91" i="1" s="1"/>
  <c r="KC92" i="1" s="1"/>
  <c r="KH93" i="1"/>
  <c r="KG26" i="1"/>
  <c r="KG27" i="1" s="1"/>
  <c r="KG28" i="1" s="1"/>
  <c r="KG29" i="1" s="1"/>
  <c r="KG30" i="1" s="1"/>
  <c r="KG31" i="1" s="1"/>
  <c r="KG32" i="1" s="1"/>
  <c r="KG33" i="1" s="1"/>
  <c r="KG34" i="1" s="1"/>
  <c r="KG36" i="1" s="1"/>
  <c r="KG37" i="1" s="1"/>
  <c r="KG38" i="1" s="1"/>
  <c r="KG39" i="1" s="1"/>
  <c r="KG40" i="1" s="1"/>
  <c r="KG41" i="1" s="1"/>
  <c r="KG42" i="1" s="1"/>
  <c r="KG43" i="1" s="1"/>
  <c r="KG44" i="1" s="1"/>
  <c r="KJ45" i="1"/>
  <c r="KF83" i="1"/>
  <c r="KN93" i="1"/>
  <c r="JW92" i="1"/>
  <c r="JU93" i="1"/>
  <c r="JW84" i="1"/>
  <c r="KD69" i="1"/>
  <c r="KS69" i="1"/>
  <c r="JU83" i="1"/>
  <c r="KN83" i="1"/>
  <c r="KB59" i="1"/>
  <c r="KB93" i="1"/>
  <c r="KG50" i="1"/>
  <c r="KG51" i="1" s="1"/>
  <c r="KG52" i="1" s="1"/>
  <c r="KG53" i="1" s="1"/>
  <c r="KG54" i="1" s="1"/>
  <c r="KG55" i="1" s="1"/>
  <c r="KG56" i="1" s="1"/>
  <c r="KG57" i="1" s="1"/>
  <c r="KG58" i="1" s="1"/>
  <c r="KG60" i="1" s="1"/>
  <c r="KG61" i="1" s="1"/>
  <c r="KG62" i="1" s="1"/>
  <c r="KG63" i="1" s="1"/>
  <c r="KG64" i="1" s="1"/>
  <c r="KG65" i="1" s="1"/>
  <c r="KG66" i="1" s="1"/>
  <c r="KG67" i="1" s="1"/>
  <c r="KG68" i="1" s="1"/>
  <c r="KE74" i="1"/>
  <c r="KE75" i="1" s="1"/>
  <c r="KE76" i="1" s="1"/>
  <c r="KE77" i="1" s="1"/>
  <c r="KE78" i="1" s="1"/>
  <c r="KE79" i="1" s="1"/>
  <c r="KE80" i="1" s="1"/>
  <c r="KE81" i="1" s="1"/>
  <c r="KE82" i="1" s="1"/>
  <c r="KE84" i="1" s="1"/>
  <c r="KE85" i="1" s="1"/>
  <c r="KE86" i="1" s="1"/>
  <c r="KE87" i="1" s="1"/>
  <c r="KE88" i="1" s="1"/>
  <c r="KE89" i="1" s="1"/>
  <c r="KE90" i="1" s="1"/>
  <c r="KE91" i="1" s="1"/>
  <c r="KE92" i="1" s="1"/>
  <c r="JZ83" i="1"/>
  <c r="KJ69" i="1"/>
  <c r="JU69" i="1"/>
  <c r="KN69" i="1"/>
  <c r="KG74" i="1"/>
  <c r="KG75" i="1" s="1"/>
  <c r="KG76" i="1" s="1"/>
  <c r="KG77" i="1" s="1"/>
  <c r="KG78" i="1" s="1"/>
  <c r="KG79" i="1" s="1"/>
  <c r="KG80" i="1" s="1"/>
  <c r="KG81" i="1" s="1"/>
  <c r="KG82" i="1" s="1"/>
  <c r="KG84" i="1" s="1"/>
  <c r="KG85" i="1" s="1"/>
  <c r="KG86" i="1" s="1"/>
  <c r="KG87" i="1" s="1"/>
  <c r="KG88" i="1" s="1"/>
  <c r="KG89" i="1" s="1"/>
  <c r="KG90" i="1" s="1"/>
  <c r="KG91" i="1" s="1"/>
  <c r="KG92" i="1" s="1"/>
  <c r="KJ59" i="1"/>
  <c r="KJ93" i="1"/>
  <c r="KI74" i="1"/>
  <c r="KI75" i="1" s="1"/>
  <c r="KI76" i="1" s="1"/>
  <c r="KI77" i="1" s="1"/>
  <c r="KI78" i="1" s="1"/>
  <c r="KI79" i="1" s="1"/>
  <c r="KI80" i="1" s="1"/>
  <c r="KI81" i="1" s="1"/>
  <c r="KI82" i="1" s="1"/>
  <c r="KI84" i="1" s="1"/>
  <c r="KI85" i="1" s="1"/>
  <c r="KI86" i="1" s="1"/>
  <c r="KI87" i="1" s="1"/>
  <c r="KI88" i="1" s="1"/>
  <c r="KI89" i="1" s="1"/>
  <c r="KI90" i="1" s="1"/>
  <c r="KI91" i="1" s="1"/>
  <c r="KI92" i="1" s="1"/>
  <c r="IS22" i="1"/>
  <c r="IQ35" i="1"/>
  <c r="IR3" i="1"/>
  <c r="IR4" i="1" s="1"/>
  <c r="IR5" i="1" s="1"/>
  <c r="IR6" i="1" s="1"/>
  <c r="IR7" i="1" s="1"/>
  <c r="IR8" i="1" s="1"/>
  <c r="IR9" i="1" s="1"/>
  <c r="IR10" i="1" s="1"/>
  <c r="IR11" i="1" s="1"/>
  <c r="IR13" i="1" s="1"/>
  <c r="IR14" i="1" s="1"/>
  <c r="IR15" i="1" s="1"/>
  <c r="IR16" i="1" s="1"/>
  <c r="IR17" i="1" s="1"/>
  <c r="IR18" i="1" s="1"/>
  <c r="IR19" i="1" s="1"/>
  <c r="IR20" i="1" s="1"/>
  <c r="IR21" i="1" s="1"/>
  <c r="IR26" i="1" s="1"/>
  <c r="IR27" i="1" s="1"/>
  <c r="IR28" i="1" s="1"/>
  <c r="IR29" i="1" s="1"/>
  <c r="IR30" i="1" s="1"/>
  <c r="IR31" i="1" s="1"/>
  <c r="IR32" i="1" s="1"/>
  <c r="IR33" i="1" s="1"/>
  <c r="IR34" i="1" s="1"/>
  <c r="IR36" i="1" s="1"/>
  <c r="IR37" i="1" s="1"/>
  <c r="IR38" i="1" s="1"/>
  <c r="IR39" i="1" s="1"/>
  <c r="IR40" i="1" s="1"/>
  <c r="IR41" i="1" s="1"/>
  <c r="IR42" i="1" s="1"/>
  <c r="IR43" i="1" s="1"/>
  <c r="IR44" i="1" s="1"/>
  <c r="IR50" i="1" s="1"/>
  <c r="IR51" i="1" s="1"/>
  <c r="JA3" i="1"/>
  <c r="JA4" i="1" s="1"/>
  <c r="JA5" i="1" s="1"/>
  <c r="JA6" i="1" s="1"/>
  <c r="JA7" i="1" s="1"/>
  <c r="JA8" i="1" s="1"/>
  <c r="JA9" i="1" s="1"/>
  <c r="JA10" i="1" s="1"/>
  <c r="JA11" i="1" s="1"/>
  <c r="JA13" i="1" s="1"/>
  <c r="JA14" i="1" s="1"/>
  <c r="JA15" i="1" s="1"/>
  <c r="JA16" i="1" s="1"/>
  <c r="JA17" i="1" s="1"/>
  <c r="JA18" i="1" s="1"/>
  <c r="JA19" i="1" s="1"/>
  <c r="JA20" i="1" s="1"/>
  <c r="JA21" i="1" s="1"/>
  <c r="JK3" i="1"/>
  <c r="JK4" i="1" s="1"/>
  <c r="JK5" i="1" s="1"/>
  <c r="JK6" i="1" s="1"/>
  <c r="JK7" i="1" s="1"/>
  <c r="JK8" i="1" s="1"/>
  <c r="JK9" i="1" s="1"/>
  <c r="JK10" i="1" s="1"/>
  <c r="JK11" i="1" s="1"/>
  <c r="JK13" i="1" s="1"/>
  <c r="JK14" i="1" s="1"/>
  <c r="JK15" i="1" s="1"/>
  <c r="JK16" i="1" s="1"/>
  <c r="JK17" i="1" s="1"/>
  <c r="JK18" i="1" s="1"/>
  <c r="JK19" i="1" s="1"/>
  <c r="JK20" i="1" s="1"/>
  <c r="JK21" i="1" s="1"/>
  <c r="JK26" i="1" s="1"/>
  <c r="JK27" i="1" s="1"/>
  <c r="JK28" i="1" s="1"/>
  <c r="JK29" i="1" s="1"/>
  <c r="JK30" i="1" s="1"/>
  <c r="JK31" i="1" s="1"/>
  <c r="JK32" i="1" s="1"/>
  <c r="JK33" i="1" s="1"/>
  <c r="JK34" i="1" s="1"/>
  <c r="JK36" i="1" s="1"/>
  <c r="JK37" i="1" s="1"/>
  <c r="JK38" i="1" s="1"/>
  <c r="JK39" i="1" s="1"/>
  <c r="JK40" i="1" s="1"/>
  <c r="JK41" i="1" s="1"/>
  <c r="JK42" i="1" s="1"/>
  <c r="JK43" i="1" s="1"/>
  <c r="JK44" i="1" s="1"/>
  <c r="JK50" i="1" s="1"/>
  <c r="JK51" i="1" s="1"/>
  <c r="IQ22" i="1"/>
  <c r="IS26" i="1"/>
  <c r="JD35" i="1"/>
  <c r="JE26" i="1"/>
  <c r="JE27" i="1" s="1"/>
  <c r="JE28" i="1" s="1"/>
  <c r="JE29" i="1" s="1"/>
  <c r="JE30" i="1" s="1"/>
  <c r="JE31" i="1" s="1"/>
  <c r="JE32" i="1" s="1"/>
  <c r="JE33" i="1" s="1"/>
  <c r="JE34" i="1" s="1"/>
  <c r="JE36" i="1" s="1"/>
  <c r="JE37" i="1" s="1"/>
  <c r="JE38" i="1" s="1"/>
  <c r="JE39" i="1" s="1"/>
  <c r="JE40" i="1" s="1"/>
  <c r="JE41" i="1" s="1"/>
  <c r="JE42" i="1" s="1"/>
  <c r="JE43" i="1" s="1"/>
  <c r="JE44" i="1" s="1"/>
  <c r="IZ45" i="1"/>
  <c r="JO45" i="1"/>
  <c r="JJ45" i="1"/>
  <c r="JC3" i="1"/>
  <c r="JC4" i="1" s="1"/>
  <c r="JC5" i="1" s="1"/>
  <c r="JC6" i="1" s="1"/>
  <c r="JC7" i="1" s="1"/>
  <c r="JC8" i="1" s="1"/>
  <c r="JC9" i="1" s="1"/>
  <c r="JC10" i="1" s="1"/>
  <c r="JC11" i="1" s="1"/>
  <c r="JC13" i="1" s="1"/>
  <c r="JC14" i="1" s="1"/>
  <c r="JC15" i="1" s="1"/>
  <c r="JC16" i="1" s="1"/>
  <c r="JC17" i="1" s="1"/>
  <c r="JC18" i="1" s="1"/>
  <c r="JC19" i="1" s="1"/>
  <c r="JC20" i="1" s="1"/>
  <c r="JC21" i="1" s="1"/>
  <c r="JO12" i="1"/>
  <c r="IW26" i="1"/>
  <c r="IW27" i="1" s="1"/>
  <c r="IW28" i="1" s="1"/>
  <c r="IW29" i="1" s="1"/>
  <c r="IW30" i="1" s="1"/>
  <c r="IW31" i="1" s="1"/>
  <c r="IW32" i="1" s="1"/>
  <c r="IW33" i="1" s="1"/>
  <c r="IW34" i="1" s="1"/>
  <c r="IW36" i="1" s="1"/>
  <c r="IW37" i="1" s="1"/>
  <c r="IW38" i="1" s="1"/>
  <c r="IW39" i="1" s="1"/>
  <c r="IW40" i="1" s="1"/>
  <c r="IW41" i="1" s="1"/>
  <c r="IW42" i="1" s="1"/>
  <c r="IW43" i="1" s="1"/>
  <c r="IW44" i="1" s="1"/>
  <c r="IV35" i="1"/>
  <c r="JB45" i="1"/>
  <c r="IS34" i="1"/>
  <c r="IX22" i="1"/>
  <c r="JF22" i="1"/>
  <c r="IZ22" i="1"/>
  <c r="IX35" i="1"/>
  <c r="IQ45" i="1"/>
  <c r="IS3" i="1"/>
  <c r="JM35" i="1"/>
  <c r="IZ93" i="1"/>
  <c r="JB69" i="1"/>
  <c r="JF12" i="1"/>
  <c r="IZ35" i="1"/>
  <c r="JA26" i="1"/>
  <c r="JA27" i="1" s="1"/>
  <c r="JA28" i="1" s="1"/>
  <c r="JA29" i="1" s="1"/>
  <c r="JA30" i="1" s="1"/>
  <c r="JA31" i="1" s="1"/>
  <c r="JA32" i="1" s="1"/>
  <c r="JA33" i="1" s="1"/>
  <c r="JA34" i="1" s="1"/>
  <c r="JA36" i="1" s="1"/>
  <c r="JA37" i="1" s="1"/>
  <c r="JA38" i="1" s="1"/>
  <c r="JA39" i="1" s="1"/>
  <c r="JA40" i="1" s="1"/>
  <c r="JA41" i="1" s="1"/>
  <c r="JA42" i="1" s="1"/>
  <c r="JA43" i="1" s="1"/>
  <c r="JA44" i="1" s="1"/>
  <c r="IS42" i="1"/>
  <c r="IS45" i="1" s="1"/>
  <c r="IS50" i="1"/>
  <c r="IX83" i="1"/>
  <c r="IY74" i="1"/>
  <c r="IY75" i="1" s="1"/>
  <c r="IY76" i="1" s="1"/>
  <c r="IY77" i="1" s="1"/>
  <c r="IY78" i="1" s="1"/>
  <c r="IY79" i="1" s="1"/>
  <c r="IY80" i="1" s="1"/>
  <c r="IY81" i="1" s="1"/>
  <c r="IY82" i="1" s="1"/>
  <c r="IY84" i="1" s="1"/>
  <c r="IY85" i="1" s="1"/>
  <c r="IY86" i="1" s="1"/>
  <c r="IY87" i="1" s="1"/>
  <c r="IY88" i="1" s="1"/>
  <c r="IY89" i="1" s="1"/>
  <c r="IY90" i="1" s="1"/>
  <c r="IY91" i="1" s="1"/>
  <c r="IY92" i="1" s="1"/>
  <c r="IV45" i="1"/>
  <c r="JD45" i="1"/>
  <c r="IW50" i="1"/>
  <c r="IW51" i="1" s="1"/>
  <c r="IW52" i="1" s="1"/>
  <c r="IW53" i="1" s="1"/>
  <c r="IW54" i="1" s="1"/>
  <c r="IW55" i="1" s="1"/>
  <c r="IW56" i="1" s="1"/>
  <c r="IW57" i="1" s="1"/>
  <c r="IW58" i="1" s="1"/>
  <c r="IW60" i="1" s="1"/>
  <c r="IW61" i="1" s="1"/>
  <c r="IW62" i="1" s="1"/>
  <c r="IW63" i="1" s="1"/>
  <c r="IW64" i="1" s="1"/>
  <c r="IW65" i="1" s="1"/>
  <c r="IW66" i="1" s="1"/>
  <c r="IW67" i="1" s="1"/>
  <c r="IW68" i="1" s="1"/>
  <c r="IV59" i="1"/>
  <c r="JM59" i="1"/>
  <c r="JJ93" i="1"/>
  <c r="IS92" i="1"/>
  <c r="IX45" i="1"/>
  <c r="IY50" i="1"/>
  <c r="IY51" i="1" s="1"/>
  <c r="IY52" i="1" s="1"/>
  <c r="IY53" i="1" s="1"/>
  <c r="IY54" i="1" s="1"/>
  <c r="IY55" i="1" s="1"/>
  <c r="IY56" i="1" s="1"/>
  <c r="IY57" i="1" s="1"/>
  <c r="IY58" i="1" s="1"/>
  <c r="IY60" i="1" s="1"/>
  <c r="IY61" i="1" s="1"/>
  <c r="IY62" i="1" s="1"/>
  <c r="IY63" i="1" s="1"/>
  <c r="IY64" i="1" s="1"/>
  <c r="IY65" i="1" s="1"/>
  <c r="IY66" i="1" s="1"/>
  <c r="IY67" i="1" s="1"/>
  <c r="IY68" i="1" s="1"/>
  <c r="IX59" i="1"/>
  <c r="IQ93" i="1"/>
  <c r="IS84" i="1"/>
  <c r="IZ59" i="1"/>
  <c r="JA50" i="1"/>
  <c r="JA51" i="1" s="1"/>
  <c r="JA52" i="1" s="1"/>
  <c r="JA53" i="1" s="1"/>
  <c r="JA54" i="1" s="1"/>
  <c r="JA55" i="1" s="1"/>
  <c r="JA56" i="1" s="1"/>
  <c r="JA57" i="1" s="1"/>
  <c r="JA58" i="1" s="1"/>
  <c r="JA60" i="1" s="1"/>
  <c r="JA61" i="1" s="1"/>
  <c r="JA62" i="1" s="1"/>
  <c r="JA63" i="1" s="1"/>
  <c r="JA64" i="1" s="1"/>
  <c r="JA65" i="1" s="1"/>
  <c r="JA66" i="1" s="1"/>
  <c r="JA67" i="1" s="1"/>
  <c r="JA68" i="1" s="1"/>
  <c r="JO93" i="1"/>
  <c r="JB59" i="1"/>
  <c r="IS76" i="1"/>
  <c r="IZ69" i="1"/>
  <c r="IQ83" i="1"/>
  <c r="JJ83" i="1"/>
  <c r="IV93" i="1"/>
  <c r="IX93" i="1"/>
  <c r="JA74" i="1"/>
  <c r="JA75" i="1" s="1"/>
  <c r="JA76" i="1" s="1"/>
  <c r="JA77" i="1" s="1"/>
  <c r="JA78" i="1" s="1"/>
  <c r="JA79" i="1" s="1"/>
  <c r="JA80" i="1" s="1"/>
  <c r="JA81" i="1" s="1"/>
  <c r="JA82" i="1" s="1"/>
  <c r="JA84" i="1" s="1"/>
  <c r="JA85" i="1" s="1"/>
  <c r="JA86" i="1" s="1"/>
  <c r="JA87" i="1" s="1"/>
  <c r="JA88" i="1" s="1"/>
  <c r="JA89" i="1" s="1"/>
  <c r="JA90" i="1" s="1"/>
  <c r="JA91" i="1" s="1"/>
  <c r="JA92" i="1" s="1"/>
  <c r="IV83" i="1"/>
  <c r="JE50" i="1"/>
  <c r="JE51" i="1" s="1"/>
  <c r="JE52" i="1" s="1"/>
  <c r="JC74" i="1"/>
  <c r="JC75" i="1" s="1"/>
  <c r="JC76" i="1" s="1"/>
  <c r="JC77" i="1" s="1"/>
  <c r="JC78" i="1" s="1"/>
  <c r="JC79" i="1" s="1"/>
  <c r="JC80" i="1" s="1"/>
  <c r="JC81" i="1" s="1"/>
  <c r="JC82" i="1" s="1"/>
  <c r="JC84" i="1" s="1"/>
  <c r="JC85" i="1" s="1"/>
  <c r="JC86" i="1" s="1"/>
  <c r="JC87" i="1" s="1"/>
  <c r="JC88" i="1" s="1"/>
  <c r="JC89" i="1" s="1"/>
  <c r="JC90" i="1" s="1"/>
  <c r="JC91" i="1" s="1"/>
  <c r="JC92" i="1" s="1"/>
  <c r="JF93" i="1"/>
  <c r="JE74" i="1"/>
  <c r="JE75" i="1" s="1"/>
  <c r="JE76" i="1" s="1"/>
  <c r="JE77" i="1" s="1"/>
  <c r="JE78" i="1" s="1"/>
  <c r="JE79" i="1" s="1"/>
  <c r="JE80" i="1" s="1"/>
  <c r="JE81" i="1" s="1"/>
  <c r="JE82" i="1" s="1"/>
  <c r="JE84" i="1" s="1"/>
  <c r="JE85" i="1" s="1"/>
  <c r="JE86" i="1" s="1"/>
  <c r="JE87" i="1" s="1"/>
  <c r="JE88" i="1" s="1"/>
  <c r="JE89" i="1" s="1"/>
  <c r="JE90" i="1" s="1"/>
  <c r="JE91" i="1" s="1"/>
  <c r="JE92" i="1" s="1"/>
  <c r="HV12" i="1"/>
  <c r="HX12" i="1"/>
  <c r="HY4" i="1"/>
  <c r="HY5" i="1" s="1"/>
  <c r="HY6" i="1" s="1"/>
  <c r="HY7" i="1" s="1"/>
  <c r="HY8" i="1" s="1"/>
  <c r="HY9" i="1" s="1"/>
  <c r="HY10" i="1" s="1"/>
  <c r="HY11" i="1" s="1"/>
  <c r="HY13" i="1" s="1"/>
  <c r="HY14" i="1" s="1"/>
  <c r="HY15" i="1" s="1"/>
  <c r="HY16" i="1" s="1"/>
  <c r="HY17" i="1" s="1"/>
  <c r="HY18" i="1" s="1"/>
  <c r="HY19" i="1" s="1"/>
  <c r="HY20" i="1" s="1"/>
  <c r="HY21" i="1" s="1"/>
  <c r="HI23" i="1"/>
  <c r="IK12" i="1"/>
  <c r="HO20" i="1"/>
  <c r="IF35" i="1"/>
  <c r="HM12" i="1"/>
  <c r="HR22" i="1"/>
  <c r="IF22" i="1"/>
  <c r="HT35" i="1"/>
  <c r="HO37" i="1"/>
  <c r="HP3" i="1"/>
  <c r="IG4" i="1"/>
  <c r="IG5" i="1" s="1"/>
  <c r="IG6" i="1" s="1"/>
  <c r="IG7" i="1" s="1"/>
  <c r="IG8" i="1" s="1"/>
  <c r="IG9" i="1" s="1"/>
  <c r="IG10" i="1" s="1"/>
  <c r="IG11" i="1" s="1"/>
  <c r="IG13" i="1" s="1"/>
  <c r="IG14" i="1" s="1"/>
  <c r="IG15" i="1" s="1"/>
  <c r="IG16" i="1" s="1"/>
  <c r="IG17" i="1" s="1"/>
  <c r="IG18" i="1" s="1"/>
  <c r="IG19" i="1" s="1"/>
  <c r="IG20" i="1" s="1"/>
  <c r="IG21" i="1" s="1"/>
  <c r="IG26" i="1" s="1"/>
  <c r="IG27" i="1" s="1"/>
  <c r="IG28" i="1" s="1"/>
  <c r="IG29" i="1" s="1"/>
  <c r="IG30" i="1" s="1"/>
  <c r="IG31" i="1" s="1"/>
  <c r="IG32" i="1" s="1"/>
  <c r="IG33" i="1" s="1"/>
  <c r="IG34" i="1" s="1"/>
  <c r="IG36" i="1" s="1"/>
  <c r="IG37" i="1" s="1"/>
  <c r="IG38" i="1" s="1"/>
  <c r="IG39" i="1" s="1"/>
  <c r="IG40" i="1" s="1"/>
  <c r="IG41" i="1" s="1"/>
  <c r="IG42" i="1" s="1"/>
  <c r="IG43" i="1" s="1"/>
  <c r="IG44" i="1" s="1"/>
  <c r="IG50" i="1" s="1"/>
  <c r="IG51" i="1" s="1"/>
  <c r="IG52" i="1" s="1"/>
  <c r="IG53" i="1" s="1"/>
  <c r="IG54" i="1" s="1"/>
  <c r="IG55" i="1" s="1"/>
  <c r="IG56" i="1" s="1"/>
  <c r="IG57" i="1" s="1"/>
  <c r="IG58" i="1" s="1"/>
  <c r="IG60" i="1" s="1"/>
  <c r="IG61" i="1" s="1"/>
  <c r="IG62" i="1" s="1"/>
  <c r="IG63" i="1" s="1"/>
  <c r="IG64" i="1" s="1"/>
  <c r="IG65" i="1" s="1"/>
  <c r="IG66" i="1" s="1"/>
  <c r="IG67" i="1" s="1"/>
  <c r="IG68" i="1" s="1"/>
  <c r="IG74" i="1" s="1"/>
  <c r="IG75" i="1" s="1"/>
  <c r="IG76" i="1" s="1"/>
  <c r="IG77" i="1" s="1"/>
  <c r="IG78" i="1" s="1"/>
  <c r="IG79" i="1" s="1"/>
  <c r="IG80" i="1" s="1"/>
  <c r="IG81" i="1" s="1"/>
  <c r="IG82" i="1" s="1"/>
  <c r="IG84" i="1" s="1"/>
  <c r="IG85" i="1" s="1"/>
  <c r="IG86" i="1" s="1"/>
  <c r="IG87" i="1" s="1"/>
  <c r="IG88" i="1" s="1"/>
  <c r="IG89" i="1" s="1"/>
  <c r="IG90" i="1" s="1"/>
  <c r="IG91" i="1" s="1"/>
  <c r="IG92" i="1" s="1"/>
  <c r="HR12" i="1"/>
  <c r="IB12" i="1"/>
  <c r="HO4" i="1"/>
  <c r="IF12" i="1"/>
  <c r="HZ22" i="1"/>
  <c r="HW26" i="1"/>
  <c r="HW27" i="1" s="1"/>
  <c r="HW28" i="1" s="1"/>
  <c r="HW29" i="1" s="1"/>
  <c r="HW30" i="1" s="1"/>
  <c r="HW31" i="1" s="1"/>
  <c r="HW32" i="1" s="1"/>
  <c r="HW33" i="1" s="1"/>
  <c r="HW34" i="1" s="1"/>
  <c r="HW36" i="1" s="1"/>
  <c r="HW37" i="1" s="1"/>
  <c r="HW38" i="1" s="1"/>
  <c r="HW39" i="1" s="1"/>
  <c r="HW40" i="1" s="1"/>
  <c r="HW41" i="1" s="1"/>
  <c r="HW42" i="1" s="1"/>
  <c r="HW43" i="1" s="1"/>
  <c r="HW44" i="1" s="1"/>
  <c r="HV35" i="1"/>
  <c r="IK22" i="1"/>
  <c r="HT12" i="1"/>
  <c r="HO10" i="1"/>
  <c r="HM22" i="1"/>
  <c r="HO18" i="1"/>
  <c r="HZ35" i="1"/>
  <c r="IB45" i="1"/>
  <c r="HO38" i="1"/>
  <c r="HV83" i="1"/>
  <c r="HW74" i="1"/>
  <c r="HW75" i="1" s="1"/>
  <c r="HW76" i="1" s="1"/>
  <c r="HW77" i="1" s="1"/>
  <c r="HW78" i="1" s="1"/>
  <c r="HW79" i="1" s="1"/>
  <c r="HW80" i="1" s="1"/>
  <c r="HW81" i="1" s="1"/>
  <c r="HW82" i="1" s="1"/>
  <c r="HW84" i="1" s="1"/>
  <c r="HW85" i="1" s="1"/>
  <c r="HW86" i="1" s="1"/>
  <c r="HW87" i="1" s="1"/>
  <c r="HW88" i="1" s="1"/>
  <c r="HW89" i="1" s="1"/>
  <c r="HW90" i="1" s="1"/>
  <c r="HW91" i="1" s="1"/>
  <c r="HW92" i="1" s="1"/>
  <c r="IB83" i="1"/>
  <c r="HU27" i="1"/>
  <c r="HU28" i="1" s="1"/>
  <c r="HU29" i="1" s="1"/>
  <c r="HU30" i="1" s="1"/>
  <c r="HU31" i="1" s="1"/>
  <c r="HU32" i="1" s="1"/>
  <c r="HU33" i="1" s="1"/>
  <c r="HU34" i="1" s="1"/>
  <c r="HU36" i="1" s="1"/>
  <c r="HU37" i="1" s="1"/>
  <c r="HU38" i="1" s="1"/>
  <c r="HU39" i="1" s="1"/>
  <c r="HU40" i="1" s="1"/>
  <c r="HU41" i="1" s="1"/>
  <c r="HU42" i="1" s="1"/>
  <c r="HU43" i="1" s="1"/>
  <c r="HU44" i="1" s="1"/>
  <c r="HV59" i="1"/>
  <c r="HW50" i="1"/>
  <c r="HW51" i="1" s="1"/>
  <c r="HW52" i="1" s="1"/>
  <c r="HW53" i="1" s="1"/>
  <c r="HW54" i="1" s="1"/>
  <c r="HW55" i="1" s="1"/>
  <c r="HW56" i="1" s="1"/>
  <c r="HW57" i="1" s="1"/>
  <c r="HW58" i="1" s="1"/>
  <c r="HW60" i="1" s="1"/>
  <c r="HW61" i="1" s="1"/>
  <c r="HW62" i="1" s="1"/>
  <c r="HW63" i="1" s="1"/>
  <c r="HW64" i="1" s="1"/>
  <c r="HW65" i="1" s="1"/>
  <c r="HW66" i="1" s="1"/>
  <c r="HW67" i="1" s="1"/>
  <c r="HW68" i="1" s="1"/>
  <c r="HO26" i="1"/>
  <c r="HT69" i="1"/>
  <c r="HO76" i="1"/>
  <c r="HO82" i="1"/>
  <c r="IB22" i="1"/>
  <c r="IJ35" i="1"/>
  <c r="HX35" i="1"/>
  <c r="HX69" i="1"/>
  <c r="IA3" i="1"/>
  <c r="IA4" i="1" s="1"/>
  <c r="IA5" i="1" s="1"/>
  <c r="IA6" i="1" s="1"/>
  <c r="IA7" i="1" s="1"/>
  <c r="IA8" i="1" s="1"/>
  <c r="IA9" i="1" s="1"/>
  <c r="IA10" i="1" s="1"/>
  <c r="IA11" i="1" s="1"/>
  <c r="IA13" i="1" s="1"/>
  <c r="IA14" i="1" s="1"/>
  <c r="IA15" i="1" s="1"/>
  <c r="IA16" i="1" s="1"/>
  <c r="IA17" i="1" s="1"/>
  <c r="IA18" i="1" s="1"/>
  <c r="IA19" i="1" s="1"/>
  <c r="IA20" i="1" s="1"/>
  <c r="IA21" i="1" s="1"/>
  <c r="HR35" i="1"/>
  <c r="IA26" i="1"/>
  <c r="IA27" i="1" s="1"/>
  <c r="IA28" i="1" s="1"/>
  <c r="IA29" i="1" s="1"/>
  <c r="IA30" i="1" s="1"/>
  <c r="IA31" i="1" s="1"/>
  <c r="IA32" i="1" s="1"/>
  <c r="IA33" i="1" s="1"/>
  <c r="IA34" i="1" s="1"/>
  <c r="IA36" i="1" s="1"/>
  <c r="IA37" i="1" s="1"/>
  <c r="IA38" i="1" s="1"/>
  <c r="IA39" i="1" s="1"/>
  <c r="IA40" i="1" s="1"/>
  <c r="IA41" i="1" s="1"/>
  <c r="IA42" i="1" s="1"/>
  <c r="IA43" i="1" s="1"/>
  <c r="IA44" i="1" s="1"/>
  <c r="IF83" i="1"/>
  <c r="HV22" i="1"/>
  <c r="IB35" i="1"/>
  <c r="HO34" i="1"/>
  <c r="HM59" i="1"/>
  <c r="IF59" i="1"/>
  <c r="HX93" i="1"/>
  <c r="HO56" i="1"/>
  <c r="HO59" i="1" s="1"/>
  <c r="HO42" i="1"/>
  <c r="HK46" i="1"/>
  <c r="HM45" i="1"/>
  <c r="HV45" i="1"/>
  <c r="IF45" i="1"/>
  <c r="HS50" i="1"/>
  <c r="HS51" i="1" s="1"/>
  <c r="HS52" i="1" s="1"/>
  <c r="HS53" i="1" s="1"/>
  <c r="HS54" i="1" s="1"/>
  <c r="HS55" i="1" s="1"/>
  <c r="HS56" i="1" s="1"/>
  <c r="HS57" i="1" s="1"/>
  <c r="HS58" i="1" s="1"/>
  <c r="HS60" i="1" s="1"/>
  <c r="HS61" i="1" s="1"/>
  <c r="HS62" i="1" s="1"/>
  <c r="HS63" i="1" s="1"/>
  <c r="HS64" i="1" s="1"/>
  <c r="HS65" i="1" s="1"/>
  <c r="HS66" i="1" s="1"/>
  <c r="HS67" i="1" s="1"/>
  <c r="HS68" i="1" s="1"/>
  <c r="HR59" i="1"/>
  <c r="HZ69" i="1"/>
  <c r="HO64" i="1"/>
  <c r="HO69" i="1" s="1"/>
  <c r="HT83" i="1"/>
  <c r="HU74" i="1"/>
  <c r="HU75" i="1" s="1"/>
  <c r="HU76" i="1" s="1"/>
  <c r="HU77" i="1" s="1"/>
  <c r="HU78" i="1" s="1"/>
  <c r="HU79" i="1" s="1"/>
  <c r="HU80" i="1" s="1"/>
  <c r="HU81" i="1" s="1"/>
  <c r="HU82" i="1" s="1"/>
  <c r="HU84" i="1" s="1"/>
  <c r="HU85" i="1" s="1"/>
  <c r="HU86" i="1" s="1"/>
  <c r="HU87" i="1" s="1"/>
  <c r="HU88" i="1" s="1"/>
  <c r="HU89" i="1" s="1"/>
  <c r="HU90" i="1" s="1"/>
  <c r="HU91" i="1" s="1"/>
  <c r="HU92" i="1" s="1"/>
  <c r="HM93" i="1"/>
  <c r="IF93" i="1"/>
  <c r="HO90" i="1"/>
  <c r="HO93" i="1" s="1"/>
  <c r="IK45" i="1"/>
  <c r="HX59" i="1"/>
  <c r="HY50" i="1"/>
  <c r="HY51" i="1" s="1"/>
  <c r="HY52" i="1" s="1"/>
  <c r="HY53" i="1" s="1"/>
  <c r="HY54" i="1" s="1"/>
  <c r="HY55" i="1" s="1"/>
  <c r="HY56" i="1" s="1"/>
  <c r="HY57" i="1" s="1"/>
  <c r="HY58" i="1" s="1"/>
  <c r="HY60" i="1" s="1"/>
  <c r="HY61" i="1" s="1"/>
  <c r="HY62" i="1" s="1"/>
  <c r="HY63" i="1" s="1"/>
  <c r="HY64" i="1" s="1"/>
  <c r="HY65" i="1" s="1"/>
  <c r="HY66" i="1" s="1"/>
  <c r="HY67" i="1" s="1"/>
  <c r="HY68" i="1" s="1"/>
  <c r="HZ83" i="1"/>
  <c r="HZ45" i="1"/>
  <c r="HZ59" i="1"/>
  <c r="HR69" i="1"/>
  <c r="HV93" i="1"/>
  <c r="HO74" i="1"/>
  <c r="HM83" i="1"/>
  <c r="HZ93" i="1"/>
  <c r="HV69" i="1"/>
  <c r="HR93" i="1"/>
  <c r="HR83" i="1"/>
  <c r="IB69" i="1"/>
  <c r="IA50" i="1"/>
  <c r="IA51" i="1" s="1"/>
  <c r="IA52" i="1" s="1"/>
  <c r="IA53" i="1" s="1"/>
  <c r="IA54" i="1" s="1"/>
  <c r="IA55" i="1" s="1"/>
  <c r="IA56" i="1" s="1"/>
  <c r="IA57" i="1" s="1"/>
  <c r="IA58" i="1" s="1"/>
  <c r="IA60" i="1" s="1"/>
  <c r="IA61" i="1" s="1"/>
  <c r="IA62" i="1" s="1"/>
  <c r="IA63" i="1" s="1"/>
  <c r="IA64" i="1" s="1"/>
  <c r="IA65" i="1" s="1"/>
  <c r="IA66" i="1" s="1"/>
  <c r="IA67" i="1" s="1"/>
  <c r="IA68" i="1" s="1"/>
  <c r="HM69" i="1"/>
  <c r="IF69" i="1"/>
  <c r="HY74" i="1"/>
  <c r="HY75" i="1" s="1"/>
  <c r="HY76" i="1" s="1"/>
  <c r="HY77" i="1" s="1"/>
  <c r="HY78" i="1" s="1"/>
  <c r="HY79" i="1" s="1"/>
  <c r="HY80" i="1" s="1"/>
  <c r="HY81" i="1" s="1"/>
  <c r="HY82" i="1" s="1"/>
  <c r="HY84" i="1" s="1"/>
  <c r="HY85" i="1" s="1"/>
  <c r="HY86" i="1" s="1"/>
  <c r="HY87" i="1" s="1"/>
  <c r="HY88" i="1" s="1"/>
  <c r="HY89" i="1" s="1"/>
  <c r="HY90" i="1" s="1"/>
  <c r="HY91" i="1" s="1"/>
  <c r="HY92" i="1" s="1"/>
  <c r="IB59" i="1"/>
  <c r="IB93" i="1"/>
  <c r="IA74" i="1"/>
  <c r="IA75" i="1" s="1"/>
  <c r="IA76" i="1" s="1"/>
  <c r="IA77" i="1" s="1"/>
  <c r="IA78" i="1" s="1"/>
  <c r="IA79" i="1" s="1"/>
  <c r="IA80" i="1" s="1"/>
  <c r="IA81" i="1" s="1"/>
  <c r="IA82" i="1" s="1"/>
  <c r="IA84" i="1" s="1"/>
  <c r="IA85" i="1" s="1"/>
  <c r="IA86" i="1" s="1"/>
  <c r="IA87" i="1" s="1"/>
  <c r="IA88" i="1" s="1"/>
  <c r="IA89" i="1" s="1"/>
  <c r="IA90" i="1" s="1"/>
  <c r="IA91" i="1" s="1"/>
  <c r="IA92" i="1" s="1"/>
  <c r="GT12" i="1"/>
  <c r="GK58" i="1"/>
  <c r="GI59" i="1"/>
  <c r="GU3" i="1"/>
  <c r="GU4" i="1" s="1"/>
  <c r="GU5" i="1" s="1"/>
  <c r="GU6" i="1" s="1"/>
  <c r="GU7" i="1" s="1"/>
  <c r="GU8" i="1" s="1"/>
  <c r="GU9" i="1" s="1"/>
  <c r="GU10" i="1" s="1"/>
  <c r="GU11" i="1" s="1"/>
  <c r="GU13" i="1" s="1"/>
  <c r="GU14" i="1" s="1"/>
  <c r="GU15" i="1" s="1"/>
  <c r="GU16" i="1" s="1"/>
  <c r="GU17" i="1" s="1"/>
  <c r="GU18" i="1" s="1"/>
  <c r="GU19" i="1" s="1"/>
  <c r="GU20" i="1" s="1"/>
  <c r="GU21" i="1" s="1"/>
  <c r="GN12" i="1"/>
  <c r="GQ26" i="1"/>
  <c r="GQ27" i="1" s="1"/>
  <c r="GQ28" i="1" s="1"/>
  <c r="GQ29" i="1" s="1"/>
  <c r="GQ30" i="1" s="1"/>
  <c r="GQ31" i="1" s="1"/>
  <c r="GQ32" i="1" s="1"/>
  <c r="GQ33" i="1" s="1"/>
  <c r="GQ34" i="1" s="1"/>
  <c r="GQ36" i="1" s="1"/>
  <c r="GQ37" i="1" s="1"/>
  <c r="GQ38" i="1" s="1"/>
  <c r="GQ39" i="1" s="1"/>
  <c r="GQ40" i="1" s="1"/>
  <c r="GQ41" i="1" s="1"/>
  <c r="GQ42" i="1" s="1"/>
  <c r="GQ43" i="1" s="1"/>
  <c r="GQ44" i="1" s="1"/>
  <c r="GN45" i="1"/>
  <c r="GX45" i="1"/>
  <c r="GN22" i="1"/>
  <c r="GS26" i="1"/>
  <c r="GS27" i="1" s="1"/>
  <c r="GS28" i="1" s="1"/>
  <c r="GS29" i="1" s="1"/>
  <c r="GS30" i="1" s="1"/>
  <c r="GS31" i="1" s="1"/>
  <c r="GS32" i="1" s="1"/>
  <c r="GS33" i="1" s="1"/>
  <c r="GS34" i="1" s="1"/>
  <c r="GS36" i="1" s="1"/>
  <c r="GS37" i="1" s="1"/>
  <c r="GS38" i="1" s="1"/>
  <c r="GS39" i="1" s="1"/>
  <c r="GS40" i="1" s="1"/>
  <c r="GS41" i="1" s="1"/>
  <c r="GS42" i="1" s="1"/>
  <c r="GS43" i="1" s="1"/>
  <c r="GS44" i="1" s="1"/>
  <c r="GR35" i="1"/>
  <c r="GI35" i="1"/>
  <c r="GK63" i="1"/>
  <c r="GW3" i="1"/>
  <c r="GW4" i="1" s="1"/>
  <c r="GW5" i="1" s="1"/>
  <c r="GW6" i="1" s="1"/>
  <c r="GW7" i="1" s="1"/>
  <c r="GW8" i="1" s="1"/>
  <c r="GW9" i="1" s="1"/>
  <c r="GW10" i="1" s="1"/>
  <c r="GW11" i="1" s="1"/>
  <c r="GW13" i="1" s="1"/>
  <c r="GW14" i="1" s="1"/>
  <c r="GW15" i="1" s="1"/>
  <c r="GW16" i="1" s="1"/>
  <c r="GW17" i="1" s="1"/>
  <c r="GW18" i="1" s="1"/>
  <c r="GW19" i="1" s="1"/>
  <c r="GW20" i="1" s="1"/>
  <c r="GW21" i="1" s="1"/>
  <c r="GT22" i="1"/>
  <c r="GP22" i="1"/>
  <c r="GK28" i="1"/>
  <c r="GK34" i="1"/>
  <c r="GT35" i="1"/>
  <c r="GK38" i="1"/>
  <c r="GI45" i="1"/>
  <c r="GX83" i="1"/>
  <c r="GR22" i="1"/>
  <c r="GQ3" i="1"/>
  <c r="GQ4" i="1" s="1"/>
  <c r="GQ5" i="1" s="1"/>
  <c r="GQ6" i="1" s="1"/>
  <c r="GQ7" i="1" s="1"/>
  <c r="GQ8" i="1" s="1"/>
  <c r="GQ9" i="1" s="1"/>
  <c r="GQ10" i="1" s="1"/>
  <c r="GQ11" i="1" s="1"/>
  <c r="GQ13" i="1" s="1"/>
  <c r="GQ14" i="1" s="1"/>
  <c r="GQ15" i="1" s="1"/>
  <c r="GQ16" i="1" s="1"/>
  <c r="GQ17" i="1" s="1"/>
  <c r="GQ18" i="1" s="1"/>
  <c r="GQ19" i="1" s="1"/>
  <c r="GQ20" i="1" s="1"/>
  <c r="GQ21" i="1" s="1"/>
  <c r="GE23" i="1"/>
  <c r="H3" i="4" s="1"/>
  <c r="GK31" i="1"/>
  <c r="GX12" i="1"/>
  <c r="GR45" i="1"/>
  <c r="HB22" i="1"/>
  <c r="GX35" i="1"/>
  <c r="GN83" i="1"/>
  <c r="HG12" i="1"/>
  <c r="GP45" i="1"/>
  <c r="GP59" i="1"/>
  <c r="GV69" i="1"/>
  <c r="HB83" i="1"/>
  <c r="GP83" i="1"/>
  <c r="GQ74" i="1"/>
  <c r="GQ75" i="1" s="1"/>
  <c r="GQ76" i="1" s="1"/>
  <c r="GQ77" i="1" s="1"/>
  <c r="GQ78" i="1" s="1"/>
  <c r="GQ79" i="1" s="1"/>
  <c r="GQ80" i="1" s="1"/>
  <c r="GQ81" i="1" s="1"/>
  <c r="GQ82" i="1" s="1"/>
  <c r="GQ84" i="1" s="1"/>
  <c r="GQ85" i="1" s="1"/>
  <c r="GQ86" i="1" s="1"/>
  <c r="GQ87" i="1" s="1"/>
  <c r="GQ88" i="1" s="1"/>
  <c r="GQ89" i="1" s="1"/>
  <c r="GQ90" i="1" s="1"/>
  <c r="GQ91" i="1" s="1"/>
  <c r="GQ92" i="1" s="1"/>
  <c r="GK76" i="1"/>
  <c r="GV35" i="1"/>
  <c r="GW26" i="1"/>
  <c r="GW27" i="1" s="1"/>
  <c r="GW28" i="1" s="1"/>
  <c r="GW29" i="1" s="1"/>
  <c r="GW30" i="1" s="1"/>
  <c r="GW31" i="1" s="1"/>
  <c r="GW32" i="1" s="1"/>
  <c r="GW33" i="1" s="1"/>
  <c r="GW34" i="1" s="1"/>
  <c r="GW36" i="1" s="1"/>
  <c r="GW37" i="1" s="1"/>
  <c r="GW38" i="1" s="1"/>
  <c r="GW39" i="1" s="1"/>
  <c r="GW40" i="1" s="1"/>
  <c r="GW41" i="1" s="1"/>
  <c r="GW42" i="1" s="1"/>
  <c r="GW43" i="1" s="1"/>
  <c r="GW44" i="1" s="1"/>
  <c r="HG45" i="1"/>
  <c r="GK43" i="1"/>
  <c r="GS50" i="1"/>
  <c r="GS51" i="1" s="1"/>
  <c r="GS52" i="1" s="1"/>
  <c r="GS53" i="1" s="1"/>
  <c r="GS54" i="1" s="1"/>
  <c r="GS55" i="1" s="1"/>
  <c r="GS56" i="1" s="1"/>
  <c r="GS57" i="1" s="1"/>
  <c r="GS58" i="1" s="1"/>
  <c r="GS60" i="1" s="1"/>
  <c r="GS61" i="1" s="1"/>
  <c r="GS62" i="1" s="1"/>
  <c r="GS63" i="1" s="1"/>
  <c r="GS64" i="1" s="1"/>
  <c r="GS65" i="1" s="1"/>
  <c r="GS66" i="1" s="1"/>
  <c r="GS67" i="1" s="1"/>
  <c r="GS68" i="1" s="1"/>
  <c r="GR59" i="1"/>
  <c r="HE59" i="1"/>
  <c r="GK55" i="1"/>
  <c r="GK85" i="1"/>
  <c r="GN35" i="1"/>
  <c r="GO26" i="1"/>
  <c r="GO27" i="1" s="1"/>
  <c r="GO28" i="1" s="1"/>
  <c r="GO29" i="1" s="1"/>
  <c r="GO30" i="1" s="1"/>
  <c r="GO31" i="1" s="1"/>
  <c r="GO32" i="1" s="1"/>
  <c r="GO33" i="1" s="1"/>
  <c r="GO34" i="1" s="1"/>
  <c r="GO36" i="1" s="1"/>
  <c r="GO37" i="1" s="1"/>
  <c r="GO38" i="1" s="1"/>
  <c r="GO39" i="1" s="1"/>
  <c r="GO40" i="1" s="1"/>
  <c r="GO41" i="1" s="1"/>
  <c r="GO42" i="1" s="1"/>
  <c r="GO43" i="1" s="1"/>
  <c r="GO44" i="1" s="1"/>
  <c r="GV45" i="1"/>
  <c r="GT45" i="1"/>
  <c r="GR69" i="1"/>
  <c r="GT83" i="1"/>
  <c r="GR93" i="1"/>
  <c r="GT59" i="1"/>
  <c r="GE70" i="1"/>
  <c r="H3" i="7" s="1"/>
  <c r="GI69" i="1"/>
  <c r="GT69" i="1"/>
  <c r="GR83" i="1"/>
  <c r="GK50" i="1"/>
  <c r="GN69" i="1"/>
  <c r="GK84" i="1"/>
  <c r="GV93" i="1"/>
  <c r="GK92" i="1"/>
  <c r="GI93" i="1"/>
  <c r="GN59" i="1"/>
  <c r="GX69" i="1"/>
  <c r="GK66" i="1"/>
  <c r="GK89" i="1"/>
  <c r="GX59" i="1"/>
  <c r="GQ51" i="1"/>
  <c r="GQ52" i="1" s="1"/>
  <c r="GQ53" i="1" s="1"/>
  <c r="GQ54" i="1" s="1"/>
  <c r="GQ55" i="1" s="1"/>
  <c r="GQ56" i="1" s="1"/>
  <c r="GQ57" i="1" s="1"/>
  <c r="GQ58" i="1" s="1"/>
  <c r="GQ60" i="1" s="1"/>
  <c r="GQ61" i="1" s="1"/>
  <c r="GQ62" i="1" s="1"/>
  <c r="GQ63" i="1" s="1"/>
  <c r="GQ64" i="1" s="1"/>
  <c r="GQ65" i="1" s="1"/>
  <c r="GQ66" i="1" s="1"/>
  <c r="GQ67" i="1" s="1"/>
  <c r="GQ68" i="1" s="1"/>
  <c r="HF59" i="1"/>
  <c r="HB69" i="1"/>
  <c r="GK81" i="1"/>
  <c r="GP93" i="1"/>
  <c r="HB93" i="1"/>
  <c r="HG93" i="1"/>
  <c r="HG69" i="1"/>
  <c r="GN93" i="1"/>
  <c r="GU74" i="1"/>
  <c r="GU75" i="1" s="1"/>
  <c r="GU76" i="1" s="1"/>
  <c r="GU77" i="1" s="1"/>
  <c r="GU78" i="1" s="1"/>
  <c r="GU79" i="1" s="1"/>
  <c r="GU80" i="1" s="1"/>
  <c r="GU81" i="1" s="1"/>
  <c r="GU82" i="1" s="1"/>
  <c r="GU84" i="1" s="1"/>
  <c r="GU85" i="1" s="1"/>
  <c r="GU86" i="1" s="1"/>
  <c r="GU87" i="1" s="1"/>
  <c r="GU88" i="1" s="1"/>
  <c r="GU89" i="1" s="1"/>
  <c r="GU90" i="1" s="1"/>
  <c r="GU91" i="1" s="1"/>
  <c r="GU92" i="1" s="1"/>
  <c r="FJ69" i="1"/>
  <c r="FP93" i="1"/>
  <c r="FN12" i="1"/>
  <c r="FF3" i="1"/>
  <c r="FF4" i="1" s="1"/>
  <c r="FF5" i="1" s="1"/>
  <c r="FF6" i="1" s="1"/>
  <c r="FF7" i="1" s="1"/>
  <c r="FF8" i="1" s="1"/>
  <c r="FF9" i="1" s="1"/>
  <c r="FF10" i="1" s="1"/>
  <c r="FF11" i="1" s="1"/>
  <c r="FF13" i="1" s="1"/>
  <c r="FF14" i="1" s="1"/>
  <c r="FF15" i="1" s="1"/>
  <c r="FF16" i="1" s="1"/>
  <c r="FF17" i="1" s="1"/>
  <c r="FF18" i="1" s="1"/>
  <c r="FF19" i="1" s="1"/>
  <c r="FF20" i="1" s="1"/>
  <c r="FF21" i="1" s="1"/>
  <c r="FF26" i="1" s="1"/>
  <c r="FF27" i="1" s="1"/>
  <c r="FF28" i="1" s="1"/>
  <c r="FF29" i="1" s="1"/>
  <c r="FF30" i="1" s="1"/>
  <c r="FF31" i="1" s="1"/>
  <c r="FF32" i="1" s="1"/>
  <c r="FF33" i="1" s="1"/>
  <c r="FF34" i="1" s="1"/>
  <c r="FF36" i="1" s="1"/>
  <c r="FF37" i="1" s="1"/>
  <c r="FF38" i="1" s="1"/>
  <c r="FF39" i="1" s="1"/>
  <c r="FF40" i="1" s="1"/>
  <c r="FF41" i="1" s="1"/>
  <c r="FF42" i="1" s="1"/>
  <c r="FF43" i="1" s="1"/>
  <c r="FF44" i="1" s="1"/>
  <c r="FF50" i="1" s="1"/>
  <c r="FF51" i="1" s="1"/>
  <c r="FF52" i="1" s="1"/>
  <c r="FF53" i="1" s="1"/>
  <c r="FF54" i="1" s="1"/>
  <c r="FF55" i="1" s="1"/>
  <c r="FF56" i="1" s="1"/>
  <c r="FF57" i="1" s="1"/>
  <c r="FF58" i="1" s="1"/>
  <c r="FF60" i="1" s="1"/>
  <c r="FF61" i="1" s="1"/>
  <c r="FF62" i="1" s="1"/>
  <c r="FF63" i="1" s="1"/>
  <c r="FF64" i="1" s="1"/>
  <c r="FF65" i="1" s="1"/>
  <c r="FF66" i="1" s="1"/>
  <c r="FF67" i="1" s="1"/>
  <c r="FF68" i="1" s="1"/>
  <c r="FF74" i="1" s="1"/>
  <c r="FF75" i="1" s="1"/>
  <c r="FF76" i="1" s="1"/>
  <c r="FF77" i="1" s="1"/>
  <c r="FF78" i="1" s="1"/>
  <c r="FF79" i="1" s="1"/>
  <c r="FF80" i="1" s="1"/>
  <c r="FF81" i="1" s="1"/>
  <c r="FF82" i="1" s="1"/>
  <c r="FF84" i="1" s="1"/>
  <c r="FF85" i="1" s="1"/>
  <c r="FF86" i="1" s="1"/>
  <c r="FF87" i="1" s="1"/>
  <c r="FF88" i="1" s="1"/>
  <c r="FF89" i="1" s="1"/>
  <c r="FF90" i="1" s="1"/>
  <c r="FF91" i="1" s="1"/>
  <c r="FF92" i="1" s="1"/>
  <c r="FY3" i="1"/>
  <c r="FY4" i="1" s="1"/>
  <c r="FY5" i="1" s="1"/>
  <c r="FY6" i="1" s="1"/>
  <c r="FY7" i="1" s="1"/>
  <c r="FY8" i="1" s="1"/>
  <c r="FY9" i="1" s="1"/>
  <c r="FY10" i="1" s="1"/>
  <c r="FY11" i="1" s="1"/>
  <c r="FY13" i="1" s="1"/>
  <c r="FY14" i="1" s="1"/>
  <c r="FY15" i="1" s="1"/>
  <c r="FY16" i="1" s="1"/>
  <c r="FY17" i="1" s="1"/>
  <c r="FY18" i="1" s="1"/>
  <c r="FY19" i="1" s="1"/>
  <c r="FY20" i="1" s="1"/>
  <c r="FY21" i="1" s="1"/>
  <c r="FY26" i="1" s="1"/>
  <c r="FY27" i="1" s="1"/>
  <c r="FY28" i="1" s="1"/>
  <c r="FY29" i="1" s="1"/>
  <c r="FY30" i="1" s="1"/>
  <c r="FY31" i="1" s="1"/>
  <c r="FY32" i="1" s="1"/>
  <c r="FY33" i="1" s="1"/>
  <c r="FY34" i="1" s="1"/>
  <c r="FY36" i="1" s="1"/>
  <c r="FY37" i="1" s="1"/>
  <c r="FY38" i="1" s="1"/>
  <c r="FY39" i="1" s="1"/>
  <c r="FY40" i="1" s="1"/>
  <c r="FY41" i="1" s="1"/>
  <c r="FY42" i="1" s="1"/>
  <c r="FY43" i="1" s="1"/>
  <c r="FY44" i="1" s="1"/>
  <c r="FY50" i="1" s="1"/>
  <c r="FY51" i="1" s="1"/>
  <c r="FY52" i="1" s="1"/>
  <c r="FY53" i="1" s="1"/>
  <c r="FY54" i="1" s="1"/>
  <c r="FY55" i="1" s="1"/>
  <c r="FY56" i="1" s="1"/>
  <c r="FY57" i="1" s="1"/>
  <c r="FY58" i="1" s="1"/>
  <c r="FY60" i="1" s="1"/>
  <c r="FY61" i="1" s="1"/>
  <c r="FY62" i="1" s="1"/>
  <c r="FY63" i="1" s="1"/>
  <c r="FY64" i="1" s="1"/>
  <c r="FY65" i="1" s="1"/>
  <c r="FY66" i="1" s="1"/>
  <c r="FY67" i="1" s="1"/>
  <c r="FY68" i="1" s="1"/>
  <c r="FY74" i="1" s="1"/>
  <c r="FY75" i="1" s="1"/>
  <c r="FY76" i="1" s="1"/>
  <c r="FY77" i="1" s="1"/>
  <c r="FY78" i="1" s="1"/>
  <c r="FY79" i="1" s="1"/>
  <c r="FY80" i="1" s="1"/>
  <c r="FY81" i="1" s="1"/>
  <c r="FY82" i="1" s="1"/>
  <c r="FY84" i="1" s="1"/>
  <c r="FY85" i="1" s="1"/>
  <c r="FY86" i="1" s="1"/>
  <c r="FY87" i="1" s="1"/>
  <c r="FY88" i="1" s="1"/>
  <c r="FY89" i="1" s="1"/>
  <c r="FY90" i="1" s="1"/>
  <c r="FY91" i="1" s="1"/>
  <c r="FY92" i="1" s="1"/>
  <c r="GD4" i="1"/>
  <c r="GD5" i="1" s="1"/>
  <c r="GD6" i="1" s="1"/>
  <c r="GD7" i="1" s="1"/>
  <c r="GD8" i="1" s="1"/>
  <c r="GD9" i="1" s="1"/>
  <c r="GD10" i="1" s="1"/>
  <c r="GD11" i="1" s="1"/>
  <c r="GD13" i="1" s="1"/>
  <c r="GD14" i="1" s="1"/>
  <c r="GD15" i="1" s="1"/>
  <c r="GD16" i="1" s="1"/>
  <c r="GD17" i="1" s="1"/>
  <c r="GD18" i="1" s="1"/>
  <c r="GD19" i="1" s="1"/>
  <c r="GD20" i="1" s="1"/>
  <c r="GD21" i="1" s="1"/>
  <c r="GD26" i="1" s="1"/>
  <c r="GD27" i="1" s="1"/>
  <c r="GD28" i="1" s="1"/>
  <c r="GD29" i="1" s="1"/>
  <c r="GD30" i="1" s="1"/>
  <c r="GD31" i="1" s="1"/>
  <c r="GD32" i="1" s="1"/>
  <c r="GD33" i="1" s="1"/>
  <c r="GD34" i="1" s="1"/>
  <c r="GD36" i="1" s="1"/>
  <c r="GD37" i="1" s="1"/>
  <c r="GD38" i="1" s="1"/>
  <c r="GD39" i="1" s="1"/>
  <c r="GD40" i="1" s="1"/>
  <c r="GD41" i="1" s="1"/>
  <c r="GD42" i="1" s="1"/>
  <c r="GD43" i="1" s="1"/>
  <c r="GD44" i="1" s="1"/>
  <c r="GD50" i="1" s="1"/>
  <c r="GD51" i="1" s="1"/>
  <c r="GD52" i="1" s="1"/>
  <c r="GD53" i="1" s="1"/>
  <c r="GD54" i="1" s="1"/>
  <c r="GD55" i="1" s="1"/>
  <c r="GD56" i="1" s="1"/>
  <c r="GD57" i="1" s="1"/>
  <c r="GD58" i="1" s="1"/>
  <c r="GD60" i="1" s="1"/>
  <c r="GD61" i="1" s="1"/>
  <c r="GD62" i="1" s="1"/>
  <c r="GD63" i="1" s="1"/>
  <c r="GD64" i="1" s="1"/>
  <c r="GD65" i="1" s="1"/>
  <c r="GD66" i="1" s="1"/>
  <c r="GD67" i="1" s="1"/>
  <c r="GD68" i="1" s="1"/>
  <c r="GD74" i="1" s="1"/>
  <c r="GD75" i="1" s="1"/>
  <c r="GD76" i="1" s="1"/>
  <c r="GD77" i="1" s="1"/>
  <c r="GD78" i="1" s="1"/>
  <c r="GD79" i="1" s="1"/>
  <c r="GD80" i="1" s="1"/>
  <c r="GD81" i="1" s="1"/>
  <c r="GD82" i="1" s="1"/>
  <c r="GD84" i="1" s="1"/>
  <c r="GD85" i="1" s="1"/>
  <c r="GD86" i="1" s="1"/>
  <c r="GD87" i="1" s="1"/>
  <c r="GD88" i="1" s="1"/>
  <c r="GD89" i="1" s="1"/>
  <c r="GD90" i="1" s="1"/>
  <c r="GD91" i="1" s="1"/>
  <c r="GD92" i="1" s="1"/>
  <c r="FP12" i="1"/>
  <c r="FG28" i="1"/>
  <c r="FT45" i="1"/>
  <c r="FP69" i="1"/>
  <c r="GA83" i="1"/>
  <c r="FG3" i="1"/>
  <c r="GA12" i="1"/>
  <c r="FG13" i="1"/>
  <c r="FE35" i="1"/>
  <c r="FG26" i="1"/>
  <c r="FR35" i="1"/>
  <c r="FX45" i="1"/>
  <c r="FR45" i="1"/>
  <c r="FJ22" i="1"/>
  <c r="FX22" i="1"/>
  <c r="FK27" i="1"/>
  <c r="FK28" i="1" s="1"/>
  <c r="FK29" i="1" s="1"/>
  <c r="FK30" i="1" s="1"/>
  <c r="FK31" i="1" s="1"/>
  <c r="FK32" i="1" s="1"/>
  <c r="FK33" i="1" s="1"/>
  <c r="FK34" i="1" s="1"/>
  <c r="FK36" i="1" s="1"/>
  <c r="FK37" i="1" s="1"/>
  <c r="FK38" i="1" s="1"/>
  <c r="FK39" i="1" s="1"/>
  <c r="FK40" i="1" s="1"/>
  <c r="FK41" i="1" s="1"/>
  <c r="FK42" i="1" s="1"/>
  <c r="FK43" i="1" s="1"/>
  <c r="FK44" i="1" s="1"/>
  <c r="FR12" i="1"/>
  <c r="FG18" i="1"/>
  <c r="FG29" i="1"/>
  <c r="FJ45" i="1"/>
  <c r="FK3" i="1"/>
  <c r="FK4" i="1" s="1"/>
  <c r="FK5" i="1" s="1"/>
  <c r="FK6" i="1" s="1"/>
  <c r="FK7" i="1" s="1"/>
  <c r="FK8" i="1" s="1"/>
  <c r="FK9" i="1" s="1"/>
  <c r="FK10" i="1" s="1"/>
  <c r="FK11" i="1" s="1"/>
  <c r="FK13" i="1" s="1"/>
  <c r="FK14" i="1" s="1"/>
  <c r="FK15" i="1" s="1"/>
  <c r="FK16" i="1" s="1"/>
  <c r="FK17" i="1" s="1"/>
  <c r="FK18" i="1" s="1"/>
  <c r="FK19" i="1" s="1"/>
  <c r="FK20" i="1" s="1"/>
  <c r="FK21" i="1" s="1"/>
  <c r="FS3" i="1"/>
  <c r="FS4" i="1" s="1"/>
  <c r="FS5" i="1" s="1"/>
  <c r="FS6" i="1" s="1"/>
  <c r="FS7" i="1" s="1"/>
  <c r="FS8" i="1" s="1"/>
  <c r="FS9" i="1" s="1"/>
  <c r="FS10" i="1" s="1"/>
  <c r="FS11" i="1" s="1"/>
  <c r="FS13" i="1" s="1"/>
  <c r="FS14" i="1" s="1"/>
  <c r="FS15" i="1" s="1"/>
  <c r="FS16" i="1" s="1"/>
  <c r="FS17" i="1" s="1"/>
  <c r="FS18" i="1" s="1"/>
  <c r="FS19" i="1" s="1"/>
  <c r="FS20" i="1" s="1"/>
  <c r="FS21" i="1" s="1"/>
  <c r="FG7" i="1"/>
  <c r="FX35" i="1"/>
  <c r="FL45" i="1"/>
  <c r="FN22" i="1"/>
  <c r="FG37" i="1"/>
  <c r="FG76" i="1"/>
  <c r="FG85" i="1"/>
  <c r="FP22" i="1"/>
  <c r="FG19" i="1"/>
  <c r="FG58" i="1"/>
  <c r="GA35" i="1"/>
  <c r="FT22" i="1"/>
  <c r="FN45" i="1"/>
  <c r="FG50" i="1"/>
  <c r="FE59" i="1"/>
  <c r="FG74" i="1"/>
  <c r="FE83" i="1"/>
  <c r="FX59" i="1"/>
  <c r="FX83" i="1"/>
  <c r="FN35" i="1"/>
  <c r="FE45" i="1"/>
  <c r="FG36" i="1"/>
  <c r="FP45" i="1"/>
  <c r="FR69" i="1"/>
  <c r="FG82" i="1"/>
  <c r="FT83" i="1"/>
  <c r="FN93" i="1"/>
  <c r="FJ35" i="1"/>
  <c r="FG44" i="1"/>
  <c r="FP59" i="1"/>
  <c r="FQ50" i="1"/>
  <c r="FQ51" i="1" s="1"/>
  <c r="FQ52" i="1" s="1"/>
  <c r="FQ53" i="1" s="1"/>
  <c r="FQ54" i="1" s="1"/>
  <c r="FQ55" i="1" s="1"/>
  <c r="FQ56" i="1" s="1"/>
  <c r="FQ57" i="1" s="1"/>
  <c r="FQ58" i="1" s="1"/>
  <c r="FQ60" i="1" s="1"/>
  <c r="FQ61" i="1" s="1"/>
  <c r="FQ62" i="1" s="1"/>
  <c r="FQ63" i="1" s="1"/>
  <c r="FQ64" i="1" s="1"/>
  <c r="FQ65" i="1" s="1"/>
  <c r="FQ66" i="1" s="1"/>
  <c r="FQ67" i="1" s="1"/>
  <c r="FQ68" i="1" s="1"/>
  <c r="FX69" i="1"/>
  <c r="FG66" i="1"/>
  <c r="FL69" i="1"/>
  <c r="FG92" i="1"/>
  <c r="GA59" i="1"/>
  <c r="FG56" i="1"/>
  <c r="FN69" i="1"/>
  <c r="GC69" i="1"/>
  <c r="FL83" i="1"/>
  <c r="FM74" i="1"/>
  <c r="FM75" i="1" s="1"/>
  <c r="FM76" i="1" s="1"/>
  <c r="FM77" i="1" s="1"/>
  <c r="FM78" i="1" s="1"/>
  <c r="FM79" i="1" s="1"/>
  <c r="FM80" i="1" s="1"/>
  <c r="FM81" i="1" s="1"/>
  <c r="FM82" i="1" s="1"/>
  <c r="FM84" i="1" s="1"/>
  <c r="FM85" i="1" s="1"/>
  <c r="FM86" i="1" s="1"/>
  <c r="FM87" i="1" s="1"/>
  <c r="FM88" i="1" s="1"/>
  <c r="FM89" i="1" s="1"/>
  <c r="FM90" i="1" s="1"/>
  <c r="FM91" i="1" s="1"/>
  <c r="FM92" i="1" s="1"/>
  <c r="FE93" i="1"/>
  <c r="FG64" i="1"/>
  <c r="FN83" i="1"/>
  <c r="FO74" i="1"/>
  <c r="FO75" i="1" s="1"/>
  <c r="FO76" i="1" s="1"/>
  <c r="FO77" i="1" s="1"/>
  <c r="FO78" i="1" s="1"/>
  <c r="FO79" i="1" s="1"/>
  <c r="FO80" i="1" s="1"/>
  <c r="FO81" i="1" s="1"/>
  <c r="FO82" i="1" s="1"/>
  <c r="FO84" i="1" s="1"/>
  <c r="FO85" i="1" s="1"/>
  <c r="FO86" i="1" s="1"/>
  <c r="FO87" i="1" s="1"/>
  <c r="FO88" i="1" s="1"/>
  <c r="FO89" i="1" s="1"/>
  <c r="FO90" i="1" s="1"/>
  <c r="FO91" i="1" s="1"/>
  <c r="FO92" i="1" s="1"/>
  <c r="FN59" i="1"/>
  <c r="FO50" i="1"/>
  <c r="FO51" i="1" s="1"/>
  <c r="FO52" i="1" s="1"/>
  <c r="FO53" i="1" s="1"/>
  <c r="FO54" i="1" s="1"/>
  <c r="FO55" i="1" s="1"/>
  <c r="FO56" i="1" s="1"/>
  <c r="FO57" i="1" s="1"/>
  <c r="FO58" i="1" s="1"/>
  <c r="FO60" i="1" s="1"/>
  <c r="FO61" i="1" s="1"/>
  <c r="FO62" i="1" s="1"/>
  <c r="FO63" i="1" s="1"/>
  <c r="FO64" i="1" s="1"/>
  <c r="FO65" i="1" s="1"/>
  <c r="FO66" i="1" s="1"/>
  <c r="FO67" i="1" s="1"/>
  <c r="FO68" i="1" s="1"/>
  <c r="FP83" i="1"/>
  <c r="FX93" i="1"/>
  <c r="FJ59" i="1"/>
  <c r="FJ93" i="1"/>
  <c r="FL93" i="1"/>
  <c r="GC93" i="1"/>
  <c r="FT69" i="1"/>
  <c r="FS50" i="1"/>
  <c r="FS51" i="1" s="1"/>
  <c r="FS52" i="1" s="1"/>
  <c r="FS53" i="1" s="1"/>
  <c r="FS54" i="1" s="1"/>
  <c r="FS55" i="1" s="1"/>
  <c r="FS56" i="1" s="1"/>
  <c r="FS57" i="1" s="1"/>
  <c r="FS58" i="1" s="1"/>
  <c r="FS60" i="1" s="1"/>
  <c r="FS61" i="1" s="1"/>
  <c r="FS62" i="1" s="1"/>
  <c r="FS63" i="1" s="1"/>
  <c r="FS64" i="1" s="1"/>
  <c r="FS65" i="1" s="1"/>
  <c r="FS66" i="1" s="1"/>
  <c r="FS67" i="1" s="1"/>
  <c r="FS68" i="1" s="1"/>
  <c r="FQ74" i="1"/>
  <c r="FQ75" i="1" s="1"/>
  <c r="FQ76" i="1" s="1"/>
  <c r="FQ77" i="1" s="1"/>
  <c r="FQ78" i="1" s="1"/>
  <c r="FQ79" i="1" s="1"/>
  <c r="FQ80" i="1" s="1"/>
  <c r="FQ81" i="1" s="1"/>
  <c r="FQ82" i="1" s="1"/>
  <c r="FQ84" i="1" s="1"/>
  <c r="FQ85" i="1" s="1"/>
  <c r="FQ86" i="1" s="1"/>
  <c r="FQ87" i="1" s="1"/>
  <c r="FQ88" i="1" s="1"/>
  <c r="FQ89" i="1" s="1"/>
  <c r="FQ90" i="1" s="1"/>
  <c r="FQ91" i="1" s="1"/>
  <c r="FQ92" i="1" s="1"/>
  <c r="EN12" i="1"/>
  <c r="EO3" i="1"/>
  <c r="EO4" i="1" s="1"/>
  <c r="EO5" i="1" s="1"/>
  <c r="EO6" i="1" s="1"/>
  <c r="EO7" i="1" s="1"/>
  <c r="EO8" i="1" s="1"/>
  <c r="EO9" i="1" s="1"/>
  <c r="EO10" i="1" s="1"/>
  <c r="EO11" i="1" s="1"/>
  <c r="EO13" i="1" s="1"/>
  <c r="EO14" i="1" s="1"/>
  <c r="EO15" i="1" s="1"/>
  <c r="EO16" i="1" s="1"/>
  <c r="EO17" i="1" s="1"/>
  <c r="EO18" i="1" s="1"/>
  <c r="EO19" i="1" s="1"/>
  <c r="EO20" i="1" s="1"/>
  <c r="EO21" i="1" s="1"/>
  <c r="EY22" i="1"/>
  <c r="EX12" i="1"/>
  <c r="EC7" i="1"/>
  <c r="EC12" i="1" s="1"/>
  <c r="EP22" i="1"/>
  <c r="EC27" i="1"/>
  <c r="EC35" i="1" s="1"/>
  <c r="EA35" i="1"/>
  <c r="ED3" i="1"/>
  <c r="ED4" i="1" s="1"/>
  <c r="ED5" i="1" s="1"/>
  <c r="ED6" i="1" s="1"/>
  <c r="EF12" i="1"/>
  <c r="EG3" i="1"/>
  <c r="EG4" i="1" s="1"/>
  <c r="EG5" i="1" s="1"/>
  <c r="EG6" i="1" s="1"/>
  <c r="EG7" i="1" s="1"/>
  <c r="EG8" i="1" s="1"/>
  <c r="EG9" i="1" s="1"/>
  <c r="EG10" i="1" s="1"/>
  <c r="EG11" i="1" s="1"/>
  <c r="EG13" i="1" s="1"/>
  <c r="EG14" i="1" s="1"/>
  <c r="EG15" i="1" s="1"/>
  <c r="EG16" i="1" s="1"/>
  <c r="EG17" i="1" s="1"/>
  <c r="EG18" i="1" s="1"/>
  <c r="EG19" i="1" s="1"/>
  <c r="EG20" i="1" s="1"/>
  <c r="EG21" i="1" s="1"/>
  <c r="EN35" i="1"/>
  <c r="EH12" i="1"/>
  <c r="EF22" i="1"/>
  <c r="EP12" i="1"/>
  <c r="EM4" i="1"/>
  <c r="EM5" i="1" s="1"/>
  <c r="EM6" i="1" s="1"/>
  <c r="EM7" i="1" s="1"/>
  <c r="EM8" i="1" s="1"/>
  <c r="EM9" i="1" s="1"/>
  <c r="EM10" i="1" s="1"/>
  <c r="EM11" i="1" s="1"/>
  <c r="EM13" i="1" s="1"/>
  <c r="EM14" i="1" s="1"/>
  <c r="EM15" i="1" s="1"/>
  <c r="EM16" i="1" s="1"/>
  <c r="EM17" i="1" s="1"/>
  <c r="EM18" i="1" s="1"/>
  <c r="EM19" i="1" s="1"/>
  <c r="EM20" i="1" s="1"/>
  <c r="EM21" i="1" s="1"/>
  <c r="EH22" i="1"/>
  <c r="EC15" i="1"/>
  <c r="EP35" i="1"/>
  <c r="EJ35" i="1"/>
  <c r="ET35" i="1"/>
  <c r="EL12" i="1"/>
  <c r="EG26" i="1"/>
  <c r="EG27" i="1" s="1"/>
  <c r="EG28" i="1" s="1"/>
  <c r="EG29" i="1" s="1"/>
  <c r="EG30" i="1" s="1"/>
  <c r="EG31" i="1" s="1"/>
  <c r="EG32" i="1" s="1"/>
  <c r="EG33" i="1" s="1"/>
  <c r="EG34" i="1" s="1"/>
  <c r="EG36" i="1" s="1"/>
  <c r="EG37" i="1" s="1"/>
  <c r="EG38" i="1" s="1"/>
  <c r="EG39" i="1" s="1"/>
  <c r="EG40" i="1" s="1"/>
  <c r="EG41" i="1" s="1"/>
  <c r="EG42" i="1" s="1"/>
  <c r="EG43" i="1" s="1"/>
  <c r="EG44" i="1" s="1"/>
  <c r="EP45" i="1"/>
  <c r="EJ45" i="1"/>
  <c r="EJ83" i="1"/>
  <c r="EK74" i="1"/>
  <c r="EK75" i="1" s="1"/>
  <c r="EK76" i="1" s="1"/>
  <c r="EK77" i="1" s="1"/>
  <c r="EK78" i="1" s="1"/>
  <c r="EK79" i="1" s="1"/>
  <c r="EK80" i="1" s="1"/>
  <c r="EK81" i="1" s="1"/>
  <c r="EK82" i="1" s="1"/>
  <c r="EK84" i="1" s="1"/>
  <c r="EK85" i="1" s="1"/>
  <c r="EK86" i="1" s="1"/>
  <c r="EK87" i="1" s="1"/>
  <c r="EK88" i="1" s="1"/>
  <c r="EK89" i="1" s="1"/>
  <c r="EK90" i="1" s="1"/>
  <c r="EK91" i="1" s="1"/>
  <c r="EK92" i="1" s="1"/>
  <c r="EL83" i="1"/>
  <c r="EA22" i="1"/>
  <c r="ET22" i="1"/>
  <c r="EC44" i="1"/>
  <c r="EL69" i="1"/>
  <c r="EL45" i="1"/>
  <c r="EI3" i="1"/>
  <c r="EI4" i="1" s="1"/>
  <c r="EI5" i="1" s="1"/>
  <c r="EI6" i="1" s="1"/>
  <c r="EI7" i="1" s="1"/>
  <c r="EI8" i="1" s="1"/>
  <c r="EI9" i="1" s="1"/>
  <c r="EI10" i="1" s="1"/>
  <c r="EI11" i="1" s="1"/>
  <c r="EI13" i="1" s="1"/>
  <c r="EI14" i="1" s="1"/>
  <c r="EI15" i="1" s="1"/>
  <c r="EI16" i="1" s="1"/>
  <c r="EI17" i="1" s="1"/>
  <c r="EI18" i="1" s="1"/>
  <c r="EI19" i="1" s="1"/>
  <c r="EI20" i="1" s="1"/>
  <c r="EI21" i="1" s="1"/>
  <c r="EA12" i="1"/>
  <c r="ET12" i="1"/>
  <c r="EC17" i="1"/>
  <c r="EW35" i="1"/>
  <c r="EA45" i="1"/>
  <c r="EC36" i="1"/>
  <c r="EL22" i="1"/>
  <c r="EL35" i="1"/>
  <c r="EG50" i="1"/>
  <c r="EG51" i="1" s="1"/>
  <c r="EG52" i="1" s="1"/>
  <c r="EG53" i="1" s="1"/>
  <c r="EG54" i="1" s="1"/>
  <c r="EG55" i="1" s="1"/>
  <c r="EG56" i="1" s="1"/>
  <c r="EG57" i="1" s="1"/>
  <c r="EG58" i="1" s="1"/>
  <c r="EG60" i="1" s="1"/>
  <c r="EG61" i="1" s="1"/>
  <c r="EG62" i="1" s="1"/>
  <c r="EG63" i="1" s="1"/>
  <c r="EG64" i="1" s="1"/>
  <c r="EG65" i="1" s="1"/>
  <c r="EG66" i="1" s="1"/>
  <c r="EG67" i="1" s="1"/>
  <c r="EG68" i="1" s="1"/>
  <c r="EF59" i="1"/>
  <c r="EH59" i="1"/>
  <c r="ET93" i="1"/>
  <c r="EH93" i="1"/>
  <c r="EH35" i="1"/>
  <c r="EB3" i="1"/>
  <c r="EB4" i="1" s="1"/>
  <c r="EB5" i="1" s="1"/>
  <c r="EB6" i="1" s="1"/>
  <c r="EB7" i="1" s="1"/>
  <c r="EB8" i="1" s="1"/>
  <c r="EB9" i="1" s="1"/>
  <c r="EB10" i="1" s="1"/>
  <c r="EB11" i="1" s="1"/>
  <c r="EB13" i="1" s="1"/>
  <c r="EB14" i="1" s="1"/>
  <c r="EB15" i="1" s="1"/>
  <c r="EB16" i="1" s="1"/>
  <c r="EB17" i="1" s="1"/>
  <c r="EB18" i="1" s="1"/>
  <c r="EB19" i="1" s="1"/>
  <c r="EB20" i="1" s="1"/>
  <c r="EB21" i="1" s="1"/>
  <c r="EB26" i="1" s="1"/>
  <c r="EB27" i="1" s="1"/>
  <c r="EB28" i="1" s="1"/>
  <c r="EB29" i="1" s="1"/>
  <c r="EB30" i="1" s="1"/>
  <c r="EB31" i="1" s="1"/>
  <c r="EB32" i="1" s="1"/>
  <c r="EB33" i="1" s="1"/>
  <c r="EB34" i="1" s="1"/>
  <c r="EB36" i="1" s="1"/>
  <c r="EB37" i="1" s="1"/>
  <c r="EB38" i="1" s="1"/>
  <c r="EB39" i="1" s="1"/>
  <c r="EB40" i="1" s="1"/>
  <c r="EB41" i="1" s="1"/>
  <c r="EB42" i="1" s="1"/>
  <c r="EB43" i="1" s="1"/>
  <c r="EB44" i="1" s="1"/>
  <c r="EB50" i="1" s="1"/>
  <c r="EB51" i="1" s="1"/>
  <c r="EB52" i="1" s="1"/>
  <c r="EB53" i="1" s="1"/>
  <c r="EB54" i="1" s="1"/>
  <c r="EB55" i="1" s="1"/>
  <c r="EB56" i="1" s="1"/>
  <c r="EB57" i="1" s="1"/>
  <c r="EB58" i="1" s="1"/>
  <c r="EB60" i="1" s="1"/>
  <c r="EB61" i="1" s="1"/>
  <c r="EB62" i="1" s="1"/>
  <c r="EB63" i="1" s="1"/>
  <c r="EB64" i="1" s="1"/>
  <c r="EB65" i="1" s="1"/>
  <c r="EB66" i="1" s="1"/>
  <c r="EB67" i="1" s="1"/>
  <c r="EB68" i="1" s="1"/>
  <c r="EB74" i="1" s="1"/>
  <c r="EB75" i="1" s="1"/>
  <c r="EB76" i="1" s="1"/>
  <c r="EB77" i="1" s="1"/>
  <c r="EB78" i="1" s="1"/>
  <c r="EB79" i="1" s="1"/>
  <c r="EB80" i="1" s="1"/>
  <c r="EB81" i="1" s="1"/>
  <c r="EB82" i="1" s="1"/>
  <c r="EB84" i="1" s="1"/>
  <c r="EB85" i="1" s="1"/>
  <c r="EB86" i="1" s="1"/>
  <c r="EB87" i="1" s="1"/>
  <c r="EB88" i="1" s="1"/>
  <c r="EB89" i="1" s="1"/>
  <c r="EB90" i="1" s="1"/>
  <c r="EB91" i="1" s="1"/>
  <c r="EB92" i="1" s="1"/>
  <c r="EK27" i="1"/>
  <c r="EK28" i="1" s="1"/>
  <c r="EK29" i="1" s="1"/>
  <c r="EK30" i="1" s="1"/>
  <c r="EK31" i="1" s="1"/>
  <c r="EK32" i="1" s="1"/>
  <c r="EK33" i="1" s="1"/>
  <c r="EK34" i="1" s="1"/>
  <c r="EK36" i="1" s="1"/>
  <c r="EK37" i="1" s="1"/>
  <c r="EK38" i="1" s="1"/>
  <c r="EK39" i="1" s="1"/>
  <c r="EK40" i="1" s="1"/>
  <c r="EK41" i="1" s="1"/>
  <c r="EK42" i="1" s="1"/>
  <c r="EK43" i="1" s="1"/>
  <c r="EK44" i="1" s="1"/>
  <c r="EF69" i="1"/>
  <c r="EY69" i="1"/>
  <c r="EC76" i="1"/>
  <c r="EA93" i="1"/>
  <c r="EC84" i="1"/>
  <c r="EN22" i="1"/>
  <c r="EH45" i="1"/>
  <c r="ET45" i="1"/>
  <c r="EC66" i="1"/>
  <c r="EP83" i="1"/>
  <c r="EC82" i="1"/>
  <c r="EC90" i="1"/>
  <c r="EJ59" i="1"/>
  <c r="EK50" i="1"/>
  <c r="EK51" i="1" s="1"/>
  <c r="EK52" i="1" s="1"/>
  <c r="EK53" i="1" s="1"/>
  <c r="EK54" i="1" s="1"/>
  <c r="EK55" i="1" s="1"/>
  <c r="EK56" i="1" s="1"/>
  <c r="EK57" i="1" s="1"/>
  <c r="EK58" i="1" s="1"/>
  <c r="EK60" i="1" s="1"/>
  <c r="EK61" i="1" s="1"/>
  <c r="EK62" i="1" s="1"/>
  <c r="EK63" i="1" s="1"/>
  <c r="EK64" i="1" s="1"/>
  <c r="EK65" i="1" s="1"/>
  <c r="EK66" i="1" s="1"/>
  <c r="EK67" i="1" s="1"/>
  <c r="EK68" i="1" s="1"/>
  <c r="EC56" i="1"/>
  <c r="EJ69" i="1"/>
  <c r="EY45" i="1"/>
  <c r="EL59" i="1"/>
  <c r="EM50" i="1"/>
  <c r="EM51" i="1" s="1"/>
  <c r="EM52" i="1" s="1"/>
  <c r="EM53" i="1" s="1"/>
  <c r="EM54" i="1" s="1"/>
  <c r="EM55" i="1" s="1"/>
  <c r="EM56" i="1" s="1"/>
  <c r="EM57" i="1" s="1"/>
  <c r="EM58" i="1" s="1"/>
  <c r="EM60" i="1" s="1"/>
  <c r="EM61" i="1" s="1"/>
  <c r="EM62" i="1" s="1"/>
  <c r="EM63" i="1" s="1"/>
  <c r="EM64" i="1" s="1"/>
  <c r="EM65" i="1" s="1"/>
  <c r="EM66" i="1" s="1"/>
  <c r="EM67" i="1" s="1"/>
  <c r="EM68" i="1" s="1"/>
  <c r="EC54" i="1"/>
  <c r="EC74" i="1"/>
  <c r="EA83" i="1"/>
  <c r="EF45" i="1"/>
  <c r="EN45" i="1"/>
  <c r="EN59" i="1"/>
  <c r="EO50" i="1"/>
  <c r="EO51" i="1" s="1"/>
  <c r="EO52" i="1" s="1"/>
  <c r="EO53" i="1" s="1"/>
  <c r="EO54" i="1" s="1"/>
  <c r="EO55" i="1" s="1"/>
  <c r="EO56" i="1" s="1"/>
  <c r="EO57" i="1" s="1"/>
  <c r="EO58" i="1" s="1"/>
  <c r="EO60" i="1" s="1"/>
  <c r="EO61" i="1" s="1"/>
  <c r="EO62" i="1" s="1"/>
  <c r="EO63" i="1" s="1"/>
  <c r="EO64" i="1" s="1"/>
  <c r="EO65" i="1" s="1"/>
  <c r="EO66" i="1" s="1"/>
  <c r="EO67" i="1" s="1"/>
  <c r="EO68" i="1" s="1"/>
  <c r="EN69" i="1"/>
  <c r="ET83" i="1"/>
  <c r="EJ93" i="1"/>
  <c r="EA59" i="1"/>
  <c r="EP59" i="1"/>
  <c r="EC64" i="1"/>
  <c r="EL93" i="1"/>
  <c r="EC50" i="1"/>
  <c r="ET59" i="1"/>
  <c r="EC58" i="1"/>
  <c r="EA69" i="1"/>
  <c r="ET69" i="1"/>
  <c r="EH83" i="1"/>
  <c r="EI74" i="1"/>
  <c r="EI75" i="1" s="1"/>
  <c r="EI76" i="1" s="1"/>
  <c r="EI77" i="1" s="1"/>
  <c r="EI78" i="1" s="1"/>
  <c r="EI79" i="1" s="1"/>
  <c r="EI80" i="1" s="1"/>
  <c r="EI81" i="1" s="1"/>
  <c r="EI82" i="1" s="1"/>
  <c r="EI84" i="1" s="1"/>
  <c r="EI85" i="1" s="1"/>
  <c r="EI86" i="1" s="1"/>
  <c r="EI87" i="1" s="1"/>
  <c r="EI88" i="1" s="1"/>
  <c r="EI89" i="1" s="1"/>
  <c r="EI90" i="1" s="1"/>
  <c r="EI91" i="1" s="1"/>
  <c r="EI92" i="1" s="1"/>
  <c r="EN83" i="1"/>
  <c r="EN93" i="1"/>
  <c r="EF93" i="1"/>
  <c r="EF83" i="1"/>
  <c r="EY93" i="1"/>
  <c r="EP69" i="1"/>
  <c r="EM74" i="1"/>
  <c r="EM75" i="1" s="1"/>
  <c r="EM76" i="1" s="1"/>
  <c r="EM77" i="1" s="1"/>
  <c r="EM78" i="1" s="1"/>
  <c r="EM79" i="1" s="1"/>
  <c r="EM80" i="1" s="1"/>
  <c r="EM81" i="1" s="1"/>
  <c r="EM82" i="1" s="1"/>
  <c r="EM84" i="1" s="1"/>
  <c r="EM85" i="1" s="1"/>
  <c r="EM86" i="1" s="1"/>
  <c r="EM87" i="1" s="1"/>
  <c r="EM88" i="1" s="1"/>
  <c r="EM89" i="1" s="1"/>
  <c r="EM90" i="1" s="1"/>
  <c r="EM91" i="1" s="1"/>
  <c r="EM92" i="1" s="1"/>
  <c r="DR83" i="1"/>
  <c r="DS59" i="1"/>
  <c r="DS35" i="1"/>
  <c r="CO83" i="1"/>
  <c r="CN83" i="1"/>
  <c r="CP59" i="1"/>
  <c r="CP35" i="1"/>
  <c r="CO35" i="1"/>
  <c r="CO12" i="1"/>
  <c r="BJ83" i="1"/>
  <c r="BK59" i="1"/>
  <c r="BK35" i="1"/>
  <c r="BJ12" i="1"/>
  <c r="AG83" i="1"/>
  <c r="DH92" i="1"/>
  <c r="DF92" i="1"/>
  <c r="DD92" i="1"/>
  <c r="DH91" i="1"/>
  <c r="DF91" i="1"/>
  <c r="DD91" i="1"/>
  <c r="DH90" i="1"/>
  <c r="DF90" i="1"/>
  <c r="DD90" i="1"/>
  <c r="DH89" i="1"/>
  <c r="DF89" i="1"/>
  <c r="DD89" i="1"/>
  <c r="DH88" i="1"/>
  <c r="DF88" i="1"/>
  <c r="DD88" i="1"/>
  <c r="DH87" i="1"/>
  <c r="DF87" i="1"/>
  <c r="DD87" i="1"/>
  <c r="DH86" i="1"/>
  <c r="DF86" i="1"/>
  <c r="DD86" i="1"/>
  <c r="DH85" i="1"/>
  <c r="DF85" i="1"/>
  <c r="DD85" i="1"/>
  <c r="DH84" i="1"/>
  <c r="DF84" i="1"/>
  <c r="DD84" i="1"/>
  <c r="DH82" i="1"/>
  <c r="DF82" i="1"/>
  <c r="DD82" i="1"/>
  <c r="DH81" i="1"/>
  <c r="DF81" i="1"/>
  <c r="DD81" i="1"/>
  <c r="DH80" i="1"/>
  <c r="DF80" i="1"/>
  <c r="DD80" i="1"/>
  <c r="DH79" i="1"/>
  <c r="DF79" i="1"/>
  <c r="DD79" i="1"/>
  <c r="DH78" i="1"/>
  <c r="DF78" i="1"/>
  <c r="DD78" i="1"/>
  <c r="DH77" i="1"/>
  <c r="DF77" i="1"/>
  <c r="DD77" i="1"/>
  <c r="DH76" i="1"/>
  <c r="DF76" i="1"/>
  <c r="DD76" i="1"/>
  <c r="DH75" i="1"/>
  <c r="DF75" i="1"/>
  <c r="DD75" i="1"/>
  <c r="DH74" i="1"/>
  <c r="DI74" i="1" s="1"/>
  <c r="DF74" i="1"/>
  <c r="DG74" i="1" s="1"/>
  <c r="DD74" i="1"/>
  <c r="CD92" i="1"/>
  <c r="CB92" i="1"/>
  <c r="BZ92" i="1"/>
  <c r="CD91" i="1"/>
  <c r="CB91" i="1"/>
  <c r="BZ91" i="1"/>
  <c r="CD90" i="1"/>
  <c r="CB90" i="1"/>
  <c r="BZ90" i="1"/>
  <c r="CD89" i="1"/>
  <c r="CB89" i="1"/>
  <c r="BZ89" i="1"/>
  <c r="CD88" i="1"/>
  <c r="CB88" i="1"/>
  <c r="BZ88" i="1"/>
  <c r="CD87" i="1"/>
  <c r="CB87" i="1"/>
  <c r="BZ87" i="1"/>
  <c r="CD86" i="1"/>
  <c r="CB86" i="1"/>
  <c r="BZ86" i="1"/>
  <c r="CD85" i="1"/>
  <c r="CB85" i="1"/>
  <c r="BZ85" i="1"/>
  <c r="CD84" i="1"/>
  <c r="CB84" i="1"/>
  <c r="BZ84" i="1"/>
  <c r="CD82" i="1"/>
  <c r="CB82" i="1"/>
  <c r="BZ82" i="1"/>
  <c r="CD81" i="1"/>
  <c r="CB81" i="1"/>
  <c r="BZ81" i="1"/>
  <c r="CD80" i="1"/>
  <c r="CB80" i="1"/>
  <c r="BZ80" i="1"/>
  <c r="CD79" i="1"/>
  <c r="CB79" i="1"/>
  <c r="BZ79" i="1"/>
  <c r="CD78" i="1"/>
  <c r="CB78" i="1"/>
  <c r="BZ78" i="1"/>
  <c r="CD77" i="1"/>
  <c r="CB77" i="1"/>
  <c r="BZ77" i="1"/>
  <c r="CD76" i="1"/>
  <c r="CB76" i="1"/>
  <c r="BZ76" i="1"/>
  <c r="CD75" i="1"/>
  <c r="CB75" i="1"/>
  <c r="BZ75" i="1"/>
  <c r="CD74" i="1"/>
  <c r="CB74" i="1"/>
  <c r="BZ74" i="1"/>
  <c r="CA74" i="1" s="1"/>
  <c r="AZ92" i="1"/>
  <c r="AX92" i="1"/>
  <c r="AV92" i="1"/>
  <c r="AZ91" i="1"/>
  <c r="AX91" i="1"/>
  <c r="AV91" i="1"/>
  <c r="AZ90" i="1"/>
  <c r="AX90" i="1"/>
  <c r="AV90" i="1"/>
  <c r="AZ89" i="1"/>
  <c r="AX89" i="1"/>
  <c r="AV89" i="1"/>
  <c r="AZ88" i="1"/>
  <c r="AX88" i="1"/>
  <c r="AV88" i="1"/>
  <c r="AZ87" i="1"/>
  <c r="AX87" i="1"/>
  <c r="AV87" i="1"/>
  <c r="AZ86" i="1"/>
  <c r="AX86" i="1"/>
  <c r="AV86" i="1"/>
  <c r="AZ85" i="1"/>
  <c r="AX85" i="1"/>
  <c r="AV85" i="1"/>
  <c r="AZ84" i="1"/>
  <c r="AX84" i="1"/>
  <c r="AV84" i="1"/>
  <c r="AZ82" i="1"/>
  <c r="AX82" i="1"/>
  <c r="AV82" i="1"/>
  <c r="AZ81" i="1"/>
  <c r="AX81" i="1"/>
  <c r="AV81" i="1"/>
  <c r="AZ80" i="1"/>
  <c r="AX80" i="1"/>
  <c r="AV80" i="1"/>
  <c r="AZ79" i="1"/>
  <c r="AX79" i="1"/>
  <c r="AV79" i="1"/>
  <c r="AZ78" i="1"/>
  <c r="AX78" i="1"/>
  <c r="AV78" i="1"/>
  <c r="AZ77" i="1"/>
  <c r="AX77" i="1"/>
  <c r="AV77" i="1"/>
  <c r="AZ76" i="1"/>
  <c r="AX76" i="1"/>
  <c r="AV76" i="1"/>
  <c r="AZ75" i="1"/>
  <c r="AX75" i="1"/>
  <c r="AV75" i="1"/>
  <c r="AZ74" i="1"/>
  <c r="BA74" i="1" s="1"/>
  <c r="AX74" i="1"/>
  <c r="AY74" i="1" s="1"/>
  <c r="AV74" i="1"/>
  <c r="AW74" i="1" s="1"/>
  <c r="DH68" i="1"/>
  <c r="DF68" i="1"/>
  <c r="DD68" i="1"/>
  <c r="DH67" i="1"/>
  <c r="DF67" i="1"/>
  <c r="DD67" i="1"/>
  <c r="DH66" i="1"/>
  <c r="DF66" i="1"/>
  <c r="DD66" i="1"/>
  <c r="DH65" i="1"/>
  <c r="DF65" i="1"/>
  <c r="DD65" i="1"/>
  <c r="DH64" i="1"/>
  <c r="DF64" i="1"/>
  <c r="DD64" i="1"/>
  <c r="DH63" i="1"/>
  <c r="DF63" i="1"/>
  <c r="DD63" i="1"/>
  <c r="DH62" i="1"/>
  <c r="DF62" i="1"/>
  <c r="DD62" i="1"/>
  <c r="DH61" i="1"/>
  <c r="DF61" i="1"/>
  <c r="DD61" i="1"/>
  <c r="DH60" i="1"/>
  <c r="DF60" i="1"/>
  <c r="DD60" i="1"/>
  <c r="DH58" i="1"/>
  <c r="DF58" i="1"/>
  <c r="DD58" i="1"/>
  <c r="DH57" i="1"/>
  <c r="DF57" i="1"/>
  <c r="DD57" i="1"/>
  <c r="DH56" i="1"/>
  <c r="DF56" i="1"/>
  <c r="DD56" i="1"/>
  <c r="DH55" i="1"/>
  <c r="DF55" i="1"/>
  <c r="DD55" i="1"/>
  <c r="DH54" i="1"/>
  <c r="DF54" i="1"/>
  <c r="DD54" i="1"/>
  <c r="DH53" i="1"/>
  <c r="DF53" i="1"/>
  <c r="DD53" i="1"/>
  <c r="DH52" i="1"/>
  <c r="DF52" i="1"/>
  <c r="DD52" i="1"/>
  <c r="DH51" i="1"/>
  <c r="DF51" i="1"/>
  <c r="DD51" i="1"/>
  <c r="DH50" i="1"/>
  <c r="DI50" i="1" s="1"/>
  <c r="DF50" i="1"/>
  <c r="DG50" i="1" s="1"/>
  <c r="DD50" i="1"/>
  <c r="CD68" i="1"/>
  <c r="CB68" i="1"/>
  <c r="BZ68" i="1"/>
  <c r="CD67" i="1"/>
  <c r="CB67" i="1"/>
  <c r="BZ67" i="1"/>
  <c r="CD66" i="1"/>
  <c r="CB66" i="1"/>
  <c r="BZ66" i="1"/>
  <c r="CD65" i="1"/>
  <c r="CB65" i="1"/>
  <c r="BZ65" i="1"/>
  <c r="CD64" i="1"/>
  <c r="CB64" i="1"/>
  <c r="BZ64" i="1"/>
  <c r="CD63" i="1"/>
  <c r="CB63" i="1"/>
  <c r="BZ63" i="1"/>
  <c r="CD62" i="1"/>
  <c r="CB62" i="1"/>
  <c r="BZ62" i="1"/>
  <c r="CD61" i="1"/>
  <c r="CB61" i="1"/>
  <c r="BZ61" i="1"/>
  <c r="CD60" i="1"/>
  <c r="CB60" i="1"/>
  <c r="BZ60" i="1"/>
  <c r="CD58" i="1"/>
  <c r="CB58" i="1"/>
  <c r="BZ58" i="1"/>
  <c r="CD57" i="1"/>
  <c r="CB57" i="1"/>
  <c r="BZ57" i="1"/>
  <c r="CD56" i="1"/>
  <c r="CB56" i="1"/>
  <c r="BZ56" i="1"/>
  <c r="CD55" i="1"/>
  <c r="CB55" i="1"/>
  <c r="BZ55" i="1"/>
  <c r="CD54" i="1"/>
  <c r="CB54" i="1"/>
  <c r="BZ54" i="1"/>
  <c r="CD53" i="1"/>
  <c r="CB53" i="1"/>
  <c r="BZ53" i="1"/>
  <c r="CD52" i="1"/>
  <c r="CB52" i="1"/>
  <c r="BZ52" i="1"/>
  <c r="CD51" i="1"/>
  <c r="CB51" i="1"/>
  <c r="BZ51" i="1"/>
  <c r="CD50" i="1"/>
  <c r="CE50" i="1" s="1"/>
  <c r="CB50" i="1"/>
  <c r="BZ50" i="1"/>
  <c r="AZ68" i="1"/>
  <c r="AX68" i="1"/>
  <c r="AV68" i="1"/>
  <c r="AZ67" i="1"/>
  <c r="AX67" i="1"/>
  <c r="AV67" i="1"/>
  <c r="AZ66" i="1"/>
  <c r="AX66" i="1"/>
  <c r="AV66" i="1"/>
  <c r="AZ65" i="1"/>
  <c r="AX65" i="1"/>
  <c r="AV65" i="1"/>
  <c r="AZ64" i="1"/>
  <c r="AX64" i="1"/>
  <c r="AV64" i="1"/>
  <c r="AZ63" i="1"/>
  <c r="AX63" i="1"/>
  <c r="AV63" i="1"/>
  <c r="AZ62" i="1"/>
  <c r="AX62" i="1"/>
  <c r="AV62" i="1"/>
  <c r="AZ61" i="1"/>
  <c r="AX61" i="1"/>
  <c r="AV61" i="1"/>
  <c r="AZ60" i="1"/>
  <c r="AX60" i="1"/>
  <c r="AV60" i="1"/>
  <c r="AZ58" i="1"/>
  <c r="AX58" i="1"/>
  <c r="AV58" i="1"/>
  <c r="AZ57" i="1"/>
  <c r="AX57" i="1"/>
  <c r="AV57" i="1"/>
  <c r="AZ56" i="1"/>
  <c r="AX56" i="1"/>
  <c r="AV56" i="1"/>
  <c r="AZ55" i="1"/>
  <c r="AX55" i="1"/>
  <c r="AV55" i="1"/>
  <c r="AZ54" i="1"/>
  <c r="AX54" i="1"/>
  <c r="AV54" i="1"/>
  <c r="AZ53" i="1"/>
  <c r="AX53" i="1"/>
  <c r="AV53" i="1"/>
  <c r="AZ52" i="1"/>
  <c r="AX52" i="1"/>
  <c r="AV52" i="1"/>
  <c r="AZ51" i="1"/>
  <c r="AX51" i="1"/>
  <c r="AV51" i="1"/>
  <c r="AZ50" i="1"/>
  <c r="BA50" i="1" s="1"/>
  <c r="AX50" i="1"/>
  <c r="AV50" i="1"/>
  <c r="DH44" i="1"/>
  <c r="DF44" i="1"/>
  <c r="DD44" i="1"/>
  <c r="DH43" i="1"/>
  <c r="DF43" i="1"/>
  <c r="DD43" i="1"/>
  <c r="DH42" i="1"/>
  <c r="DF42" i="1"/>
  <c r="DD42" i="1"/>
  <c r="DH41" i="1"/>
  <c r="DF41" i="1"/>
  <c r="DD41" i="1"/>
  <c r="DH40" i="1"/>
  <c r="DF40" i="1"/>
  <c r="DD40" i="1"/>
  <c r="DH39" i="1"/>
  <c r="DF39" i="1"/>
  <c r="DD39" i="1"/>
  <c r="DH38" i="1"/>
  <c r="DF38" i="1"/>
  <c r="DD38" i="1"/>
  <c r="DH37" i="1"/>
  <c r="DF37" i="1"/>
  <c r="DD37" i="1"/>
  <c r="DH36" i="1"/>
  <c r="DF36" i="1"/>
  <c r="DD36" i="1"/>
  <c r="DH34" i="1"/>
  <c r="DF34" i="1"/>
  <c r="DD34" i="1"/>
  <c r="DH33" i="1"/>
  <c r="DF33" i="1"/>
  <c r="DD33" i="1"/>
  <c r="DH32" i="1"/>
  <c r="DF32" i="1"/>
  <c r="DD32" i="1"/>
  <c r="DH31" i="1"/>
  <c r="DF31" i="1"/>
  <c r="DD31" i="1"/>
  <c r="DH30" i="1"/>
  <c r="DF30" i="1"/>
  <c r="DD30" i="1"/>
  <c r="DH29" i="1"/>
  <c r="DF29" i="1"/>
  <c r="DD29" i="1"/>
  <c r="DH28" i="1"/>
  <c r="DF28" i="1"/>
  <c r="DD28" i="1"/>
  <c r="DH27" i="1"/>
  <c r="DF27" i="1"/>
  <c r="DD27" i="1"/>
  <c r="DH26" i="1"/>
  <c r="DI26" i="1" s="1"/>
  <c r="DF26" i="1"/>
  <c r="DG26" i="1" s="1"/>
  <c r="DD26" i="1"/>
  <c r="CD44" i="1"/>
  <c r="CB44" i="1"/>
  <c r="BZ44" i="1"/>
  <c r="CD43" i="1"/>
  <c r="CB43" i="1"/>
  <c r="BZ43" i="1"/>
  <c r="CD42" i="1"/>
  <c r="CB42" i="1"/>
  <c r="BZ42" i="1"/>
  <c r="CD41" i="1"/>
  <c r="CB41" i="1"/>
  <c r="BZ41" i="1"/>
  <c r="CD40" i="1"/>
  <c r="CB40" i="1"/>
  <c r="BZ40" i="1"/>
  <c r="CD39" i="1"/>
  <c r="CB39" i="1"/>
  <c r="BZ39" i="1"/>
  <c r="CD38" i="1"/>
  <c r="CB38" i="1"/>
  <c r="BZ38" i="1"/>
  <c r="CD37" i="1"/>
  <c r="CB37" i="1"/>
  <c r="BZ37" i="1"/>
  <c r="CD36" i="1"/>
  <c r="CB36" i="1"/>
  <c r="BZ36" i="1"/>
  <c r="CD34" i="1"/>
  <c r="CB34" i="1"/>
  <c r="BZ34" i="1"/>
  <c r="CD33" i="1"/>
  <c r="CB33" i="1"/>
  <c r="BZ33" i="1"/>
  <c r="CD32" i="1"/>
  <c r="CB32" i="1"/>
  <c r="BZ32" i="1"/>
  <c r="CD31" i="1"/>
  <c r="CB31" i="1"/>
  <c r="BZ31" i="1"/>
  <c r="CD30" i="1"/>
  <c r="CB30" i="1"/>
  <c r="BZ30" i="1"/>
  <c r="CD29" i="1"/>
  <c r="CB29" i="1"/>
  <c r="BZ29" i="1"/>
  <c r="CD28" i="1"/>
  <c r="CB28" i="1"/>
  <c r="BZ28" i="1"/>
  <c r="CD27" i="1"/>
  <c r="CB27" i="1"/>
  <c r="BZ27" i="1"/>
  <c r="CD26" i="1"/>
  <c r="CE26" i="1" s="1"/>
  <c r="CB26" i="1"/>
  <c r="BZ26" i="1"/>
  <c r="AZ44" i="1"/>
  <c r="AX44" i="1"/>
  <c r="AV44" i="1"/>
  <c r="AZ43" i="1"/>
  <c r="AX43" i="1"/>
  <c r="AV43" i="1"/>
  <c r="AZ42" i="1"/>
  <c r="AX42" i="1"/>
  <c r="AV42" i="1"/>
  <c r="AZ41" i="1"/>
  <c r="AX41" i="1"/>
  <c r="AV41" i="1"/>
  <c r="AZ40" i="1"/>
  <c r="AX40" i="1"/>
  <c r="AV40" i="1"/>
  <c r="AZ39" i="1"/>
  <c r="AX39" i="1"/>
  <c r="AV39" i="1"/>
  <c r="AZ38" i="1"/>
  <c r="AX38" i="1"/>
  <c r="AV38" i="1"/>
  <c r="AZ37" i="1"/>
  <c r="AX37" i="1"/>
  <c r="AV37" i="1"/>
  <c r="AZ36" i="1"/>
  <c r="AX36" i="1"/>
  <c r="AV36" i="1"/>
  <c r="AZ34" i="1"/>
  <c r="AX34" i="1"/>
  <c r="AV34" i="1"/>
  <c r="AZ33" i="1"/>
  <c r="AX33" i="1"/>
  <c r="AV33" i="1"/>
  <c r="AZ32" i="1"/>
  <c r="AX32" i="1"/>
  <c r="AV32" i="1"/>
  <c r="AZ31" i="1"/>
  <c r="AX31" i="1"/>
  <c r="AV31" i="1"/>
  <c r="AZ30" i="1"/>
  <c r="AX30" i="1"/>
  <c r="AV30" i="1"/>
  <c r="AZ29" i="1"/>
  <c r="AX29" i="1"/>
  <c r="AV29" i="1"/>
  <c r="AZ28" i="1"/>
  <c r="AX28" i="1"/>
  <c r="AV28" i="1"/>
  <c r="AZ27" i="1"/>
  <c r="AX27" i="1"/>
  <c r="AV27" i="1"/>
  <c r="AZ26" i="1"/>
  <c r="BA26" i="1" s="1"/>
  <c r="AX26" i="1"/>
  <c r="AV26" i="1"/>
  <c r="DH21" i="1"/>
  <c r="DF21" i="1"/>
  <c r="DD21" i="1"/>
  <c r="DH20" i="1"/>
  <c r="DF20" i="1"/>
  <c r="DD20" i="1"/>
  <c r="DH19" i="1"/>
  <c r="DF19" i="1"/>
  <c r="DD19" i="1"/>
  <c r="DH18" i="1"/>
  <c r="DF18" i="1"/>
  <c r="DD18" i="1"/>
  <c r="DH17" i="1"/>
  <c r="DF17" i="1"/>
  <c r="DD17" i="1"/>
  <c r="DH16" i="1"/>
  <c r="DF16" i="1"/>
  <c r="DD16" i="1"/>
  <c r="DH15" i="1"/>
  <c r="DF15" i="1"/>
  <c r="DD15" i="1"/>
  <c r="DH14" i="1"/>
  <c r="DF14" i="1"/>
  <c r="DD14" i="1"/>
  <c r="DH13" i="1"/>
  <c r="DF13" i="1"/>
  <c r="DD13" i="1"/>
  <c r="DH11" i="1"/>
  <c r="DF11" i="1"/>
  <c r="DD11" i="1"/>
  <c r="DH10" i="1"/>
  <c r="DF10" i="1"/>
  <c r="DD10" i="1"/>
  <c r="DH9" i="1"/>
  <c r="DF9" i="1"/>
  <c r="DD9" i="1"/>
  <c r="DH8" i="1"/>
  <c r="DF8" i="1"/>
  <c r="DD8" i="1"/>
  <c r="DH7" i="1"/>
  <c r="DF7" i="1"/>
  <c r="DD7" i="1"/>
  <c r="DH6" i="1"/>
  <c r="DF6" i="1"/>
  <c r="DD6" i="1"/>
  <c r="DH5" i="1"/>
  <c r="DF5" i="1"/>
  <c r="DD5" i="1"/>
  <c r="DH4" i="1"/>
  <c r="DF4" i="1"/>
  <c r="DD4" i="1"/>
  <c r="DH3" i="1"/>
  <c r="DI3" i="1" s="1"/>
  <c r="DF3" i="1"/>
  <c r="DG3" i="1" s="1"/>
  <c r="DD3" i="1"/>
  <c r="DE3" i="1" s="1"/>
  <c r="CD21" i="1"/>
  <c r="CB21" i="1"/>
  <c r="BZ21" i="1"/>
  <c r="CD20" i="1"/>
  <c r="CB20" i="1"/>
  <c r="BZ20" i="1"/>
  <c r="CD19" i="1"/>
  <c r="CB19" i="1"/>
  <c r="BZ19" i="1"/>
  <c r="CD18" i="1"/>
  <c r="CB18" i="1"/>
  <c r="BZ18" i="1"/>
  <c r="CD17" i="1"/>
  <c r="CB17" i="1"/>
  <c r="BZ17" i="1"/>
  <c r="CD16" i="1"/>
  <c r="CB16" i="1"/>
  <c r="BZ16" i="1"/>
  <c r="CD15" i="1"/>
  <c r="CB15" i="1"/>
  <c r="BZ15" i="1"/>
  <c r="CD14" i="1"/>
  <c r="CB14" i="1"/>
  <c r="BZ14" i="1"/>
  <c r="CD13" i="1"/>
  <c r="CB13" i="1"/>
  <c r="BZ13" i="1"/>
  <c r="CD11" i="1"/>
  <c r="CB11" i="1"/>
  <c r="BZ11" i="1"/>
  <c r="CD10" i="1"/>
  <c r="CB10" i="1"/>
  <c r="BZ10" i="1"/>
  <c r="CD9" i="1"/>
  <c r="CB9" i="1"/>
  <c r="BZ9" i="1"/>
  <c r="CD8" i="1"/>
  <c r="CB8" i="1"/>
  <c r="BZ8" i="1"/>
  <c r="CD7" i="1"/>
  <c r="CB7" i="1"/>
  <c r="BZ7" i="1"/>
  <c r="CD6" i="1"/>
  <c r="CB6" i="1"/>
  <c r="BZ6" i="1"/>
  <c r="CD5" i="1"/>
  <c r="CB5" i="1"/>
  <c r="BZ5" i="1"/>
  <c r="CD4" i="1"/>
  <c r="CB4" i="1"/>
  <c r="BZ4" i="1"/>
  <c r="CD3" i="1"/>
  <c r="CB3" i="1"/>
  <c r="CC3" i="1" s="1"/>
  <c r="BZ3" i="1"/>
  <c r="CA3" i="1" s="1"/>
  <c r="AZ21" i="1"/>
  <c r="AX21" i="1"/>
  <c r="AV21" i="1"/>
  <c r="AZ20" i="1"/>
  <c r="AX20" i="1"/>
  <c r="AV20" i="1"/>
  <c r="AZ19" i="1"/>
  <c r="AX19" i="1"/>
  <c r="AV19" i="1"/>
  <c r="AZ18" i="1"/>
  <c r="AX18" i="1"/>
  <c r="AV18" i="1"/>
  <c r="AZ17" i="1"/>
  <c r="AX17" i="1"/>
  <c r="AV17" i="1"/>
  <c r="AZ16" i="1"/>
  <c r="AX16" i="1"/>
  <c r="AV16" i="1"/>
  <c r="AZ15" i="1"/>
  <c r="AX15" i="1"/>
  <c r="AV15" i="1"/>
  <c r="AZ14" i="1"/>
  <c r="AX14" i="1"/>
  <c r="AV14" i="1"/>
  <c r="AZ13" i="1"/>
  <c r="AX13" i="1"/>
  <c r="AV13" i="1"/>
  <c r="AZ11" i="1"/>
  <c r="AX11" i="1"/>
  <c r="AV11" i="1"/>
  <c r="AZ10" i="1"/>
  <c r="AX10" i="1"/>
  <c r="AV10" i="1"/>
  <c r="AZ9" i="1"/>
  <c r="AX9" i="1"/>
  <c r="AV9" i="1"/>
  <c r="AZ8" i="1"/>
  <c r="AX8" i="1"/>
  <c r="AV8" i="1"/>
  <c r="AZ7" i="1"/>
  <c r="AX7" i="1"/>
  <c r="AV7" i="1"/>
  <c r="AZ6" i="1"/>
  <c r="AX6" i="1"/>
  <c r="AV6" i="1"/>
  <c r="AZ5" i="1"/>
  <c r="AX5" i="1"/>
  <c r="AV5" i="1"/>
  <c r="AZ4" i="1"/>
  <c r="AX4" i="1"/>
  <c r="AV4" i="1"/>
  <c r="AZ3" i="1"/>
  <c r="BA3" i="1" s="1"/>
  <c r="AX3" i="1"/>
  <c r="AY3" i="1" s="1"/>
  <c r="AV3" i="1"/>
  <c r="AW3" i="1" s="1"/>
  <c r="V92" i="1"/>
  <c r="V91" i="1"/>
  <c r="V90" i="1"/>
  <c r="V89" i="1"/>
  <c r="V88" i="1"/>
  <c r="V87" i="1"/>
  <c r="V86" i="1"/>
  <c r="V85" i="1"/>
  <c r="V84" i="1"/>
  <c r="V82" i="1"/>
  <c r="V81" i="1"/>
  <c r="V80" i="1"/>
  <c r="V79" i="1"/>
  <c r="V78" i="1"/>
  <c r="V77" i="1"/>
  <c r="V76" i="1"/>
  <c r="V75" i="1"/>
  <c r="V74" i="1"/>
  <c r="W74" i="1" s="1"/>
  <c r="V68" i="1"/>
  <c r="V67" i="1"/>
  <c r="V66" i="1"/>
  <c r="V65" i="1"/>
  <c r="V64" i="1"/>
  <c r="V63" i="1"/>
  <c r="V62" i="1"/>
  <c r="V61" i="1"/>
  <c r="V60" i="1"/>
  <c r="V58" i="1"/>
  <c r="V57" i="1"/>
  <c r="V56" i="1"/>
  <c r="V55" i="1"/>
  <c r="V54" i="1"/>
  <c r="V53" i="1"/>
  <c r="V52" i="1"/>
  <c r="V51" i="1"/>
  <c r="V50" i="1"/>
  <c r="V44" i="1"/>
  <c r="V43" i="1"/>
  <c r="V42" i="1"/>
  <c r="V41" i="1"/>
  <c r="V40" i="1"/>
  <c r="V39" i="1"/>
  <c r="V38" i="1"/>
  <c r="V37" i="1"/>
  <c r="V36" i="1"/>
  <c r="V34" i="1"/>
  <c r="V33" i="1"/>
  <c r="V32" i="1"/>
  <c r="V31" i="1"/>
  <c r="V30" i="1"/>
  <c r="V29" i="1"/>
  <c r="V28" i="1"/>
  <c r="V27" i="1"/>
  <c r="V26" i="1"/>
  <c r="W26" i="1" s="1"/>
  <c r="V11" i="1"/>
  <c r="V10" i="1"/>
  <c r="V9" i="1"/>
  <c r="V8" i="1"/>
  <c r="V7" i="1"/>
  <c r="V6" i="1"/>
  <c r="V5" i="1"/>
  <c r="V4" i="1"/>
  <c r="V3" i="1"/>
  <c r="T92" i="1"/>
  <c r="T91" i="1"/>
  <c r="T90" i="1"/>
  <c r="T89" i="1"/>
  <c r="T88" i="1"/>
  <c r="T87" i="1"/>
  <c r="T86" i="1"/>
  <c r="T85" i="1"/>
  <c r="T84" i="1"/>
  <c r="T82" i="1"/>
  <c r="T81" i="1"/>
  <c r="T80" i="1"/>
  <c r="T79" i="1"/>
  <c r="T78" i="1"/>
  <c r="T77" i="1"/>
  <c r="T76" i="1"/>
  <c r="T75" i="1"/>
  <c r="T74" i="1"/>
  <c r="U74" i="1" s="1"/>
  <c r="T68" i="1"/>
  <c r="T67" i="1"/>
  <c r="T66" i="1"/>
  <c r="T65" i="1"/>
  <c r="T64" i="1"/>
  <c r="T63" i="1"/>
  <c r="T62" i="1"/>
  <c r="T61" i="1"/>
  <c r="T60" i="1"/>
  <c r="T58" i="1"/>
  <c r="T57" i="1"/>
  <c r="T56" i="1"/>
  <c r="T55" i="1"/>
  <c r="T54" i="1"/>
  <c r="T53" i="1"/>
  <c r="T52" i="1"/>
  <c r="T51" i="1"/>
  <c r="T50" i="1"/>
  <c r="T44" i="1"/>
  <c r="T43" i="1"/>
  <c r="T42" i="1"/>
  <c r="T41" i="1"/>
  <c r="T40" i="1"/>
  <c r="T39" i="1"/>
  <c r="T38" i="1"/>
  <c r="T37" i="1"/>
  <c r="T36" i="1"/>
  <c r="T34" i="1"/>
  <c r="T33" i="1"/>
  <c r="T32" i="1"/>
  <c r="T31" i="1"/>
  <c r="T30" i="1"/>
  <c r="T29" i="1"/>
  <c r="T28" i="1"/>
  <c r="T27" i="1"/>
  <c r="T26" i="1"/>
  <c r="T11" i="1"/>
  <c r="T10" i="1"/>
  <c r="T9" i="1"/>
  <c r="T8" i="1"/>
  <c r="T7" i="1"/>
  <c r="T6" i="1"/>
  <c r="T5" i="1"/>
  <c r="T4" i="1"/>
  <c r="T3" i="1"/>
  <c r="U3" i="1" s="1"/>
  <c r="R92" i="1"/>
  <c r="R91" i="1"/>
  <c r="R90" i="1"/>
  <c r="R89" i="1"/>
  <c r="R88" i="1"/>
  <c r="R87" i="1"/>
  <c r="R86" i="1"/>
  <c r="R85" i="1"/>
  <c r="R84" i="1"/>
  <c r="R82" i="1"/>
  <c r="R81" i="1"/>
  <c r="R80" i="1"/>
  <c r="R79" i="1"/>
  <c r="R78" i="1"/>
  <c r="R77" i="1"/>
  <c r="R76" i="1"/>
  <c r="R75" i="1"/>
  <c r="R74" i="1"/>
  <c r="R68" i="1"/>
  <c r="R67" i="1"/>
  <c r="R66" i="1"/>
  <c r="R65" i="1"/>
  <c r="R64" i="1"/>
  <c r="R63" i="1"/>
  <c r="R62" i="1"/>
  <c r="R61" i="1"/>
  <c r="R60" i="1"/>
  <c r="R58" i="1"/>
  <c r="R57" i="1"/>
  <c r="R56" i="1"/>
  <c r="R55" i="1"/>
  <c r="R54" i="1"/>
  <c r="R53" i="1"/>
  <c r="R52" i="1"/>
  <c r="R51" i="1"/>
  <c r="R50" i="1"/>
  <c r="S50" i="1" s="1"/>
  <c r="R44" i="1"/>
  <c r="R43" i="1"/>
  <c r="R42" i="1"/>
  <c r="R41" i="1"/>
  <c r="R40" i="1"/>
  <c r="R39" i="1"/>
  <c r="R38" i="1"/>
  <c r="R37" i="1"/>
  <c r="R36" i="1"/>
  <c r="R34" i="1"/>
  <c r="R33" i="1"/>
  <c r="R32" i="1"/>
  <c r="R31" i="1"/>
  <c r="R30" i="1"/>
  <c r="R29" i="1"/>
  <c r="R28" i="1"/>
  <c r="R27" i="1"/>
  <c r="R26" i="1"/>
  <c r="S26" i="1" s="1"/>
  <c r="R11" i="1"/>
  <c r="R4" i="1"/>
  <c r="R5" i="1"/>
  <c r="R6" i="1"/>
  <c r="R7" i="1"/>
  <c r="R8" i="1"/>
  <c r="R9" i="1"/>
  <c r="R10" i="1"/>
  <c r="R3" i="1"/>
  <c r="S3" i="1" s="1"/>
  <c r="DJ92" i="1"/>
  <c r="DJ91" i="1"/>
  <c r="DJ90" i="1"/>
  <c r="DJ89" i="1"/>
  <c r="DJ88" i="1"/>
  <c r="DJ87" i="1"/>
  <c r="DJ86" i="1"/>
  <c r="DJ85" i="1"/>
  <c r="DJ84" i="1"/>
  <c r="DJ82" i="1"/>
  <c r="DJ81" i="1"/>
  <c r="DJ80" i="1"/>
  <c r="DJ79" i="1"/>
  <c r="DJ78" i="1"/>
  <c r="DJ77" i="1"/>
  <c r="DJ76" i="1"/>
  <c r="DJ75" i="1"/>
  <c r="DJ74" i="1"/>
  <c r="DK74" i="1" s="1"/>
  <c r="BB92" i="1"/>
  <c r="BB91" i="1"/>
  <c r="BB90" i="1"/>
  <c r="BB89" i="1"/>
  <c r="BB88" i="1"/>
  <c r="BB87" i="1"/>
  <c r="BB86" i="1"/>
  <c r="BB85" i="1"/>
  <c r="BB84" i="1"/>
  <c r="BB82" i="1"/>
  <c r="BB81" i="1"/>
  <c r="BB80" i="1"/>
  <c r="BB79" i="1"/>
  <c r="BB78" i="1"/>
  <c r="BB77" i="1"/>
  <c r="BB76" i="1"/>
  <c r="BB75" i="1"/>
  <c r="BB74" i="1"/>
  <c r="BC74" i="1" s="1"/>
  <c r="X92" i="1"/>
  <c r="X91" i="1"/>
  <c r="X90" i="1"/>
  <c r="X89" i="1"/>
  <c r="X88" i="1"/>
  <c r="X87" i="1"/>
  <c r="X86" i="1"/>
  <c r="X85" i="1"/>
  <c r="X84" i="1"/>
  <c r="X82" i="1"/>
  <c r="X81" i="1"/>
  <c r="X80" i="1"/>
  <c r="X79" i="1"/>
  <c r="X78" i="1"/>
  <c r="X77" i="1"/>
  <c r="X76" i="1"/>
  <c r="X75" i="1"/>
  <c r="X74" i="1"/>
  <c r="Y74" i="1" s="1"/>
  <c r="DJ68" i="1"/>
  <c r="DJ67" i="1"/>
  <c r="DJ66" i="1"/>
  <c r="DJ65" i="1"/>
  <c r="DJ64" i="1"/>
  <c r="DJ63" i="1"/>
  <c r="DJ62" i="1"/>
  <c r="DJ61" i="1"/>
  <c r="DJ60" i="1"/>
  <c r="DJ58" i="1"/>
  <c r="DJ57" i="1"/>
  <c r="DJ56" i="1"/>
  <c r="DJ55" i="1"/>
  <c r="DJ54" i="1"/>
  <c r="DJ53" i="1"/>
  <c r="DJ52" i="1"/>
  <c r="DJ51" i="1"/>
  <c r="DJ50" i="1"/>
  <c r="DK50" i="1" s="1"/>
  <c r="BB68" i="1"/>
  <c r="BB67" i="1"/>
  <c r="BB66" i="1"/>
  <c r="BB65" i="1"/>
  <c r="BB64" i="1"/>
  <c r="BB63" i="1"/>
  <c r="BB62" i="1"/>
  <c r="BB61" i="1"/>
  <c r="BB60" i="1"/>
  <c r="BB58" i="1"/>
  <c r="BB57" i="1"/>
  <c r="BB56" i="1"/>
  <c r="BB55" i="1"/>
  <c r="BB54" i="1"/>
  <c r="BB53" i="1"/>
  <c r="BB52" i="1"/>
  <c r="BB51" i="1"/>
  <c r="BB50" i="1"/>
  <c r="X68" i="1"/>
  <c r="X67" i="1"/>
  <c r="X66" i="1"/>
  <c r="X65" i="1"/>
  <c r="X64" i="1"/>
  <c r="X63" i="1"/>
  <c r="X62" i="1"/>
  <c r="X61" i="1"/>
  <c r="X60" i="1"/>
  <c r="X58" i="1"/>
  <c r="X57" i="1"/>
  <c r="X56" i="1"/>
  <c r="X55" i="1"/>
  <c r="X54" i="1"/>
  <c r="X53" i="1"/>
  <c r="X52" i="1"/>
  <c r="X51" i="1"/>
  <c r="X50" i="1"/>
  <c r="Y50" i="1" s="1"/>
  <c r="X44" i="1"/>
  <c r="X43" i="1"/>
  <c r="X42" i="1"/>
  <c r="X41" i="1"/>
  <c r="X40" i="1"/>
  <c r="X39" i="1"/>
  <c r="X38" i="1"/>
  <c r="X37" i="1"/>
  <c r="X36" i="1"/>
  <c r="X34" i="1"/>
  <c r="X33" i="1"/>
  <c r="X32" i="1"/>
  <c r="X31" i="1"/>
  <c r="X30" i="1"/>
  <c r="X29" i="1"/>
  <c r="X28" i="1"/>
  <c r="X27" i="1"/>
  <c r="X26" i="1"/>
  <c r="Y26" i="1" s="1"/>
  <c r="BB44" i="1"/>
  <c r="BB43" i="1"/>
  <c r="BB42" i="1"/>
  <c r="BB41" i="1"/>
  <c r="BB40" i="1"/>
  <c r="BB39" i="1"/>
  <c r="BB38" i="1"/>
  <c r="BB37" i="1"/>
  <c r="BB36" i="1"/>
  <c r="BB34" i="1"/>
  <c r="BB33" i="1"/>
  <c r="BB32" i="1"/>
  <c r="BB31" i="1"/>
  <c r="BB30" i="1"/>
  <c r="BB29" i="1"/>
  <c r="BB28" i="1"/>
  <c r="BB27" i="1"/>
  <c r="BB26" i="1"/>
  <c r="BC26" i="1" s="1"/>
  <c r="DJ44" i="1"/>
  <c r="DJ43" i="1"/>
  <c r="DJ42" i="1"/>
  <c r="DJ41" i="1"/>
  <c r="DJ40" i="1"/>
  <c r="DJ39" i="1"/>
  <c r="DJ38" i="1"/>
  <c r="DJ37" i="1"/>
  <c r="DJ36" i="1"/>
  <c r="DJ34" i="1"/>
  <c r="DJ33" i="1"/>
  <c r="DJ32" i="1"/>
  <c r="DJ31" i="1"/>
  <c r="DJ30" i="1"/>
  <c r="DJ29" i="1"/>
  <c r="DJ28" i="1"/>
  <c r="DJ27" i="1"/>
  <c r="DJ26" i="1"/>
  <c r="DK26" i="1" s="1"/>
  <c r="DJ21" i="1"/>
  <c r="DJ20" i="1"/>
  <c r="DJ19" i="1"/>
  <c r="DJ18" i="1"/>
  <c r="DJ17" i="1"/>
  <c r="DJ16" i="1"/>
  <c r="DJ15" i="1"/>
  <c r="DJ14" i="1"/>
  <c r="DJ13" i="1"/>
  <c r="DJ11" i="1"/>
  <c r="DJ10" i="1"/>
  <c r="DJ9" i="1"/>
  <c r="DJ8" i="1"/>
  <c r="DJ7" i="1"/>
  <c r="DJ6" i="1"/>
  <c r="DJ5" i="1"/>
  <c r="DJ4" i="1"/>
  <c r="DJ3" i="1"/>
  <c r="DK3" i="1" s="1"/>
  <c r="BB21" i="1"/>
  <c r="BB20" i="1"/>
  <c r="BB19" i="1"/>
  <c r="BB18" i="1"/>
  <c r="BB17" i="1"/>
  <c r="BB16" i="1"/>
  <c r="BB15" i="1"/>
  <c r="BB14" i="1"/>
  <c r="BB13" i="1"/>
  <c r="BB11" i="1"/>
  <c r="BB10" i="1"/>
  <c r="BB9" i="1"/>
  <c r="BB8" i="1"/>
  <c r="BB7" i="1"/>
  <c r="BB6" i="1"/>
  <c r="BB5" i="1"/>
  <c r="BB4" i="1"/>
  <c r="BB3" i="1"/>
  <c r="X11" i="1"/>
  <c r="X10" i="1"/>
  <c r="X9" i="1"/>
  <c r="X8" i="1"/>
  <c r="X7" i="1"/>
  <c r="X6" i="1"/>
  <c r="X5" i="1"/>
  <c r="X4" i="1"/>
  <c r="X3" i="1"/>
  <c r="Y3" i="1" s="1"/>
  <c r="CF92" i="1"/>
  <c r="CF91" i="1"/>
  <c r="CF90" i="1"/>
  <c r="CF89" i="1"/>
  <c r="CF88" i="1"/>
  <c r="CF87" i="1"/>
  <c r="CF86" i="1"/>
  <c r="CF85" i="1"/>
  <c r="CF84" i="1"/>
  <c r="CF82" i="1"/>
  <c r="CF81" i="1"/>
  <c r="CF80" i="1"/>
  <c r="CF79" i="1"/>
  <c r="CF78" i="1"/>
  <c r="CF77" i="1"/>
  <c r="CF76" i="1"/>
  <c r="CF75" i="1"/>
  <c r="CF74" i="1"/>
  <c r="CG74" i="1" s="1"/>
  <c r="CF68" i="1"/>
  <c r="CF67" i="1"/>
  <c r="CF66" i="1"/>
  <c r="CF65" i="1"/>
  <c r="CF64" i="1"/>
  <c r="CF63" i="1"/>
  <c r="CF62" i="1"/>
  <c r="CF61" i="1"/>
  <c r="CF60" i="1"/>
  <c r="CF58" i="1"/>
  <c r="CF57" i="1"/>
  <c r="CF56" i="1"/>
  <c r="CF55" i="1"/>
  <c r="CF54" i="1"/>
  <c r="CF53" i="1"/>
  <c r="CF52" i="1"/>
  <c r="CF51" i="1"/>
  <c r="CF50" i="1"/>
  <c r="CG50" i="1" s="1"/>
  <c r="CF44" i="1"/>
  <c r="CF43" i="1"/>
  <c r="CF42" i="1"/>
  <c r="CF41" i="1"/>
  <c r="CF40" i="1"/>
  <c r="CF39" i="1"/>
  <c r="CF38" i="1"/>
  <c r="CF37" i="1"/>
  <c r="CF36" i="1"/>
  <c r="CF34" i="1"/>
  <c r="CF33" i="1"/>
  <c r="CF32" i="1"/>
  <c r="CF31" i="1"/>
  <c r="CF30" i="1"/>
  <c r="CF29" i="1"/>
  <c r="CF28" i="1"/>
  <c r="CF27" i="1"/>
  <c r="CF26" i="1"/>
  <c r="CG26" i="1" s="1"/>
  <c r="CF21" i="1"/>
  <c r="CF20" i="1"/>
  <c r="CF19" i="1"/>
  <c r="CF18" i="1"/>
  <c r="CF17" i="1"/>
  <c r="CF16" i="1"/>
  <c r="CF15" i="1"/>
  <c r="CF14" i="1"/>
  <c r="CF13" i="1"/>
  <c r="CF11" i="1"/>
  <c r="CF10" i="1"/>
  <c r="CF9" i="1"/>
  <c r="CF8" i="1"/>
  <c r="CF7" i="1"/>
  <c r="CF6" i="1"/>
  <c r="CF5" i="1"/>
  <c r="CF4" i="1"/>
  <c r="CF3" i="1"/>
  <c r="D3" i="1"/>
  <c r="D4" i="1" s="1"/>
  <c r="D5" i="1" s="1"/>
  <c r="D6" i="1" s="1"/>
  <c r="D7" i="1" s="1"/>
  <c r="D8" i="1" s="1"/>
  <c r="D9" i="1" s="1"/>
  <c r="D10" i="1" s="1"/>
  <c r="D11" i="1" s="1"/>
  <c r="D13" i="1" s="1"/>
  <c r="D14" i="1" s="1"/>
  <c r="D15" i="1" s="1"/>
  <c r="D16" i="1" s="1"/>
  <c r="D17" i="1" s="1"/>
  <c r="D18" i="1" s="1"/>
  <c r="D19" i="1" s="1"/>
  <c r="D20" i="1" s="1"/>
  <c r="D21" i="1" s="1"/>
  <c r="D26" i="1" s="1"/>
  <c r="D27" i="1" s="1"/>
  <c r="D28" i="1" s="1"/>
  <c r="D29" i="1" s="1"/>
  <c r="D30" i="1" s="1"/>
  <c r="D31" i="1" s="1"/>
  <c r="D32" i="1" s="1"/>
  <c r="D33" i="1" s="1"/>
  <c r="D34" i="1" s="1"/>
  <c r="D36" i="1" s="1"/>
  <c r="D37" i="1" s="1"/>
  <c r="D38" i="1" s="1"/>
  <c r="D39" i="1" s="1"/>
  <c r="D40" i="1" s="1"/>
  <c r="D41" i="1" s="1"/>
  <c r="D42" i="1" s="1"/>
  <c r="D43" i="1" s="1"/>
  <c r="D44" i="1" s="1"/>
  <c r="D50" i="1" s="1"/>
  <c r="D51" i="1" s="1"/>
  <c r="D52" i="1" s="1"/>
  <c r="D53" i="1" s="1"/>
  <c r="D54" i="1" s="1"/>
  <c r="D55" i="1" s="1"/>
  <c r="D56" i="1" s="1"/>
  <c r="D57" i="1" s="1"/>
  <c r="D58" i="1" s="1"/>
  <c r="D60" i="1" s="1"/>
  <c r="D61" i="1" s="1"/>
  <c r="D62" i="1" s="1"/>
  <c r="D63" i="1" s="1"/>
  <c r="D64" i="1" s="1"/>
  <c r="D65" i="1" s="1"/>
  <c r="D66" i="1" s="1"/>
  <c r="D67" i="1" s="1"/>
  <c r="D68" i="1" s="1"/>
  <c r="D74" i="1" s="1"/>
  <c r="D75" i="1" s="1"/>
  <c r="D76" i="1" s="1"/>
  <c r="D77" i="1" s="1"/>
  <c r="D78" i="1" s="1"/>
  <c r="D79" i="1" s="1"/>
  <c r="D80" i="1" s="1"/>
  <c r="D81" i="1" s="1"/>
  <c r="D82" i="1" s="1"/>
  <c r="D84" i="1" s="1"/>
  <c r="D85" i="1" s="1"/>
  <c r="D86" i="1" s="1"/>
  <c r="D87" i="1" s="1"/>
  <c r="D88" i="1" s="1"/>
  <c r="D89" i="1" s="1"/>
  <c r="D90" i="1" s="1"/>
  <c r="D91" i="1" s="1"/>
  <c r="D92" i="1" s="1"/>
  <c r="CU93" i="1"/>
  <c r="E12" i="9" s="1"/>
  <c r="CS93" i="1"/>
  <c r="E5" i="9" s="1"/>
  <c r="BQ93" i="1"/>
  <c r="D12" i="9" s="1"/>
  <c r="BO93" i="1"/>
  <c r="D5" i="9" s="1"/>
  <c r="I93" i="1"/>
  <c r="B12" i="9" s="1"/>
  <c r="G93" i="1"/>
  <c r="B5" i="9" s="1"/>
  <c r="E93" i="1"/>
  <c r="DP92" i="1"/>
  <c r="DL92" i="1"/>
  <c r="DB92" i="1"/>
  <c r="CW92" i="1"/>
  <c r="CY92" i="1" s="1"/>
  <c r="CL92" i="1"/>
  <c r="CH92" i="1"/>
  <c r="BX92" i="1"/>
  <c r="BS92" i="1"/>
  <c r="BU92" i="1" s="1"/>
  <c r="BH92" i="1"/>
  <c r="BD92" i="1"/>
  <c r="AT92" i="1"/>
  <c r="AO92" i="1"/>
  <c r="AD92" i="1"/>
  <c r="Z92" i="1"/>
  <c r="P92" i="1"/>
  <c r="K92" i="1"/>
  <c r="M92" i="1" s="1"/>
  <c r="DP91" i="1"/>
  <c r="DL91" i="1"/>
  <c r="DB91" i="1"/>
  <c r="CW91" i="1"/>
  <c r="CY91" i="1" s="1"/>
  <c r="CL91" i="1"/>
  <c r="CH91" i="1"/>
  <c r="BX91" i="1"/>
  <c r="BS91" i="1"/>
  <c r="BU91" i="1" s="1"/>
  <c r="BH91" i="1"/>
  <c r="BD91" i="1"/>
  <c r="AT91" i="1"/>
  <c r="AO91" i="1"/>
  <c r="AQ91" i="1" s="1"/>
  <c r="AD91" i="1"/>
  <c r="Z91" i="1"/>
  <c r="P91" i="1"/>
  <c r="K91" i="1"/>
  <c r="M91" i="1" s="1"/>
  <c r="DP90" i="1"/>
  <c r="DL90" i="1"/>
  <c r="DB90" i="1"/>
  <c r="CW90" i="1"/>
  <c r="CY90" i="1" s="1"/>
  <c r="CL90" i="1"/>
  <c r="CH90" i="1"/>
  <c r="BX90" i="1"/>
  <c r="BS90" i="1"/>
  <c r="BH90" i="1"/>
  <c r="BD90" i="1"/>
  <c r="AT90" i="1"/>
  <c r="AO90" i="1"/>
  <c r="AQ90" i="1" s="1"/>
  <c r="AD90" i="1"/>
  <c r="Z90" i="1"/>
  <c r="P90" i="1"/>
  <c r="K90" i="1"/>
  <c r="M90" i="1" s="1"/>
  <c r="DP89" i="1"/>
  <c r="DL89" i="1"/>
  <c r="DB89" i="1"/>
  <c r="CW89" i="1"/>
  <c r="CY89" i="1" s="1"/>
  <c r="CL89" i="1"/>
  <c r="CH89" i="1"/>
  <c r="BX89" i="1"/>
  <c r="BS89" i="1"/>
  <c r="BH89" i="1"/>
  <c r="BD89" i="1"/>
  <c r="AT89" i="1"/>
  <c r="AO89" i="1"/>
  <c r="AQ89" i="1" s="1"/>
  <c r="AD89" i="1"/>
  <c r="Z89" i="1"/>
  <c r="P89" i="1"/>
  <c r="K89" i="1"/>
  <c r="M89" i="1" s="1"/>
  <c r="DP88" i="1"/>
  <c r="DL88" i="1"/>
  <c r="DB88" i="1"/>
  <c r="CW88" i="1"/>
  <c r="CY88" i="1" s="1"/>
  <c r="CL88" i="1"/>
  <c r="CH88" i="1"/>
  <c r="BX88" i="1"/>
  <c r="BS88" i="1"/>
  <c r="BU88" i="1" s="1"/>
  <c r="BH88" i="1"/>
  <c r="BD88" i="1"/>
  <c r="AT88" i="1"/>
  <c r="AO88" i="1"/>
  <c r="AQ88" i="1" s="1"/>
  <c r="AD88" i="1"/>
  <c r="Z88" i="1"/>
  <c r="P88" i="1"/>
  <c r="K88" i="1"/>
  <c r="DP87" i="1"/>
  <c r="DL87" i="1"/>
  <c r="DB87" i="1"/>
  <c r="CW87" i="1"/>
  <c r="CL87" i="1"/>
  <c r="CH87" i="1"/>
  <c r="BX87" i="1"/>
  <c r="BS87" i="1"/>
  <c r="BU87" i="1" s="1"/>
  <c r="BH87" i="1"/>
  <c r="BD87" i="1"/>
  <c r="AT87" i="1"/>
  <c r="AO87" i="1"/>
  <c r="AQ87" i="1" s="1"/>
  <c r="AD87" i="1"/>
  <c r="Z87" i="1"/>
  <c r="P87" i="1"/>
  <c r="K87" i="1"/>
  <c r="DP86" i="1"/>
  <c r="DL86" i="1"/>
  <c r="DB86" i="1"/>
  <c r="CW86" i="1"/>
  <c r="CL86" i="1"/>
  <c r="CH86" i="1"/>
  <c r="BX86" i="1"/>
  <c r="BS86" i="1"/>
  <c r="BU86" i="1" s="1"/>
  <c r="BH86" i="1"/>
  <c r="BD86" i="1"/>
  <c r="AT86" i="1"/>
  <c r="AO86" i="1"/>
  <c r="AQ86" i="1" s="1"/>
  <c r="AD86" i="1"/>
  <c r="Z86" i="1"/>
  <c r="P86" i="1"/>
  <c r="K86" i="1"/>
  <c r="M86" i="1" s="1"/>
  <c r="DP85" i="1"/>
  <c r="DL85" i="1"/>
  <c r="DB85" i="1"/>
  <c r="CW85" i="1"/>
  <c r="CY85" i="1" s="1"/>
  <c r="CL85" i="1"/>
  <c r="CH85" i="1"/>
  <c r="BX85" i="1"/>
  <c r="BS85" i="1"/>
  <c r="BU85" i="1" s="1"/>
  <c r="BH85" i="1"/>
  <c r="BD85" i="1"/>
  <c r="AT85" i="1"/>
  <c r="AO85" i="1"/>
  <c r="AD85" i="1"/>
  <c r="Z85" i="1"/>
  <c r="P85" i="1"/>
  <c r="K85" i="1"/>
  <c r="M85" i="1" s="1"/>
  <c r="DP84" i="1"/>
  <c r="DL84" i="1"/>
  <c r="DB84" i="1"/>
  <c r="CW84" i="1"/>
  <c r="CY84" i="1" s="1"/>
  <c r="CL84" i="1"/>
  <c r="CH84" i="1"/>
  <c r="BX84" i="1"/>
  <c r="BS84" i="1"/>
  <c r="BH84" i="1"/>
  <c r="BD84" i="1"/>
  <c r="AT84" i="1"/>
  <c r="AO84" i="1"/>
  <c r="AD84" i="1"/>
  <c r="Z84" i="1"/>
  <c r="P84" i="1"/>
  <c r="K84" i="1"/>
  <c r="DP82" i="1"/>
  <c r="DL82" i="1"/>
  <c r="DB82" i="1"/>
  <c r="CW82" i="1"/>
  <c r="CY82" i="1" s="1"/>
  <c r="CL82" i="1"/>
  <c r="CH82" i="1"/>
  <c r="BX82" i="1"/>
  <c r="BS82" i="1"/>
  <c r="BH82" i="1"/>
  <c r="BD82" i="1"/>
  <c r="AT82" i="1"/>
  <c r="AO82" i="1"/>
  <c r="AQ82" i="1" s="1"/>
  <c r="AD82" i="1"/>
  <c r="Z82" i="1"/>
  <c r="P82" i="1"/>
  <c r="K82" i="1"/>
  <c r="M82" i="1" s="1"/>
  <c r="DP81" i="1"/>
  <c r="DL81" i="1"/>
  <c r="DB81" i="1"/>
  <c r="CW81" i="1"/>
  <c r="CY81" i="1" s="1"/>
  <c r="CL81" i="1"/>
  <c r="CH81" i="1"/>
  <c r="BX81" i="1"/>
  <c r="BS81" i="1"/>
  <c r="BU81" i="1" s="1"/>
  <c r="BH81" i="1"/>
  <c r="BD81" i="1"/>
  <c r="AT81" i="1"/>
  <c r="AO81" i="1"/>
  <c r="AQ81" i="1" s="1"/>
  <c r="AD81" i="1"/>
  <c r="Z81" i="1"/>
  <c r="P81" i="1"/>
  <c r="K81" i="1"/>
  <c r="DP80" i="1"/>
  <c r="DL80" i="1"/>
  <c r="DB80" i="1"/>
  <c r="CW80" i="1"/>
  <c r="CY80" i="1" s="1"/>
  <c r="CL80" i="1"/>
  <c r="CH80" i="1"/>
  <c r="BX80" i="1"/>
  <c r="BS80" i="1"/>
  <c r="BU80" i="1" s="1"/>
  <c r="BH80" i="1"/>
  <c r="BD80" i="1"/>
  <c r="AT80" i="1"/>
  <c r="AO80" i="1"/>
  <c r="AQ80" i="1" s="1"/>
  <c r="AD80" i="1"/>
  <c r="Z80" i="1"/>
  <c r="P80" i="1"/>
  <c r="K80" i="1"/>
  <c r="DP79" i="1"/>
  <c r="DL79" i="1"/>
  <c r="DB79" i="1"/>
  <c r="CW79" i="1"/>
  <c r="CL79" i="1"/>
  <c r="CH79" i="1"/>
  <c r="BX79" i="1"/>
  <c r="BS79" i="1"/>
  <c r="BU79" i="1" s="1"/>
  <c r="BH79" i="1"/>
  <c r="BD79" i="1"/>
  <c r="AT79" i="1"/>
  <c r="AO79" i="1"/>
  <c r="AQ79" i="1" s="1"/>
  <c r="AD79" i="1"/>
  <c r="Z79" i="1"/>
  <c r="P79" i="1"/>
  <c r="K79" i="1"/>
  <c r="M79" i="1" s="1"/>
  <c r="DP78" i="1"/>
  <c r="DL78" i="1"/>
  <c r="DB78" i="1"/>
  <c r="CW78" i="1"/>
  <c r="CY78" i="1" s="1"/>
  <c r="CL78" i="1"/>
  <c r="CH78" i="1"/>
  <c r="BX78" i="1"/>
  <c r="BS78" i="1"/>
  <c r="BH78" i="1"/>
  <c r="BD78" i="1"/>
  <c r="AT78" i="1"/>
  <c r="AO78" i="1"/>
  <c r="AQ78" i="1" s="1"/>
  <c r="AD78" i="1"/>
  <c r="Z78" i="1"/>
  <c r="P78" i="1"/>
  <c r="K78" i="1"/>
  <c r="M78" i="1" s="1"/>
  <c r="DP77" i="1"/>
  <c r="DL77" i="1"/>
  <c r="DB77" i="1"/>
  <c r="CW77" i="1"/>
  <c r="CY77" i="1" s="1"/>
  <c r="CL77" i="1"/>
  <c r="CH77" i="1"/>
  <c r="BX77" i="1"/>
  <c r="BS77" i="1"/>
  <c r="BU77" i="1" s="1"/>
  <c r="BH77" i="1"/>
  <c r="BD77" i="1"/>
  <c r="AT77" i="1"/>
  <c r="AO77" i="1"/>
  <c r="AD77" i="1"/>
  <c r="Z77" i="1"/>
  <c r="P77" i="1"/>
  <c r="K77" i="1"/>
  <c r="M77" i="1" s="1"/>
  <c r="DP76" i="1"/>
  <c r="DL76" i="1"/>
  <c r="DB76" i="1"/>
  <c r="CW76" i="1"/>
  <c r="CY76" i="1" s="1"/>
  <c r="CL76" i="1"/>
  <c r="CH76" i="1"/>
  <c r="BX76" i="1"/>
  <c r="BS76" i="1"/>
  <c r="BU76" i="1" s="1"/>
  <c r="BH76" i="1"/>
  <c r="BD76" i="1"/>
  <c r="AT76" i="1"/>
  <c r="AO76" i="1"/>
  <c r="AQ76" i="1" s="1"/>
  <c r="AD76" i="1"/>
  <c r="Z76" i="1"/>
  <c r="P76" i="1"/>
  <c r="K76" i="1"/>
  <c r="M76" i="1" s="1"/>
  <c r="DP75" i="1"/>
  <c r="DL75" i="1"/>
  <c r="DB75" i="1"/>
  <c r="CW75" i="1"/>
  <c r="CY75" i="1" s="1"/>
  <c r="CL75" i="1"/>
  <c r="CH75" i="1"/>
  <c r="BX75" i="1"/>
  <c r="BS75" i="1"/>
  <c r="BU75" i="1" s="1"/>
  <c r="BH75" i="1"/>
  <c r="BD75" i="1"/>
  <c r="AT75" i="1"/>
  <c r="AO75" i="1"/>
  <c r="AQ75" i="1" s="1"/>
  <c r="AD75" i="1"/>
  <c r="Z75" i="1"/>
  <c r="P75" i="1"/>
  <c r="K75" i="1"/>
  <c r="M75" i="1" s="1"/>
  <c r="DP74" i="1"/>
  <c r="DL74" i="1"/>
  <c r="DB74" i="1"/>
  <c r="CW74" i="1"/>
  <c r="CL74" i="1"/>
  <c r="CH74" i="1"/>
  <c r="BX74" i="1"/>
  <c r="BS74" i="1"/>
  <c r="BH74" i="1"/>
  <c r="BD74" i="1"/>
  <c r="AT74" i="1"/>
  <c r="AO74" i="1"/>
  <c r="AQ74" i="1" s="1"/>
  <c r="AD74" i="1"/>
  <c r="Z74" i="1"/>
  <c r="P74" i="1"/>
  <c r="K74" i="1"/>
  <c r="CU69" i="1"/>
  <c r="E12" i="7" s="1"/>
  <c r="CS69" i="1"/>
  <c r="E5" i="7" s="1"/>
  <c r="BQ69" i="1"/>
  <c r="D12" i="7" s="1"/>
  <c r="BO69" i="1"/>
  <c r="AM69" i="1"/>
  <c r="C12" i="7" s="1"/>
  <c r="AK69" i="1"/>
  <c r="C5" i="7" s="1"/>
  <c r="I69" i="1"/>
  <c r="B12" i="7" s="1"/>
  <c r="G69" i="1"/>
  <c r="B5" i="7" s="1"/>
  <c r="E69" i="1"/>
  <c r="DP68" i="1"/>
  <c r="DL68" i="1"/>
  <c r="DB68" i="1"/>
  <c r="CW68" i="1"/>
  <c r="CY68" i="1" s="1"/>
  <c r="CL68" i="1"/>
  <c r="CH68" i="1"/>
  <c r="BX68" i="1"/>
  <c r="BS68" i="1"/>
  <c r="BU68" i="1" s="1"/>
  <c r="BH68" i="1"/>
  <c r="BD68" i="1"/>
  <c r="AT68" i="1"/>
  <c r="AO68" i="1"/>
  <c r="AD68" i="1"/>
  <c r="Z68" i="1"/>
  <c r="P68" i="1"/>
  <c r="K68" i="1"/>
  <c r="M68" i="1" s="1"/>
  <c r="DP67" i="1"/>
  <c r="DL67" i="1"/>
  <c r="DB67" i="1"/>
  <c r="CW67" i="1"/>
  <c r="CY67" i="1" s="1"/>
  <c r="CL67" i="1"/>
  <c r="CH67" i="1"/>
  <c r="BX67" i="1"/>
  <c r="BS67" i="1"/>
  <c r="BU67" i="1" s="1"/>
  <c r="BH67" i="1"/>
  <c r="BD67" i="1"/>
  <c r="AT67" i="1"/>
  <c r="AO67" i="1"/>
  <c r="AD67" i="1"/>
  <c r="Z67" i="1"/>
  <c r="P67" i="1"/>
  <c r="K67" i="1"/>
  <c r="DP66" i="1"/>
  <c r="DL66" i="1"/>
  <c r="DB66" i="1"/>
  <c r="CW66" i="1"/>
  <c r="CY66" i="1" s="1"/>
  <c r="CL66" i="1"/>
  <c r="CH66" i="1"/>
  <c r="BX66" i="1"/>
  <c r="BS66" i="1"/>
  <c r="BU66" i="1" s="1"/>
  <c r="BH66" i="1"/>
  <c r="BD66" i="1"/>
  <c r="AT66" i="1"/>
  <c r="AO66" i="1"/>
  <c r="AQ66" i="1" s="1"/>
  <c r="AD66" i="1"/>
  <c r="Z66" i="1"/>
  <c r="P66" i="1"/>
  <c r="K66" i="1"/>
  <c r="DP65" i="1"/>
  <c r="DL65" i="1"/>
  <c r="DB65" i="1"/>
  <c r="CW65" i="1"/>
  <c r="CY65" i="1" s="1"/>
  <c r="CL65" i="1"/>
  <c r="CH65" i="1"/>
  <c r="BX65" i="1"/>
  <c r="BS65" i="1"/>
  <c r="BH65" i="1"/>
  <c r="BD65" i="1"/>
  <c r="AT65" i="1"/>
  <c r="AO65" i="1"/>
  <c r="AQ65" i="1" s="1"/>
  <c r="AD65" i="1"/>
  <c r="Z65" i="1"/>
  <c r="P65" i="1"/>
  <c r="K65" i="1"/>
  <c r="M65" i="1" s="1"/>
  <c r="DP64" i="1"/>
  <c r="DL64" i="1"/>
  <c r="DB64" i="1"/>
  <c r="CW64" i="1"/>
  <c r="CY64" i="1" s="1"/>
  <c r="CL64" i="1"/>
  <c r="CH64" i="1"/>
  <c r="BX64" i="1"/>
  <c r="BS64" i="1"/>
  <c r="BH64" i="1"/>
  <c r="BD64" i="1"/>
  <c r="AT64" i="1"/>
  <c r="AO64" i="1"/>
  <c r="AQ64" i="1" s="1"/>
  <c r="AD64" i="1"/>
  <c r="Z64" i="1"/>
  <c r="P64" i="1"/>
  <c r="K64" i="1"/>
  <c r="DP63" i="1"/>
  <c r="DL63" i="1"/>
  <c r="DB63" i="1"/>
  <c r="CW63" i="1"/>
  <c r="CL63" i="1"/>
  <c r="CH63" i="1"/>
  <c r="BX63" i="1"/>
  <c r="BS63" i="1"/>
  <c r="BU63" i="1" s="1"/>
  <c r="BH63" i="1"/>
  <c r="BD63" i="1"/>
  <c r="AT63" i="1"/>
  <c r="AO63" i="1"/>
  <c r="AD63" i="1"/>
  <c r="Z63" i="1"/>
  <c r="P63" i="1"/>
  <c r="K63" i="1"/>
  <c r="M63" i="1" s="1"/>
  <c r="DP62" i="1"/>
  <c r="DL62" i="1"/>
  <c r="DB62" i="1"/>
  <c r="CW62" i="1"/>
  <c r="CL62" i="1"/>
  <c r="CH62" i="1"/>
  <c r="BX62" i="1"/>
  <c r="BS62" i="1"/>
  <c r="BU62" i="1" s="1"/>
  <c r="BH62" i="1"/>
  <c r="BD62" i="1"/>
  <c r="AT62" i="1"/>
  <c r="AO62" i="1"/>
  <c r="AQ62" i="1" s="1"/>
  <c r="AD62" i="1"/>
  <c r="Z62" i="1"/>
  <c r="P62" i="1"/>
  <c r="K62" i="1"/>
  <c r="M62" i="1" s="1"/>
  <c r="DP61" i="1"/>
  <c r="DL61" i="1"/>
  <c r="DB61" i="1"/>
  <c r="CW61" i="1"/>
  <c r="CY61" i="1" s="1"/>
  <c r="CL61" i="1"/>
  <c r="CH61" i="1"/>
  <c r="BX61" i="1"/>
  <c r="BS61" i="1"/>
  <c r="BH61" i="1"/>
  <c r="BD61" i="1"/>
  <c r="AT61" i="1"/>
  <c r="AO61" i="1"/>
  <c r="AQ61" i="1" s="1"/>
  <c r="AD61" i="1"/>
  <c r="Z61" i="1"/>
  <c r="P61" i="1"/>
  <c r="K61" i="1"/>
  <c r="M61" i="1" s="1"/>
  <c r="DP60" i="1"/>
  <c r="DL60" i="1"/>
  <c r="DB60" i="1"/>
  <c r="CW60" i="1"/>
  <c r="CY60" i="1" s="1"/>
  <c r="CL60" i="1"/>
  <c r="CH60" i="1"/>
  <c r="BX60" i="1"/>
  <c r="BS60" i="1"/>
  <c r="BH60" i="1"/>
  <c r="BD60" i="1"/>
  <c r="AT60" i="1"/>
  <c r="AO60" i="1"/>
  <c r="AQ60" i="1" s="1"/>
  <c r="AD60" i="1"/>
  <c r="Z60" i="1"/>
  <c r="P60" i="1"/>
  <c r="K60" i="1"/>
  <c r="M60" i="1" s="1"/>
  <c r="DP58" i="1"/>
  <c r="DL58" i="1"/>
  <c r="DB58" i="1"/>
  <c r="CW58" i="1"/>
  <c r="CL58" i="1"/>
  <c r="CH58" i="1"/>
  <c r="BX58" i="1"/>
  <c r="BS58" i="1"/>
  <c r="BU58" i="1" s="1"/>
  <c r="BH58" i="1"/>
  <c r="BD58" i="1"/>
  <c r="AT58" i="1"/>
  <c r="AO58" i="1"/>
  <c r="AQ58" i="1" s="1"/>
  <c r="AD58" i="1"/>
  <c r="Z58" i="1"/>
  <c r="P58" i="1"/>
  <c r="K58" i="1"/>
  <c r="M58" i="1" s="1"/>
  <c r="DP57" i="1"/>
  <c r="DL57" i="1"/>
  <c r="DB57" i="1"/>
  <c r="CW57" i="1"/>
  <c r="CL57" i="1"/>
  <c r="CH57" i="1"/>
  <c r="BX57" i="1"/>
  <c r="BS57" i="1"/>
  <c r="BH57" i="1"/>
  <c r="BD57" i="1"/>
  <c r="AT57" i="1"/>
  <c r="AO57" i="1"/>
  <c r="AQ57" i="1" s="1"/>
  <c r="AD57" i="1"/>
  <c r="Z57" i="1"/>
  <c r="P57" i="1"/>
  <c r="K57" i="1"/>
  <c r="M57" i="1" s="1"/>
  <c r="DP56" i="1"/>
  <c r="DL56" i="1"/>
  <c r="DB56" i="1"/>
  <c r="CW56" i="1"/>
  <c r="CY56" i="1" s="1"/>
  <c r="CL56" i="1"/>
  <c r="CH56" i="1"/>
  <c r="BX56" i="1"/>
  <c r="BS56" i="1"/>
  <c r="BU56" i="1" s="1"/>
  <c r="BH56" i="1"/>
  <c r="BD56" i="1"/>
  <c r="AT56" i="1"/>
  <c r="AO56" i="1"/>
  <c r="AQ56" i="1" s="1"/>
  <c r="AD56" i="1"/>
  <c r="Z56" i="1"/>
  <c r="P56" i="1"/>
  <c r="K56" i="1"/>
  <c r="M56" i="1" s="1"/>
  <c r="DP55" i="1"/>
  <c r="DL55" i="1"/>
  <c r="DB55" i="1"/>
  <c r="CW55" i="1"/>
  <c r="CY55" i="1" s="1"/>
  <c r="CL55" i="1"/>
  <c r="CH55" i="1"/>
  <c r="BX55" i="1"/>
  <c r="BS55" i="1"/>
  <c r="BU55" i="1" s="1"/>
  <c r="BH55" i="1"/>
  <c r="BD55" i="1"/>
  <c r="AT55" i="1"/>
  <c r="AO55" i="1"/>
  <c r="AQ55" i="1" s="1"/>
  <c r="AD55" i="1"/>
  <c r="Z55" i="1"/>
  <c r="P55" i="1"/>
  <c r="K55" i="1"/>
  <c r="M55" i="1" s="1"/>
  <c r="DP54" i="1"/>
  <c r="DL54" i="1"/>
  <c r="DB54" i="1"/>
  <c r="CW54" i="1"/>
  <c r="CY54" i="1" s="1"/>
  <c r="CL54" i="1"/>
  <c r="CH54" i="1"/>
  <c r="BX54" i="1"/>
  <c r="BS54" i="1"/>
  <c r="BU54" i="1" s="1"/>
  <c r="BH54" i="1"/>
  <c r="BD54" i="1"/>
  <c r="AT54" i="1"/>
  <c r="AO54" i="1"/>
  <c r="AD54" i="1"/>
  <c r="Z54" i="1"/>
  <c r="P54" i="1"/>
  <c r="K54" i="1"/>
  <c r="M54" i="1" s="1"/>
  <c r="DP53" i="1"/>
  <c r="DL53" i="1"/>
  <c r="DB53" i="1"/>
  <c r="CW53" i="1"/>
  <c r="CY53" i="1" s="1"/>
  <c r="CL53" i="1"/>
  <c r="CH53" i="1"/>
  <c r="BX53" i="1"/>
  <c r="BS53" i="1"/>
  <c r="BU53" i="1" s="1"/>
  <c r="BH53" i="1"/>
  <c r="BD53" i="1"/>
  <c r="AT53" i="1"/>
  <c r="AO53" i="1"/>
  <c r="AQ53" i="1" s="1"/>
  <c r="AD53" i="1"/>
  <c r="Z53" i="1"/>
  <c r="P53" i="1"/>
  <c r="K53" i="1"/>
  <c r="M53" i="1" s="1"/>
  <c r="DP52" i="1"/>
  <c r="DL52" i="1"/>
  <c r="DB52" i="1"/>
  <c r="CW52" i="1"/>
  <c r="CL52" i="1"/>
  <c r="CH52" i="1"/>
  <c r="BX52" i="1"/>
  <c r="BS52" i="1"/>
  <c r="BU52" i="1" s="1"/>
  <c r="BH52" i="1"/>
  <c r="BD52" i="1"/>
  <c r="AT52" i="1"/>
  <c r="AO52" i="1"/>
  <c r="AQ52" i="1" s="1"/>
  <c r="AD52" i="1"/>
  <c r="Z52" i="1"/>
  <c r="P52" i="1"/>
  <c r="K52" i="1"/>
  <c r="DP51" i="1"/>
  <c r="DL51" i="1"/>
  <c r="DB51" i="1"/>
  <c r="CW51" i="1"/>
  <c r="CY51" i="1" s="1"/>
  <c r="CL51" i="1"/>
  <c r="CH51" i="1"/>
  <c r="BX51" i="1"/>
  <c r="BS51" i="1"/>
  <c r="BU51" i="1" s="1"/>
  <c r="BH51" i="1"/>
  <c r="BD51" i="1"/>
  <c r="AT51" i="1"/>
  <c r="AO51" i="1"/>
  <c r="AQ51" i="1" s="1"/>
  <c r="AD51" i="1"/>
  <c r="Z51" i="1"/>
  <c r="P51" i="1"/>
  <c r="K51" i="1"/>
  <c r="M51" i="1" s="1"/>
  <c r="DP50" i="1"/>
  <c r="DL50" i="1"/>
  <c r="DB50" i="1"/>
  <c r="CW50" i="1"/>
  <c r="CY50" i="1" s="1"/>
  <c r="CL50" i="1"/>
  <c r="CH50" i="1"/>
  <c r="BX50" i="1"/>
  <c r="BS50" i="1"/>
  <c r="BH50" i="1"/>
  <c r="BD50" i="1"/>
  <c r="AT50" i="1"/>
  <c r="AO50" i="1"/>
  <c r="AD50" i="1"/>
  <c r="Z50" i="1"/>
  <c r="P50" i="1"/>
  <c r="K50" i="1"/>
  <c r="M50" i="1" s="1"/>
  <c r="CU45" i="1"/>
  <c r="E12" i="6" s="1"/>
  <c r="CS45" i="1"/>
  <c r="E5" i="6" s="1"/>
  <c r="BQ45" i="1"/>
  <c r="D12" i="6" s="1"/>
  <c r="BO45" i="1"/>
  <c r="D5" i="6" s="1"/>
  <c r="AM45" i="1"/>
  <c r="C12" i="6" s="1"/>
  <c r="AK45" i="1"/>
  <c r="C5" i="6" s="1"/>
  <c r="I45" i="1"/>
  <c r="B12" i="6" s="1"/>
  <c r="G45" i="1"/>
  <c r="B5" i="6" s="1"/>
  <c r="E45" i="1"/>
  <c r="DP44" i="1"/>
  <c r="DL44" i="1"/>
  <c r="DB44" i="1"/>
  <c r="CW44" i="1"/>
  <c r="CY44" i="1" s="1"/>
  <c r="CL44" i="1"/>
  <c r="CH44" i="1"/>
  <c r="BX44" i="1"/>
  <c r="BS44" i="1"/>
  <c r="BU44" i="1" s="1"/>
  <c r="BH44" i="1"/>
  <c r="BD44" i="1"/>
  <c r="AT44" i="1"/>
  <c r="AO44" i="1"/>
  <c r="AQ44" i="1" s="1"/>
  <c r="AD44" i="1"/>
  <c r="Z44" i="1"/>
  <c r="P44" i="1"/>
  <c r="K44" i="1"/>
  <c r="M44" i="1" s="1"/>
  <c r="DP43" i="1"/>
  <c r="DL43" i="1"/>
  <c r="DB43" i="1"/>
  <c r="CW43" i="1"/>
  <c r="CY43" i="1" s="1"/>
  <c r="CL43" i="1"/>
  <c r="CH43" i="1"/>
  <c r="BX43" i="1"/>
  <c r="BS43" i="1"/>
  <c r="BU43" i="1" s="1"/>
  <c r="BH43" i="1"/>
  <c r="BD43" i="1"/>
  <c r="AT43" i="1"/>
  <c r="AO43" i="1"/>
  <c r="AD43" i="1"/>
  <c r="Z43" i="1"/>
  <c r="P43" i="1"/>
  <c r="K43" i="1"/>
  <c r="M43" i="1" s="1"/>
  <c r="DP42" i="1"/>
  <c r="DL42" i="1"/>
  <c r="DB42" i="1"/>
  <c r="CW42" i="1"/>
  <c r="CY42" i="1" s="1"/>
  <c r="CL42" i="1"/>
  <c r="CH42" i="1"/>
  <c r="BX42" i="1"/>
  <c r="BS42" i="1"/>
  <c r="BU42" i="1" s="1"/>
  <c r="BH42" i="1"/>
  <c r="BD42" i="1"/>
  <c r="AT42" i="1"/>
  <c r="AO42" i="1"/>
  <c r="AQ42" i="1" s="1"/>
  <c r="AD42" i="1"/>
  <c r="Z42" i="1"/>
  <c r="P42" i="1"/>
  <c r="K42" i="1"/>
  <c r="M42" i="1" s="1"/>
  <c r="DP41" i="1"/>
  <c r="DL41" i="1"/>
  <c r="DB41" i="1"/>
  <c r="CW41" i="1"/>
  <c r="CY41" i="1" s="1"/>
  <c r="CL41" i="1"/>
  <c r="CH41" i="1"/>
  <c r="BX41" i="1"/>
  <c r="BS41" i="1"/>
  <c r="BU41" i="1" s="1"/>
  <c r="BH41" i="1"/>
  <c r="BD41" i="1"/>
  <c r="AT41" i="1"/>
  <c r="AO41" i="1"/>
  <c r="AQ41" i="1" s="1"/>
  <c r="AD41" i="1"/>
  <c r="Z41" i="1"/>
  <c r="P41" i="1"/>
  <c r="K41" i="1"/>
  <c r="M41" i="1" s="1"/>
  <c r="DP40" i="1"/>
  <c r="DL40" i="1"/>
  <c r="DB40" i="1"/>
  <c r="CW40" i="1"/>
  <c r="CY40" i="1" s="1"/>
  <c r="CL40" i="1"/>
  <c r="CH40" i="1"/>
  <c r="BX40" i="1"/>
  <c r="BS40" i="1"/>
  <c r="BH40" i="1"/>
  <c r="BD40" i="1"/>
  <c r="AT40" i="1"/>
  <c r="AO40" i="1"/>
  <c r="AQ40" i="1" s="1"/>
  <c r="AD40" i="1"/>
  <c r="Z40" i="1"/>
  <c r="P40" i="1"/>
  <c r="K40" i="1"/>
  <c r="M40" i="1" s="1"/>
  <c r="DP39" i="1"/>
  <c r="DL39" i="1"/>
  <c r="DB39" i="1"/>
  <c r="CW39" i="1"/>
  <c r="CY39" i="1" s="1"/>
  <c r="CL39" i="1"/>
  <c r="CH39" i="1"/>
  <c r="BX39" i="1"/>
  <c r="BS39" i="1"/>
  <c r="BU39" i="1" s="1"/>
  <c r="BH39" i="1"/>
  <c r="BD39" i="1"/>
  <c r="AT39" i="1"/>
  <c r="AO39" i="1"/>
  <c r="AQ39" i="1" s="1"/>
  <c r="AF45" i="1"/>
  <c r="AD39" i="1"/>
  <c r="Z39" i="1"/>
  <c r="P39" i="1"/>
  <c r="K39" i="1"/>
  <c r="M39" i="1" s="1"/>
  <c r="DP38" i="1"/>
  <c r="DL38" i="1"/>
  <c r="DB38" i="1"/>
  <c r="CW38" i="1"/>
  <c r="CY38" i="1" s="1"/>
  <c r="CL38" i="1"/>
  <c r="CH38" i="1"/>
  <c r="BX38" i="1"/>
  <c r="BS38" i="1"/>
  <c r="BU38" i="1" s="1"/>
  <c r="BH38" i="1"/>
  <c r="BD38" i="1"/>
  <c r="AT38" i="1"/>
  <c r="AO38" i="1"/>
  <c r="AQ38" i="1" s="1"/>
  <c r="AD38" i="1"/>
  <c r="Z38" i="1"/>
  <c r="P38" i="1"/>
  <c r="K38" i="1"/>
  <c r="DP37" i="1"/>
  <c r="DL37" i="1"/>
  <c r="DB37" i="1"/>
  <c r="CW37" i="1"/>
  <c r="CL37" i="1"/>
  <c r="CH37" i="1"/>
  <c r="BX37" i="1"/>
  <c r="BS37" i="1"/>
  <c r="BU37" i="1" s="1"/>
  <c r="BH37" i="1"/>
  <c r="BD37" i="1"/>
  <c r="AT37" i="1"/>
  <c r="AO37" i="1"/>
  <c r="AQ37" i="1" s="1"/>
  <c r="AG37" i="1"/>
  <c r="AG45" i="1" s="1"/>
  <c r="AD37" i="1"/>
  <c r="Z37" i="1"/>
  <c r="P37" i="1"/>
  <c r="K37" i="1"/>
  <c r="DP36" i="1"/>
  <c r="DL36" i="1"/>
  <c r="DB36" i="1"/>
  <c r="CW36" i="1"/>
  <c r="CL36" i="1"/>
  <c r="CH36" i="1"/>
  <c r="BX36" i="1"/>
  <c r="BS36" i="1"/>
  <c r="BU36" i="1" s="1"/>
  <c r="BH36" i="1"/>
  <c r="BD36" i="1"/>
  <c r="AT36" i="1"/>
  <c r="AO36" i="1"/>
  <c r="AQ36" i="1" s="1"/>
  <c r="AD36" i="1"/>
  <c r="Z36" i="1"/>
  <c r="P36" i="1"/>
  <c r="K36" i="1"/>
  <c r="M36" i="1" s="1"/>
  <c r="E35" i="1"/>
  <c r="DP34" i="1"/>
  <c r="DL34" i="1"/>
  <c r="DB34" i="1"/>
  <c r="CW34" i="1"/>
  <c r="CY34" i="1" s="1"/>
  <c r="CL34" i="1"/>
  <c r="CH34" i="1"/>
  <c r="BX34" i="1"/>
  <c r="BS34" i="1"/>
  <c r="BU34" i="1" s="1"/>
  <c r="BH34" i="1"/>
  <c r="BD34" i="1"/>
  <c r="AT34" i="1"/>
  <c r="AO34" i="1"/>
  <c r="AG34" i="1"/>
  <c r="AD34" i="1"/>
  <c r="Z34" i="1"/>
  <c r="P34" i="1"/>
  <c r="K34" i="1"/>
  <c r="M34" i="1" s="1"/>
  <c r="DP33" i="1"/>
  <c r="DL33" i="1"/>
  <c r="DB33" i="1"/>
  <c r="CW33" i="1"/>
  <c r="CY33" i="1" s="1"/>
  <c r="CL33" i="1"/>
  <c r="CH33" i="1"/>
  <c r="BX33" i="1"/>
  <c r="BS33" i="1"/>
  <c r="BU33" i="1" s="1"/>
  <c r="BH33" i="1"/>
  <c r="BD33" i="1"/>
  <c r="AT33" i="1"/>
  <c r="AO33" i="1"/>
  <c r="AQ33" i="1" s="1"/>
  <c r="AD33" i="1"/>
  <c r="Z33" i="1"/>
  <c r="P33" i="1"/>
  <c r="K33" i="1"/>
  <c r="M33" i="1" s="1"/>
  <c r="DP32" i="1"/>
  <c r="DL32" i="1"/>
  <c r="DB32" i="1"/>
  <c r="CW32" i="1"/>
  <c r="CY32" i="1" s="1"/>
  <c r="CL32" i="1"/>
  <c r="CH32" i="1"/>
  <c r="BX32" i="1"/>
  <c r="BS32" i="1"/>
  <c r="BH32" i="1"/>
  <c r="BD32" i="1"/>
  <c r="AT32" i="1"/>
  <c r="AO32" i="1"/>
  <c r="AQ32" i="1" s="1"/>
  <c r="AD32" i="1"/>
  <c r="Z32" i="1"/>
  <c r="P32" i="1"/>
  <c r="K32" i="1"/>
  <c r="M32" i="1" s="1"/>
  <c r="DP31" i="1"/>
  <c r="DL31" i="1"/>
  <c r="DB31" i="1"/>
  <c r="CW31" i="1"/>
  <c r="CY31" i="1" s="1"/>
  <c r="CL31" i="1"/>
  <c r="CH31" i="1"/>
  <c r="BX31" i="1"/>
  <c r="BS31" i="1"/>
  <c r="BH31" i="1"/>
  <c r="BD31" i="1"/>
  <c r="AT31" i="1"/>
  <c r="AO31" i="1"/>
  <c r="AQ31" i="1" s="1"/>
  <c r="AG31" i="1"/>
  <c r="AD31" i="1"/>
  <c r="Z31" i="1"/>
  <c r="P31" i="1"/>
  <c r="K31" i="1"/>
  <c r="M31" i="1" s="1"/>
  <c r="DP30" i="1"/>
  <c r="DL30" i="1"/>
  <c r="DB30" i="1"/>
  <c r="CW30" i="1"/>
  <c r="CY30" i="1" s="1"/>
  <c r="CL30" i="1"/>
  <c r="CH30" i="1"/>
  <c r="BX30" i="1"/>
  <c r="BS30" i="1"/>
  <c r="BU30" i="1" s="1"/>
  <c r="BH30" i="1"/>
  <c r="BD30" i="1"/>
  <c r="AT30" i="1"/>
  <c r="AO30" i="1"/>
  <c r="AQ30" i="1" s="1"/>
  <c r="AD30" i="1"/>
  <c r="Z30" i="1"/>
  <c r="P30" i="1"/>
  <c r="K30" i="1"/>
  <c r="DP29" i="1"/>
  <c r="DL29" i="1"/>
  <c r="DB29" i="1"/>
  <c r="CW29" i="1"/>
  <c r="CL29" i="1"/>
  <c r="CH29" i="1"/>
  <c r="BX29" i="1"/>
  <c r="BS29" i="1"/>
  <c r="BU29" i="1" s="1"/>
  <c r="BH29" i="1"/>
  <c r="BD29" i="1"/>
  <c r="AT29" i="1"/>
  <c r="AO29" i="1"/>
  <c r="AQ29" i="1" s="1"/>
  <c r="AD29" i="1"/>
  <c r="Z29" i="1"/>
  <c r="P29" i="1"/>
  <c r="K29" i="1"/>
  <c r="DP28" i="1"/>
  <c r="DL28" i="1"/>
  <c r="DB28" i="1"/>
  <c r="CW28" i="1"/>
  <c r="CL28" i="1"/>
  <c r="CH28" i="1"/>
  <c r="BX28" i="1"/>
  <c r="BS28" i="1"/>
  <c r="BU28" i="1" s="1"/>
  <c r="BH28" i="1"/>
  <c r="BD28" i="1"/>
  <c r="AT28" i="1"/>
  <c r="AO28" i="1"/>
  <c r="AQ28" i="1" s="1"/>
  <c r="AD28" i="1"/>
  <c r="Z28" i="1"/>
  <c r="P28" i="1"/>
  <c r="K28" i="1"/>
  <c r="M28" i="1" s="1"/>
  <c r="DP27" i="1"/>
  <c r="DL27" i="1"/>
  <c r="DB27" i="1"/>
  <c r="CW27" i="1"/>
  <c r="CY27" i="1" s="1"/>
  <c r="CL27" i="1"/>
  <c r="CH27" i="1"/>
  <c r="BX27" i="1"/>
  <c r="BS27" i="1"/>
  <c r="BU27" i="1" s="1"/>
  <c r="BH27" i="1"/>
  <c r="BD27" i="1"/>
  <c r="AT27" i="1"/>
  <c r="AO27" i="1"/>
  <c r="AF35" i="1"/>
  <c r="AD27" i="1"/>
  <c r="Z27" i="1"/>
  <c r="P27" i="1"/>
  <c r="K27" i="1"/>
  <c r="M27" i="1" s="1"/>
  <c r="DP26" i="1"/>
  <c r="DL26" i="1"/>
  <c r="DB26" i="1"/>
  <c r="DC26" i="1" s="1"/>
  <c r="CW26" i="1"/>
  <c r="CY26" i="1" s="1"/>
  <c r="CL26" i="1"/>
  <c r="CH26" i="1"/>
  <c r="BX26" i="1"/>
  <c r="BS26" i="1"/>
  <c r="BU26" i="1" s="1"/>
  <c r="BH26" i="1"/>
  <c r="BD26" i="1"/>
  <c r="AT26" i="1"/>
  <c r="AO26" i="1"/>
  <c r="AG26" i="1"/>
  <c r="AD26" i="1"/>
  <c r="Z26" i="1"/>
  <c r="P26" i="1"/>
  <c r="K26" i="1"/>
  <c r="M26" i="1" s="1"/>
  <c r="CU22" i="1"/>
  <c r="E12" i="4" s="1"/>
  <c r="CS22" i="1"/>
  <c r="E5" i="4" s="1"/>
  <c r="BQ22" i="1"/>
  <c r="D12" i="4" s="1"/>
  <c r="BO22" i="1"/>
  <c r="D5" i="4" s="1"/>
  <c r="AM22" i="1"/>
  <c r="C12" i="4" s="1"/>
  <c r="AK22" i="1"/>
  <c r="C5" i="4" s="1"/>
  <c r="I22" i="1"/>
  <c r="B12" i="4" s="1"/>
  <c r="G22" i="1"/>
  <c r="B5" i="4" s="1"/>
  <c r="E22" i="1"/>
  <c r="DP21" i="1"/>
  <c r="DL21" i="1"/>
  <c r="DB21" i="1"/>
  <c r="CW21" i="1"/>
  <c r="CY21" i="1" s="1"/>
  <c r="CL21" i="1"/>
  <c r="CH21" i="1"/>
  <c r="BX21" i="1"/>
  <c r="BS21" i="1"/>
  <c r="BU21" i="1" s="1"/>
  <c r="BH21" i="1"/>
  <c r="BD21" i="1"/>
  <c r="AT21" i="1"/>
  <c r="AO21" i="1"/>
  <c r="AQ21" i="1" s="1"/>
  <c r="DP20" i="1"/>
  <c r="DL20" i="1"/>
  <c r="DB20" i="1"/>
  <c r="CW20" i="1"/>
  <c r="CL20" i="1"/>
  <c r="CH20" i="1"/>
  <c r="BX20" i="1"/>
  <c r="BS20" i="1"/>
  <c r="BU20" i="1" s="1"/>
  <c r="BH20" i="1"/>
  <c r="BD20" i="1"/>
  <c r="AT20" i="1"/>
  <c r="AO20" i="1"/>
  <c r="AQ20" i="1" s="1"/>
  <c r="DP19" i="1"/>
  <c r="DL19" i="1"/>
  <c r="DB19" i="1"/>
  <c r="CW19" i="1"/>
  <c r="CL19" i="1"/>
  <c r="CH19" i="1"/>
  <c r="BX19" i="1"/>
  <c r="BS19" i="1"/>
  <c r="BU19" i="1" s="1"/>
  <c r="BH19" i="1"/>
  <c r="BD19" i="1"/>
  <c r="AT19" i="1"/>
  <c r="AO19" i="1"/>
  <c r="AQ19" i="1" s="1"/>
  <c r="DP18" i="1"/>
  <c r="DL18" i="1"/>
  <c r="DB18" i="1"/>
  <c r="CW18" i="1"/>
  <c r="CY18" i="1" s="1"/>
  <c r="CL18" i="1"/>
  <c r="CH18" i="1"/>
  <c r="BX18" i="1"/>
  <c r="BS18" i="1"/>
  <c r="BU18" i="1" s="1"/>
  <c r="BH18" i="1"/>
  <c r="BD18" i="1"/>
  <c r="AT18" i="1"/>
  <c r="AO18" i="1"/>
  <c r="DP17" i="1"/>
  <c r="DL17" i="1"/>
  <c r="DB17" i="1"/>
  <c r="CW17" i="1"/>
  <c r="CY17" i="1" s="1"/>
  <c r="CL17" i="1"/>
  <c r="CH17" i="1"/>
  <c r="BX17" i="1"/>
  <c r="BS17" i="1"/>
  <c r="BU17" i="1" s="1"/>
  <c r="BH17" i="1"/>
  <c r="BD17" i="1"/>
  <c r="AT17" i="1"/>
  <c r="AO17" i="1"/>
  <c r="DP16" i="1"/>
  <c r="DL16" i="1"/>
  <c r="DB16" i="1"/>
  <c r="CW16" i="1"/>
  <c r="CL16" i="1"/>
  <c r="CH16" i="1"/>
  <c r="BX16" i="1"/>
  <c r="BS16" i="1"/>
  <c r="BU16" i="1" s="1"/>
  <c r="BH16" i="1"/>
  <c r="BD16" i="1"/>
  <c r="AT16" i="1"/>
  <c r="AO16" i="1"/>
  <c r="AQ16" i="1" s="1"/>
  <c r="DP15" i="1"/>
  <c r="DL15" i="1"/>
  <c r="DB15" i="1"/>
  <c r="CW15" i="1"/>
  <c r="CY15" i="1" s="1"/>
  <c r="CL15" i="1"/>
  <c r="CH15" i="1"/>
  <c r="BX15" i="1"/>
  <c r="BS15" i="1"/>
  <c r="BH15" i="1"/>
  <c r="BD15" i="1"/>
  <c r="AT15" i="1"/>
  <c r="AO15" i="1"/>
  <c r="AQ15" i="1" s="1"/>
  <c r="DP14" i="1"/>
  <c r="DL14" i="1"/>
  <c r="DB14" i="1"/>
  <c r="CW14" i="1"/>
  <c r="CY14" i="1" s="1"/>
  <c r="CL14" i="1"/>
  <c r="CH14" i="1"/>
  <c r="BX14" i="1"/>
  <c r="BS14" i="1"/>
  <c r="BU14" i="1" s="1"/>
  <c r="BH14" i="1"/>
  <c r="BD14" i="1"/>
  <c r="AT14" i="1"/>
  <c r="AO14" i="1"/>
  <c r="DP13" i="1"/>
  <c r="DL13" i="1"/>
  <c r="DB13" i="1"/>
  <c r="CW13" i="1"/>
  <c r="CL13" i="1"/>
  <c r="CH13" i="1"/>
  <c r="BX13" i="1"/>
  <c r="BS13" i="1"/>
  <c r="BU13" i="1" s="1"/>
  <c r="BH13" i="1"/>
  <c r="BD13" i="1"/>
  <c r="AT13" i="1"/>
  <c r="AO13" i="1"/>
  <c r="AQ13" i="1" s="1"/>
  <c r="I12" i="1"/>
  <c r="B11" i="4" s="1"/>
  <c r="G12" i="1"/>
  <c r="B4" i="4" s="1"/>
  <c r="E12" i="1"/>
  <c r="DP11" i="1"/>
  <c r="DL11" i="1"/>
  <c r="DB11" i="1"/>
  <c r="CW11" i="1"/>
  <c r="CY11" i="1" s="1"/>
  <c r="CL11" i="1"/>
  <c r="CH11" i="1"/>
  <c r="BX11" i="1"/>
  <c r="BS11" i="1"/>
  <c r="BH11" i="1"/>
  <c r="BD11" i="1"/>
  <c r="AT11" i="1"/>
  <c r="AO11" i="1"/>
  <c r="AQ11" i="1" s="1"/>
  <c r="AD11" i="1"/>
  <c r="Z11" i="1"/>
  <c r="P11" i="1"/>
  <c r="K11" i="1"/>
  <c r="M11" i="1" s="1"/>
  <c r="DP10" i="1"/>
  <c r="DL10" i="1"/>
  <c r="DB10" i="1"/>
  <c r="CW10" i="1"/>
  <c r="CY10" i="1" s="1"/>
  <c r="CL10" i="1"/>
  <c r="CH10" i="1"/>
  <c r="BX10" i="1"/>
  <c r="BS10" i="1"/>
  <c r="BU10" i="1" s="1"/>
  <c r="BH10" i="1"/>
  <c r="BD10" i="1"/>
  <c r="AT10" i="1"/>
  <c r="AO10" i="1"/>
  <c r="AD10" i="1"/>
  <c r="Z10" i="1"/>
  <c r="P10" i="1"/>
  <c r="K10" i="1"/>
  <c r="M10" i="1" s="1"/>
  <c r="DP9" i="1"/>
  <c r="DL9" i="1"/>
  <c r="DB9" i="1"/>
  <c r="CW9" i="1"/>
  <c r="CY9" i="1" s="1"/>
  <c r="CL9" i="1"/>
  <c r="CH9" i="1"/>
  <c r="BX9" i="1"/>
  <c r="BS9" i="1"/>
  <c r="BU9" i="1" s="1"/>
  <c r="BH9" i="1"/>
  <c r="BD9" i="1"/>
  <c r="AT9" i="1"/>
  <c r="AO9" i="1"/>
  <c r="AQ9" i="1" s="1"/>
  <c r="AD9" i="1"/>
  <c r="Z9" i="1"/>
  <c r="P9" i="1"/>
  <c r="K9" i="1"/>
  <c r="DP8" i="1"/>
  <c r="DL8" i="1"/>
  <c r="DB8" i="1"/>
  <c r="CW8" i="1"/>
  <c r="CL8" i="1"/>
  <c r="CH8" i="1"/>
  <c r="BX8" i="1"/>
  <c r="BS8" i="1"/>
  <c r="BU8" i="1" s="1"/>
  <c r="BH8" i="1"/>
  <c r="BD8" i="1"/>
  <c r="AT8" i="1"/>
  <c r="AO8" i="1"/>
  <c r="AQ8" i="1" s="1"/>
  <c r="AD8" i="1"/>
  <c r="Z8" i="1"/>
  <c r="P8" i="1"/>
  <c r="K8" i="1"/>
  <c r="M8" i="1" s="1"/>
  <c r="DP7" i="1"/>
  <c r="DL7" i="1"/>
  <c r="DB7" i="1"/>
  <c r="CW7" i="1"/>
  <c r="CY7" i="1" s="1"/>
  <c r="CL7" i="1"/>
  <c r="CH7" i="1"/>
  <c r="BX7" i="1"/>
  <c r="BS7" i="1"/>
  <c r="BH7" i="1"/>
  <c r="BD7" i="1"/>
  <c r="AT7" i="1"/>
  <c r="AO7" i="1"/>
  <c r="AQ7" i="1" s="1"/>
  <c r="AD7" i="1"/>
  <c r="Z7" i="1"/>
  <c r="P7" i="1"/>
  <c r="K7" i="1"/>
  <c r="M7" i="1" s="1"/>
  <c r="DP6" i="1"/>
  <c r="DL6" i="1"/>
  <c r="DB6" i="1"/>
  <c r="CW6" i="1"/>
  <c r="CY6" i="1" s="1"/>
  <c r="CL6" i="1"/>
  <c r="CH6" i="1"/>
  <c r="BX6" i="1"/>
  <c r="BS6" i="1"/>
  <c r="BU6" i="1" s="1"/>
  <c r="BH6" i="1"/>
  <c r="BD6" i="1"/>
  <c r="AT6" i="1"/>
  <c r="AO6" i="1"/>
  <c r="AF6" i="1"/>
  <c r="AF95" i="1" s="1"/>
  <c r="AD6" i="1"/>
  <c r="Z6" i="1"/>
  <c r="P6" i="1"/>
  <c r="K6" i="1"/>
  <c r="M6" i="1" s="1"/>
  <c r="DP5" i="1"/>
  <c r="DL5" i="1"/>
  <c r="DB5" i="1"/>
  <c r="CW5" i="1"/>
  <c r="CY5" i="1" s="1"/>
  <c r="CL5" i="1"/>
  <c r="CH5" i="1"/>
  <c r="BX5" i="1"/>
  <c r="BS5" i="1"/>
  <c r="BU5" i="1" s="1"/>
  <c r="BH5" i="1"/>
  <c r="BD5" i="1"/>
  <c r="AT5" i="1"/>
  <c r="AO5" i="1"/>
  <c r="AQ5" i="1" s="1"/>
  <c r="AH12" i="1"/>
  <c r="AD5" i="1"/>
  <c r="Z5" i="1"/>
  <c r="P5" i="1"/>
  <c r="K5" i="1"/>
  <c r="DP4" i="1"/>
  <c r="DL4" i="1"/>
  <c r="DB4" i="1"/>
  <c r="CW4" i="1"/>
  <c r="CL4" i="1"/>
  <c r="CH4" i="1"/>
  <c r="BX4" i="1"/>
  <c r="BS4" i="1"/>
  <c r="BU4" i="1" s="1"/>
  <c r="BH4" i="1"/>
  <c r="BD4" i="1"/>
  <c r="AT4" i="1"/>
  <c r="AO4" i="1"/>
  <c r="AQ4" i="1" s="1"/>
  <c r="AD4" i="1"/>
  <c r="Z4" i="1"/>
  <c r="P4" i="1"/>
  <c r="K4" i="1"/>
  <c r="M4" i="1" s="1"/>
  <c r="DV3" i="1"/>
  <c r="DP3" i="1"/>
  <c r="DL3" i="1"/>
  <c r="DB3" i="1"/>
  <c r="DC3" i="1" s="1"/>
  <c r="CW3" i="1"/>
  <c r="CY3" i="1" s="1"/>
  <c r="CV3" i="1"/>
  <c r="CR3" i="1"/>
  <c r="CL3" i="1"/>
  <c r="CH3" i="1"/>
  <c r="CI3" i="1" s="1"/>
  <c r="BX3" i="1"/>
  <c r="BY3" i="1" s="1"/>
  <c r="BS3" i="1"/>
  <c r="BR3" i="1"/>
  <c r="BH3" i="1"/>
  <c r="BI3" i="1" s="1"/>
  <c r="BD3" i="1"/>
  <c r="BE3" i="1" s="1"/>
  <c r="AT3" i="1"/>
  <c r="AO3" i="1"/>
  <c r="AQ3" i="1" s="1"/>
  <c r="AR3" i="1" s="1"/>
  <c r="AN3" i="1"/>
  <c r="AJ3" i="1"/>
  <c r="AG3" i="1"/>
  <c r="AG23" i="1" s="1"/>
  <c r="B26" i="4" s="1"/>
  <c r="AD3" i="1"/>
  <c r="AE3" i="1" s="1"/>
  <c r="Z3" i="1"/>
  <c r="P3" i="1"/>
  <c r="Q3" i="1" s="1"/>
  <c r="K3" i="1"/>
  <c r="L3" i="1" s="1"/>
  <c r="J3" i="1"/>
  <c r="F3" i="1"/>
  <c r="J3" i="7" l="1"/>
  <c r="J6" i="7" s="1"/>
  <c r="J11" i="8"/>
  <c r="J10" i="8"/>
  <c r="J9" i="8"/>
  <c r="IM47" i="1"/>
  <c r="J3" i="5" s="1"/>
  <c r="J4" i="5" s="1"/>
  <c r="I10" i="7"/>
  <c r="I24" i="7" s="1"/>
  <c r="H10" i="6"/>
  <c r="H24" i="6" s="1"/>
  <c r="J10" i="5"/>
  <c r="J3" i="4"/>
  <c r="J6" i="4" s="1"/>
  <c r="J11" i="5"/>
  <c r="J9" i="5"/>
  <c r="JS47" i="1"/>
  <c r="FJ23" i="1"/>
  <c r="G16" i="4" s="1"/>
  <c r="IX70" i="1"/>
  <c r="J17" i="7" s="1"/>
  <c r="JQ47" i="1"/>
  <c r="IO47" i="1"/>
  <c r="J12" i="5" s="1"/>
  <c r="J28" i="5" s="1"/>
  <c r="DW47" i="1"/>
  <c r="F3" i="5" s="1"/>
  <c r="F24" i="5" s="1"/>
  <c r="F11" i="5"/>
  <c r="IM71" i="1"/>
  <c r="F10" i="5"/>
  <c r="F9" i="5"/>
  <c r="ID94" i="1"/>
  <c r="I22" i="9" s="1"/>
  <c r="ID46" i="1"/>
  <c r="I22" i="6" s="1"/>
  <c r="FV23" i="1"/>
  <c r="G22" i="4" s="1"/>
  <c r="CJ94" i="1"/>
  <c r="D22" i="9" s="1"/>
  <c r="CJ46" i="1"/>
  <c r="D22" i="6" s="1"/>
  <c r="GZ23" i="1"/>
  <c r="H22" i="4" s="1"/>
  <c r="ID23" i="1"/>
  <c r="I22" i="4" s="1"/>
  <c r="ER46" i="1"/>
  <c r="F22" i="6" s="1"/>
  <c r="KL46" i="1"/>
  <c r="IR52" i="1"/>
  <c r="GZ46" i="1"/>
  <c r="H22" i="6" s="1"/>
  <c r="JU46" i="1"/>
  <c r="JY46" i="1" s="1"/>
  <c r="HZ23" i="1"/>
  <c r="I20" i="4" s="1"/>
  <c r="GZ70" i="1"/>
  <c r="H22" i="7" s="1"/>
  <c r="FV94" i="1"/>
  <c r="G22" i="9" s="1"/>
  <c r="ER94" i="1"/>
  <c r="F22" i="9" s="1"/>
  <c r="BO70" i="1"/>
  <c r="D3" i="7" s="1"/>
  <c r="D5" i="7"/>
  <c r="BF70" i="1"/>
  <c r="C22" i="7" s="1"/>
  <c r="IQ94" i="1"/>
  <c r="IU94" i="1" s="1"/>
  <c r="I11" i="8"/>
  <c r="F9" i="8"/>
  <c r="JH23" i="1"/>
  <c r="J22" i="4" s="1"/>
  <c r="ID70" i="1"/>
  <c r="I22" i="7" s="1"/>
  <c r="ER70" i="1"/>
  <c r="F22" i="7" s="1"/>
  <c r="ER23" i="1"/>
  <c r="F22" i="4" s="1"/>
  <c r="DN70" i="1"/>
  <c r="E22" i="7" s="1"/>
  <c r="JK52" i="1"/>
  <c r="KL94" i="1"/>
  <c r="KL70" i="1"/>
  <c r="KL23" i="1"/>
  <c r="JH94" i="1"/>
  <c r="JH46" i="1"/>
  <c r="J22" i="6" s="1"/>
  <c r="IZ23" i="1"/>
  <c r="J18" i="4" s="1"/>
  <c r="HK47" i="1"/>
  <c r="HK71" i="1" s="1"/>
  <c r="I10" i="6"/>
  <c r="I24" i="6" s="1"/>
  <c r="I9" i="8"/>
  <c r="I10" i="5"/>
  <c r="I3" i="4"/>
  <c r="I9" i="5"/>
  <c r="I10" i="8"/>
  <c r="I11" i="5"/>
  <c r="GZ94" i="1"/>
  <c r="H22" i="9" s="1"/>
  <c r="GI94" i="1"/>
  <c r="GG47" i="1"/>
  <c r="FV70" i="1"/>
  <c r="G22" i="7" s="1"/>
  <c r="F11" i="8"/>
  <c r="F10" i="8"/>
  <c r="DY47" i="1"/>
  <c r="F12" i="5" s="1"/>
  <c r="F28" i="5" s="1"/>
  <c r="DN94" i="1"/>
  <c r="E22" i="9" s="1"/>
  <c r="DN46" i="1"/>
  <c r="E22" i="6" s="1"/>
  <c r="DN23" i="1"/>
  <c r="E22" i="4" s="1"/>
  <c r="CJ70" i="1"/>
  <c r="D22" i="7" s="1"/>
  <c r="BF94" i="1"/>
  <c r="C22" i="9" s="1"/>
  <c r="AB94" i="1"/>
  <c r="B22" i="9" s="1"/>
  <c r="JG52" i="1"/>
  <c r="JH53" i="1"/>
  <c r="JI53" i="1" s="1"/>
  <c r="IQ53" i="1"/>
  <c r="JJ53" i="1"/>
  <c r="IP54" i="1"/>
  <c r="JF53" i="1"/>
  <c r="JD53" i="1"/>
  <c r="AG46" i="1"/>
  <c r="B26" i="6" s="1"/>
  <c r="BF46" i="1"/>
  <c r="C22" i="6" s="1"/>
  <c r="CJ23" i="1"/>
  <c r="D22" i="4" s="1"/>
  <c r="FV46" i="1"/>
  <c r="G22" i="6" s="1"/>
  <c r="FC47" i="1"/>
  <c r="G10" i="4"/>
  <c r="G24" i="4" s="1"/>
  <c r="BF23" i="1"/>
  <c r="C22" i="4" s="1"/>
  <c r="AF71" i="1"/>
  <c r="B40" i="8" s="1"/>
  <c r="AG95" i="1"/>
  <c r="AF47" i="1"/>
  <c r="AF23" i="1"/>
  <c r="B25" i="4" s="1"/>
  <c r="AG71" i="1"/>
  <c r="B41" i="8" s="1"/>
  <c r="AG47" i="1"/>
  <c r="H11" i="8"/>
  <c r="H9" i="5"/>
  <c r="H10" i="8"/>
  <c r="H11" i="5"/>
  <c r="H9" i="8"/>
  <c r="H10" i="5"/>
  <c r="H3" i="6"/>
  <c r="G9" i="8"/>
  <c r="G3" i="6"/>
  <c r="G11" i="5"/>
  <c r="G9" i="5"/>
  <c r="G10" i="5"/>
  <c r="G11" i="8"/>
  <c r="G10" i="8"/>
  <c r="GC46" i="1"/>
  <c r="G7" i="6" s="1"/>
  <c r="G10" i="3"/>
  <c r="G11" i="3"/>
  <c r="HT23" i="1"/>
  <c r="I17" i="4" s="1"/>
  <c r="FA47" i="1"/>
  <c r="KJ46" i="1"/>
  <c r="G9" i="3"/>
  <c r="HB23" i="1"/>
  <c r="H23" i="4" s="1"/>
  <c r="HT94" i="1"/>
  <c r="I17" i="9" s="1"/>
  <c r="HG70" i="1"/>
  <c r="H7" i="7" s="1"/>
  <c r="JJ46" i="1"/>
  <c r="J23" i="6" s="1"/>
  <c r="JU23" i="1"/>
  <c r="GK12" i="1"/>
  <c r="GK23" i="1" s="1"/>
  <c r="H14" i="4" s="1"/>
  <c r="EY46" i="1"/>
  <c r="F7" i="6" s="1"/>
  <c r="F10" i="3"/>
  <c r="GR23" i="1"/>
  <c r="H18" i="4" s="1"/>
  <c r="HX94" i="1"/>
  <c r="I19" i="9" s="1"/>
  <c r="FE23" i="1"/>
  <c r="EH70" i="1"/>
  <c r="F17" i="7" s="1"/>
  <c r="GP23" i="1"/>
  <c r="H17" i="4" s="1"/>
  <c r="EF46" i="1"/>
  <c r="F16" i="6" s="1"/>
  <c r="EP94" i="1"/>
  <c r="F21" i="9" s="1"/>
  <c r="KS94" i="1"/>
  <c r="GV70" i="1"/>
  <c r="H20" i="7" s="1"/>
  <c r="KF94" i="1"/>
  <c r="I40" i="5"/>
  <c r="AB23" i="1"/>
  <c r="B22" i="4" s="1"/>
  <c r="KD94" i="1"/>
  <c r="FE70" i="1"/>
  <c r="GV94" i="1"/>
  <c r="H20" i="9" s="1"/>
  <c r="JO94" i="1"/>
  <c r="J7" i="9" s="1"/>
  <c r="J8" i="9" s="1"/>
  <c r="EY23" i="1"/>
  <c r="F7" i="4" s="1"/>
  <c r="KH46" i="1"/>
  <c r="KF23" i="1"/>
  <c r="H40" i="5"/>
  <c r="FT46" i="1"/>
  <c r="G21" i="6" s="1"/>
  <c r="HM46" i="1"/>
  <c r="IZ94" i="1"/>
  <c r="KD23" i="1"/>
  <c r="GT94" i="1"/>
  <c r="H19" i="9" s="1"/>
  <c r="FR70" i="1"/>
  <c r="G20" i="7" s="1"/>
  <c r="JB94" i="1"/>
  <c r="AB46" i="1"/>
  <c r="B22" i="6" s="1"/>
  <c r="FP46" i="1"/>
  <c r="G19" i="6" s="1"/>
  <c r="GP70" i="1"/>
  <c r="H17" i="7" s="1"/>
  <c r="GX94" i="1"/>
  <c r="H21" i="9" s="1"/>
  <c r="G42" i="5"/>
  <c r="G40" i="5"/>
  <c r="HT70" i="1"/>
  <c r="I17" i="7" s="1"/>
  <c r="F9" i="3"/>
  <c r="F11" i="3"/>
  <c r="IK70" i="1"/>
  <c r="I7" i="7" s="1"/>
  <c r="ET94" i="1"/>
  <c r="F23" i="9" s="1"/>
  <c r="FG93" i="1"/>
  <c r="EF94" i="1"/>
  <c r="F16" i="9" s="1"/>
  <c r="AB70" i="1"/>
  <c r="B22" i="7" s="1"/>
  <c r="FL46" i="1"/>
  <c r="G17" i="6" s="1"/>
  <c r="HX70" i="1"/>
  <c r="I19" i="7" s="1"/>
  <c r="GL14" i="1"/>
  <c r="GL15" i="1" s="1"/>
  <c r="GL16" i="1" s="1"/>
  <c r="GL17" i="1" s="1"/>
  <c r="GL18" i="1" s="1"/>
  <c r="GL19" i="1" s="1"/>
  <c r="GL20" i="1" s="1"/>
  <c r="GL21" i="1" s="1"/>
  <c r="GL26" i="1" s="1"/>
  <c r="GL27" i="1" s="1"/>
  <c r="GL28" i="1" s="1"/>
  <c r="GL29" i="1" s="1"/>
  <c r="GL30" i="1" s="1"/>
  <c r="GL31" i="1" s="1"/>
  <c r="GL32" i="1" s="1"/>
  <c r="GL33" i="1" s="1"/>
  <c r="GL34" i="1" s="1"/>
  <c r="GL36" i="1" s="1"/>
  <c r="GL37" i="1" s="1"/>
  <c r="GL38" i="1" s="1"/>
  <c r="GL39" i="1" s="1"/>
  <c r="GL40" i="1" s="1"/>
  <c r="GL41" i="1" s="1"/>
  <c r="GL42" i="1" s="1"/>
  <c r="GL43" i="1" s="1"/>
  <c r="GL44" i="1" s="1"/>
  <c r="GL50" i="1" s="1"/>
  <c r="GL51" i="1" s="1"/>
  <c r="GL52" i="1" s="1"/>
  <c r="GL53" i="1" s="1"/>
  <c r="GL54" i="1" s="1"/>
  <c r="GL55" i="1" s="1"/>
  <c r="GL56" i="1" s="1"/>
  <c r="GL57" i="1" s="1"/>
  <c r="GL58" i="1" s="1"/>
  <c r="GL60" i="1" s="1"/>
  <c r="GL61" i="1" s="1"/>
  <c r="GL62" i="1" s="1"/>
  <c r="GL63" i="1" s="1"/>
  <c r="GL64" i="1" s="1"/>
  <c r="GL65" i="1" s="1"/>
  <c r="GL66" i="1" s="1"/>
  <c r="GL67" i="1" s="1"/>
  <c r="GL68" i="1" s="1"/>
  <c r="GL74" i="1" s="1"/>
  <c r="GL75" i="1" s="1"/>
  <c r="GL76" i="1" s="1"/>
  <c r="GL77" i="1" s="1"/>
  <c r="GL78" i="1" s="1"/>
  <c r="GL79" i="1" s="1"/>
  <c r="GL80" i="1" s="1"/>
  <c r="GL81" i="1" s="1"/>
  <c r="GL82" i="1" s="1"/>
  <c r="GL84" i="1" s="1"/>
  <c r="GL85" i="1" s="1"/>
  <c r="GL86" i="1" s="1"/>
  <c r="GL87" i="1" s="1"/>
  <c r="GL88" i="1" s="1"/>
  <c r="GL89" i="1" s="1"/>
  <c r="GL90" i="1" s="1"/>
  <c r="GL91" i="1" s="1"/>
  <c r="GL92" i="1" s="1"/>
  <c r="JF46" i="1"/>
  <c r="J21" i="6" s="1"/>
  <c r="FT70" i="1"/>
  <c r="G21" i="7" s="1"/>
  <c r="FL70" i="1"/>
  <c r="G17" i="7" s="1"/>
  <c r="FT94" i="1"/>
  <c r="G21" i="9" s="1"/>
  <c r="GP46" i="1"/>
  <c r="H17" i="6" s="1"/>
  <c r="FN70" i="1"/>
  <c r="G18" i="7" s="1"/>
  <c r="FT23" i="1"/>
  <c r="G21" i="4" s="1"/>
  <c r="KH94" i="1"/>
  <c r="HP4" i="1"/>
  <c r="HP5" i="1" s="1"/>
  <c r="HP6" i="1" s="1"/>
  <c r="HP7" i="1" s="1"/>
  <c r="HP8" i="1" s="1"/>
  <c r="HP9" i="1" s="1"/>
  <c r="HP10" i="1" s="1"/>
  <c r="HP11" i="1" s="1"/>
  <c r="HP13" i="1" s="1"/>
  <c r="HP14" i="1" s="1"/>
  <c r="HP15" i="1" s="1"/>
  <c r="HP16" i="1" s="1"/>
  <c r="HP17" i="1" s="1"/>
  <c r="HP18" i="1" s="1"/>
  <c r="HP19" i="1" s="1"/>
  <c r="HP20" i="1" s="1"/>
  <c r="HP21" i="1" s="1"/>
  <c r="HP26" i="1" s="1"/>
  <c r="HP27" i="1" s="1"/>
  <c r="HP28" i="1" s="1"/>
  <c r="HP29" i="1" s="1"/>
  <c r="HP30" i="1" s="1"/>
  <c r="HP31" i="1" s="1"/>
  <c r="HP32" i="1" s="1"/>
  <c r="HP33" i="1" s="1"/>
  <c r="HP34" i="1" s="1"/>
  <c r="HP36" i="1" s="1"/>
  <c r="HP37" i="1" s="1"/>
  <c r="HP38" i="1" s="1"/>
  <c r="HP39" i="1" s="1"/>
  <c r="HP40" i="1" s="1"/>
  <c r="HP41" i="1" s="1"/>
  <c r="HP42" i="1" s="1"/>
  <c r="HP43" i="1" s="1"/>
  <c r="HP44" i="1" s="1"/>
  <c r="HP50" i="1" s="1"/>
  <c r="HP51" i="1" s="1"/>
  <c r="HP52" i="1" s="1"/>
  <c r="HP53" i="1" s="1"/>
  <c r="HP54" i="1" s="1"/>
  <c r="HP55" i="1" s="1"/>
  <c r="HP56" i="1" s="1"/>
  <c r="HP57" i="1" s="1"/>
  <c r="HP58" i="1" s="1"/>
  <c r="HP60" i="1" s="1"/>
  <c r="HP61" i="1" s="1"/>
  <c r="HP62" i="1" s="1"/>
  <c r="HP63" i="1" s="1"/>
  <c r="HP64" i="1" s="1"/>
  <c r="HP65" i="1" s="1"/>
  <c r="HP66" i="1" s="1"/>
  <c r="HP67" i="1" s="1"/>
  <c r="HP68" i="1" s="1"/>
  <c r="HP74" i="1" s="1"/>
  <c r="HP75" i="1" s="1"/>
  <c r="HP76" i="1" s="1"/>
  <c r="HP77" i="1" s="1"/>
  <c r="HP78" i="1" s="1"/>
  <c r="HP79" i="1" s="1"/>
  <c r="HP80" i="1" s="1"/>
  <c r="HP81" i="1" s="1"/>
  <c r="HP82" i="1" s="1"/>
  <c r="HP84" i="1" s="1"/>
  <c r="HP85" i="1" s="1"/>
  <c r="HP86" i="1" s="1"/>
  <c r="HP87" i="1" s="1"/>
  <c r="HP88" i="1" s="1"/>
  <c r="HP89" i="1" s="1"/>
  <c r="HP90" i="1" s="1"/>
  <c r="HP91" i="1" s="1"/>
  <c r="HP92" i="1" s="1"/>
  <c r="JW12" i="1"/>
  <c r="JB46" i="1"/>
  <c r="J19" i="6" s="1"/>
  <c r="DI51" i="1"/>
  <c r="DI52" i="1" s="1"/>
  <c r="DI53" i="1" s="1"/>
  <c r="DI54" i="1" s="1"/>
  <c r="DI55" i="1" s="1"/>
  <c r="DI56" i="1" s="1"/>
  <c r="DI57" i="1" s="1"/>
  <c r="DI58" i="1" s="1"/>
  <c r="DI60" i="1" s="1"/>
  <c r="DI61" i="1" s="1"/>
  <c r="DI62" i="1" s="1"/>
  <c r="DI63" i="1" s="1"/>
  <c r="DI64" i="1" s="1"/>
  <c r="DI65" i="1" s="1"/>
  <c r="DI66" i="1" s="1"/>
  <c r="DI67" i="1" s="1"/>
  <c r="DI68" i="1" s="1"/>
  <c r="GI23" i="1"/>
  <c r="JB23" i="1"/>
  <c r="J19" i="4" s="1"/>
  <c r="KH70" i="1"/>
  <c r="F40" i="5"/>
  <c r="FL23" i="1"/>
  <c r="G17" i="4" s="1"/>
  <c r="GK83" i="1"/>
  <c r="IF23" i="1"/>
  <c r="I23" i="4" s="1"/>
  <c r="IX94" i="1"/>
  <c r="KJ70" i="1"/>
  <c r="KD46" i="1"/>
  <c r="FJ70" i="1"/>
  <c r="G16" i="7" s="1"/>
  <c r="EH46" i="1"/>
  <c r="F17" i="6" s="1"/>
  <c r="FX46" i="1"/>
  <c r="G23" i="6" s="1"/>
  <c r="GR70" i="1"/>
  <c r="H18" i="7" s="1"/>
  <c r="HO22" i="1"/>
  <c r="KF46" i="1"/>
  <c r="JD23" i="1"/>
  <c r="J20" i="4" s="1"/>
  <c r="FJ46" i="1"/>
  <c r="IQ23" i="1"/>
  <c r="JJ23" i="1"/>
  <c r="J23" i="4" s="1"/>
  <c r="FR94" i="1"/>
  <c r="G20" i="9" s="1"/>
  <c r="EH94" i="1"/>
  <c r="F17" i="9" s="1"/>
  <c r="KN94" i="1"/>
  <c r="DH59" i="1"/>
  <c r="FP70" i="1"/>
  <c r="G19" i="7" s="1"/>
  <c r="EL70" i="1"/>
  <c r="F19" i="7" s="1"/>
  <c r="IF46" i="1"/>
  <c r="I23" i="6" s="1"/>
  <c r="IV70" i="1"/>
  <c r="J16" i="7" s="1"/>
  <c r="JD94" i="1"/>
  <c r="EY94" i="1"/>
  <c r="F7" i="9" s="1"/>
  <c r="FP94" i="1"/>
  <c r="G19" i="9" s="1"/>
  <c r="GX23" i="1"/>
  <c r="H21" i="4" s="1"/>
  <c r="IB70" i="1"/>
  <c r="I21" i="7" s="1"/>
  <c r="HX46" i="1"/>
  <c r="I19" i="6" s="1"/>
  <c r="GC23" i="1"/>
  <c r="JF94" i="1"/>
  <c r="IK94" i="1"/>
  <c r="I7" i="9" s="1"/>
  <c r="JO70" i="1"/>
  <c r="HV70" i="1"/>
  <c r="I18" i="7" s="1"/>
  <c r="JZ94" i="1"/>
  <c r="KS70" i="1"/>
  <c r="JZ70" i="1"/>
  <c r="EC22" i="1"/>
  <c r="EC23" i="1" s="1"/>
  <c r="F14" i="4" s="1"/>
  <c r="HR70" i="1"/>
  <c r="I16" i="7" s="1"/>
  <c r="HO70" i="1"/>
  <c r="I14" i="7" s="1"/>
  <c r="KJ94" i="1"/>
  <c r="KF70" i="1"/>
  <c r="KJ23" i="1"/>
  <c r="CB69" i="1"/>
  <c r="FJ94" i="1"/>
  <c r="G16" i="9" s="1"/>
  <c r="FR23" i="1"/>
  <c r="G20" i="4" s="1"/>
  <c r="HM23" i="1"/>
  <c r="JF23" i="1"/>
  <c r="JW22" i="1"/>
  <c r="IV23" i="1"/>
  <c r="J16" i="4" s="1"/>
  <c r="JO46" i="1"/>
  <c r="J7" i="6" s="1"/>
  <c r="J8" i="6" s="1"/>
  <c r="GC70" i="1"/>
  <c r="G7" i="7" s="1"/>
  <c r="HG23" i="1"/>
  <c r="H7" i="4" s="1"/>
  <c r="HG46" i="1"/>
  <c r="H7" i="6" s="1"/>
  <c r="EY70" i="1"/>
  <c r="F7" i="7" s="1"/>
  <c r="JU94" i="1"/>
  <c r="KB70" i="1"/>
  <c r="KN70" i="1"/>
  <c r="IV94" i="1"/>
  <c r="JB70" i="1"/>
  <c r="J19" i="7" s="1"/>
  <c r="IF94" i="1"/>
  <c r="I23" i="9" s="1"/>
  <c r="HM94" i="1"/>
  <c r="GP94" i="1"/>
  <c r="H17" i="9" s="1"/>
  <c r="HB70" i="1"/>
  <c r="H23" i="7" s="1"/>
  <c r="GX70" i="1"/>
  <c r="H21" i="7" s="1"/>
  <c r="GI70" i="1"/>
  <c r="FN94" i="1"/>
  <c r="G18" i="9" s="1"/>
  <c r="EA94" i="1"/>
  <c r="EP70" i="1"/>
  <c r="F21" i="7" s="1"/>
  <c r="ET70" i="1"/>
  <c r="F23" i="7" s="1"/>
  <c r="EJ70" i="1"/>
  <c r="F18" i="7" s="1"/>
  <c r="EN46" i="1"/>
  <c r="F20" i="6" s="1"/>
  <c r="EJ46" i="1"/>
  <c r="F18" i="6" s="1"/>
  <c r="EP46" i="1"/>
  <c r="F21" i="6" s="1"/>
  <c r="EA46" i="1"/>
  <c r="GK45" i="1"/>
  <c r="HB46" i="1"/>
  <c r="H23" i="6" s="1"/>
  <c r="GT46" i="1"/>
  <c r="H19" i="6" s="1"/>
  <c r="HR46" i="1"/>
  <c r="I16" i="6" s="1"/>
  <c r="HZ46" i="1"/>
  <c r="HV46" i="1"/>
  <c r="HT46" i="1"/>
  <c r="IK46" i="1"/>
  <c r="I7" i="6" s="1"/>
  <c r="IB46" i="1"/>
  <c r="I21" i="6" s="1"/>
  <c r="JD46" i="1"/>
  <c r="J20" i="6" s="1"/>
  <c r="KN46" i="1"/>
  <c r="JZ46" i="1"/>
  <c r="KH23" i="1"/>
  <c r="JO23" i="1"/>
  <c r="J7" i="4" s="1"/>
  <c r="J8" i="4" s="1"/>
  <c r="IX23" i="1"/>
  <c r="J17" i="4" s="1"/>
  <c r="HI47" i="1"/>
  <c r="HI71" i="1" s="1"/>
  <c r="I10" i="3"/>
  <c r="I9" i="3"/>
  <c r="I11" i="3"/>
  <c r="HX23" i="1"/>
  <c r="I19" i="4" s="1"/>
  <c r="HR23" i="1"/>
  <c r="I16" i="4" s="1"/>
  <c r="HV23" i="1"/>
  <c r="GV23" i="1"/>
  <c r="H20" i="4" s="1"/>
  <c r="GE47" i="1"/>
  <c r="H9" i="3"/>
  <c r="H11" i="3"/>
  <c r="H10" i="3"/>
  <c r="GN23" i="1"/>
  <c r="H16" i="4" s="1"/>
  <c r="FX23" i="1"/>
  <c r="G23" i="4" s="1"/>
  <c r="ET23" i="1"/>
  <c r="F23" i="4" s="1"/>
  <c r="EJ23" i="1"/>
  <c r="F18" i="4" s="1"/>
  <c r="EN23" i="1"/>
  <c r="F20" i="4" s="1"/>
  <c r="DE4" i="1"/>
  <c r="DE5" i="1" s="1"/>
  <c r="DE6" i="1" s="1"/>
  <c r="DE7" i="1" s="1"/>
  <c r="DE8" i="1" s="1"/>
  <c r="DE9" i="1" s="1"/>
  <c r="DE10" i="1" s="1"/>
  <c r="DE11" i="1" s="1"/>
  <c r="DE13" i="1" s="1"/>
  <c r="DE14" i="1" s="1"/>
  <c r="DE15" i="1" s="1"/>
  <c r="DE16" i="1" s="1"/>
  <c r="DE17" i="1" s="1"/>
  <c r="DE18" i="1" s="1"/>
  <c r="DE19" i="1" s="1"/>
  <c r="DE20" i="1" s="1"/>
  <c r="DE21" i="1" s="1"/>
  <c r="CI4" i="1"/>
  <c r="CI5" i="1" s="1"/>
  <c r="CI6" i="1" s="1"/>
  <c r="CI7" i="1" s="1"/>
  <c r="CI8" i="1" s="1"/>
  <c r="CI9" i="1" s="1"/>
  <c r="CI10" i="1" s="1"/>
  <c r="CI11" i="1" s="1"/>
  <c r="CI13" i="1" s="1"/>
  <c r="CI14" i="1" s="1"/>
  <c r="CI15" i="1" s="1"/>
  <c r="CI16" i="1" s="1"/>
  <c r="CI17" i="1" s="1"/>
  <c r="CI18" i="1" s="1"/>
  <c r="CI19" i="1" s="1"/>
  <c r="CI20" i="1" s="1"/>
  <c r="CI21" i="1" s="1"/>
  <c r="CI26" i="1" s="1"/>
  <c r="CI27" i="1" s="1"/>
  <c r="CI28" i="1" s="1"/>
  <c r="CI29" i="1" s="1"/>
  <c r="CI30" i="1" s="1"/>
  <c r="CI31" i="1" s="1"/>
  <c r="CI32" i="1" s="1"/>
  <c r="CI33" i="1" s="1"/>
  <c r="CI34" i="1" s="1"/>
  <c r="CI36" i="1" s="1"/>
  <c r="CI37" i="1" s="1"/>
  <c r="CI38" i="1" s="1"/>
  <c r="CI39" i="1" s="1"/>
  <c r="CI40" i="1" s="1"/>
  <c r="CI41" i="1" s="1"/>
  <c r="CI42" i="1" s="1"/>
  <c r="CI43" i="1" s="1"/>
  <c r="CI44" i="1" s="1"/>
  <c r="CI50" i="1" s="1"/>
  <c r="CI51" i="1" s="1"/>
  <c r="CI52" i="1" s="1"/>
  <c r="CI53" i="1" s="1"/>
  <c r="CI54" i="1" s="1"/>
  <c r="CI55" i="1" s="1"/>
  <c r="CI56" i="1" s="1"/>
  <c r="CI57" i="1" s="1"/>
  <c r="CI58" i="1" s="1"/>
  <c r="CI60" i="1" s="1"/>
  <c r="CI61" i="1" s="1"/>
  <c r="CI62" i="1" s="1"/>
  <c r="CI63" i="1" s="1"/>
  <c r="CI64" i="1" s="1"/>
  <c r="CI65" i="1" s="1"/>
  <c r="CI66" i="1" s="1"/>
  <c r="CI67" i="1" s="1"/>
  <c r="CI68" i="1" s="1"/>
  <c r="CI74" i="1" s="1"/>
  <c r="CI75" i="1" s="1"/>
  <c r="CI76" i="1" s="1"/>
  <c r="CI77" i="1" s="1"/>
  <c r="CI78" i="1" s="1"/>
  <c r="CI79" i="1" s="1"/>
  <c r="CI80" i="1" s="1"/>
  <c r="CI81" i="1" s="1"/>
  <c r="CI82" i="1" s="1"/>
  <c r="CI84" i="1" s="1"/>
  <c r="CI85" i="1" s="1"/>
  <c r="CI86" i="1" s="1"/>
  <c r="CI87" i="1" s="1"/>
  <c r="CI88" i="1" s="1"/>
  <c r="CI89" i="1" s="1"/>
  <c r="CI90" i="1" s="1"/>
  <c r="CI91" i="1" s="1"/>
  <c r="CI92" i="1" s="1"/>
  <c r="CG3" i="1"/>
  <c r="CG4" i="1" s="1"/>
  <c r="CG5" i="1" s="1"/>
  <c r="CG6" i="1" s="1"/>
  <c r="CG7" i="1" s="1"/>
  <c r="CG8" i="1" s="1"/>
  <c r="CG9" i="1" s="1"/>
  <c r="CG10" i="1" s="1"/>
  <c r="CG11" i="1" s="1"/>
  <c r="CG13" i="1" s="1"/>
  <c r="CG14" i="1" s="1"/>
  <c r="CG15" i="1" s="1"/>
  <c r="CG16" i="1" s="1"/>
  <c r="CG17" i="1" s="1"/>
  <c r="CG18" i="1" s="1"/>
  <c r="CG19" i="1" s="1"/>
  <c r="CG20" i="1" s="1"/>
  <c r="CG21" i="1" s="1"/>
  <c r="CF12" i="1"/>
  <c r="CA4" i="1"/>
  <c r="CA5" i="1" s="1"/>
  <c r="CA6" i="1" s="1"/>
  <c r="CA7" i="1" s="1"/>
  <c r="CA8" i="1" s="1"/>
  <c r="CA9" i="1" s="1"/>
  <c r="CA10" i="1" s="1"/>
  <c r="CA11" i="1" s="1"/>
  <c r="CA13" i="1" s="1"/>
  <c r="CA14" i="1" s="1"/>
  <c r="CA15" i="1" s="1"/>
  <c r="CA16" i="1" s="1"/>
  <c r="CA17" i="1" s="1"/>
  <c r="CA18" i="1" s="1"/>
  <c r="CA19" i="1" s="1"/>
  <c r="CA20" i="1" s="1"/>
  <c r="CA21" i="1" s="1"/>
  <c r="CC4" i="1"/>
  <c r="CC5" i="1" s="1"/>
  <c r="CC6" i="1" s="1"/>
  <c r="CC7" i="1" s="1"/>
  <c r="CC8" i="1" s="1"/>
  <c r="CC9" i="1" s="1"/>
  <c r="CC10" i="1" s="1"/>
  <c r="CC11" i="1" s="1"/>
  <c r="CC13" i="1" s="1"/>
  <c r="CC14" i="1" s="1"/>
  <c r="CC15" i="1" s="1"/>
  <c r="CC16" i="1" s="1"/>
  <c r="CC17" i="1" s="1"/>
  <c r="CC18" i="1" s="1"/>
  <c r="CC19" i="1" s="1"/>
  <c r="CC20" i="1" s="1"/>
  <c r="CC21" i="1" s="1"/>
  <c r="KS23" i="1"/>
  <c r="JZ23" i="1"/>
  <c r="KB23" i="1"/>
  <c r="KD70" i="1"/>
  <c r="JW93" i="1"/>
  <c r="JW94" i="1" s="1"/>
  <c r="JW69" i="1"/>
  <c r="JW59" i="1"/>
  <c r="JU70" i="1"/>
  <c r="JY70" i="1" s="1"/>
  <c r="KN23" i="1"/>
  <c r="JX9" i="1"/>
  <c r="JX10" i="1" s="1"/>
  <c r="JX11" i="1" s="1"/>
  <c r="JX13" i="1" s="1"/>
  <c r="JX14" i="1" s="1"/>
  <c r="JX15" i="1" s="1"/>
  <c r="JX16" i="1" s="1"/>
  <c r="JX17" i="1" s="1"/>
  <c r="JX18" i="1" s="1"/>
  <c r="JX19" i="1" s="1"/>
  <c r="JX20" i="1" s="1"/>
  <c r="JX21" i="1" s="1"/>
  <c r="JX26" i="1" s="1"/>
  <c r="JX27" i="1" s="1"/>
  <c r="JX28" i="1" s="1"/>
  <c r="JX29" i="1" s="1"/>
  <c r="JX30" i="1" s="1"/>
  <c r="JX31" i="1" s="1"/>
  <c r="JX32" i="1" s="1"/>
  <c r="JX33" i="1" s="1"/>
  <c r="JX34" i="1" s="1"/>
  <c r="JX36" i="1" s="1"/>
  <c r="JX37" i="1" s="1"/>
  <c r="JX38" i="1" s="1"/>
  <c r="JX39" i="1" s="1"/>
  <c r="JX40" i="1" s="1"/>
  <c r="JX41" i="1" s="1"/>
  <c r="JX42" i="1" s="1"/>
  <c r="JX43" i="1" s="1"/>
  <c r="JX44" i="1" s="1"/>
  <c r="JX50" i="1" s="1"/>
  <c r="JX51" i="1" s="1"/>
  <c r="JX52" i="1" s="1"/>
  <c r="JX53" i="1" s="1"/>
  <c r="JX54" i="1" s="1"/>
  <c r="JX55" i="1" s="1"/>
  <c r="JX56" i="1" s="1"/>
  <c r="JX57" i="1" s="1"/>
  <c r="JX58" i="1" s="1"/>
  <c r="JX60" i="1" s="1"/>
  <c r="JX61" i="1" s="1"/>
  <c r="JX62" i="1" s="1"/>
  <c r="JX63" i="1" s="1"/>
  <c r="JX64" i="1" s="1"/>
  <c r="JX65" i="1" s="1"/>
  <c r="JX66" i="1" s="1"/>
  <c r="JX67" i="1" s="1"/>
  <c r="JX68" i="1" s="1"/>
  <c r="JX74" i="1" s="1"/>
  <c r="JX75" i="1" s="1"/>
  <c r="JX76" i="1" s="1"/>
  <c r="JX77" i="1" s="1"/>
  <c r="JX78" i="1" s="1"/>
  <c r="JX79" i="1" s="1"/>
  <c r="JX80" i="1" s="1"/>
  <c r="JX81" i="1" s="1"/>
  <c r="JX82" i="1" s="1"/>
  <c r="JX84" i="1" s="1"/>
  <c r="JX85" i="1" s="1"/>
  <c r="JX86" i="1" s="1"/>
  <c r="JX87" i="1" s="1"/>
  <c r="JX88" i="1" s="1"/>
  <c r="JX89" i="1" s="1"/>
  <c r="JX90" i="1" s="1"/>
  <c r="JX91" i="1" s="1"/>
  <c r="JX92" i="1" s="1"/>
  <c r="KB46" i="1"/>
  <c r="KB94" i="1"/>
  <c r="JW45" i="1"/>
  <c r="KS46" i="1"/>
  <c r="JW35" i="1"/>
  <c r="IV46" i="1"/>
  <c r="J16" i="6" s="1"/>
  <c r="IS83" i="1"/>
  <c r="IZ46" i="1"/>
  <c r="J18" i="6" s="1"/>
  <c r="IT3" i="1"/>
  <c r="IT4" i="1" s="1"/>
  <c r="IT5" i="1" s="1"/>
  <c r="IT6" i="1" s="1"/>
  <c r="IT7" i="1" s="1"/>
  <c r="IT8" i="1" s="1"/>
  <c r="IT9" i="1" s="1"/>
  <c r="IT10" i="1" s="1"/>
  <c r="IT11" i="1" s="1"/>
  <c r="IT13" i="1" s="1"/>
  <c r="IT14" i="1" s="1"/>
  <c r="IT15" i="1" s="1"/>
  <c r="IT16" i="1" s="1"/>
  <c r="IT17" i="1" s="1"/>
  <c r="IT18" i="1" s="1"/>
  <c r="IT19" i="1" s="1"/>
  <c r="IT20" i="1" s="1"/>
  <c r="IT21" i="1" s="1"/>
  <c r="IT26" i="1" s="1"/>
  <c r="IT27" i="1" s="1"/>
  <c r="IT28" i="1" s="1"/>
  <c r="IT29" i="1" s="1"/>
  <c r="IT30" i="1" s="1"/>
  <c r="IT31" i="1" s="1"/>
  <c r="IT32" i="1" s="1"/>
  <c r="IT33" i="1" s="1"/>
  <c r="IT34" i="1" s="1"/>
  <c r="IT36" i="1" s="1"/>
  <c r="IT37" i="1" s="1"/>
  <c r="IT38" i="1" s="1"/>
  <c r="IT39" i="1" s="1"/>
  <c r="IT40" i="1" s="1"/>
  <c r="IT41" i="1" s="1"/>
  <c r="IT42" i="1" s="1"/>
  <c r="IT43" i="1" s="1"/>
  <c r="IT44" i="1" s="1"/>
  <c r="IT50" i="1" s="1"/>
  <c r="IT51" i="1" s="1"/>
  <c r="IT52" i="1" s="1"/>
  <c r="IS12" i="1"/>
  <c r="IS23" i="1" s="1"/>
  <c r="J14" i="4" s="1"/>
  <c r="IS35" i="1"/>
  <c r="IS46" i="1" s="1"/>
  <c r="J14" i="6" s="1"/>
  <c r="IX46" i="1"/>
  <c r="J17" i="6" s="1"/>
  <c r="IQ46" i="1"/>
  <c r="JJ94" i="1"/>
  <c r="IZ70" i="1"/>
  <c r="J18" i="7" s="1"/>
  <c r="IS93" i="1"/>
  <c r="HZ94" i="1"/>
  <c r="I20" i="9" s="1"/>
  <c r="HO83" i="1"/>
  <c r="HO94" i="1" s="1"/>
  <c r="I14" i="9" s="1"/>
  <c r="HZ70" i="1"/>
  <c r="I20" i="7" s="1"/>
  <c r="HM70" i="1"/>
  <c r="I13" i="7" s="1"/>
  <c r="HO35" i="1"/>
  <c r="HV94" i="1"/>
  <c r="I18" i="9" s="1"/>
  <c r="HO45" i="1"/>
  <c r="HR94" i="1"/>
  <c r="I16" i="9" s="1"/>
  <c r="HO12" i="1"/>
  <c r="IB94" i="1"/>
  <c r="I21" i="9" s="1"/>
  <c r="IB23" i="1"/>
  <c r="I21" i="4" s="1"/>
  <c r="IK23" i="1"/>
  <c r="I7" i="4" s="1"/>
  <c r="IF70" i="1"/>
  <c r="I23" i="7" s="1"/>
  <c r="GK93" i="1"/>
  <c r="HB94" i="1"/>
  <c r="H23" i="9" s="1"/>
  <c r="GX46" i="1"/>
  <c r="H21" i="6" s="1"/>
  <c r="GR46" i="1"/>
  <c r="GR94" i="1"/>
  <c r="H18" i="9" s="1"/>
  <c r="GN94" i="1"/>
  <c r="H16" i="9" s="1"/>
  <c r="GT23" i="1"/>
  <c r="H19" i="4" s="1"/>
  <c r="HG94" i="1"/>
  <c r="H7" i="9" s="1"/>
  <c r="GN70" i="1"/>
  <c r="H16" i="7" s="1"/>
  <c r="GK69" i="1"/>
  <c r="GK35" i="1"/>
  <c r="GI46" i="1"/>
  <c r="H13" i="6" s="1"/>
  <c r="GK59" i="1"/>
  <c r="GT70" i="1"/>
  <c r="H19" i="7" s="1"/>
  <c r="GN46" i="1"/>
  <c r="H16" i="6" s="1"/>
  <c r="GV46" i="1"/>
  <c r="H20" i="6" s="1"/>
  <c r="FG59" i="1"/>
  <c r="FG45" i="1"/>
  <c r="FG12" i="1"/>
  <c r="FH3" i="1"/>
  <c r="FH4" i="1" s="1"/>
  <c r="FH5" i="1" s="1"/>
  <c r="FH6" i="1" s="1"/>
  <c r="FH7" i="1" s="1"/>
  <c r="FH8" i="1" s="1"/>
  <c r="FH9" i="1" s="1"/>
  <c r="FH10" i="1" s="1"/>
  <c r="FH11" i="1" s="1"/>
  <c r="FH13" i="1" s="1"/>
  <c r="FH14" i="1" s="1"/>
  <c r="FH15" i="1" s="1"/>
  <c r="FH16" i="1" s="1"/>
  <c r="FH17" i="1" s="1"/>
  <c r="FH18" i="1" s="1"/>
  <c r="FH19" i="1" s="1"/>
  <c r="FH20" i="1" s="1"/>
  <c r="FH21" i="1" s="1"/>
  <c r="FH26" i="1" s="1"/>
  <c r="FH27" i="1" s="1"/>
  <c r="FH28" i="1" s="1"/>
  <c r="FH29" i="1" s="1"/>
  <c r="FH30" i="1" s="1"/>
  <c r="FH31" i="1" s="1"/>
  <c r="FH32" i="1" s="1"/>
  <c r="FH33" i="1" s="1"/>
  <c r="FH34" i="1" s="1"/>
  <c r="FH36" i="1" s="1"/>
  <c r="FH37" i="1" s="1"/>
  <c r="FH38" i="1" s="1"/>
  <c r="FH39" i="1" s="1"/>
  <c r="FH40" i="1" s="1"/>
  <c r="FH41" i="1" s="1"/>
  <c r="FH42" i="1" s="1"/>
  <c r="FH43" i="1" s="1"/>
  <c r="FH44" i="1" s="1"/>
  <c r="FH50" i="1" s="1"/>
  <c r="FH51" i="1" s="1"/>
  <c r="FH52" i="1" s="1"/>
  <c r="FH53" i="1" s="1"/>
  <c r="FH54" i="1" s="1"/>
  <c r="FH55" i="1" s="1"/>
  <c r="FH56" i="1" s="1"/>
  <c r="FH57" i="1" s="1"/>
  <c r="FH58" i="1" s="1"/>
  <c r="FH60" i="1" s="1"/>
  <c r="FH61" i="1" s="1"/>
  <c r="FH62" i="1" s="1"/>
  <c r="FH63" i="1" s="1"/>
  <c r="FH64" i="1" s="1"/>
  <c r="FH65" i="1" s="1"/>
  <c r="FH66" i="1" s="1"/>
  <c r="FH67" i="1" s="1"/>
  <c r="FH68" i="1" s="1"/>
  <c r="FH74" i="1" s="1"/>
  <c r="FH75" i="1" s="1"/>
  <c r="FH76" i="1" s="1"/>
  <c r="FH77" i="1" s="1"/>
  <c r="FH78" i="1" s="1"/>
  <c r="FH79" i="1" s="1"/>
  <c r="FH80" i="1" s="1"/>
  <c r="FH81" i="1" s="1"/>
  <c r="FH82" i="1" s="1"/>
  <c r="FH84" i="1" s="1"/>
  <c r="FH85" i="1" s="1"/>
  <c r="FH86" i="1" s="1"/>
  <c r="FH87" i="1" s="1"/>
  <c r="FH88" i="1" s="1"/>
  <c r="FH89" i="1" s="1"/>
  <c r="FH90" i="1" s="1"/>
  <c r="FH91" i="1" s="1"/>
  <c r="FH92" i="1" s="1"/>
  <c r="GC94" i="1"/>
  <c r="G7" i="9" s="1"/>
  <c r="FN46" i="1"/>
  <c r="G18" i="6" s="1"/>
  <c r="FE94" i="1"/>
  <c r="FG69" i="1"/>
  <c r="FP23" i="1"/>
  <c r="G19" i="4" s="1"/>
  <c r="FN23" i="1"/>
  <c r="FL94" i="1"/>
  <c r="G17" i="9" s="1"/>
  <c r="FX94" i="1"/>
  <c r="G23" i="9" s="1"/>
  <c r="FX70" i="1"/>
  <c r="G23" i="7" s="1"/>
  <c r="FG83" i="1"/>
  <c r="FR46" i="1"/>
  <c r="G20" i="6" s="1"/>
  <c r="FG35" i="1"/>
  <c r="FG22" i="1"/>
  <c r="FE46" i="1"/>
  <c r="FI46" i="1" s="1"/>
  <c r="G15" i="6" s="1"/>
  <c r="EF70" i="1"/>
  <c r="F16" i="7" s="1"/>
  <c r="EP23" i="1"/>
  <c r="F21" i="4" s="1"/>
  <c r="EF23" i="1"/>
  <c r="F16" i="4" s="1"/>
  <c r="EC69" i="1"/>
  <c r="EJ94" i="1"/>
  <c r="F18" i="9" s="1"/>
  <c r="ET46" i="1"/>
  <c r="F23" i="6" s="1"/>
  <c r="EH23" i="1"/>
  <c r="F17" i="4" s="1"/>
  <c r="EN94" i="1"/>
  <c r="F20" i="9" s="1"/>
  <c r="EA70" i="1"/>
  <c r="EL23" i="1"/>
  <c r="F19" i="4" s="1"/>
  <c r="EN70" i="1"/>
  <c r="F20" i="7" s="1"/>
  <c r="EC83" i="1"/>
  <c r="EL46" i="1"/>
  <c r="F19" i="6" s="1"/>
  <c r="ED7" i="1"/>
  <c r="ED8" i="1" s="1"/>
  <c r="ED9" i="1" s="1"/>
  <c r="ED10" i="1" s="1"/>
  <c r="ED11" i="1" s="1"/>
  <c r="ED13" i="1" s="1"/>
  <c r="ED14" i="1" s="1"/>
  <c r="ED15" i="1" s="1"/>
  <c r="ED16" i="1" s="1"/>
  <c r="ED17" i="1" s="1"/>
  <c r="ED18" i="1" s="1"/>
  <c r="ED19" i="1" s="1"/>
  <c r="ED20" i="1" s="1"/>
  <c r="ED21" i="1" s="1"/>
  <c r="ED26" i="1" s="1"/>
  <c r="ED27" i="1" s="1"/>
  <c r="ED28" i="1" s="1"/>
  <c r="ED29" i="1" s="1"/>
  <c r="ED30" i="1" s="1"/>
  <c r="ED31" i="1" s="1"/>
  <c r="ED32" i="1" s="1"/>
  <c r="ED33" i="1" s="1"/>
  <c r="ED34" i="1" s="1"/>
  <c r="ED36" i="1" s="1"/>
  <c r="ED37" i="1" s="1"/>
  <c r="ED38" i="1" s="1"/>
  <c r="ED39" i="1" s="1"/>
  <c r="ED40" i="1" s="1"/>
  <c r="ED41" i="1" s="1"/>
  <c r="ED42" i="1" s="1"/>
  <c r="ED43" i="1" s="1"/>
  <c r="ED44" i="1" s="1"/>
  <c r="ED50" i="1" s="1"/>
  <c r="ED51" i="1" s="1"/>
  <c r="ED52" i="1" s="1"/>
  <c r="ED53" i="1" s="1"/>
  <c r="ED54" i="1" s="1"/>
  <c r="ED55" i="1" s="1"/>
  <c r="ED56" i="1" s="1"/>
  <c r="ED57" i="1" s="1"/>
  <c r="ED58" i="1" s="1"/>
  <c r="ED60" i="1" s="1"/>
  <c r="ED61" i="1" s="1"/>
  <c r="ED62" i="1" s="1"/>
  <c r="ED63" i="1" s="1"/>
  <c r="ED64" i="1" s="1"/>
  <c r="ED65" i="1" s="1"/>
  <c r="ED66" i="1" s="1"/>
  <c r="ED67" i="1" s="1"/>
  <c r="ED68" i="1" s="1"/>
  <c r="ED74" i="1" s="1"/>
  <c r="ED75" i="1" s="1"/>
  <c r="ED76" i="1" s="1"/>
  <c r="ED77" i="1" s="1"/>
  <c r="ED78" i="1" s="1"/>
  <c r="ED79" i="1" s="1"/>
  <c r="ED80" i="1" s="1"/>
  <c r="ED81" i="1" s="1"/>
  <c r="ED82" i="1" s="1"/>
  <c r="ED84" i="1" s="1"/>
  <c r="ED85" i="1" s="1"/>
  <c r="ED86" i="1" s="1"/>
  <c r="ED87" i="1" s="1"/>
  <c r="ED88" i="1" s="1"/>
  <c r="ED89" i="1" s="1"/>
  <c r="ED90" i="1" s="1"/>
  <c r="ED91" i="1" s="1"/>
  <c r="ED92" i="1" s="1"/>
  <c r="EC59" i="1"/>
  <c r="EC45" i="1"/>
  <c r="EC46" i="1" s="1"/>
  <c r="F14" i="6" s="1"/>
  <c r="EL94" i="1"/>
  <c r="F19" i="9" s="1"/>
  <c r="EC93" i="1"/>
  <c r="EA23" i="1"/>
  <c r="DI75" i="1"/>
  <c r="DI76" i="1" s="1"/>
  <c r="DI77" i="1" s="1"/>
  <c r="DI78" i="1" s="1"/>
  <c r="DI79" i="1" s="1"/>
  <c r="DI80" i="1" s="1"/>
  <c r="DI81" i="1" s="1"/>
  <c r="DI82" i="1" s="1"/>
  <c r="DI84" i="1" s="1"/>
  <c r="DI85" i="1" s="1"/>
  <c r="DI86" i="1" s="1"/>
  <c r="DI87" i="1" s="1"/>
  <c r="DI88" i="1" s="1"/>
  <c r="DI89" i="1" s="1"/>
  <c r="DI90" i="1" s="1"/>
  <c r="DI91" i="1" s="1"/>
  <c r="DI92" i="1" s="1"/>
  <c r="DD83" i="1"/>
  <c r="DG75" i="1"/>
  <c r="DG76" i="1" s="1"/>
  <c r="DG77" i="1" s="1"/>
  <c r="DG78" i="1" s="1"/>
  <c r="DG79" i="1" s="1"/>
  <c r="DG80" i="1" s="1"/>
  <c r="DG81" i="1" s="1"/>
  <c r="DG82" i="1" s="1"/>
  <c r="DG84" i="1" s="1"/>
  <c r="DG85" i="1" s="1"/>
  <c r="DG86" i="1" s="1"/>
  <c r="DG87" i="1" s="1"/>
  <c r="DG88" i="1" s="1"/>
  <c r="DG89" i="1" s="1"/>
  <c r="DG90" i="1" s="1"/>
  <c r="DG91" i="1" s="1"/>
  <c r="DG92" i="1" s="1"/>
  <c r="DF83" i="1"/>
  <c r="DF69" i="1"/>
  <c r="DG27" i="1"/>
  <c r="DG28" i="1" s="1"/>
  <c r="DG29" i="1" s="1"/>
  <c r="DG30" i="1" s="1"/>
  <c r="DG31" i="1" s="1"/>
  <c r="DG32" i="1" s="1"/>
  <c r="DG33" i="1" s="1"/>
  <c r="DG34" i="1" s="1"/>
  <c r="DG36" i="1" s="1"/>
  <c r="DG37" i="1" s="1"/>
  <c r="DG38" i="1" s="1"/>
  <c r="DG39" i="1" s="1"/>
  <c r="DG40" i="1" s="1"/>
  <c r="DG41" i="1" s="1"/>
  <c r="DG42" i="1" s="1"/>
  <c r="DG43" i="1" s="1"/>
  <c r="DG44" i="1" s="1"/>
  <c r="DD12" i="1"/>
  <c r="DI4" i="1"/>
  <c r="DI5" i="1" s="1"/>
  <c r="DI6" i="1" s="1"/>
  <c r="DI7" i="1" s="1"/>
  <c r="DI8" i="1" s="1"/>
  <c r="DI9" i="1" s="1"/>
  <c r="DI10" i="1" s="1"/>
  <c r="DI11" i="1" s="1"/>
  <c r="DI13" i="1" s="1"/>
  <c r="DI14" i="1" s="1"/>
  <c r="DI15" i="1" s="1"/>
  <c r="DI16" i="1" s="1"/>
  <c r="DI17" i="1" s="1"/>
  <c r="DI18" i="1" s="1"/>
  <c r="DI19" i="1" s="1"/>
  <c r="DI20" i="1" s="1"/>
  <c r="DI21" i="1" s="1"/>
  <c r="CD93" i="1"/>
  <c r="CE27" i="1"/>
  <c r="CE28" i="1" s="1"/>
  <c r="CE29" i="1" s="1"/>
  <c r="CE30" i="1" s="1"/>
  <c r="CE31" i="1" s="1"/>
  <c r="CE32" i="1" s="1"/>
  <c r="CE33" i="1" s="1"/>
  <c r="CE34" i="1" s="1"/>
  <c r="CE36" i="1" s="1"/>
  <c r="CE37" i="1" s="1"/>
  <c r="CE38" i="1" s="1"/>
  <c r="CE39" i="1" s="1"/>
  <c r="CE40" i="1" s="1"/>
  <c r="CE41" i="1" s="1"/>
  <c r="CE42" i="1" s="1"/>
  <c r="CE43" i="1" s="1"/>
  <c r="CE44" i="1" s="1"/>
  <c r="CB12" i="1"/>
  <c r="CD12" i="1"/>
  <c r="CE3" i="1"/>
  <c r="CE4" i="1" s="1"/>
  <c r="CE5" i="1" s="1"/>
  <c r="CE6" i="1" s="1"/>
  <c r="CE7" i="1" s="1"/>
  <c r="CE8" i="1" s="1"/>
  <c r="CE9" i="1" s="1"/>
  <c r="CE10" i="1" s="1"/>
  <c r="CE11" i="1" s="1"/>
  <c r="CE13" i="1" s="1"/>
  <c r="CE14" i="1" s="1"/>
  <c r="CE15" i="1" s="1"/>
  <c r="CE16" i="1" s="1"/>
  <c r="CE17" i="1" s="1"/>
  <c r="CE18" i="1" s="1"/>
  <c r="CE19" i="1" s="1"/>
  <c r="CE20" i="1" s="1"/>
  <c r="CE21" i="1" s="1"/>
  <c r="AW75" i="1"/>
  <c r="AW76" i="1" s="1"/>
  <c r="AW77" i="1" s="1"/>
  <c r="AW78" i="1" s="1"/>
  <c r="AW79" i="1" s="1"/>
  <c r="AW80" i="1" s="1"/>
  <c r="AW81" i="1" s="1"/>
  <c r="AW82" i="1" s="1"/>
  <c r="AW84" i="1" s="1"/>
  <c r="AW85" i="1" s="1"/>
  <c r="AW86" i="1" s="1"/>
  <c r="AW87" i="1" s="1"/>
  <c r="AW88" i="1" s="1"/>
  <c r="AW89" i="1" s="1"/>
  <c r="AW90" i="1" s="1"/>
  <c r="AW91" i="1" s="1"/>
  <c r="AW92" i="1" s="1"/>
  <c r="AX59" i="1"/>
  <c r="BA27" i="1"/>
  <c r="BA28" i="1" s="1"/>
  <c r="BA29" i="1" s="1"/>
  <c r="BA30" i="1" s="1"/>
  <c r="BA31" i="1" s="1"/>
  <c r="BA32" i="1" s="1"/>
  <c r="BA33" i="1" s="1"/>
  <c r="BA34" i="1" s="1"/>
  <c r="BA36" i="1" s="1"/>
  <c r="BA37" i="1" s="1"/>
  <c r="BA38" i="1" s="1"/>
  <c r="BA39" i="1" s="1"/>
  <c r="BA40" i="1" s="1"/>
  <c r="BA41" i="1" s="1"/>
  <c r="BA42" i="1" s="1"/>
  <c r="BA43" i="1" s="1"/>
  <c r="BA44" i="1" s="1"/>
  <c r="AY4" i="1"/>
  <c r="AY5" i="1" s="1"/>
  <c r="AY6" i="1" s="1"/>
  <c r="AY7" i="1" s="1"/>
  <c r="AY8" i="1" s="1"/>
  <c r="AY9" i="1" s="1"/>
  <c r="AY10" i="1" s="1"/>
  <c r="AY11" i="1" s="1"/>
  <c r="AY13" i="1" s="1"/>
  <c r="AY14" i="1" s="1"/>
  <c r="AY15" i="1" s="1"/>
  <c r="AY16" i="1" s="1"/>
  <c r="AY17" i="1" s="1"/>
  <c r="AY18" i="1" s="1"/>
  <c r="AY19" i="1" s="1"/>
  <c r="AY20" i="1" s="1"/>
  <c r="AY21" i="1" s="1"/>
  <c r="AV69" i="1"/>
  <c r="CE51" i="1"/>
  <c r="CE52" i="1" s="1"/>
  <c r="CE53" i="1" s="1"/>
  <c r="CE54" i="1" s="1"/>
  <c r="CE55" i="1" s="1"/>
  <c r="CE56" i="1" s="1"/>
  <c r="CE57" i="1" s="1"/>
  <c r="CE58" i="1" s="1"/>
  <c r="CE60" i="1" s="1"/>
  <c r="CE61" i="1" s="1"/>
  <c r="CE62" i="1" s="1"/>
  <c r="CE63" i="1" s="1"/>
  <c r="CE64" i="1" s="1"/>
  <c r="CE65" i="1" s="1"/>
  <c r="CE66" i="1" s="1"/>
  <c r="CE67" i="1" s="1"/>
  <c r="CE68" i="1" s="1"/>
  <c r="CD69" i="1"/>
  <c r="DF59" i="1"/>
  <c r="DF70" i="1" s="1"/>
  <c r="E18" i="7" s="1"/>
  <c r="BZ69" i="1"/>
  <c r="AV59" i="1"/>
  <c r="BZ59" i="1"/>
  <c r="DD59" i="1"/>
  <c r="DD69" i="1"/>
  <c r="AW50" i="1"/>
  <c r="AW51" i="1" s="1"/>
  <c r="AW52" i="1" s="1"/>
  <c r="AW53" i="1" s="1"/>
  <c r="AW54" i="1" s="1"/>
  <c r="AW55" i="1" s="1"/>
  <c r="AW56" i="1" s="1"/>
  <c r="AW57" i="1" s="1"/>
  <c r="AW58" i="1" s="1"/>
  <c r="AW60" i="1" s="1"/>
  <c r="AW61" i="1" s="1"/>
  <c r="AW62" i="1" s="1"/>
  <c r="AW63" i="1" s="1"/>
  <c r="AW64" i="1" s="1"/>
  <c r="AW65" i="1" s="1"/>
  <c r="AW66" i="1" s="1"/>
  <c r="AW67" i="1" s="1"/>
  <c r="AW68" i="1" s="1"/>
  <c r="CB59" i="1"/>
  <c r="AV45" i="1"/>
  <c r="DH45" i="1"/>
  <c r="DF45" i="1"/>
  <c r="CB45" i="1"/>
  <c r="DD45" i="1"/>
  <c r="BZ45" i="1"/>
  <c r="AX45" i="1"/>
  <c r="AV35" i="1"/>
  <c r="AX35" i="1"/>
  <c r="DI27" i="1"/>
  <c r="DI28" i="1" s="1"/>
  <c r="DI29" i="1" s="1"/>
  <c r="DI30" i="1" s="1"/>
  <c r="DI31" i="1" s="1"/>
  <c r="DI32" i="1" s="1"/>
  <c r="DI33" i="1" s="1"/>
  <c r="DI34" i="1" s="1"/>
  <c r="DI36" i="1" s="1"/>
  <c r="DI37" i="1" s="1"/>
  <c r="DI38" i="1" s="1"/>
  <c r="DI39" i="1" s="1"/>
  <c r="DI40" i="1" s="1"/>
  <c r="DI41" i="1" s="1"/>
  <c r="DI42" i="1" s="1"/>
  <c r="DI43" i="1" s="1"/>
  <c r="DI44" i="1" s="1"/>
  <c r="BZ35" i="1"/>
  <c r="DD35" i="1"/>
  <c r="CB35" i="1"/>
  <c r="CD35" i="1"/>
  <c r="DF35" i="1"/>
  <c r="DH35" i="1"/>
  <c r="CB83" i="1"/>
  <c r="CC74" i="1"/>
  <c r="CC75" i="1" s="1"/>
  <c r="CC76" i="1" s="1"/>
  <c r="CC77" i="1" s="1"/>
  <c r="CC78" i="1" s="1"/>
  <c r="CC79" i="1" s="1"/>
  <c r="CC80" i="1" s="1"/>
  <c r="CC81" i="1" s="1"/>
  <c r="CC82" i="1" s="1"/>
  <c r="CC84" i="1" s="1"/>
  <c r="CC85" i="1" s="1"/>
  <c r="CC86" i="1" s="1"/>
  <c r="CC87" i="1" s="1"/>
  <c r="CC88" i="1" s="1"/>
  <c r="CC89" i="1" s="1"/>
  <c r="CC90" i="1" s="1"/>
  <c r="CC91" i="1" s="1"/>
  <c r="CC92" i="1" s="1"/>
  <c r="DE74" i="1"/>
  <c r="DE75" i="1" s="1"/>
  <c r="DE76" i="1" s="1"/>
  <c r="DE77" i="1" s="1"/>
  <c r="DE78" i="1" s="1"/>
  <c r="DE79" i="1" s="1"/>
  <c r="DE80" i="1" s="1"/>
  <c r="DE81" i="1" s="1"/>
  <c r="DE82" i="1" s="1"/>
  <c r="DE84" i="1" s="1"/>
  <c r="DE85" i="1" s="1"/>
  <c r="DE86" i="1" s="1"/>
  <c r="DE87" i="1" s="1"/>
  <c r="DE88" i="1" s="1"/>
  <c r="DE89" i="1" s="1"/>
  <c r="DE90" i="1" s="1"/>
  <c r="DE91" i="1" s="1"/>
  <c r="DE92" i="1" s="1"/>
  <c r="DF93" i="1"/>
  <c r="DH83" i="1"/>
  <c r="CD83" i="1"/>
  <c r="AY75" i="1"/>
  <c r="AY76" i="1" s="1"/>
  <c r="AY77" i="1" s="1"/>
  <c r="AY78" i="1" s="1"/>
  <c r="AY79" i="1" s="1"/>
  <c r="AY80" i="1" s="1"/>
  <c r="AY81" i="1" s="1"/>
  <c r="AY82" i="1" s="1"/>
  <c r="AY84" i="1" s="1"/>
  <c r="AY85" i="1" s="1"/>
  <c r="AY86" i="1" s="1"/>
  <c r="AY87" i="1" s="1"/>
  <c r="AY88" i="1" s="1"/>
  <c r="AY89" i="1" s="1"/>
  <c r="AY90" i="1" s="1"/>
  <c r="AY91" i="1" s="1"/>
  <c r="AY92" i="1" s="1"/>
  <c r="AV93" i="1"/>
  <c r="CE74" i="1"/>
  <c r="CE75" i="1" s="1"/>
  <c r="CE76" i="1" s="1"/>
  <c r="CE77" i="1" s="1"/>
  <c r="CE78" i="1" s="1"/>
  <c r="CE79" i="1" s="1"/>
  <c r="CE80" i="1" s="1"/>
  <c r="CE81" i="1" s="1"/>
  <c r="CE82" i="1" s="1"/>
  <c r="CE84" i="1" s="1"/>
  <c r="CE85" i="1" s="1"/>
  <c r="CE86" i="1" s="1"/>
  <c r="CE87" i="1" s="1"/>
  <c r="CE88" i="1" s="1"/>
  <c r="CE89" i="1" s="1"/>
  <c r="CE90" i="1" s="1"/>
  <c r="CE91" i="1" s="1"/>
  <c r="CE92" i="1" s="1"/>
  <c r="AZ83" i="1"/>
  <c r="AX93" i="1"/>
  <c r="CA75" i="1"/>
  <c r="CA76" i="1" s="1"/>
  <c r="CA77" i="1" s="1"/>
  <c r="CA78" i="1" s="1"/>
  <c r="CA79" i="1" s="1"/>
  <c r="CA80" i="1" s="1"/>
  <c r="CA81" i="1" s="1"/>
  <c r="CA82" i="1" s="1"/>
  <c r="CA84" i="1" s="1"/>
  <c r="CA85" i="1" s="1"/>
  <c r="CA86" i="1" s="1"/>
  <c r="CA87" i="1" s="1"/>
  <c r="CA88" i="1" s="1"/>
  <c r="CA89" i="1" s="1"/>
  <c r="CA90" i="1" s="1"/>
  <c r="CA91" i="1" s="1"/>
  <c r="CA92" i="1" s="1"/>
  <c r="BA75" i="1"/>
  <c r="BA76" i="1" s="1"/>
  <c r="BA77" i="1" s="1"/>
  <c r="BA78" i="1" s="1"/>
  <c r="BA79" i="1" s="1"/>
  <c r="BA80" i="1" s="1"/>
  <c r="BA81" i="1" s="1"/>
  <c r="BA82" i="1" s="1"/>
  <c r="BA84" i="1" s="1"/>
  <c r="BA85" i="1" s="1"/>
  <c r="BA86" i="1" s="1"/>
  <c r="BA87" i="1" s="1"/>
  <c r="BA88" i="1" s="1"/>
  <c r="BA89" i="1" s="1"/>
  <c r="BA90" i="1" s="1"/>
  <c r="BA91" i="1" s="1"/>
  <c r="BA92" i="1" s="1"/>
  <c r="AZ93" i="1"/>
  <c r="BZ93" i="1"/>
  <c r="DH93" i="1"/>
  <c r="AX83" i="1"/>
  <c r="CB93" i="1"/>
  <c r="AZ22" i="1"/>
  <c r="AX22" i="1"/>
  <c r="CD22" i="1"/>
  <c r="DF22" i="1"/>
  <c r="DH22" i="1"/>
  <c r="BA4" i="1"/>
  <c r="BA5" i="1" s="1"/>
  <c r="BA6" i="1" s="1"/>
  <c r="BA7" i="1" s="1"/>
  <c r="BA8" i="1" s="1"/>
  <c r="BA9" i="1" s="1"/>
  <c r="BA10" i="1" s="1"/>
  <c r="BA11" i="1" s="1"/>
  <c r="BA13" i="1" s="1"/>
  <c r="BA14" i="1" s="1"/>
  <c r="BA15" i="1" s="1"/>
  <c r="BA16" i="1" s="1"/>
  <c r="BA17" i="1" s="1"/>
  <c r="BA18" i="1" s="1"/>
  <c r="BA19" i="1" s="1"/>
  <c r="BA20" i="1" s="1"/>
  <c r="BA21" i="1" s="1"/>
  <c r="AX12" i="1"/>
  <c r="DG4" i="1"/>
  <c r="DG5" i="1" s="1"/>
  <c r="DG6" i="1" s="1"/>
  <c r="DG7" i="1" s="1"/>
  <c r="DG8" i="1" s="1"/>
  <c r="DG9" i="1" s="1"/>
  <c r="DG10" i="1" s="1"/>
  <c r="DG11" i="1" s="1"/>
  <c r="DG13" i="1" s="1"/>
  <c r="DG14" i="1" s="1"/>
  <c r="DG15" i="1" s="1"/>
  <c r="DG16" i="1" s="1"/>
  <c r="DG17" i="1" s="1"/>
  <c r="DG18" i="1" s="1"/>
  <c r="DG19" i="1" s="1"/>
  <c r="DG20" i="1" s="1"/>
  <c r="DG21" i="1" s="1"/>
  <c r="AW4" i="1"/>
  <c r="AW5" i="1" s="1"/>
  <c r="AW6" i="1" s="1"/>
  <c r="AW7" i="1" s="1"/>
  <c r="AW8" i="1" s="1"/>
  <c r="AW9" i="1" s="1"/>
  <c r="AW10" i="1" s="1"/>
  <c r="AW11" i="1" s="1"/>
  <c r="AW13" i="1" s="1"/>
  <c r="AW14" i="1" s="1"/>
  <c r="AW15" i="1" s="1"/>
  <c r="AW16" i="1" s="1"/>
  <c r="AW17" i="1" s="1"/>
  <c r="AW18" i="1" s="1"/>
  <c r="AW19" i="1" s="1"/>
  <c r="AW20" i="1" s="1"/>
  <c r="AW21" i="1" s="1"/>
  <c r="DH12" i="1"/>
  <c r="BZ12" i="1"/>
  <c r="DD93" i="1"/>
  <c r="BZ83" i="1"/>
  <c r="AV83" i="1"/>
  <c r="DE50" i="1"/>
  <c r="DE51" i="1" s="1"/>
  <c r="DE52" i="1" s="1"/>
  <c r="DE53" i="1" s="1"/>
  <c r="DE54" i="1" s="1"/>
  <c r="DE55" i="1" s="1"/>
  <c r="DE56" i="1" s="1"/>
  <c r="DE57" i="1" s="1"/>
  <c r="DE58" i="1" s="1"/>
  <c r="DE60" i="1" s="1"/>
  <c r="DE61" i="1" s="1"/>
  <c r="DE62" i="1" s="1"/>
  <c r="DE63" i="1" s="1"/>
  <c r="DE64" i="1" s="1"/>
  <c r="DE65" i="1" s="1"/>
  <c r="DE66" i="1" s="1"/>
  <c r="DE67" i="1" s="1"/>
  <c r="DE68" i="1" s="1"/>
  <c r="DG51" i="1"/>
  <c r="DG52" i="1" s="1"/>
  <c r="DG53" i="1" s="1"/>
  <c r="DG54" i="1" s="1"/>
  <c r="DG55" i="1" s="1"/>
  <c r="DG56" i="1" s="1"/>
  <c r="DG57" i="1" s="1"/>
  <c r="DG58" i="1" s="1"/>
  <c r="DG60" i="1" s="1"/>
  <c r="DG61" i="1" s="1"/>
  <c r="DG62" i="1" s="1"/>
  <c r="DG63" i="1" s="1"/>
  <c r="DG64" i="1" s="1"/>
  <c r="DG65" i="1" s="1"/>
  <c r="DG66" i="1" s="1"/>
  <c r="DG67" i="1" s="1"/>
  <c r="DG68" i="1" s="1"/>
  <c r="DH69" i="1"/>
  <c r="CD59" i="1"/>
  <c r="CA50" i="1"/>
  <c r="CA51" i="1" s="1"/>
  <c r="CA52" i="1" s="1"/>
  <c r="CA53" i="1" s="1"/>
  <c r="CA54" i="1" s="1"/>
  <c r="CA55" i="1" s="1"/>
  <c r="CA56" i="1" s="1"/>
  <c r="CA57" i="1" s="1"/>
  <c r="CA58" i="1" s="1"/>
  <c r="CA60" i="1" s="1"/>
  <c r="CA61" i="1" s="1"/>
  <c r="CA62" i="1" s="1"/>
  <c r="CA63" i="1" s="1"/>
  <c r="CA64" i="1" s="1"/>
  <c r="CA65" i="1" s="1"/>
  <c r="CA66" i="1" s="1"/>
  <c r="CA67" i="1" s="1"/>
  <c r="CA68" i="1" s="1"/>
  <c r="CC50" i="1"/>
  <c r="CC51" i="1" s="1"/>
  <c r="CC52" i="1" s="1"/>
  <c r="CC53" i="1" s="1"/>
  <c r="CC54" i="1" s="1"/>
  <c r="CC55" i="1" s="1"/>
  <c r="CC56" i="1" s="1"/>
  <c r="CC57" i="1" s="1"/>
  <c r="CC58" i="1" s="1"/>
  <c r="CC60" i="1" s="1"/>
  <c r="CC61" i="1" s="1"/>
  <c r="CC62" i="1" s="1"/>
  <c r="CC63" i="1" s="1"/>
  <c r="CC64" i="1" s="1"/>
  <c r="CC65" i="1" s="1"/>
  <c r="CC66" i="1" s="1"/>
  <c r="CC67" i="1" s="1"/>
  <c r="CC68" i="1" s="1"/>
  <c r="BA51" i="1"/>
  <c r="BA52" i="1" s="1"/>
  <c r="BA53" i="1" s="1"/>
  <c r="BA54" i="1" s="1"/>
  <c r="BA55" i="1" s="1"/>
  <c r="BA56" i="1" s="1"/>
  <c r="BA57" i="1" s="1"/>
  <c r="BA58" i="1" s="1"/>
  <c r="BA60" i="1" s="1"/>
  <c r="BA61" i="1" s="1"/>
  <c r="BA62" i="1" s="1"/>
  <c r="BA63" i="1" s="1"/>
  <c r="BA64" i="1" s="1"/>
  <c r="BA65" i="1" s="1"/>
  <c r="BA66" i="1" s="1"/>
  <c r="BA67" i="1" s="1"/>
  <c r="BA68" i="1" s="1"/>
  <c r="AZ59" i="1"/>
  <c r="AX69" i="1"/>
  <c r="AZ69" i="1"/>
  <c r="AY50" i="1"/>
  <c r="AY51" i="1" s="1"/>
  <c r="AY52" i="1" s="1"/>
  <c r="AY53" i="1" s="1"/>
  <c r="AY54" i="1" s="1"/>
  <c r="AY55" i="1" s="1"/>
  <c r="AY56" i="1" s="1"/>
  <c r="AY57" i="1" s="1"/>
  <c r="AY58" i="1" s="1"/>
  <c r="AY60" i="1" s="1"/>
  <c r="AY61" i="1" s="1"/>
  <c r="AY62" i="1" s="1"/>
  <c r="AY63" i="1" s="1"/>
  <c r="AY64" i="1" s="1"/>
  <c r="AY65" i="1" s="1"/>
  <c r="AY66" i="1" s="1"/>
  <c r="AY67" i="1" s="1"/>
  <c r="AY68" i="1" s="1"/>
  <c r="DE26" i="1"/>
  <c r="DE27" i="1" s="1"/>
  <c r="DE28" i="1" s="1"/>
  <c r="DE29" i="1" s="1"/>
  <c r="DE30" i="1" s="1"/>
  <c r="DE31" i="1" s="1"/>
  <c r="DE32" i="1" s="1"/>
  <c r="DE33" i="1" s="1"/>
  <c r="DE34" i="1" s="1"/>
  <c r="DE36" i="1" s="1"/>
  <c r="DE37" i="1" s="1"/>
  <c r="DE38" i="1" s="1"/>
  <c r="DE39" i="1" s="1"/>
  <c r="DE40" i="1" s="1"/>
  <c r="DE41" i="1" s="1"/>
  <c r="DE42" i="1" s="1"/>
  <c r="DE43" i="1" s="1"/>
  <c r="DE44" i="1" s="1"/>
  <c r="CA26" i="1"/>
  <c r="CA27" i="1" s="1"/>
  <c r="CA28" i="1" s="1"/>
  <c r="CA29" i="1" s="1"/>
  <c r="CA30" i="1" s="1"/>
  <c r="CA31" i="1" s="1"/>
  <c r="CA32" i="1" s="1"/>
  <c r="CA33" i="1" s="1"/>
  <c r="CA34" i="1" s="1"/>
  <c r="CA36" i="1" s="1"/>
  <c r="CA37" i="1" s="1"/>
  <c r="CA38" i="1" s="1"/>
  <c r="CA39" i="1" s="1"/>
  <c r="CA40" i="1" s="1"/>
  <c r="CA41" i="1" s="1"/>
  <c r="CA42" i="1" s="1"/>
  <c r="CA43" i="1" s="1"/>
  <c r="CA44" i="1" s="1"/>
  <c r="CD45" i="1"/>
  <c r="CC26" i="1"/>
  <c r="CC27" i="1" s="1"/>
  <c r="CC28" i="1" s="1"/>
  <c r="CC29" i="1" s="1"/>
  <c r="CC30" i="1" s="1"/>
  <c r="CC31" i="1" s="1"/>
  <c r="CC32" i="1" s="1"/>
  <c r="CC33" i="1" s="1"/>
  <c r="CC34" i="1" s="1"/>
  <c r="CC36" i="1" s="1"/>
  <c r="CC37" i="1" s="1"/>
  <c r="CC38" i="1" s="1"/>
  <c r="CC39" i="1" s="1"/>
  <c r="CC40" i="1" s="1"/>
  <c r="CC41" i="1" s="1"/>
  <c r="CC42" i="1" s="1"/>
  <c r="CC43" i="1" s="1"/>
  <c r="CC44" i="1" s="1"/>
  <c r="AZ35" i="1"/>
  <c r="AW26" i="1"/>
  <c r="AW27" i="1" s="1"/>
  <c r="AW28" i="1" s="1"/>
  <c r="AW29" i="1" s="1"/>
  <c r="AW30" i="1" s="1"/>
  <c r="AW31" i="1" s="1"/>
  <c r="AW32" i="1" s="1"/>
  <c r="AW33" i="1" s="1"/>
  <c r="AW34" i="1" s="1"/>
  <c r="AW36" i="1" s="1"/>
  <c r="AW37" i="1" s="1"/>
  <c r="AW38" i="1" s="1"/>
  <c r="AW39" i="1" s="1"/>
  <c r="AW40" i="1" s="1"/>
  <c r="AW41" i="1" s="1"/>
  <c r="AW42" i="1" s="1"/>
  <c r="AW43" i="1" s="1"/>
  <c r="AW44" i="1" s="1"/>
  <c r="AZ45" i="1"/>
  <c r="AY26" i="1"/>
  <c r="AY27" i="1" s="1"/>
  <c r="AY28" i="1" s="1"/>
  <c r="AY29" i="1" s="1"/>
  <c r="AY30" i="1" s="1"/>
  <c r="AY31" i="1" s="1"/>
  <c r="AY32" i="1" s="1"/>
  <c r="AY33" i="1" s="1"/>
  <c r="AY34" i="1" s="1"/>
  <c r="AY36" i="1" s="1"/>
  <c r="AY37" i="1" s="1"/>
  <c r="AY38" i="1" s="1"/>
  <c r="AY39" i="1" s="1"/>
  <c r="AY40" i="1" s="1"/>
  <c r="AY41" i="1" s="1"/>
  <c r="AY42" i="1" s="1"/>
  <c r="AY43" i="1" s="1"/>
  <c r="AY44" i="1" s="1"/>
  <c r="DF12" i="1"/>
  <c r="DD22" i="1"/>
  <c r="BZ22" i="1"/>
  <c r="CB22" i="1"/>
  <c r="AV12" i="1"/>
  <c r="AV22" i="1"/>
  <c r="AZ12" i="1"/>
  <c r="U4" i="1"/>
  <c r="U5" i="1" s="1"/>
  <c r="U6" i="1" s="1"/>
  <c r="U7" i="1" s="1"/>
  <c r="U8" i="1" s="1"/>
  <c r="U9" i="1" s="1"/>
  <c r="U10" i="1" s="1"/>
  <c r="U11" i="1" s="1"/>
  <c r="U13" i="1" s="1"/>
  <c r="U14" i="1" s="1"/>
  <c r="U15" i="1" s="1"/>
  <c r="U16" i="1" s="1"/>
  <c r="U17" i="1" s="1"/>
  <c r="U18" i="1" s="1"/>
  <c r="U19" i="1" s="1"/>
  <c r="U20" i="1" s="1"/>
  <c r="U21" i="1" s="1"/>
  <c r="T22" i="1"/>
  <c r="V22" i="1"/>
  <c r="R59" i="1"/>
  <c r="V83" i="1"/>
  <c r="V69" i="1"/>
  <c r="T59" i="1"/>
  <c r="V59" i="1"/>
  <c r="W50" i="1"/>
  <c r="W51" i="1" s="1"/>
  <c r="W52" i="1" s="1"/>
  <c r="W53" i="1" s="1"/>
  <c r="W54" i="1" s="1"/>
  <c r="W55" i="1" s="1"/>
  <c r="W56" i="1" s="1"/>
  <c r="W57" i="1" s="1"/>
  <c r="W58" i="1" s="1"/>
  <c r="W60" i="1" s="1"/>
  <c r="W61" i="1" s="1"/>
  <c r="W62" i="1" s="1"/>
  <c r="W63" i="1" s="1"/>
  <c r="W64" i="1" s="1"/>
  <c r="W65" i="1" s="1"/>
  <c r="W66" i="1" s="1"/>
  <c r="W67" i="1" s="1"/>
  <c r="W68" i="1" s="1"/>
  <c r="T12" i="1"/>
  <c r="S51" i="1"/>
  <c r="S52" i="1" s="1"/>
  <c r="S53" i="1" s="1"/>
  <c r="S54" i="1" s="1"/>
  <c r="S55" i="1" s="1"/>
  <c r="S56" i="1" s="1"/>
  <c r="S57" i="1" s="1"/>
  <c r="S58" i="1" s="1"/>
  <c r="S60" i="1" s="1"/>
  <c r="S61" i="1" s="1"/>
  <c r="S62" i="1" s="1"/>
  <c r="S63" i="1" s="1"/>
  <c r="S64" i="1" s="1"/>
  <c r="S65" i="1" s="1"/>
  <c r="S66" i="1" s="1"/>
  <c r="S67" i="1" s="1"/>
  <c r="S68" i="1" s="1"/>
  <c r="R69" i="1"/>
  <c r="T93" i="1"/>
  <c r="V12" i="1"/>
  <c r="T69" i="1"/>
  <c r="W75" i="1"/>
  <c r="W76" i="1" s="1"/>
  <c r="W77" i="1" s="1"/>
  <c r="W78" i="1" s="1"/>
  <c r="W79" i="1" s="1"/>
  <c r="W80" i="1" s="1"/>
  <c r="W81" i="1" s="1"/>
  <c r="W82" i="1" s="1"/>
  <c r="W84" i="1" s="1"/>
  <c r="W85" i="1" s="1"/>
  <c r="W86" i="1" s="1"/>
  <c r="W87" i="1" s="1"/>
  <c r="W88" i="1" s="1"/>
  <c r="W89" i="1" s="1"/>
  <c r="W90" i="1" s="1"/>
  <c r="W91" i="1" s="1"/>
  <c r="W92" i="1" s="1"/>
  <c r="T35" i="1"/>
  <c r="W3" i="1"/>
  <c r="W4" i="1" s="1"/>
  <c r="W5" i="1" s="1"/>
  <c r="W6" i="1" s="1"/>
  <c r="W7" i="1" s="1"/>
  <c r="W8" i="1" s="1"/>
  <c r="W9" i="1" s="1"/>
  <c r="W10" i="1" s="1"/>
  <c r="W11" i="1" s="1"/>
  <c r="W13" i="1" s="1"/>
  <c r="W14" i="1" s="1"/>
  <c r="W15" i="1" s="1"/>
  <c r="W16" i="1" s="1"/>
  <c r="W17" i="1" s="1"/>
  <c r="W18" i="1" s="1"/>
  <c r="W19" i="1" s="1"/>
  <c r="W20" i="1" s="1"/>
  <c r="W21" i="1" s="1"/>
  <c r="R22" i="1"/>
  <c r="R45" i="1"/>
  <c r="T83" i="1"/>
  <c r="V35" i="1"/>
  <c r="V45" i="1"/>
  <c r="U50" i="1"/>
  <c r="U51" i="1" s="1"/>
  <c r="U52" i="1" s="1"/>
  <c r="U53" i="1" s="1"/>
  <c r="U54" i="1" s="1"/>
  <c r="U55" i="1" s="1"/>
  <c r="U56" i="1" s="1"/>
  <c r="U57" i="1" s="1"/>
  <c r="U58" i="1" s="1"/>
  <c r="U60" i="1" s="1"/>
  <c r="U61" i="1" s="1"/>
  <c r="U62" i="1" s="1"/>
  <c r="U63" i="1" s="1"/>
  <c r="U64" i="1" s="1"/>
  <c r="U65" i="1" s="1"/>
  <c r="U66" i="1" s="1"/>
  <c r="U67" i="1" s="1"/>
  <c r="U68" i="1" s="1"/>
  <c r="R83" i="1"/>
  <c r="R35" i="1"/>
  <c r="R93" i="1"/>
  <c r="S27" i="1"/>
  <c r="S28" i="1" s="1"/>
  <c r="S29" i="1" s="1"/>
  <c r="S30" i="1" s="1"/>
  <c r="S31" i="1" s="1"/>
  <c r="S32" i="1" s="1"/>
  <c r="S33" i="1" s="1"/>
  <c r="S34" i="1" s="1"/>
  <c r="S36" i="1" s="1"/>
  <c r="S37" i="1" s="1"/>
  <c r="S38" i="1" s="1"/>
  <c r="S39" i="1" s="1"/>
  <c r="S40" i="1" s="1"/>
  <c r="S41" i="1" s="1"/>
  <c r="S42" i="1" s="1"/>
  <c r="S43" i="1" s="1"/>
  <c r="S44" i="1" s="1"/>
  <c r="T45" i="1"/>
  <c r="S74" i="1"/>
  <c r="S75" i="1" s="1"/>
  <c r="S76" i="1" s="1"/>
  <c r="S77" i="1" s="1"/>
  <c r="S78" i="1" s="1"/>
  <c r="S79" i="1" s="1"/>
  <c r="S80" i="1" s="1"/>
  <c r="S81" i="1" s="1"/>
  <c r="S82" i="1" s="1"/>
  <c r="S84" i="1" s="1"/>
  <c r="S85" i="1" s="1"/>
  <c r="S86" i="1" s="1"/>
  <c r="S87" i="1" s="1"/>
  <c r="S88" i="1" s="1"/>
  <c r="S89" i="1" s="1"/>
  <c r="S90" i="1" s="1"/>
  <c r="S91" i="1" s="1"/>
  <c r="S92" i="1" s="1"/>
  <c r="U75" i="1"/>
  <c r="U76" i="1" s="1"/>
  <c r="U77" i="1" s="1"/>
  <c r="U78" i="1" s="1"/>
  <c r="U79" i="1" s="1"/>
  <c r="U80" i="1" s="1"/>
  <c r="U81" i="1" s="1"/>
  <c r="U82" i="1" s="1"/>
  <c r="U84" i="1" s="1"/>
  <c r="U85" i="1" s="1"/>
  <c r="U86" i="1" s="1"/>
  <c r="U87" i="1" s="1"/>
  <c r="U88" i="1" s="1"/>
  <c r="U89" i="1" s="1"/>
  <c r="U90" i="1" s="1"/>
  <c r="U91" i="1" s="1"/>
  <c r="U92" i="1" s="1"/>
  <c r="V93" i="1"/>
  <c r="U26" i="1"/>
  <c r="U27" i="1" s="1"/>
  <c r="U28" i="1" s="1"/>
  <c r="U29" i="1" s="1"/>
  <c r="U30" i="1" s="1"/>
  <c r="U31" i="1" s="1"/>
  <c r="U32" i="1" s="1"/>
  <c r="U33" i="1" s="1"/>
  <c r="U34" i="1" s="1"/>
  <c r="U36" i="1" s="1"/>
  <c r="U37" i="1" s="1"/>
  <c r="U38" i="1" s="1"/>
  <c r="U39" i="1" s="1"/>
  <c r="U40" i="1" s="1"/>
  <c r="U41" i="1" s="1"/>
  <c r="U42" i="1" s="1"/>
  <c r="U43" i="1" s="1"/>
  <c r="U44" i="1" s="1"/>
  <c r="W27" i="1"/>
  <c r="W28" i="1" s="1"/>
  <c r="W29" i="1" s="1"/>
  <c r="W30" i="1" s="1"/>
  <c r="W31" i="1" s="1"/>
  <c r="W32" i="1" s="1"/>
  <c r="W33" i="1" s="1"/>
  <c r="W34" i="1" s="1"/>
  <c r="W36" i="1" s="1"/>
  <c r="W37" i="1" s="1"/>
  <c r="W38" i="1" s="1"/>
  <c r="W39" i="1" s="1"/>
  <c r="W40" i="1" s="1"/>
  <c r="W41" i="1" s="1"/>
  <c r="W42" i="1" s="1"/>
  <c r="W43" i="1" s="1"/>
  <c r="W44" i="1" s="1"/>
  <c r="I94" i="1"/>
  <c r="AM94" i="1"/>
  <c r="C10" i="9" s="1"/>
  <c r="C24" i="9" s="1"/>
  <c r="Y4" i="1"/>
  <c r="Y5" i="1" s="1"/>
  <c r="Y6" i="1" s="1"/>
  <c r="Y7" i="1" s="1"/>
  <c r="Y8" i="1" s="1"/>
  <c r="Y9" i="1" s="1"/>
  <c r="Y10" i="1" s="1"/>
  <c r="Y11" i="1" s="1"/>
  <c r="Y13" i="1" s="1"/>
  <c r="Y14" i="1" s="1"/>
  <c r="Y15" i="1" s="1"/>
  <c r="Y16" i="1" s="1"/>
  <c r="Y17" i="1" s="1"/>
  <c r="Y18" i="1" s="1"/>
  <c r="Y19" i="1" s="1"/>
  <c r="Y20" i="1" s="1"/>
  <c r="Y21" i="1" s="1"/>
  <c r="S4" i="1"/>
  <c r="S5" i="1" s="1"/>
  <c r="S6" i="1" s="1"/>
  <c r="S7" i="1" s="1"/>
  <c r="S8" i="1" s="1"/>
  <c r="S9" i="1" s="1"/>
  <c r="S10" i="1" s="1"/>
  <c r="S11" i="1" s="1"/>
  <c r="S13" i="1" s="1"/>
  <c r="S14" i="1" s="1"/>
  <c r="S15" i="1" s="1"/>
  <c r="S16" i="1" s="1"/>
  <c r="S17" i="1" s="1"/>
  <c r="S18" i="1" s="1"/>
  <c r="S19" i="1" s="1"/>
  <c r="S20" i="1" s="1"/>
  <c r="S21" i="1" s="1"/>
  <c r="R12" i="1"/>
  <c r="E70" i="1"/>
  <c r="H6" i="7" s="1"/>
  <c r="BC75" i="1"/>
  <c r="BC76" i="1" s="1"/>
  <c r="BC77" i="1" s="1"/>
  <c r="BC78" i="1" s="1"/>
  <c r="BC79" i="1" s="1"/>
  <c r="BC80" i="1" s="1"/>
  <c r="BC81" i="1" s="1"/>
  <c r="BC82" i="1" s="1"/>
  <c r="BC84" i="1" s="1"/>
  <c r="BC85" i="1" s="1"/>
  <c r="BC86" i="1" s="1"/>
  <c r="BC87" i="1" s="1"/>
  <c r="BC88" i="1" s="1"/>
  <c r="BC89" i="1" s="1"/>
  <c r="BC90" i="1" s="1"/>
  <c r="BC91" i="1" s="1"/>
  <c r="BC92" i="1" s="1"/>
  <c r="DK75" i="1"/>
  <c r="DK76" i="1" s="1"/>
  <c r="DK77" i="1" s="1"/>
  <c r="DK78" i="1" s="1"/>
  <c r="DK79" i="1" s="1"/>
  <c r="DK80" i="1" s="1"/>
  <c r="DK81" i="1" s="1"/>
  <c r="DK82" i="1" s="1"/>
  <c r="DK84" i="1" s="1"/>
  <c r="DK85" i="1" s="1"/>
  <c r="DK86" i="1" s="1"/>
  <c r="DK87" i="1" s="1"/>
  <c r="DK88" i="1" s="1"/>
  <c r="DK89" i="1" s="1"/>
  <c r="DK90" i="1" s="1"/>
  <c r="DK91" i="1" s="1"/>
  <c r="DK92" i="1" s="1"/>
  <c r="CG27" i="1"/>
  <c r="CG28" i="1" s="1"/>
  <c r="CG29" i="1" s="1"/>
  <c r="CG30" i="1" s="1"/>
  <c r="CG31" i="1" s="1"/>
  <c r="CG32" i="1" s="1"/>
  <c r="CG33" i="1" s="1"/>
  <c r="CG34" i="1" s="1"/>
  <c r="CG36" i="1" s="1"/>
  <c r="CG37" i="1" s="1"/>
  <c r="CG38" i="1" s="1"/>
  <c r="CG39" i="1" s="1"/>
  <c r="CG40" i="1" s="1"/>
  <c r="CG41" i="1" s="1"/>
  <c r="CG42" i="1" s="1"/>
  <c r="CG43" i="1" s="1"/>
  <c r="CG44" i="1" s="1"/>
  <c r="BQ23" i="1"/>
  <c r="CF45" i="1"/>
  <c r="BB59" i="1"/>
  <c r="CS70" i="1"/>
  <c r="E3" i="7" s="1"/>
  <c r="BB35" i="1"/>
  <c r="DJ59" i="1"/>
  <c r="BY4" i="1"/>
  <c r="BY5" i="1" s="1"/>
  <c r="BY6" i="1" s="1"/>
  <c r="BY7" i="1" s="1"/>
  <c r="BY8" i="1" s="1"/>
  <c r="BY9" i="1" s="1"/>
  <c r="BY10" i="1" s="1"/>
  <c r="BY11" i="1" s="1"/>
  <c r="BY13" i="1" s="1"/>
  <c r="BY14" i="1" s="1"/>
  <c r="BY15" i="1" s="1"/>
  <c r="BY16" i="1" s="1"/>
  <c r="BY17" i="1" s="1"/>
  <c r="BY18" i="1" s="1"/>
  <c r="BY19" i="1" s="1"/>
  <c r="BY20" i="1" s="1"/>
  <c r="BY21" i="1" s="1"/>
  <c r="AM23" i="1"/>
  <c r="DJ35" i="1"/>
  <c r="CF83" i="1"/>
  <c r="X59" i="1"/>
  <c r="DK27" i="1"/>
  <c r="DK28" i="1" s="1"/>
  <c r="DK29" i="1" s="1"/>
  <c r="DK30" i="1" s="1"/>
  <c r="DK31" i="1" s="1"/>
  <c r="DK32" i="1" s="1"/>
  <c r="DK33" i="1" s="1"/>
  <c r="DK34" i="1" s="1"/>
  <c r="DK36" i="1" s="1"/>
  <c r="DK37" i="1" s="1"/>
  <c r="DK38" i="1" s="1"/>
  <c r="DK39" i="1" s="1"/>
  <c r="DK40" i="1" s="1"/>
  <c r="DK41" i="1" s="1"/>
  <c r="DK42" i="1" s="1"/>
  <c r="DK43" i="1" s="1"/>
  <c r="DK44" i="1" s="1"/>
  <c r="DJ45" i="1"/>
  <c r="BC50" i="1"/>
  <c r="BC51" i="1" s="1"/>
  <c r="BC52" i="1" s="1"/>
  <c r="BC53" i="1" s="1"/>
  <c r="BC54" i="1" s="1"/>
  <c r="BC55" i="1" s="1"/>
  <c r="BC56" i="1" s="1"/>
  <c r="BC57" i="1" s="1"/>
  <c r="BC58" i="1" s="1"/>
  <c r="BC60" i="1" s="1"/>
  <c r="BC61" i="1" s="1"/>
  <c r="BC62" i="1" s="1"/>
  <c r="BC63" i="1" s="1"/>
  <c r="BC64" i="1" s="1"/>
  <c r="BC65" i="1" s="1"/>
  <c r="BC66" i="1" s="1"/>
  <c r="BC67" i="1" s="1"/>
  <c r="BC68" i="1" s="1"/>
  <c r="E23" i="1"/>
  <c r="F6" i="4" s="1"/>
  <c r="CU23" i="1"/>
  <c r="E10" i="4" s="1"/>
  <c r="E24" i="4" s="1"/>
  <c r="BB12" i="1"/>
  <c r="BQ70" i="1"/>
  <c r="D10" i="7" s="1"/>
  <c r="D24" i="7" s="1"/>
  <c r="BC3" i="1"/>
  <c r="BC4" i="1" s="1"/>
  <c r="BC5" i="1" s="1"/>
  <c r="BC6" i="1" s="1"/>
  <c r="BC7" i="1" s="1"/>
  <c r="BC8" i="1" s="1"/>
  <c r="BC9" i="1" s="1"/>
  <c r="BC10" i="1" s="1"/>
  <c r="BC11" i="1" s="1"/>
  <c r="BC13" i="1" s="1"/>
  <c r="BC14" i="1" s="1"/>
  <c r="BC15" i="1" s="1"/>
  <c r="BC16" i="1" s="1"/>
  <c r="BC17" i="1" s="1"/>
  <c r="BC18" i="1" s="1"/>
  <c r="BC19" i="1" s="1"/>
  <c r="BC20" i="1" s="1"/>
  <c r="BC21" i="1" s="1"/>
  <c r="BB69" i="1"/>
  <c r="DJ93" i="1"/>
  <c r="BB83" i="1"/>
  <c r="DJ83" i="1"/>
  <c r="X12" i="1"/>
  <c r="CF35" i="1"/>
  <c r="CS23" i="1"/>
  <c r="E3" i="4" s="1"/>
  <c r="BB22" i="1"/>
  <c r="X35" i="1"/>
  <c r="CF59" i="1"/>
  <c r="X45" i="1"/>
  <c r="DJ22" i="1"/>
  <c r="Y75" i="1"/>
  <c r="Y76" i="1" s="1"/>
  <c r="Y77" i="1" s="1"/>
  <c r="Y78" i="1" s="1"/>
  <c r="Y79" i="1" s="1"/>
  <c r="Y80" i="1" s="1"/>
  <c r="Y81" i="1" s="1"/>
  <c r="Y82" i="1" s="1"/>
  <c r="Y84" i="1" s="1"/>
  <c r="Y85" i="1" s="1"/>
  <c r="Y86" i="1" s="1"/>
  <c r="Y87" i="1" s="1"/>
  <c r="Y88" i="1" s="1"/>
  <c r="Y89" i="1" s="1"/>
  <c r="Y90" i="1" s="1"/>
  <c r="Y91" i="1" s="1"/>
  <c r="Y92" i="1" s="1"/>
  <c r="X93" i="1"/>
  <c r="X83" i="1"/>
  <c r="DJ12" i="1"/>
  <c r="I23" i="1"/>
  <c r="G46" i="1"/>
  <c r="BB93" i="1"/>
  <c r="DK51" i="1"/>
  <c r="DK52" i="1" s="1"/>
  <c r="DK53" i="1" s="1"/>
  <c r="DK54" i="1" s="1"/>
  <c r="DK55" i="1" s="1"/>
  <c r="DK56" i="1" s="1"/>
  <c r="DK57" i="1" s="1"/>
  <c r="DK58" i="1" s="1"/>
  <c r="DK60" i="1" s="1"/>
  <c r="DK61" i="1" s="1"/>
  <c r="DK62" i="1" s="1"/>
  <c r="DK63" i="1" s="1"/>
  <c r="DK64" i="1" s="1"/>
  <c r="DK65" i="1" s="1"/>
  <c r="DK66" i="1" s="1"/>
  <c r="DK67" i="1" s="1"/>
  <c r="DK68" i="1" s="1"/>
  <c r="DJ69" i="1"/>
  <c r="Y51" i="1"/>
  <c r="Y52" i="1" s="1"/>
  <c r="Y53" i="1" s="1"/>
  <c r="Y54" i="1" s="1"/>
  <c r="Y55" i="1" s="1"/>
  <c r="Y56" i="1" s="1"/>
  <c r="Y57" i="1" s="1"/>
  <c r="Y58" i="1" s="1"/>
  <c r="Y60" i="1" s="1"/>
  <c r="Y61" i="1" s="1"/>
  <c r="Y62" i="1" s="1"/>
  <c r="Y63" i="1" s="1"/>
  <c r="Y64" i="1" s="1"/>
  <c r="Y65" i="1" s="1"/>
  <c r="Y66" i="1" s="1"/>
  <c r="Y67" i="1" s="1"/>
  <c r="Y68" i="1" s="1"/>
  <c r="X69" i="1"/>
  <c r="Y27" i="1"/>
  <c r="Y28" i="1" s="1"/>
  <c r="Y29" i="1" s="1"/>
  <c r="Y30" i="1" s="1"/>
  <c r="Y31" i="1" s="1"/>
  <c r="Y32" i="1" s="1"/>
  <c r="Y33" i="1" s="1"/>
  <c r="Y34" i="1" s="1"/>
  <c r="Y36" i="1" s="1"/>
  <c r="Y37" i="1" s="1"/>
  <c r="Y38" i="1" s="1"/>
  <c r="Y39" i="1" s="1"/>
  <c r="Y40" i="1" s="1"/>
  <c r="Y41" i="1" s="1"/>
  <c r="Y42" i="1" s="1"/>
  <c r="Y43" i="1" s="1"/>
  <c r="Y44" i="1" s="1"/>
  <c r="BC27" i="1"/>
  <c r="BC28" i="1" s="1"/>
  <c r="BC29" i="1" s="1"/>
  <c r="BC30" i="1" s="1"/>
  <c r="BC31" i="1" s="1"/>
  <c r="BC32" i="1" s="1"/>
  <c r="BC33" i="1" s="1"/>
  <c r="BC34" i="1" s="1"/>
  <c r="BC36" i="1" s="1"/>
  <c r="BC37" i="1" s="1"/>
  <c r="BC38" i="1" s="1"/>
  <c r="BC39" i="1" s="1"/>
  <c r="BC40" i="1" s="1"/>
  <c r="BC41" i="1" s="1"/>
  <c r="BC42" i="1" s="1"/>
  <c r="BC43" i="1" s="1"/>
  <c r="BC44" i="1" s="1"/>
  <c r="BB45" i="1"/>
  <c r="DK4" i="1"/>
  <c r="DK5" i="1" s="1"/>
  <c r="DK6" i="1" s="1"/>
  <c r="DK7" i="1" s="1"/>
  <c r="DK8" i="1" s="1"/>
  <c r="DK9" i="1" s="1"/>
  <c r="DK10" i="1" s="1"/>
  <c r="DK11" i="1" s="1"/>
  <c r="DK13" i="1" s="1"/>
  <c r="DK14" i="1" s="1"/>
  <c r="DK15" i="1" s="1"/>
  <c r="DK16" i="1" s="1"/>
  <c r="DK17" i="1" s="1"/>
  <c r="DK18" i="1" s="1"/>
  <c r="DK19" i="1" s="1"/>
  <c r="DK20" i="1" s="1"/>
  <c r="DK21" i="1" s="1"/>
  <c r="X22" i="1"/>
  <c r="CF22" i="1"/>
  <c r="CF69" i="1"/>
  <c r="AM70" i="1"/>
  <c r="C10" i="7" s="1"/>
  <c r="C24" i="7" s="1"/>
  <c r="CG75" i="1"/>
  <c r="CG76" i="1" s="1"/>
  <c r="CG77" i="1" s="1"/>
  <c r="CG78" i="1" s="1"/>
  <c r="CG79" i="1" s="1"/>
  <c r="CG80" i="1" s="1"/>
  <c r="CG81" i="1" s="1"/>
  <c r="CG82" i="1" s="1"/>
  <c r="CG84" i="1" s="1"/>
  <c r="CG85" i="1" s="1"/>
  <c r="CG86" i="1" s="1"/>
  <c r="CG87" i="1" s="1"/>
  <c r="CG88" i="1" s="1"/>
  <c r="CG89" i="1" s="1"/>
  <c r="CG90" i="1" s="1"/>
  <c r="CG91" i="1" s="1"/>
  <c r="CG92" i="1" s="1"/>
  <c r="AF12" i="1"/>
  <c r="CF93" i="1"/>
  <c r="CG51" i="1"/>
  <c r="CG52" i="1" s="1"/>
  <c r="CG53" i="1" s="1"/>
  <c r="CG54" i="1" s="1"/>
  <c r="CG55" i="1" s="1"/>
  <c r="CG56" i="1" s="1"/>
  <c r="CG57" i="1" s="1"/>
  <c r="CG58" i="1" s="1"/>
  <c r="CG60" i="1" s="1"/>
  <c r="CG61" i="1" s="1"/>
  <c r="CG62" i="1" s="1"/>
  <c r="CG63" i="1" s="1"/>
  <c r="CG64" i="1" s="1"/>
  <c r="CG65" i="1" s="1"/>
  <c r="CG66" i="1" s="1"/>
  <c r="CG67" i="1" s="1"/>
  <c r="CG68" i="1" s="1"/>
  <c r="BQ46" i="1"/>
  <c r="D10" i="6" s="1"/>
  <c r="D24" i="6" s="1"/>
  <c r="AK94" i="1"/>
  <c r="C3" i="9" s="1"/>
  <c r="AK23" i="1"/>
  <c r="DB22" i="1"/>
  <c r="DP35" i="1"/>
  <c r="AK46" i="1"/>
  <c r="C3" i="6" s="1"/>
  <c r="BI4" i="1"/>
  <c r="BI5" i="1" s="1"/>
  <c r="BI6" i="1" s="1"/>
  <c r="BI7" i="1" s="1"/>
  <c r="BI8" i="1" s="1"/>
  <c r="BI9" i="1" s="1"/>
  <c r="BI10" i="1" s="1"/>
  <c r="BI11" i="1" s="1"/>
  <c r="BI13" i="1" s="1"/>
  <c r="BI14" i="1" s="1"/>
  <c r="BI15" i="1" s="1"/>
  <c r="BI16" i="1" s="1"/>
  <c r="BI17" i="1" s="1"/>
  <c r="BI18" i="1" s="1"/>
  <c r="BI19" i="1" s="1"/>
  <c r="BI20" i="1" s="1"/>
  <c r="BI21" i="1" s="1"/>
  <c r="BI26" i="1" s="1"/>
  <c r="BI27" i="1" s="1"/>
  <c r="BI28" i="1" s="1"/>
  <c r="BI29" i="1" s="1"/>
  <c r="BI30" i="1" s="1"/>
  <c r="BI31" i="1" s="1"/>
  <c r="BI32" i="1" s="1"/>
  <c r="BI33" i="1" s="1"/>
  <c r="BI34" i="1" s="1"/>
  <c r="BI36" i="1" s="1"/>
  <c r="BI37" i="1" s="1"/>
  <c r="BI38" i="1" s="1"/>
  <c r="BI39" i="1" s="1"/>
  <c r="BI40" i="1" s="1"/>
  <c r="BI41" i="1" s="1"/>
  <c r="BI42" i="1" s="1"/>
  <c r="BI43" i="1" s="1"/>
  <c r="BI44" i="1" s="1"/>
  <c r="BI50" i="1" s="1"/>
  <c r="BI51" i="1" s="1"/>
  <c r="BI52" i="1" s="1"/>
  <c r="BI53" i="1" s="1"/>
  <c r="BI54" i="1" s="1"/>
  <c r="BI55" i="1" s="1"/>
  <c r="BI56" i="1" s="1"/>
  <c r="BI57" i="1" s="1"/>
  <c r="BI58" i="1" s="1"/>
  <c r="BI60" i="1" s="1"/>
  <c r="BI61" i="1" s="1"/>
  <c r="BI62" i="1" s="1"/>
  <c r="BI63" i="1" s="1"/>
  <c r="BI64" i="1" s="1"/>
  <c r="BI65" i="1" s="1"/>
  <c r="BI66" i="1" s="1"/>
  <c r="BI67" i="1" s="1"/>
  <c r="BI68" i="1" s="1"/>
  <c r="BI74" i="1" s="1"/>
  <c r="BI75" i="1" s="1"/>
  <c r="BI76" i="1" s="1"/>
  <c r="BI77" i="1" s="1"/>
  <c r="BI78" i="1" s="1"/>
  <c r="BI79" i="1" s="1"/>
  <c r="BI80" i="1" s="1"/>
  <c r="BI81" i="1" s="1"/>
  <c r="BI82" i="1" s="1"/>
  <c r="BI84" i="1" s="1"/>
  <c r="BI85" i="1" s="1"/>
  <c r="BI86" i="1" s="1"/>
  <c r="BI87" i="1" s="1"/>
  <c r="BI88" i="1" s="1"/>
  <c r="BI89" i="1" s="1"/>
  <c r="BI90" i="1" s="1"/>
  <c r="BI91" i="1" s="1"/>
  <c r="BI92" i="1" s="1"/>
  <c r="BO46" i="1"/>
  <c r="AJ4" i="1"/>
  <c r="AJ5" i="1" s="1"/>
  <c r="AJ6" i="1" s="1"/>
  <c r="AJ7" i="1" s="1"/>
  <c r="AJ8" i="1" s="1"/>
  <c r="AJ9" i="1" s="1"/>
  <c r="AJ10" i="1" s="1"/>
  <c r="AJ11" i="1" s="1"/>
  <c r="DL12" i="1"/>
  <c r="AI22" i="1"/>
  <c r="E46" i="1"/>
  <c r="CU46" i="1"/>
  <c r="E10" i="6" s="1"/>
  <c r="E24" i="6" s="1"/>
  <c r="Z59" i="1"/>
  <c r="G70" i="1"/>
  <c r="B3" i="7" s="1"/>
  <c r="B6" i="7" s="1"/>
  <c r="DP22" i="1"/>
  <c r="CL35" i="1"/>
  <c r="I70" i="1"/>
  <c r="B10" i="7" s="1"/>
  <c r="B24" i="7" s="1"/>
  <c r="AM46" i="1"/>
  <c r="C10" i="6" s="1"/>
  <c r="C24" i="6" s="1"/>
  <c r="Z45" i="1"/>
  <c r="AK70" i="1"/>
  <c r="C3" i="7" s="1"/>
  <c r="E94" i="1"/>
  <c r="H6" i="9" s="1"/>
  <c r="CU94" i="1"/>
  <c r="E10" i="9" s="1"/>
  <c r="E24" i="9" s="1"/>
  <c r="AT12" i="1"/>
  <c r="K93" i="1"/>
  <c r="BM22" i="1"/>
  <c r="BH93" i="1"/>
  <c r="CQ93" i="1"/>
  <c r="AH35" i="1"/>
  <c r="AR4" i="1"/>
  <c r="AR5" i="1" s="1"/>
  <c r="DL22" i="1"/>
  <c r="CU70" i="1"/>
  <c r="E10" i="7" s="1"/>
  <c r="E24" i="7" s="1"/>
  <c r="BO94" i="1"/>
  <c r="D3" i="9" s="1"/>
  <c r="AD93" i="1"/>
  <c r="AE4" i="1"/>
  <c r="AE5" i="1" s="1"/>
  <c r="AE6" i="1" s="1"/>
  <c r="AE7" i="1" s="1"/>
  <c r="AE8" i="1" s="1"/>
  <c r="AE9" i="1" s="1"/>
  <c r="AE10" i="1" s="1"/>
  <c r="AE11" i="1" s="1"/>
  <c r="AT22" i="1"/>
  <c r="AF22" i="1"/>
  <c r="CQ22" i="1"/>
  <c r="G23" i="1"/>
  <c r="B3" i="4" s="1"/>
  <c r="CS46" i="1"/>
  <c r="CH69" i="1"/>
  <c r="BQ94" i="1"/>
  <c r="D10" i="9" s="1"/>
  <c r="D24" i="9" s="1"/>
  <c r="BS93" i="1"/>
  <c r="DB93" i="1"/>
  <c r="DP12" i="1"/>
  <c r="M3" i="1"/>
  <c r="N3" i="1" s="1"/>
  <c r="N4" i="1" s="1"/>
  <c r="AU3" i="1"/>
  <c r="AU4" i="1" s="1"/>
  <c r="AU5" i="1" s="1"/>
  <c r="AU6" i="1" s="1"/>
  <c r="AU7" i="1" s="1"/>
  <c r="AU8" i="1" s="1"/>
  <c r="AU9" i="1" s="1"/>
  <c r="AU10" i="1" s="1"/>
  <c r="AU11" i="1" s="1"/>
  <c r="AU13" i="1" s="1"/>
  <c r="AU14" i="1" s="1"/>
  <c r="AU15" i="1" s="1"/>
  <c r="AU16" i="1" s="1"/>
  <c r="AU17" i="1" s="1"/>
  <c r="AU18" i="1" s="1"/>
  <c r="AU19" i="1" s="1"/>
  <c r="AU20" i="1" s="1"/>
  <c r="AU21" i="1" s="1"/>
  <c r="AU26" i="1" s="1"/>
  <c r="AU27" i="1" s="1"/>
  <c r="AU28" i="1" s="1"/>
  <c r="AU29" i="1" s="1"/>
  <c r="AU30" i="1" s="1"/>
  <c r="AU31" i="1" s="1"/>
  <c r="AU32" i="1" s="1"/>
  <c r="AU33" i="1" s="1"/>
  <c r="AU34" i="1" s="1"/>
  <c r="AU36" i="1" s="1"/>
  <c r="AU37" i="1" s="1"/>
  <c r="AU38" i="1" s="1"/>
  <c r="AU39" i="1" s="1"/>
  <c r="AU40" i="1" s="1"/>
  <c r="AU41" i="1" s="1"/>
  <c r="AU42" i="1" s="1"/>
  <c r="AU43" i="1" s="1"/>
  <c r="AU44" i="1" s="1"/>
  <c r="AU50" i="1" s="1"/>
  <c r="AU51" i="1" s="1"/>
  <c r="AU52" i="1" s="1"/>
  <c r="AU53" i="1" s="1"/>
  <c r="AU54" i="1" s="1"/>
  <c r="AU55" i="1" s="1"/>
  <c r="AU56" i="1" s="1"/>
  <c r="AU57" i="1" s="1"/>
  <c r="AU58" i="1" s="1"/>
  <c r="AU60" i="1" s="1"/>
  <c r="AU61" i="1" s="1"/>
  <c r="AU62" i="1" s="1"/>
  <c r="AU63" i="1" s="1"/>
  <c r="AU64" i="1" s="1"/>
  <c r="AU65" i="1" s="1"/>
  <c r="AU66" i="1" s="1"/>
  <c r="AU67" i="1" s="1"/>
  <c r="AU68" i="1" s="1"/>
  <c r="AU74" i="1" s="1"/>
  <c r="AU75" i="1" s="1"/>
  <c r="AU76" i="1" s="1"/>
  <c r="AU77" i="1" s="1"/>
  <c r="AU78" i="1" s="1"/>
  <c r="AU79" i="1" s="1"/>
  <c r="AU80" i="1" s="1"/>
  <c r="AU81" i="1" s="1"/>
  <c r="AU82" i="1" s="1"/>
  <c r="AU84" i="1" s="1"/>
  <c r="AU85" i="1" s="1"/>
  <c r="AU86" i="1" s="1"/>
  <c r="AU87" i="1" s="1"/>
  <c r="AU88" i="1" s="1"/>
  <c r="AU89" i="1" s="1"/>
  <c r="AU90" i="1" s="1"/>
  <c r="AU91" i="1" s="1"/>
  <c r="AU92" i="1" s="1"/>
  <c r="DQ3" i="1"/>
  <c r="DQ4" i="1" s="1"/>
  <c r="DQ5" i="1" s="1"/>
  <c r="DQ6" i="1" s="1"/>
  <c r="DQ7" i="1" s="1"/>
  <c r="DQ8" i="1" s="1"/>
  <c r="DQ9" i="1" s="1"/>
  <c r="DQ10" i="1" s="1"/>
  <c r="DQ11" i="1" s="1"/>
  <c r="DQ13" i="1" s="1"/>
  <c r="DQ14" i="1" s="1"/>
  <c r="DQ15" i="1" s="1"/>
  <c r="DQ16" i="1" s="1"/>
  <c r="DQ17" i="1" s="1"/>
  <c r="DQ18" i="1" s="1"/>
  <c r="DQ19" i="1" s="1"/>
  <c r="DQ20" i="1" s="1"/>
  <c r="DQ21" i="1" s="1"/>
  <c r="DQ26" i="1" s="1"/>
  <c r="DQ27" i="1" s="1"/>
  <c r="DQ28" i="1" s="1"/>
  <c r="DQ29" i="1" s="1"/>
  <c r="DQ30" i="1" s="1"/>
  <c r="DQ31" i="1" s="1"/>
  <c r="DQ32" i="1" s="1"/>
  <c r="DQ33" i="1" s="1"/>
  <c r="DQ34" i="1" s="1"/>
  <c r="DQ36" i="1" s="1"/>
  <c r="DQ37" i="1" s="1"/>
  <c r="DQ38" i="1" s="1"/>
  <c r="DQ39" i="1" s="1"/>
  <c r="DQ40" i="1" s="1"/>
  <c r="DQ41" i="1" s="1"/>
  <c r="DQ42" i="1" s="1"/>
  <c r="DQ43" i="1" s="1"/>
  <c r="DQ44" i="1" s="1"/>
  <c r="DQ50" i="1" s="1"/>
  <c r="DQ51" i="1" s="1"/>
  <c r="DQ52" i="1" s="1"/>
  <c r="DQ53" i="1" s="1"/>
  <c r="DQ54" i="1" s="1"/>
  <c r="DQ55" i="1" s="1"/>
  <c r="DQ56" i="1" s="1"/>
  <c r="DQ57" i="1" s="1"/>
  <c r="DQ58" i="1" s="1"/>
  <c r="DQ60" i="1" s="1"/>
  <c r="DQ61" i="1" s="1"/>
  <c r="DQ62" i="1" s="1"/>
  <c r="DQ63" i="1" s="1"/>
  <c r="DQ64" i="1" s="1"/>
  <c r="DQ65" i="1" s="1"/>
  <c r="DQ66" i="1" s="1"/>
  <c r="DQ67" i="1" s="1"/>
  <c r="DQ68" i="1" s="1"/>
  <c r="DQ74" i="1" s="1"/>
  <c r="DQ75" i="1" s="1"/>
  <c r="DQ76" i="1" s="1"/>
  <c r="DQ77" i="1" s="1"/>
  <c r="DQ78" i="1" s="1"/>
  <c r="DQ79" i="1" s="1"/>
  <c r="DQ80" i="1" s="1"/>
  <c r="DQ81" i="1" s="1"/>
  <c r="DQ82" i="1" s="1"/>
  <c r="DQ84" i="1" s="1"/>
  <c r="DQ85" i="1" s="1"/>
  <c r="DQ86" i="1" s="1"/>
  <c r="DQ87" i="1" s="1"/>
  <c r="DQ88" i="1" s="1"/>
  <c r="DQ89" i="1" s="1"/>
  <c r="DQ90" i="1" s="1"/>
  <c r="DQ91" i="1" s="1"/>
  <c r="DQ92" i="1" s="1"/>
  <c r="CL22" i="1"/>
  <c r="CS94" i="1"/>
  <c r="E3" i="9" s="1"/>
  <c r="DU12" i="1"/>
  <c r="AG35" i="1"/>
  <c r="BS35" i="1"/>
  <c r="AT59" i="1"/>
  <c r="G94" i="1"/>
  <c r="B3" i="9" s="1"/>
  <c r="AF93" i="1"/>
  <c r="CR4" i="1"/>
  <c r="CR5" i="1" s="1"/>
  <c r="CR6" i="1" s="1"/>
  <c r="CR7" i="1" s="1"/>
  <c r="CR8" i="1" s="1"/>
  <c r="CR9" i="1" s="1"/>
  <c r="CR10" i="1" s="1"/>
  <c r="CR11" i="1" s="1"/>
  <c r="CR13" i="1" s="1"/>
  <c r="CR14" i="1" s="1"/>
  <c r="CR15" i="1" s="1"/>
  <c r="CR16" i="1" s="1"/>
  <c r="CR17" i="1" s="1"/>
  <c r="CR18" i="1" s="1"/>
  <c r="CR19" i="1" s="1"/>
  <c r="CR20" i="1" s="1"/>
  <c r="CR21" i="1" s="1"/>
  <c r="CR26" i="1" s="1"/>
  <c r="CR27" i="1" s="1"/>
  <c r="CR28" i="1" s="1"/>
  <c r="CR29" i="1" s="1"/>
  <c r="CR30" i="1" s="1"/>
  <c r="CR31" i="1" s="1"/>
  <c r="CR32" i="1" s="1"/>
  <c r="CR33" i="1" s="1"/>
  <c r="CR34" i="1" s="1"/>
  <c r="CR36" i="1" s="1"/>
  <c r="CR37" i="1" s="1"/>
  <c r="CR38" i="1" s="1"/>
  <c r="CR39" i="1" s="1"/>
  <c r="CR40" i="1" s="1"/>
  <c r="CR41" i="1" s="1"/>
  <c r="CR42" i="1" s="1"/>
  <c r="CR43" i="1" s="1"/>
  <c r="CR44" i="1" s="1"/>
  <c r="CR50" i="1" s="1"/>
  <c r="CR51" i="1" s="1"/>
  <c r="CR52" i="1" s="1"/>
  <c r="CR53" i="1" s="1"/>
  <c r="CR54" i="1" s="1"/>
  <c r="CR55" i="1" s="1"/>
  <c r="CR56" i="1" s="1"/>
  <c r="CR57" i="1" s="1"/>
  <c r="CR58" i="1" s="1"/>
  <c r="CR60" i="1" s="1"/>
  <c r="CR61" i="1" s="1"/>
  <c r="CR62" i="1" s="1"/>
  <c r="CR63" i="1" s="1"/>
  <c r="CR64" i="1" s="1"/>
  <c r="CR65" i="1" s="1"/>
  <c r="CR66" i="1" s="1"/>
  <c r="CR67" i="1" s="1"/>
  <c r="CR68" i="1" s="1"/>
  <c r="CR74" i="1" s="1"/>
  <c r="CR75" i="1" s="1"/>
  <c r="CR76" i="1" s="1"/>
  <c r="CR77" i="1" s="1"/>
  <c r="CR78" i="1" s="1"/>
  <c r="CR79" i="1" s="1"/>
  <c r="CR80" i="1" s="1"/>
  <c r="CR81" i="1" s="1"/>
  <c r="CR82" i="1" s="1"/>
  <c r="CR84" i="1" s="1"/>
  <c r="CR85" i="1" s="1"/>
  <c r="CR86" i="1" s="1"/>
  <c r="CR87" i="1" s="1"/>
  <c r="CR88" i="1" s="1"/>
  <c r="CR89" i="1" s="1"/>
  <c r="CR90" i="1" s="1"/>
  <c r="CR91" i="1" s="1"/>
  <c r="CR92" i="1" s="1"/>
  <c r="BO23" i="1"/>
  <c r="I46" i="1"/>
  <c r="B10" i="6" s="1"/>
  <c r="B24" i="6" s="1"/>
  <c r="BH69" i="1"/>
  <c r="Q4" i="1"/>
  <c r="Q5" i="1" s="1"/>
  <c r="Q6" i="1" s="1"/>
  <c r="Q7" i="1" s="1"/>
  <c r="Q8" i="1" s="1"/>
  <c r="Q9" i="1" s="1"/>
  <c r="Q10" i="1" s="1"/>
  <c r="Q11" i="1" s="1"/>
  <c r="AO12" i="1"/>
  <c r="BR4" i="1"/>
  <c r="BR5" i="1" s="1"/>
  <c r="CV4" i="1"/>
  <c r="CW22" i="1"/>
  <c r="DC27" i="1"/>
  <c r="DC28" i="1" s="1"/>
  <c r="DC29" i="1" s="1"/>
  <c r="DC30" i="1" s="1"/>
  <c r="DC31" i="1" s="1"/>
  <c r="DC32" i="1" s="1"/>
  <c r="DC33" i="1" s="1"/>
  <c r="DC34" i="1" s="1"/>
  <c r="DC36" i="1" s="1"/>
  <c r="DC37" i="1" s="1"/>
  <c r="DC38" i="1" s="1"/>
  <c r="DC39" i="1" s="1"/>
  <c r="DC40" i="1" s="1"/>
  <c r="DC41" i="1" s="1"/>
  <c r="DC42" i="1" s="1"/>
  <c r="DC43" i="1" s="1"/>
  <c r="DC44" i="1" s="1"/>
  <c r="DU45" i="1"/>
  <c r="DL45" i="1"/>
  <c r="BH59" i="1"/>
  <c r="M84" i="1"/>
  <c r="BD93" i="1"/>
  <c r="DU93" i="1"/>
  <c r="AP3" i="1"/>
  <c r="AP4" i="1" s="1"/>
  <c r="AP5" i="1" s="1"/>
  <c r="AP6" i="1" s="1"/>
  <c r="AP7" i="1" s="1"/>
  <c r="AP8" i="1" s="1"/>
  <c r="AP9" i="1" s="1"/>
  <c r="AP10" i="1" s="1"/>
  <c r="AP11" i="1" s="1"/>
  <c r="AP13" i="1" s="1"/>
  <c r="AP14" i="1" s="1"/>
  <c r="AP15" i="1" s="1"/>
  <c r="AP16" i="1" s="1"/>
  <c r="AP17" i="1" s="1"/>
  <c r="AP18" i="1" s="1"/>
  <c r="AP19" i="1" s="1"/>
  <c r="AP20" i="1" s="1"/>
  <c r="AP21" i="1" s="1"/>
  <c r="AP26" i="1" s="1"/>
  <c r="AP27" i="1" s="1"/>
  <c r="AP28" i="1" s="1"/>
  <c r="AP29" i="1" s="1"/>
  <c r="AP30" i="1" s="1"/>
  <c r="AP31" i="1" s="1"/>
  <c r="AP32" i="1" s="1"/>
  <c r="AP33" i="1" s="1"/>
  <c r="AP34" i="1" s="1"/>
  <c r="AP36" i="1" s="1"/>
  <c r="AP37" i="1" s="1"/>
  <c r="AP38" i="1" s="1"/>
  <c r="AP39" i="1" s="1"/>
  <c r="AP40" i="1" s="1"/>
  <c r="AP41" i="1" s="1"/>
  <c r="AP42" i="1" s="1"/>
  <c r="AP43" i="1" s="1"/>
  <c r="AP44" i="1" s="1"/>
  <c r="AP50" i="1" s="1"/>
  <c r="AP51" i="1" s="1"/>
  <c r="AP52" i="1" s="1"/>
  <c r="AP53" i="1" s="1"/>
  <c r="AP54" i="1" s="1"/>
  <c r="AP55" i="1" s="1"/>
  <c r="AP56" i="1" s="1"/>
  <c r="AP57" i="1" s="1"/>
  <c r="AP58" i="1" s="1"/>
  <c r="AP60" i="1" s="1"/>
  <c r="AP61" i="1" s="1"/>
  <c r="AP62" i="1" s="1"/>
  <c r="AP63" i="1" s="1"/>
  <c r="AP64" i="1" s="1"/>
  <c r="AP65" i="1" s="1"/>
  <c r="AP66" i="1" s="1"/>
  <c r="AP67" i="1" s="1"/>
  <c r="AP68" i="1" s="1"/>
  <c r="AP74" i="1" s="1"/>
  <c r="AP75" i="1" s="1"/>
  <c r="AP76" i="1" s="1"/>
  <c r="AP77" i="1" s="1"/>
  <c r="AP78" i="1" s="1"/>
  <c r="AP79" i="1" s="1"/>
  <c r="AP80" i="1" s="1"/>
  <c r="AP81" i="1" s="1"/>
  <c r="AP82" i="1" s="1"/>
  <c r="AP84" i="1" s="1"/>
  <c r="AP85" i="1" s="1"/>
  <c r="AP86" i="1" s="1"/>
  <c r="AP87" i="1" s="1"/>
  <c r="AP88" i="1" s="1"/>
  <c r="AP89" i="1" s="1"/>
  <c r="AP90" i="1" s="1"/>
  <c r="AP91" i="1" s="1"/>
  <c r="AP92" i="1" s="1"/>
  <c r="CY13" i="1"/>
  <c r="BD35" i="1"/>
  <c r="BH45" i="1"/>
  <c r="BM69" i="1"/>
  <c r="DU69" i="1"/>
  <c r="P22" i="1"/>
  <c r="Z12" i="1"/>
  <c r="AA3" i="1"/>
  <c r="AA4" i="1" s="1"/>
  <c r="AA5" i="1" s="1"/>
  <c r="AA6" i="1" s="1"/>
  <c r="AA7" i="1" s="1"/>
  <c r="AA8" i="1" s="1"/>
  <c r="AA9" i="1" s="1"/>
  <c r="AA10" i="1" s="1"/>
  <c r="AA11" i="1" s="1"/>
  <c r="CX3" i="1"/>
  <c r="CX4" i="1" s="1"/>
  <c r="CX5" i="1" s="1"/>
  <c r="CX6" i="1" s="1"/>
  <c r="CX7" i="1" s="1"/>
  <c r="CX8" i="1" s="1"/>
  <c r="CX9" i="1" s="1"/>
  <c r="CX10" i="1" s="1"/>
  <c r="CX11" i="1" s="1"/>
  <c r="CX13" i="1" s="1"/>
  <c r="CX14" i="1" s="1"/>
  <c r="CX15" i="1" s="1"/>
  <c r="CX16" i="1" s="1"/>
  <c r="CX17" i="1" s="1"/>
  <c r="CX18" i="1" s="1"/>
  <c r="CX19" i="1" s="1"/>
  <c r="CX20" i="1" s="1"/>
  <c r="CX21" i="1" s="1"/>
  <c r="CX26" i="1" s="1"/>
  <c r="CX27" i="1" s="1"/>
  <c r="CX28" i="1" s="1"/>
  <c r="CX29" i="1" s="1"/>
  <c r="CX30" i="1" s="1"/>
  <c r="CX31" i="1" s="1"/>
  <c r="CX32" i="1" s="1"/>
  <c r="CX33" i="1" s="1"/>
  <c r="CX34" i="1" s="1"/>
  <c r="CX36" i="1" s="1"/>
  <c r="CX37" i="1" s="1"/>
  <c r="CX38" i="1" s="1"/>
  <c r="CX39" i="1" s="1"/>
  <c r="CX40" i="1" s="1"/>
  <c r="CX41" i="1" s="1"/>
  <c r="CX42" i="1" s="1"/>
  <c r="CX43" i="1" s="1"/>
  <c r="CX44" i="1" s="1"/>
  <c r="CX50" i="1" s="1"/>
  <c r="CX51" i="1" s="1"/>
  <c r="CX52" i="1" s="1"/>
  <c r="CX53" i="1" s="1"/>
  <c r="CX54" i="1" s="1"/>
  <c r="CX55" i="1" s="1"/>
  <c r="CX56" i="1" s="1"/>
  <c r="CX57" i="1" s="1"/>
  <c r="CX58" i="1" s="1"/>
  <c r="CX60" i="1" s="1"/>
  <c r="CX61" i="1" s="1"/>
  <c r="CX62" i="1" s="1"/>
  <c r="CX63" i="1" s="1"/>
  <c r="CX64" i="1" s="1"/>
  <c r="CX65" i="1" s="1"/>
  <c r="CX66" i="1" s="1"/>
  <c r="CX67" i="1" s="1"/>
  <c r="CX68" i="1" s="1"/>
  <c r="CX74" i="1" s="1"/>
  <c r="CX75" i="1" s="1"/>
  <c r="CX76" i="1" s="1"/>
  <c r="CX77" i="1" s="1"/>
  <c r="CX78" i="1" s="1"/>
  <c r="CX79" i="1" s="1"/>
  <c r="CX80" i="1" s="1"/>
  <c r="CX81" i="1" s="1"/>
  <c r="CX82" i="1" s="1"/>
  <c r="CX84" i="1" s="1"/>
  <c r="CX85" i="1" s="1"/>
  <c r="CX86" i="1" s="1"/>
  <c r="CX87" i="1" s="1"/>
  <c r="CX88" i="1" s="1"/>
  <c r="CX89" i="1" s="1"/>
  <c r="CX90" i="1" s="1"/>
  <c r="CX91" i="1" s="1"/>
  <c r="CX92" i="1" s="1"/>
  <c r="CY4" i="1"/>
  <c r="M5" i="1"/>
  <c r="K12" i="1"/>
  <c r="CW12" i="1"/>
  <c r="AD22" i="1"/>
  <c r="P35" i="1"/>
  <c r="CZ3" i="1"/>
  <c r="Z22" i="1"/>
  <c r="AD12" i="1"/>
  <c r="BE4" i="1"/>
  <c r="BE5" i="1" s="1"/>
  <c r="BE6" i="1" s="1"/>
  <c r="BE7" i="1" s="1"/>
  <c r="BE8" i="1" s="1"/>
  <c r="BE9" i="1" s="1"/>
  <c r="BE10" i="1" s="1"/>
  <c r="BE11" i="1" s="1"/>
  <c r="BE13" i="1" s="1"/>
  <c r="BE14" i="1" s="1"/>
  <c r="BE15" i="1" s="1"/>
  <c r="BE16" i="1" s="1"/>
  <c r="BE17" i="1" s="1"/>
  <c r="BE18" i="1" s="1"/>
  <c r="BE19" i="1" s="1"/>
  <c r="BE20" i="1" s="1"/>
  <c r="BE21" i="1" s="1"/>
  <c r="BE26" i="1" s="1"/>
  <c r="BE27" i="1" s="1"/>
  <c r="BE28" i="1" s="1"/>
  <c r="BE29" i="1" s="1"/>
  <c r="BE30" i="1" s="1"/>
  <c r="BE31" i="1" s="1"/>
  <c r="BE32" i="1" s="1"/>
  <c r="BE33" i="1" s="1"/>
  <c r="BE34" i="1" s="1"/>
  <c r="BE36" i="1" s="1"/>
  <c r="BE37" i="1" s="1"/>
  <c r="BE38" i="1" s="1"/>
  <c r="BE39" i="1" s="1"/>
  <c r="BE40" i="1" s="1"/>
  <c r="BE41" i="1" s="1"/>
  <c r="BE42" i="1" s="1"/>
  <c r="BE43" i="1" s="1"/>
  <c r="BE44" i="1" s="1"/>
  <c r="BE50" i="1" s="1"/>
  <c r="BE51" i="1" s="1"/>
  <c r="BE52" i="1" s="1"/>
  <c r="BE53" i="1" s="1"/>
  <c r="BE54" i="1" s="1"/>
  <c r="BE55" i="1" s="1"/>
  <c r="BE56" i="1" s="1"/>
  <c r="BE57" i="1" s="1"/>
  <c r="BE58" i="1" s="1"/>
  <c r="BE60" i="1" s="1"/>
  <c r="BE61" i="1" s="1"/>
  <c r="BE62" i="1" s="1"/>
  <c r="BE63" i="1" s="1"/>
  <c r="BE64" i="1" s="1"/>
  <c r="BE65" i="1" s="1"/>
  <c r="BE66" i="1" s="1"/>
  <c r="BE67" i="1" s="1"/>
  <c r="BE68" i="1" s="1"/>
  <c r="BE74" i="1" s="1"/>
  <c r="BE75" i="1" s="1"/>
  <c r="BE76" i="1" s="1"/>
  <c r="BE77" i="1" s="1"/>
  <c r="BE78" i="1" s="1"/>
  <c r="BE79" i="1" s="1"/>
  <c r="BE80" i="1" s="1"/>
  <c r="BE81" i="1" s="1"/>
  <c r="BE82" i="1" s="1"/>
  <c r="BE84" i="1" s="1"/>
  <c r="BE85" i="1" s="1"/>
  <c r="BE86" i="1" s="1"/>
  <c r="BE87" i="1" s="1"/>
  <c r="BE88" i="1" s="1"/>
  <c r="BE89" i="1" s="1"/>
  <c r="BE90" i="1" s="1"/>
  <c r="BE91" i="1" s="1"/>
  <c r="BE92" i="1" s="1"/>
  <c r="CL12" i="1"/>
  <c r="CM3" i="1"/>
  <c r="CM4" i="1" s="1"/>
  <c r="CM5" i="1" s="1"/>
  <c r="CM6" i="1" s="1"/>
  <c r="CM7" i="1" s="1"/>
  <c r="CM8" i="1" s="1"/>
  <c r="CM9" i="1" s="1"/>
  <c r="CM10" i="1" s="1"/>
  <c r="CM11" i="1" s="1"/>
  <c r="CM13" i="1" s="1"/>
  <c r="CM14" i="1" s="1"/>
  <c r="CM15" i="1" s="1"/>
  <c r="CM16" i="1" s="1"/>
  <c r="CM17" i="1" s="1"/>
  <c r="CM18" i="1" s="1"/>
  <c r="CM19" i="1" s="1"/>
  <c r="CM20" i="1" s="1"/>
  <c r="CM21" i="1" s="1"/>
  <c r="CM26" i="1" s="1"/>
  <c r="CM27" i="1" s="1"/>
  <c r="CM28" i="1" s="1"/>
  <c r="CM29" i="1" s="1"/>
  <c r="CM30" i="1" s="1"/>
  <c r="CM31" i="1" s="1"/>
  <c r="CM32" i="1" s="1"/>
  <c r="CM33" i="1" s="1"/>
  <c r="CM34" i="1" s="1"/>
  <c r="CM36" i="1" s="1"/>
  <c r="CM37" i="1" s="1"/>
  <c r="CM38" i="1" s="1"/>
  <c r="CM39" i="1" s="1"/>
  <c r="CM40" i="1" s="1"/>
  <c r="CM41" i="1" s="1"/>
  <c r="CM42" i="1" s="1"/>
  <c r="CM43" i="1" s="1"/>
  <c r="CM44" i="1" s="1"/>
  <c r="CM50" i="1" s="1"/>
  <c r="CM51" i="1" s="1"/>
  <c r="CM52" i="1" s="1"/>
  <c r="CM53" i="1" s="1"/>
  <c r="CM54" i="1" s="1"/>
  <c r="CM55" i="1" s="1"/>
  <c r="CM56" i="1" s="1"/>
  <c r="CM57" i="1" s="1"/>
  <c r="CM58" i="1" s="1"/>
  <c r="CM60" i="1" s="1"/>
  <c r="CM61" i="1" s="1"/>
  <c r="CM62" i="1" s="1"/>
  <c r="CM63" i="1" s="1"/>
  <c r="CM64" i="1" s="1"/>
  <c r="CM65" i="1" s="1"/>
  <c r="CM66" i="1" s="1"/>
  <c r="CM67" i="1" s="1"/>
  <c r="CM68" i="1" s="1"/>
  <c r="CM74" i="1" s="1"/>
  <c r="CM75" i="1" s="1"/>
  <c r="CM76" i="1" s="1"/>
  <c r="CM77" i="1" s="1"/>
  <c r="CM78" i="1" s="1"/>
  <c r="CM79" i="1" s="1"/>
  <c r="CM80" i="1" s="1"/>
  <c r="CM81" i="1" s="1"/>
  <c r="CM82" i="1" s="1"/>
  <c r="CM84" i="1" s="1"/>
  <c r="CM85" i="1" s="1"/>
  <c r="CM86" i="1" s="1"/>
  <c r="CM87" i="1" s="1"/>
  <c r="CM88" i="1" s="1"/>
  <c r="CM89" i="1" s="1"/>
  <c r="CM90" i="1" s="1"/>
  <c r="CM91" i="1" s="1"/>
  <c r="CM92" i="1" s="1"/>
  <c r="DB12" i="1"/>
  <c r="F4" i="1"/>
  <c r="BU7" i="1"/>
  <c r="BX22" i="1"/>
  <c r="DU22" i="1"/>
  <c r="CY16" i="1"/>
  <c r="CY19" i="1"/>
  <c r="BS22" i="1"/>
  <c r="CQ45" i="1"/>
  <c r="DC4" i="1"/>
  <c r="DC5" i="1" s="1"/>
  <c r="DC6" i="1" s="1"/>
  <c r="DC7" i="1" s="1"/>
  <c r="DC8" i="1" s="1"/>
  <c r="DC9" i="1" s="1"/>
  <c r="DC10" i="1" s="1"/>
  <c r="DC11" i="1" s="1"/>
  <c r="DC13" i="1" s="1"/>
  <c r="DC14" i="1" s="1"/>
  <c r="DC15" i="1" s="1"/>
  <c r="DC16" i="1" s="1"/>
  <c r="DC17" i="1" s="1"/>
  <c r="DC18" i="1" s="1"/>
  <c r="DC19" i="1" s="1"/>
  <c r="DC20" i="1" s="1"/>
  <c r="DC21" i="1" s="1"/>
  <c r="AQ6" i="1"/>
  <c r="BH22" i="1"/>
  <c r="AQ17" i="1"/>
  <c r="BH35" i="1"/>
  <c r="CY29" i="1"/>
  <c r="BS59" i="1"/>
  <c r="BU50" i="1"/>
  <c r="DB59" i="1"/>
  <c r="DC50" i="1"/>
  <c r="DC51" i="1" s="1"/>
  <c r="DC52" i="1" s="1"/>
  <c r="DC53" i="1" s="1"/>
  <c r="DC54" i="1" s="1"/>
  <c r="DC55" i="1" s="1"/>
  <c r="DC56" i="1" s="1"/>
  <c r="DC57" i="1" s="1"/>
  <c r="DC58" i="1" s="1"/>
  <c r="DC60" i="1" s="1"/>
  <c r="DC61" i="1" s="1"/>
  <c r="DC62" i="1" s="1"/>
  <c r="DC63" i="1" s="1"/>
  <c r="DC64" i="1" s="1"/>
  <c r="DC65" i="1" s="1"/>
  <c r="DC66" i="1" s="1"/>
  <c r="DC67" i="1" s="1"/>
  <c r="DC68" i="1" s="1"/>
  <c r="AN4" i="1"/>
  <c r="CY37" i="1"/>
  <c r="BH12" i="1"/>
  <c r="DV4" i="1"/>
  <c r="DV5" i="1" s="1"/>
  <c r="DV6" i="1" s="1"/>
  <c r="DV7" i="1" s="1"/>
  <c r="DV8" i="1" s="1"/>
  <c r="DV9" i="1" s="1"/>
  <c r="DV10" i="1" s="1"/>
  <c r="DV11" i="1" s="1"/>
  <c r="DV13" i="1" s="1"/>
  <c r="DV14" i="1" s="1"/>
  <c r="DV15" i="1" s="1"/>
  <c r="DV16" i="1" s="1"/>
  <c r="DV17" i="1" s="1"/>
  <c r="DV18" i="1" s="1"/>
  <c r="DV19" i="1" s="1"/>
  <c r="DV20" i="1" s="1"/>
  <c r="DV21" i="1" s="1"/>
  <c r="DV26" i="1" s="1"/>
  <c r="DV27" i="1" s="1"/>
  <c r="DV28" i="1" s="1"/>
  <c r="DV29" i="1" s="1"/>
  <c r="DV30" i="1" s="1"/>
  <c r="DV31" i="1" s="1"/>
  <c r="DV32" i="1" s="1"/>
  <c r="DV33" i="1" s="1"/>
  <c r="DV34" i="1" s="1"/>
  <c r="DV36" i="1" s="1"/>
  <c r="DV37" i="1" s="1"/>
  <c r="DV38" i="1" s="1"/>
  <c r="DV39" i="1" s="1"/>
  <c r="DV40" i="1" s="1"/>
  <c r="DV41" i="1" s="1"/>
  <c r="DV42" i="1" s="1"/>
  <c r="DV43" i="1" s="1"/>
  <c r="DV44" i="1" s="1"/>
  <c r="DV50" i="1" s="1"/>
  <c r="DV51" i="1" s="1"/>
  <c r="DV52" i="1" s="1"/>
  <c r="DV53" i="1" s="1"/>
  <c r="DV54" i="1" s="1"/>
  <c r="DV55" i="1" s="1"/>
  <c r="DV56" i="1" s="1"/>
  <c r="DV57" i="1" s="1"/>
  <c r="DV58" i="1" s="1"/>
  <c r="DV60" i="1" s="1"/>
  <c r="DV61" i="1" s="1"/>
  <c r="DV62" i="1" s="1"/>
  <c r="DV63" i="1" s="1"/>
  <c r="DV64" i="1" s="1"/>
  <c r="DV65" i="1" s="1"/>
  <c r="DV66" i="1" s="1"/>
  <c r="DV67" i="1" s="1"/>
  <c r="DV68" i="1" s="1"/>
  <c r="DV74" i="1" s="1"/>
  <c r="DV75" i="1" s="1"/>
  <c r="DV76" i="1" s="1"/>
  <c r="DV77" i="1" s="1"/>
  <c r="DV78" i="1" s="1"/>
  <c r="DV79" i="1" s="1"/>
  <c r="DV80" i="1" s="1"/>
  <c r="DV81" i="1" s="1"/>
  <c r="DV82" i="1" s="1"/>
  <c r="DV84" i="1" s="1"/>
  <c r="DV85" i="1" s="1"/>
  <c r="DV86" i="1" s="1"/>
  <c r="DV87" i="1" s="1"/>
  <c r="DV88" i="1" s="1"/>
  <c r="DV89" i="1" s="1"/>
  <c r="DV90" i="1" s="1"/>
  <c r="DV91" i="1" s="1"/>
  <c r="DV92" i="1" s="1"/>
  <c r="AG12" i="1"/>
  <c r="BM12" i="1"/>
  <c r="BN3" i="1"/>
  <c r="BN4" i="1" s="1"/>
  <c r="BN5" i="1" s="1"/>
  <c r="BN6" i="1" s="1"/>
  <c r="BN7" i="1" s="1"/>
  <c r="BN8" i="1" s="1"/>
  <c r="BN9" i="1" s="1"/>
  <c r="BN10" i="1" s="1"/>
  <c r="BN11" i="1" s="1"/>
  <c r="BN13" i="1" s="1"/>
  <c r="BN14" i="1" s="1"/>
  <c r="BN15" i="1" s="1"/>
  <c r="BN16" i="1" s="1"/>
  <c r="BN17" i="1" s="1"/>
  <c r="BN18" i="1" s="1"/>
  <c r="BN19" i="1" s="1"/>
  <c r="BN20" i="1" s="1"/>
  <c r="BN21" i="1" s="1"/>
  <c r="BN26" i="1" s="1"/>
  <c r="BN27" i="1" s="1"/>
  <c r="BN28" i="1" s="1"/>
  <c r="BN29" i="1" s="1"/>
  <c r="BN30" i="1" s="1"/>
  <c r="BN31" i="1" s="1"/>
  <c r="BN32" i="1" s="1"/>
  <c r="BN33" i="1" s="1"/>
  <c r="BN34" i="1" s="1"/>
  <c r="BN36" i="1" s="1"/>
  <c r="BN37" i="1" s="1"/>
  <c r="BN38" i="1" s="1"/>
  <c r="BN39" i="1" s="1"/>
  <c r="BN40" i="1" s="1"/>
  <c r="BN41" i="1" s="1"/>
  <c r="BN42" i="1" s="1"/>
  <c r="BN43" i="1" s="1"/>
  <c r="BN44" i="1" s="1"/>
  <c r="BN50" i="1" s="1"/>
  <c r="BN51" i="1" s="1"/>
  <c r="BN52" i="1" s="1"/>
  <c r="BN53" i="1" s="1"/>
  <c r="BN54" i="1" s="1"/>
  <c r="BN55" i="1" s="1"/>
  <c r="BN56" i="1" s="1"/>
  <c r="BN57" i="1" s="1"/>
  <c r="BN58" i="1" s="1"/>
  <c r="BN60" i="1" s="1"/>
  <c r="BN61" i="1" s="1"/>
  <c r="BN62" i="1" s="1"/>
  <c r="BN63" i="1" s="1"/>
  <c r="BN64" i="1" s="1"/>
  <c r="BN65" i="1" s="1"/>
  <c r="BN66" i="1" s="1"/>
  <c r="BN67" i="1" s="1"/>
  <c r="BN68" i="1" s="1"/>
  <c r="BN74" i="1" s="1"/>
  <c r="BN75" i="1" s="1"/>
  <c r="BN76" i="1" s="1"/>
  <c r="BN77" i="1" s="1"/>
  <c r="BN78" i="1" s="1"/>
  <c r="BN79" i="1" s="1"/>
  <c r="BN80" i="1" s="1"/>
  <c r="BN81" i="1" s="1"/>
  <c r="BN82" i="1" s="1"/>
  <c r="BN84" i="1" s="1"/>
  <c r="BN85" i="1" s="1"/>
  <c r="BN86" i="1" s="1"/>
  <c r="BN87" i="1" s="1"/>
  <c r="BN88" i="1" s="1"/>
  <c r="BN89" i="1" s="1"/>
  <c r="BN90" i="1" s="1"/>
  <c r="BN91" i="1" s="1"/>
  <c r="BN92" i="1" s="1"/>
  <c r="CQ12" i="1"/>
  <c r="L4" i="1"/>
  <c r="L5" i="1" s="1"/>
  <c r="L6" i="1" s="1"/>
  <c r="L7" i="1" s="1"/>
  <c r="L8" i="1" s="1"/>
  <c r="L9" i="1" s="1"/>
  <c r="L10" i="1" s="1"/>
  <c r="L11" i="1" s="1"/>
  <c r="CY8" i="1"/>
  <c r="AQ10" i="1"/>
  <c r="AI12" i="1"/>
  <c r="BX12" i="1"/>
  <c r="CH22" i="1"/>
  <c r="CY20" i="1"/>
  <c r="DL35" i="1"/>
  <c r="AI45" i="1"/>
  <c r="AQ14" i="1"/>
  <c r="M9" i="1"/>
  <c r="BU11" i="1"/>
  <c r="CH12" i="1"/>
  <c r="K22" i="1"/>
  <c r="AO22" i="1"/>
  <c r="P12" i="1"/>
  <c r="BD12" i="1"/>
  <c r="BU3" i="1"/>
  <c r="BT3" i="1"/>
  <c r="BT4" i="1" s="1"/>
  <c r="BT5" i="1" s="1"/>
  <c r="BT6" i="1" s="1"/>
  <c r="BT7" i="1" s="1"/>
  <c r="BT8" i="1" s="1"/>
  <c r="BT9" i="1" s="1"/>
  <c r="BT10" i="1" s="1"/>
  <c r="BT11" i="1" s="1"/>
  <c r="BT13" i="1" s="1"/>
  <c r="BT14" i="1" s="1"/>
  <c r="BT15" i="1" s="1"/>
  <c r="BT16" i="1" s="1"/>
  <c r="BT17" i="1" s="1"/>
  <c r="BT18" i="1" s="1"/>
  <c r="BT19" i="1" s="1"/>
  <c r="BT20" i="1" s="1"/>
  <c r="BT21" i="1" s="1"/>
  <c r="BT26" i="1" s="1"/>
  <c r="BT27" i="1" s="1"/>
  <c r="BT28" i="1" s="1"/>
  <c r="BT29" i="1" s="1"/>
  <c r="BT30" i="1" s="1"/>
  <c r="BT31" i="1" s="1"/>
  <c r="BT32" i="1" s="1"/>
  <c r="BT33" i="1" s="1"/>
  <c r="BT34" i="1" s="1"/>
  <c r="BT36" i="1" s="1"/>
  <c r="BT37" i="1" s="1"/>
  <c r="BT38" i="1" s="1"/>
  <c r="BT39" i="1" s="1"/>
  <c r="BT40" i="1" s="1"/>
  <c r="BT41" i="1" s="1"/>
  <c r="BT42" i="1" s="1"/>
  <c r="BT43" i="1" s="1"/>
  <c r="BT44" i="1" s="1"/>
  <c r="BT50" i="1" s="1"/>
  <c r="BT51" i="1" s="1"/>
  <c r="BT52" i="1" s="1"/>
  <c r="BT53" i="1" s="1"/>
  <c r="BT54" i="1" s="1"/>
  <c r="BT55" i="1" s="1"/>
  <c r="BT56" i="1" s="1"/>
  <c r="BT57" i="1" s="1"/>
  <c r="BT58" i="1" s="1"/>
  <c r="BT60" i="1" s="1"/>
  <c r="BT61" i="1" s="1"/>
  <c r="BT62" i="1" s="1"/>
  <c r="BT63" i="1" s="1"/>
  <c r="BT64" i="1" s="1"/>
  <c r="BT65" i="1" s="1"/>
  <c r="BT66" i="1" s="1"/>
  <c r="BT67" i="1" s="1"/>
  <c r="BT68" i="1" s="1"/>
  <c r="BT74" i="1" s="1"/>
  <c r="BT75" i="1" s="1"/>
  <c r="BT76" i="1" s="1"/>
  <c r="BT77" i="1" s="1"/>
  <c r="BT78" i="1" s="1"/>
  <c r="BT79" i="1" s="1"/>
  <c r="BT80" i="1" s="1"/>
  <c r="BT81" i="1" s="1"/>
  <c r="BT82" i="1" s="1"/>
  <c r="BT84" i="1" s="1"/>
  <c r="BT85" i="1" s="1"/>
  <c r="BT86" i="1" s="1"/>
  <c r="BT87" i="1" s="1"/>
  <c r="BT88" i="1" s="1"/>
  <c r="BT89" i="1" s="1"/>
  <c r="BT90" i="1" s="1"/>
  <c r="BT91" i="1" s="1"/>
  <c r="BT92" i="1" s="1"/>
  <c r="BS12" i="1"/>
  <c r="BU15" i="1"/>
  <c r="AQ18" i="1"/>
  <c r="BD22" i="1"/>
  <c r="M29" i="1"/>
  <c r="DB35" i="1"/>
  <c r="M30" i="1"/>
  <c r="BU31" i="1"/>
  <c r="BU32" i="1"/>
  <c r="BM45" i="1"/>
  <c r="CL45" i="1"/>
  <c r="BU40" i="1"/>
  <c r="DM3" i="1"/>
  <c r="DM4" i="1" s="1"/>
  <c r="DM5" i="1" s="1"/>
  <c r="DM6" i="1" s="1"/>
  <c r="DM7" i="1" s="1"/>
  <c r="DM8" i="1" s="1"/>
  <c r="DM9" i="1" s="1"/>
  <c r="DM10" i="1" s="1"/>
  <c r="DM11" i="1" s="1"/>
  <c r="DM13" i="1" s="1"/>
  <c r="DM14" i="1" s="1"/>
  <c r="DM15" i="1" s="1"/>
  <c r="DM16" i="1" s="1"/>
  <c r="DM17" i="1" s="1"/>
  <c r="DM18" i="1" s="1"/>
  <c r="DM19" i="1" s="1"/>
  <c r="DM20" i="1" s="1"/>
  <c r="DM21" i="1" s="1"/>
  <c r="DM26" i="1" s="1"/>
  <c r="DM27" i="1" s="1"/>
  <c r="DM28" i="1" s="1"/>
  <c r="DM29" i="1" s="1"/>
  <c r="DM30" i="1" s="1"/>
  <c r="DM31" i="1" s="1"/>
  <c r="DM32" i="1" s="1"/>
  <c r="DM33" i="1" s="1"/>
  <c r="DM34" i="1" s="1"/>
  <c r="DM36" i="1" s="1"/>
  <c r="DM37" i="1" s="1"/>
  <c r="DM38" i="1" s="1"/>
  <c r="DM39" i="1" s="1"/>
  <c r="DM40" i="1" s="1"/>
  <c r="DM41" i="1" s="1"/>
  <c r="DM42" i="1" s="1"/>
  <c r="DM43" i="1" s="1"/>
  <c r="DM44" i="1" s="1"/>
  <c r="DM50" i="1" s="1"/>
  <c r="DM51" i="1" s="1"/>
  <c r="DM52" i="1" s="1"/>
  <c r="DM53" i="1" s="1"/>
  <c r="DM54" i="1" s="1"/>
  <c r="DM55" i="1" s="1"/>
  <c r="DM56" i="1" s="1"/>
  <c r="DM57" i="1" s="1"/>
  <c r="DM58" i="1" s="1"/>
  <c r="DM60" i="1" s="1"/>
  <c r="DM61" i="1" s="1"/>
  <c r="DM62" i="1" s="1"/>
  <c r="DM63" i="1" s="1"/>
  <c r="DM64" i="1" s="1"/>
  <c r="DM65" i="1" s="1"/>
  <c r="DM66" i="1" s="1"/>
  <c r="DM67" i="1" s="1"/>
  <c r="DM68" i="1" s="1"/>
  <c r="DM74" i="1" s="1"/>
  <c r="DM75" i="1" s="1"/>
  <c r="DM76" i="1" s="1"/>
  <c r="DM77" i="1" s="1"/>
  <c r="DM78" i="1" s="1"/>
  <c r="DM79" i="1" s="1"/>
  <c r="DM80" i="1" s="1"/>
  <c r="DM81" i="1" s="1"/>
  <c r="DM82" i="1" s="1"/>
  <c r="DM84" i="1" s="1"/>
  <c r="DM85" i="1" s="1"/>
  <c r="DM86" i="1" s="1"/>
  <c r="DM87" i="1" s="1"/>
  <c r="DM88" i="1" s="1"/>
  <c r="DM89" i="1" s="1"/>
  <c r="DM90" i="1" s="1"/>
  <c r="DM91" i="1" s="1"/>
  <c r="DM92" i="1" s="1"/>
  <c r="J4" i="1"/>
  <c r="CY28" i="1"/>
  <c r="P45" i="1"/>
  <c r="AO45" i="1"/>
  <c r="AD45" i="1"/>
  <c r="AQ26" i="1"/>
  <c r="AO35" i="1"/>
  <c r="BX35" i="1"/>
  <c r="AQ34" i="1"/>
  <c r="M38" i="1"/>
  <c r="Z35" i="1"/>
  <c r="BY26" i="1"/>
  <c r="BY27" i="1" s="1"/>
  <c r="BY28" i="1" s="1"/>
  <c r="BY29" i="1" s="1"/>
  <c r="BY30" i="1" s="1"/>
  <c r="BY31" i="1" s="1"/>
  <c r="BY32" i="1" s="1"/>
  <c r="BY33" i="1" s="1"/>
  <c r="BY34" i="1" s="1"/>
  <c r="BY36" i="1" s="1"/>
  <c r="BY37" i="1" s="1"/>
  <c r="BY38" i="1" s="1"/>
  <c r="BY39" i="1" s="1"/>
  <c r="BY40" i="1" s="1"/>
  <c r="BY41" i="1" s="1"/>
  <c r="BY42" i="1" s="1"/>
  <c r="BY43" i="1" s="1"/>
  <c r="BY44" i="1" s="1"/>
  <c r="CY36" i="1"/>
  <c r="CW45" i="1"/>
  <c r="DP45" i="1"/>
  <c r="CH35" i="1"/>
  <c r="CW35" i="1"/>
  <c r="AQ27" i="1"/>
  <c r="BD45" i="1"/>
  <c r="BX45" i="1"/>
  <c r="DB45" i="1"/>
  <c r="M37" i="1"/>
  <c r="K45" i="1"/>
  <c r="AQ43" i="1"/>
  <c r="AQ45" i="1" s="1"/>
  <c r="AT45" i="1"/>
  <c r="M52" i="1"/>
  <c r="K35" i="1"/>
  <c r="AD35" i="1"/>
  <c r="AT35" i="1"/>
  <c r="CH45" i="1"/>
  <c r="BS45" i="1"/>
  <c r="CY57" i="1"/>
  <c r="DL59" i="1"/>
  <c r="BU57" i="1"/>
  <c r="AI69" i="1"/>
  <c r="P59" i="1"/>
  <c r="BX59" i="1"/>
  <c r="AQ54" i="1"/>
  <c r="BS69" i="1"/>
  <c r="BU60" i="1"/>
  <c r="AO59" i="1"/>
  <c r="BY50" i="1"/>
  <c r="BY51" i="1" s="1"/>
  <c r="BY52" i="1" s="1"/>
  <c r="BY53" i="1" s="1"/>
  <c r="BY54" i="1" s="1"/>
  <c r="BY55" i="1" s="1"/>
  <c r="BY56" i="1" s="1"/>
  <c r="BY57" i="1" s="1"/>
  <c r="BY58" i="1" s="1"/>
  <c r="BY60" i="1" s="1"/>
  <c r="BY61" i="1" s="1"/>
  <c r="BY62" i="1" s="1"/>
  <c r="BY63" i="1" s="1"/>
  <c r="BY64" i="1" s="1"/>
  <c r="BY65" i="1" s="1"/>
  <c r="BY66" i="1" s="1"/>
  <c r="BY67" i="1" s="1"/>
  <c r="BY68" i="1" s="1"/>
  <c r="AQ67" i="1"/>
  <c r="AQ50" i="1"/>
  <c r="CH59" i="1"/>
  <c r="CY52" i="1"/>
  <c r="CL59" i="1"/>
  <c r="CL69" i="1"/>
  <c r="CY62" i="1"/>
  <c r="DB83" i="1"/>
  <c r="DC74" i="1"/>
  <c r="DC75" i="1" s="1"/>
  <c r="DC76" i="1" s="1"/>
  <c r="DC77" i="1" s="1"/>
  <c r="DC78" i="1" s="1"/>
  <c r="DC79" i="1" s="1"/>
  <c r="DC80" i="1" s="1"/>
  <c r="DC81" i="1" s="1"/>
  <c r="DC82" i="1" s="1"/>
  <c r="DC84" i="1" s="1"/>
  <c r="DC85" i="1" s="1"/>
  <c r="DC86" i="1" s="1"/>
  <c r="DC87" i="1" s="1"/>
  <c r="DC88" i="1" s="1"/>
  <c r="DC89" i="1" s="1"/>
  <c r="DC90" i="1" s="1"/>
  <c r="DC91" i="1" s="1"/>
  <c r="DC92" i="1" s="1"/>
  <c r="K59" i="1"/>
  <c r="AT69" i="1"/>
  <c r="BX69" i="1"/>
  <c r="CW69" i="1"/>
  <c r="M67" i="1"/>
  <c r="Z83" i="1"/>
  <c r="BX83" i="1"/>
  <c r="BY74" i="1"/>
  <c r="BY75" i="1" s="1"/>
  <c r="BY76" i="1" s="1"/>
  <c r="BY77" i="1" s="1"/>
  <c r="BY78" i="1" s="1"/>
  <c r="BY79" i="1" s="1"/>
  <c r="BY80" i="1" s="1"/>
  <c r="BY81" i="1" s="1"/>
  <c r="BY82" i="1" s="1"/>
  <c r="BY84" i="1" s="1"/>
  <c r="BY85" i="1" s="1"/>
  <c r="BY86" i="1" s="1"/>
  <c r="BY87" i="1" s="1"/>
  <c r="BY88" i="1" s="1"/>
  <c r="BY89" i="1" s="1"/>
  <c r="BY90" i="1" s="1"/>
  <c r="BY91" i="1" s="1"/>
  <c r="BY92" i="1" s="1"/>
  <c r="AD59" i="1"/>
  <c r="Z69" i="1"/>
  <c r="BD69" i="1"/>
  <c r="BU61" i="1"/>
  <c r="DP83" i="1"/>
  <c r="AQ63" i="1"/>
  <c r="CY63" i="1"/>
  <c r="M64" i="1"/>
  <c r="CH93" i="1"/>
  <c r="BU64" i="1"/>
  <c r="CY87" i="1"/>
  <c r="CY58" i="1"/>
  <c r="DL69" i="1"/>
  <c r="M66" i="1"/>
  <c r="K83" i="1"/>
  <c r="M74" i="1"/>
  <c r="BD59" i="1"/>
  <c r="CW59" i="1"/>
  <c r="DP59" i="1"/>
  <c r="DP69" i="1"/>
  <c r="P69" i="1"/>
  <c r="DL83" i="1"/>
  <c r="AI93" i="1"/>
  <c r="CL83" i="1"/>
  <c r="BU78" i="1"/>
  <c r="M81" i="1"/>
  <c r="AQ84" i="1"/>
  <c r="AO93" i="1"/>
  <c r="K69" i="1"/>
  <c r="AO69" i="1"/>
  <c r="DP93" i="1"/>
  <c r="AD69" i="1"/>
  <c r="AQ68" i="1"/>
  <c r="CY79" i="1"/>
  <c r="CH83" i="1"/>
  <c r="CQ69" i="1"/>
  <c r="DB69" i="1"/>
  <c r="BU65" i="1"/>
  <c r="CY74" i="1"/>
  <c r="CW83" i="1"/>
  <c r="AD83" i="1"/>
  <c r="CL93" i="1"/>
  <c r="P83" i="1"/>
  <c r="BD83" i="1"/>
  <c r="BS83" i="1"/>
  <c r="AQ77" i="1"/>
  <c r="AQ83" i="1" s="1"/>
  <c r="M80" i="1"/>
  <c r="BU74" i="1"/>
  <c r="AO83" i="1"/>
  <c r="BH83" i="1"/>
  <c r="BU82" i="1"/>
  <c r="AT93" i="1"/>
  <c r="CW93" i="1"/>
  <c r="Z93" i="1"/>
  <c r="AQ85" i="1"/>
  <c r="BU89" i="1"/>
  <c r="AQ92" i="1"/>
  <c r="DL93" i="1"/>
  <c r="BU90" i="1"/>
  <c r="AT83" i="1"/>
  <c r="CY86" i="1"/>
  <c r="M87" i="1"/>
  <c r="M88" i="1"/>
  <c r="P93" i="1"/>
  <c r="BX93" i="1"/>
  <c r="BU84" i="1"/>
  <c r="BM93" i="1"/>
  <c r="H69" i="3" l="1"/>
  <c r="F69" i="5"/>
  <c r="H69" i="8"/>
  <c r="JY94" i="1"/>
  <c r="J7" i="7"/>
  <c r="J8" i="7" s="1"/>
  <c r="IM95" i="1"/>
  <c r="J3" i="8"/>
  <c r="J24" i="5"/>
  <c r="I13" i="9"/>
  <c r="HQ94" i="1"/>
  <c r="I15" i="9" s="1"/>
  <c r="H13" i="9"/>
  <c r="GM94" i="1"/>
  <c r="H15" i="9" s="1"/>
  <c r="G13" i="9"/>
  <c r="FI94" i="1"/>
  <c r="G15" i="9" s="1"/>
  <c r="F13" i="9"/>
  <c r="EE94" i="1"/>
  <c r="F15" i="9" s="1"/>
  <c r="HQ70" i="1"/>
  <c r="I15" i="7" s="1"/>
  <c r="H13" i="7"/>
  <c r="GM70" i="1"/>
  <c r="H15" i="7" s="1"/>
  <c r="G13" i="7"/>
  <c r="FI70" i="1"/>
  <c r="G15" i="7" s="1"/>
  <c r="F13" i="7"/>
  <c r="EE70" i="1"/>
  <c r="F15" i="7" s="1"/>
  <c r="IU46" i="1"/>
  <c r="J15" i="6" s="1"/>
  <c r="J13" i="6"/>
  <c r="I13" i="6"/>
  <c r="HQ46" i="1"/>
  <c r="I15" i="6" s="1"/>
  <c r="GM46" i="1"/>
  <c r="H15" i="6" s="1"/>
  <c r="F13" i="6"/>
  <c r="EE46" i="1"/>
  <c r="F15" i="6" s="1"/>
  <c r="DW71" i="1"/>
  <c r="F3" i="8" s="1"/>
  <c r="F24" i="8" s="1"/>
  <c r="JQ71" i="1"/>
  <c r="JQ95" i="1" s="1"/>
  <c r="JS71" i="1"/>
  <c r="JS95" i="1" s="1"/>
  <c r="JS97" i="1" s="1"/>
  <c r="JU47" i="1"/>
  <c r="JU71" i="1" s="1"/>
  <c r="JU95" i="1" s="1"/>
  <c r="JY23" i="1"/>
  <c r="J5" i="5"/>
  <c r="J25" i="5"/>
  <c r="JF47" i="1"/>
  <c r="J21" i="5" s="1"/>
  <c r="J37" i="5" s="1"/>
  <c r="J21" i="4"/>
  <c r="J13" i="4"/>
  <c r="IU23" i="1"/>
  <c r="F13" i="4"/>
  <c r="EE23" i="1"/>
  <c r="I13" i="4"/>
  <c r="HQ23" i="1"/>
  <c r="H13" i="4"/>
  <c r="GM23" i="1"/>
  <c r="G13" i="4"/>
  <c r="FI23" i="1"/>
  <c r="D10" i="4"/>
  <c r="D24" i="4" s="1"/>
  <c r="C10" i="4"/>
  <c r="C24" i="4" s="1"/>
  <c r="JJ47" i="1"/>
  <c r="J23" i="5" s="1"/>
  <c r="J39" i="5" s="1"/>
  <c r="KJ47" i="1"/>
  <c r="C6" i="6"/>
  <c r="KN47" i="1"/>
  <c r="KS47" i="1"/>
  <c r="IX47" i="1"/>
  <c r="IV47" i="1"/>
  <c r="IS47" i="1"/>
  <c r="J14" i="5" s="1"/>
  <c r="J31" i="5" s="1"/>
  <c r="JZ47" i="1"/>
  <c r="KJ71" i="1"/>
  <c r="KJ95" i="1" s="1"/>
  <c r="F8" i="4"/>
  <c r="KD47" i="1"/>
  <c r="KH47" i="1"/>
  <c r="KL47" i="1"/>
  <c r="JB47" i="1"/>
  <c r="KF47" i="1"/>
  <c r="KB47" i="1"/>
  <c r="JD47" i="1"/>
  <c r="J20" i="5" s="1"/>
  <c r="J36" i="5" s="1"/>
  <c r="IZ47" i="1"/>
  <c r="E6" i="7"/>
  <c r="C6" i="7"/>
  <c r="JO47" i="1"/>
  <c r="JH47" i="1"/>
  <c r="J22" i="5" s="1"/>
  <c r="J38" i="5" s="1"/>
  <c r="D3" i="4"/>
  <c r="D6" i="4" s="1"/>
  <c r="D9" i="5"/>
  <c r="IQ47" i="1"/>
  <c r="J13" i="5" s="1"/>
  <c r="J30" i="5" s="1"/>
  <c r="ID47" i="1"/>
  <c r="GZ47" i="1"/>
  <c r="GZ71" i="1" s="1"/>
  <c r="B6" i="4"/>
  <c r="B10" i="9"/>
  <c r="B24" i="9" s="1"/>
  <c r="B10" i="4"/>
  <c r="B24" i="4" s="1"/>
  <c r="B6" i="9"/>
  <c r="E6" i="9"/>
  <c r="C6" i="9"/>
  <c r="D6" i="9"/>
  <c r="I6" i="6"/>
  <c r="F6" i="6"/>
  <c r="E6" i="4"/>
  <c r="H6" i="4"/>
  <c r="I8" i="4"/>
  <c r="F8" i="7"/>
  <c r="I8" i="7"/>
  <c r="F6" i="9"/>
  <c r="G6" i="7"/>
  <c r="H8" i="4"/>
  <c r="G6" i="6"/>
  <c r="I6" i="4"/>
  <c r="I6" i="7"/>
  <c r="G6" i="9"/>
  <c r="I6" i="9"/>
  <c r="G8" i="7"/>
  <c r="H8" i="7"/>
  <c r="F6" i="7"/>
  <c r="G8" i="6"/>
  <c r="H6" i="6"/>
  <c r="G6" i="4"/>
  <c r="D6" i="7"/>
  <c r="JK53" i="1"/>
  <c r="FV47" i="1"/>
  <c r="G22" i="5" s="1"/>
  <c r="G38" i="5" s="1"/>
  <c r="ER47" i="1"/>
  <c r="F22" i="5" s="1"/>
  <c r="F38" i="5" s="1"/>
  <c r="DY71" i="1"/>
  <c r="F12" i="8" s="1"/>
  <c r="F28" i="8" s="1"/>
  <c r="I12" i="5"/>
  <c r="I28" i="5" s="1"/>
  <c r="HZ47" i="1"/>
  <c r="I20" i="6"/>
  <c r="HT47" i="1"/>
  <c r="I17" i="6"/>
  <c r="HK95" i="1"/>
  <c r="I12" i="8"/>
  <c r="I28" i="8" s="1"/>
  <c r="H12" i="5"/>
  <c r="H28" i="5" s="1"/>
  <c r="GG71" i="1"/>
  <c r="DN47" i="1"/>
  <c r="E22" i="5" s="1"/>
  <c r="E38" i="5" s="1"/>
  <c r="CJ47" i="1"/>
  <c r="D22" i="5" s="1"/>
  <c r="D38" i="5" s="1"/>
  <c r="JG53" i="1"/>
  <c r="IP55" i="1"/>
  <c r="IS53" i="1"/>
  <c r="IT53" i="1" s="1"/>
  <c r="JE53" i="1"/>
  <c r="JH54" i="1"/>
  <c r="JI54" i="1" s="1"/>
  <c r="IQ54" i="1"/>
  <c r="IS54" i="1" s="1"/>
  <c r="JJ54" i="1"/>
  <c r="JF54" i="1"/>
  <c r="JD54" i="1"/>
  <c r="IR53" i="1"/>
  <c r="FC71" i="1"/>
  <c r="G12" i="5"/>
  <c r="G28" i="5" s="1"/>
  <c r="BF47" i="1"/>
  <c r="C22" i="5" s="1"/>
  <c r="C38" i="5" s="1"/>
  <c r="Q13" i="1"/>
  <c r="Q14" i="1" s="1"/>
  <c r="Q15" i="1" s="1"/>
  <c r="Q16" i="1" s="1"/>
  <c r="Q17" i="1" s="1"/>
  <c r="Q18" i="1" s="1"/>
  <c r="Q19" i="1" s="1"/>
  <c r="Q20" i="1" s="1"/>
  <c r="Q21" i="1" s="1"/>
  <c r="Q26" i="1" s="1"/>
  <c r="Q27" i="1" s="1"/>
  <c r="Q28" i="1" s="1"/>
  <c r="Q29" i="1" s="1"/>
  <c r="Q30" i="1" s="1"/>
  <c r="Q31" i="1" s="1"/>
  <c r="Q32" i="1" s="1"/>
  <c r="Q33" i="1" s="1"/>
  <c r="Q34" i="1" s="1"/>
  <c r="Q36" i="1" s="1"/>
  <c r="Q37" i="1" s="1"/>
  <c r="Q38" i="1" s="1"/>
  <c r="Q39" i="1" s="1"/>
  <c r="Q40" i="1" s="1"/>
  <c r="Q41" i="1" s="1"/>
  <c r="Q42" i="1" s="1"/>
  <c r="Q43" i="1" s="1"/>
  <c r="Q44" i="1" s="1"/>
  <c r="Q50" i="1" s="1"/>
  <c r="Q51" i="1" s="1"/>
  <c r="Q52" i="1" s="1"/>
  <c r="Q53" i="1" s="1"/>
  <c r="Q54" i="1" s="1"/>
  <c r="Q55" i="1" s="1"/>
  <c r="Q56" i="1" s="1"/>
  <c r="Q57" i="1" s="1"/>
  <c r="Q58" i="1" s="1"/>
  <c r="Q60" i="1" s="1"/>
  <c r="Q61" i="1" s="1"/>
  <c r="Q62" i="1" s="1"/>
  <c r="Q63" i="1" s="1"/>
  <c r="Q64" i="1" s="1"/>
  <c r="Q65" i="1" s="1"/>
  <c r="Q66" i="1" s="1"/>
  <c r="Q67" i="1" s="1"/>
  <c r="Q68" i="1" s="1"/>
  <c r="Q74" i="1" s="1"/>
  <c r="Q75" i="1" s="1"/>
  <c r="Q76" i="1" s="1"/>
  <c r="Q77" i="1" s="1"/>
  <c r="Q78" i="1" s="1"/>
  <c r="Q79" i="1" s="1"/>
  <c r="Q80" i="1" s="1"/>
  <c r="Q81" i="1" s="1"/>
  <c r="Q82" i="1" s="1"/>
  <c r="Q84" i="1" s="1"/>
  <c r="Q85" i="1" s="1"/>
  <c r="Q86" i="1" s="1"/>
  <c r="Q87" i="1" s="1"/>
  <c r="Q88" i="1" s="1"/>
  <c r="Q89" i="1" s="1"/>
  <c r="Q90" i="1" s="1"/>
  <c r="Q91" i="1" s="1"/>
  <c r="Q92" i="1" s="1"/>
  <c r="AE13" i="1"/>
  <c r="AE14" i="1" s="1"/>
  <c r="AE15" i="1" s="1"/>
  <c r="AE16" i="1" s="1"/>
  <c r="AE17" i="1" s="1"/>
  <c r="AE18" i="1" s="1"/>
  <c r="AE19" i="1" s="1"/>
  <c r="AE20" i="1" s="1"/>
  <c r="AE21" i="1" s="1"/>
  <c r="AE26" i="1" s="1"/>
  <c r="AE27" i="1" s="1"/>
  <c r="AE28" i="1" s="1"/>
  <c r="AE29" i="1" s="1"/>
  <c r="AE30" i="1" s="1"/>
  <c r="AE31" i="1" s="1"/>
  <c r="AE32" i="1" s="1"/>
  <c r="AE33" i="1" s="1"/>
  <c r="AE34" i="1" s="1"/>
  <c r="AE36" i="1" s="1"/>
  <c r="AE37" i="1" s="1"/>
  <c r="AE38" i="1" s="1"/>
  <c r="AE39" i="1" s="1"/>
  <c r="AE40" i="1" s="1"/>
  <c r="AE41" i="1" s="1"/>
  <c r="AE42" i="1" s="1"/>
  <c r="AE43" i="1" s="1"/>
  <c r="AE44" i="1" s="1"/>
  <c r="AE50" i="1" s="1"/>
  <c r="AE51" i="1" s="1"/>
  <c r="AE52" i="1" s="1"/>
  <c r="AE53" i="1" s="1"/>
  <c r="AE54" i="1" s="1"/>
  <c r="AE55" i="1" s="1"/>
  <c r="AE56" i="1" s="1"/>
  <c r="AE57" i="1" s="1"/>
  <c r="AE58" i="1" s="1"/>
  <c r="AE60" i="1" s="1"/>
  <c r="AE61" i="1" s="1"/>
  <c r="AE62" i="1" s="1"/>
  <c r="AE63" i="1" s="1"/>
  <c r="AE64" i="1" s="1"/>
  <c r="AE65" i="1" s="1"/>
  <c r="AE66" i="1" s="1"/>
  <c r="AE67" i="1" s="1"/>
  <c r="AE68" i="1" s="1"/>
  <c r="AE74" i="1" s="1"/>
  <c r="AE75" i="1" s="1"/>
  <c r="AE76" i="1" s="1"/>
  <c r="AE77" i="1" s="1"/>
  <c r="AE78" i="1" s="1"/>
  <c r="AE79" i="1" s="1"/>
  <c r="AE80" i="1" s="1"/>
  <c r="AE81" i="1" s="1"/>
  <c r="AE82" i="1" s="1"/>
  <c r="AE84" i="1" s="1"/>
  <c r="AE85" i="1" s="1"/>
  <c r="AE86" i="1" s="1"/>
  <c r="AE87" i="1" s="1"/>
  <c r="AE88" i="1" s="1"/>
  <c r="AE89" i="1" s="1"/>
  <c r="AE90" i="1" s="1"/>
  <c r="AE91" i="1" s="1"/>
  <c r="AE92" i="1" s="1"/>
  <c r="L13" i="1"/>
  <c r="L14" i="1" s="1"/>
  <c r="L15" i="1" s="1"/>
  <c r="L16" i="1" s="1"/>
  <c r="L17" i="1" s="1"/>
  <c r="L18" i="1" s="1"/>
  <c r="L19" i="1" s="1"/>
  <c r="L20" i="1" s="1"/>
  <c r="L21" i="1" s="1"/>
  <c r="L26" i="1" s="1"/>
  <c r="L27" i="1" s="1"/>
  <c r="L28" i="1" s="1"/>
  <c r="L29" i="1" s="1"/>
  <c r="L30" i="1" s="1"/>
  <c r="L31" i="1" s="1"/>
  <c r="L32" i="1" s="1"/>
  <c r="L33" i="1" s="1"/>
  <c r="L34" i="1" s="1"/>
  <c r="L36" i="1" s="1"/>
  <c r="L37" i="1" s="1"/>
  <c r="L38" i="1" s="1"/>
  <c r="L39" i="1" s="1"/>
  <c r="L40" i="1" s="1"/>
  <c r="L41" i="1" s="1"/>
  <c r="L42" i="1" s="1"/>
  <c r="L43" i="1" s="1"/>
  <c r="L44" i="1" s="1"/>
  <c r="L50" i="1" s="1"/>
  <c r="L51" i="1" s="1"/>
  <c r="L52" i="1" s="1"/>
  <c r="L53" i="1" s="1"/>
  <c r="L54" i="1" s="1"/>
  <c r="L55" i="1" s="1"/>
  <c r="L56" i="1" s="1"/>
  <c r="L57" i="1" s="1"/>
  <c r="L58" i="1" s="1"/>
  <c r="L60" i="1" s="1"/>
  <c r="L61" i="1" s="1"/>
  <c r="L62" i="1" s="1"/>
  <c r="L63" i="1" s="1"/>
  <c r="L64" i="1" s="1"/>
  <c r="L65" i="1" s="1"/>
  <c r="L66" i="1" s="1"/>
  <c r="L67" i="1" s="1"/>
  <c r="L68" i="1" s="1"/>
  <c r="L74" i="1" s="1"/>
  <c r="L75" i="1" s="1"/>
  <c r="L76" i="1" s="1"/>
  <c r="L77" i="1" s="1"/>
  <c r="L78" i="1" s="1"/>
  <c r="L79" i="1" s="1"/>
  <c r="L80" i="1" s="1"/>
  <c r="L81" i="1" s="1"/>
  <c r="L82" i="1" s="1"/>
  <c r="L84" i="1" s="1"/>
  <c r="L85" i="1" s="1"/>
  <c r="L86" i="1" s="1"/>
  <c r="L87" i="1" s="1"/>
  <c r="L88" i="1" s="1"/>
  <c r="L89" i="1" s="1"/>
  <c r="L90" i="1" s="1"/>
  <c r="L91" i="1" s="1"/>
  <c r="L92" i="1" s="1"/>
  <c r="AA13" i="1"/>
  <c r="AA14" i="1" s="1"/>
  <c r="AA15" i="1" s="1"/>
  <c r="AA16" i="1" s="1"/>
  <c r="AA17" i="1" s="1"/>
  <c r="AA18" i="1" s="1"/>
  <c r="AA19" i="1" s="1"/>
  <c r="AA20" i="1" s="1"/>
  <c r="AA21" i="1" s="1"/>
  <c r="AA26" i="1" s="1"/>
  <c r="AA27" i="1" s="1"/>
  <c r="AA28" i="1" s="1"/>
  <c r="AA29" i="1" s="1"/>
  <c r="AA30" i="1" s="1"/>
  <c r="AA31" i="1" s="1"/>
  <c r="AA32" i="1" s="1"/>
  <c r="AA33" i="1" s="1"/>
  <c r="AA34" i="1" s="1"/>
  <c r="AA36" i="1" s="1"/>
  <c r="AA37" i="1" s="1"/>
  <c r="AA38" i="1" s="1"/>
  <c r="AA39" i="1" s="1"/>
  <c r="AA40" i="1" s="1"/>
  <c r="AA41" i="1" s="1"/>
  <c r="AA42" i="1" s="1"/>
  <c r="AA43" i="1" s="1"/>
  <c r="AA44" i="1" s="1"/>
  <c r="AA50" i="1" s="1"/>
  <c r="AA51" i="1" s="1"/>
  <c r="AA52" i="1" s="1"/>
  <c r="AA53" i="1" s="1"/>
  <c r="AA54" i="1" s="1"/>
  <c r="AA55" i="1" s="1"/>
  <c r="AA56" i="1" s="1"/>
  <c r="AA57" i="1" s="1"/>
  <c r="AA58" i="1" s="1"/>
  <c r="AA60" i="1" s="1"/>
  <c r="AA61" i="1" s="1"/>
  <c r="AA62" i="1" s="1"/>
  <c r="AA63" i="1" s="1"/>
  <c r="AA64" i="1" s="1"/>
  <c r="AA65" i="1" s="1"/>
  <c r="AA66" i="1" s="1"/>
  <c r="AA67" i="1" s="1"/>
  <c r="AA68" i="1" s="1"/>
  <c r="AA74" i="1" s="1"/>
  <c r="AA75" i="1" s="1"/>
  <c r="AA76" i="1" s="1"/>
  <c r="AA77" i="1" s="1"/>
  <c r="AA78" i="1" s="1"/>
  <c r="AA79" i="1" s="1"/>
  <c r="AA80" i="1" s="1"/>
  <c r="AA81" i="1" s="1"/>
  <c r="AA82" i="1" s="1"/>
  <c r="AA84" i="1" s="1"/>
  <c r="AA85" i="1" s="1"/>
  <c r="AA86" i="1" s="1"/>
  <c r="AA87" i="1" s="1"/>
  <c r="AA88" i="1" s="1"/>
  <c r="AA89" i="1" s="1"/>
  <c r="AA90" i="1" s="1"/>
  <c r="AA91" i="1" s="1"/>
  <c r="AA92" i="1" s="1"/>
  <c r="AJ13" i="1"/>
  <c r="AJ14" i="1" s="1"/>
  <c r="AJ15" i="1" s="1"/>
  <c r="AJ16" i="1" s="1"/>
  <c r="AJ17" i="1" s="1"/>
  <c r="AJ18" i="1" s="1"/>
  <c r="AJ19" i="1" s="1"/>
  <c r="AJ20" i="1" s="1"/>
  <c r="AJ21" i="1" s="1"/>
  <c r="AJ26" i="1" s="1"/>
  <c r="AJ27" i="1" s="1"/>
  <c r="AJ28" i="1" s="1"/>
  <c r="AJ29" i="1" s="1"/>
  <c r="AJ30" i="1" s="1"/>
  <c r="AJ31" i="1" s="1"/>
  <c r="AJ32" i="1" s="1"/>
  <c r="AJ33" i="1" s="1"/>
  <c r="AJ34" i="1" s="1"/>
  <c r="AJ36" i="1" s="1"/>
  <c r="AJ37" i="1" s="1"/>
  <c r="AJ38" i="1" s="1"/>
  <c r="AJ39" i="1" s="1"/>
  <c r="AJ40" i="1" s="1"/>
  <c r="AJ41" i="1" s="1"/>
  <c r="AJ42" i="1" s="1"/>
  <c r="AJ43" i="1" s="1"/>
  <c r="AJ44" i="1" s="1"/>
  <c r="AJ50" i="1" s="1"/>
  <c r="AJ51" i="1" s="1"/>
  <c r="AJ52" i="1" s="1"/>
  <c r="AJ53" i="1" s="1"/>
  <c r="AJ54" i="1" s="1"/>
  <c r="AJ55" i="1" s="1"/>
  <c r="AJ56" i="1" s="1"/>
  <c r="AJ57" i="1" s="1"/>
  <c r="AJ58" i="1" s="1"/>
  <c r="AJ60" i="1" s="1"/>
  <c r="AJ61" i="1" s="1"/>
  <c r="AJ62" i="1" s="1"/>
  <c r="AJ63" i="1" s="1"/>
  <c r="AJ64" i="1" s="1"/>
  <c r="AJ65" i="1" s="1"/>
  <c r="AJ66" i="1" s="1"/>
  <c r="AJ67" i="1" s="1"/>
  <c r="AJ68" i="1" s="1"/>
  <c r="AJ74" i="1" s="1"/>
  <c r="AJ75" i="1" s="1"/>
  <c r="AJ76" i="1" s="1"/>
  <c r="AJ77" i="1" s="1"/>
  <c r="AJ78" i="1" s="1"/>
  <c r="AJ79" i="1" s="1"/>
  <c r="AJ80" i="1" s="1"/>
  <c r="AJ81" i="1" s="1"/>
  <c r="AJ82" i="1" s="1"/>
  <c r="AJ84" i="1" s="1"/>
  <c r="AJ85" i="1" s="1"/>
  <c r="AJ86" i="1" s="1"/>
  <c r="AJ87" i="1" s="1"/>
  <c r="AJ88" i="1" s="1"/>
  <c r="AJ89" i="1" s="1"/>
  <c r="AJ90" i="1" s="1"/>
  <c r="AJ91" i="1" s="1"/>
  <c r="AJ92" i="1" s="1"/>
  <c r="C11" i="8"/>
  <c r="C10" i="8"/>
  <c r="C9" i="8"/>
  <c r="C9" i="5"/>
  <c r="C3" i="4"/>
  <c r="C6" i="4" s="1"/>
  <c r="C11" i="5"/>
  <c r="C10" i="5"/>
  <c r="GR47" i="1"/>
  <c r="H18" i="5" s="1"/>
  <c r="H34" i="5" s="1"/>
  <c r="H18" i="6"/>
  <c r="FE47" i="1"/>
  <c r="G13" i="5" s="1"/>
  <c r="G30" i="5" s="1"/>
  <c r="G13" i="6"/>
  <c r="FJ47" i="1"/>
  <c r="G16" i="5" s="1"/>
  <c r="G32" i="5" s="1"/>
  <c r="G16" i="6"/>
  <c r="E3" i="6"/>
  <c r="E6" i="6" s="1"/>
  <c r="E11" i="5"/>
  <c r="E10" i="5"/>
  <c r="E9" i="5"/>
  <c r="E11" i="8"/>
  <c r="E10" i="8"/>
  <c r="E9" i="8"/>
  <c r="D9" i="8"/>
  <c r="D11" i="5"/>
  <c r="D3" i="6"/>
  <c r="D6" i="6" s="1"/>
  <c r="D10" i="5"/>
  <c r="D11" i="8"/>
  <c r="D10" i="8"/>
  <c r="B11" i="5"/>
  <c r="B11" i="8"/>
  <c r="B10" i="5"/>
  <c r="B10" i="8"/>
  <c r="B3" i="6"/>
  <c r="B6" i="6" s="1"/>
  <c r="B9" i="8"/>
  <c r="B9" i="5"/>
  <c r="F8" i="6"/>
  <c r="H8" i="6"/>
  <c r="I8" i="9"/>
  <c r="H8" i="9"/>
  <c r="I8" i="6"/>
  <c r="G8" i="9"/>
  <c r="F8" i="9"/>
  <c r="I3" i="5"/>
  <c r="I24" i="5" s="1"/>
  <c r="GE71" i="1"/>
  <c r="H3" i="5"/>
  <c r="H24" i="5" s="1"/>
  <c r="FA71" i="1"/>
  <c r="G3" i="5"/>
  <c r="G24" i="5" s="1"/>
  <c r="GC47" i="1"/>
  <c r="G6" i="5" s="1"/>
  <c r="G26" i="5" s="1"/>
  <c r="G7" i="4"/>
  <c r="G8" i="4" s="1"/>
  <c r="DH70" i="1"/>
  <c r="E19" i="7" s="1"/>
  <c r="HB47" i="1"/>
  <c r="H23" i="5" s="1"/>
  <c r="H39" i="5" s="1"/>
  <c r="IK47" i="1"/>
  <c r="IK71" i="1" s="1"/>
  <c r="H42" i="5"/>
  <c r="F42" i="5"/>
  <c r="FT47" i="1"/>
  <c r="EY47" i="1"/>
  <c r="F41" i="5"/>
  <c r="FG94" i="1"/>
  <c r="G14" i="9" s="1"/>
  <c r="EF47" i="1"/>
  <c r="I41" i="5"/>
  <c r="H41" i="5"/>
  <c r="CB70" i="1"/>
  <c r="D18" i="7" s="1"/>
  <c r="BM23" i="1"/>
  <c r="C7" i="4" s="1"/>
  <c r="C8" i="4" s="1"/>
  <c r="I40" i="3"/>
  <c r="GP47" i="1"/>
  <c r="AB47" i="1"/>
  <c r="DD23" i="1"/>
  <c r="E17" i="4" s="1"/>
  <c r="G41" i="3"/>
  <c r="I42" i="3"/>
  <c r="AX70" i="1"/>
  <c r="C18" i="7" s="1"/>
  <c r="F42" i="3"/>
  <c r="G42" i="3"/>
  <c r="H42" i="3"/>
  <c r="H40" i="3"/>
  <c r="H41" i="3"/>
  <c r="F41" i="3"/>
  <c r="HM47" i="1"/>
  <c r="HM71" i="1" s="1"/>
  <c r="HG47" i="1"/>
  <c r="JW23" i="1"/>
  <c r="EN47" i="1"/>
  <c r="HO23" i="1"/>
  <c r="I14" i="4" s="1"/>
  <c r="EA47" i="1"/>
  <c r="F13" i="5" s="1"/>
  <c r="F30" i="5" s="1"/>
  <c r="FP47" i="1"/>
  <c r="GI47" i="1"/>
  <c r="HV47" i="1"/>
  <c r="HV71" i="1" s="1"/>
  <c r="I42" i="5"/>
  <c r="FL47" i="1"/>
  <c r="GK94" i="1"/>
  <c r="H14" i="9" s="1"/>
  <c r="G40" i="3"/>
  <c r="EH47" i="1"/>
  <c r="G41" i="5"/>
  <c r="GN47" i="1"/>
  <c r="GX47" i="1"/>
  <c r="EP47" i="1"/>
  <c r="GT47" i="1"/>
  <c r="F40" i="3"/>
  <c r="HX47" i="1"/>
  <c r="HX71" i="1" s="1"/>
  <c r="FR47" i="1"/>
  <c r="GK46" i="1"/>
  <c r="FX47" i="1"/>
  <c r="CD94" i="1"/>
  <c r="D19" i="9" s="1"/>
  <c r="EJ47" i="1"/>
  <c r="I41" i="3"/>
  <c r="IF47" i="1"/>
  <c r="IF71" i="1" s="1"/>
  <c r="CF23" i="1"/>
  <c r="D20" i="4" s="1"/>
  <c r="HR47" i="1"/>
  <c r="HR71" i="1" s="1"/>
  <c r="DH46" i="1"/>
  <c r="E19" i="6" s="1"/>
  <c r="BZ70" i="1"/>
  <c r="D17" i="7" s="1"/>
  <c r="FG46" i="1"/>
  <c r="G14" i="6" s="1"/>
  <c r="ET47" i="1"/>
  <c r="CB23" i="1"/>
  <c r="D18" i="4" s="1"/>
  <c r="DH94" i="1"/>
  <c r="E19" i="9" s="1"/>
  <c r="DD70" i="1"/>
  <c r="E17" i="7" s="1"/>
  <c r="FG23" i="1"/>
  <c r="G14" i="4" s="1"/>
  <c r="JW70" i="1"/>
  <c r="DF94" i="1"/>
  <c r="E18" i="9" s="1"/>
  <c r="GK70" i="1"/>
  <c r="H14" i="7" s="1"/>
  <c r="IS94" i="1"/>
  <c r="DD94" i="1"/>
  <c r="E17" i="9" s="1"/>
  <c r="BZ94" i="1"/>
  <c r="D17" i="9" s="1"/>
  <c r="AX94" i="1"/>
  <c r="C18" i="9" s="1"/>
  <c r="FN47" i="1"/>
  <c r="IB47" i="1"/>
  <c r="IB71" i="1" s="1"/>
  <c r="HO46" i="1"/>
  <c r="I14" i="6" s="1"/>
  <c r="JW46" i="1"/>
  <c r="GV47" i="1"/>
  <c r="CD23" i="1"/>
  <c r="D19" i="4" s="1"/>
  <c r="BZ23" i="1"/>
  <c r="D17" i="4" s="1"/>
  <c r="FG70" i="1"/>
  <c r="G14" i="7" s="1"/>
  <c r="EL47" i="1"/>
  <c r="EC70" i="1"/>
  <c r="F14" i="7" s="1"/>
  <c r="EC94" i="1"/>
  <c r="F14" i="9" s="1"/>
  <c r="EC47" i="1"/>
  <c r="F14" i="5" s="1"/>
  <c r="F31" i="5" s="1"/>
  <c r="E9" i="3"/>
  <c r="E11" i="3"/>
  <c r="E10" i="3"/>
  <c r="CD70" i="1"/>
  <c r="D19" i="7" s="1"/>
  <c r="D9" i="3"/>
  <c r="D11" i="3"/>
  <c r="D10" i="3"/>
  <c r="AV94" i="1"/>
  <c r="C17" i="9" s="1"/>
  <c r="AZ94" i="1"/>
  <c r="C19" i="9" s="1"/>
  <c r="C10" i="3"/>
  <c r="C9" i="3"/>
  <c r="C11" i="3"/>
  <c r="B11" i="3"/>
  <c r="B9" i="3"/>
  <c r="B10" i="3"/>
  <c r="AV70" i="1"/>
  <c r="C17" i="7" s="1"/>
  <c r="V70" i="1"/>
  <c r="B19" i="7" s="1"/>
  <c r="DF46" i="1"/>
  <c r="E18" i="6" s="1"/>
  <c r="AV46" i="1"/>
  <c r="C17" i="6" s="1"/>
  <c r="CB46" i="1"/>
  <c r="D18" i="6" s="1"/>
  <c r="BZ46" i="1"/>
  <c r="D17" i="6" s="1"/>
  <c r="DD46" i="1"/>
  <c r="AX46" i="1"/>
  <c r="C18" i="6" s="1"/>
  <c r="AZ46" i="1"/>
  <c r="C19" i="6" s="1"/>
  <c r="CD46" i="1"/>
  <c r="D19" i="6" s="1"/>
  <c r="CB94" i="1"/>
  <c r="D18" i="9" s="1"/>
  <c r="T23" i="1"/>
  <c r="B18" i="4" s="1"/>
  <c r="DH23" i="1"/>
  <c r="E19" i="4" s="1"/>
  <c r="AZ23" i="1"/>
  <c r="C19" i="4" s="1"/>
  <c r="DF23" i="1"/>
  <c r="E18" i="4" s="1"/>
  <c r="AX23" i="1"/>
  <c r="C18" i="4" s="1"/>
  <c r="R23" i="1"/>
  <c r="B17" i="4" s="1"/>
  <c r="AZ70" i="1"/>
  <c r="C19" i="7" s="1"/>
  <c r="AV23" i="1"/>
  <c r="V23" i="1"/>
  <c r="B19" i="4" s="1"/>
  <c r="V46" i="1"/>
  <c r="B19" i="6" s="1"/>
  <c r="T70" i="1"/>
  <c r="B18" i="7" s="1"/>
  <c r="T94" i="1"/>
  <c r="B18" i="9" s="1"/>
  <c r="V94" i="1"/>
  <c r="B19" i="9" s="1"/>
  <c r="R46" i="1"/>
  <c r="B17" i="6" s="1"/>
  <c r="AM47" i="1"/>
  <c r="R70" i="1"/>
  <c r="B17" i="7" s="1"/>
  <c r="D40" i="3"/>
  <c r="T46" i="1"/>
  <c r="B18" i="6" s="1"/>
  <c r="DJ46" i="1"/>
  <c r="E20" i="6" s="1"/>
  <c r="R94" i="1"/>
  <c r="B17" i="9" s="1"/>
  <c r="K94" i="1"/>
  <c r="B13" i="9" s="1"/>
  <c r="AO23" i="1"/>
  <c r="C13" i="4" s="1"/>
  <c r="AI23" i="1"/>
  <c r="B7" i="4" s="1"/>
  <c r="BB70" i="1"/>
  <c r="C20" i="7" s="1"/>
  <c r="CF94" i="1"/>
  <c r="D20" i="9" s="1"/>
  <c r="BB23" i="1"/>
  <c r="C20" i="4" s="1"/>
  <c r="G47" i="1"/>
  <c r="CU47" i="1"/>
  <c r="BB46" i="1"/>
  <c r="C20" i="6" s="1"/>
  <c r="E47" i="1"/>
  <c r="BQ47" i="1"/>
  <c r="X23" i="1"/>
  <c r="B20" i="4" s="1"/>
  <c r="CF70" i="1"/>
  <c r="D20" i="7" s="1"/>
  <c r="CF46" i="1"/>
  <c r="D20" i="6" s="1"/>
  <c r="AK47" i="1"/>
  <c r="B40" i="5"/>
  <c r="DJ94" i="1"/>
  <c r="E20" i="9" s="1"/>
  <c r="X70" i="1"/>
  <c r="B20" i="7" s="1"/>
  <c r="CQ46" i="1"/>
  <c r="D7" i="6" s="1"/>
  <c r="BB94" i="1"/>
  <c r="C20" i="9" s="1"/>
  <c r="DJ70" i="1"/>
  <c r="E20" i="7" s="1"/>
  <c r="DU94" i="1"/>
  <c r="E7" i="9" s="1"/>
  <c r="B40" i="3"/>
  <c r="AQ22" i="1"/>
  <c r="DB23" i="1"/>
  <c r="E16" i="4" s="1"/>
  <c r="CS47" i="1"/>
  <c r="DL23" i="1"/>
  <c r="E21" i="4" s="1"/>
  <c r="X46" i="1"/>
  <c r="B20" i="6" s="1"/>
  <c r="CY93" i="1"/>
  <c r="C42" i="5"/>
  <c r="X94" i="1"/>
  <c r="B20" i="9" s="1"/>
  <c r="CL46" i="1"/>
  <c r="D23" i="6" s="1"/>
  <c r="DU46" i="1"/>
  <c r="E7" i="6" s="1"/>
  <c r="I47" i="1"/>
  <c r="DJ23" i="1"/>
  <c r="E20" i="4" s="1"/>
  <c r="BX23" i="1"/>
  <c r="D16" i="4" s="1"/>
  <c r="DP46" i="1"/>
  <c r="E23" i="6" s="1"/>
  <c r="M35" i="1"/>
  <c r="AI70" i="1"/>
  <c r="B7" i="7" s="1"/>
  <c r="C40" i="3"/>
  <c r="BH46" i="1"/>
  <c r="C23" i="6" s="1"/>
  <c r="BS23" i="1"/>
  <c r="D13" i="4" s="1"/>
  <c r="AT70" i="1"/>
  <c r="C16" i="7" s="1"/>
  <c r="BM46" i="1"/>
  <c r="CH70" i="1"/>
  <c r="D21" i="7" s="1"/>
  <c r="BD46" i="1"/>
  <c r="C21" i="6" s="1"/>
  <c r="BO47" i="1"/>
  <c r="D40" i="5"/>
  <c r="Z70" i="1"/>
  <c r="B21" i="7" s="1"/>
  <c r="BM70" i="1"/>
  <c r="C7" i="7" s="1"/>
  <c r="C8" i="7" s="1"/>
  <c r="BS46" i="1"/>
  <c r="BH70" i="1"/>
  <c r="C23" i="7" s="1"/>
  <c r="CQ94" i="1"/>
  <c r="D7" i="9" s="1"/>
  <c r="DU70" i="1"/>
  <c r="E7" i="7" s="1"/>
  <c r="E8" i="7" s="1"/>
  <c r="DB94" i="1"/>
  <c r="E16" i="9" s="1"/>
  <c r="CY69" i="1"/>
  <c r="CL23" i="1"/>
  <c r="D23" i="4" s="1"/>
  <c r="C40" i="5"/>
  <c r="BD94" i="1"/>
  <c r="C21" i="9" s="1"/>
  <c r="DP70" i="1"/>
  <c r="E23" i="7" s="1"/>
  <c r="M93" i="1"/>
  <c r="CH23" i="1"/>
  <c r="D21" i="4" s="1"/>
  <c r="Z46" i="1"/>
  <c r="B21" i="6" s="1"/>
  <c r="AD23" i="1"/>
  <c r="B23" i="4" s="1"/>
  <c r="DP23" i="1"/>
  <c r="E23" i="4" s="1"/>
  <c r="AD94" i="1"/>
  <c r="B23" i="9" s="1"/>
  <c r="BH94" i="1"/>
  <c r="C23" i="9" s="1"/>
  <c r="AT23" i="1"/>
  <c r="C16" i="4" s="1"/>
  <c r="M69" i="1"/>
  <c r="AO46" i="1"/>
  <c r="AD46" i="1"/>
  <c r="B23" i="6" s="1"/>
  <c r="B42" i="3"/>
  <c r="E42" i="3"/>
  <c r="BS94" i="1"/>
  <c r="AQ69" i="1"/>
  <c r="DL46" i="1"/>
  <c r="E21" i="6" s="1"/>
  <c r="CW46" i="1"/>
  <c r="CV5" i="1"/>
  <c r="BU35" i="1"/>
  <c r="BD70" i="1"/>
  <c r="C21" i="7" s="1"/>
  <c r="CH46" i="1"/>
  <c r="D21" i="6" s="1"/>
  <c r="P70" i="1"/>
  <c r="B16" i="7" s="1"/>
  <c r="BS70" i="1"/>
  <c r="CQ23" i="1"/>
  <c r="D7" i="4" s="1"/>
  <c r="D8" i="4" s="1"/>
  <c r="AR6" i="1"/>
  <c r="AR7" i="1" s="1"/>
  <c r="AR8" i="1" s="1"/>
  <c r="AR9" i="1" s="1"/>
  <c r="AR10" i="1" s="1"/>
  <c r="AR11" i="1" s="1"/>
  <c r="AR13" i="1" s="1"/>
  <c r="AR14" i="1" s="1"/>
  <c r="AR15" i="1" s="1"/>
  <c r="AR16" i="1" s="1"/>
  <c r="AR17" i="1" s="1"/>
  <c r="AR18" i="1" s="1"/>
  <c r="AR19" i="1" s="1"/>
  <c r="AR20" i="1" s="1"/>
  <c r="AR21" i="1" s="1"/>
  <c r="AR26" i="1" s="1"/>
  <c r="AR27" i="1" s="1"/>
  <c r="AR28" i="1" s="1"/>
  <c r="AR29" i="1" s="1"/>
  <c r="AR30" i="1" s="1"/>
  <c r="AR31" i="1" s="1"/>
  <c r="AR32" i="1" s="1"/>
  <c r="AR33" i="1" s="1"/>
  <c r="AR34" i="1" s="1"/>
  <c r="AR36" i="1" s="1"/>
  <c r="AR37" i="1" s="1"/>
  <c r="AR38" i="1" s="1"/>
  <c r="AR39" i="1" s="1"/>
  <c r="AR40" i="1" s="1"/>
  <c r="AR41" i="1" s="1"/>
  <c r="AR42" i="1" s="1"/>
  <c r="AR43" i="1" s="1"/>
  <c r="AR44" i="1" s="1"/>
  <c r="AR50" i="1" s="1"/>
  <c r="AR51" i="1" s="1"/>
  <c r="AR52" i="1" s="1"/>
  <c r="AR53" i="1" s="1"/>
  <c r="AR54" i="1" s="1"/>
  <c r="AR55" i="1" s="1"/>
  <c r="AR56" i="1" s="1"/>
  <c r="AR57" i="1" s="1"/>
  <c r="AR58" i="1" s="1"/>
  <c r="AR60" i="1" s="1"/>
  <c r="AR61" i="1" s="1"/>
  <c r="AR62" i="1" s="1"/>
  <c r="AR63" i="1" s="1"/>
  <c r="AR64" i="1" s="1"/>
  <c r="AR65" i="1" s="1"/>
  <c r="AR66" i="1" s="1"/>
  <c r="AR67" i="1" s="1"/>
  <c r="AR68" i="1" s="1"/>
  <c r="AR74" i="1" s="1"/>
  <c r="AR75" i="1" s="1"/>
  <c r="AR76" i="1" s="1"/>
  <c r="AR77" i="1" s="1"/>
  <c r="AR78" i="1" s="1"/>
  <c r="AR79" i="1" s="1"/>
  <c r="AR80" i="1" s="1"/>
  <c r="AR81" i="1" s="1"/>
  <c r="AR82" i="1" s="1"/>
  <c r="AR84" i="1" s="1"/>
  <c r="AR85" i="1" s="1"/>
  <c r="AR86" i="1" s="1"/>
  <c r="AR87" i="1" s="1"/>
  <c r="AR88" i="1" s="1"/>
  <c r="AR89" i="1" s="1"/>
  <c r="AR90" i="1" s="1"/>
  <c r="AR91" i="1" s="1"/>
  <c r="AR92" i="1" s="1"/>
  <c r="DU23" i="1"/>
  <c r="E7" i="4" s="1"/>
  <c r="E8" i="4" s="1"/>
  <c r="CW70" i="1"/>
  <c r="AI94" i="1"/>
  <c r="B7" i="9" s="1"/>
  <c r="AO94" i="1"/>
  <c r="CH94" i="1"/>
  <c r="D21" i="9" s="1"/>
  <c r="AI46" i="1"/>
  <c r="B7" i="6" s="1"/>
  <c r="P23" i="1"/>
  <c r="B16" i="4" s="1"/>
  <c r="CW23" i="1"/>
  <c r="M59" i="1"/>
  <c r="BU83" i="1"/>
  <c r="CY59" i="1"/>
  <c r="BU22" i="1"/>
  <c r="CY83" i="1"/>
  <c r="P94" i="1"/>
  <c r="B16" i="9" s="1"/>
  <c r="BM94" i="1"/>
  <c r="C7" i="9" s="1"/>
  <c r="CY22" i="1"/>
  <c r="AT94" i="1"/>
  <c r="C16" i="9" s="1"/>
  <c r="DL94" i="1"/>
  <c r="E21" i="9" s="1"/>
  <c r="CY45" i="1"/>
  <c r="CW94" i="1"/>
  <c r="BU93" i="1"/>
  <c r="AQ35" i="1"/>
  <c r="AQ46" i="1" s="1"/>
  <c r="C14" i="6" s="1"/>
  <c r="K46" i="1"/>
  <c r="BR6" i="1"/>
  <c r="AQ12" i="1"/>
  <c r="AQ93" i="1"/>
  <c r="AQ94" i="1" s="1"/>
  <c r="C14" i="9" s="1"/>
  <c r="M83" i="1"/>
  <c r="DP94" i="1"/>
  <c r="E23" i="9" s="1"/>
  <c r="AD70" i="1"/>
  <c r="B23" i="7" s="1"/>
  <c r="BX94" i="1"/>
  <c r="D16" i="9" s="1"/>
  <c r="DL70" i="1"/>
  <c r="E21" i="7" s="1"/>
  <c r="M45" i="1"/>
  <c r="DB46" i="1"/>
  <c r="E16" i="6" s="1"/>
  <c r="CY35" i="1"/>
  <c r="BU69" i="1"/>
  <c r="CQ70" i="1"/>
  <c r="D7" i="7" s="1"/>
  <c r="D8" i="7" s="1"/>
  <c r="M22" i="1"/>
  <c r="N5" i="1"/>
  <c r="N6" i="1" s="1"/>
  <c r="N7" i="1" s="1"/>
  <c r="N8" i="1" s="1"/>
  <c r="N9" i="1" s="1"/>
  <c r="N10" i="1" s="1"/>
  <c r="N11" i="1" s="1"/>
  <c r="Z94" i="1"/>
  <c r="B21" i="9" s="1"/>
  <c r="BX70" i="1"/>
  <c r="D16" i="7" s="1"/>
  <c r="J5" i="1"/>
  <c r="BV3" i="1"/>
  <c r="BV4" i="1" s="1"/>
  <c r="BV5" i="1" s="1"/>
  <c r="BV6" i="1" s="1"/>
  <c r="BV7" i="1" s="1"/>
  <c r="BV8" i="1" s="1"/>
  <c r="BV9" i="1" s="1"/>
  <c r="BV10" i="1" s="1"/>
  <c r="BV11" i="1" s="1"/>
  <c r="BV13" i="1" s="1"/>
  <c r="BV14" i="1" s="1"/>
  <c r="BV15" i="1" s="1"/>
  <c r="BV16" i="1" s="1"/>
  <c r="BV17" i="1" s="1"/>
  <c r="BV18" i="1" s="1"/>
  <c r="BV19" i="1" s="1"/>
  <c r="BV20" i="1" s="1"/>
  <c r="BV21" i="1" s="1"/>
  <c r="BV26" i="1" s="1"/>
  <c r="BV27" i="1" s="1"/>
  <c r="BV28" i="1" s="1"/>
  <c r="BV29" i="1" s="1"/>
  <c r="BV30" i="1" s="1"/>
  <c r="BV31" i="1" s="1"/>
  <c r="BV32" i="1" s="1"/>
  <c r="BV33" i="1" s="1"/>
  <c r="BV34" i="1" s="1"/>
  <c r="BV36" i="1" s="1"/>
  <c r="BV37" i="1" s="1"/>
  <c r="BV38" i="1" s="1"/>
  <c r="BV39" i="1" s="1"/>
  <c r="BV40" i="1" s="1"/>
  <c r="BV41" i="1" s="1"/>
  <c r="BV42" i="1" s="1"/>
  <c r="BV43" i="1" s="1"/>
  <c r="BV44" i="1" s="1"/>
  <c r="BV50" i="1" s="1"/>
  <c r="BV51" i="1" s="1"/>
  <c r="BV52" i="1" s="1"/>
  <c r="BV53" i="1" s="1"/>
  <c r="BV54" i="1" s="1"/>
  <c r="BV55" i="1" s="1"/>
  <c r="BV56" i="1" s="1"/>
  <c r="BV57" i="1" s="1"/>
  <c r="BV58" i="1" s="1"/>
  <c r="BV60" i="1" s="1"/>
  <c r="BV61" i="1" s="1"/>
  <c r="BV62" i="1" s="1"/>
  <c r="BV63" i="1" s="1"/>
  <c r="BV64" i="1" s="1"/>
  <c r="BV65" i="1" s="1"/>
  <c r="BV66" i="1" s="1"/>
  <c r="BV67" i="1" s="1"/>
  <c r="BV68" i="1" s="1"/>
  <c r="BV74" i="1" s="1"/>
  <c r="BV75" i="1" s="1"/>
  <c r="BV76" i="1" s="1"/>
  <c r="BV77" i="1" s="1"/>
  <c r="BV78" i="1" s="1"/>
  <c r="BV79" i="1" s="1"/>
  <c r="BV80" i="1" s="1"/>
  <c r="BV81" i="1" s="1"/>
  <c r="BV82" i="1" s="1"/>
  <c r="BV84" i="1" s="1"/>
  <c r="BV85" i="1" s="1"/>
  <c r="BV86" i="1" s="1"/>
  <c r="BV87" i="1" s="1"/>
  <c r="BV88" i="1" s="1"/>
  <c r="BV89" i="1" s="1"/>
  <c r="BV90" i="1" s="1"/>
  <c r="BV91" i="1" s="1"/>
  <c r="BV92" i="1" s="1"/>
  <c r="BU12" i="1"/>
  <c r="DB70" i="1"/>
  <c r="E16" i="7" s="1"/>
  <c r="F5" i="1"/>
  <c r="P46" i="1"/>
  <c r="B16" i="6" s="1"/>
  <c r="CZ4" i="1"/>
  <c r="CZ5" i="1" s="1"/>
  <c r="CZ6" i="1" s="1"/>
  <c r="CZ7" i="1" s="1"/>
  <c r="CZ8" i="1" s="1"/>
  <c r="CZ9" i="1" s="1"/>
  <c r="CZ10" i="1" s="1"/>
  <c r="CZ11" i="1" s="1"/>
  <c r="CZ13" i="1" s="1"/>
  <c r="CZ14" i="1" s="1"/>
  <c r="CZ15" i="1" s="1"/>
  <c r="CZ16" i="1" s="1"/>
  <c r="CZ17" i="1" s="1"/>
  <c r="CZ18" i="1" s="1"/>
  <c r="CZ19" i="1" s="1"/>
  <c r="CZ20" i="1" s="1"/>
  <c r="CZ21" i="1" s="1"/>
  <c r="CZ26" i="1" s="1"/>
  <c r="CZ27" i="1" s="1"/>
  <c r="CZ28" i="1" s="1"/>
  <c r="CZ29" i="1" s="1"/>
  <c r="CZ30" i="1" s="1"/>
  <c r="CZ31" i="1" s="1"/>
  <c r="CZ32" i="1" s="1"/>
  <c r="CZ33" i="1" s="1"/>
  <c r="CZ34" i="1" s="1"/>
  <c r="CZ36" i="1" s="1"/>
  <c r="CZ37" i="1" s="1"/>
  <c r="CZ38" i="1" s="1"/>
  <c r="CZ39" i="1" s="1"/>
  <c r="CZ40" i="1" s="1"/>
  <c r="CZ41" i="1" s="1"/>
  <c r="CZ42" i="1" s="1"/>
  <c r="CZ43" i="1" s="1"/>
  <c r="CZ44" i="1" s="1"/>
  <c r="CZ50" i="1" s="1"/>
  <c r="CZ51" i="1" s="1"/>
  <c r="CZ52" i="1" s="1"/>
  <c r="CZ53" i="1" s="1"/>
  <c r="CZ54" i="1" s="1"/>
  <c r="CZ55" i="1" s="1"/>
  <c r="CZ56" i="1" s="1"/>
  <c r="CZ57" i="1" s="1"/>
  <c r="CZ58" i="1" s="1"/>
  <c r="CZ60" i="1" s="1"/>
  <c r="CZ61" i="1" s="1"/>
  <c r="CZ62" i="1" s="1"/>
  <c r="CZ63" i="1" s="1"/>
  <c r="CZ64" i="1" s="1"/>
  <c r="CZ65" i="1" s="1"/>
  <c r="CZ66" i="1" s="1"/>
  <c r="CZ67" i="1" s="1"/>
  <c r="CZ68" i="1" s="1"/>
  <c r="CZ74" i="1" s="1"/>
  <c r="CZ75" i="1" s="1"/>
  <c r="CZ76" i="1" s="1"/>
  <c r="CZ77" i="1" s="1"/>
  <c r="CZ78" i="1" s="1"/>
  <c r="CZ79" i="1" s="1"/>
  <c r="CZ80" i="1" s="1"/>
  <c r="CZ81" i="1" s="1"/>
  <c r="CZ82" i="1" s="1"/>
  <c r="CZ84" i="1" s="1"/>
  <c r="CZ85" i="1" s="1"/>
  <c r="CZ86" i="1" s="1"/>
  <c r="CZ87" i="1" s="1"/>
  <c r="CZ88" i="1" s="1"/>
  <c r="CZ89" i="1" s="1"/>
  <c r="CZ90" i="1" s="1"/>
  <c r="CZ91" i="1" s="1"/>
  <c r="CZ92" i="1" s="1"/>
  <c r="Z23" i="1"/>
  <c r="B21" i="4" s="1"/>
  <c r="CL94" i="1"/>
  <c r="D23" i="9" s="1"/>
  <c r="CL70" i="1"/>
  <c r="D23" i="7" s="1"/>
  <c r="AO70" i="1"/>
  <c r="AT46" i="1"/>
  <c r="C16" i="6" s="1"/>
  <c r="BU45" i="1"/>
  <c r="BX46" i="1"/>
  <c r="D16" i="6" s="1"/>
  <c r="BD23" i="1"/>
  <c r="C21" i="4" s="1"/>
  <c r="BH23" i="1"/>
  <c r="C23" i="4" s="1"/>
  <c r="CY12" i="1"/>
  <c r="K23" i="1"/>
  <c r="B13" i="4" s="1"/>
  <c r="K70" i="1"/>
  <c r="AQ59" i="1"/>
  <c r="AN5" i="1"/>
  <c r="BU59" i="1"/>
  <c r="M12" i="1"/>
  <c r="D69" i="3" l="1"/>
  <c r="F69" i="3"/>
  <c r="C69" i="8"/>
  <c r="E69" i="5"/>
  <c r="D69" i="8"/>
  <c r="C69" i="3"/>
  <c r="D69" i="5"/>
  <c r="G69" i="3"/>
  <c r="F69" i="8"/>
  <c r="H69" i="5"/>
  <c r="J69" i="5"/>
  <c r="I69" i="8"/>
  <c r="I69" i="3"/>
  <c r="G69" i="8"/>
  <c r="G69" i="5"/>
  <c r="E69" i="3"/>
  <c r="I69" i="5"/>
  <c r="J69" i="3"/>
  <c r="J69" i="8"/>
  <c r="C69" i="5"/>
  <c r="E69" i="8"/>
  <c r="JS96" i="1"/>
  <c r="J4" i="8"/>
  <c r="J24" i="8"/>
  <c r="DW95" i="1"/>
  <c r="F3" i="3" s="1"/>
  <c r="F24" i="3" s="1"/>
  <c r="E13" i="9"/>
  <c r="DA94" i="1"/>
  <c r="E15" i="9" s="1"/>
  <c r="D13" i="9"/>
  <c r="BW94" i="1"/>
  <c r="D15" i="9" s="1"/>
  <c r="C13" i="9"/>
  <c r="AS94" i="1"/>
  <c r="C15" i="9" s="1"/>
  <c r="E13" i="7"/>
  <c r="DA70" i="1"/>
  <c r="E15" i="7" s="1"/>
  <c r="D13" i="7"/>
  <c r="BW70" i="1"/>
  <c r="D15" i="7" s="1"/>
  <c r="C13" i="7"/>
  <c r="AS70" i="1"/>
  <c r="C15" i="7" s="1"/>
  <c r="E13" i="6"/>
  <c r="DA46" i="1"/>
  <c r="E15" i="6" s="1"/>
  <c r="D13" i="6"/>
  <c r="BW46" i="1"/>
  <c r="D15" i="6" s="1"/>
  <c r="C13" i="6"/>
  <c r="AS46" i="1"/>
  <c r="C15" i="6" s="1"/>
  <c r="KH71" i="1"/>
  <c r="KH95" i="1" s="1"/>
  <c r="KH97" i="1" s="1"/>
  <c r="KN71" i="1"/>
  <c r="KN95" i="1" s="1"/>
  <c r="KL71" i="1"/>
  <c r="KL95" i="1" s="1"/>
  <c r="KL97" i="1" s="1"/>
  <c r="KS71" i="1"/>
  <c r="KS95" i="1" s="1"/>
  <c r="KD71" i="1"/>
  <c r="KD95" i="1" s="1"/>
  <c r="KD97" i="1" s="1"/>
  <c r="KB71" i="1"/>
  <c r="KB95" i="1" s="1"/>
  <c r="KB97" i="1" s="1"/>
  <c r="JZ71" i="1"/>
  <c r="JZ95" i="1" s="1"/>
  <c r="JZ97" i="1" s="1"/>
  <c r="KF71" i="1"/>
  <c r="KF95" i="1" s="1"/>
  <c r="KF97" i="1" s="1"/>
  <c r="JY47" i="1"/>
  <c r="IZ71" i="1"/>
  <c r="J18" i="5"/>
  <c r="J34" i="5" s="1"/>
  <c r="JB71" i="1"/>
  <c r="J19" i="5"/>
  <c r="J35" i="5" s="1"/>
  <c r="JO71" i="1"/>
  <c r="J6" i="5"/>
  <c r="IX71" i="1"/>
  <c r="J17" i="5"/>
  <c r="J33" i="5" s="1"/>
  <c r="IU47" i="1"/>
  <c r="J15" i="4"/>
  <c r="IV71" i="1"/>
  <c r="J16" i="5"/>
  <c r="J32" i="5" s="1"/>
  <c r="F15" i="4"/>
  <c r="EE47" i="1"/>
  <c r="E13" i="4"/>
  <c r="DA23" i="1"/>
  <c r="HQ47" i="1"/>
  <c r="I15" i="4"/>
  <c r="GM47" i="1"/>
  <c r="H15" i="4"/>
  <c r="FI47" i="1"/>
  <c r="G15" i="4"/>
  <c r="BW23" i="1"/>
  <c r="AS23" i="1"/>
  <c r="B8" i="4"/>
  <c r="H22" i="5"/>
  <c r="H38" i="5" s="1"/>
  <c r="I20" i="5"/>
  <c r="I36" i="5" s="1"/>
  <c r="HZ71" i="1"/>
  <c r="I20" i="8" s="1"/>
  <c r="I36" i="8" s="1"/>
  <c r="I22" i="5"/>
  <c r="I38" i="5" s="1"/>
  <c r="ID71" i="1"/>
  <c r="ID95" i="1" s="1"/>
  <c r="JW47" i="1"/>
  <c r="HT71" i="1"/>
  <c r="I17" i="8" s="1"/>
  <c r="I33" i="8" s="1"/>
  <c r="KN97" i="1"/>
  <c r="JU97" i="1"/>
  <c r="KJ97" i="1"/>
  <c r="HB71" i="1"/>
  <c r="H23" i="8" s="1"/>
  <c r="H39" i="8" s="1"/>
  <c r="O94" i="1"/>
  <c r="B15" i="9" s="1"/>
  <c r="O23" i="1"/>
  <c r="B15" i="4" s="1"/>
  <c r="B13" i="7"/>
  <c r="O70" i="1"/>
  <c r="B15" i="7" s="1"/>
  <c r="B13" i="6"/>
  <c r="O46" i="1"/>
  <c r="B15" i="6" s="1"/>
  <c r="G7" i="5"/>
  <c r="G4" i="5"/>
  <c r="HV95" i="1"/>
  <c r="I18" i="8"/>
  <c r="I34" i="8" s="1"/>
  <c r="FV71" i="1"/>
  <c r="FV95" i="1" s="1"/>
  <c r="I17" i="5"/>
  <c r="I33" i="5" s="1"/>
  <c r="H4" i="5"/>
  <c r="E71" i="1"/>
  <c r="E95" i="1" s="1"/>
  <c r="IM96" i="1" s="1"/>
  <c r="IM97" i="1" s="1"/>
  <c r="F4" i="5"/>
  <c r="I4" i="5"/>
  <c r="JK54" i="1"/>
  <c r="ER71" i="1"/>
  <c r="F22" i="8" s="1"/>
  <c r="F38" i="8" s="1"/>
  <c r="DY95" i="1"/>
  <c r="F12" i="3" s="1"/>
  <c r="DN71" i="1"/>
  <c r="E22" i="8" s="1"/>
  <c r="E38" i="8" s="1"/>
  <c r="JG54" i="1"/>
  <c r="I21" i="5"/>
  <c r="I37" i="5" s="1"/>
  <c r="I12" i="3"/>
  <c r="HK96" i="1"/>
  <c r="HK97" i="1"/>
  <c r="I28" i="3" s="1"/>
  <c r="I23" i="5"/>
  <c r="I39" i="5" s="1"/>
  <c r="GG95" i="1"/>
  <c r="H12" i="8"/>
  <c r="H28" i="8" s="1"/>
  <c r="GV71" i="1"/>
  <c r="H20" i="5"/>
  <c r="H36" i="5" s="1"/>
  <c r="GX71" i="1"/>
  <c r="H21" i="5"/>
  <c r="H37" i="5" s="1"/>
  <c r="H22" i="8"/>
  <c r="H38" i="8" s="1"/>
  <c r="GZ95" i="1"/>
  <c r="CJ71" i="1"/>
  <c r="D22" i="8" s="1"/>
  <c r="D38" i="8" s="1"/>
  <c r="JE54" i="1"/>
  <c r="JH55" i="1"/>
  <c r="IQ55" i="1"/>
  <c r="IS55" i="1" s="1"/>
  <c r="JJ55" i="1"/>
  <c r="JF55" i="1"/>
  <c r="JD55" i="1"/>
  <c r="IT54" i="1"/>
  <c r="IR54" i="1"/>
  <c r="IP56" i="1"/>
  <c r="FJ71" i="1"/>
  <c r="FJ95" i="1" s="1"/>
  <c r="G16" i="3" s="1"/>
  <c r="FE71" i="1"/>
  <c r="FE95" i="1" s="1"/>
  <c r="FE97" i="1" s="1"/>
  <c r="FT71" i="1"/>
  <c r="G21" i="5"/>
  <c r="G37" i="5" s="1"/>
  <c r="FX71" i="1"/>
  <c r="G23" i="5"/>
  <c r="G39" i="5" s="1"/>
  <c r="FC95" i="1"/>
  <c r="G12" i="8"/>
  <c r="G28" i="8" s="1"/>
  <c r="FR71" i="1"/>
  <c r="G20" i="5"/>
  <c r="G36" i="5" s="1"/>
  <c r="EP71" i="1"/>
  <c r="F21" i="5"/>
  <c r="F37" i="5" s="1"/>
  <c r="EN71" i="1"/>
  <c r="F20" i="5"/>
  <c r="F36" i="5" s="1"/>
  <c r="ET71" i="1"/>
  <c r="F23" i="5"/>
  <c r="F39" i="5" s="1"/>
  <c r="BQ71" i="1"/>
  <c r="D12" i="5"/>
  <c r="D28" i="5" s="1"/>
  <c r="BF71" i="1"/>
  <c r="BF95" i="1" s="1"/>
  <c r="N13" i="1"/>
  <c r="N14" i="1" s="1"/>
  <c r="N15" i="1" s="1"/>
  <c r="N16" i="1" s="1"/>
  <c r="N17" i="1" s="1"/>
  <c r="N18" i="1" s="1"/>
  <c r="N19" i="1" s="1"/>
  <c r="N20" i="1" s="1"/>
  <c r="N21" i="1" s="1"/>
  <c r="N26" i="1" s="1"/>
  <c r="N27" i="1" s="1"/>
  <c r="N28" i="1" s="1"/>
  <c r="N29" i="1" s="1"/>
  <c r="N30" i="1" s="1"/>
  <c r="N31" i="1" s="1"/>
  <c r="N32" i="1" s="1"/>
  <c r="N33" i="1" s="1"/>
  <c r="N34" i="1" s="1"/>
  <c r="N36" i="1" s="1"/>
  <c r="N37" i="1" s="1"/>
  <c r="N38" i="1" s="1"/>
  <c r="N39" i="1" s="1"/>
  <c r="N40" i="1" s="1"/>
  <c r="N41" i="1" s="1"/>
  <c r="N42" i="1" s="1"/>
  <c r="N43" i="1" s="1"/>
  <c r="N44" i="1" s="1"/>
  <c r="N50" i="1" s="1"/>
  <c r="N51" i="1" s="1"/>
  <c r="N52" i="1" s="1"/>
  <c r="N53" i="1" s="1"/>
  <c r="N54" i="1" s="1"/>
  <c r="N55" i="1" s="1"/>
  <c r="N56" i="1" s="1"/>
  <c r="N57" i="1" s="1"/>
  <c r="N58" i="1" s="1"/>
  <c r="N60" i="1" s="1"/>
  <c r="N61" i="1" s="1"/>
  <c r="N62" i="1" s="1"/>
  <c r="N63" i="1" s="1"/>
  <c r="N64" i="1" s="1"/>
  <c r="N65" i="1" s="1"/>
  <c r="N66" i="1" s="1"/>
  <c r="N67" i="1" s="1"/>
  <c r="N68" i="1" s="1"/>
  <c r="N74" i="1" s="1"/>
  <c r="N75" i="1" s="1"/>
  <c r="N76" i="1" s="1"/>
  <c r="N77" i="1" s="1"/>
  <c r="N78" i="1" s="1"/>
  <c r="N79" i="1" s="1"/>
  <c r="N80" i="1" s="1"/>
  <c r="N81" i="1" s="1"/>
  <c r="N82" i="1" s="1"/>
  <c r="N84" i="1" s="1"/>
  <c r="N85" i="1" s="1"/>
  <c r="N86" i="1" s="1"/>
  <c r="N87" i="1" s="1"/>
  <c r="N88" i="1" s="1"/>
  <c r="N89" i="1" s="1"/>
  <c r="N90" i="1" s="1"/>
  <c r="N91" i="1" s="1"/>
  <c r="N92" i="1" s="1"/>
  <c r="AV47" i="1"/>
  <c r="C17" i="5" s="1"/>
  <c r="C33" i="5" s="1"/>
  <c r="C17" i="4"/>
  <c r="I71" i="1"/>
  <c r="B12" i="5"/>
  <c r="B28" i="5" s="1"/>
  <c r="AB71" i="1"/>
  <c r="B22" i="5"/>
  <c r="B38" i="5" s="1"/>
  <c r="HI95" i="1"/>
  <c r="I3" i="3" s="1"/>
  <c r="I24" i="3" s="1"/>
  <c r="I3" i="8"/>
  <c r="I24" i="8" s="1"/>
  <c r="GE95" i="1"/>
  <c r="H3" i="3" s="1"/>
  <c r="H24" i="3" s="1"/>
  <c r="H3" i="8"/>
  <c r="H24" i="8" s="1"/>
  <c r="GK47" i="1"/>
  <c r="H14" i="5" s="1"/>
  <c r="H31" i="5" s="1"/>
  <c r="H14" i="6"/>
  <c r="GR71" i="1"/>
  <c r="FA95" i="1"/>
  <c r="G3" i="3" s="1"/>
  <c r="G24" i="3" s="1"/>
  <c r="G3" i="8"/>
  <c r="G24" i="8" s="1"/>
  <c r="DD47" i="1"/>
  <c r="E17" i="5" s="1"/>
  <c r="E33" i="5" s="1"/>
  <c r="E17" i="6"/>
  <c r="CU71" i="1"/>
  <c r="E12" i="5"/>
  <c r="E28" i="5" s="1"/>
  <c r="AM71" i="1"/>
  <c r="C12" i="5"/>
  <c r="C28" i="5" s="1"/>
  <c r="BM47" i="1"/>
  <c r="C6" i="5" s="1"/>
  <c r="C7" i="6"/>
  <c r="B8" i="6"/>
  <c r="D8" i="6"/>
  <c r="E8" i="6"/>
  <c r="B8" i="9"/>
  <c r="GC71" i="1"/>
  <c r="D8" i="9"/>
  <c r="C8" i="9"/>
  <c r="E8" i="9"/>
  <c r="B8" i="7"/>
  <c r="I16" i="5"/>
  <c r="I32" i="5" s="1"/>
  <c r="I19" i="5"/>
  <c r="I35" i="5" s="1"/>
  <c r="I13" i="5"/>
  <c r="I30" i="5" s="1"/>
  <c r="I6" i="5"/>
  <c r="GT71" i="1"/>
  <c r="H19" i="5"/>
  <c r="H35" i="5" s="1"/>
  <c r="GN71" i="1"/>
  <c r="H16" i="5"/>
  <c r="H32" i="5" s="1"/>
  <c r="GI71" i="1"/>
  <c r="H13" i="5"/>
  <c r="H30" i="5" s="1"/>
  <c r="HG71" i="1"/>
  <c r="H6" i="5"/>
  <c r="GP71" i="1"/>
  <c r="H17" i="5"/>
  <c r="H33" i="5" s="1"/>
  <c r="FN71" i="1"/>
  <c r="G18" i="5"/>
  <c r="G34" i="5" s="1"/>
  <c r="FL71" i="1"/>
  <c r="G17" i="5"/>
  <c r="G33" i="5" s="1"/>
  <c r="FP71" i="1"/>
  <c r="G19" i="5"/>
  <c r="G35" i="5" s="1"/>
  <c r="EF71" i="1"/>
  <c r="F16" i="5"/>
  <c r="F32" i="5" s="1"/>
  <c r="EL71" i="1"/>
  <c r="F19" i="5"/>
  <c r="F35" i="5" s="1"/>
  <c r="EJ71" i="1"/>
  <c r="F18" i="5"/>
  <c r="F34" i="5" s="1"/>
  <c r="EY71" i="1"/>
  <c r="F6" i="5"/>
  <c r="EH71" i="1"/>
  <c r="F17" i="5"/>
  <c r="F33" i="5" s="1"/>
  <c r="EA71" i="1"/>
  <c r="CS71" i="1"/>
  <c r="E3" i="5"/>
  <c r="BO71" i="1"/>
  <c r="D3" i="5"/>
  <c r="AK71" i="1"/>
  <c r="C3" i="5"/>
  <c r="G71" i="1"/>
  <c r="B3" i="5"/>
  <c r="B24" i="5" s="1"/>
  <c r="HO47" i="1"/>
  <c r="HO71" i="1" s="1"/>
  <c r="CF47" i="1"/>
  <c r="FG47" i="1"/>
  <c r="DH47" i="1"/>
  <c r="CB47" i="1"/>
  <c r="D42" i="3"/>
  <c r="D42" i="5"/>
  <c r="BZ47" i="1"/>
  <c r="CD47" i="1"/>
  <c r="EC71" i="1"/>
  <c r="DL47" i="1"/>
  <c r="DJ47" i="1"/>
  <c r="BB47" i="1"/>
  <c r="X47" i="1"/>
  <c r="AI47" i="1"/>
  <c r="DF47" i="1"/>
  <c r="AX47" i="1"/>
  <c r="AZ47" i="1"/>
  <c r="E41" i="5"/>
  <c r="BS47" i="1"/>
  <c r="R47" i="1"/>
  <c r="V47" i="1"/>
  <c r="T47" i="1"/>
  <c r="AO47" i="1"/>
  <c r="DU47" i="1"/>
  <c r="C41" i="5"/>
  <c r="CL47" i="1"/>
  <c r="D23" i="5" s="1"/>
  <c r="D39" i="5" s="1"/>
  <c r="BH47" i="1"/>
  <c r="DP47" i="1"/>
  <c r="BD47" i="1"/>
  <c r="DB47" i="1"/>
  <c r="AQ23" i="1"/>
  <c r="CH47" i="1"/>
  <c r="CQ47" i="1"/>
  <c r="C42" i="3"/>
  <c r="D41" i="3"/>
  <c r="E40" i="5"/>
  <c r="E40" i="3"/>
  <c r="E41" i="3"/>
  <c r="P47" i="1"/>
  <c r="BU46" i="1"/>
  <c r="D14" i="6" s="1"/>
  <c r="CY94" i="1"/>
  <c r="E14" i="9" s="1"/>
  <c r="CY70" i="1"/>
  <c r="E14" i="7" s="1"/>
  <c r="BX47" i="1"/>
  <c r="M46" i="1"/>
  <c r="B14" i="6" s="1"/>
  <c r="M94" i="1"/>
  <c r="B14" i="9" s="1"/>
  <c r="D41" i="5"/>
  <c r="B41" i="3"/>
  <c r="C41" i="3"/>
  <c r="Z47" i="1"/>
  <c r="M70" i="1"/>
  <c r="B14" i="7" s="1"/>
  <c r="AT47" i="1"/>
  <c r="AD47" i="1"/>
  <c r="CW47" i="1"/>
  <c r="AQ70" i="1"/>
  <c r="C14" i="7" s="1"/>
  <c r="B41" i="5"/>
  <c r="E42" i="5"/>
  <c r="CY46" i="1"/>
  <c r="E14" i="6" s="1"/>
  <c r="BU23" i="1"/>
  <c r="D14" i="4" s="1"/>
  <c r="BU70" i="1"/>
  <c r="D14" i="7" s="1"/>
  <c r="CV6" i="1"/>
  <c r="M23" i="1"/>
  <c r="B14" i="4" s="1"/>
  <c r="CY23" i="1"/>
  <c r="E14" i="4" s="1"/>
  <c r="F6" i="1"/>
  <c r="BR7" i="1"/>
  <c r="J6" i="1"/>
  <c r="BU94" i="1"/>
  <c r="D14" i="9" s="1"/>
  <c r="K47" i="1"/>
  <c r="AN6" i="1"/>
  <c r="G27" i="5" l="1"/>
  <c r="C70" i="3"/>
  <c r="D70" i="8"/>
  <c r="J9" i="9"/>
  <c r="JO95" i="1"/>
  <c r="J6" i="3" s="1"/>
  <c r="J26" i="3" s="1"/>
  <c r="J6" i="8"/>
  <c r="IZ95" i="1"/>
  <c r="IZ97" i="1" s="1"/>
  <c r="J18" i="8"/>
  <c r="J34" i="8" s="1"/>
  <c r="J5" i="8"/>
  <c r="J25" i="8"/>
  <c r="IX95" i="1"/>
  <c r="IX97" i="1" s="1"/>
  <c r="J17" i="8"/>
  <c r="J33" i="8" s="1"/>
  <c r="IV95" i="1"/>
  <c r="IV97" i="1" s="1"/>
  <c r="J16" i="8"/>
  <c r="J32" i="8" s="1"/>
  <c r="JB95" i="1"/>
  <c r="JB97" i="1" s="1"/>
  <c r="J19" i="8"/>
  <c r="J35" i="8" s="1"/>
  <c r="AS47" i="1"/>
  <c r="AS71" i="1" s="1"/>
  <c r="B48" i="4" a="1"/>
  <c r="B48" i="4" s="1"/>
  <c r="B39" i="4" a="1"/>
  <c r="B39" i="4" s="1"/>
  <c r="B31" i="4" a="1"/>
  <c r="B31" i="4" s="1"/>
  <c r="B32" i="4" a="1"/>
  <c r="B32" i="4" s="1"/>
  <c r="B46" i="4" a="1"/>
  <c r="B46" i="4" s="1"/>
  <c r="B38" i="4" a="1"/>
  <c r="B38" i="4" s="1"/>
  <c r="B30" i="4" a="1"/>
  <c r="B30" i="4" s="1"/>
  <c r="B45" i="4" a="1"/>
  <c r="B45" i="4" s="1"/>
  <c r="B44" i="4" a="1"/>
  <c r="B44" i="4" s="1"/>
  <c r="B36" i="4" a="1"/>
  <c r="B36" i="4" s="1"/>
  <c r="B34" i="4" a="1"/>
  <c r="B34" i="4" s="1"/>
  <c r="B43" i="4" a="1"/>
  <c r="B43" i="4" s="1"/>
  <c r="B42" i="4" a="1"/>
  <c r="B42" i="4" s="1"/>
  <c r="B41" i="4" a="1"/>
  <c r="B41" i="4" s="1"/>
  <c r="B33" i="4" a="1"/>
  <c r="B33" i="4" s="1"/>
  <c r="B40" i="4" a="1"/>
  <c r="B40" i="4" s="1"/>
  <c r="B47" i="4" a="1"/>
  <c r="B47" i="4" s="1"/>
  <c r="J9" i="7"/>
  <c r="JW71" i="1"/>
  <c r="JW95" i="1" s="1"/>
  <c r="JW97" i="1" s="1"/>
  <c r="JY71" i="1"/>
  <c r="JY95" i="1" s="1"/>
  <c r="JY97" i="1" s="1"/>
  <c r="J26" i="5"/>
  <c r="J7" i="5"/>
  <c r="J15" i="5"/>
  <c r="J29" i="5" s="1"/>
  <c r="EE71" i="1"/>
  <c r="F15" i="5"/>
  <c r="F29" i="5" s="1"/>
  <c r="DA47" i="1"/>
  <c r="E15" i="4"/>
  <c r="I22" i="8"/>
  <c r="I38" i="8" s="1"/>
  <c r="HQ71" i="1"/>
  <c r="I15" i="5"/>
  <c r="I29" i="5" s="1"/>
  <c r="GM71" i="1"/>
  <c r="H15" i="5"/>
  <c r="H29" i="5" s="1"/>
  <c r="FI71" i="1"/>
  <c r="G15" i="5"/>
  <c r="G29" i="5" s="1"/>
  <c r="C15" i="4"/>
  <c r="BW47" i="1"/>
  <c r="D15" i="4"/>
  <c r="B35" i="4" s="1" a="1"/>
  <c r="B35" i="4" s="1"/>
  <c r="E9" i="4"/>
  <c r="J9" i="4"/>
  <c r="H9" i="4"/>
  <c r="I9" i="4"/>
  <c r="D9" i="4"/>
  <c r="B9" i="4"/>
  <c r="C9" i="4"/>
  <c r="G9" i="4"/>
  <c r="F9" i="4"/>
  <c r="HB95" i="1"/>
  <c r="HB97" i="1" s="1"/>
  <c r="H39" i="3" s="1"/>
  <c r="HT95" i="1"/>
  <c r="HT97" i="1" s="1"/>
  <c r="I33" i="3" s="1"/>
  <c r="DW96" i="1"/>
  <c r="F4" i="3" s="1"/>
  <c r="F25" i="3" s="1"/>
  <c r="E96" i="1"/>
  <c r="E97" i="1" s="1"/>
  <c r="G4" i="8"/>
  <c r="G5" i="8" s="1"/>
  <c r="JO96" i="1"/>
  <c r="J7" i="3" s="1"/>
  <c r="G22" i="8"/>
  <c r="G38" i="8" s="1"/>
  <c r="G5" i="5"/>
  <c r="G25" i="5"/>
  <c r="I5" i="5"/>
  <c r="I25" i="5"/>
  <c r="C4" i="5"/>
  <c r="C24" i="5"/>
  <c r="F5" i="5"/>
  <c r="F25" i="5"/>
  <c r="F7" i="5"/>
  <c r="F26" i="5"/>
  <c r="H7" i="5"/>
  <c r="H26" i="5"/>
  <c r="I7" i="5"/>
  <c r="I26" i="5"/>
  <c r="B4" i="5"/>
  <c r="D4" i="5"/>
  <c r="D24" i="5"/>
  <c r="H5" i="5"/>
  <c r="H25" i="5"/>
  <c r="C7" i="5"/>
  <c r="C26" i="5"/>
  <c r="E4" i="5"/>
  <c r="E24" i="5"/>
  <c r="O47" i="1"/>
  <c r="B15" i="5" s="1"/>
  <c r="JQ96" i="1"/>
  <c r="KS96" i="1"/>
  <c r="HV97" i="1"/>
  <c r="I34" i="3" s="1"/>
  <c r="I18" i="3"/>
  <c r="D9" i="9"/>
  <c r="C9" i="9"/>
  <c r="B9" i="9"/>
  <c r="I9" i="9"/>
  <c r="H9" i="9"/>
  <c r="G9" i="9"/>
  <c r="F9" i="9"/>
  <c r="E9" i="9"/>
  <c r="F9" i="7"/>
  <c r="E9" i="7"/>
  <c r="D9" i="7"/>
  <c r="C9" i="7"/>
  <c r="B9" i="7"/>
  <c r="I9" i="7"/>
  <c r="H9" i="7"/>
  <c r="G9" i="7"/>
  <c r="DN95" i="1"/>
  <c r="E22" i="3" s="1"/>
  <c r="H4" i="8"/>
  <c r="H5" i="8" s="1"/>
  <c r="I4" i="8"/>
  <c r="I5" i="8" s="1"/>
  <c r="F4" i="8"/>
  <c r="F5" i="8" s="1"/>
  <c r="JK55" i="1"/>
  <c r="DY96" i="1"/>
  <c r="ER95" i="1"/>
  <c r="ER97" i="1" s="1"/>
  <c r="F38" i="3" s="1"/>
  <c r="DY97" i="1"/>
  <c r="F28" i="3" s="1"/>
  <c r="JG55" i="1"/>
  <c r="JE55" i="1"/>
  <c r="IT55" i="1"/>
  <c r="HI96" i="1"/>
  <c r="HI97" i="1" s="1"/>
  <c r="I5" i="3" s="1"/>
  <c r="HZ95" i="1"/>
  <c r="I20" i="3" s="1"/>
  <c r="IF95" i="1"/>
  <c r="I23" i="8"/>
  <c r="I39" i="8" s="1"/>
  <c r="ID97" i="1"/>
  <c r="I38" i="3" s="1"/>
  <c r="I22" i="3"/>
  <c r="IB95" i="1"/>
  <c r="I21" i="8"/>
  <c r="I37" i="8" s="1"/>
  <c r="H12" i="3"/>
  <c r="GG96" i="1"/>
  <c r="GG97" i="1"/>
  <c r="H28" i="3" s="1"/>
  <c r="GV95" i="1"/>
  <c r="H20" i="8"/>
  <c r="H36" i="8" s="1"/>
  <c r="GZ97" i="1"/>
  <c r="H38" i="3" s="1"/>
  <c r="H22" i="3"/>
  <c r="GX95" i="1"/>
  <c r="H21" i="8"/>
  <c r="H37" i="8" s="1"/>
  <c r="GK71" i="1"/>
  <c r="H14" i="8" s="1"/>
  <c r="H30" i="8" s="1"/>
  <c r="CJ95" i="1"/>
  <c r="CJ97" i="1" s="1"/>
  <c r="D38" i="3" s="1"/>
  <c r="C22" i="8"/>
  <c r="C38" i="8" s="1"/>
  <c r="IR55" i="1"/>
  <c r="IQ56" i="1"/>
  <c r="JJ56" i="1"/>
  <c r="JF56" i="1"/>
  <c r="JD56" i="1"/>
  <c r="JH56" i="1"/>
  <c r="JI55" i="1"/>
  <c r="G16" i="8"/>
  <c r="G32" i="8" s="1"/>
  <c r="G13" i="8"/>
  <c r="G29" i="8" s="1"/>
  <c r="FV97" i="1"/>
  <c r="G38" i="3" s="1"/>
  <c r="G22" i="3"/>
  <c r="FR95" i="1"/>
  <c r="G20" i="8"/>
  <c r="G36" i="8" s="1"/>
  <c r="FT95" i="1"/>
  <c r="G21" i="8"/>
  <c r="G37" i="8" s="1"/>
  <c r="G12" i="3"/>
  <c r="FC96" i="1"/>
  <c r="FC97" i="1"/>
  <c r="G28" i="3" s="1"/>
  <c r="FX95" i="1"/>
  <c r="G23" i="8"/>
  <c r="G39" i="8" s="1"/>
  <c r="FA96" i="1"/>
  <c r="FA97" i="1" s="1"/>
  <c r="ET95" i="1"/>
  <c r="F23" i="8"/>
  <c r="F39" i="8" s="1"/>
  <c r="EN95" i="1"/>
  <c r="F20" i="8"/>
  <c r="F36" i="8" s="1"/>
  <c r="EP95" i="1"/>
  <c r="F21" i="8"/>
  <c r="F37" i="8" s="1"/>
  <c r="DD71" i="1"/>
  <c r="E17" i="8" s="1"/>
  <c r="E33" i="8" s="1"/>
  <c r="CL71" i="1"/>
  <c r="D23" i="8" s="1"/>
  <c r="D39" i="8" s="1"/>
  <c r="CH71" i="1"/>
  <c r="D21" i="5"/>
  <c r="D37" i="5" s="1"/>
  <c r="CF71" i="1"/>
  <c r="D20" i="5"/>
  <c r="D36" i="5" s="1"/>
  <c r="BQ95" i="1"/>
  <c r="D12" i="8"/>
  <c r="D28" i="8" s="1"/>
  <c r="AV71" i="1"/>
  <c r="C17" i="8" s="1"/>
  <c r="C33" i="8" s="1"/>
  <c r="BM71" i="1"/>
  <c r="BM95" i="1" s="1"/>
  <c r="BM96" i="1" s="1"/>
  <c r="C7" i="3" s="1"/>
  <c r="C27" i="3" s="1"/>
  <c r="AK95" i="1"/>
  <c r="C3" i="8"/>
  <c r="AQ47" i="1"/>
  <c r="C14" i="5" s="1"/>
  <c r="C31" i="5" s="1"/>
  <c r="C14" i="4"/>
  <c r="B37" i="4" s="1" a="1"/>
  <c r="B37" i="4" s="1"/>
  <c r="Z71" i="1"/>
  <c r="B21" i="5"/>
  <c r="AD71" i="1"/>
  <c r="B23" i="5"/>
  <c r="B39" i="5" s="1"/>
  <c r="X71" i="1"/>
  <c r="B20" i="5"/>
  <c r="B36" i="5" s="1"/>
  <c r="AB95" i="1"/>
  <c r="B22" i="8"/>
  <c r="B38" i="8" s="1"/>
  <c r="I95" i="1"/>
  <c r="B12" i="8"/>
  <c r="B28" i="8" s="1"/>
  <c r="HX95" i="1"/>
  <c r="I19" i="8"/>
  <c r="I35" i="8" s="1"/>
  <c r="HR95" i="1"/>
  <c r="I16" i="8"/>
  <c r="I32" i="8" s="1"/>
  <c r="HM95" i="1"/>
  <c r="HM97" i="1" s="1"/>
  <c r="I29" i="3" s="1"/>
  <c r="I13" i="8"/>
  <c r="I29" i="8" s="1"/>
  <c r="FJ97" i="1"/>
  <c r="G32" i="3" s="1"/>
  <c r="GE96" i="1"/>
  <c r="H4" i="3" s="1"/>
  <c r="H25" i="3" s="1"/>
  <c r="GI95" i="1"/>
  <c r="H13" i="8"/>
  <c r="H29" i="8" s="1"/>
  <c r="GP95" i="1"/>
  <c r="H17" i="8"/>
  <c r="H33" i="8" s="1"/>
  <c r="GR95" i="1"/>
  <c r="H18" i="8"/>
  <c r="H34" i="8" s="1"/>
  <c r="GT95" i="1"/>
  <c r="H19" i="8"/>
  <c r="H35" i="8" s="1"/>
  <c r="GN95" i="1"/>
  <c r="H16" i="8"/>
  <c r="H32" i="8" s="1"/>
  <c r="FP95" i="1"/>
  <c r="G19" i="8"/>
  <c r="G35" i="8" s="1"/>
  <c r="G13" i="3"/>
  <c r="FL95" i="1"/>
  <c r="G17" i="8"/>
  <c r="G33" i="8" s="1"/>
  <c r="FN95" i="1"/>
  <c r="G18" i="8"/>
  <c r="G34" i="8" s="1"/>
  <c r="EC95" i="1"/>
  <c r="F14" i="3" s="1"/>
  <c r="F14" i="8"/>
  <c r="F30" i="8" s="1"/>
  <c r="EJ95" i="1"/>
  <c r="F18" i="8"/>
  <c r="F34" i="8" s="1"/>
  <c r="EL95" i="1"/>
  <c r="EL97" i="1" s="1"/>
  <c r="F35" i="3" s="1"/>
  <c r="F19" i="8"/>
  <c r="F35" i="8" s="1"/>
  <c r="EA95" i="1"/>
  <c r="F13" i="8"/>
  <c r="F29" i="8" s="1"/>
  <c r="EH95" i="1"/>
  <c r="F17" i="8"/>
  <c r="F33" i="8" s="1"/>
  <c r="EF95" i="1"/>
  <c r="F16" i="8"/>
  <c r="F32" i="8" s="1"/>
  <c r="CS95" i="1"/>
  <c r="E3" i="8"/>
  <c r="DL71" i="1"/>
  <c r="E21" i="5"/>
  <c r="E37" i="5" s="1"/>
  <c r="DP71" i="1"/>
  <c r="E23" i="5"/>
  <c r="E39" i="5" s="1"/>
  <c r="CU95" i="1"/>
  <c r="E12" i="8"/>
  <c r="E28" i="8" s="1"/>
  <c r="DJ71" i="1"/>
  <c r="E20" i="5"/>
  <c r="E36" i="5" s="1"/>
  <c r="BO95" i="1"/>
  <c r="D3" i="8"/>
  <c r="BH71" i="1"/>
  <c r="C23" i="5"/>
  <c r="C39" i="5" s="1"/>
  <c r="BB71" i="1"/>
  <c r="C20" i="5"/>
  <c r="C36" i="5" s="1"/>
  <c r="BF97" i="1"/>
  <c r="C38" i="3" s="1"/>
  <c r="C22" i="3"/>
  <c r="BD71" i="1"/>
  <c r="C21" i="5"/>
  <c r="C37" i="5" s="1"/>
  <c r="AM95" i="1"/>
  <c r="C12" i="8"/>
  <c r="C28" i="8" s="1"/>
  <c r="G95" i="1"/>
  <c r="G96" i="1" s="1"/>
  <c r="G97" i="1" s="1"/>
  <c r="B3" i="8"/>
  <c r="EY95" i="1"/>
  <c r="F6" i="3" s="1"/>
  <c r="F26" i="3" s="1"/>
  <c r="F6" i="8"/>
  <c r="F26" i="8" s="1"/>
  <c r="HG95" i="1"/>
  <c r="H6" i="8"/>
  <c r="H26" i="8" s="1"/>
  <c r="IK95" i="1"/>
  <c r="I6" i="8"/>
  <c r="I26" i="8" s="1"/>
  <c r="C8" i="6"/>
  <c r="I9" i="6" s="1"/>
  <c r="GC95" i="1"/>
  <c r="G6" i="8"/>
  <c r="G26" i="8" s="1"/>
  <c r="I14" i="5"/>
  <c r="I31" i="5" s="1"/>
  <c r="FG71" i="1"/>
  <c r="G14" i="5"/>
  <c r="G31" i="5" s="1"/>
  <c r="G29" i="3"/>
  <c r="DB71" i="1"/>
  <c r="E16" i="5"/>
  <c r="E32" i="5" s="1"/>
  <c r="DH71" i="1"/>
  <c r="E19" i="5"/>
  <c r="E35" i="5" s="1"/>
  <c r="DU71" i="1"/>
  <c r="E6" i="5"/>
  <c r="CW71" i="1"/>
  <c r="E13" i="5"/>
  <c r="E30" i="5" s="1"/>
  <c r="DF71" i="1"/>
  <c r="E18" i="5"/>
  <c r="E34" i="5" s="1"/>
  <c r="CD71" i="1"/>
  <c r="D19" i="5"/>
  <c r="D35" i="5" s="1"/>
  <c r="CB71" i="1"/>
  <c r="D18" i="5"/>
  <c r="D34" i="5" s="1"/>
  <c r="CQ71" i="1"/>
  <c r="D6" i="5"/>
  <c r="BX71" i="1"/>
  <c r="D16" i="5"/>
  <c r="D32" i="5" s="1"/>
  <c r="BS71" i="1"/>
  <c r="D13" i="5"/>
  <c r="D30" i="5" s="1"/>
  <c r="BZ71" i="1"/>
  <c r="D17" i="5"/>
  <c r="D33" i="5" s="1"/>
  <c r="AZ71" i="1"/>
  <c r="C19" i="5"/>
  <c r="C35" i="5" s="1"/>
  <c r="AO71" i="1"/>
  <c r="C13" i="5"/>
  <c r="C30" i="5" s="1"/>
  <c r="AT71" i="1"/>
  <c r="C16" i="5"/>
  <c r="C32" i="5" s="1"/>
  <c r="AX71" i="1"/>
  <c r="C18" i="5"/>
  <c r="C34" i="5" s="1"/>
  <c r="T71" i="1"/>
  <c r="B18" i="5"/>
  <c r="B34" i="5" s="1"/>
  <c r="AI71" i="1"/>
  <c r="B6" i="5"/>
  <c r="B26" i="5" s="1"/>
  <c r="P71" i="1"/>
  <c r="B16" i="5"/>
  <c r="B32" i="5" s="1"/>
  <c r="R71" i="1"/>
  <c r="B17" i="5"/>
  <c r="B33" i="5" s="1"/>
  <c r="K71" i="1"/>
  <c r="B13" i="5"/>
  <c r="B30" i="5" s="1"/>
  <c r="V71" i="1"/>
  <c r="B19" i="5"/>
  <c r="B35" i="5" s="1"/>
  <c r="BU47" i="1"/>
  <c r="M47" i="1"/>
  <c r="CY47" i="1"/>
  <c r="CV7" i="1"/>
  <c r="J7" i="1"/>
  <c r="AN7" i="1"/>
  <c r="F7" i="1"/>
  <c r="BR8" i="1"/>
  <c r="J27" i="3" l="1"/>
  <c r="I27" i="5"/>
  <c r="F70" i="8"/>
  <c r="G70" i="3"/>
  <c r="F27" i="5"/>
  <c r="G70" i="8"/>
  <c r="E70" i="3"/>
  <c r="J27" i="5"/>
  <c r="H70" i="3"/>
  <c r="H71" i="3"/>
  <c r="H70" i="8"/>
  <c r="C27" i="5"/>
  <c r="F70" i="3"/>
  <c r="E70" i="8"/>
  <c r="H27" i="5"/>
  <c r="I70" i="3"/>
  <c r="I70" i="8"/>
  <c r="J7" i="8"/>
  <c r="J27" i="8" s="1"/>
  <c r="J26" i="8"/>
  <c r="DW97" i="1"/>
  <c r="F5" i="3" s="1"/>
  <c r="C15" i="5"/>
  <c r="C29" i="5" s="1"/>
  <c r="J9" i="6"/>
  <c r="EE95" i="1"/>
  <c r="F15" i="8"/>
  <c r="F31" i="8" s="1"/>
  <c r="DA71" i="1"/>
  <c r="E15" i="5"/>
  <c r="E29" i="5" s="1"/>
  <c r="HQ95" i="1"/>
  <c r="I15" i="8"/>
  <c r="I31" i="8" s="1"/>
  <c r="GM95" i="1"/>
  <c r="H15" i="8"/>
  <c r="H31" i="8" s="1"/>
  <c r="FI95" i="1"/>
  <c r="G15" i="8"/>
  <c r="G31" i="8" s="1"/>
  <c r="BW71" i="1"/>
  <c r="D15" i="5"/>
  <c r="D29" i="5" s="1"/>
  <c r="AS95" i="1"/>
  <c r="C15" i="8"/>
  <c r="C31" i="8" s="1"/>
  <c r="B69" i="3"/>
  <c r="E4" i="8"/>
  <c r="E5" i="8" s="1"/>
  <c r="E24" i="8"/>
  <c r="G25" i="8"/>
  <c r="B4" i="8"/>
  <c r="B24" i="8"/>
  <c r="C4" i="8"/>
  <c r="C24" i="8"/>
  <c r="F25" i="8"/>
  <c r="D4" i="8"/>
  <c r="D5" i="8" s="1"/>
  <c r="D24" i="8"/>
  <c r="I25" i="8"/>
  <c r="H25" i="8"/>
  <c r="B37" i="5"/>
  <c r="H23" i="3"/>
  <c r="I17" i="3"/>
  <c r="JQ97" i="1"/>
  <c r="C5" i="5"/>
  <c r="C25" i="5"/>
  <c r="B5" i="5"/>
  <c r="B25" i="5"/>
  <c r="D7" i="5"/>
  <c r="D26" i="5"/>
  <c r="D5" i="5"/>
  <c r="D25" i="5"/>
  <c r="E7" i="5"/>
  <c r="E26" i="5"/>
  <c r="E5" i="5"/>
  <c r="E25" i="5"/>
  <c r="O71" i="1"/>
  <c r="B29" i="5"/>
  <c r="DN97" i="1"/>
  <c r="E38" i="3" s="1"/>
  <c r="C9" i="6"/>
  <c r="D9" i="6"/>
  <c r="E9" i="6"/>
  <c r="G9" i="6"/>
  <c r="H9" i="6"/>
  <c r="B9" i="6"/>
  <c r="F9" i="6"/>
  <c r="JG56" i="1"/>
  <c r="JK56" i="1"/>
  <c r="F22" i="3"/>
  <c r="D22" i="3"/>
  <c r="GE97" i="1"/>
  <c r="H5" i="3" s="1"/>
  <c r="IR56" i="1"/>
  <c r="I4" i="3"/>
  <c r="I25" i="3" s="1"/>
  <c r="HZ97" i="1"/>
  <c r="I36" i="3" s="1"/>
  <c r="IB97" i="1"/>
  <c r="I37" i="3" s="1"/>
  <c r="I21" i="3"/>
  <c r="IF97" i="1"/>
  <c r="I39" i="3" s="1"/>
  <c r="I23" i="3"/>
  <c r="I13" i="3"/>
  <c r="H21" i="3"/>
  <c r="GX97" i="1"/>
  <c r="H37" i="3" s="1"/>
  <c r="GV97" i="1"/>
  <c r="H36" i="3" s="1"/>
  <c r="H20" i="3"/>
  <c r="GK95" i="1"/>
  <c r="CL95" i="1"/>
  <c r="D23" i="3" s="1"/>
  <c r="JI56" i="1"/>
  <c r="JJ57" i="1"/>
  <c r="JF57" i="1"/>
  <c r="JD57" i="1"/>
  <c r="IQ57" i="1"/>
  <c r="IS57" i="1" s="1"/>
  <c r="JH57" i="1"/>
  <c r="IS56" i="1"/>
  <c r="JE56" i="1"/>
  <c r="IP57" i="1"/>
  <c r="AV95" i="1"/>
  <c r="AV97" i="1" s="1"/>
  <c r="C33" i="3" s="1"/>
  <c r="FX97" i="1"/>
  <c r="G39" i="3" s="1"/>
  <c r="G23" i="3"/>
  <c r="FT97" i="1"/>
  <c r="G37" i="3" s="1"/>
  <c r="G21" i="3"/>
  <c r="G20" i="3"/>
  <c r="FR97" i="1"/>
  <c r="G36" i="3" s="1"/>
  <c r="G4" i="3"/>
  <c r="G25" i="3" s="1"/>
  <c r="DD95" i="1"/>
  <c r="E17" i="3" s="1"/>
  <c r="EC97" i="1"/>
  <c r="F30" i="3" s="1"/>
  <c r="F20" i="3"/>
  <c r="EN97" i="1"/>
  <c r="F36" i="3" s="1"/>
  <c r="EP97" i="1"/>
  <c r="F37" i="3" s="1"/>
  <c r="F21" i="3"/>
  <c r="F23" i="3"/>
  <c r="ET97" i="1"/>
  <c r="F39" i="3" s="1"/>
  <c r="F19" i="3"/>
  <c r="D12" i="3"/>
  <c r="BQ97" i="1"/>
  <c r="D28" i="3" s="1"/>
  <c r="BQ96" i="1"/>
  <c r="CF95" i="1"/>
  <c r="D20" i="8"/>
  <c r="D36" i="8" s="1"/>
  <c r="CH95" i="1"/>
  <c r="D21" i="8"/>
  <c r="D37" i="8" s="1"/>
  <c r="C6" i="8"/>
  <c r="AQ71" i="1"/>
  <c r="AQ95" i="1" s="1"/>
  <c r="AQ97" i="1" s="1"/>
  <c r="C30" i="3" s="1"/>
  <c r="B4" i="3"/>
  <c r="B25" i="3" s="1"/>
  <c r="AZ95" i="1"/>
  <c r="AZ97" i="1" s="1"/>
  <c r="C35" i="3" s="1"/>
  <c r="C19" i="8"/>
  <c r="C35" i="8" s="1"/>
  <c r="AT95" i="1"/>
  <c r="AT97" i="1" s="1"/>
  <c r="C32" i="3" s="1"/>
  <c r="C16" i="8"/>
  <c r="C32" i="8" s="1"/>
  <c r="AX95" i="1"/>
  <c r="C18" i="8"/>
  <c r="C34" i="8" s="1"/>
  <c r="C3" i="3"/>
  <c r="C24" i="3" s="1"/>
  <c r="AK96" i="1"/>
  <c r="Z95" i="1"/>
  <c r="B21" i="8"/>
  <c r="B37" i="8" s="1"/>
  <c r="AD95" i="1"/>
  <c r="B23" i="8"/>
  <c r="B39" i="8" s="1"/>
  <c r="B12" i="3"/>
  <c r="I97" i="1"/>
  <c r="B28" i="3" s="1"/>
  <c r="I96" i="1"/>
  <c r="B3" i="3"/>
  <c r="B24" i="3" s="1"/>
  <c r="B22" i="3"/>
  <c r="AB97" i="1"/>
  <c r="B38" i="3" s="1"/>
  <c r="X95" i="1"/>
  <c r="B20" i="8"/>
  <c r="B36" i="8" s="1"/>
  <c r="HX97" i="1"/>
  <c r="I35" i="3" s="1"/>
  <c r="I19" i="3"/>
  <c r="HO95" i="1"/>
  <c r="I14" i="8"/>
  <c r="I30" i="8" s="1"/>
  <c r="I16" i="3"/>
  <c r="HR97" i="1"/>
  <c r="I32" i="3" s="1"/>
  <c r="GR97" i="1"/>
  <c r="H34" i="3" s="1"/>
  <c r="H18" i="3"/>
  <c r="H17" i="3"/>
  <c r="GP97" i="1"/>
  <c r="H33" i="3" s="1"/>
  <c r="GN97" i="1"/>
  <c r="H32" i="3" s="1"/>
  <c r="H16" i="3"/>
  <c r="GI97" i="1"/>
  <c r="H29" i="3" s="1"/>
  <c r="H13" i="3"/>
  <c r="GT97" i="1"/>
  <c r="H35" i="3" s="1"/>
  <c r="H19" i="3"/>
  <c r="FG95" i="1"/>
  <c r="G14" i="8"/>
  <c r="G30" i="8" s="1"/>
  <c r="FN97" i="1"/>
  <c r="G34" i="3" s="1"/>
  <c r="G18" i="3"/>
  <c r="G17" i="3"/>
  <c r="FL97" i="1"/>
  <c r="G33" i="3" s="1"/>
  <c r="FP97" i="1"/>
  <c r="G35" i="3" s="1"/>
  <c r="G19" i="3"/>
  <c r="EA97" i="1"/>
  <c r="F29" i="3" s="1"/>
  <c r="F13" i="3"/>
  <c r="EF97" i="1"/>
  <c r="F32" i="3" s="1"/>
  <c r="F16" i="3"/>
  <c r="EJ97" i="1"/>
  <c r="F34" i="3" s="1"/>
  <c r="F18" i="3"/>
  <c r="EH97" i="1"/>
  <c r="F33" i="3" s="1"/>
  <c r="F17" i="3"/>
  <c r="DB95" i="1"/>
  <c r="DB97" i="1" s="1"/>
  <c r="E32" i="3" s="1"/>
  <c r="E16" i="8"/>
  <c r="E32" i="8" s="1"/>
  <c r="DF95" i="1"/>
  <c r="DF97" i="1" s="1"/>
  <c r="E34" i="3" s="1"/>
  <c r="E18" i="8"/>
  <c r="E34" i="8" s="1"/>
  <c r="DH95" i="1"/>
  <c r="E19" i="8"/>
  <c r="E35" i="8" s="1"/>
  <c r="CS96" i="1"/>
  <c r="E3" i="3"/>
  <c r="E24" i="3" s="1"/>
  <c r="E12" i="3"/>
  <c r="CU96" i="1"/>
  <c r="CU97" i="1"/>
  <c r="E28" i="3" s="1"/>
  <c r="DP95" i="1"/>
  <c r="E23" i="8"/>
  <c r="E39" i="8" s="1"/>
  <c r="CW95" i="1"/>
  <c r="E13" i="8"/>
  <c r="E29" i="8" s="1"/>
  <c r="DJ95" i="1"/>
  <c r="E20" i="8"/>
  <c r="E36" i="8" s="1"/>
  <c r="DL95" i="1"/>
  <c r="E21" i="8"/>
  <c r="E37" i="8" s="1"/>
  <c r="CD95" i="1"/>
  <c r="D19" i="8"/>
  <c r="D35" i="8" s="1"/>
  <c r="CB95" i="1"/>
  <c r="D18" i="8"/>
  <c r="D34" i="8" s="1"/>
  <c r="BS95" i="1"/>
  <c r="D13" i="8"/>
  <c r="D29" i="8" s="1"/>
  <c r="D3" i="3"/>
  <c r="D24" i="3" s="1"/>
  <c r="BO96" i="1"/>
  <c r="BZ95" i="1"/>
  <c r="D17" i="8"/>
  <c r="D33" i="8" s="1"/>
  <c r="BX95" i="1"/>
  <c r="D16" i="3" s="1"/>
  <c r="D16" i="8"/>
  <c r="D32" i="8" s="1"/>
  <c r="BD95" i="1"/>
  <c r="C21" i="8"/>
  <c r="C37" i="8" s="1"/>
  <c r="AO95" i="1"/>
  <c r="C13" i="8"/>
  <c r="C29" i="8" s="1"/>
  <c r="BB95" i="1"/>
  <c r="C20" i="8"/>
  <c r="C36" i="8" s="1"/>
  <c r="C12" i="3"/>
  <c r="AM96" i="1"/>
  <c r="AM97" i="1"/>
  <c r="C28" i="3" s="1"/>
  <c r="BH95" i="1"/>
  <c r="C23" i="8"/>
  <c r="C39" i="8" s="1"/>
  <c r="K95" i="1"/>
  <c r="K97" i="1" s="1"/>
  <c r="B29" i="3" s="1"/>
  <c r="B13" i="8"/>
  <c r="B29" i="8" s="1"/>
  <c r="V95" i="1"/>
  <c r="B19" i="8"/>
  <c r="B35" i="8" s="1"/>
  <c r="T95" i="1"/>
  <c r="T97" i="1" s="1"/>
  <c r="B34" i="3" s="1"/>
  <c r="B18" i="8"/>
  <c r="B34" i="8" s="1"/>
  <c r="R95" i="1"/>
  <c r="R97" i="1" s="1"/>
  <c r="B33" i="3" s="1"/>
  <c r="B17" i="8"/>
  <c r="B33" i="8" s="1"/>
  <c r="P95" i="1"/>
  <c r="P97" i="1" s="1"/>
  <c r="B32" i="3" s="1"/>
  <c r="B16" i="8"/>
  <c r="B32" i="8" s="1"/>
  <c r="C6" i="3"/>
  <c r="C26" i="3" s="1"/>
  <c r="EY96" i="1"/>
  <c r="F7" i="3" s="1"/>
  <c r="F27" i="3" s="1"/>
  <c r="AI95" i="1"/>
  <c r="AI96" i="1" s="1"/>
  <c r="B7" i="3" s="1"/>
  <c r="B6" i="8"/>
  <c r="B26" i="8" s="1"/>
  <c r="GC96" i="1"/>
  <c r="G7" i="3" s="1"/>
  <c r="G27" i="3" s="1"/>
  <c r="G6" i="3"/>
  <c r="G26" i="3" s="1"/>
  <c r="G7" i="8"/>
  <c r="CQ95" i="1"/>
  <c r="CQ96" i="1" s="1"/>
  <c r="D7" i="3" s="1"/>
  <c r="D27" i="3" s="1"/>
  <c r="D6" i="8"/>
  <c r="D26" i="8" s="1"/>
  <c r="H6" i="3"/>
  <c r="H26" i="3" s="1"/>
  <c r="HG96" i="1"/>
  <c r="H7" i="3" s="1"/>
  <c r="H27" i="3" s="1"/>
  <c r="H7" i="8"/>
  <c r="F7" i="8"/>
  <c r="E71" i="3" s="1"/>
  <c r="I6" i="3"/>
  <c r="I26" i="3" s="1"/>
  <c r="IK96" i="1"/>
  <c r="I7" i="3" s="1"/>
  <c r="I27" i="3" s="1"/>
  <c r="DU95" i="1"/>
  <c r="E6" i="8"/>
  <c r="E26" i="8" s="1"/>
  <c r="I7" i="8"/>
  <c r="G5" i="3"/>
  <c r="CY71" i="1"/>
  <c r="E14" i="5"/>
  <c r="E31" i="5" s="1"/>
  <c r="BU71" i="1"/>
  <c r="D14" i="5"/>
  <c r="D31" i="5" s="1"/>
  <c r="M71" i="1"/>
  <c r="B14" i="5"/>
  <c r="B31" i="5" s="1"/>
  <c r="B5" i="3"/>
  <c r="B7" i="5"/>
  <c r="CV8" i="1"/>
  <c r="J8" i="1"/>
  <c r="F8" i="1"/>
  <c r="AN8" i="1"/>
  <c r="BR9" i="1"/>
  <c r="B50" i="5" l="1" a="1"/>
  <c r="B50" i="5" s="1"/>
  <c r="B49" i="5" a="1"/>
  <c r="B49" i="5" s="1"/>
  <c r="H27" i="8"/>
  <c r="I71" i="3"/>
  <c r="D27" i="5"/>
  <c r="J70" i="3"/>
  <c r="J70" i="8"/>
  <c r="E27" i="5"/>
  <c r="D70" i="3"/>
  <c r="C70" i="8"/>
  <c r="G27" i="8"/>
  <c r="C71" i="3"/>
  <c r="I27" i="8"/>
  <c r="G71" i="3"/>
  <c r="F27" i="8"/>
  <c r="J8" i="5"/>
  <c r="EE97" i="1"/>
  <c r="F31" i="3" s="1"/>
  <c r="F15" i="3"/>
  <c r="DA95" i="1"/>
  <c r="E15" i="8"/>
  <c r="E31" i="8" s="1"/>
  <c r="HQ97" i="1"/>
  <c r="I31" i="3" s="1"/>
  <c r="I15" i="3"/>
  <c r="GM97" i="1"/>
  <c r="H31" i="3" s="1"/>
  <c r="H15" i="3"/>
  <c r="FI97" i="1"/>
  <c r="G31" i="3" s="1"/>
  <c r="G15" i="3"/>
  <c r="BW95" i="1"/>
  <c r="D15" i="8"/>
  <c r="D31" i="8" s="1"/>
  <c r="AS97" i="1"/>
  <c r="C31" i="3" s="1"/>
  <c r="C15" i="3"/>
  <c r="B52" i="5" a="1"/>
  <c r="B52" i="5" s="1"/>
  <c r="B58" i="5" a="1"/>
  <c r="B58" i="5" s="1"/>
  <c r="B54" i="5" a="1"/>
  <c r="B54" i="5" s="1"/>
  <c r="B56" i="5" a="1"/>
  <c r="B56" i="5" s="1"/>
  <c r="B60" i="5" a="1"/>
  <c r="B60" i="5" s="1"/>
  <c r="B53" i="5" a="1"/>
  <c r="B53" i="5" s="1"/>
  <c r="B48" i="5" a="1"/>
  <c r="B48" i="5" s="1"/>
  <c r="B62" i="5" a="1"/>
  <c r="B62" i="5" s="1"/>
  <c r="B57" i="5" a="1"/>
  <c r="B57" i="5" s="1"/>
  <c r="B68" i="5" a="1"/>
  <c r="B68" i="5" s="1"/>
  <c r="B46" i="5" a="1"/>
  <c r="B46" i="5" s="1"/>
  <c r="B45" i="5" a="1"/>
  <c r="B45" i="5" s="1"/>
  <c r="B65" i="5" a="1"/>
  <c r="B65" i="5" s="1"/>
  <c r="B63" i="5" a="1"/>
  <c r="B63" i="5" s="1"/>
  <c r="B61" i="5" a="1"/>
  <c r="B61" i="5" s="1"/>
  <c r="B47" i="5" a="1"/>
  <c r="B47" i="5" s="1"/>
  <c r="B64" i="5" a="1"/>
  <c r="B64" i="5" s="1"/>
  <c r="B51" i="5" a="1"/>
  <c r="B51" i="5" s="1"/>
  <c r="B55" i="5" a="1"/>
  <c r="B55" i="5" s="1"/>
  <c r="B59" i="5" a="1"/>
  <c r="B59" i="5" s="1"/>
  <c r="B27" i="3"/>
  <c r="B69" i="5"/>
  <c r="B69" i="8"/>
  <c r="B5" i="8"/>
  <c r="B25" i="8"/>
  <c r="D25" i="8"/>
  <c r="C5" i="8"/>
  <c r="C25" i="8"/>
  <c r="E25" i="8"/>
  <c r="C7" i="8"/>
  <c r="C26" i="8"/>
  <c r="B27" i="5"/>
  <c r="O95" i="1"/>
  <c r="B15" i="8"/>
  <c r="B31" i="8" s="1"/>
  <c r="JG57" i="1"/>
  <c r="H8" i="5"/>
  <c r="G8" i="5"/>
  <c r="F8" i="5"/>
  <c r="E8" i="5"/>
  <c r="D8" i="5"/>
  <c r="C8" i="5"/>
  <c r="B8" i="5"/>
  <c r="I8" i="5"/>
  <c r="GK97" i="1"/>
  <c r="H30" i="3" s="1"/>
  <c r="H14" i="3"/>
  <c r="CL97" i="1"/>
  <c r="D39" i="3" s="1"/>
  <c r="JI57" i="1"/>
  <c r="IP58" i="1"/>
  <c r="IP60" i="1" s="1"/>
  <c r="JE57" i="1"/>
  <c r="JF58" i="1"/>
  <c r="JF59" i="1" s="1"/>
  <c r="JD58" i="1"/>
  <c r="JD59" i="1" s="1"/>
  <c r="JH58" i="1"/>
  <c r="JH59" i="1" s="1"/>
  <c r="IQ58" i="1"/>
  <c r="IS58" i="1" s="1"/>
  <c r="IS59" i="1" s="1"/>
  <c r="JJ58" i="1"/>
  <c r="JJ59" i="1" s="1"/>
  <c r="IT56" i="1"/>
  <c r="IT57" i="1" s="1"/>
  <c r="IR57" i="1"/>
  <c r="JK57" i="1"/>
  <c r="C17" i="3"/>
  <c r="DD97" i="1"/>
  <c r="E33" i="3" s="1"/>
  <c r="D21" i="3"/>
  <c r="CH97" i="1"/>
  <c r="D37" i="3" s="1"/>
  <c r="D20" i="3"/>
  <c r="CF97" i="1"/>
  <c r="D36" i="3" s="1"/>
  <c r="C14" i="8"/>
  <c r="C30" i="8" s="1"/>
  <c r="C16" i="3"/>
  <c r="B16" i="3"/>
  <c r="C19" i="3"/>
  <c r="AK97" i="1"/>
  <c r="C5" i="3" s="1"/>
  <c r="C4" i="3"/>
  <c r="C25" i="3" s="1"/>
  <c r="AX97" i="1"/>
  <c r="C34" i="3" s="1"/>
  <c r="C18" i="3"/>
  <c r="AD97" i="1"/>
  <c r="B39" i="3" s="1"/>
  <c r="B23" i="3"/>
  <c r="Z97" i="1"/>
  <c r="B37" i="3" s="1"/>
  <c r="B21" i="3"/>
  <c r="B20" i="3"/>
  <c r="X97" i="1"/>
  <c r="B36" i="3" s="1"/>
  <c r="E18" i="3"/>
  <c r="I14" i="3"/>
  <c r="HO97" i="1"/>
  <c r="I30" i="3" s="1"/>
  <c r="E16" i="3"/>
  <c r="FG97" i="1"/>
  <c r="G30" i="3" s="1"/>
  <c r="G14" i="3"/>
  <c r="DH97" i="1"/>
  <c r="E35" i="3" s="1"/>
  <c r="E19" i="3"/>
  <c r="E4" i="3"/>
  <c r="E25" i="3" s="1"/>
  <c r="CS97" i="1"/>
  <c r="E5" i="3" s="1"/>
  <c r="CY95" i="1"/>
  <c r="CY97" i="1" s="1"/>
  <c r="E30" i="3" s="1"/>
  <c r="E14" i="8"/>
  <c r="E30" i="8" s="1"/>
  <c r="DP97" i="1"/>
  <c r="E39" i="3" s="1"/>
  <c r="E23" i="3"/>
  <c r="E20" i="3"/>
  <c r="DJ97" i="1"/>
  <c r="E36" i="3" s="1"/>
  <c r="CW97" i="1"/>
  <c r="E29" i="3" s="1"/>
  <c r="E13" i="3"/>
  <c r="E21" i="3"/>
  <c r="DL97" i="1"/>
  <c r="E37" i="3" s="1"/>
  <c r="BX97" i="1"/>
  <c r="D32" i="3" s="1"/>
  <c r="D13" i="3"/>
  <c r="BS97" i="1"/>
  <c r="D29" i="3" s="1"/>
  <c r="CB97" i="1"/>
  <c r="D34" i="3" s="1"/>
  <c r="D18" i="3"/>
  <c r="D4" i="3"/>
  <c r="D25" i="3" s="1"/>
  <c r="BO97" i="1"/>
  <c r="D5" i="3" s="1"/>
  <c r="BU95" i="1"/>
  <c r="D14" i="3" s="1"/>
  <c r="D14" i="8"/>
  <c r="D30" i="8" s="1"/>
  <c r="BZ97" i="1"/>
  <c r="D33" i="3" s="1"/>
  <c r="D17" i="3"/>
  <c r="CD97" i="1"/>
  <c r="D35" i="3" s="1"/>
  <c r="D19" i="3"/>
  <c r="C20" i="3"/>
  <c r="BB97" i="1"/>
  <c r="C36" i="3" s="1"/>
  <c r="AO97" i="1"/>
  <c r="C29" i="3" s="1"/>
  <c r="C13" i="3"/>
  <c r="C14" i="3"/>
  <c r="BH97" i="1"/>
  <c r="C39" i="3" s="1"/>
  <c r="C23" i="3"/>
  <c r="C21" i="3"/>
  <c r="BD97" i="1"/>
  <c r="C37" i="3" s="1"/>
  <c r="B18" i="3"/>
  <c r="B6" i="3"/>
  <c r="B26" i="3" s="1"/>
  <c r="B17" i="3"/>
  <c r="M95" i="1"/>
  <c r="B14" i="3" s="1"/>
  <c r="B14" i="8"/>
  <c r="B30" i="8" s="1"/>
  <c r="B13" i="3"/>
  <c r="B19" i="3"/>
  <c r="V97" i="1"/>
  <c r="B35" i="3" s="1"/>
  <c r="D6" i="3"/>
  <c r="D26" i="3" s="1"/>
  <c r="E6" i="3"/>
  <c r="E26" i="3" s="1"/>
  <c r="DU96" i="1"/>
  <c r="E7" i="3" s="1"/>
  <c r="B51" i="3" s="1" a="1"/>
  <c r="B51" i="3" s="1"/>
  <c r="D7" i="8"/>
  <c r="B7" i="8"/>
  <c r="E7" i="8"/>
  <c r="CV9" i="1"/>
  <c r="J9" i="1"/>
  <c r="F9" i="1"/>
  <c r="BR10" i="1"/>
  <c r="AN9" i="1"/>
  <c r="B50" i="8" l="1" a="1"/>
  <c r="B50" i="8" s="1"/>
  <c r="B49" i="8" a="1"/>
  <c r="B49" i="8" s="1"/>
  <c r="D27" i="8"/>
  <c r="J71" i="3"/>
  <c r="C27" i="8"/>
  <c r="F71" i="3"/>
  <c r="E27" i="8"/>
  <c r="D71" i="3"/>
  <c r="J8" i="3"/>
  <c r="B46" i="8" a="1"/>
  <c r="B46" i="8" s="1"/>
  <c r="J8" i="8"/>
  <c r="B63" i="3" a="1"/>
  <c r="B63" i="3" s="1"/>
  <c r="B61" i="3" a="1"/>
  <c r="B61" i="3" s="1"/>
  <c r="B46" i="3" a="1"/>
  <c r="B46" i="3" s="1"/>
  <c r="B56" i="3" a="1"/>
  <c r="B56" i="3" s="1"/>
  <c r="B64" i="3" a="1"/>
  <c r="B64" i="3" s="1"/>
  <c r="B47" i="3" a="1"/>
  <c r="B47" i="3" s="1"/>
  <c r="B65" i="3" a="1"/>
  <c r="B65" i="3" s="1"/>
  <c r="B55" i="3" a="1"/>
  <c r="B55" i="3" s="1"/>
  <c r="B68" i="3" a="1"/>
  <c r="B68" i="3" s="1"/>
  <c r="B45" i="3" a="1"/>
  <c r="B45" i="3" s="1"/>
  <c r="B58" i="3" a="1"/>
  <c r="B58" i="3" s="1"/>
  <c r="B53" i="3" a="1"/>
  <c r="B53" i="3" s="1"/>
  <c r="B57" i="3" a="1"/>
  <c r="B57" i="3" s="1"/>
  <c r="B48" i="3" a="1"/>
  <c r="B48" i="3" s="1"/>
  <c r="B59" i="3" a="1"/>
  <c r="B59" i="3" s="1"/>
  <c r="B60" i="3" a="1"/>
  <c r="B60" i="3" s="1"/>
  <c r="B62" i="3" a="1"/>
  <c r="B62" i="3" s="1"/>
  <c r="B68" i="8" a="1"/>
  <c r="B68" i="8" s="1"/>
  <c r="B65" i="8" a="1"/>
  <c r="B65" i="8" s="1"/>
  <c r="B57" i="8" a="1"/>
  <c r="B57" i="8" s="1"/>
  <c r="B47" i="8" a="1"/>
  <c r="B47" i="8" s="1"/>
  <c r="B58" i="8" a="1"/>
  <c r="B58" i="8" s="1"/>
  <c r="B64" i="8" a="1"/>
  <c r="B64" i="8" s="1"/>
  <c r="B56" i="8" a="1"/>
  <c r="B56" i="8" s="1"/>
  <c r="B63" i="8" a="1"/>
  <c r="B63" i="8" s="1"/>
  <c r="B55" i="8" a="1"/>
  <c r="B55" i="8" s="1"/>
  <c r="B45" i="8" a="1"/>
  <c r="B45" i="8" s="1"/>
  <c r="B48" i="8" a="1"/>
  <c r="B48" i="8" s="1"/>
  <c r="DA97" i="1"/>
  <c r="E31" i="3" s="1"/>
  <c r="E15" i="3"/>
  <c r="BW97" i="1"/>
  <c r="D31" i="3" s="1"/>
  <c r="D15" i="3"/>
  <c r="D8" i="3"/>
  <c r="E27" i="3"/>
  <c r="B27" i="8"/>
  <c r="I8" i="8"/>
  <c r="E8" i="8"/>
  <c r="H8" i="8"/>
  <c r="O97" i="1"/>
  <c r="B31" i="3" s="1"/>
  <c r="B15" i="3"/>
  <c r="C8" i="8"/>
  <c r="G8" i="8"/>
  <c r="B8" i="8"/>
  <c r="D8" i="8"/>
  <c r="F8" i="8"/>
  <c r="C8" i="3"/>
  <c r="G8" i="3"/>
  <c r="E8" i="3"/>
  <c r="F8" i="3"/>
  <c r="H8" i="3"/>
  <c r="I8" i="3"/>
  <c r="B8" i="3"/>
  <c r="JK58" i="1"/>
  <c r="IT58" i="1"/>
  <c r="IR58" i="1"/>
  <c r="JI58" i="1"/>
  <c r="JD60" i="1"/>
  <c r="JF60" i="1"/>
  <c r="JH60" i="1"/>
  <c r="IQ60" i="1"/>
  <c r="JJ60" i="1"/>
  <c r="IQ59" i="1"/>
  <c r="JG58" i="1"/>
  <c r="JE58" i="1"/>
  <c r="E14" i="3"/>
  <c r="BU97" i="1"/>
  <c r="D30" i="3" s="1"/>
  <c r="M97" i="1"/>
  <c r="B30" i="3" s="1"/>
  <c r="CV10" i="1"/>
  <c r="AN10" i="1"/>
  <c r="F10" i="1"/>
  <c r="BR11" i="1"/>
  <c r="J10" i="1"/>
  <c r="B54" i="3" l="1" a="1"/>
  <c r="B54" i="3" s="1"/>
  <c r="B52" i="3" a="1"/>
  <c r="B52" i="3" s="1"/>
  <c r="B71" i="3"/>
  <c r="B70" i="8"/>
  <c r="B70" i="3"/>
  <c r="JK60" i="1"/>
  <c r="JE60" i="1"/>
  <c r="JI60" i="1"/>
  <c r="IR60" i="1"/>
  <c r="JG60" i="1"/>
  <c r="JH61" i="1"/>
  <c r="IQ61" i="1"/>
  <c r="IS61" i="1" s="1"/>
  <c r="JJ61" i="1"/>
  <c r="JD61" i="1"/>
  <c r="JF61" i="1"/>
  <c r="IP61" i="1"/>
  <c r="IP62" i="1" s="1"/>
  <c r="IS60" i="1"/>
  <c r="CV11" i="1"/>
  <c r="F11" i="1"/>
  <c r="BR13" i="1"/>
  <c r="AN11" i="1"/>
  <c r="J11" i="1"/>
  <c r="J13" i="1" s="1"/>
  <c r="J14" i="1" s="1"/>
  <c r="J15" i="1" s="1"/>
  <c r="J16" i="1" s="1"/>
  <c r="J17" i="1" s="1"/>
  <c r="J18" i="1" s="1"/>
  <c r="J19" i="1" s="1"/>
  <c r="J20" i="1" s="1"/>
  <c r="J21" i="1" s="1"/>
  <c r="JI61" i="1" l="1"/>
  <c r="JK61" i="1"/>
  <c r="JG61" i="1"/>
  <c r="JE61" i="1"/>
  <c r="IR61" i="1"/>
  <c r="IP63" i="1"/>
  <c r="JH62" i="1"/>
  <c r="IQ62" i="1"/>
  <c r="JJ62" i="1"/>
  <c r="JF62" i="1"/>
  <c r="JD62" i="1"/>
  <c r="IT60" i="1"/>
  <c r="IT61" i="1" s="1"/>
  <c r="CV13" i="1"/>
  <c r="BR14" i="1"/>
  <c r="F13" i="1"/>
  <c r="AN13" i="1"/>
  <c r="JI62" i="1" l="1"/>
  <c r="JK62" i="1"/>
  <c r="JG62" i="1"/>
  <c r="IR62" i="1"/>
  <c r="JE62" i="1"/>
  <c r="JH63" i="1"/>
  <c r="IQ63" i="1"/>
  <c r="IS63" i="1" s="1"/>
  <c r="JJ63" i="1"/>
  <c r="JF63" i="1"/>
  <c r="JD63" i="1"/>
  <c r="IS62" i="1"/>
  <c r="CV14" i="1"/>
  <c r="BR15" i="1"/>
  <c r="F14" i="1"/>
  <c r="AN14" i="1"/>
  <c r="JK63" i="1" l="1"/>
  <c r="JG63" i="1"/>
  <c r="IR63" i="1"/>
  <c r="JH64" i="1"/>
  <c r="IQ64" i="1"/>
  <c r="JJ64" i="1"/>
  <c r="JF64" i="1"/>
  <c r="JD64" i="1"/>
  <c r="IP64" i="1"/>
  <c r="JI63" i="1"/>
  <c r="JE63" i="1"/>
  <c r="IT62" i="1"/>
  <c r="IT63" i="1" s="1"/>
  <c r="CV15" i="1"/>
  <c r="F15" i="1"/>
  <c r="BR16" i="1"/>
  <c r="AN15" i="1"/>
  <c r="JG64" i="1" l="1"/>
  <c r="IR64" i="1"/>
  <c r="JE64" i="1"/>
  <c r="JI64" i="1"/>
  <c r="IS64" i="1"/>
  <c r="IT64" i="1" s="1"/>
  <c r="IQ65" i="1"/>
  <c r="IS65" i="1" s="1"/>
  <c r="JJ65" i="1"/>
  <c r="JF65" i="1"/>
  <c r="JD65" i="1"/>
  <c r="JH65" i="1"/>
  <c r="IP65" i="1"/>
  <c r="IP66" i="1" s="1"/>
  <c r="JK64" i="1"/>
  <c r="CV16" i="1"/>
  <c r="BR17" i="1"/>
  <c r="AN16" i="1"/>
  <c r="F16" i="1"/>
  <c r="JG65" i="1" l="1"/>
  <c r="JI65" i="1"/>
  <c r="JE65" i="1"/>
  <c r="IR65" i="1"/>
  <c r="JK65" i="1"/>
  <c r="IT65" i="1"/>
  <c r="JJ66" i="1"/>
  <c r="JF66" i="1"/>
  <c r="JD66" i="1"/>
  <c r="IQ66" i="1"/>
  <c r="JH66" i="1"/>
  <c r="CV17" i="1"/>
  <c r="F17" i="1"/>
  <c r="AN17" i="1"/>
  <c r="BR18" i="1"/>
  <c r="JG66" i="1" l="1"/>
  <c r="JI66" i="1"/>
  <c r="IR66" i="1"/>
  <c r="JE66" i="1"/>
  <c r="JK66" i="1"/>
  <c r="JF67" i="1"/>
  <c r="JJ67" i="1"/>
  <c r="JD67" i="1"/>
  <c r="JH67" i="1"/>
  <c r="IQ67" i="1"/>
  <c r="IS67" i="1" s="1"/>
  <c r="IP67" i="1"/>
  <c r="IS66" i="1"/>
  <c r="IT66" i="1" s="1"/>
  <c r="CV18" i="1"/>
  <c r="F18" i="1"/>
  <c r="AN18" i="1"/>
  <c r="BR19" i="1"/>
  <c r="JI67" i="1" l="1"/>
  <c r="JG67" i="1"/>
  <c r="IT67" i="1"/>
  <c r="JE67" i="1"/>
  <c r="JK67" i="1"/>
  <c r="IP68" i="1"/>
  <c r="IP74" i="1" s="1"/>
  <c r="IP75" i="1" s="1"/>
  <c r="IP76" i="1" s="1"/>
  <c r="IP77" i="1" s="1"/>
  <c r="IP78" i="1" s="1"/>
  <c r="IP79" i="1" s="1"/>
  <c r="IP80" i="1" s="1"/>
  <c r="IP81" i="1" s="1"/>
  <c r="IP82" i="1" s="1"/>
  <c r="IP84" i="1" s="1"/>
  <c r="IP85" i="1" s="1"/>
  <c r="IP86" i="1" s="1"/>
  <c r="IP87" i="1" s="1"/>
  <c r="IP88" i="1" s="1"/>
  <c r="IP89" i="1" s="1"/>
  <c r="IP90" i="1" s="1"/>
  <c r="IP91" i="1" s="1"/>
  <c r="IP92" i="1" s="1"/>
  <c r="IR67" i="1"/>
  <c r="JD68" i="1"/>
  <c r="JD69" i="1" s="1"/>
  <c r="JD70" i="1" s="1"/>
  <c r="JH68" i="1"/>
  <c r="JH69" i="1" s="1"/>
  <c r="JH70" i="1" s="1"/>
  <c r="IQ68" i="1"/>
  <c r="IS68" i="1" s="1"/>
  <c r="IS69" i="1" s="1"/>
  <c r="IS70" i="1" s="1"/>
  <c r="JJ68" i="1"/>
  <c r="JJ69" i="1" s="1"/>
  <c r="JJ70" i="1" s="1"/>
  <c r="JF68" i="1"/>
  <c r="JF69" i="1" s="1"/>
  <c r="JF70" i="1" s="1"/>
  <c r="IO69" i="1"/>
  <c r="J12" i="7" s="1"/>
  <c r="CV19" i="1"/>
  <c r="AN19" i="1"/>
  <c r="BR20" i="1"/>
  <c r="F19" i="1"/>
  <c r="JJ71" i="1" l="1"/>
  <c r="J23" i="7"/>
  <c r="JH71" i="1"/>
  <c r="J22" i="7"/>
  <c r="JD71" i="1"/>
  <c r="J20" i="7"/>
  <c r="JF71" i="1"/>
  <c r="J21" i="7"/>
  <c r="IS71" i="1"/>
  <c r="J14" i="7"/>
  <c r="IO70" i="1"/>
  <c r="IR68" i="1"/>
  <c r="IR74" i="1" s="1"/>
  <c r="IR75" i="1" s="1"/>
  <c r="IR76" i="1" s="1"/>
  <c r="IR77" i="1" s="1"/>
  <c r="IR78" i="1" s="1"/>
  <c r="IR79" i="1" s="1"/>
  <c r="IR80" i="1" s="1"/>
  <c r="IR81" i="1" s="1"/>
  <c r="IR82" i="1" s="1"/>
  <c r="IR84" i="1" s="1"/>
  <c r="IR85" i="1" s="1"/>
  <c r="IR86" i="1" s="1"/>
  <c r="IR87" i="1" s="1"/>
  <c r="IR88" i="1" s="1"/>
  <c r="IR89" i="1" s="1"/>
  <c r="IR90" i="1" s="1"/>
  <c r="IR91" i="1" s="1"/>
  <c r="IR92" i="1" s="1"/>
  <c r="IQ69" i="1"/>
  <c r="IQ70" i="1" s="1"/>
  <c r="JI68" i="1"/>
  <c r="JG68" i="1"/>
  <c r="JG74" i="1" s="1"/>
  <c r="JG75" i="1" s="1"/>
  <c r="JG76" i="1" s="1"/>
  <c r="JG77" i="1" s="1"/>
  <c r="JG78" i="1" s="1"/>
  <c r="JG79" i="1" s="1"/>
  <c r="JG80" i="1" s="1"/>
  <c r="JG81" i="1" s="1"/>
  <c r="JG82" i="1" s="1"/>
  <c r="JG84" i="1" s="1"/>
  <c r="JG85" i="1" s="1"/>
  <c r="JG86" i="1" s="1"/>
  <c r="JG87" i="1" s="1"/>
  <c r="JG88" i="1" s="1"/>
  <c r="JG89" i="1" s="1"/>
  <c r="JG90" i="1" s="1"/>
  <c r="JG91" i="1" s="1"/>
  <c r="JG92" i="1" s="1"/>
  <c r="JE68" i="1"/>
  <c r="JK68" i="1"/>
  <c r="JK74" i="1" s="1"/>
  <c r="JK75" i="1" s="1"/>
  <c r="JK76" i="1" s="1"/>
  <c r="JK77" i="1" s="1"/>
  <c r="JK78" i="1" s="1"/>
  <c r="JK79" i="1" s="1"/>
  <c r="JK80" i="1" s="1"/>
  <c r="JK81" i="1" s="1"/>
  <c r="JK82" i="1" s="1"/>
  <c r="JK84" i="1" s="1"/>
  <c r="JK85" i="1" s="1"/>
  <c r="JK86" i="1" s="1"/>
  <c r="JK87" i="1" s="1"/>
  <c r="JK88" i="1" s="1"/>
  <c r="JK89" i="1" s="1"/>
  <c r="JK90" i="1" s="1"/>
  <c r="JK91" i="1" s="1"/>
  <c r="JK92" i="1" s="1"/>
  <c r="IT68" i="1"/>
  <c r="IT74" i="1" s="1"/>
  <c r="IT75" i="1" s="1"/>
  <c r="IT76" i="1" s="1"/>
  <c r="IT77" i="1" s="1"/>
  <c r="IT78" i="1" s="1"/>
  <c r="IT79" i="1" s="1"/>
  <c r="IT80" i="1" s="1"/>
  <c r="IT81" i="1" s="1"/>
  <c r="IT82" i="1" s="1"/>
  <c r="IT84" i="1" s="1"/>
  <c r="IT85" i="1" s="1"/>
  <c r="IT86" i="1" s="1"/>
  <c r="IT87" i="1" s="1"/>
  <c r="IT88" i="1" s="1"/>
  <c r="IT89" i="1" s="1"/>
  <c r="IT90" i="1" s="1"/>
  <c r="IT91" i="1" s="1"/>
  <c r="IT92" i="1" s="1"/>
  <c r="CV20" i="1"/>
  <c r="AN20" i="1"/>
  <c r="BR21" i="1"/>
  <c r="F20" i="1"/>
  <c r="JF95" i="1" l="1"/>
  <c r="JF97" i="1" s="1"/>
  <c r="J21" i="8"/>
  <c r="J37" i="8" s="1"/>
  <c r="B60" i="8" s="1" a="1"/>
  <c r="B60" i="8" s="1"/>
  <c r="JJ95" i="1"/>
  <c r="JJ97" i="1" s="1"/>
  <c r="J23" i="8"/>
  <c r="J39" i="8" s="1"/>
  <c r="B62" i="8" s="1" a="1"/>
  <c r="B62" i="8" s="1"/>
  <c r="JD95" i="1"/>
  <c r="JD97" i="1" s="1"/>
  <c r="J20" i="8"/>
  <c r="J36" i="8" s="1"/>
  <c r="B59" i="8" s="1" a="1"/>
  <c r="B59" i="8" s="1"/>
  <c r="JH95" i="1"/>
  <c r="JH97" i="1" s="1"/>
  <c r="J22" i="8"/>
  <c r="J38" i="8" s="1"/>
  <c r="B61" i="8" s="1" a="1"/>
  <c r="B61" i="8" s="1"/>
  <c r="IS95" i="1"/>
  <c r="IS97" i="1" s="1"/>
  <c r="J14" i="8"/>
  <c r="J30" i="8" s="1"/>
  <c r="B54" i="8" s="1" a="1"/>
  <c r="B54" i="8" s="1"/>
  <c r="IO71" i="1"/>
  <c r="J10" i="7"/>
  <c r="J24" i="7" s="1"/>
  <c r="IQ71" i="1"/>
  <c r="J13" i="7"/>
  <c r="IU70" i="1"/>
  <c r="CV21" i="1"/>
  <c r="F21" i="1"/>
  <c r="BR26" i="1"/>
  <c r="AN21" i="1"/>
  <c r="IO95" i="1" l="1"/>
  <c r="IO97" i="1" s="1"/>
  <c r="J12" i="8"/>
  <c r="J28" i="8" s="1"/>
  <c r="B51" i="8" s="1" a="1"/>
  <c r="B51" i="8" s="1"/>
  <c r="IQ95" i="1"/>
  <c r="IQ97" i="1" s="1"/>
  <c r="J13" i="8"/>
  <c r="J29" i="8" s="1"/>
  <c r="B53" i="8" s="1" a="1"/>
  <c r="B53" i="8" s="1"/>
  <c r="J15" i="7"/>
  <c r="IU71" i="1"/>
  <c r="CV26" i="1"/>
  <c r="F26" i="1"/>
  <c r="BR27" i="1"/>
  <c r="J26" i="1"/>
  <c r="AN26" i="1"/>
  <c r="IO96" i="1" l="1"/>
  <c r="IU95" i="1"/>
  <c r="IU97" i="1" s="1"/>
  <c r="J15" i="8"/>
  <c r="J31" i="8" s="1"/>
  <c r="B52" i="8" s="1" a="1"/>
  <c r="B52" i="8" s="1"/>
  <c r="CV27" i="1"/>
  <c r="J27" i="1"/>
  <c r="AN27" i="1"/>
  <c r="BR28" i="1"/>
  <c r="F27" i="1"/>
  <c r="CV28" i="1" l="1"/>
  <c r="BR29" i="1"/>
  <c r="AN28" i="1"/>
  <c r="F28" i="1"/>
  <c r="J28" i="1"/>
  <c r="CV29" i="1" l="1"/>
  <c r="J29" i="1"/>
  <c r="BR30" i="1"/>
  <c r="F29" i="1"/>
  <c r="AN29" i="1"/>
  <c r="CV30" i="1" l="1"/>
  <c r="J30" i="1"/>
  <c r="F30" i="1"/>
  <c r="BR31" i="1"/>
  <c r="AN30" i="1"/>
  <c r="CV31" i="1" l="1"/>
  <c r="AN31" i="1"/>
  <c r="F31" i="1"/>
  <c r="BR32" i="1"/>
  <c r="J31" i="1"/>
  <c r="CV32" i="1" l="1"/>
  <c r="F32" i="1"/>
  <c r="BR33" i="1"/>
  <c r="J32" i="1"/>
  <c r="AN32" i="1"/>
  <c r="CV33" i="1" l="1"/>
  <c r="AN33" i="1"/>
  <c r="J33" i="1"/>
  <c r="BR34" i="1"/>
  <c r="F33" i="1"/>
  <c r="CV34" i="1" l="1"/>
  <c r="BR36" i="1"/>
  <c r="F34" i="1"/>
  <c r="J34" i="1"/>
  <c r="AN34" i="1"/>
  <c r="CV36" i="1" l="1"/>
  <c r="BR37" i="1"/>
  <c r="AN36" i="1"/>
  <c r="F36" i="1"/>
  <c r="J36" i="1"/>
  <c r="CV37" i="1" l="1"/>
  <c r="J37" i="1"/>
  <c r="BR38" i="1"/>
  <c r="F37" i="1"/>
  <c r="AN37" i="1"/>
  <c r="CV38" i="1" l="1"/>
  <c r="BR39" i="1"/>
  <c r="F38" i="1"/>
  <c r="J38" i="1"/>
  <c r="AN38" i="1"/>
  <c r="CV39" i="1" l="1"/>
  <c r="AN39" i="1"/>
  <c r="J39" i="1"/>
  <c r="BR40" i="1"/>
  <c r="F39" i="1"/>
  <c r="CV40" i="1" l="1"/>
  <c r="J40" i="1"/>
  <c r="BR41" i="1"/>
  <c r="AN40" i="1"/>
  <c r="F40" i="1"/>
  <c r="CV41" i="1" l="1"/>
  <c r="BR42" i="1"/>
  <c r="AN41" i="1"/>
  <c r="J41" i="1"/>
  <c r="F41" i="1"/>
  <c r="CV42" i="1" l="1"/>
  <c r="J42" i="1"/>
  <c r="BR43" i="1"/>
  <c r="F42" i="1"/>
  <c r="AN42" i="1"/>
  <c r="CV43" i="1" l="1"/>
  <c r="AN43" i="1"/>
  <c r="BR44" i="1"/>
  <c r="F43" i="1"/>
  <c r="J43" i="1"/>
  <c r="CV44" i="1" l="1"/>
  <c r="BR50" i="1"/>
  <c r="AN44" i="1"/>
  <c r="F44" i="1"/>
  <c r="J44" i="1"/>
  <c r="CV50" i="1" l="1"/>
  <c r="AN50" i="1"/>
  <c r="J50" i="1"/>
  <c r="F50" i="1"/>
  <c r="BR51" i="1"/>
  <c r="CV51" i="1" l="1"/>
  <c r="J51" i="1"/>
  <c r="BR52" i="1"/>
  <c r="F51" i="1"/>
  <c r="AN51" i="1"/>
  <c r="CV52" i="1" l="1"/>
  <c r="F52" i="1"/>
  <c r="BR53" i="1"/>
  <c r="AN52" i="1"/>
  <c r="J52" i="1"/>
  <c r="CV53" i="1" l="1"/>
  <c r="AN53" i="1"/>
  <c r="BR54" i="1"/>
  <c r="J53" i="1"/>
  <c r="F53" i="1"/>
  <c r="CV54" i="1" l="1"/>
  <c r="BR55" i="1"/>
  <c r="J54" i="1"/>
  <c r="AN54" i="1"/>
  <c r="F54" i="1"/>
  <c r="CV55" i="1" l="1"/>
  <c r="F55" i="1"/>
  <c r="AN55" i="1"/>
  <c r="BR56" i="1"/>
  <c r="J55" i="1"/>
  <c r="CV56" i="1" l="1"/>
  <c r="BR57" i="1"/>
  <c r="AN56" i="1"/>
  <c r="J56" i="1"/>
  <c r="F56" i="1"/>
  <c r="CV57" i="1" l="1"/>
  <c r="BR58" i="1"/>
  <c r="AN57" i="1"/>
  <c r="J57" i="1"/>
  <c r="F57" i="1"/>
  <c r="CV58" i="1" l="1"/>
  <c r="J58" i="1"/>
  <c r="AN58" i="1"/>
  <c r="F58" i="1"/>
  <c r="BR60" i="1"/>
  <c r="CV60" i="1" l="1"/>
  <c r="BR61" i="1"/>
  <c r="J60" i="1"/>
  <c r="F60" i="1"/>
  <c r="AN60" i="1"/>
  <c r="CV61" i="1" l="1"/>
  <c r="BR62" i="1"/>
  <c r="J61" i="1"/>
  <c r="F61" i="1"/>
  <c r="AN61" i="1"/>
  <c r="CV62" i="1" l="1"/>
  <c r="F62" i="1"/>
  <c r="J62" i="1"/>
  <c r="AN62" i="1"/>
  <c r="BR63" i="1"/>
  <c r="CV63" i="1" l="1"/>
  <c r="J63" i="1"/>
  <c r="AN63" i="1"/>
  <c r="BR64" i="1"/>
  <c r="F63" i="1"/>
  <c r="CV64" i="1" l="1"/>
  <c r="BR65" i="1"/>
  <c r="J64" i="1"/>
  <c r="F64" i="1"/>
  <c r="AN64" i="1"/>
  <c r="CV65" i="1" l="1"/>
  <c r="AN65" i="1"/>
  <c r="BR66" i="1"/>
  <c r="J65" i="1"/>
  <c r="F65" i="1"/>
  <c r="CV66" i="1" l="1"/>
  <c r="F66" i="1"/>
  <c r="BR67" i="1"/>
  <c r="AN66" i="1"/>
  <c r="J66" i="1"/>
  <c r="CV67" i="1" l="1"/>
  <c r="BR68" i="1"/>
  <c r="J67" i="1"/>
  <c r="AN67" i="1"/>
  <c r="F67" i="1"/>
  <c r="CV68" i="1" l="1"/>
  <c r="J68" i="1"/>
  <c r="BR74" i="1"/>
  <c r="AN68" i="1"/>
  <c r="F68" i="1"/>
  <c r="CV74" i="1" l="1"/>
  <c r="BR75" i="1"/>
  <c r="F74" i="1"/>
  <c r="AN74" i="1"/>
  <c r="J74" i="1"/>
  <c r="CV75" i="1" l="1"/>
  <c r="BR76" i="1"/>
  <c r="J75" i="1"/>
  <c r="AN75" i="1"/>
  <c r="F75" i="1"/>
  <c r="CV76" i="1" l="1"/>
  <c r="BR77" i="1"/>
  <c r="AN76" i="1"/>
  <c r="J76" i="1"/>
  <c r="F76" i="1"/>
  <c r="CV77" i="1" l="1"/>
  <c r="AN77" i="1"/>
  <c r="F77" i="1"/>
  <c r="BR78" i="1"/>
  <c r="J77" i="1"/>
  <c r="CV78" i="1" l="1"/>
  <c r="F78" i="1"/>
  <c r="J78" i="1"/>
  <c r="AN78" i="1"/>
  <c r="BR79" i="1"/>
  <c r="CV79" i="1" l="1"/>
  <c r="AN79" i="1"/>
  <c r="J79" i="1"/>
  <c r="BR80" i="1"/>
  <c r="F79" i="1"/>
  <c r="CV80" i="1" l="1"/>
  <c r="BR81" i="1"/>
  <c r="F80" i="1"/>
  <c r="AN80" i="1"/>
  <c r="J80" i="1"/>
  <c r="CV81" i="1" l="1"/>
  <c r="BR82" i="1"/>
  <c r="AN81" i="1"/>
  <c r="J81" i="1"/>
  <c r="F81" i="1"/>
  <c r="CV82" i="1" l="1"/>
  <c r="AN82" i="1"/>
  <c r="J82" i="1"/>
  <c r="BR84" i="1"/>
  <c r="F82" i="1"/>
  <c r="CV84" i="1" l="1"/>
  <c r="BR85" i="1"/>
  <c r="J84" i="1"/>
  <c r="AN84" i="1"/>
  <c r="F84" i="1"/>
  <c r="CV85" i="1" l="1"/>
  <c r="F85" i="1"/>
  <c r="BR86" i="1"/>
  <c r="AN85" i="1"/>
  <c r="J85" i="1"/>
  <c r="CV86" i="1" l="1"/>
  <c r="AN86" i="1"/>
  <c r="J86" i="1"/>
  <c r="F86" i="1"/>
  <c r="BR87" i="1"/>
  <c r="CV87" i="1" l="1"/>
  <c r="J87" i="1"/>
  <c r="BR88" i="1"/>
  <c r="AN87" i="1"/>
  <c r="F87" i="1"/>
  <c r="CV88" i="1" l="1"/>
  <c r="F88" i="1"/>
  <c r="J88" i="1"/>
  <c r="AN88" i="1"/>
  <c r="BR89" i="1"/>
  <c r="CV89" i="1" l="1"/>
  <c r="F89" i="1"/>
  <c r="BR90" i="1"/>
  <c r="AN89" i="1"/>
  <c r="J89" i="1"/>
  <c r="CV90" i="1" l="1"/>
  <c r="J90" i="1"/>
  <c r="AN90" i="1"/>
  <c r="F90" i="1"/>
  <c r="BR91" i="1"/>
  <c r="CV91" i="1" l="1"/>
  <c r="F91" i="1"/>
  <c r="J91" i="1"/>
  <c r="AN91" i="1"/>
  <c r="BR92" i="1"/>
  <c r="CV92" i="1" l="1"/>
  <c r="AN92" i="1"/>
  <c r="J92" i="1"/>
  <c r="F9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<sst xmlns="http://schemas.openxmlformats.org/spreadsheetml/2006/main" count="1607" uniqueCount="109">
  <si>
    <t>Course</t>
  </si>
  <si>
    <t>Abschnitt</t>
  </si>
  <si>
    <t>Loch</t>
  </si>
  <si>
    <t>Par</t>
  </si>
  <si>
    <t>Par kum</t>
  </si>
  <si>
    <t>Schläge</t>
  </si>
  <si>
    <t>Schläge kum</t>
  </si>
  <si>
    <t>Putts</t>
  </si>
  <si>
    <t>Putts kum</t>
  </si>
  <si>
    <t>GIR</t>
  </si>
  <si>
    <t>GIR kum</t>
  </si>
  <si>
    <t>Up/Down</t>
  </si>
  <si>
    <t>Up/Down kum</t>
  </si>
  <si>
    <t>Birdie</t>
  </si>
  <si>
    <t>Birdie kum</t>
  </si>
  <si>
    <t>1 Put</t>
  </si>
  <si>
    <t>1 Put kum</t>
  </si>
  <si>
    <t>3+ Put</t>
  </si>
  <si>
    <t>3+ Put kum</t>
  </si>
  <si>
    <t>Par3 Perf</t>
  </si>
  <si>
    <t>Par4 Perf</t>
  </si>
  <si>
    <t>Par5 Perf</t>
  </si>
  <si>
    <t>Netto</t>
  </si>
  <si>
    <t>Netto kum</t>
  </si>
  <si>
    <t>Front Nine</t>
  </si>
  <si>
    <t>Total</t>
  </si>
  <si>
    <t>Back Nine</t>
  </si>
  <si>
    <t>18 L</t>
  </si>
  <si>
    <t>Tag 1-2</t>
  </si>
  <si>
    <t>36 L</t>
  </si>
  <si>
    <t>Total kum</t>
  </si>
  <si>
    <t>Tag 1-3</t>
  </si>
  <si>
    <t>54 L</t>
  </si>
  <si>
    <t>Tag 1-4</t>
  </si>
  <si>
    <t>72 L</t>
  </si>
  <si>
    <t>Über Par</t>
  </si>
  <si>
    <t>Durchschnitt</t>
  </si>
  <si>
    <t>Loch kum</t>
  </si>
  <si>
    <t>Chip in</t>
  </si>
  <si>
    <t>Chip in kum</t>
  </si>
  <si>
    <t>Manu</t>
  </si>
  <si>
    <t>Parli</t>
  </si>
  <si>
    <t>Meiky</t>
  </si>
  <si>
    <t>Pulfer</t>
  </si>
  <si>
    <t>Schläge über Par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</si>
  <si>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  <scheme val="minor"/>
      </rPr>
      <t>GIR pro Runde</t>
    </r>
  </si>
  <si>
    <t>Ø 1 Put pro Runde</t>
  </si>
  <si>
    <t>Ø 3+ Put pro Runde</t>
  </si>
  <si>
    <t>Gespieltes HCP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</si>
  <si>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  <scheme val="minor"/>
      </rPr>
      <t>Putts pro Loch</t>
    </r>
  </si>
  <si>
    <t>Pars</t>
  </si>
  <si>
    <t>Bogeys</t>
  </si>
  <si>
    <t>Ø Pars pro Runde</t>
  </si>
  <si>
    <t>Ø Bogeys pro Runde</t>
  </si>
  <si>
    <t>Ø Doubley Bogeys + pro Runde</t>
  </si>
  <si>
    <t>Double Bogey +</t>
  </si>
  <si>
    <t>Pars kum</t>
  </si>
  <si>
    <t>Bogeys kum</t>
  </si>
  <si>
    <t>D.Bogey+</t>
  </si>
  <si>
    <t>D.Bogey+ kum</t>
  </si>
  <si>
    <t>Ø Chip in pro Runde</t>
  </si>
  <si>
    <t>High Score</t>
  </si>
  <si>
    <t>Low Score</t>
  </si>
  <si>
    <t>Avg Score</t>
  </si>
  <si>
    <t>Tag 1
Zuoz</t>
  </si>
  <si>
    <t>Tag 2
Samedan</t>
  </si>
  <si>
    <t>Tag 3
Samedan</t>
  </si>
  <si>
    <t>Tag 4
Zuoz</t>
  </si>
  <si>
    <t>Andrea</t>
  </si>
  <si>
    <t>Jens</t>
  </si>
  <si>
    <t>Köbi</t>
  </si>
  <si>
    <t>Lenz</t>
  </si>
  <si>
    <t>Gewähltes HCP</t>
  </si>
  <si>
    <t>2 Put</t>
  </si>
  <si>
    <t>Ø 2 Put pro Runde</t>
  </si>
  <si>
    <t>2 Put kum</t>
  </si>
  <si>
    <t>Engadin Open Tag 1</t>
  </si>
  <si>
    <t>Engadin Open Tag 1-4</t>
  </si>
  <si>
    <t>Rang</t>
  </si>
  <si>
    <t>Engadin Open Tag 1-2</t>
  </si>
  <si>
    <t>Engadin Open Tag 4</t>
  </si>
  <si>
    <t>Engadin Open Tag 1-3</t>
  </si>
  <si>
    <t>Engadin Open Tag 3</t>
  </si>
  <si>
    <t>Engadin Open Tag 2</t>
  </si>
  <si>
    <t>Schläge über Par / gesp. HCP</t>
  </si>
  <si>
    <t>Schläge Front 9</t>
  </si>
  <si>
    <t>Schläge Back 9</t>
  </si>
  <si>
    <t>Putts Front 9</t>
  </si>
  <si>
    <t>Putts Back 9</t>
  </si>
  <si>
    <t>Schläge Netto</t>
  </si>
  <si>
    <t>Schläge Netto über Par</t>
  </si>
  <si>
    <t>Birdies</t>
  </si>
  <si>
    <t>Ø Birdies pro Runde</t>
  </si>
  <si>
    <t>Unnötige Putts</t>
  </si>
  <si>
    <t>Ø Unnötige Putts pro Runde</t>
  </si>
  <si>
    <t>Scramble</t>
  </si>
  <si>
    <t>Ø Scramble pro Runde</t>
  </si>
  <si>
    <t>Scramble kum</t>
  </si>
  <si>
    <t>Ø Schläge pro Runde</t>
  </si>
  <si>
    <t>Ø Netto-Schläge pro Runde</t>
  </si>
  <si>
    <t>Ø Schläge über Par pro Runde</t>
  </si>
  <si>
    <t>Ø Netto-Schläge über Par pro Runde</t>
  </si>
  <si>
    <t>Sortiert:</t>
  </si>
  <si>
    <t>Nach Tag 1</t>
  </si>
  <si>
    <t>Schläge über Par sortiert:</t>
  </si>
  <si>
    <t>nach Tag 2</t>
  </si>
  <si>
    <t>nach Tag 3</t>
  </si>
  <si>
    <t>Sutti</t>
  </si>
  <si>
    <t>Aui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</si>
</sst>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3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4" fillId="0" borderId="10" xfId="0" applyFont="1" applyBorder="1"/>
    <xf numFmtId="0" fontId="4" fillId="0" borderId="12" xfId="0" applyFont="1" applyBorder="1"/>
    <xf numFmtId="2" fontId="3" fillId="0" borderId="2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1" fontId="0" fillId="0" borderId="34" xfId="0" applyNumberFormat="1" applyBorder="1" applyAlignment="1">
      <alignment horizontal="left" vertical="top"/>
    </xf>
    <xf numFmtId="0" fontId="6" fillId="0" borderId="34" xfId="0" applyFont="1" applyBorder="1" applyAlignment="1">
      <alignment horizontal="left" vertical="top"/>
    </xf>
    <xf numFmtId="2" fontId="6" fillId="0" borderId="34" xfId="0" applyNumberFormat="1" applyFont="1" applyBorder="1" applyAlignment="1">
      <alignment horizontal="left" vertical="top"/>
    </xf>
    <xf numFmtId="0" fontId="6" fillId="0" borderId="33" xfId="0" applyFont="1" applyBorder="1" applyAlignment="1">
      <alignment horizontal="left" vertical="top"/>
    </xf>
    <xf numFmtId="0" fontId="3" fillId="0" borderId="33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37" xfId="0" applyFont="1" applyBorder="1" applyAlignment="1">
      <alignment horizontal="left" vertical="top"/>
    </xf>
    <xf numFmtId="2" fontId="6" fillId="0" borderId="37" xfId="0" applyNumberFormat="1" applyFont="1" applyBorder="1" applyAlignment="1">
      <alignment horizontal="left" vertical="top"/>
    </xf>
    <xf numFmtId="2" fontId="6" fillId="0" borderId="36" xfId="0" applyNumberFormat="1" applyFont="1" applyBorder="1" applyAlignment="1">
      <alignment horizontal="left" vertical="top"/>
    </xf>
    <xf numFmtId="2" fontId="6" fillId="0" borderId="38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6" fillId="0" borderId="39" xfId="0" applyNumberFormat="1" applyFont="1" applyBorder="1" applyAlignment="1">
      <alignment horizontal="left" vertical="top"/>
    </xf>
    <xf numFmtId="0" fontId="6" fillId="0" borderId="35" xfId="0" applyFont="1" applyBorder="1" applyAlignment="1">
      <alignment horizontal="left" vertical="top"/>
    </xf>
    <xf numFmtId="2" fontId="6" fillId="0" borderId="35" xfId="0" applyNumberFormat="1" applyFont="1" applyBorder="1" applyAlignment="1">
      <alignment horizontal="left" vertical="top"/>
    </xf>
    <xf numFmtId="2" fontId="6" fillId="0" borderId="33" xfId="0" applyNumberFormat="1" applyFont="1" applyBorder="1" applyAlignment="1">
      <alignment horizontal="left" vertical="top"/>
    </xf>
    <xf numFmtId="2" fontId="6" fillId="0" borderId="40" xfId="0" applyNumberFormat="1" applyFont="1" applyBorder="1" applyAlignment="1">
      <alignment horizontal="left" vertical="top"/>
    </xf>
    <xf numFmtId="0" fontId="6" fillId="0" borderId="36" xfId="0" applyFont="1" applyBorder="1" applyAlignment="1">
      <alignment horizontal="left" vertical="top"/>
    </xf>
    <xf numFmtId="0" fontId="6" fillId="0" borderId="38" xfId="0" applyFont="1" applyBorder="1" applyAlignment="1">
      <alignment horizontal="left" vertical="top"/>
    </xf>
    <xf numFmtId="0" fontId="6" fillId="0" borderId="39" xfId="0" applyFont="1" applyBorder="1" applyAlignment="1">
      <alignment horizontal="left" vertical="top"/>
    </xf>
    <xf numFmtId="0" fontId="6" fillId="0" borderId="40" xfId="0" applyFon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0" borderId="39" xfId="0" applyNumberFormat="1" applyBorder="1" applyAlignment="1">
      <alignment horizontal="left" vertical="top"/>
    </xf>
    <xf numFmtId="0" fontId="8" fillId="0" borderId="41" xfId="0" applyFont="1" applyBorder="1" applyAlignment="1">
      <alignment horizontal="left" vertical="top"/>
    </xf>
    <xf numFmtId="0" fontId="1" fillId="0" borderId="8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2" fontId="3" fillId="0" borderId="44" xfId="0" applyNumberFormat="1" applyFont="1" applyBorder="1" applyAlignment="1">
      <alignment horizontal="center"/>
    </xf>
    <xf numFmtId="0" fontId="8" fillId="0" borderId="37" xfId="0" applyFont="1" applyBorder="1" applyAlignment="1">
      <alignment horizontal="left" vertical="top"/>
    </xf>
    <xf numFmtId="0" fontId="8" fillId="2" borderId="37" xfId="0" applyFont="1" applyFill="1" applyBorder="1" applyAlignment="1">
      <alignment horizontal="left" vertical="top"/>
    </xf>
    <xf numFmtId="0" fontId="8" fillId="2" borderId="36" xfId="0" applyFont="1" applyFill="1" applyBorder="1" applyAlignment="1">
      <alignment horizontal="left" vertical="top"/>
    </xf>
    <xf numFmtId="0" fontId="8" fillId="2" borderId="38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45" xfId="0" applyFont="1" applyBorder="1" applyAlignment="1">
      <alignment horizontal="center"/>
    </xf>
    <xf numFmtId="0" fontId="8" fillId="0" borderId="0" xfId="0" applyFont="1"/>
    <xf numFmtId="1" fontId="6" fillId="0" borderId="34" xfId="0" applyNumberFormat="1" applyFont="1" applyBorder="1" applyAlignment="1">
      <alignment horizontal="left" vertical="top"/>
    </xf>
    <xf numFmtId="1" fontId="6" fillId="0" borderId="0" xfId="0" applyNumberFormat="1" applyFont="1" applyAlignment="1">
      <alignment horizontal="left" vertical="top"/>
    </xf>
    <xf numFmtId="1" fontId="6" fillId="0" borderId="39" xfId="0" applyNumberFormat="1" applyFont="1" applyBorder="1" applyAlignment="1">
      <alignment horizontal="left" vertical="top"/>
    </xf>
    <xf numFmtId="2" fontId="6" fillId="0" borderId="41" xfId="0" applyNumberFormat="1" applyFont="1" applyBorder="1" applyAlignment="1">
      <alignment horizontal="left" vertical="top"/>
    </xf>
    <xf numFmtId="2" fontId="6" fillId="0" borderId="42" xfId="0" applyNumberFormat="1" applyFont="1" applyBorder="1" applyAlignment="1">
      <alignment horizontal="left" vertical="top"/>
    </xf>
    <xf numFmtId="2" fontId="6" fillId="0" borderId="43" xfId="0" applyNumberFormat="1" applyFont="1" applyBorder="1" applyAlignment="1">
      <alignment horizontal="left" vertical="top"/>
    </xf>
    <xf numFmtId="2" fontId="0" fillId="0" borderId="37" xfId="0" applyNumberFormat="1" applyBorder="1" applyAlignment="1">
      <alignment horizontal="left" vertical="top"/>
    </xf>
    <xf numFmtId="2" fontId="0" fillId="0" borderId="36" xfId="0" applyNumberFormat="1" applyBorder="1" applyAlignment="1">
      <alignment horizontal="left" vertical="top"/>
    </xf>
    <xf numFmtId="2" fontId="0" fillId="0" borderId="38" xfId="0" applyNumberFormat="1" applyBorder="1" applyAlignment="1">
      <alignment horizontal="left" vertical="top"/>
    </xf>
    <xf numFmtId="2" fontId="0" fillId="0" borderId="34" xfId="0" applyNumberFormat="1" applyBorder="1" applyAlignment="1">
      <alignment horizontal="left" vertical="top"/>
    </xf>
    <xf numFmtId="2" fontId="0" fillId="0" borderId="0" xfId="0" applyNumberFormat="1" applyAlignment="1">
      <alignment horizontal="left" vertical="top"/>
    </xf>
    <xf numFmtId="2" fontId="0" fillId="0" borderId="39" xfId="0" applyNumberFormat="1" applyBorder="1" applyAlignment="1">
      <alignment horizontal="left" vertical="top"/>
    </xf>
    <xf numFmtId="2" fontId="0" fillId="0" borderId="35" xfId="0" applyNumberFormat="1" applyBorder="1" applyAlignment="1">
      <alignment horizontal="left" vertical="top"/>
    </xf>
    <xf numFmtId="2" fontId="0" fillId="0" borderId="33" xfId="0" applyNumberFormat="1" applyBorder="1" applyAlignment="1">
      <alignment horizontal="left" vertical="top"/>
    </xf>
    <xf numFmtId="2" fontId="0" fillId="0" borderId="40" xfId="0" applyNumberFormat="1" applyBorder="1" applyAlignment="1">
      <alignment horizontal="left" vertical="top"/>
    </xf>
    <xf numFmtId="0" fontId="8" fillId="0" borderId="35" xfId="0" applyFont="1" applyBorder="1" applyAlignment="1">
      <alignment horizontal="left" vertical="top"/>
    </xf>
    <xf numFmtId="1" fontId="8" fillId="0" borderId="35" xfId="0" applyNumberFormat="1" applyFont="1" applyBorder="1" applyAlignment="1">
      <alignment horizontal="left" vertical="top"/>
    </xf>
    <xf numFmtId="1" fontId="8" fillId="0" borderId="33" xfId="0" applyNumberFormat="1" applyFont="1" applyBorder="1" applyAlignment="1">
      <alignment horizontal="left" vertical="top"/>
    </xf>
    <xf numFmtId="1" fontId="8" fillId="0" borderId="40" xfId="0" applyNumberFormat="1" applyFont="1" applyBorder="1" applyAlignment="1">
      <alignment horizontal="left" vertical="top"/>
    </xf>
    <xf numFmtId="0" fontId="6" fillId="0" borderId="48" xfId="0" applyFont="1" applyBorder="1" applyAlignment="1">
      <alignment horizontal="left" vertical="top"/>
    </xf>
    <xf numFmtId="0" fontId="6" fillId="0" borderId="46" xfId="0" applyFont="1" applyBorder="1" applyAlignment="1">
      <alignment horizontal="left" vertical="top"/>
    </xf>
    <xf numFmtId="0" fontId="8" fillId="0" borderId="47" xfId="0" applyFont="1" applyBorder="1" applyAlignment="1">
      <alignment horizontal="left" vertical="top"/>
    </xf>
    <xf numFmtId="0" fontId="3" fillId="0" borderId="4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0" xfId="0" applyFont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8" fillId="2" borderId="41" xfId="0" applyFont="1" applyFill="1" applyBorder="1" applyAlignment="1">
      <alignment horizontal="left" vertical="top"/>
    </xf>
    <xf numFmtId="0" fontId="8" fillId="2" borderId="42" xfId="0" applyFont="1" applyFill="1" applyBorder="1" applyAlignment="1">
      <alignment horizontal="left" vertical="top"/>
    </xf>
    <xf numFmtId="0" fontId="8" fillId="2" borderId="43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64" fontId="6" fillId="0" borderId="34" xfId="0" applyNumberFormat="1" applyFont="1" applyBorder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4" fontId="6" fillId="0" borderId="33" xfId="0" applyNumberFormat="1" applyFont="1" applyBorder="1" applyAlignment="1">
      <alignment horizontal="left" vertical="top"/>
    </xf>
    <xf numFmtId="164" fontId="6" fillId="0" borderId="35" xfId="0" applyNumberFormat="1" applyFont="1" applyBorder="1" applyAlignment="1">
      <alignment horizontal="left" vertical="top"/>
    </xf>
    <xf numFmtId="2" fontId="11" fillId="0" borderId="33" xfId="0" applyNumberFormat="1" applyFont="1" applyBorder="1" applyAlignment="1">
      <alignment horizontal="left" vertical="top"/>
    </xf>
    <xf numFmtId="0" fontId="12" fillId="0" borderId="41" xfId="0" applyFont="1" applyBorder="1" applyAlignment="1">
      <alignment horizontal="left" vertical="top"/>
    </xf>
    <xf numFmtId="0" fontId="11" fillId="0" borderId="41" xfId="0" applyFont="1" applyBorder="1" applyAlignment="1">
      <alignment horizontal="left" vertical="top"/>
    </xf>
    <xf numFmtId="0" fontId="11" fillId="0" borderId="42" xfId="0" applyFont="1" applyBorder="1" applyAlignment="1">
      <alignment horizontal="left" vertical="top"/>
    </xf>
    <xf numFmtId="0" fontId="11" fillId="0" borderId="37" xfId="0" applyFont="1" applyBorder="1" applyAlignment="1">
      <alignment horizontal="left" vertical="top"/>
    </xf>
    <xf numFmtId="2" fontId="11" fillId="0" borderId="37" xfId="0" applyNumberFormat="1" applyFont="1" applyBorder="1" applyAlignment="1">
      <alignment horizontal="left" vertical="top"/>
    </xf>
    <xf numFmtId="2" fontId="11" fillId="0" borderId="36" xfId="0" applyNumberFormat="1" applyFont="1" applyBorder="1" applyAlignment="1">
      <alignment horizontal="left" vertical="top"/>
    </xf>
    <xf numFmtId="0" fontId="11" fillId="0" borderId="34" xfId="0" applyFont="1" applyBorder="1" applyAlignment="1">
      <alignment horizontal="left" vertical="top"/>
    </xf>
    <xf numFmtId="2" fontId="11" fillId="0" borderId="34" xfId="0" applyNumberFormat="1" applyFont="1" applyBorder="1" applyAlignment="1">
      <alignment horizontal="left" vertical="top"/>
    </xf>
    <xf numFmtId="2" fontId="11" fillId="0" borderId="0" xfId="0" applyNumberFormat="1" applyFont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2" fontId="11" fillId="0" borderId="35" xfId="0" applyNumberFormat="1" applyFont="1" applyBorder="1" applyAlignment="1">
      <alignment horizontal="left" vertical="top"/>
    </xf>
    <xf numFmtId="0" fontId="11" fillId="0" borderId="36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6" fillId="0" borderId="47" xfId="0" applyFont="1" applyBorder="1" applyAlignment="1">
      <alignment horizontal="left" vertical="top"/>
    </xf>
    <xf numFmtId="0" fontId="10" fillId="3" borderId="37" xfId="0" applyFont="1" applyFill="1" applyBorder="1" applyAlignment="1">
      <alignment horizontal="left" vertical="top"/>
    </xf>
    <xf numFmtId="0" fontId="10" fillId="3" borderId="34" xfId="0" applyFont="1" applyFill="1" applyBorder="1" applyAlignment="1">
      <alignment horizontal="left" vertical="top"/>
    </xf>
    <xf numFmtId="0" fontId="10" fillId="3" borderId="35" xfId="0" applyFont="1" applyFill="1" applyBorder="1" applyAlignment="1">
      <alignment horizontal="left" vertical="top"/>
    </xf>
    <xf numFmtId="0" fontId="10" fillId="3" borderId="41" xfId="0" applyFont="1" applyFill="1" applyBorder="1" applyAlignment="1">
      <alignment horizontal="left" vertical="top"/>
    </xf>
    <xf numFmtId="0" fontId="11" fillId="0" borderId="38" xfId="0" applyFont="1" applyBorder="1" applyAlignment="1">
      <alignment horizontal="left" vertical="top"/>
    </xf>
    <xf numFmtId="0" fontId="11" fillId="0" borderId="39" xfId="0" applyFont="1" applyBorder="1" applyAlignment="1">
      <alignment horizontal="left" vertical="top"/>
    </xf>
    <xf numFmtId="0" fontId="11" fillId="0" borderId="40" xfId="0" applyFont="1" applyBorder="1" applyAlignment="1">
      <alignment horizontal="left" vertical="top"/>
    </xf>
    <xf numFmtId="2" fontId="11" fillId="0" borderId="40" xfId="0" applyNumberFormat="1" applyFont="1" applyBorder="1" applyAlignment="1">
      <alignment horizontal="left" vertical="top"/>
    </xf>
    <xf numFmtId="1" fontId="10" fillId="3" borderId="43" xfId="0" applyNumberFormat="1" applyFont="1" applyFill="1" applyBorder="1" applyAlignment="1">
      <alignment horizontal="left" vertical="top"/>
    </xf>
    <xf numFmtId="1" fontId="11" fillId="0" borderId="34" xfId="0" applyNumberFormat="1" applyFont="1" applyBorder="1" applyAlignment="1">
      <alignment horizontal="left" vertical="top"/>
    </xf>
    <xf numFmtId="1" fontId="11" fillId="0" borderId="0" xfId="0" applyNumberFormat="1" applyFont="1" applyAlignment="1">
      <alignment horizontal="left" vertical="top"/>
    </xf>
    <xf numFmtId="1" fontId="11" fillId="0" borderId="35" xfId="0" applyNumberFormat="1" applyFont="1" applyBorder="1" applyAlignment="1">
      <alignment horizontal="left" vertical="top"/>
    </xf>
    <xf numFmtId="1" fontId="11" fillId="0" borderId="33" xfId="0" applyNumberFormat="1" applyFont="1" applyBorder="1" applyAlignment="1">
      <alignment horizontal="left" vertical="top"/>
    </xf>
    <xf numFmtId="1" fontId="0" fillId="0" borderId="40" xfId="0" applyNumberFormat="1" applyBorder="1" applyAlignment="1">
      <alignment horizontal="left" vertical="top"/>
    </xf>
    <xf numFmtId="164" fontId="6" fillId="0" borderId="40" xfId="0" applyNumberFormat="1" applyFont="1" applyBorder="1" applyAlignment="1">
      <alignment horizontal="left" vertical="top"/>
    </xf>
    <xf numFmtId="0" fontId="4" fillId="0" borderId="39" xfId="0" applyFont="1" applyBorder="1" applyAlignment="1">
      <alignment horizontal="center" wrapText="1"/>
    </xf>
    <xf numFmtId="0" fontId="11" fillId="0" borderId="43" xfId="0" applyFont="1" applyBorder="1" applyAlignment="1">
      <alignment horizontal="left" vertical="top"/>
    </xf>
    <xf numFmtId="2" fontId="11" fillId="0" borderId="38" xfId="0" applyNumberFormat="1" applyFont="1" applyBorder="1" applyAlignment="1">
      <alignment horizontal="left" vertical="top"/>
    </xf>
    <xf numFmtId="2" fontId="11" fillId="0" borderId="39" xfId="0" applyNumberFormat="1" applyFont="1" applyBorder="1" applyAlignment="1">
      <alignment horizontal="left" vertical="top"/>
    </xf>
    <xf numFmtId="1" fontId="10" fillId="3" borderId="42" xfId="0" applyNumberFormat="1" applyFont="1" applyFill="1" applyBorder="1" applyAlignment="1">
      <alignment horizontal="left" vertical="top"/>
    </xf>
    <xf numFmtId="1" fontId="10" fillId="3" borderId="36" xfId="0" applyNumberFormat="1" applyFont="1" applyFill="1" applyBorder="1" applyAlignment="1">
      <alignment horizontal="left" vertical="top"/>
    </xf>
    <xf numFmtId="1" fontId="10" fillId="3" borderId="38" xfId="0" applyNumberFormat="1" applyFont="1" applyFill="1" applyBorder="1" applyAlignment="1">
      <alignment horizontal="left" vertical="top"/>
    </xf>
    <xf numFmtId="1" fontId="10" fillId="3" borderId="33" xfId="0" applyNumberFormat="1" applyFont="1" applyFill="1" applyBorder="1" applyAlignment="1">
      <alignment horizontal="left" vertical="top"/>
    </xf>
    <xf numFmtId="1" fontId="10" fillId="3" borderId="40" xfId="0" applyNumberFormat="1" applyFont="1" applyFill="1" applyBorder="1" applyAlignment="1">
      <alignment horizontal="left" vertical="top"/>
    </xf>
    <xf numFmtId="0" fontId="5" fillId="0" borderId="5" xfId="0" applyFont="1" applyBorder="1" applyAlignment="1">
      <alignment horizontal="center"/>
    </xf>
    <xf numFmtId="0" fontId="9" fillId="0" borderId="3" xfId="0" applyFont="1" applyBorder="1"/>
    <xf numFmtId="0" fontId="9" fillId="0" borderId="6" xfId="0" applyFont="1" applyBorder="1"/>
    <xf numFmtId="0" fontId="9" fillId="0" borderId="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11" xfId="0" applyFont="1" applyBorder="1"/>
    <xf numFmtId="0" fontId="2" fillId="0" borderId="8" xfId="0" applyFont="1" applyBorder="1"/>
    <xf numFmtId="0" fontId="5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18" xfId="0" applyFont="1" applyBorder="1"/>
    <xf numFmtId="0" fontId="5" fillId="0" borderId="31" xfId="0" applyFont="1" applyBorder="1" applyAlignment="1">
      <alignment horizontal="center" vertical="center"/>
    </xf>
    <xf numFmtId="0" fontId="2" fillId="0" borderId="22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10" fillId="3" borderId="0" xfId="0" applyNumberFormat="1" applyFont="1" applyFill="1" applyAlignment="1">
      <alignment horizontal="left" vertical="top"/>
    </xf>
    <xf numFmtId="0" fontId="6" fillId="0" borderId="38" xfId="0" applyFont="1" applyFill="1" applyBorder="1" applyAlignment="1">
      <alignment horizontal="left" vertical="top"/>
    </xf>
    <xf numFmtId="1" fontId="6" fillId="0" borderId="39" xfId="0" applyNumberFormat="1" applyFont="1" applyFill="1" applyBorder="1" applyAlignment="1">
      <alignment horizontal="left" vertical="top"/>
    </xf>
    <xf numFmtId="1" fontId="0" fillId="0" borderId="39" xfId="0" applyNumberFormat="1" applyFill="1" applyBorder="1" applyAlignment="1">
      <alignment horizontal="left" vertical="top"/>
    </xf>
    <xf numFmtId="1" fontId="8" fillId="0" borderId="40" xfId="0" applyNumberFormat="1" applyFont="1" applyFill="1" applyBorder="1" applyAlignment="1">
      <alignment horizontal="left" vertical="top"/>
    </xf>
    <xf numFmtId="0" fontId="6" fillId="0" borderId="39" xfId="0" applyFont="1" applyFill="1" applyBorder="1" applyAlignment="1">
      <alignment horizontal="left" vertical="top"/>
    </xf>
    <xf numFmtId="0" fontId="6" fillId="0" borderId="40" xfId="0" applyFont="1" applyFill="1" applyBorder="1" applyAlignment="1">
      <alignment horizontal="left" vertical="top"/>
    </xf>
    <xf numFmtId="2" fontId="6" fillId="0" borderId="43" xfId="0" applyNumberFormat="1" applyFont="1" applyFill="1" applyBorder="1" applyAlignment="1">
      <alignment horizontal="left" vertical="top"/>
    </xf>
    <xf numFmtId="2" fontId="6" fillId="0" borderId="38" xfId="0" applyNumberFormat="1" applyFont="1" applyFill="1" applyBorder="1" applyAlignment="1">
      <alignment horizontal="left" vertical="top"/>
    </xf>
    <xf numFmtId="2" fontId="6" fillId="0" borderId="39" xfId="0" applyNumberFormat="1" applyFont="1" applyFill="1" applyBorder="1" applyAlignment="1">
      <alignment horizontal="left" vertical="top"/>
    </xf>
    <xf numFmtId="2" fontId="6" fillId="0" borderId="40" xfId="0" applyNumberFormat="1" applyFont="1" applyFill="1" applyBorder="1" applyAlignment="1">
      <alignment horizontal="left" vertical="top"/>
    </xf>
    <xf numFmtId="2" fontId="0" fillId="0" borderId="39" xfId="0" applyNumberFormat="1" applyFill="1" applyBorder="1" applyAlignment="1">
      <alignment horizontal="left" vertical="top"/>
    </xf>
    <xf numFmtId="2" fontId="0" fillId="0" borderId="40" xfId="0" applyNumberFormat="1" applyFill="1" applyBorder="1" applyAlignment="1">
      <alignment horizontal="left" vertical="top"/>
    </xf>
    <xf numFmtId="2" fontId="0" fillId="0" borderId="38" xfId="0" applyNumberFormat="1" applyFill="1" applyBorder="1" applyAlignment="1">
      <alignment horizontal="left" vertical="top"/>
    </xf>
    <xf numFmtId="1" fontId="10" fillId="3" borderId="39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1 Tag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22661111111111"/>
          <c:y val="0.22294472222222222"/>
          <c:w val="0.87186666666666679"/>
          <c:h val="0.68266000000000004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Tag1'!$A$31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Tag1'!$B$31:$J$31</c:f>
              <c:numCache>
                <c:formatCode>General</c:formatCode>
                <c:ptCount val="9"/>
                <c:pt idx="0">
                  <c:v>-4.9999999999999858</c:v>
                </c:pt>
                <c:pt idx="1">
                  <c:v>6</c:v>
                </c:pt>
                <c:pt idx="2">
                  <c:v>6.9999999999999716</c:v>
                </c:pt>
                <c:pt idx="3">
                  <c:v>10.999999999999986</c:v>
                </c:pt>
                <c:pt idx="4">
                  <c:v>11</c:v>
                </c:pt>
                <c:pt idx="5">
                  <c:v>16</c:v>
                </c:pt>
                <c:pt idx="6">
                  <c:v>16.999999999999986</c:v>
                </c:pt>
                <c:pt idx="7">
                  <c:v>19</c:v>
                </c:pt>
                <c:pt idx="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E-493A-929C-F99A4106D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Tag1'!$A$32</c:f>
              <c:strCache>
                <c:ptCount val="1"/>
                <c:pt idx="0">
                  <c:v>Schläge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Tag1'!$B$32:$J$32</c:f>
              <c:numCache>
                <c:formatCode>0</c:formatCode>
                <c:ptCount val="9"/>
                <c:pt idx="0">
                  <c:v>82</c:v>
                </c:pt>
                <c:pt idx="1">
                  <c:v>101</c:v>
                </c:pt>
                <c:pt idx="2">
                  <c:v>121</c:v>
                </c:pt>
                <c:pt idx="3">
                  <c:v>93</c:v>
                </c:pt>
                <c:pt idx="4">
                  <c:v>101</c:v>
                </c:pt>
                <c:pt idx="5">
                  <c:v>104</c:v>
                </c:pt>
                <c:pt idx="6">
                  <c:v>108</c:v>
                </c:pt>
                <c:pt idx="7">
                  <c:v>136</c:v>
                </c:pt>
                <c:pt idx="8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6-479F-9759-5708140968DE}"/>
            </c:ext>
          </c:extLst>
        </c:ser>
        <c:ser>
          <c:idx val="1"/>
          <c:order val="1"/>
          <c:tx>
            <c:strRef>
              <c:f>'Zusammenfassung Tag1'!$A$33</c:f>
              <c:strCache>
                <c:ptCount val="1"/>
                <c:pt idx="0">
                  <c:v>Schläge über 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Tag1'!$B$33:$J$33</c:f>
              <c:numCache>
                <c:formatCode>0</c:formatCode>
                <c:ptCount val="9"/>
                <c:pt idx="0">
                  <c:v>10</c:v>
                </c:pt>
                <c:pt idx="1">
                  <c:v>29</c:v>
                </c:pt>
                <c:pt idx="2">
                  <c:v>49</c:v>
                </c:pt>
                <c:pt idx="3">
                  <c:v>21</c:v>
                </c:pt>
                <c:pt idx="4">
                  <c:v>29</c:v>
                </c:pt>
                <c:pt idx="5">
                  <c:v>32</c:v>
                </c:pt>
                <c:pt idx="6">
                  <c:v>36</c:v>
                </c:pt>
                <c:pt idx="7">
                  <c:v>64</c:v>
                </c:pt>
                <c:pt idx="8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6-479F-9759-57081409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Tag1'!$A$35</c:f>
              <c:strCache>
                <c:ptCount val="1"/>
                <c:pt idx="0">
                  <c:v>Unnötige Putts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8.0924465633065851E-2"/>
                  <c:y val="-2.25442719797776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8B-46E3-BCF1-0D4D8121E27A}"/>
                </c:ext>
              </c:extLst>
            </c:dLbl>
            <c:dLbl>
              <c:idx val="4"/>
              <c:layout>
                <c:manualLayout>
                  <c:x val="-3.6953336730074192E-2"/>
                  <c:y val="8.566823352315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8B-46E3-BCF1-0D4D8121E27A}"/>
                </c:ext>
              </c:extLst>
            </c:dLbl>
            <c:dLbl>
              <c:idx val="6"/>
              <c:layout>
                <c:manualLayout>
                  <c:x val="-3.6953336730074192E-2"/>
                  <c:y val="7.12398994560972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8B-46E3-BCF1-0D4D8121E27A}"/>
                </c:ext>
              </c:extLst>
            </c:dLbl>
            <c:dLbl>
              <c:idx val="7"/>
              <c:layout>
                <c:manualLayout>
                  <c:x val="-3.7302982105187961E-2"/>
                  <c:y val="-4.41867730803641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8B-46E3-BCF1-0D4D8121E27A}"/>
                </c:ext>
              </c:extLst>
            </c:dLbl>
            <c:dLbl>
              <c:idx val="8"/>
              <c:layout>
                <c:manualLayout>
                  <c:x val="-2.6986983163769795E-2"/>
                  <c:y val="3.5169064288453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8B-46E3-BCF1-0D4D8121E27A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Tag1'!$B$35:$J$35</c:f>
              <c:numCache>
                <c:formatCode>0.00</c:formatCode>
                <c:ptCount val="9"/>
                <c:pt idx="0">
                  <c:v>8.8000000000000007</c:v>
                </c:pt>
                <c:pt idx="1">
                  <c:v>14.149999999999999</c:v>
                </c:pt>
                <c:pt idx="2">
                  <c:v>23.25</c:v>
                </c:pt>
                <c:pt idx="3">
                  <c:v>8.3500000000000014</c:v>
                </c:pt>
                <c:pt idx="4">
                  <c:v>17.8</c:v>
                </c:pt>
                <c:pt idx="5">
                  <c:v>12.05</c:v>
                </c:pt>
                <c:pt idx="6">
                  <c:v>19.25</c:v>
                </c:pt>
                <c:pt idx="7">
                  <c:v>22.5</c:v>
                </c:pt>
                <c:pt idx="8" formatCode="General">
                  <c:v>13.05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B-46E3-BCF1-0D4D8121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Tag1'!$A$34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085797297665985E-2"/>
                  <c:y val="-4.7793856597128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8B-46E3-BCF1-0D4D8121E27A}"/>
                </c:ext>
              </c:extLst>
            </c:dLbl>
            <c:dLbl>
              <c:idx val="2"/>
              <c:layout>
                <c:manualLayout>
                  <c:x val="-3.7340282664420514E-2"/>
                  <c:y val="8.566823352315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8B-46E3-BCF1-0D4D8121E27A}"/>
                </c:ext>
              </c:extLst>
            </c:dLbl>
            <c:dLbl>
              <c:idx val="4"/>
              <c:layout>
                <c:manualLayout>
                  <c:x val="-3.3822592352181186E-2"/>
                  <c:y val="-4.41867730803641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8B-46E3-BCF1-0D4D8121E27A}"/>
                </c:ext>
              </c:extLst>
            </c:dLbl>
            <c:dLbl>
              <c:idx val="5"/>
              <c:layout>
                <c:manualLayout>
                  <c:x val="-3.382259235218131E-2"/>
                  <c:y val="-5.8615107147421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8B-46E3-BCF1-0D4D8121E27A}"/>
                </c:ext>
              </c:extLst>
            </c:dLbl>
            <c:dLbl>
              <c:idx val="6"/>
              <c:layout>
                <c:manualLayout>
                  <c:x val="-3.9099127820540314E-2"/>
                  <c:y val="-3.69726060468352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8B-46E3-BCF1-0D4D8121E27A}"/>
                </c:ext>
              </c:extLst>
            </c:dLbl>
            <c:dLbl>
              <c:idx val="7"/>
              <c:layout>
                <c:manualLayout>
                  <c:x val="-4.0941192654740464E-2"/>
                  <c:y val="6.4025732422568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8B-46E3-BCF1-0D4D8121E27A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Tag1'!$B$34:$J$34</c:f>
              <c:numCache>
                <c:formatCode>0.00</c:formatCode>
                <c:ptCount val="9"/>
                <c:pt idx="0">
                  <c:v>1.8888888888888888</c:v>
                </c:pt>
                <c:pt idx="1">
                  <c:v>2.1111111111111112</c:v>
                </c:pt>
                <c:pt idx="2">
                  <c:v>2.6666666666666665</c:v>
                </c:pt>
                <c:pt idx="3">
                  <c:v>1.8888888888888888</c:v>
                </c:pt>
                <c:pt idx="4">
                  <c:v>2.3888888888888888</c:v>
                </c:pt>
                <c:pt idx="5">
                  <c:v>1.9444444444444444</c:v>
                </c:pt>
                <c:pt idx="6">
                  <c:v>2.4444444444444446</c:v>
                </c:pt>
                <c:pt idx="7">
                  <c:v>2.5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B-46E3-BCF1-0D4D8121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Tag1'!$A$36</c:f>
              <c:strCache>
                <c:ptCount val="1"/>
                <c:pt idx="0">
                  <c:v>GIR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206374719606158E-2"/>
                  <c:y val="-0.136167402757856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66-4908-9CB1-4C78FB6B441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Tag1'!$B$36:$J$36</c:f>
              <c:numCache>
                <c:formatCode>0.00</c:formatCode>
                <c:ptCount val="9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1</c:v>
                </c:pt>
                <c:pt idx="6">
                  <c:v>5</c:v>
                </c:pt>
                <c:pt idx="7">
                  <c:v>0</c:v>
                </c:pt>
                <c:pt idx="8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6-4908-9CB1-4C78FB6B4411}"/>
            </c:ext>
          </c:extLst>
        </c:ser>
        <c:ser>
          <c:idx val="1"/>
          <c:order val="1"/>
          <c:tx>
            <c:strRef>
              <c:f>'Zusammenfassung Tag1'!$A$37</c:f>
              <c:strCache>
                <c:ptCount val="1"/>
                <c:pt idx="0">
                  <c:v>Scramble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Tag1'!$B$37:$J$37</c:f>
              <c:numCache>
                <c:formatCode>0.00</c:formatCode>
                <c:ptCount val="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6-4908-9CB1-4C78FB6B4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Tag1'!$A$38</c:f>
              <c:strCache>
                <c:ptCount val="1"/>
                <c:pt idx="0">
                  <c:v>Birdies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Tag1'!$B$38:$J$38</c:f>
              <c:numCache>
                <c:formatCode>0.00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C-486A-BD61-5151ABFDBE3D}"/>
            </c:ext>
          </c:extLst>
        </c:ser>
        <c:ser>
          <c:idx val="1"/>
          <c:order val="1"/>
          <c:tx>
            <c:strRef>
              <c:f>'Zusammenfassung Tag1'!$A$39</c:f>
              <c:strCache>
                <c:ptCount val="1"/>
                <c:pt idx="0">
                  <c:v>Pars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2155694444444445E-2"/>
                  <c:y val="-8.37847222222223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C-486A-BD61-5151ABFDBE3D}"/>
                </c:ext>
              </c:extLst>
            </c:dLbl>
            <c:dLbl>
              <c:idx val="4"/>
              <c:layout>
                <c:manualLayout>
                  <c:x val="-2.5100138888888953E-2"/>
                  <c:y val="-9.0840277777777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C-486A-BD61-5151ABFDBE3D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Tag1'!$B$39:$J$39</c:f>
              <c:numCache>
                <c:formatCode>0.00</c:formatCode>
                <c:ptCount val="9"/>
                <c:pt idx="0">
                  <c:v>7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 formatCode="General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C-486A-BD61-5151ABFD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Tag1'!$A$40</c:f>
              <c:strCache>
                <c:ptCount val="1"/>
                <c:pt idx="0">
                  <c:v>Bogeys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3020050281232951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C0-4CC3-AF8F-21D73F846E83}"/>
                </c:ext>
              </c:extLst>
            </c:dLbl>
            <c:dLbl>
              <c:idx val="6"/>
              <c:layout>
                <c:manualLayout>
                  <c:x val="-3.2155694444444445E-2"/>
                  <c:y val="6.4381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C0-4CC3-AF8F-21D73F846E83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Tag1'!$B$40:$J$40</c:f>
              <c:numCache>
                <c:formatCode>0.00</c:formatCode>
                <c:ptCount val="9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4</c:v>
                </c:pt>
                <c:pt idx="6">
                  <c:v>7</c:v>
                </c:pt>
                <c:pt idx="7">
                  <c:v>2</c:v>
                </c:pt>
                <c:pt idx="8" formatCode="General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0-4CC3-AF8F-21D73F846E83}"/>
            </c:ext>
          </c:extLst>
        </c:ser>
        <c:ser>
          <c:idx val="1"/>
          <c:order val="1"/>
          <c:tx>
            <c:strRef>
              <c:f>'Zusammenfassung Tag1'!$A$41</c:f>
              <c:strCache>
                <c:ptCount val="1"/>
                <c:pt idx="0">
                  <c:v>Double Bogey 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9469076258844792E-2"/>
                  <c:y val="-5.3798611111111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C0-4CC3-AF8F-21D73F846E83}"/>
                </c:ext>
              </c:extLst>
            </c:dLbl>
            <c:dLbl>
              <c:idx val="2"/>
              <c:layout>
                <c:manualLayout>
                  <c:x val="-4.2629443138770311E-2"/>
                  <c:y val="-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C0-4CC3-AF8F-21D73F846E83}"/>
                </c:ext>
              </c:extLst>
            </c:dLbl>
            <c:dLbl>
              <c:idx val="5"/>
              <c:layout>
                <c:manualLayout>
                  <c:x val="-4.0587083333333336E-2"/>
                  <c:y val="-5.3798611111111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C0-4CC3-AF8F-21D73F846E83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Tag1'!$B$41:$J$41</c:f>
              <c:numCache>
                <c:formatCode>0.00</c:formatCode>
                <c:ptCount val="9"/>
                <c:pt idx="0">
                  <c:v>1</c:v>
                </c:pt>
                <c:pt idx="1">
                  <c:v>9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12</c:v>
                </c:pt>
                <c:pt idx="6">
                  <c:v>9</c:v>
                </c:pt>
                <c:pt idx="7">
                  <c:v>16</c:v>
                </c:pt>
                <c:pt idx="8" formatCode="General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0-4CC3-AF8F-21D73F846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Tag1'!$A$43</c:f>
              <c:strCache>
                <c:ptCount val="1"/>
                <c:pt idx="0">
                  <c:v>1 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3919583333333336E-2"/>
                  <c:y val="-4.674305555555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6D-4316-9082-250360FF0982}"/>
                </c:ext>
              </c:extLst>
            </c:dLbl>
            <c:dLbl>
              <c:idx val="3"/>
              <c:layout>
                <c:manualLayout>
                  <c:x val="-3.2155694444444508E-2"/>
                  <c:y val="-6.7909722222222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6D-4316-9082-250360FF0982}"/>
                </c:ext>
              </c:extLst>
            </c:dLbl>
            <c:dLbl>
              <c:idx val="5"/>
              <c:layout>
                <c:manualLayout>
                  <c:x val="-3.3919583333333399E-2"/>
                  <c:y val="-4.32152777777779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6D-4316-9082-250360FF0982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Tag1'!$B$43:$J$43</c:f>
              <c:numCache>
                <c:formatCode>0.00</c:formatCode>
                <c:ptCount val="9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 formatCode="General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D-4316-9082-250360FF0982}"/>
            </c:ext>
          </c:extLst>
        </c:ser>
        <c:ser>
          <c:idx val="1"/>
          <c:order val="1"/>
          <c:tx>
            <c:strRef>
              <c:f>'Zusammenfassung Tag1'!$A$44</c:f>
              <c:strCache>
                <c:ptCount val="1"/>
                <c:pt idx="0">
                  <c:v>2 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Tag1'!$B$44:$J$44</c:f>
              <c:numCache>
                <c:formatCode>0.00</c:formatCode>
                <c:ptCount val="9"/>
                <c:pt idx="0">
                  <c:v>13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8</c:v>
                </c:pt>
                <c:pt idx="5">
                  <c:v>13</c:v>
                </c:pt>
                <c:pt idx="6">
                  <c:v>10</c:v>
                </c:pt>
                <c:pt idx="7">
                  <c:v>10</c:v>
                </c:pt>
                <c:pt idx="8" formatCode="General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D-4316-9082-250360FF0982}"/>
            </c:ext>
          </c:extLst>
        </c:ser>
        <c:ser>
          <c:idx val="2"/>
          <c:order val="2"/>
          <c:tx>
            <c:strRef>
              <c:f>'Zusammenfassung Tag1'!$A$45</c:f>
              <c:strCache>
                <c:ptCount val="1"/>
                <c:pt idx="0">
                  <c:v>3+ Put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3.2155694444444508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6D-4316-9082-250360FF0982}"/>
                </c:ext>
              </c:extLst>
            </c:dLbl>
            <c:dLbl>
              <c:idx val="5"/>
              <c:layout>
                <c:manualLayout>
                  <c:x val="-3.568347222222229E-2"/>
                  <c:y val="3.96874999999998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6D-4316-9082-250360FF0982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Tag1'!$B$45:$J$45</c:f>
              <c:numCache>
                <c:formatCode>0.00</c:formatCode>
                <c:ptCount val="9"/>
                <c:pt idx="0">
                  <c:v>1</c:v>
                </c:pt>
                <c:pt idx="1">
                  <c:v>5</c:v>
                </c:pt>
                <c:pt idx="2">
                  <c:v>9</c:v>
                </c:pt>
                <c:pt idx="3">
                  <c:v>1</c:v>
                </c:pt>
                <c:pt idx="4">
                  <c:v>8</c:v>
                </c:pt>
                <c:pt idx="5">
                  <c:v>2</c:v>
                </c:pt>
                <c:pt idx="6">
                  <c:v>8</c:v>
                </c:pt>
                <c:pt idx="7">
                  <c:v>8</c:v>
                </c:pt>
                <c:pt idx="8" formatCode="General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6D-4316-9082-250360FF0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Tag1'!$A$46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5693019414181569E-2"/>
                  <c:y val="-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DBB-4D5D-88A0-75CD3DC15F49}"/>
                </c:ext>
              </c:extLst>
            </c:dLbl>
            <c:dLbl>
              <c:idx val="1"/>
              <c:layout>
                <c:manualLayout>
                  <c:x val="-1.2428409078358673E-2"/>
                  <c:y val="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DBB-4D5D-88A0-75CD3DC15F49}"/>
                </c:ext>
              </c:extLst>
            </c:dLbl>
            <c:dLbl>
              <c:idx val="2"/>
              <c:layout>
                <c:manualLayout>
                  <c:x val="-2.4856818156717347E-2"/>
                  <c:y val="-2.4694444444444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DBB-4D5D-88A0-75CD3DC15F49}"/>
                </c:ext>
              </c:extLst>
            </c:dLbl>
            <c:dLbl>
              <c:idx val="3"/>
              <c:layout>
                <c:manualLayout>
                  <c:x val="1.7754870111940961E-3"/>
                  <c:y val="-3.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DBB-4D5D-88A0-75CD3DC15F49}"/>
                </c:ext>
              </c:extLst>
            </c:dLbl>
            <c:dLbl>
              <c:idx val="4"/>
              <c:layout>
                <c:manualLayout>
                  <c:x val="-3.3734253212687824E-2"/>
                  <c:y val="-5.9972222222222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DBB-4D5D-88A0-75CD3DC15F49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Tag1'!$B$46:$J$46</c:f>
              <c:numCache>
                <c:formatCode>0.00</c:formatCode>
                <c:ptCount val="9"/>
                <c:pt idx="0">
                  <c:v>0.75</c:v>
                </c:pt>
                <c:pt idx="1">
                  <c:v>1.5</c:v>
                </c:pt>
                <c:pt idx="2">
                  <c:v>2</c:v>
                </c:pt>
                <c:pt idx="3">
                  <c:v>1.25</c:v>
                </c:pt>
                <c:pt idx="4">
                  <c:v>1.25</c:v>
                </c:pt>
                <c:pt idx="5">
                  <c:v>2.5</c:v>
                </c:pt>
                <c:pt idx="6">
                  <c:v>1.75</c:v>
                </c:pt>
                <c:pt idx="7">
                  <c:v>2.75</c:v>
                </c:pt>
                <c:pt idx="8" formatCode="General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B-4D5D-88A0-75CD3DC15F49}"/>
            </c:ext>
          </c:extLst>
        </c:ser>
        <c:ser>
          <c:idx val="1"/>
          <c:order val="1"/>
          <c:tx>
            <c:strRef>
              <c:f>'Zusammenfassung Tag1'!$A$47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5979383100746865E-2"/>
                  <c:y val="-0.1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DBB-4D5D-88A0-75CD3DC15F49}"/>
                </c:ext>
              </c:extLst>
            </c:dLbl>
            <c:dLbl>
              <c:idx val="2"/>
              <c:layout>
                <c:manualLayout>
                  <c:x val="-3.1958766201493731E-2"/>
                  <c:y val="-5.9972222222222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DBB-4D5D-88A0-75CD3DC15F49}"/>
                </c:ext>
              </c:extLst>
            </c:dLbl>
            <c:dLbl>
              <c:idx val="3"/>
              <c:layout>
                <c:manualLayout>
                  <c:x val="-2.8407792179105537E-2"/>
                  <c:y val="3.880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DBB-4D5D-88A0-75CD3DC15F49}"/>
                </c:ext>
              </c:extLst>
            </c:dLbl>
            <c:dLbl>
              <c:idx val="4"/>
              <c:layout>
                <c:manualLayout>
                  <c:x val="-2.4856818156717347E-2"/>
                  <c:y val="3.1749999999999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DBB-4D5D-88A0-75CD3DC15F49}"/>
                </c:ext>
              </c:extLst>
            </c:dLbl>
            <c:dLbl>
              <c:idx val="5"/>
              <c:layout>
                <c:manualLayout>
                  <c:x val="-2.663230516791144E-2"/>
                  <c:y val="-4.5861111111111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DBB-4D5D-88A0-75CD3DC15F49}"/>
                </c:ext>
              </c:extLst>
            </c:dLbl>
            <c:dLbl>
              <c:idx val="6"/>
              <c:layout>
                <c:manualLayout>
                  <c:x val="-3.1958766201493731E-2"/>
                  <c:y val="-3.880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BB-4D5D-88A0-75CD3DC15F49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Tag1'!$B$47:$J$47</c:f>
              <c:numCache>
                <c:formatCode>0.00</c:formatCode>
                <c:ptCount val="9"/>
                <c:pt idx="0">
                  <c:v>0.4</c:v>
                </c:pt>
                <c:pt idx="1">
                  <c:v>1.6</c:v>
                </c:pt>
                <c:pt idx="2">
                  <c:v>3</c:v>
                </c:pt>
                <c:pt idx="3">
                  <c:v>1</c:v>
                </c:pt>
                <c:pt idx="4">
                  <c:v>1.2</c:v>
                </c:pt>
                <c:pt idx="5">
                  <c:v>1.6</c:v>
                </c:pt>
                <c:pt idx="6">
                  <c:v>2.2999999999999998</c:v>
                </c:pt>
                <c:pt idx="7">
                  <c:v>3.6</c:v>
                </c:pt>
                <c:pt idx="8" formatCode="General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B-4D5D-88A0-75CD3DC15F49}"/>
            </c:ext>
          </c:extLst>
        </c:ser>
        <c:ser>
          <c:idx val="2"/>
          <c:order val="2"/>
          <c:tx>
            <c:strRef>
              <c:f>'Zusammenfassung Tag1'!$A$48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958766201493745E-2"/>
                  <c:y val="-7.0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DBB-4D5D-88A0-75CD3DC15F49}"/>
                </c:ext>
              </c:extLst>
            </c:dLbl>
            <c:dLbl>
              <c:idx val="1"/>
              <c:layout>
                <c:manualLayout>
                  <c:x val="-5.1489123324628787E-2"/>
                  <c:y val="-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DBB-4D5D-88A0-75CD3DC15F49}"/>
                </c:ext>
              </c:extLst>
            </c:dLbl>
            <c:dLbl>
              <c:idx val="3"/>
              <c:layout>
                <c:manualLayout>
                  <c:x val="-4.0836201257464212E-2"/>
                  <c:y val="-8.11388888888889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BB-4D5D-88A0-75CD3DC15F49}"/>
                </c:ext>
              </c:extLst>
            </c:dLbl>
            <c:dLbl>
              <c:idx val="5"/>
              <c:layout>
                <c:manualLayout>
                  <c:x val="-3.728522723507615E-2"/>
                  <c:y val="6.3500000000000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DBB-4D5D-88A0-75CD3DC15F49}"/>
                </c:ext>
              </c:extLst>
            </c:dLbl>
            <c:dLbl>
              <c:idx val="6"/>
              <c:layout>
                <c:manualLayout>
                  <c:x val="-1.7754870111940962E-2"/>
                  <c:y val="3.880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DBB-4D5D-88A0-75CD3DC15F49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Tag1'!$B$30:$J$30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Aui</c:v>
                </c:pt>
                <c:pt idx="3">
                  <c:v>Parli</c:v>
                </c:pt>
                <c:pt idx="4">
                  <c:v>Pulfer</c:v>
                </c:pt>
                <c:pt idx="5">
                  <c:v>Lenz</c:v>
                </c:pt>
                <c:pt idx="6">
                  <c:v>Meiky</c:v>
                </c:pt>
                <c:pt idx="7">
                  <c:v>Sutti</c:v>
                </c:pt>
                <c:pt idx="8">
                  <c:v>Köbi</c:v>
                </c:pt>
              </c:strCache>
            </c:strRef>
          </c:cat>
          <c:val>
            <c:numRef>
              <c:f>'Zusammenfassung Tag1'!$B$48:$J$48</c:f>
              <c:numCache>
                <c:formatCode>0.00</c:formatCode>
                <c:ptCount val="9"/>
                <c:pt idx="0">
                  <c:v>0.75</c:v>
                </c:pt>
                <c:pt idx="1">
                  <c:v>1.75</c:v>
                </c:pt>
                <c:pt idx="2">
                  <c:v>2.75</c:v>
                </c:pt>
                <c:pt idx="3">
                  <c:v>1.5</c:v>
                </c:pt>
                <c:pt idx="4">
                  <c:v>3</c:v>
                </c:pt>
                <c:pt idx="5">
                  <c:v>1.5</c:v>
                </c:pt>
                <c:pt idx="6">
                  <c:v>1.5</c:v>
                </c:pt>
                <c:pt idx="7">
                  <c:v>4.25</c:v>
                </c:pt>
                <c:pt idx="8" formatCode="General">
                  <c:v>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4D5D-88A0-75CD3DC15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05022222222222"/>
          <c:y val="0.2723336111111111"/>
          <c:w val="0.87363055555555558"/>
          <c:h val="0.5697711111111111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Tag1-2'!$A$46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Tag1-2'!$B$46:$J$46</c:f>
              <c:numCache>
                <c:formatCode>General</c:formatCode>
                <c:ptCount val="9"/>
                <c:pt idx="0">
                  <c:v>-2</c:v>
                </c:pt>
                <c:pt idx="1">
                  <c:v>8.9999999999999716</c:v>
                </c:pt>
                <c:pt idx="2">
                  <c:v>10</c:v>
                </c:pt>
                <c:pt idx="3">
                  <c:v>14</c:v>
                </c:pt>
                <c:pt idx="4">
                  <c:v>16.999999999999972</c:v>
                </c:pt>
                <c:pt idx="5">
                  <c:v>21</c:v>
                </c:pt>
                <c:pt idx="6">
                  <c:v>23</c:v>
                </c:pt>
                <c:pt idx="7">
                  <c:v>25.999999999999972</c:v>
                </c:pt>
                <c:pt idx="8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8-403E-8123-2F8590A3395A}"/>
            </c:ext>
          </c:extLst>
        </c:ser>
        <c:ser>
          <c:idx val="1"/>
          <c:order val="1"/>
          <c:tx>
            <c:strRef>
              <c:f>'Zusammenfassung Tag1-2'!$A$69</c:f>
              <c:strCache>
                <c:ptCount val="1"/>
                <c:pt idx="0">
                  <c:v>Nach Tag 1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3175">
                <a:solidFill>
                  <a:schemeClr val="accent2"/>
                </a:solidFill>
              </a:ln>
              <a:effectLst/>
            </c:spPr>
          </c:marker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Tag1-2'!$B$69:$J$69</c:f>
              <c:numCache>
                <c:formatCode>0</c:formatCode>
                <c:ptCount val="9"/>
                <c:pt idx="0" formatCode="General">
                  <c:v>-4.9999999999999858</c:v>
                </c:pt>
                <c:pt idx="1">
                  <c:v>10.999999999999986</c:v>
                </c:pt>
                <c:pt idx="2">
                  <c:v>6</c:v>
                </c:pt>
                <c:pt idx="3">
                  <c:v>11</c:v>
                </c:pt>
                <c:pt idx="4">
                  <c:v>6.9999999999999716</c:v>
                </c:pt>
                <c:pt idx="5">
                  <c:v>19</c:v>
                </c:pt>
                <c:pt idx="6">
                  <c:v>16</c:v>
                </c:pt>
                <c:pt idx="7">
                  <c:v>16.999999999999986</c:v>
                </c:pt>
                <c:pt idx="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3-4089-BAB6-C9A05FA86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  <a:r>
              <a:rPr lang="de-CH" baseline="0"/>
              <a:t> nach 2 Tagen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Tag1-2'!$A$47</c:f>
              <c:strCache>
                <c:ptCount val="1"/>
                <c:pt idx="0">
                  <c:v>Ø Schläge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Tag1-2'!$B$47:$J$47</c:f>
              <c:numCache>
                <c:formatCode>0.00</c:formatCode>
                <c:ptCount val="9"/>
                <c:pt idx="0">
                  <c:v>86</c:v>
                </c:pt>
                <c:pt idx="1">
                  <c:v>86.5</c:v>
                </c:pt>
                <c:pt idx="2">
                  <c:v>100</c:v>
                </c:pt>
                <c:pt idx="3">
                  <c:v>97</c:v>
                </c:pt>
                <c:pt idx="4">
                  <c:v>122.5</c:v>
                </c:pt>
                <c:pt idx="5">
                  <c:v>127.5</c:v>
                </c:pt>
                <c:pt idx="6">
                  <c:v>99.5</c:v>
                </c:pt>
                <c:pt idx="7">
                  <c:v>104</c:v>
                </c:pt>
                <c:pt idx="8">
                  <c:v>118.5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B-4620-90E8-E3B6EE538157}"/>
            </c:ext>
          </c:extLst>
        </c:ser>
        <c:ser>
          <c:idx val="1"/>
          <c:order val="1"/>
          <c:tx>
            <c:strRef>
              <c:f>'Zusammenfassung Tag1-2'!$A$48</c:f>
              <c:strCache>
                <c:ptCount val="1"/>
                <c:pt idx="0">
                  <c:v>Ø Schläge über Par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Tag1-2'!$B$48:$J$48</c:f>
              <c:numCache>
                <c:formatCode>0.00</c:formatCode>
                <c:ptCount val="9"/>
                <c:pt idx="0">
                  <c:v>14</c:v>
                </c:pt>
                <c:pt idx="1">
                  <c:v>14.5</c:v>
                </c:pt>
                <c:pt idx="2">
                  <c:v>28</c:v>
                </c:pt>
                <c:pt idx="3">
                  <c:v>25</c:v>
                </c:pt>
                <c:pt idx="4">
                  <c:v>50.5</c:v>
                </c:pt>
                <c:pt idx="5">
                  <c:v>55.5</c:v>
                </c:pt>
                <c:pt idx="6">
                  <c:v>27.5</c:v>
                </c:pt>
                <c:pt idx="7">
                  <c:v>32</c:v>
                </c:pt>
                <c:pt idx="8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B-4620-90E8-E3B6EE538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Tag1-2'!$A$52</c:f>
              <c:strCache>
                <c:ptCount val="1"/>
                <c:pt idx="0">
                  <c:v>Ø Unnötige Putts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0288461538461604E-2"/>
                  <c:y val="-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4C-4CFF-80CB-018A4692D971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Tag1-2'!$B$52:$J$52</c:f>
              <c:numCache>
                <c:formatCode>0.00</c:formatCode>
                <c:ptCount val="9"/>
                <c:pt idx="0">
                  <c:v>8.5250000000000004</c:v>
                </c:pt>
                <c:pt idx="1">
                  <c:v>8.4</c:v>
                </c:pt>
                <c:pt idx="2">
                  <c:v>10.649999999999999</c:v>
                </c:pt>
                <c:pt idx="3">
                  <c:v>15.025</c:v>
                </c:pt>
                <c:pt idx="4">
                  <c:v>20.149999999999999</c:v>
                </c:pt>
                <c:pt idx="5">
                  <c:v>20</c:v>
                </c:pt>
                <c:pt idx="6">
                  <c:v>12.875</c:v>
                </c:pt>
                <c:pt idx="7">
                  <c:v>16.7</c:v>
                </c:pt>
                <c:pt idx="8">
                  <c:v>13.275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D5-40FA-AEEC-1A63BD99B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Tag1-2'!$A$51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3.7802706552706553E-2"/>
                  <c:y val="-4.32152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4C-4CFF-80CB-018A4692D971}"/>
                </c:ext>
              </c:extLst>
            </c:dLbl>
            <c:dLbl>
              <c:idx val="5"/>
              <c:layout>
                <c:manualLayout>
                  <c:x val="-4.3144586894586896E-2"/>
                  <c:y val="4.8506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4C-4CFF-80CB-018A4692D971}"/>
                </c:ext>
              </c:extLst>
            </c:dLbl>
            <c:dLbl>
              <c:idx val="6"/>
              <c:layout>
                <c:manualLayout>
                  <c:x val="-3.7802706552706553E-2"/>
                  <c:y val="-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4C-4CFF-80CB-018A4692D971}"/>
                </c:ext>
              </c:extLst>
            </c:dLbl>
            <c:dLbl>
              <c:idx val="7"/>
              <c:layout>
                <c:manualLayout>
                  <c:x val="-3.7802706552706553E-2"/>
                  <c:y val="-4.321527777777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4C-4CFF-80CB-018A4692D97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Tag1-2'!$B$51:$J$51</c:f>
              <c:numCache>
                <c:formatCode>0.00</c:formatCode>
                <c:ptCount val="9"/>
                <c:pt idx="0">
                  <c:v>1.8611111111111112</c:v>
                </c:pt>
                <c:pt idx="1">
                  <c:v>1.9166666666666667</c:v>
                </c:pt>
                <c:pt idx="2">
                  <c:v>1.9166666666666667</c:v>
                </c:pt>
                <c:pt idx="3">
                  <c:v>2.2222222222222223</c:v>
                </c:pt>
                <c:pt idx="4">
                  <c:v>2.4444444444444446</c:v>
                </c:pt>
                <c:pt idx="5">
                  <c:v>2.3611111111111112</c:v>
                </c:pt>
                <c:pt idx="6">
                  <c:v>2.0277777777777777</c:v>
                </c:pt>
                <c:pt idx="7">
                  <c:v>2.2777777777777777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5-40FA-AEEC-1A63BD99B95F}"/>
            </c:ext>
          </c:extLst>
        </c:ser>
        <c:ser>
          <c:idx val="2"/>
          <c:order val="2"/>
          <c:tx>
            <c:strRef>
              <c:f>'Zusammenfassung Tag1-2'!$A$59</c:f>
              <c:strCache>
                <c:ptCount val="1"/>
                <c:pt idx="0">
                  <c:v>Ø Chip in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57067005292205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4C-4CFF-80CB-018A4692D97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'Zusammenfassung Tag1-2'!$B$59:$J$59</c:f>
              <c:numCache>
                <c:formatCode>0.00</c:formatCode>
                <c:ptCount val="9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4C-4CFF-80CB-018A4692D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Tag1-2'!$A$53</c:f>
              <c:strCache>
                <c:ptCount val="1"/>
                <c:pt idx="0">
                  <c:v>Ø GIR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9943019943E-2"/>
                  <c:y val="-0.112006944444444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48-483E-8F51-A0CA79B26E17}"/>
                </c:ext>
              </c:extLst>
            </c:dLbl>
            <c:dLbl>
              <c:idx val="5"/>
              <c:layout>
                <c:manualLayout>
                  <c:x val="-3.2460826210826209E-2"/>
                  <c:y val="-9.0840277777777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48-483E-8F51-A0CA79B26E17}"/>
                </c:ext>
              </c:extLst>
            </c:dLbl>
            <c:dLbl>
              <c:idx val="8"/>
              <c:layout>
                <c:manualLayout>
                  <c:x val="-3.2460826210826341E-2"/>
                  <c:y val="-8.0256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48-483E-8F51-A0CA79B26E17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Tag1-2'!$B$53:$J$53</c:f>
              <c:numCache>
                <c:formatCode>0.00</c:formatCode>
                <c:ptCount val="9"/>
                <c:pt idx="0">
                  <c:v>5.5</c:v>
                </c:pt>
                <c:pt idx="1">
                  <c:v>8</c:v>
                </c:pt>
                <c:pt idx="2">
                  <c:v>3</c:v>
                </c:pt>
                <c:pt idx="3">
                  <c:v>5.5</c:v>
                </c:pt>
                <c:pt idx="4">
                  <c:v>3</c:v>
                </c:pt>
                <c:pt idx="5">
                  <c:v>0</c:v>
                </c:pt>
                <c:pt idx="6">
                  <c:v>2.5</c:v>
                </c:pt>
                <c:pt idx="7">
                  <c:v>4</c:v>
                </c:pt>
                <c:pt idx="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3-4B86-A9D2-996AC9E76FD9}"/>
            </c:ext>
          </c:extLst>
        </c:ser>
        <c:ser>
          <c:idx val="1"/>
          <c:order val="1"/>
          <c:tx>
            <c:strRef>
              <c:f>'Zusammenfassung Tag1-2'!$A$54</c:f>
              <c:strCache>
                <c:ptCount val="1"/>
                <c:pt idx="0">
                  <c:v>Ø Scramble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Tag1-2'!$B$54:$J$54</c:f>
              <c:numCache>
                <c:formatCode>0.00</c:formatCode>
                <c:ptCount val="9"/>
                <c:pt idx="0">
                  <c:v>2.5</c:v>
                </c:pt>
                <c:pt idx="1">
                  <c:v>2.5</c:v>
                </c:pt>
                <c:pt idx="2">
                  <c:v>2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1.5</c:v>
                </c:pt>
                <c:pt idx="7">
                  <c:v>0</c:v>
                </c:pt>
                <c:pt idx="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3-4B86-A9D2-996AC9E76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Tag1-2'!$A$55</c:f>
              <c:strCache>
                <c:ptCount val="1"/>
                <c:pt idx="0">
                  <c:v>Ø Birdies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Tag1-2'!$B$55:$J$55</c:f>
              <c:numCache>
                <c:formatCode>0.00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F-4182-A5FC-3079CB4D16BF}"/>
            </c:ext>
          </c:extLst>
        </c:ser>
        <c:ser>
          <c:idx val="1"/>
          <c:order val="1"/>
          <c:tx>
            <c:strRef>
              <c:f>'Zusammenfassung Tag1-2'!$A$56</c:f>
              <c:strCache>
                <c:ptCount val="1"/>
                <c:pt idx="0">
                  <c:v>Ø Pars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7118945868945869E-2"/>
                  <c:y val="-9.43680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AA-4CEC-9F28-3E63ED6F598A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Tag1-2'!$B$56:$J$56</c:f>
              <c:numCache>
                <c:formatCode>0.00</c:formatCode>
                <c:ptCount val="9"/>
                <c:pt idx="0">
                  <c:v>6.5</c:v>
                </c:pt>
                <c:pt idx="1">
                  <c:v>9</c:v>
                </c:pt>
                <c:pt idx="2">
                  <c:v>3.5</c:v>
                </c:pt>
                <c:pt idx="3">
                  <c:v>3.5</c:v>
                </c:pt>
                <c:pt idx="4">
                  <c:v>0.5</c:v>
                </c:pt>
                <c:pt idx="5">
                  <c:v>0</c:v>
                </c:pt>
                <c:pt idx="6">
                  <c:v>2.5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F-4182-A5FC-3079CB4D1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Tag1-2'!$A$57</c:f>
              <c:strCache>
                <c:ptCount val="1"/>
                <c:pt idx="0">
                  <c:v>Ø Bogeys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B5-4FC4-BC5F-07E183129062}"/>
                </c:ext>
              </c:extLst>
            </c:dLbl>
            <c:dLbl>
              <c:idx val="6"/>
              <c:layout>
                <c:manualLayout>
                  <c:x val="-1.9901831159362147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B5-4FC4-BC5F-07E183129062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Tag1-2'!$B$57:$J$57</c:f>
              <c:numCache>
                <c:formatCode>0.00</c:formatCode>
                <c:ptCount val="9"/>
                <c:pt idx="0">
                  <c:v>7.5</c:v>
                </c:pt>
                <c:pt idx="1">
                  <c:v>6</c:v>
                </c:pt>
                <c:pt idx="2">
                  <c:v>7</c:v>
                </c:pt>
                <c:pt idx="3">
                  <c:v>8.5</c:v>
                </c:pt>
                <c:pt idx="4">
                  <c:v>3.5</c:v>
                </c:pt>
                <c:pt idx="5">
                  <c:v>3.5</c:v>
                </c:pt>
                <c:pt idx="6">
                  <c:v>7</c:v>
                </c:pt>
                <c:pt idx="7">
                  <c:v>7</c:v>
                </c:pt>
                <c:pt idx="8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55-410D-9331-0266E95DE64A}"/>
            </c:ext>
          </c:extLst>
        </c:ser>
        <c:ser>
          <c:idx val="1"/>
          <c:order val="1"/>
          <c:tx>
            <c:strRef>
              <c:f>'Zusammenfassung Tag1-2'!$A$58</c:f>
              <c:strCache>
                <c:ptCount val="1"/>
                <c:pt idx="0">
                  <c:v>Ø Doubley Bogeys +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7802706552706553E-2"/>
                  <c:y val="-4.6743055555555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B5-4FC4-BC5F-07E183129062}"/>
                </c:ext>
              </c:extLst>
            </c:dLbl>
            <c:dLbl>
              <c:idx val="4"/>
              <c:layout>
                <c:manualLayout>
                  <c:x val="-7.9766822839081944E-2"/>
                  <c:y val="-1.4685016929600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B5-4FC4-BC5F-07E183129062}"/>
                </c:ext>
              </c:extLst>
            </c:dLbl>
            <c:dLbl>
              <c:idx val="5"/>
              <c:layout>
                <c:manualLayout>
                  <c:x val="-3.5621265031449611E-3"/>
                  <c:y val="-4.319122626353041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B5-4FC4-BC5F-07E183129062}"/>
                </c:ext>
              </c:extLst>
            </c:dLbl>
            <c:dLbl>
              <c:idx val="6"/>
              <c:layout>
                <c:manualLayout>
                  <c:x val="-2.1674033399732905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B5-4FC4-BC5F-07E183129062}"/>
                </c:ext>
              </c:extLst>
            </c:dLbl>
            <c:dLbl>
              <c:idx val="7"/>
              <c:layout>
                <c:manualLayout>
                  <c:x val="-4.6705840455840586E-2"/>
                  <c:y val="-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B5-4FC4-BC5F-07E183129062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Tag1-2'!$B$58:$J$58</c:f>
              <c:numCache>
                <c:formatCode>0.00</c:formatCode>
                <c:ptCount val="9"/>
                <c:pt idx="0">
                  <c:v>3</c:v>
                </c:pt>
                <c:pt idx="1">
                  <c:v>3</c:v>
                </c:pt>
                <c:pt idx="2">
                  <c:v>7.5</c:v>
                </c:pt>
                <c:pt idx="3">
                  <c:v>6</c:v>
                </c:pt>
                <c:pt idx="4">
                  <c:v>13.5</c:v>
                </c:pt>
                <c:pt idx="5">
                  <c:v>14.5</c:v>
                </c:pt>
                <c:pt idx="6">
                  <c:v>8.5</c:v>
                </c:pt>
                <c:pt idx="7">
                  <c:v>9</c:v>
                </c:pt>
                <c:pt idx="8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55-410D-9331-0266E95DE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Tag1-2'!$A$60</c:f>
              <c:strCache>
                <c:ptCount val="1"/>
                <c:pt idx="0">
                  <c:v>Ø 1 Put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267094017094019E-2"/>
                  <c:y val="-2.910416666666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E0-44DC-A203-A2472757C989}"/>
                </c:ext>
              </c:extLst>
            </c:dLbl>
            <c:dLbl>
              <c:idx val="1"/>
              <c:layout>
                <c:manualLayout>
                  <c:x val="-3.9583333333333366E-2"/>
                  <c:y val="-4.674305555555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E0-44DC-A203-A2472757C989}"/>
                </c:ext>
              </c:extLst>
            </c:dLbl>
            <c:dLbl>
              <c:idx val="2"/>
              <c:layout>
                <c:manualLayout>
                  <c:x val="-3.9583333333333366E-2"/>
                  <c:y val="-3.2631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E0-44DC-A203-A2472757C989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Tag1-2'!$B$60:$J$60</c:f>
              <c:numCache>
                <c:formatCode>0.00</c:formatCode>
                <c:ptCount val="9"/>
                <c:pt idx="0">
                  <c:v>3.5</c:v>
                </c:pt>
                <c:pt idx="1">
                  <c:v>3.5</c:v>
                </c:pt>
                <c:pt idx="2">
                  <c:v>5.5</c:v>
                </c:pt>
                <c:pt idx="3">
                  <c:v>2</c:v>
                </c:pt>
                <c:pt idx="4">
                  <c:v>2</c:v>
                </c:pt>
                <c:pt idx="5">
                  <c:v>0.5</c:v>
                </c:pt>
                <c:pt idx="6">
                  <c:v>3</c:v>
                </c:pt>
                <c:pt idx="7">
                  <c:v>0.5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2-44AE-82E7-AD0A1BAF242C}"/>
            </c:ext>
          </c:extLst>
        </c:ser>
        <c:ser>
          <c:idx val="1"/>
          <c:order val="1"/>
          <c:tx>
            <c:strRef>
              <c:f>'Zusammenfassung Tag1-2'!$A$61</c:f>
              <c:strCache>
                <c:ptCount val="1"/>
                <c:pt idx="0">
                  <c:v>Ø 2 Put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Tag1-2'!$B$61:$J$61</c:f>
              <c:numCache>
                <c:formatCode>0.00</c:formatCode>
                <c:ptCount val="9"/>
                <c:pt idx="0">
                  <c:v>12.5</c:v>
                </c:pt>
                <c:pt idx="1">
                  <c:v>12.5</c:v>
                </c:pt>
                <c:pt idx="2">
                  <c:v>8.5</c:v>
                </c:pt>
                <c:pt idx="3">
                  <c:v>10.5</c:v>
                </c:pt>
                <c:pt idx="4">
                  <c:v>8.5</c:v>
                </c:pt>
                <c:pt idx="5">
                  <c:v>11</c:v>
                </c:pt>
                <c:pt idx="6">
                  <c:v>11.5</c:v>
                </c:pt>
                <c:pt idx="7">
                  <c:v>12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2-44AE-82E7-AD0A1BAF242C}"/>
            </c:ext>
          </c:extLst>
        </c:ser>
        <c:ser>
          <c:idx val="2"/>
          <c:order val="2"/>
          <c:tx>
            <c:strRef>
              <c:f>'Zusammenfassung Tag1-2'!$A$62</c:f>
              <c:strCache>
                <c:ptCount val="1"/>
                <c:pt idx="0">
                  <c:v>Ø 3+ Put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E0-44DC-A203-A2472757C989}"/>
                </c:ext>
              </c:extLst>
            </c:dLbl>
            <c:dLbl>
              <c:idx val="1"/>
              <c:layout>
                <c:manualLayout>
                  <c:x val="-3.6022079772079774E-2"/>
                  <c:y val="4.6743055555555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E0-44DC-A203-A2472757C989}"/>
                </c:ext>
              </c:extLst>
            </c:dLbl>
            <c:dLbl>
              <c:idx val="2"/>
              <c:layout>
                <c:manualLayout>
                  <c:x val="-3.0680199430199496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E0-44DC-A203-A2472757C989}"/>
                </c:ext>
              </c:extLst>
            </c:dLbl>
            <c:dLbl>
              <c:idx val="4"/>
              <c:layout>
                <c:manualLayout>
                  <c:x val="-3.2460826210826278E-2"/>
                  <c:y val="4.3215277777777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E0-44DC-A203-A2472757C989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Tag1-2'!$B$62:$J$62</c:f>
              <c:numCache>
                <c:formatCode>0.00</c:formatCode>
                <c:ptCount val="9"/>
                <c:pt idx="0">
                  <c:v>1.5</c:v>
                </c:pt>
                <c:pt idx="1">
                  <c:v>2</c:v>
                </c:pt>
                <c:pt idx="2">
                  <c:v>4</c:v>
                </c:pt>
                <c:pt idx="3">
                  <c:v>5.5</c:v>
                </c:pt>
                <c:pt idx="4">
                  <c:v>7.5</c:v>
                </c:pt>
                <c:pt idx="5">
                  <c:v>6.5</c:v>
                </c:pt>
                <c:pt idx="6">
                  <c:v>3.5</c:v>
                </c:pt>
                <c:pt idx="7">
                  <c:v>5.5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2-44AE-82E7-AD0A1BAF2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 nach 2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Tag1-2'!$A$63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199430199430202E-2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1D-4CD0-BCF6-395DC2605863}"/>
                </c:ext>
              </c:extLst>
            </c:dLbl>
            <c:dLbl>
              <c:idx val="1"/>
              <c:layout>
                <c:manualLayout>
                  <c:x val="-3.3831908831908834E-2"/>
                  <c:y val="4.5861111111110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1D-4CD0-BCF6-395DC2605863}"/>
                </c:ext>
              </c:extLst>
            </c:dLbl>
            <c:dLbl>
              <c:idx val="2"/>
              <c:layout>
                <c:manualLayout>
                  <c:x val="-3.917378917378924E-2"/>
                  <c:y val="5.6444444444444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1D-4CD0-BCF6-395DC2605863}"/>
                </c:ext>
              </c:extLst>
            </c:dLbl>
            <c:dLbl>
              <c:idx val="3"/>
              <c:layout>
                <c:manualLayout>
                  <c:x val="-3.9173789173789171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A1D-4CD0-BCF6-395DC2605863}"/>
                </c:ext>
              </c:extLst>
            </c:dLbl>
            <c:dLbl>
              <c:idx val="5"/>
              <c:layout>
                <c:manualLayout>
                  <c:x val="-3.2051282051282048E-2"/>
                  <c:y val="5.291666666666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A1D-4CD0-BCF6-395DC2605863}"/>
                </c:ext>
              </c:extLst>
            </c:dLbl>
            <c:dLbl>
              <c:idx val="6"/>
              <c:layout>
                <c:manualLayout>
                  <c:x val="-2.4928774928774929E-2"/>
                  <c:y val="-4.5861111111111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A1D-4CD0-BCF6-395DC2605863}"/>
                </c:ext>
              </c:extLst>
            </c:dLbl>
            <c:dLbl>
              <c:idx val="7"/>
              <c:layout>
                <c:manualLayout>
                  <c:x val="-3.5612535612535613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A1D-4CD0-BCF6-395DC2605863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Tag1-2'!$B$63:$J$63</c:f>
              <c:numCache>
                <c:formatCode>0.00</c:formatCode>
                <c:ptCount val="9"/>
                <c:pt idx="0">
                  <c:v>0.875</c:v>
                </c:pt>
                <c:pt idx="1">
                  <c:v>0.75</c:v>
                </c:pt>
                <c:pt idx="2">
                  <c:v>1</c:v>
                </c:pt>
                <c:pt idx="3">
                  <c:v>1</c:v>
                </c:pt>
                <c:pt idx="4">
                  <c:v>1.75</c:v>
                </c:pt>
                <c:pt idx="5">
                  <c:v>2.625</c:v>
                </c:pt>
                <c:pt idx="6">
                  <c:v>1.75</c:v>
                </c:pt>
                <c:pt idx="7">
                  <c:v>1.5</c:v>
                </c:pt>
                <c:pt idx="8">
                  <c:v>1.625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2-4EB7-9CA7-E7179E79DE8D}"/>
            </c:ext>
          </c:extLst>
        </c:ser>
        <c:ser>
          <c:idx val="1"/>
          <c:order val="1"/>
          <c:tx>
            <c:strRef>
              <c:f>'Zusammenfassung Tag1-2'!$A$64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051282051282048E-2"/>
                  <c:y val="3.88055555555554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1D-4CD0-BCF6-395DC2605863}"/>
                </c:ext>
              </c:extLst>
            </c:dLbl>
            <c:dLbl>
              <c:idx val="2"/>
              <c:layout>
                <c:manualLayout>
                  <c:x val="-3.027065527065527E-2"/>
                  <c:y val="-4.5861111111111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A1D-4CD0-BCF6-395DC2605863}"/>
                </c:ext>
              </c:extLst>
            </c:dLbl>
            <c:dLbl>
              <c:idx val="3"/>
              <c:layout>
                <c:manualLayout>
                  <c:x val="-4.4515669515669515E-2"/>
                  <c:y val="-4.5861111111111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1D-4CD0-BCF6-395DC2605863}"/>
                </c:ext>
              </c:extLst>
            </c:dLbl>
            <c:dLbl>
              <c:idx val="4"/>
              <c:layout>
                <c:manualLayout>
                  <c:x val="-3.3831908831908834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A1D-4CD0-BCF6-395DC2605863}"/>
                </c:ext>
              </c:extLst>
            </c:dLbl>
            <c:dLbl>
              <c:idx val="5"/>
              <c:layout>
                <c:manualLayout>
                  <c:x val="-4.985754985754999E-2"/>
                  <c:y val="2.82222222222222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A1D-4CD0-BCF6-395DC2605863}"/>
                </c:ext>
              </c:extLst>
            </c:dLbl>
            <c:dLbl>
              <c:idx val="7"/>
              <c:layout>
                <c:manualLayout>
                  <c:x val="-5.3418803418803548E-2"/>
                  <c:y val="-4.23333333333333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A1D-4CD0-BCF6-395DC2605863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Tag1-2'!$B$64:$J$64</c:f>
              <c:numCache>
                <c:formatCode>0.00</c:formatCode>
                <c:ptCount val="9"/>
                <c:pt idx="0">
                  <c:v>0.55000000000000004</c:v>
                </c:pt>
                <c:pt idx="1">
                  <c:v>0.8</c:v>
                </c:pt>
                <c:pt idx="2">
                  <c:v>1.45</c:v>
                </c:pt>
                <c:pt idx="3">
                  <c:v>1.25</c:v>
                </c:pt>
                <c:pt idx="4">
                  <c:v>3.3</c:v>
                </c:pt>
                <c:pt idx="5">
                  <c:v>3.1</c:v>
                </c:pt>
                <c:pt idx="6">
                  <c:v>1.55</c:v>
                </c:pt>
                <c:pt idx="7">
                  <c:v>1.95</c:v>
                </c:pt>
                <c:pt idx="8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2-4EB7-9CA7-E7179E79DE8D}"/>
            </c:ext>
          </c:extLst>
        </c:ser>
        <c:ser>
          <c:idx val="2"/>
          <c:order val="2"/>
          <c:tx>
            <c:strRef>
              <c:f>'Zusammenfassung Tag1-2'!$A$65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7393162393162378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1D-4CD0-BCF6-395DC2605863}"/>
                </c:ext>
              </c:extLst>
            </c:dLbl>
            <c:dLbl>
              <c:idx val="1"/>
              <c:layout>
                <c:manualLayout>
                  <c:x val="-4.2735042735042736E-2"/>
                  <c:y val="-4.9388888888888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1D-4CD0-BCF6-395DC2605863}"/>
                </c:ext>
              </c:extLst>
            </c:dLbl>
            <c:dLbl>
              <c:idx val="2"/>
              <c:layout>
                <c:manualLayout>
                  <c:x val="-4.0954415954416019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1D-4CD0-BCF6-395DC2605863}"/>
                </c:ext>
              </c:extLst>
            </c:dLbl>
            <c:dLbl>
              <c:idx val="3"/>
              <c:layout>
                <c:manualLayout>
                  <c:x val="-2.3148148148148147E-2"/>
                  <c:y val="-3.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1D-4CD0-BCF6-395DC2605863}"/>
                </c:ext>
              </c:extLst>
            </c:dLbl>
            <c:dLbl>
              <c:idx val="4"/>
              <c:layout>
                <c:manualLayout>
                  <c:x val="-3.2051282051282048E-2"/>
                  <c:y val="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1D-4CD0-BCF6-395DC2605863}"/>
                </c:ext>
              </c:extLst>
            </c:dLbl>
            <c:dLbl>
              <c:idx val="6"/>
              <c:layout>
                <c:manualLayout>
                  <c:x val="-2.6709401709401708E-2"/>
                  <c:y val="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1D-4CD0-BCF6-395DC2605863}"/>
                </c:ext>
              </c:extLst>
            </c:dLbl>
            <c:dLbl>
              <c:idx val="8"/>
              <c:layout>
                <c:manualLayout>
                  <c:x val="-3.9173789173789046E-2"/>
                  <c:y val="-3.880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1D-4CD0-BCF6-395DC2605863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Tag1-2'!$B$45:$J$45</c:f>
              <c:strCache>
                <c:ptCount val="9"/>
                <c:pt idx="0">
                  <c:v>Manu</c:v>
                </c:pt>
                <c:pt idx="1">
                  <c:v>Parli</c:v>
                </c:pt>
                <c:pt idx="2">
                  <c:v>Jens</c:v>
                </c:pt>
                <c:pt idx="3">
                  <c:v>Pulfer</c:v>
                </c:pt>
                <c:pt idx="4">
                  <c:v>Aui</c:v>
                </c:pt>
                <c:pt idx="5">
                  <c:v>Sutti</c:v>
                </c:pt>
                <c:pt idx="6">
                  <c:v>Lenz</c:v>
                </c:pt>
                <c:pt idx="7">
                  <c:v>Meiky</c:v>
                </c:pt>
                <c:pt idx="8">
                  <c:v>Köbi</c:v>
                </c:pt>
              </c:strCache>
            </c:strRef>
          </c:cat>
          <c:val>
            <c:numRef>
              <c:f>'Zusammenfassung Tag1-2'!$B$65:$J$65</c:f>
              <c:numCache>
                <c:formatCode>0.00</c:formatCode>
                <c:ptCount val="9"/>
                <c:pt idx="0">
                  <c:v>1.25</c:v>
                </c:pt>
                <c:pt idx="1">
                  <c:v>0.875</c:v>
                </c:pt>
                <c:pt idx="2">
                  <c:v>2.375</c:v>
                </c:pt>
                <c:pt idx="3">
                  <c:v>2.125</c:v>
                </c:pt>
                <c:pt idx="4">
                  <c:v>2.625</c:v>
                </c:pt>
                <c:pt idx="5">
                  <c:v>3.5</c:v>
                </c:pt>
                <c:pt idx="6">
                  <c:v>1.25</c:v>
                </c:pt>
                <c:pt idx="7">
                  <c:v>1.625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72-4EB7-9CA7-E7179E79D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872446499743087"/>
          <c:y val="0.321722455925886"/>
          <c:w val="0.845408398024321"/>
          <c:h val="0.58388223732307443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Tag1-3'!$A$46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6007049599569298E-2"/>
                  <c:y val="-3.871666666666796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04-4B67-A5BD-6B45EB4E3D7D}"/>
                </c:ext>
              </c:extLst>
            </c:dLbl>
            <c:dLbl>
              <c:idx val="2"/>
              <c:layout>
                <c:manualLayout>
                  <c:x val="-2.7021081499428022E-2"/>
                  <c:y val="-5.32605555555556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04-4B67-A5BD-6B45EB4E3D7D}"/>
                </c:ext>
              </c:extLst>
            </c:dLbl>
            <c:dLbl>
              <c:idx val="3"/>
              <c:layout>
                <c:manualLayout>
                  <c:x val="-3.0582335060681583E-2"/>
                  <c:y val="-5.3260555555555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04-4B67-A5BD-6B45EB4E3D7D}"/>
                </c:ext>
              </c:extLst>
            </c:dLbl>
            <c:dLbl>
              <c:idx val="4"/>
              <c:layout>
                <c:manualLayout>
                  <c:x val="-3.2362961841308296E-2"/>
                  <c:y val="-6.384388888888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04-4B67-A5BD-6B45EB4E3D7D}"/>
                </c:ext>
              </c:extLst>
            </c:dLbl>
            <c:dLbl>
              <c:idx val="5"/>
              <c:layout>
                <c:manualLayout>
                  <c:x val="-3.4143588621935207E-2"/>
                  <c:y val="-4.26772222222222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04-4B67-A5BD-6B45EB4E3D7D}"/>
                </c:ext>
              </c:extLst>
            </c:dLbl>
            <c:dLbl>
              <c:idx val="6"/>
              <c:layout>
                <c:manualLayout>
                  <c:x val="-3.9485468963815419E-2"/>
                  <c:y val="-4.9732777777777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04-4B67-A5BD-6B45EB4E3D7D}"/>
                </c:ext>
              </c:extLst>
            </c:dLbl>
            <c:dLbl>
              <c:idx val="7"/>
              <c:layout>
                <c:manualLayout>
                  <c:x val="-2.3459827938174395E-2"/>
                  <c:y val="5.61005555555555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04-4B67-A5BD-6B45EB4E3D7D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Tag1-3'!$B$46:$J$46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12</c:v>
                </c:pt>
                <c:pt idx="3">
                  <c:v>12.999999999999943</c:v>
                </c:pt>
                <c:pt idx="4">
                  <c:v>21</c:v>
                </c:pt>
                <c:pt idx="5">
                  <c:v>23</c:v>
                </c:pt>
                <c:pt idx="6">
                  <c:v>29.999999999999943</c:v>
                </c:pt>
                <c:pt idx="7">
                  <c:v>44</c:v>
                </c:pt>
                <c:pt idx="8">
                  <c:v>45.999999999999943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C-46C1-AA47-752EF0E73F8A}"/>
            </c:ext>
          </c:extLst>
        </c:ser>
        <c:ser>
          <c:idx val="1"/>
          <c:order val="1"/>
          <c:tx>
            <c:strRef>
              <c:f>'Zusammenfassung Tag1-3'!$A$69</c:f>
              <c:strCache>
                <c:ptCount val="1"/>
                <c:pt idx="0">
                  <c:v>Nach Tag 1</c:v>
                </c:pt>
              </c:strCache>
            </c:strRef>
          </c:tx>
          <c:spPr>
            <a:ln w="95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3175">
                <a:solidFill>
                  <a:schemeClr val="accent2"/>
                </a:solidFill>
              </a:ln>
              <a:effectLst/>
            </c:spPr>
          </c:marker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Tag1-3'!$B$69:$J$69</c:f>
              <c:numCache>
                <c:formatCode>0</c:formatCode>
                <c:ptCount val="9"/>
                <c:pt idx="0" formatCode="General">
                  <c:v>-4.9999999999999858</c:v>
                </c:pt>
                <c:pt idx="1">
                  <c:v>11</c:v>
                </c:pt>
                <c:pt idx="2">
                  <c:v>6</c:v>
                </c:pt>
                <c:pt idx="3">
                  <c:v>10.999999999999986</c:v>
                </c:pt>
                <c:pt idx="4">
                  <c:v>16</c:v>
                </c:pt>
                <c:pt idx="5">
                  <c:v>19</c:v>
                </c:pt>
                <c:pt idx="6">
                  <c:v>6.9999999999999716</c:v>
                </c:pt>
                <c:pt idx="7">
                  <c:v>19</c:v>
                </c:pt>
                <c:pt idx="8">
                  <c:v>16.999999999999986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9-440A-A9BE-65B047A8B469}"/>
            </c:ext>
          </c:extLst>
        </c:ser>
        <c:ser>
          <c:idx val="2"/>
          <c:order val="2"/>
          <c:tx>
            <c:strRef>
              <c:f>'Zusammenfassung Tag1-3'!$A$70</c:f>
              <c:strCache>
                <c:ptCount val="1"/>
                <c:pt idx="0">
                  <c:v>nach Tag 2</c:v>
                </c:pt>
              </c:strCache>
            </c:strRef>
          </c:tx>
          <c:spPr>
            <a:ln w="952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3175">
                <a:solidFill>
                  <a:schemeClr val="accent3"/>
                </a:solidFill>
              </a:ln>
              <a:effectLst/>
            </c:spPr>
          </c:marker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Tag1-3'!$B$70:$J$70</c:f>
              <c:numCache>
                <c:formatCode>0</c:formatCode>
                <c:ptCount val="9"/>
                <c:pt idx="0" formatCode="General">
                  <c:v>-2</c:v>
                </c:pt>
                <c:pt idx="1">
                  <c:v>14</c:v>
                </c:pt>
                <c:pt idx="2">
                  <c:v>10</c:v>
                </c:pt>
                <c:pt idx="3">
                  <c:v>8.9999999999999716</c:v>
                </c:pt>
                <c:pt idx="4">
                  <c:v>23</c:v>
                </c:pt>
                <c:pt idx="5">
                  <c:v>21</c:v>
                </c:pt>
                <c:pt idx="6">
                  <c:v>16.999999999999972</c:v>
                </c:pt>
                <c:pt idx="7">
                  <c:v>29</c:v>
                </c:pt>
                <c:pt idx="8">
                  <c:v>25.999999999999972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9-440A-A9BE-65B047A8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  <a:r>
              <a:rPr lang="de-CH" baseline="0"/>
              <a:t> nach 3 Tagen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Tag1-3'!$A$47</c:f>
              <c:strCache>
                <c:ptCount val="1"/>
                <c:pt idx="0">
                  <c:v>Ø Schläge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Tag1-3'!$B$47:$J$47</c:f>
              <c:numCache>
                <c:formatCode>0.00</c:formatCode>
                <c:ptCount val="9"/>
                <c:pt idx="0">
                  <c:v>87.333333333333329</c:v>
                </c:pt>
                <c:pt idx="1">
                  <c:v>92.666666666666671</c:v>
                </c:pt>
                <c:pt idx="2">
                  <c:v>99</c:v>
                </c:pt>
                <c:pt idx="3">
                  <c:v>86.333333333333329</c:v>
                </c:pt>
                <c:pt idx="4">
                  <c:v>95</c:v>
                </c:pt>
                <c:pt idx="5">
                  <c:v>124.66666666666667</c:v>
                </c:pt>
                <c:pt idx="6">
                  <c:v>124</c:v>
                </c:pt>
                <c:pt idx="7">
                  <c:v>118.66666666666667</c:v>
                </c:pt>
                <c:pt idx="8">
                  <c:v>106.33333333333333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7C-49EF-8D69-DC913FC3D057}"/>
            </c:ext>
          </c:extLst>
        </c:ser>
        <c:ser>
          <c:idx val="1"/>
          <c:order val="1"/>
          <c:tx>
            <c:strRef>
              <c:f>'Zusammenfassung Tag1-3'!$A$48</c:f>
              <c:strCache>
                <c:ptCount val="1"/>
                <c:pt idx="0">
                  <c:v>Ø Schläge über Par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Tag1-3'!$B$48:$J$48</c:f>
              <c:numCache>
                <c:formatCode>0.00</c:formatCode>
                <c:ptCount val="9"/>
                <c:pt idx="0">
                  <c:v>15.333333333333334</c:v>
                </c:pt>
                <c:pt idx="1">
                  <c:v>20.666666666666668</c:v>
                </c:pt>
                <c:pt idx="2">
                  <c:v>27</c:v>
                </c:pt>
                <c:pt idx="3">
                  <c:v>14.333333333333334</c:v>
                </c:pt>
                <c:pt idx="4">
                  <c:v>23</c:v>
                </c:pt>
                <c:pt idx="5">
                  <c:v>52.666666666666664</c:v>
                </c:pt>
                <c:pt idx="6">
                  <c:v>52</c:v>
                </c:pt>
                <c:pt idx="7">
                  <c:v>46.666666666666664</c:v>
                </c:pt>
                <c:pt idx="8">
                  <c:v>34.333333333333336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7C-49EF-8D69-DC913FC3D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Tag1-3'!$A$52</c:f>
              <c:strCache>
                <c:ptCount val="1"/>
                <c:pt idx="0">
                  <c:v>Ø Unnötige Putts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3.4079449082327164E-2"/>
                  <c:y val="-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AD-4D3C-ACAF-DFFDEF971F2F}"/>
                </c:ext>
              </c:extLst>
            </c:dLbl>
            <c:dLbl>
              <c:idx val="4"/>
              <c:layout>
                <c:manualLayout>
                  <c:x val="-5.7242132363970622E-3"/>
                  <c:y val="-2.5050911232847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AD-4D3C-ACAF-DFFDEF971F2F}"/>
                </c:ext>
              </c:extLst>
            </c:dLbl>
            <c:dLbl>
              <c:idx val="5"/>
              <c:layout>
                <c:manualLayout>
                  <c:x val="-3.0288461538461604E-2"/>
                  <c:y val="-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39-42DA-A6DF-3F54FFE7E18C}"/>
                </c:ext>
              </c:extLst>
            </c:dLbl>
            <c:dLbl>
              <c:idx val="6"/>
              <c:layout>
                <c:manualLayout>
                  <c:x val="-3.762385356306842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AD-4D3C-ACAF-DFFDEF971F2F}"/>
                </c:ext>
              </c:extLst>
            </c:dLbl>
            <c:dLbl>
              <c:idx val="7"/>
              <c:layout>
                <c:manualLayout>
                  <c:x val="-3.5851651322697922E-2"/>
                  <c:y val="-5.26932960415072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AD-4D3C-ACAF-DFFDEF971F2F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Tag1-3'!$B$52:$J$52</c:f>
              <c:numCache>
                <c:formatCode>0.00</c:formatCode>
                <c:ptCount val="9"/>
                <c:pt idx="0">
                  <c:v>9.4666666666666668</c:v>
                </c:pt>
                <c:pt idx="1">
                  <c:v>12.283333333333333</c:v>
                </c:pt>
                <c:pt idx="2">
                  <c:v>11</c:v>
                </c:pt>
                <c:pt idx="3">
                  <c:v>6.5666666666666664</c:v>
                </c:pt>
                <c:pt idx="4">
                  <c:v>10</c:v>
                </c:pt>
                <c:pt idx="5">
                  <c:v>16.833333333333332</c:v>
                </c:pt>
                <c:pt idx="6">
                  <c:v>19.45</c:v>
                </c:pt>
                <c:pt idx="7">
                  <c:v>15.35</c:v>
                </c:pt>
                <c:pt idx="8">
                  <c:v>16.666666666666668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9-42DA-A6DF-3F54FFE7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Tag1-3'!$A$51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307246841956558E-2"/>
                  <c:y val="-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AD-4D3C-ACAF-DFFDEF971F2F}"/>
                </c:ext>
              </c:extLst>
            </c:dLbl>
            <c:dLbl>
              <c:idx val="4"/>
              <c:layout>
                <c:manualLayout>
                  <c:x val="-3.7802706552706553E-2"/>
                  <c:y val="-4.32152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39-42DA-A6DF-3F54FFE7E18C}"/>
                </c:ext>
              </c:extLst>
            </c:dLbl>
            <c:dLbl>
              <c:idx val="5"/>
              <c:layout>
                <c:manualLayout>
                  <c:x val="-4.3144586894586896E-2"/>
                  <c:y val="4.8506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39-42DA-A6DF-3F54FFE7E18C}"/>
                </c:ext>
              </c:extLst>
            </c:dLbl>
            <c:dLbl>
              <c:idx val="6"/>
              <c:layout>
                <c:manualLayout>
                  <c:x val="-3.7802706552706553E-2"/>
                  <c:y val="-5.027083333333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39-42DA-A6DF-3F54FFE7E18C}"/>
                </c:ext>
              </c:extLst>
            </c:dLbl>
            <c:dLbl>
              <c:idx val="7"/>
              <c:layout>
                <c:manualLayout>
                  <c:x val="-3.7802706552706553E-2"/>
                  <c:y val="-4.321527777777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39-42DA-A6DF-3F54FFE7E18C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Tag1-3'!$B$51:$J$51</c:f>
              <c:numCache>
                <c:formatCode>0.00</c:formatCode>
                <c:ptCount val="9"/>
                <c:pt idx="0">
                  <c:v>1.9259259259259258</c:v>
                </c:pt>
                <c:pt idx="1">
                  <c:v>2.074074074074074</c:v>
                </c:pt>
                <c:pt idx="2">
                  <c:v>1.9444444444444444</c:v>
                </c:pt>
                <c:pt idx="3">
                  <c:v>1.8148148148148149</c:v>
                </c:pt>
                <c:pt idx="4">
                  <c:v>1.8888888888888888</c:v>
                </c:pt>
                <c:pt idx="5">
                  <c:v>2.1851851851851851</c:v>
                </c:pt>
                <c:pt idx="6">
                  <c:v>2.3888888888888888</c:v>
                </c:pt>
                <c:pt idx="7">
                  <c:v>2.1111111111111112</c:v>
                </c:pt>
                <c:pt idx="8">
                  <c:v>2.2592592592592591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39-42DA-A6DF-3F54FFE7E18C}"/>
            </c:ext>
          </c:extLst>
        </c:ser>
        <c:ser>
          <c:idx val="2"/>
          <c:order val="2"/>
          <c:tx>
            <c:strRef>
              <c:f>'Zusammenfassung Tag1-3'!$A$59</c:f>
              <c:strCache>
                <c:ptCount val="1"/>
                <c:pt idx="0">
                  <c:v>Ø Chip in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57067005292205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39-42DA-A6DF-3F54FFE7E18C}"/>
                </c:ext>
              </c:extLst>
            </c:dLbl>
            <c:dLbl>
              <c:idx val="5"/>
              <c:layout>
                <c:manualLayout>
                  <c:x val="-3.2307246841956537E-2"/>
                  <c:y val="4.57826998393422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AD-4D3C-ACAF-DFFDEF971F2F}"/>
                </c:ext>
              </c:extLst>
            </c:dLbl>
            <c:dLbl>
              <c:idx val="7"/>
              <c:layout>
                <c:manualLayout>
                  <c:x val="-2.6990640120844785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AD-4D3C-ACAF-DFFDEF971F2F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Tag1-3'!$B$59:$J$59</c:f>
              <c:numCache>
                <c:formatCode>0.00</c:formatCode>
                <c:ptCount val="9"/>
                <c:pt idx="0">
                  <c:v>0.66666666666666663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39-42DA-A6DF-3F54FFE7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Tag1-3'!$A$53</c:f>
              <c:strCache>
                <c:ptCount val="1"/>
                <c:pt idx="0">
                  <c:v>Ø GIR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9943019943E-2"/>
                  <c:y val="-0.112006944444444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AD-4E52-8F0D-3100A5C06C12}"/>
                </c:ext>
              </c:extLst>
            </c:dLbl>
            <c:dLbl>
              <c:idx val="4"/>
              <c:layout>
                <c:manualLayout>
                  <c:x val="-1.6357426678620893E-2"/>
                  <c:y val="-6.4786839395295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7-4F6D-9621-C1105796506F}"/>
                </c:ext>
              </c:extLst>
            </c:dLbl>
            <c:dLbl>
              <c:idx val="5"/>
              <c:layout>
                <c:manualLayout>
                  <c:x val="-3.7777490938395171E-2"/>
                  <c:y val="4.0460996622241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AD-4E52-8F0D-3100A5C06C12}"/>
                </c:ext>
              </c:extLst>
            </c:dLbl>
            <c:dLbl>
              <c:idx val="8"/>
              <c:layout>
                <c:manualLayout>
                  <c:x val="-3.2460826210826341E-2"/>
                  <c:y val="-8.0256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AD-4E52-8F0D-3100A5C06C12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Tag1-3'!$B$53:$J$53</c:f>
              <c:numCache>
                <c:formatCode>0.00</c:formatCode>
                <c:ptCount val="9"/>
                <c:pt idx="0">
                  <c:v>6</c:v>
                </c:pt>
                <c:pt idx="1">
                  <c:v>5.666666666666667</c:v>
                </c:pt>
                <c:pt idx="2">
                  <c:v>3.3333333333333335</c:v>
                </c:pt>
                <c:pt idx="3">
                  <c:v>8</c:v>
                </c:pt>
                <c:pt idx="4">
                  <c:v>3.3333333333333335</c:v>
                </c:pt>
                <c:pt idx="5">
                  <c:v>0</c:v>
                </c:pt>
                <c:pt idx="6">
                  <c:v>2.3333333333333335</c:v>
                </c:pt>
                <c:pt idx="7">
                  <c:v>0.33333333333333331</c:v>
                </c:pt>
                <c:pt idx="8">
                  <c:v>3.3333333333333335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AD-4E52-8F0D-3100A5C06C12}"/>
            </c:ext>
          </c:extLst>
        </c:ser>
        <c:ser>
          <c:idx val="1"/>
          <c:order val="1"/>
          <c:tx>
            <c:strRef>
              <c:f>'Zusammenfassung Tag1-3'!$A$54</c:f>
              <c:strCache>
                <c:ptCount val="1"/>
                <c:pt idx="0">
                  <c:v>Ø Scramble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2307246841956669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C7-4F6D-9621-C1105796506F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Tag1-3'!$B$54:$J$54</c:f>
              <c:numCache>
                <c:formatCode>0.00</c:formatCode>
                <c:ptCount val="9"/>
                <c:pt idx="0">
                  <c:v>2</c:v>
                </c:pt>
                <c:pt idx="1">
                  <c:v>1.6666666666666667</c:v>
                </c:pt>
                <c:pt idx="2">
                  <c:v>1.3333333333333333</c:v>
                </c:pt>
                <c:pt idx="3">
                  <c:v>2.3333333333333335</c:v>
                </c:pt>
                <c:pt idx="4">
                  <c:v>2.3333333333333335</c:v>
                </c:pt>
                <c:pt idx="5">
                  <c:v>0.33333333333333331</c:v>
                </c:pt>
                <c:pt idx="6">
                  <c:v>0.33333333333333331</c:v>
                </c:pt>
                <c:pt idx="7">
                  <c:v>0.33333333333333331</c:v>
                </c:pt>
                <c:pt idx="8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AD-4E52-8F0D-3100A5C06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Tag1-3'!$A$55</c:f>
              <c:strCache>
                <c:ptCount val="1"/>
                <c:pt idx="0">
                  <c:v>Ø Birdies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Tag1-3'!$B$55:$J$55</c:f>
              <c:numCache>
                <c:formatCode>0.00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0</c:v>
                </c:pt>
                <c:pt idx="8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C-4340-B00D-64B9170E96C8}"/>
            </c:ext>
          </c:extLst>
        </c:ser>
        <c:ser>
          <c:idx val="1"/>
          <c:order val="1"/>
          <c:tx>
            <c:strRef>
              <c:f>'Zusammenfassung Tag1-3'!$A$56</c:f>
              <c:strCache>
                <c:ptCount val="1"/>
                <c:pt idx="0">
                  <c:v>Ø Pars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7118945868945869E-2"/>
                  <c:y val="-9.43680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EC-4340-B00D-64B9170E96C8}"/>
                </c:ext>
              </c:extLst>
            </c:dLbl>
            <c:dLbl>
              <c:idx val="4"/>
              <c:layout>
                <c:manualLayout>
                  <c:x val="-5.7242132363970622E-3"/>
                  <c:y val="-6.8242137496378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C7-43DF-B552-8A96AF0B6676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Tag1-3'!$B$56:$J$56</c:f>
              <c:numCache>
                <c:formatCode>0.00</c:formatCode>
                <c:ptCount val="9"/>
                <c:pt idx="0">
                  <c:v>6</c:v>
                </c:pt>
                <c:pt idx="1">
                  <c:v>5</c:v>
                </c:pt>
                <c:pt idx="2">
                  <c:v>3.3333333333333335</c:v>
                </c:pt>
                <c:pt idx="3">
                  <c:v>9.3333333333333339</c:v>
                </c:pt>
                <c:pt idx="4">
                  <c:v>4</c:v>
                </c:pt>
                <c:pt idx="5">
                  <c:v>0.33333333333333331</c:v>
                </c:pt>
                <c:pt idx="6">
                  <c:v>0.66666666666666663</c:v>
                </c:pt>
                <c:pt idx="7">
                  <c:v>0.66666666666666663</c:v>
                </c:pt>
                <c:pt idx="8">
                  <c:v>1.3333333333333333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C-4340-B00D-64B9170E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Tag1-3'!$A$57</c:f>
              <c:strCache>
                <c:ptCount val="1"/>
                <c:pt idx="0">
                  <c:v>Ø Bogeys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45-4305-A418-14849F132FF0}"/>
                </c:ext>
              </c:extLst>
            </c:dLbl>
            <c:dLbl>
              <c:idx val="4"/>
              <c:layout>
                <c:manualLayout>
                  <c:x val="-4.2940460284180304E-2"/>
                  <c:y val="-5.0965646990965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46-4F3D-BFF1-C1154DB5D2EA}"/>
                </c:ext>
              </c:extLst>
            </c:dLbl>
            <c:dLbl>
              <c:idx val="6"/>
              <c:layout>
                <c:manualLayout>
                  <c:x val="-1.9901831159362147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45-4305-A418-14849F132FF0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Tag1-3'!$B$57:$J$57</c:f>
              <c:numCache>
                <c:formatCode>0.00</c:formatCode>
                <c:ptCount val="9"/>
                <c:pt idx="0">
                  <c:v>7.666666666666667</c:v>
                </c:pt>
                <c:pt idx="1">
                  <c:v>8.3333333333333339</c:v>
                </c:pt>
                <c:pt idx="2">
                  <c:v>6.666666666666667</c:v>
                </c:pt>
                <c:pt idx="3">
                  <c:v>5.333333333333333</c:v>
                </c:pt>
                <c:pt idx="4">
                  <c:v>7.333333333333333</c:v>
                </c:pt>
                <c:pt idx="5">
                  <c:v>3.3333333333333335</c:v>
                </c:pt>
                <c:pt idx="6">
                  <c:v>3</c:v>
                </c:pt>
                <c:pt idx="7">
                  <c:v>4.333333333333333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45-4305-A418-14849F132FF0}"/>
            </c:ext>
          </c:extLst>
        </c:ser>
        <c:ser>
          <c:idx val="1"/>
          <c:order val="1"/>
          <c:tx>
            <c:strRef>
              <c:f>'Zusammenfassung Tag1-3'!$A$58</c:f>
              <c:strCache>
                <c:ptCount val="1"/>
                <c:pt idx="0">
                  <c:v>Ø Doubley Bogeys +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7802706552706553E-2"/>
                  <c:y val="-4.6743055555555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45-4305-A418-14849F132FF0}"/>
                </c:ext>
              </c:extLst>
            </c:dLbl>
            <c:dLbl>
              <c:idx val="4"/>
              <c:layout>
                <c:manualLayout>
                  <c:x val="-3.0145160108704373E-2"/>
                  <c:y val="6.8242137496377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45-4305-A418-14849F132FF0}"/>
                </c:ext>
              </c:extLst>
            </c:dLbl>
            <c:dLbl>
              <c:idx val="5"/>
              <c:layout>
                <c:manualLayout>
                  <c:x val="-7.7994620598711387E-2"/>
                  <c:y val="-7.774420727435506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45-4305-A418-14849F132FF0}"/>
                </c:ext>
              </c:extLst>
            </c:dLbl>
            <c:dLbl>
              <c:idx val="6"/>
              <c:layout>
                <c:manualLayout>
                  <c:x val="-2.1674033399732905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45-4305-A418-14849F132FF0}"/>
                </c:ext>
              </c:extLst>
            </c:dLbl>
            <c:dLbl>
              <c:idx val="7"/>
              <c:layout>
                <c:manualLayout>
                  <c:x val="-4.6705840455840586E-2"/>
                  <c:y val="-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45-4305-A418-14849F132FF0}"/>
                </c:ext>
              </c:extLst>
            </c:dLbl>
            <c:dLbl>
              <c:idx val="8"/>
              <c:layout>
                <c:manualLayout>
                  <c:x val="-3.2307246841956537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46-4F3D-BFF1-C1154DB5D2EA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Tag1-3'!$B$58:$J$58</c:f>
              <c:numCache>
                <c:formatCode>0.00</c:formatCode>
                <c:ptCount val="9"/>
                <c:pt idx="0">
                  <c:v>3.3333333333333335</c:v>
                </c:pt>
                <c:pt idx="1">
                  <c:v>4.666666666666667</c:v>
                </c:pt>
                <c:pt idx="2">
                  <c:v>7.666666666666667</c:v>
                </c:pt>
                <c:pt idx="3">
                  <c:v>3.3333333333333335</c:v>
                </c:pt>
                <c:pt idx="4">
                  <c:v>6.666666666666667</c:v>
                </c:pt>
                <c:pt idx="5">
                  <c:v>14.333333333333334</c:v>
                </c:pt>
                <c:pt idx="6">
                  <c:v>14</c:v>
                </c:pt>
                <c:pt idx="7">
                  <c:v>13</c:v>
                </c:pt>
                <c:pt idx="8">
                  <c:v>9.6666666666666661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45-4305-A418-14849F13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Tag1-3'!$A$60</c:f>
              <c:strCache>
                <c:ptCount val="1"/>
                <c:pt idx="0">
                  <c:v>Ø 1 Put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267094017094019E-2"/>
                  <c:y val="-2.910416666666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C3-4FA5-BD7C-2B8AE894B048}"/>
                </c:ext>
              </c:extLst>
            </c:dLbl>
            <c:dLbl>
              <c:idx val="1"/>
              <c:layout>
                <c:manualLayout>
                  <c:x val="-3.9583323158287664E-2"/>
                  <c:y val="3.6184044956965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C3-4FA5-BD7C-2B8AE894B048}"/>
                </c:ext>
              </c:extLst>
            </c:dLbl>
            <c:dLbl>
              <c:idx val="2"/>
              <c:layout>
                <c:manualLayout>
                  <c:x val="-3.9583333333333366E-2"/>
                  <c:y val="-3.2631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C3-4FA5-BD7C-2B8AE894B048}"/>
                </c:ext>
              </c:extLst>
            </c:dLbl>
            <c:dLbl>
              <c:idx val="3"/>
              <c:layout>
                <c:manualLayout>
                  <c:x val="-3.2307246841956606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CD-40EF-B52C-6754AD7579F8}"/>
                </c:ext>
              </c:extLst>
            </c:dLbl>
            <c:dLbl>
              <c:idx val="4"/>
              <c:layout>
                <c:manualLayout>
                  <c:x val="-2.876284236121528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CD-40EF-B52C-6754AD7579F8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Tag1-3'!$B$60:$J$60</c:f>
              <c:numCache>
                <c:formatCode>0.00</c:formatCode>
                <c:ptCount val="9"/>
                <c:pt idx="0">
                  <c:v>3</c:v>
                </c:pt>
                <c:pt idx="1">
                  <c:v>3.6666666666666665</c:v>
                </c:pt>
                <c:pt idx="2">
                  <c:v>5</c:v>
                </c:pt>
                <c:pt idx="3">
                  <c:v>4.666666666666667</c:v>
                </c:pt>
                <c:pt idx="4">
                  <c:v>4.333333333333333</c:v>
                </c:pt>
                <c:pt idx="5">
                  <c:v>2</c:v>
                </c:pt>
                <c:pt idx="6">
                  <c:v>2.6666666666666665</c:v>
                </c:pt>
                <c:pt idx="7">
                  <c:v>2</c:v>
                </c:pt>
                <c:pt idx="8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C3-4FA5-BD7C-2B8AE894B048}"/>
            </c:ext>
          </c:extLst>
        </c:ser>
        <c:ser>
          <c:idx val="1"/>
          <c:order val="1"/>
          <c:tx>
            <c:strRef>
              <c:f>'Zusammenfassung Tag1-3'!$A$61</c:f>
              <c:strCache>
                <c:ptCount val="1"/>
                <c:pt idx="0">
                  <c:v>Ø 2 Put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Tag1-3'!$B$61:$J$61</c:f>
              <c:numCache>
                <c:formatCode>0.00</c:formatCode>
                <c:ptCount val="9"/>
                <c:pt idx="0">
                  <c:v>11.666666666666666</c:v>
                </c:pt>
                <c:pt idx="1">
                  <c:v>9.6666666666666661</c:v>
                </c:pt>
                <c:pt idx="2">
                  <c:v>9</c:v>
                </c:pt>
                <c:pt idx="3">
                  <c:v>12</c:v>
                </c:pt>
                <c:pt idx="4">
                  <c:v>10.333333333333334</c:v>
                </c:pt>
                <c:pt idx="5">
                  <c:v>11</c:v>
                </c:pt>
                <c:pt idx="6">
                  <c:v>8</c:v>
                </c:pt>
                <c:pt idx="7">
                  <c:v>12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C3-4FA5-BD7C-2B8AE894B048}"/>
            </c:ext>
          </c:extLst>
        </c:ser>
        <c:ser>
          <c:idx val="2"/>
          <c:order val="2"/>
          <c:tx>
            <c:strRef>
              <c:f>'Zusammenfassung Tag1-3'!$A$62</c:f>
              <c:strCache>
                <c:ptCount val="1"/>
                <c:pt idx="0">
                  <c:v>Ø 3+ Put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C3-4FA5-BD7C-2B8AE894B048}"/>
                </c:ext>
              </c:extLst>
            </c:dLbl>
            <c:dLbl>
              <c:idx val="1"/>
              <c:layout>
                <c:manualLayout>
                  <c:x val="-4.1338640637155546E-2"/>
                  <c:y val="-4.6549939260212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C3-4FA5-BD7C-2B8AE894B048}"/>
                </c:ext>
              </c:extLst>
            </c:dLbl>
            <c:dLbl>
              <c:idx val="2"/>
              <c:layout>
                <c:manualLayout>
                  <c:x val="-3.0680199430199496E-2"/>
                  <c:y val="3.96875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C3-4FA5-BD7C-2B8AE894B048}"/>
                </c:ext>
              </c:extLst>
            </c:dLbl>
            <c:dLbl>
              <c:idx val="4"/>
              <c:layout>
                <c:manualLayout>
                  <c:x val="-3.2460826210826278E-2"/>
                  <c:y val="4.3215277777777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C3-4FA5-BD7C-2B8AE894B048}"/>
                </c:ext>
              </c:extLst>
            </c:dLbl>
            <c:dLbl>
              <c:idx val="6"/>
              <c:layout>
                <c:manualLayout>
                  <c:x val="-3.7623853563068424E-2"/>
                  <c:y val="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CD-40EF-B52C-6754AD7579F8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Tag1-3'!$B$62:$J$62</c:f>
              <c:numCache>
                <c:formatCode>0.00</c:formatCode>
                <c:ptCount val="9"/>
                <c:pt idx="0">
                  <c:v>2.6666666666666665</c:v>
                </c:pt>
                <c:pt idx="1">
                  <c:v>4.666666666666667</c:v>
                </c:pt>
                <c:pt idx="2">
                  <c:v>4</c:v>
                </c:pt>
                <c:pt idx="3">
                  <c:v>1.3333333333333333</c:v>
                </c:pt>
                <c:pt idx="4">
                  <c:v>3</c:v>
                </c:pt>
                <c:pt idx="5">
                  <c:v>5</c:v>
                </c:pt>
                <c:pt idx="6">
                  <c:v>7.333333333333333</c:v>
                </c:pt>
                <c:pt idx="7">
                  <c:v>4</c:v>
                </c:pt>
                <c:pt idx="8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AC3-4FA5-BD7C-2B8AE894B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 nach 3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Tag1-3'!$A$63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61646124703034E-2"/>
                  <c:y val="5.19018423268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DF-40C4-8BE0-85580A5B9461}"/>
                </c:ext>
              </c:extLst>
            </c:dLbl>
            <c:dLbl>
              <c:idx val="1"/>
              <c:layout>
                <c:manualLayout>
                  <c:x val="-3.3831908831908834E-2"/>
                  <c:y val="4.5861111111110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DF-40C4-8BE0-85580A5B9461}"/>
                </c:ext>
              </c:extLst>
            </c:dLbl>
            <c:dLbl>
              <c:idx val="2"/>
              <c:layout>
                <c:manualLayout>
                  <c:x val="-3.917378917378924E-2"/>
                  <c:y val="5.6444444444444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DF-40C4-8BE0-85580A5B9461}"/>
                </c:ext>
              </c:extLst>
            </c:dLbl>
            <c:dLbl>
              <c:idx val="3"/>
              <c:layout>
                <c:manualLayout>
                  <c:x val="-6.3984594399422348E-2"/>
                  <c:y val="-3.38281846217468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DF-40C4-8BE0-85580A5B9461}"/>
                </c:ext>
              </c:extLst>
            </c:dLbl>
            <c:dLbl>
              <c:idx val="4"/>
              <c:layout>
                <c:manualLayout>
                  <c:x val="-5.8482673932230771E-2"/>
                  <c:y val="-7.6016558223813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EC-41E2-AA91-47C7ACB90186}"/>
                </c:ext>
              </c:extLst>
            </c:dLbl>
            <c:dLbl>
              <c:idx val="5"/>
              <c:layout>
                <c:manualLayout>
                  <c:x val="-3.2051282051282048E-2"/>
                  <c:y val="5.291666666666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DF-40C4-8BE0-85580A5B9461}"/>
                </c:ext>
              </c:extLst>
            </c:dLbl>
            <c:dLbl>
              <c:idx val="6"/>
              <c:layout>
                <c:manualLayout>
                  <c:x val="-3.7334161291335523E-2"/>
                  <c:y val="3.0155502018084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DF-40C4-8BE0-85580A5B9461}"/>
                </c:ext>
              </c:extLst>
            </c:dLbl>
            <c:dLbl>
              <c:idx val="7"/>
              <c:layout>
                <c:manualLayout>
                  <c:x val="-3.5612535612535613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DF-40C4-8BE0-85580A5B946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Tag1-3'!$B$63:$J$63</c:f>
              <c:numCache>
                <c:formatCode>0.00</c:formatCode>
                <c:ptCount val="9"/>
                <c:pt idx="0">
                  <c:v>0.58333333333333337</c:v>
                </c:pt>
                <c:pt idx="1">
                  <c:v>1</c:v>
                </c:pt>
                <c:pt idx="2">
                  <c:v>1</c:v>
                </c:pt>
                <c:pt idx="3">
                  <c:v>0.83333333333333337</c:v>
                </c:pt>
                <c:pt idx="4">
                  <c:v>1.5</c:v>
                </c:pt>
                <c:pt idx="5">
                  <c:v>2.1666666666666665</c:v>
                </c:pt>
                <c:pt idx="6">
                  <c:v>2.1666666666666665</c:v>
                </c:pt>
                <c:pt idx="7">
                  <c:v>1.9166666666666667</c:v>
                </c:pt>
                <c:pt idx="8">
                  <c:v>1.6666666666666667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DF-40C4-8BE0-85580A5B9461}"/>
            </c:ext>
          </c:extLst>
        </c:ser>
        <c:ser>
          <c:idx val="1"/>
          <c:order val="1"/>
          <c:tx>
            <c:strRef>
              <c:f>'Zusammenfassung Tag1-3'!$A$64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912335295082154E-2"/>
                  <c:y val="-5.10323043165379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DF-40C4-8BE0-85580A5B9461}"/>
                </c:ext>
              </c:extLst>
            </c:dLbl>
            <c:dLbl>
              <c:idx val="1"/>
              <c:layout>
                <c:manualLayout>
                  <c:x val="-2.8355235845930041E-2"/>
                  <c:y val="-4.8374173415154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EC-41E2-AA91-47C7ACB90186}"/>
                </c:ext>
              </c:extLst>
            </c:dLbl>
            <c:dLbl>
              <c:idx val="2"/>
              <c:layout>
                <c:manualLayout>
                  <c:x val="-3.027065527065527E-2"/>
                  <c:y val="-4.5861111111111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DF-40C4-8BE0-85580A5B9461}"/>
                </c:ext>
              </c:extLst>
            </c:dLbl>
            <c:dLbl>
              <c:idx val="3"/>
              <c:layout>
                <c:manualLayout>
                  <c:x val="-4.274342488548713E-2"/>
                  <c:y val="4.743199252349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DF-40C4-8BE0-85580A5B9461}"/>
                </c:ext>
              </c:extLst>
            </c:dLbl>
            <c:dLbl>
              <c:idx val="4"/>
              <c:layout>
                <c:manualLayout>
                  <c:x val="-6.7503741509651174E-2"/>
                  <c:y val="-3.5277777399901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DF-40C4-8BE0-85580A5B9461}"/>
                </c:ext>
              </c:extLst>
            </c:dLbl>
            <c:dLbl>
              <c:idx val="5"/>
              <c:layout>
                <c:manualLayout>
                  <c:x val="-2.3274457611922594E-2"/>
                  <c:y val="4.8953956112272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DF-40C4-8BE0-85580A5B9461}"/>
                </c:ext>
              </c:extLst>
            </c:dLbl>
            <c:dLbl>
              <c:idx val="6"/>
              <c:layout>
                <c:manualLayout>
                  <c:x val="-3.7216247047783174E-2"/>
                  <c:y val="-3.8008279111906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EC-41E2-AA91-47C7ACB90186}"/>
                </c:ext>
              </c:extLst>
            </c:dLbl>
            <c:dLbl>
              <c:idx val="7"/>
              <c:layout>
                <c:manualLayout>
                  <c:x val="-5.3418780459726006E-2"/>
                  <c:y val="5.441495953628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DF-40C4-8BE0-85580A5B9461}"/>
                </c:ext>
              </c:extLst>
            </c:dLbl>
            <c:dLbl>
              <c:idx val="8"/>
              <c:layout>
                <c:manualLayout>
                  <c:x val="-1.0633213442223895E-2"/>
                  <c:y val="-5.5284769617318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EC-41E2-AA91-47C7ACB90186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Tag1-3'!$B$64:$J$64</c:f>
              <c:numCache>
                <c:formatCode>0.00</c:formatCode>
                <c:ptCount val="9"/>
                <c:pt idx="0">
                  <c:v>0.7</c:v>
                </c:pt>
                <c:pt idx="1">
                  <c:v>1</c:v>
                </c:pt>
                <c:pt idx="2">
                  <c:v>1.3333333333333333</c:v>
                </c:pt>
                <c:pt idx="3">
                  <c:v>0.66666666666666663</c:v>
                </c:pt>
                <c:pt idx="4">
                  <c:v>1.3</c:v>
                </c:pt>
                <c:pt idx="5">
                  <c:v>3</c:v>
                </c:pt>
                <c:pt idx="6">
                  <c:v>3.1666666666666665</c:v>
                </c:pt>
                <c:pt idx="7">
                  <c:v>2.7333333333333334</c:v>
                </c:pt>
                <c:pt idx="8">
                  <c:v>2.0666666666666669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DDF-40C4-8BE0-85580A5B9461}"/>
            </c:ext>
          </c:extLst>
        </c:ser>
        <c:ser>
          <c:idx val="2"/>
          <c:order val="2"/>
          <c:tx>
            <c:strRef>
              <c:f>'Zusammenfassung Tag1-3'!$A$65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7393162393162378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DDF-40C4-8BE0-85580A5B9461}"/>
                </c:ext>
              </c:extLst>
            </c:dLbl>
            <c:dLbl>
              <c:idx val="1"/>
              <c:layout>
                <c:manualLayout>
                  <c:x val="-4.2735042735042736E-2"/>
                  <c:y val="-4.9388888888888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DDF-40C4-8BE0-85580A5B9461}"/>
                </c:ext>
              </c:extLst>
            </c:dLbl>
            <c:dLbl>
              <c:idx val="2"/>
              <c:layout>
                <c:manualLayout>
                  <c:x val="-4.0954415954416019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DDF-40C4-8BE0-85580A5B9461}"/>
                </c:ext>
              </c:extLst>
            </c:dLbl>
            <c:dLbl>
              <c:idx val="3"/>
              <c:layout>
                <c:manualLayout>
                  <c:x val="-2.3148148148148147E-2"/>
                  <c:y val="-3.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DDF-40C4-8BE0-85580A5B9461}"/>
                </c:ext>
              </c:extLst>
            </c:dLbl>
            <c:dLbl>
              <c:idx val="4"/>
              <c:layout>
                <c:manualLayout>
                  <c:x val="-3.2051282051282048E-2"/>
                  <c:y val="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DDF-40C4-8BE0-85580A5B9461}"/>
                </c:ext>
              </c:extLst>
            </c:dLbl>
            <c:dLbl>
              <c:idx val="6"/>
              <c:layout>
                <c:manualLayout>
                  <c:x val="-2.6709401709401708E-2"/>
                  <c:y val="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DDF-40C4-8BE0-85580A5B9461}"/>
                </c:ext>
              </c:extLst>
            </c:dLbl>
            <c:dLbl>
              <c:idx val="8"/>
              <c:layout>
                <c:manualLayout>
                  <c:x val="3.3590907346614249E-3"/>
                  <c:y val="-3.880544631160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DDF-40C4-8BE0-85580A5B946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Tag1-3'!$B$45:$J$45</c:f>
              <c:strCache>
                <c:ptCount val="9"/>
                <c:pt idx="0">
                  <c:v>Manu</c:v>
                </c:pt>
                <c:pt idx="1">
                  <c:v>Pulfer</c:v>
                </c:pt>
                <c:pt idx="2">
                  <c:v>Jens</c:v>
                </c:pt>
                <c:pt idx="3">
                  <c:v>Parli</c:v>
                </c:pt>
                <c:pt idx="4">
                  <c:v>Lenz</c:v>
                </c:pt>
                <c:pt idx="5">
                  <c:v>Sutti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Tag1-3'!$B$65:$J$65</c:f>
              <c:numCache>
                <c:formatCode>0.00</c:formatCode>
                <c:ptCount val="9"/>
                <c:pt idx="0">
                  <c:v>1.5</c:v>
                </c:pt>
                <c:pt idx="1">
                  <c:v>1.6666666666666667</c:v>
                </c:pt>
                <c:pt idx="2">
                  <c:v>2.4166666666666665</c:v>
                </c:pt>
                <c:pt idx="3">
                  <c:v>1.0833333333333333</c:v>
                </c:pt>
                <c:pt idx="4">
                  <c:v>1</c:v>
                </c:pt>
                <c:pt idx="5">
                  <c:v>3.5</c:v>
                </c:pt>
                <c:pt idx="6">
                  <c:v>2.9166666666666665</c:v>
                </c:pt>
                <c:pt idx="7">
                  <c:v>2.9166666666666665</c:v>
                </c:pt>
                <c:pt idx="8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DDF-40C4-8BE0-85580A5B9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Rangliste nach 4 Tagen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872446499743087"/>
          <c:y val="0.321722455925886"/>
          <c:w val="0.845408398024321"/>
          <c:h val="0.58388223732307443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Tag1-4'!$A$46</c:f>
              <c:strCache>
                <c:ptCount val="1"/>
                <c:pt idx="0">
                  <c:v>Schläge Netto über 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1762035354555039E-2"/>
                  <c:y val="-6.7371666666666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3-4972-AD9C-ADF612A40715}"/>
                </c:ext>
              </c:extLst>
            </c:dLbl>
            <c:dLbl>
              <c:idx val="1"/>
              <c:layout>
                <c:manualLayout>
                  <c:x val="-2.8801708280054801E-2"/>
                  <c:y val="-7.4427222222222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F3-4972-AD9C-ADF612A40715}"/>
                </c:ext>
              </c:extLst>
            </c:dLbl>
            <c:dLbl>
              <c:idx val="2"/>
              <c:layout>
                <c:manualLayout>
                  <c:x val="-3.2362961841308296E-2"/>
                  <c:y val="-5.6788333333333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F3-4972-AD9C-ADF612A40715}"/>
                </c:ext>
              </c:extLst>
            </c:dLbl>
            <c:dLbl>
              <c:idx val="4"/>
              <c:layout>
                <c:manualLayout>
                  <c:x val="-3.2362961841308366E-2"/>
                  <c:y val="-4.6205000000000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F3-4972-AD9C-ADF612A40715}"/>
                </c:ext>
              </c:extLst>
            </c:dLbl>
            <c:dLbl>
              <c:idx val="5"/>
              <c:layout>
                <c:manualLayout>
                  <c:x val="-3.9485468963815419E-2"/>
                  <c:y val="-6.031611111111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F3-4972-AD9C-ADF612A40715}"/>
                </c:ext>
              </c:extLst>
            </c:dLbl>
            <c:dLbl>
              <c:idx val="6"/>
              <c:layout>
                <c:manualLayout>
                  <c:x val="-4.8388602866949453E-2"/>
                  <c:y val="-6.3843888888888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F3-4972-AD9C-ADF612A40715}"/>
                </c:ext>
              </c:extLst>
            </c:dLbl>
            <c:dLbl>
              <c:idx val="7"/>
              <c:layout>
                <c:manualLayout>
                  <c:x val="-2.7021081499427956E-2"/>
                  <c:y val="7.3739444444444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F3-4972-AD9C-ADF612A40715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Tag1-4'!$B$46:$J$46</c:f>
              <c:numCache>
                <c:formatCode>General</c:formatCode>
                <c:ptCount val="9"/>
                <c:pt idx="0">
                  <c:v>3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20.999999999999943</c:v>
                </c:pt>
                <c:pt idx="5">
                  <c:v>23</c:v>
                </c:pt>
                <c:pt idx="6">
                  <c:v>36.999999999999943</c:v>
                </c:pt>
                <c:pt idx="7">
                  <c:v>47</c:v>
                </c:pt>
                <c:pt idx="8">
                  <c:v>47.999999999999943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6-4B96-A62A-0B54EF100C51}"/>
            </c:ext>
          </c:extLst>
        </c:ser>
        <c:ser>
          <c:idx val="1"/>
          <c:order val="1"/>
          <c:tx>
            <c:strRef>
              <c:f>'Zusammenfassung Tag1-4'!$A$69</c:f>
              <c:strCache>
                <c:ptCount val="1"/>
                <c:pt idx="0">
                  <c:v>Nach Tag 1</c:v>
                </c:pt>
              </c:strCache>
            </c:strRef>
          </c:tx>
          <c:spPr>
            <a:ln w="9525">
              <a:prstDash val="dash"/>
            </a:ln>
          </c:spPr>
          <c:marker>
            <c:spPr>
              <a:noFill/>
              <a:ln w="3175"/>
            </c:spPr>
          </c:marker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Tag1-4'!$B$69:$J$69</c:f>
              <c:numCache>
                <c:formatCode>0</c:formatCode>
                <c:ptCount val="9"/>
                <c:pt idx="0" formatCode="General">
                  <c:v>-4.9999999999999858</c:v>
                </c:pt>
                <c:pt idx="1">
                  <c:v>6</c:v>
                </c:pt>
                <c:pt idx="2">
                  <c:v>11</c:v>
                </c:pt>
                <c:pt idx="3">
                  <c:v>19</c:v>
                </c:pt>
                <c:pt idx="4">
                  <c:v>11</c:v>
                </c:pt>
                <c:pt idx="5">
                  <c:v>16</c:v>
                </c:pt>
                <c:pt idx="6">
                  <c:v>6.9999999999999716</c:v>
                </c:pt>
                <c:pt idx="7">
                  <c:v>19</c:v>
                </c:pt>
                <c:pt idx="8">
                  <c:v>16.999999999999986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6-4B96-A62A-0B54EF100C51}"/>
            </c:ext>
          </c:extLst>
        </c:ser>
        <c:ser>
          <c:idx val="2"/>
          <c:order val="2"/>
          <c:tx>
            <c:strRef>
              <c:f>'Zusammenfassung Tag1-4'!$A$70</c:f>
              <c:strCache>
                <c:ptCount val="1"/>
                <c:pt idx="0">
                  <c:v>nach Tag 2</c:v>
                </c:pt>
              </c:strCache>
            </c:strRef>
          </c:tx>
          <c:spPr>
            <a:ln w="9525">
              <a:prstDash val="dash"/>
            </a:ln>
          </c:spPr>
          <c:marker>
            <c:spPr>
              <a:noFill/>
              <a:ln w="3175"/>
            </c:spPr>
          </c:marker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Tag1-4'!$B$70:$J$70</c:f>
              <c:numCache>
                <c:formatCode>0</c:formatCode>
                <c:ptCount val="9"/>
                <c:pt idx="0" formatCode="General">
                  <c:v>-2</c:v>
                </c:pt>
                <c:pt idx="1">
                  <c:v>10</c:v>
                </c:pt>
                <c:pt idx="2">
                  <c:v>14</c:v>
                </c:pt>
                <c:pt idx="3">
                  <c:v>21</c:v>
                </c:pt>
                <c:pt idx="4">
                  <c:v>8.9999999999999716</c:v>
                </c:pt>
                <c:pt idx="5">
                  <c:v>23</c:v>
                </c:pt>
                <c:pt idx="6">
                  <c:v>16.999999999999972</c:v>
                </c:pt>
                <c:pt idx="7">
                  <c:v>29</c:v>
                </c:pt>
                <c:pt idx="8">
                  <c:v>25.999999999999972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D6-4B96-A62A-0B54EF100C51}"/>
            </c:ext>
          </c:extLst>
        </c:ser>
        <c:ser>
          <c:idx val="3"/>
          <c:order val="3"/>
          <c:tx>
            <c:strRef>
              <c:f>'Zusammenfassung Tag1-4'!$A$71</c:f>
              <c:strCache>
                <c:ptCount val="1"/>
                <c:pt idx="0">
                  <c:v>nach Tag 3</c:v>
                </c:pt>
              </c:strCache>
            </c:strRef>
          </c:tx>
          <c:spPr>
            <a:ln w="9525">
              <a:prstDash val="dash"/>
            </a:ln>
          </c:spPr>
          <c:marker>
            <c:spPr>
              <a:noFill/>
              <a:ln w="3175"/>
            </c:spPr>
          </c:marker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Tag1-4'!$B$71:$J$71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12</c:v>
                </c:pt>
                <c:pt idx="2">
                  <c:v>8</c:v>
                </c:pt>
                <c:pt idx="3">
                  <c:v>23</c:v>
                </c:pt>
                <c:pt idx="4">
                  <c:v>12.999999999999943</c:v>
                </c:pt>
                <c:pt idx="5">
                  <c:v>21</c:v>
                </c:pt>
                <c:pt idx="6">
                  <c:v>16.999999999999972</c:v>
                </c:pt>
                <c:pt idx="7">
                  <c:v>44</c:v>
                </c:pt>
                <c:pt idx="8">
                  <c:v>45.999999999999943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D6-4B96-A62A-0B54EF100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Nettoschläge über Par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Schläge</a:t>
            </a:r>
            <a:r>
              <a:rPr lang="de-CH" baseline="0"/>
              <a:t> nach 4 Tagen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463194444444443E-2"/>
          <c:y val="0.25683555555555559"/>
          <c:w val="0.88019749999999997"/>
          <c:h val="0.59370527777777782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Tag1-4'!$A$47</c:f>
              <c:strCache>
                <c:ptCount val="1"/>
                <c:pt idx="0">
                  <c:v>Ø Schläge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Tag1-4'!$B$47:$J$47</c:f>
              <c:numCache>
                <c:formatCode>0.00</c:formatCode>
                <c:ptCount val="9"/>
                <c:pt idx="0">
                  <c:v>87.75</c:v>
                </c:pt>
                <c:pt idx="1">
                  <c:v>97.5</c:v>
                </c:pt>
                <c:pt idx="2">
                  <c:v>93.25</c:v>
                </c:pt>
                <c:pt idx="3">
                  <c:v>121.5</c:v>
                </c:pt>
                <c:pt idx="4">
                  <c:v>87.25</c:v>
                </c:pt>
                <c:pt idx="5">
                  <c:v>93.75</c:v>
                </c:pt>
                <c:pt idx="6">
                  <c:v>123.25</c:v>
                </c:pt>
                <c:pt idx="7">
                  <c:v>115.75</c:v>
                </c:pt>
                <c:pt idx="8" formatCode="General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7-48C2-B9C3-7894966E5B25}"/>
            </c:ext>
          </c:extLst>
        </c:ser>
        <c:ser>
          <c:idx val="1"/>
          <c:order val="1"/>
          <c:tx>
            <c:strRef>
              <c:f>'Zusammenfassung Tag1-4'!$A$48</c:f>
              <c:strCache>
                <c:ptCount val="1"/>
                <c:pt idx="0">
                  <c:v>Ø Schläge über Par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Tag1-4'!$B$48:$J$48</c:f>
              <c:numCache>
                <c:formatCode>0.00</c:formatCode>
                <c:ptCount val="9"/>
                <c:pt idx="0">
                  <c:v>15.75</c:v>
                </c:pt>
                <c:pt idx="1">
                  <c:v>25.5</c:v>
                </c:pt>
                <c:pt idx="2">
                  <c:v>21.25</c:v>
                </c:pt>
                <c:pt idx="3">
                  <c:v>49.5</c:v>
                </c:pt>
                <c:pt idx="4">
                  <c:v>15.25</c:v>
                </c:pt>
                <c:pt idx="5">
                  <c:v>21.75</c:v>
                </c:pt>
                <c:pt idx="6">
                  <c:v>51.25</c:v>
                </c:pt>
                <c:pt idx="7">
                  <c:v>43.75</c:v>
                </c:pt>
                <c:pt idx="8" formatCode="General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7-48C2-B9C3-7894966E5B25}"/>
            </c:ext>
          </c:extLst>
        </c:ser>
        <c:ser>
          <c:idx val="2"/>
          <c:order val="2"/>
          <c:tx>
            <c:strRef>
              <c:f>'Zusammenfassung Tag1-4'!$A$49</c:f>
              <c:strCache>
                <c:ptCount val="1"/>
                <c:pt idx="0">
                  <c:v>High Score</c:v>
                </c:pt>
              </c:strCache>
            </c:strRef>
          </c:tx>
          <c:spPr>
            <a:ln w="63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'Zusammenfassung Tag1-4'!$B$49:$J$49</c:f>
              <c:numCache>
                <c:formatCode>0.00</c:formatCode>
                <c:ptCount val="9"/>
                <c:pt idx="0">
                  <c:v>90</c:v>
                </c:pt>
                <c:pt idx="1">
                  <c:v>101</c:v>
                </c:pt>
                <c:pt idx="2">
                  <c:v>101</c:v>
                </c:pt>
                <c:pt idx="3">
                  <c:v>136</c:v>
                </c:pt>
                <c:pt idx="4">
                  <c:v>93</c:v>
                </c:pt>
                <c:pt idx="5">
                  <c:v>104</c:v>
                </c:pt>
                <c:pt idx="6">
                  <c:v>127</c:v>
                </c:pt>
                <c:pt idx="7">
                  <c:v>123</c:v>
                </c:pt>
                <c:pt idx="8" formatCode="General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67-48C2-B9C3-7894966E5B25}"/>
            </c:ext>
          </c:extLst>
        </c:ser>
        <c:ser>
          <c:idx val="3"/>
          <c:order val="3"/>
          <c:tx>
            <c:strRef>
              <c:f>'Zusammenfassung Tag1-4'!$A$50</c:f>
              <c:strCache>
                <c:ptCount val="1"/>
                <c:pt idx="0">
                  <c:v>Low Score</c:v>
                </c:pt>
              </c:strCache>
            </c:strRef>
          </c:tx>
          <c:spPr>
            <a:ln w="63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'Zusammenfassung Tag1-4'!$B$50:$J$50</c:f>
              <c:numCache>
                <c:formatCode>0.00</c:formatCode>
                <c:ptCount val="9"/>
                <c:pt idx="0">
                  <c:v>82</c:v>
                </c:pt>
                <c:pt idx="1">
                  <c:v>93</c:v>
                </c:pt>
                <c:pt idx="2">
                  <c:v>84</c:v>
                </c:pt>
                <c:pt idx="3">
                  <c:v>112</c:v>
                </c:pt>
                <c:pt idx="4">
                  <c:v>80</c:v>
                </c:pt>
                <c:pt idx="5">
                  <c:v>86</c:v>
                </c:pt>
                <c:pt idx="6">
                  <c:v>121</c:v>
                </c:pt>
                <c:pt idx="7">
                  <c:v>107</c:v>
                </c:pt>
                <c:pt idx="8" formatCode="General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67-48C2-B9C3-7894966E5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</a:t>
                </a:r>
              </a:p>
            </c:rich>
          </c:tx>
          <c:layout>
            <c:manualLayout>
              <c:xMode val="edge"/>
              <c:yMode val="edge"/>
              <c:x val="2.5867136978248089E-2"/>
              <c:y val="0.3924548811929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Kurzspiel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738333333333331E-2"/>
          <c:y val="0.20066833333333334"/>
          <c:w val="0.81542222222222227"/>
          <c:h val="0.64987249999999996"/>
        </c:manualLayout>
      </c:layout>
      <c:lineChart>
        <c:grouping val="standard"/>
        <c:varyColors val="0"/>
        <c:ser>
          <c:idx val="1"/>
          <c:order val="1"/>
          <c:tx>
            <c:strRef>
              <c:f>'Zusammenfassung Tag1-4'!$A$52</c:f>
              <c:strCache>
                <c:ptCount val="1"/>
                <c:pt idx="0">
                  <c:v>Ø Unnötige Putts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5.1801471486033444E-2"/>
                  <c:y val="9.24292242039550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A0-43C7-911B-09C25DD4E858}"/>
                </c:ext>
              </c:extLst>
            </c:dLbl>
            <c:dLbl>
              <c:idx val="4"/>
              <c:layout>
                <c:manualLayout>
                  <c:x val="-3.4079449082327164E-2"/>
                  <c:y val="3.71444545866361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A0-43C7-911B-09C25DD4E858}"/>
                </c:ext>
              </c:extLst>
            </c:dLbl>
            <c:dLbl>
              <c:idx val="5"/>
              <c:layout>
                <c:manualLayout>
                  <c:x val="1.4016584743013233E-2"/>
                  <c:y val="3.2873760547841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A0-43C7-911B-09C25DD4E858}"/>
                </c:ext>
              </c:extLst>
            </c:dLbl>
            <c:dLbl>
              <c:idx val="6"/>
              <c:layout>
                <c:manualLayout>
                  <c:x val="-3.762385356306842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A0-43C7-911B-09C25DD4E858}"/>
                </c:ext>
              </c:extLst>
            </c:dLbl>
            <c:dLbl>
              <c:idx val="7"/>
              <c:layout>
                <c:manualLayout>
                  <c:x val="-4.6484864764921689E-2"/>
                  <c:y val="5.4420945092048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A0-43C7-911B-09C25DD4E858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Tag1-4'!$B$52:$J$52</c:f>
              <c:numCache>
                <c:formatCode>0.00</c:formatCode>
                <c:ptCount val="9"/>
                <c:pt idx="0">
                  <c:v>8.7750000000000004</c:v>
                </c:pt>
                <c:pt idx="1">
                  <c:v>9.65</c:v>
                </c:pt>
                <c:pt idx="2">
                  <c:v>11.887499999999999</c:v>
                </c:pt>
                <c:pt idx="3">
                  <c:v>17.5</c:v>
                </c:pt>
                <c:pt idx="4">
                  <c:v>6.875</c:v>
                </c:pt>
                <c:pt idx="5">
                  <c:v>9.5625</c:v>
                </c:pt>
                <c:pt idx="6">
                  <c:v>18.849999999999998</c:v>
                </c:pt>
                <c:pt idx="7">
                  <c:v>15.274999999999999</c:v>
                </c:pt>
                <c:pt idx="8">
                  <c:v>15.7875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A0-43C7-911B-09C25DD4E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lineChart>
        <c:grouping val="standard"/>
        <c:varyColors val="0"/>
        <c:ser>
          <c:idx val="0"/>
          <c:order val="0"/>
          <c:tx>
            <c:strRef>
              <c:f>'Zusammenfassung Tag1-4'!$A$51</c:f>
              <c:strCache>
                <c:ptCount val="1"/>
                <c:pt idx="0">
                  <c:v>Ø Putts pro Loch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307246841956558E-2"/>
                  <c:y val="-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A0-43C7-911B-09C25DD4E858}"/>
                </c:ext>
              </c:extLst>
            </c:dLbl>
            <c:dLbl>
              <c:idx val="3"/>
              <c:layout>
                <c:manualLayout>
                  <c:x val="-5.0029269245662811E-2"/>
                  <c:y val="-4.2327401738259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7A0-43C7-911B-09C25DD4E858}"/>
                </c:ext>
              </c:extLst>
            </c:dLbl>
            <c:dLbl>
              <c:idx val="4"/>
              <c:layout>
                <c:manualLayout>
                  <c:x val="-3.7802706552706553E-2"/>
                  <c:y val="-4.32152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A0-43C7-911B-09C25DD4E858}"/>
                </c:ext>
              </c:extLst>
            </c:dLbl>
            <c:dLbl>
              <c:idx val="5"/>
              <c:layout>
                <c:manualLayout>
                  <c:x val="-4.3144586894586896E-2"/>
                  <c:y val="4.850694444444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A0-43C7-911B-09C25DD4E858}"/>
                </c:ext>
              </c:extLst>
            </c:dLbl>
            <c:dLbl>
              <c:idx val="6"/>
              <c:layout>
                <c:manualLayout>
                  <c:x val="-2.1852928145571764E-2"/>
                  <c:y val="6.02987608539211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A0-43C7-911B-09C25DD4E858}"/>
                </c:ext>
              </c:extLst>
            </c:dLbl>
            <c:dLbl>
              <c:idx val="7"/>
              <c:layout>
                <c:manualLayout>
                  <c:x val="-3.7802706552706553E-2"/>
                  <c:y val="-4.321527777777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A0-43C7-911B-09C25DD4E858}"/>
                </c:ext>
              </c:extLst>
            </c:dLbl>
            <c:dLbl>
              <c:idx val="8"/>
              <c:layout>
                <c:manualLayout>
                  <c:x val="-4.8257067005292184E-2"/>
                  <c:y val="-4.57826998393422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A0-43C7-911B-09C25DD4E858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Tag1-4'!$B$51:$J$51</c:f>
              <c:numCache>
                <c:formatCode>0.00</c:formatCode>
                <c:ptCount val="9"/>
                <c:pt idx="0">
                  <c:v>1.875</c:v>
                </c:pt>
                <c:pt idx="1">
                  <c:v>1.8611111111111112</c:v>
                </c:pt>
                <c:pt idx="2">
                  <c:v>2.0416666666666665</c:v>
                </c:pt>
                <c:pt idx="3">
                  <c:v>2.2222222222222223</c:v>
                </c:pt>
                <c:pt idx="4">
                  <c:v>1.8194444444444444</c:v>
                </c:pt>
                <c:pt idx="5">
                  <c:v>1.875</c:v>
                </c:pt>
                <c:pt idx="6">
                  <c:v>2.3472222222222223</c:v>
                </c:pt>
                <c:pt idx="7">
                  <c:v>2.1111111111111112</c:v>
                </c:pt>
                <c:pt idx="8">
                  <c:v>2.2083333333333335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A0-43C7-911B-09C25DD4E858}"/>
            </c:ext>
          </c:extLst>
        </c:ser>
        <c:ser>
          <c:idx val="2"/>
          <c:order val="2"/>
          <c:tx>
            <c:strRef>
              <c:f>'Zusammenfassung Tag1-4'!$A$59</c:f>
              <c:strCache>
                <c:ptCount val="1"/>
                <c:pt idx="0">
                  <c:v>Ø Chip in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8257067005292205E-2"/>
                  <c:y val="3.541680553609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A0-43C7-911B-09C25DD4E858}"/>
                </c:ext>
              </c:extLst>
            </c:dLbl>
            <c:dLbl>
              <c:idx val="5"/>
              <c:layout>
                <c:manualLayout>
                  <c:x val="-3.2307246841956537E-2"/>
                  <c:y val="4.57826998393422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A0-43C7-911B-09C25DD4E858}"/>
                </c:ext>
              </c:extLst>
            </c:dLbl>
            <c:dLbl>
              <c:idx val="7"/>
              <c:layout>
                <c:manualLayout>
                  <c:x val="-2.6990640120844785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A0-43C7-911B-09C25DD4E858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Tag1-4'!$B$59:$J$59</c:f>
              <c:numCache>
                <c:formatCode>0.00</c:formatCode>
                <c:ptCount val="9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7A0-43C7-911B-09C25DD4E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31912"/>
        <c:axId val="575033352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Unnötige</a:t>
                </a:r>
                <a:r>
                  <a:rPr lang="de-CH" baseline="0"/>
                  <a:t> </a:t>
                </a:r>
                <a:r>
                  <a:rPr lang="de-CH"/>
                  <a:t>Putts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5"/>
      </c:valAx>
      <c:valAx>
        <c:axId val="5750333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>
                    <a:latin typeface="Arial" panose="020B0604020202020204" pitchFamily="34" charset="0"/>
                    <a:cs typeface="Arial" panose="020B0604020202020204" pitchFamily="34" charset="0"/>
                  </a:rPr>
                  <a:t>Ø Putts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5031912"/>
        <c:crosses val="max"/>
        <c:crossBetween val="between"/>
      </c:valAx>
      <c:catAx>
        <c:axId val="575031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5033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Generelle Spielqualität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8154999999999983E-2"/>
          <c:y val="0.18247472222222225"/>
          <c:w val="0.88597777777777775"/>
          <c:h val="0.6680661111111112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Tag1-4'!$A$53</c:f>
              <c:strCache>
                <c:ptCount val="1"/>
                <c:pt idx="0">
                  <c:v>Ø GIR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068019943019943E-2"/>
                  <c:y val="-0.112006944444444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D2-44F0-B544-F1BDD21CDC36}"/>
                </c:ext>
              </c:extLst>
            </c:dLbl>
            <c:dLbl>
              <c:idx val="3"/>
              <c:layout>
                <c:manualLayout>
                  <c:x val="-3.053504460158591E-2"/>
                  <c:y val="-0.12352690711369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D2-44F0-B544-F1BDD21CDC36}"/>
                </c:ext>
              </c:extLst>
            </c:dLbl>
            <c:dLbl>
              <c:idx val="4"/>
              <c:layout>
                <c:manualLayout>
                  <c:x val="4.909000205826573E-3"/>
                  <c:y val="1.8140315030682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D2-44F0-B544-F1BDD21CDC36}"/>
                </c:ext>
              </c:extLst>
            </c:dLbl>
            <c:dLbl>
              <c:idx val="5"/>
              <c:layout>
                <c:manualLayout>
                  <c:x val="-1.4738861813576884E-2"/>
                  <c:y val="-3.9010859702653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D2-44F0-B544-F1BDD21CDC36}"/>
                </c:ext>
              </c:extLst>
            </c:dLbl>
            <c:dLbl>
              <c:idx val="8"/>
              <c:layout>
                <c:manualLayout>
                  <c:x val="-3.2460826210826341E-2"/>
                  <c:y val="-8.02569444444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D2-44F0-B544-F1BDD21CDC36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Tag1-4'!$B$53:$J$53</c:f>
              <c:numCache>
                <c:formatCode>0.00</c:formatCode>
                <c:ptCount val="9"/>
                <c:pt idx="0">
                  <c:v>5.5</c:v>
                </c:pt>
                <c:pt idx="1">
                  <c:v>3</c:v>
                </c:pt>
                <c:pt idx="2">
                  <c:v>5.25</c:v>
                </c:pt>
                <c:pt idx="3">
                  <c:v>0</c:v>
                </c:pt>
                <c:pt idx="4">
                  <c:v>7.5</c:v>
                </c:pt>
                <c:pt idx="5">
                  <c:v>3.75</c:v>
                </c:pt>
                <c:pt idx="6">
                  <c:v>2</c:v>
                </c:pt>
                <c:pt idx="7">
                  <c:v>0.5</c:v>
                </c:pt>
                <c:pt idx="8" formatCode="General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D2-44F0-B544-F1BDD21CDC36}"/>
            </c:ext>
          </c:extLst>
        </c:ser>
        <c:ser>
          <c:idx val="1"/>
          <c:order val="1"/>
          <c:tx>
            <c:strRef>
              <c:f>'Zusammenfassung Tag1-4'!$A$54</c:f>
              <c:strCache>
                <c:ptCount val="1"/>
                <c:pt idx="0">
                  <c:v>Ø Scramble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2307246841956669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D2-44F0-B544-F1BDD21CDC36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Tag1-4'!$B$54:$J$54</c:f>
              <c:numCache>
                <c:formatCode>0.00</c:formatCode>
                <c:ptCount val="9"/>
                <c:pt idx="0">
                  <c:v>2.5</c:v>
                </c:pt>
                <c:pt idx="1">
                  <c:v>1.25</c:v>
                </c:pt>
                <c:pt idx="2">
                  <c:v>1.5</c:v>
                </c:pt>
                <c:pt idx="3">
                  <c:v>0.25</c:v>
                </c:pt>
                <c:pt idx="4">
                  <c:v>2.5</c:v>
                </c:pt>
                <c:pt idx="5">
                  <c:v>2.25</c:v>
                </c:pt>
                <c:pt idx="6">
                  <c:v>0.25</c:v>
                </c:pt>
                <c:pt idx="7">
                  <c:v>0.25</c:v>
                </c:pt>
                <c:pt idx="8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D2-44F0-B544-F1BDD21CD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Good Scoring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757166666666665E-2"/>
          <c:y val="0.20689166666666667"/>
          <c:w val="0.89656111111111114"/>
          <c:h val="0.59929555555555558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Tag1-4'!$A$55</c:f>
              <c:strCache>
                <c:ptCount val="1"/>
                <c:pt idx="0">
                  <c:v>Ø Birdies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Tag1-4'!$B$55:$J$55</c:f>
              <c:numCache>
                <c:formatCode>0.00</c:formatCode>
                <c:ptCount val="9"/>
                <c:pt idx="0">
                  <c:v>0.75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2-42D0-A1F1-C9F5C938BCB3}"/>
            </c:ext>
          </c:extLst>
        </c:ser>
        <c:ser>
          <c:idx val="1"/>
          <c:order val="1"/>
          <c:tx>
            <c:strRef>
              <c:f>'Zusammenfassung Tag1-4'!$A$56</c:f>
              <c:strCache>
                <c:ptCount val="1"/>
                <c:pt idx="0">
                  <c:v>Ø Pars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7118945868945869E-2"/>
                  <c:y val="-9.43680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72-42D0-A1F1-C9F5C938BCB3}"/>
                </c:ext>
              </c:extLst>
            </c:dLbl>
            <c:dLbl>
              <c:idx val="4"/>
              <c:layout>
                <c:manualLayout>
                  <c:x val="-5.7242132363970622E-3"/>
                  <c:y val="-6.8242137496378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72-42D0-A1F1-C9F5C938BCB3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Tag1-4'!$B$56:$J$56</c:f>
              <c:numCache>
                <c:formatCode>0.00</c:formatCode>
                <c:ptCount val="9"/>
                <c:pt idx="0">
                  <c:v>6</c:v>
                </c:pt>
                <c:pt idx="1">
                  <c:v>3.25</c:v>
                </c:pt>
                <c:pt idx="2">
                  <c:v>4.75</c:v>
                </c:pt>
                <c:pt idx="3">
                  <c:v>0.25</c:v>
                </c:pt>
                <c:pt idx="4">
                  <c:v>9</c:v>
                </c:pt>
                <c:pt idx="5">
                  <c:v>4.25</c:v>
                </c:pt>
                <c:pt idx="6">
                  <c:v>0.5</c:v>
                </c:pt>
                <c:pt idx="7">
                  <c:v>0.5</c:v>
                </c:pt>
                <c:pt idx="8" formatCode="General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72-42D0-A1F1-C9F5C938B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Bad Scoring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6391111111111099E-2"/>
          <c:y val="0.21014222222222223"/>
          <c:w val="0.88774166666666676"/>
          <c:h val="0.666600833333333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Tag1-4'!$A$57</c:f>
              <c:strCache>
                <c:ptCount val="1"/>
                <c:pt idx="0">
                  <c:v>Ø Bogeys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713576534367822E-2"/>
                  <c:y val="-5.0222621863874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31-44FB-B7B7-94C6018ADF2B}"/>
                </c:ext>
              </c:extLst>
            </c:dLbl>
            <c:dLbl>
              <c:idx val="4"/>
              <c:layout>
                <c:manualLayout>
                  <c:x val="-3.0535044601585976E-2"/>
                  <c:y val="-7.16974355974604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31-44FB-B7B7-94C6018ADF2B}"/>
                </c:ext>
              </c:extLst>
            </c:dLbl>
            <c:dLbl>
              <c:idx val="6"/>
              <c:layout>
                <c:manualLayout>
                  <c:x val="-1.9901831159362147E-2"/>
                  <c:y val="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31-44FB-B7B7-94C6018ADF2B}"/>
                </c:ext>
              </c:extLst>
            </c:dLbl>
            <c:dLbl>
              <c:idx val="8"/>
              <c:layout>
                <c:manualLayout>
                  <c:x val="-2.6990640120844785E-2"/>
                  <c:y val="5.26932960415071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31-44FB-B7B7-94C6018ADF2B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Tag1-4'!$B$57:$J$57</c:f>
              <c:numCache>
                <c:formatCode>0.00</c:formatCode>
                <c:ptCount val="9"/>
                <c:pt idx="0">
                  <c:v>7.75</c:v>
                </c:pt>
                <c:pt idx="1">
                  <c:v>7.5</c:v>
                </c:pt>
                <c:pt idx="2">
                  <c:v>8.25</c:v>
                </c:pt>
                <c:pt idx="3">
                  <c:v>3.75</c:v>
                </c:pt>
                <c:pt idx="4">
                  <c:v>5</c:v>
                </c:pt>
                <c:pt idx="5">
                  <c:v>7.25</c:v>
                </c:pt>
                <c:pt idx="6">
                  <c:v>3.25</c:v>
                </c:pt>
                <c:pt idx="7">
                  <c:v>5</c:v>
                </c:pt>
                <c:pt idx="8" formatCode="General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31-44FB-B7B7-94C6018ADF2B}"/>
            </c:ext>
          </c:extLst>
        </c:ser>
        <c:ser>
          <c:idx val="1"/>
          <c:order val="1"/>
          <c:tx>
            <c:strRef>
              <c:f>'Zusammenfassung Tag1-4'!$A$58</c:f>
              <c:strCache>
                <c:ptCount val="1"/>
                <c:pt idx="0">
                  <c:v>Ø Doubley Bogeys +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2486141587795593E-2"/>
                  <c:y val="3.96393430580476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31-44FB-B7B7-94C6018ADF2B}"/>
                </c:ext>
              </c:extLst>
            </c:dLbl>
            <c:dLbl>
              <c:idx val="3"/>
              <c:layout>
                <c:manualLayout>
                  <c:x val="-4.6094980272040023E-2"/>
                  <c:y val="-2.50509112328476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31-44FB-B7B7-94C6018ADF2B}"/>
                </c:ext>
              </c:extLst>
            </c:dLbl>
            <c:dLbl>
              <c:idx val="4"/>
              <c:layout>
                <c:manualLayout>
                  <c:x val="-3.0145160108704373E-2"/>
                  <c:y val="6.8242137496377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31-44FB-B7B7-94C6018ADF2B}"/>
                </c:ext>
              </c:extLst>
            </c:dLbl>
            <c:dLbl>
              <c:idx val="5"/>
              <c:layout>
                <c:manualLayout>
                  <c:x val="-2.6600755627963248E-2"/>
                  <c:y val="6.4786839395295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31-44FB-B7B7-94C6018ADF2B}"/>
                </c:ext>
              </c:extLst>
            </c:dLbl>
            <c:dLbl>
              <c:idx val="6"/>
              <c:layout>
                <c:manualLayout>
                  <c:x val="-2.1674033399732905E-2"/>
                  <c:y val="-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31-44FB-B7B7-94C6018ADF2B}"/>
                </c:ext>
              </c:extLst>
            </c:dLbl>
            <c:dLbl>
              <c:idx val="7"/>
              <c:layout>
                <c:manualLayout>
                  <c:x val="-4.6705840455840586E-2"/>
                  <c:y val="-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31-44FB-B7B7-94C6018ADF2B}"/>
                </c:ext>
              </c:extLst>
            </c:dLbl>
            <c:dLbl>
              <c:idx val="8"/>
              <c:layout>
                <c:manualLayout>
                  <c:x val="-3.2307246841956537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31-44FB-B7B7-94C6018ADF2B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Tag1-4'!$B$58:$J$58</c:f>
              <c:numCache>
                <c:formatCode>0.00</c:formatCode>
                <c:ptCount val="9"/>
                <c:pt idx="0">
                  <c:v>3.5</c:v>
                </c:pt>
                <c:pt idx="1">
                  <c:v>7</c:v>
                </c:pt>
                <c:pt idx="2">
                  <c:v>5</c:v>
                </c:pt>
                <c:pt idx="3">
                  <c:v>14</c:v>
                </c:pt>
                <c:pt idx="4">
                  <c:v>3.75</c:v>
                </c:pt>
                <c:pt idx="5">
                  <c:v>6.25</c:v>
                </c:pt>
                <c:pt idx="6">
                  <c:v>14</c:v>
                </c:pt>
                <c:pt idx="7">
                  <c:v>12.5</c:v>
                </c:pt>
                <c:pt idx="8" formatCode="General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131-44FB-B7B7-94C6018A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Putten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516111111111099E-2"/>
          <c:y val="0.29508623065952372"/>
          <c:w val="0.90361666666666685"/>
          <c:h val="0.56310722222222231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Tag1-4'!$A$60</c:f>
              <c:strCache>
                <c:ptCount val="1"/>
                <c:pt idx="0">
                  <c:v>Ø 1 Put pro Runde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267094017094019E-2"/>
                  <c:y val="-2.910416666666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43-49EC-B860-B7220149F051}"/>
                </c:ext>
              </c:extLst>
            </c:dLbl>
            <c:dLbl>
              <c:idx val="1"/>
              <c:layout>
                <c:manualLayout>
                  <c:x val="-3.0722311956434524E-2"/>
                  <c:y val="-5.3653705671178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43-49EC-B860-B7220149F051}"/>
                </c:ext>
              </c:extLst>
            </c:dLbl>
            <c:dLbl>
              <c:idx val="2"/>
              <c:layout>
                <c:manualLayout>
                  <c:x val="-6.971076124458836E-2"/>
                  <c:y val="3.99293704419652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43-49EC-B860-B7220149F051}"/>
                </c:ext>
              </c:extLst>
            </c:dLbl>
            <c:dLbl>
              <c:idx val="3"/>
              <c:layout>
                <c:manualLayout>
                  <c:x val="-3.2307246841956606E-2"/>
                  <c:y val="-3.8872103637177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43-49EC-B860-B7220149F051}"/>
                </c:ext>
              </c:extLst>
            </c:dLbl>
            <c:dLbl>
              <c:idx val="4"/>
              <c:layout>
                <c:manualLayout>
                  <c:x val="-2.8762842361215284E-2"/>
                  <c:y val="-2.8506209333930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43-49EC-B860-B7220149F051}"/>
                </c:ext>
              </c:extLst>
            </c:dLbl>
            <c:dLbl>
              <c:idx val="5"/>
              <c:layout>
                <c:manualLayout>
                  <c:x val="-4.2940460284180436E-2"/>
                  <c:y val="-4.92379979404246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43-49EC-B860-B7220149F051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Tag1-4'!$B$60:$J$60</c:f>
              <c:numCache>
                <c:formatCode>0.00</c:formatCode>
                <c:ptCount val="9"/>
                <c:pt idx="0">
                  <c:v>4</c:v>
                </c:pt>
                <c:pt idx="1">
                  <c:v>5.5</c:v>
                </c:pt>
                <c:pt idx="2">
                  <c:v>3.5</c:v>
                </c:pt>
                <c:pt idx="3">
                  <c:v>1.5</c:v>
                </c:pt>
                <c:pt idx="4">
                  <c:v>4.5</c:v>
                </c:pt>
                <c:pt idx="5">
                  <c:v>4.75</c:v>
                </c:pt>
                <c:pt idx="6">
                  <c:v>2</c:v>
                </c:pt>
                <c:pt idx="7">
                  <c:v>1.75</c:v>
                </c:pt>
                <c:pt idx="8" formatCode="General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43-49EC-B860-B7220149F051}"/>
            </c:ext>
          </c:extLst>
        </c:ser>
        <c:ser>
          <c:idx val="1"/>
          <c:order val="1"/>
          <c:tx>
            <c:strRef>
              <c:f>'Zusammenfassung Tag1-4'!$A$61</c:f>
              <c:strCache>
                <c:ptCount val="1"/>
                <c:pt idx="0">
                  <c:v>Ø 2 Put pro Runde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Tag1-4'!$B$61:$J$61</c:f>
              <c:numCache>
                <c:formatCode>0.00</c:formatCode>
                <c:ptCount val="9"/>
                <c:pt idx="0">
                  <c:v>11</c:v>
                </c:pt>
                <c:pt idx="1">
                  <c:v>9.5</c:v>
                </c:pt>
                <c:pt idx="2">
                  <c:v>10.5</c:v>
                </c:pt>
                <c:pt idx="3">
                  <c:v>11.25</c:v>
                </c:pt>
                <c:pt idx="4">
                  <c:v>12.25</c:v>
                </c:pt>
                <c:pt idx="5">
                  <c:v>10</c:v>
                </c:pt>
                <c:pt idx="6">
                  <c:v>9.5</c:v>
                </c:pt>
                <c:pt idx="7">
                  <c:v>12.75</c:v>
                </c:pt>
                <c:pt idx="8" formatCode="General">
                  <c:v>12.75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43-49EC-B860-B7220149F051}"/>
            </c:ext>
          </c:extLst>
        </c:ser>
        <c:ser>
          <c:idx val="2"/>
          <c:order val="2"/>
          <c:tx>
            <c:strRef>
              <c:f>'Zusammenfassung Tag1-4'!$A$62</c:f>
              <c:strCache>
                <c:ptCount val="1"/>
                <c:pt idx="0">
                  <c:v>Ø 3+ Put pro Runde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68019943019943E-2"/>
                  <c:y val="3.61597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43-49EC-B860-B7220149F051}"/>
                </c:ext>
              </c:extLst>
            </c:dLbl>
            <c:dLbl>
              <c:idx val="1"/>
              <c:layout>
                <c:manualLayout>
                  <c:x val="-4.1338640637155546E-2"/>
                  <c:y val="-4.6549939260212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43-49EC-B860-B7220149F051}"/>
                </c:ext>
              </c:extLst>
            </c:dLbl>
            <c:dLbl>
              <c:idx val="2"/>
              <c:layout>
                <c:manualLayout>
                  <c:x val="-4.3085585507013802E-2"/>
                  <c:y val="-4.3239654851088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43-49EC-B860-B7220149F051}"/>
                </c:ext>
              </c:extLst>
            </c:dLbl>
            <c:dLbl>
              <c:idx val="4"/>
              <c:layout>
                <c:manualLayout>
                  <c:x val="-3.2460826210826278E-2"/>
                  <c:y val="4.3215277777777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43-49EC-B860-B7220149F051}"/>
                </c:ext>
              </c:extLst>
            </c:dLbl>
            <c:dLbl>
              <c:idx val="6"/>
              <c:layout>
                <c:manualLayout>
                  <c:x val="-3.7623853563068424E-2"/>
                  <c:y val="5.614859414258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43-49EC-B860-B7220149F051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Tag1-4'!$B$62:$J$62</c:f>
              <c:numCache>
                <c:formatCode>0.00</c:formatCode>
                <c:ptCount val="9"/>
                <c:pt idx="0">
                  <c:v>2.5</c:v>
                </c:pt>
                <c:pt idx="1">
                  <c:v>3</c:v>
                </c:pt>
                <c:pt idx="2">
                  <c:v>4</c:v>
                </c:pt>
                <c:pt idx="3">
                  <c:v>5.25</c:v>
                </c:pt>
                <c:pt idx="4">
                  <c:v>1.25</c:v>
                </c:pt>
                <c:pt idx="5">
                  <c:v>3</c:v>
                </c:pt>
                <c:pt idx="6">
                  <c:v>6.5</c:v>
                </c:pt>
                <c:pt idx="7">
                  <c:v>3.5</c:v>
                </c:pt>
                <c:pt idx="8" formatCode="General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43-49EC-B860-B7220149F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Performen nach 4 Tagen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1682777777777766E-2"/>
          <c:y val="0.20494999999999997"/>
          <c:w val="0.88244999999999996"/>
          <c:h val="0.63798055555555555"/>
        </c:manualLayout>
      </c:layout>
      <c:lineChart>
        <c:grouping val="standard"/>
        <c:varyColors val="0"/>
        <c:ser>
          <c:idx val="0"/>
          <c:order val="0"/>
          <c:tx>
            <c:strRef>
              <c:f>'Zusammenfassung Tag1-4'!$A$63</c:f>
              <c:strCache>
                <c:ptCount val="1"/>
                <c:pt idx="0">
                  <c:v>Par3 Perf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61646124703034E-2"/>
                  <c:y val="5.19018423268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59-4A07-85A7-7BBB65369278}"/>
                </c:ext>
              </c:extLst>
            </c:dLbl>
            <c:dLbl>
              <c:idx val="1"/>
              <c:layout>
                <c:manualLayout>
                  <c:x val="-3.3831908831908834E-2"/>
                  <c:y val="4.5861111111110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59-4A07-85A7-7BBB65369278}"/>
                </c:ext>
              </c:extLst>
            </c:dLbl>
            <c:dLbl>
              <c:idx val="2"/>
              <c:layout>
                <c:manualLayout>
                  <c:x val="-4.2718167514974759E-2"/>
                  <c:y val="-4.7214608020916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59-4A07-85A7-7BBB65369278}"/>
                </c:ext>
              </c:extLst>
            </c:dLbl>
            <c:dLbl>
              <c:idx val="3"/>
              <c:layout>
                <c:manualLayout>
                  <c:x val="-4.8034774236086708E-2"/>
                  <c:y val="5.9464864107478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59-4A07-85A7-7BBB65369278}"/>
                </c:ext>
              </c:extLst>
            </c:dLbl>
            <c:dLbl>
              <c:idx val="4"/>
              <c:layout>
                <c:manualLayout>
                  <c:x val="-2.481083136518885E-2"/>
                  <c:y val="5.1829471516236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59-4A07-85A7-7BBB65369278}"/>
                </c:ext>
              </c:extLst>
            </c:dLbl>
            <c:dLbl>
              <c:idx val="5"/>
              <c:layout>
                <c:manualLayout>
                  <c:x val="-3.3823526333599627E-2"/>
                  <c:y val="-5.07422769326202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59-4A07-85A7-7BBB65369278}"/>
                </c:ext>
              </c:extLst>
            </c:dLbl>
            <c:dLbl>
              <c:idx val="6"/>
              <c:layout>
                <c:manualLayout>
                  <c:x val="-3.7334161291335523E-2"/>
                  <c:y val="3.0155502018084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59-4A07-85A7-7BBB65369278}"/>
                </c:ext>
              </c:extLst>
            </c:dLbl>
            <c:dLbl>
              <c:idx val="7"/>
              <c:layout>
                <c:manualLayout>
                  <c:x val="-3.5612535612535613E-2"/>
                  <c:y val="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59-4A07-85A7-7BBB65369278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Tag1-4'!$B$63:$J$63</c:f>
              <c:numCache>
                <c:formatCode>0.00</c:formatCode>
                <c:ptCount val="9"/>
                <c:pt idx="0">
                  <c:v>0.625</c:v>
                </c:pt>
                <c:pt idx="1">
                  <c:v>1.0625</c:v>
                </c:pt>
                <c:pt idx="2">
                  <c:v>1.0625</c:v>
                </c:pt>
                <c:pt idx="3">
                  <c:v>2</c:v>
                </c:pt>
                <c:pt idx="4">
                  <c:v>0.625</c:v>
                </c:pt>
                <c:pt idx="5">
                  <c:v>1.5</c:v>
                </c:pt>
                <c:pt idx="6">
                  <c:v>1.875</c:v>
                </c:pt>
                <c:pt idx="7">
                  <c:v>1.9375</c:v>
                </c:pt>
                <c:pt idx="8" formatCode="General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59-4A07-85A7-7BBB65369278}"/>
            </c:ext>
          </c:extLst>
        </c:ser>
        <c:ser>
          <c:idx val="1"/>
          <c:order val="1"/>
          <c:tx>
            <c:strRef>
              <c:f>'Zusammenfassung Tag1-4'!$A$64</c:f>
              <c:strCache>
                <c:ptCount val="1"/>
                <c:pt idx="0">
                  <c:v>Par4 Perf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912335295082154E-2"/>
                  <c:y val="-5.10323043165379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59-4A07-85A7-7BBB65369278}"/>
                </c:ext>
              </c:extLst>
            </c:dLbl>
            <c:dLbl>
              <c:idx val="1"/>
              <c:layout>
                <c:manualLayout>
                  <c:x val="-2.8355235845930041E-2"/>
                  <c:y val="-4.8374173415154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59-4A07-85A7-7BBB65369278}"/>
                </c:ext>
              </c:extLst>
            </c:dLbl>
            <c:dLbl>
              <c:idx val="2"/>
              <c:layout>
                <c:manualLayout>
                  <c:x val="-3.0270609700365256E-2"/>
                  <c:y val="4.0521396321331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F59-4A07-85A7-7BBB65369278}"/>
                </c:ext>
              </c:extLst>
            </c:dLbl>
            <c:dLbl>
              <c:idx val="3"/>
              <c:layout>
                <c:manualLayout>
                  <c:x val="-4.274342488548713E-2"/>
                  <c:y val="4.743199252349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F59-4A07-85A7-7BBB65369278}"/>
                </c:ext>
              </c:extLst>
            </c:dLbl>
            <c:dLbl>
              <c:idx val="4"/>
              <c:layout>
                <c:manualLayout>
                  <c:x val="-7.8136954951874935E-2"/>
                  <c:y val="2.6917588419582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F59-4A07-85A7-7BBB65369278}"/>
                </c:ext>
              </c:extLst>
            </c:dLbl>
            <c:dLbl>
              <c:idx val="5"/>
              <c:layout>
                <c:manualLayout>
                  <c:x val="-2.3274457611922594E-2"/>
                  <c:y val="4.8953956112272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F59-4A07-85A7-7BBB65369278}"/>
                </c:ext>
              </c:extLst>
            </c:dLbl>
            <c:dLbl>
              <c:idx val="6"/>
              <c:layout>
                <c:manualLayout>
                  <c:x val="-3.7216247047783174E-2"/>
                  <c:y val="-3.8008279111906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F59-4A07-85A7-7BBB65369278}"/>
                </c:ext>
              </c:extLst>
            </c:dLbl>
            <c:dLbl>
              <c:idx val="7"/>
              <c:layout>
                <c:manualLayout>
                  <c:x val="-5.3418780459726006E-2"/>
                  <c:y val="5.441495953628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F59-4A07-85A7-7BBB65369278}"/>
                </c:ext>
              </c:extLst>
            </c:dLbl>
            <c:dLbl>
              <c:idx val="8"/>
              <c:layout>
                <c:manualLayout>
                  <c:x val="-1.0633213442223895E-2"/>
                  <c:y val="-5.5284769617318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F59-4A07-85A7-7BBB65369278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Tag1-4'!$B$64:$J$64</c:f>
              <c:numCache>
                <c:formatCode>0.00</c:formatCode>
                <c:ptCount val="9"/>
                <c:pt idx="0">
                  <c:v>0.82499999999999996</c:v>
                </c:pt>
                <c:pt idx="1">
                  <c:v>1.2749999999999999</c:v>
                </c:pt>
                <c:pt idx="2">
                  <c:v>0.97499999999999998</c:v>
                </c:pt>
                <c:pt idx="3">
                  <c:v>2.875</c:v>
                </c:pt>
                <c:pt idx="4">
                  <c:v>0.8</c:v>
                </c:pt>
                <c:pt idx="5">
                  <c:v>1.125</c:v>
                </c:pt>
                <c:pt idx="6">
                  <c:v>3.1749999999999998</c:v>
                </c:pt>
                <c:pt idx="7">
                  <c:v>2.4750000000000001</c:v>
                </c:pt>
                <c:pt idx="8">
                  <c:v>1.825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59-4A07-85A7-7BBB65369278}"/>
            </c:ext>
          </c:extLst>
        </c:ser>
        <c:ser>
          <c:idx val="2"/>
          <c:order val="2"/>
          <c:tx>
            <c:strRef>
              <c:f>'Zusammenfassung Tag1-4'!$A$65</c:f>
              <c:strCache>
                <c:ptCount val="1"/>
                <c:pt idx="0">
                  <c:v>Par5 Perf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7393162393162378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F59-4A07-85A7-7BBB65369278}"/>
                </c:ext>
              </c:extLst>
            </c:dLbl>
            <c:dLbl>
              <c:idx val="1"/>
              <c:layout>
                <c:manualLayout>
                  <c:x val="-4.2735042735042736E-2"/>
                  <c:y val="-4.9388888888888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F59-4A07-85A7-7BBB65369278}"/>
                </c:ext>
              </c:extLst>
            </c:dLbl>
            <c:dLbl>
              <c:idx val="2"/>
              <c:layout>
                <c:manualLayout>
                  <c:x val="-4.0954415954416019E-2"/>
                  <c:y val="-3.5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F59-4A07-85A7-7BBB65369278}"/>
                </c:ext>
              </c:extLst>
            </c:dLbl>
            <c:dLbl>
              <c:idx val="3"/>
              <c:layout>
                <c:manualLayout>
                  <c:x val="-2.3148148148148147E-2"/>
                  <c:y val="-3.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F59-4A07-85A7-7BBB65369278}"/>
                </c:ext>
              </c:extLst>
            </c:dLbl>
            <c:dLbl>
              <c:idx val="4"/>
              <c:layout>
                <c:manualLayout>
                  <c:x val="-1.6101503929893419E-2"/>
                  <c:y val="-2.6772574727623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F59-4A07-85A7-7BBB65369278}"/>
                </c:ext>
              </c:extLst>
            </c:dLbl>
            <c:dLbl>
              <c:idx val="6"/>
              <c:layout>
                <c:manualLayout>
                  <c:x val="-2.6709401709401708E-2"/>
                  <c:y val="4.2333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F59-4A07-85A7-7BBB65369278}"/>
                </c:ext>
              </c:extLst>
            </c:dLbl>
            <c:dLbl>
              <c:idx val="8"/>
              <c:layout>
                <c:manualLayout>
                  <c:x val="3.3590907346614249E-3"/>
                  <c:y val="-3.8805446311605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F59-4A07-85A7-7BBB65369278}"/>
                </c:ext>
              </c:extLst>
            </c:dLbl>
            <c:spPr>
              <a:noFill/>
              <a:ln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'Zusammenfassung Tag1-4'!$B$45:$J$45</c:f>
              <c:strCache>
                <c:ptCount val="9"/>
                <c:pt idx="0">
                  <c:v>Manu</c:v>
                </c:pt>
                <c:pt idx="1">
                  <c:v>Jens</c:v>
                </c:pt>
                <c:pt idx="2">
                  <c:v>Pulfer</c:v>
                </c:pt>
                <c:pt idx="3">
                  <c:v>Sutti</c:v>
                </c:pt>
                <c:pt idx="4">
                  <c:v>Parli</c:v>
                </c:pt>
                <c:pt idx="5">
                  <c:v>Lenz</c:v>
                </c:pt>
                <c:pt idx="6">
                  <c:v>Aui</c:v>
                </c:pt>
                <c:pt idx="7">
                  <c:v>Köbi</c:v>
                </c:pt>
                <c:pt idx="8">
                  <c:v>Meiky</c:v>
                </c:pt>
              </c:strCache>
            </c:strRef>
          </c:cat>
          <c:val>
            <c:numRef>
              <c:f>'Zusammenfassung Tag1-4'!$B$65:$J$65</c:f>
              <c:numCache>
                <c:formatCode>0.00</c:formatCode>
                <c:ptCount val="9"/>
                <c:pt idx="0">
                  <c:v>1.25</c:v>
                </c:pt>
                <c:pt idx="1">
                  <c:v>2.125</c:v>
                </c:pt>
                <c:pt idx="2">
                  <c:v>1.8125</c:v>
                </c:pt>
                <c:pt idx="3">
                  <c:v>3.1875</c:v>
                </c:pt>
                <c:pt idx="4">
                  <c:v>1.1875</c:v>
                </c:pt>
                <c:pt idx="5">
                  <c:v>1.125</c:v>
                </c:pt>
                <c:pt idx="6">
                  <c:v>3</c:v>
                </c:pt>
                <c:pt idx="7">
                  <c:v>2.8125</c:v>
                </c:pt>
                <c:pt idx="8">
                  <c:v>1.6875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59-4A07-85A7-7BBB65369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76600"/>
        <c:axId val="73576960"/>
      </c:lineChart>
      <c:catAx>
        <c:axId val="73576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960"/>
        <c:crosses val="max"/>
        <c:auto val="1"/>
        <c:lblAlgn val="ctr"/>
        <c:lblOffset val="100"/>
        <c:noMultiLvlLbl val="1"/>
      </c:catAx>
      <c:valAx>
        <c:axId val="735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Schläge über Par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576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52</xdr:row>
      <xdr:rowOff>0</xdr:rowOff>
    </xdr:from>
    <xdr:to>
      <xdr:col>10</xdr:col>
      <xdr:colOff>0</xdr:colOff>
      <xdr:row>73</xdr:row>
      <xdr:rowOff>79560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51FA110-786D-4615-B3E7-B703B357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10</xdr:col>
      <xdr:colOff>0</xdr:colOff>
      <xdr:row>96</xdr:row>
      <xdr:rowOff>79560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6806757-88B4-4DF2-9BA7-4ECC46F2D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98</xdr:row>
      <xdr:rowOff>0</xdr:rowOff>
    </xdr:from>
    <xdr:to>
      <xdr:col>10</xdr:col>
      <xdr:colOff>0</xdr:colOff>
      <xdr:row>119</xdr:row>
      <xdr:rowOff>79560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4F9D675-8079-42B7-B4C6-638104F60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121</xdr:row>
      <xdr:rowOff>0</xdr:rowOff>
    </xdr:from>
    <xdr:to>
      <xdr:col>10</xdr:col>
      <xdr:colOff>0</xdr:colOff>
      <xdr:row>142</xdr:row>
      <xdr:rowOff>79560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2D8517FD-DA90-4FFB-862B-17BBE7EBC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145</xdr:row>
      <xdr:rowOff>0</xdr:rowOff>
    </xdr:from>
    <xdr:to>
      <xdr:col>10</xdr:col>
      <xdr:colOff>0</xdr:colOff>
      <xdr:row>166</xdr:row>
      <xdr:rowOff>158709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86A05AB-DD60-40EC-9E98-094C0162B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169</xdr:row>
      <xdr:rowOff>0</xdr:rowOff>
    </xdr:from>
    <xdr:to>
      <xdr:col>10</xdr:col>
      <xdr:colOff>0</xdr:colOff>
      <xdr:row>190</xdr:row>
      <xdr:rowOff>158710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104E6DFD-A64B-4D28-ABE6-42F4CC23E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193</xdr:row>
      <xdr:rowOff>0</xdr:rowOff>
    </xdr:from>
    <xdr:to>
      <xdr:col>10</xdr:col>
      <xdr:colOff>0</xdr:colOff>
      <xdr:row>214</xdr:row>
      <xdr:rowOff>158710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101E51C7-7358-40BD-81CE-92D0AF790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217</xdr:row>
      <xdr:rowOff>0</xdr:rowOff>
    </xdr:from>
    <xdr:to>
      <xdr:col>10</xdr:col>
      <xdr:colOff>0</xdr:colOff>
      <xdr:row>238</xdr:row>
      <xdr:rowOff>158710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B5AE23E1-5BF5-4039-9AFC-44F69E3D3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71</xdr:row>
      <xdr:rowOff>0</xdr:rowOff>
    </xdr:from>
    <xdr:to>
      <xdr:col>10</xdr:col>
      <xdr:colOff>0</xdr:colOff>
      <xdr:row>92</xdr:row>
      <xdr:rowOff>79560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77638D7-1C75-4927-933B-954B34F97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94</xdr:row>
      <xdr:rowOff>0</xdr:rowOff>
    </xdr:from>
    <xdr:to>
      <xdr:col>10</xdr:col>
      <xdr:colOff>0</xdr:colOff>
      <xdr:row>115</xdr:row>
      <xdr:rowOff>79560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42427144-9601-4BE6-9CED-CE9F927C2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10</xdr:col>
      <xdr:colOff>0</xdr:colOff>
      <xdr:row>138</xdr:row>
      <xdr:rowOff>79560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9B6BD36D-F1FB-4C32-B5F7-03ED1A780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140</xdr:row>
      <xdr:rowOff>0</xdr:rowOff>
    </xdr:from>
    <xdr:to>
      <xdr:col>10</xdr:col>
      <xdr:colOff>0</xdr:colOff>
      <xdr:row>161</xdr:row>
      <xdr:rowOff>79560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4A8E1174-96EA-4938-A33F-101D5833C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163</xdr:row>
      <xdr:rowOff>0</xdr:rowOff>
    </xdr:from>
    <xdr:to>
      <xdr:col>10</xdr:col>
      <xdr:colOff>0</xdr:colOff>
      <xdr:row>184</xdr:row>
      <xdr:rowOff>79560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9E475849-2A82-47C0-8437-5E210418B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186</xdr:row>
      <xdr:rowOff>0</xdr:rowOff>
    </xdr:from>
    <xdr:to>
      <xdr:col>10</xdr:col>
      <xdr:colOff>0</xdr:colOff>
      <xdr:row>207</xdr:row>
      <xdr:rowOff>79560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3F8E5483-E9B2-40A7-A59F-27261782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209</xdr:row>
      <xdr:rowOff>0</xdr:rowOff>
    </xdr:from>
    <xdr:to>
      <xdr:col>10</xdr:col>
      <xdr:colOff>0</xdr:colOff>
      <xdr:row>230</xdr:row>
      <xdr:rowOff>79560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4BAE1ADA-5BF0-4891-BF7B-867516E52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232</xdr:row>
      <xdr:rowOff>0</xdr:rowOff>
    </xdr:from>
    <xdr:to>
      <xdr:col>10</xdr:col>
      <xdr:colOff>0</xdr:colOff>
      <xdr:row>253</xdr:row>
      <xdr:rowOff>79560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53CCF40B-D740-4D76-8929-4EC7815AF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0</xdr:rowOff>
    </xdr:from>
    <xdr:to>
      <xdr:col>10</xdr:col>
      <xdr:colOff>0</xdr:colOff>
      <xdr:row>93</xdr:row>
      <xdr:rowOff>79560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7C93F42-73F8-453C-AF93-B03A72128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10</xdr:col>
      <xdr:colOff>33905</xdr:colOff>
      <xdr:row>117</xdr:row>
      <xdr:rowOff>155075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6DCB70D-89ED-411D-85A8-953C389D5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10</xdr:col>
      <xdr:colOff>33905</xdr:colOff>
      <xdr:row>141</xdr:row>
      <xdr:rowOff>155075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B76882A-031F-4F7C-87FF-D81A88EFD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10</xdr:col>
      <xdr:colOff>33905</xdr:colOff>
      <xdr:row>165</xdr:row>
      <xdr:rowOff>155075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3FB4A549-9ED3-4457-80DC-43C45DDF3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168</xdr:row>
      <xdr:rowOff>0</xdr:rowOff>
    </xdr:from>
    <xdr:to>
      <xdr:col>10</xdr:col>
      <xdr:colOff>33905</xdr:colOff>
      <xdr:row>189</xdr:row>
      <xdr:rowOff>155075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38D4DD94-62CD-4444-B704-73251D5E2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192</xdr:row>
      <xdr:rowOff>0</xdr:rowOff>
    </xdr:from>
    <xdr:to>
      <xdr:col>10</xdr:col>
      <xdr:colOff>33905</xdr:colOff>
      <xdr:row>213</xdr:row>
      <xdr:rowOff>155075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2838B0C8-740C-4426-AE9C-47D5773B3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216</xdr:row>
      <xdr:rowOff>0</xdr:rowOff>
    </xdr:from>
    <xdr:to>
      <xdr:col>10</xdr:col>
      <xdr:colOff>33905</xdr:colOff>
      <xdr:row>237</xdr:row>
      <xdr:rowOff>155075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981E659-2867-469A-B920-D5E7FFF57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240</xdr:row>
      <xdr:rowOff>0</xdr:rowOff>
    </xdr:from>
    <xdr:to>
      <xdr:col>10</xdr:col>
      <xdr:colOff>33905</xdr:colOff>
      <xdr:row>261</xdr:row>
      <xdr:rowOff>155075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42164BB-67D6-43CC-9A21-F47FD3AD0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73</xdr:row>
      <xdr:rowOff>0</xdr:rowOff>
    </xdr:from>
    <xdr:to>
      <xdr:col>10</xdr:col>
      <xdr:colOff>0</xdr:colOff>
      <xdr:row>94</xdr:row>
      <xdr:rowOff>79560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4B4983A-55D8-494E-AFC2-7B07F3C17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10</xdr:col>
      <xdr:colOff>33905</xdr:colOff>
      <xdr:row>117</xdr:row>
      <xdr:rowOff>155075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840ACB9-A0AE-4B22-82BE-E7B1B5D0C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10</xdr:col>
      <xdr:colOff>33905</xdr:colOff>
      <xdr:row>141</xdr:row>
      <xdr:rowOff>155075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FAA8B4E-10F2-4B8A-B7E9-905228DE8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10</xdr:col>
      <xdr:colOff>33905</xdr:colOff>
      <xdr:row>165</xdr:row>
      <xdr:rowOff>155075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892496F-29BF-4B36-8284-5E9B8A943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168</xdr:row>
      <xdr:rowOff>0</xdr:rowOff>
    </xdr:from>
    <xdr:to>
      <xdr:col>10</xdr:col>
      <xdr:colOff>33905</xdr:colOff>
      <xdr:row>189</xdr:row>
      <xdr:rowOff>155075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52BB101-2172-40EB-8E3A-89710B36B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192</xdr:row>
      <xdr:rowOff>0</xdr:rowOff>
    </xdr:from>
    <xdr:to>
      <xdr:col>10</xdr:col>
      <xdr:colOff>33905</xdr:colOff>
      <xdr:row>213</xdr:row>
      <xdr:rowOff>155075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A01D4B02-6769-445D-8EC1-CE97DCABF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216</xdr:row>
      <xdr:rowOff>0</xdr:rowOff>
    </xdr:from>
    <xdr:to>
      <xdr:col>10</xdr:col>
      <xdr:colOff>33905</xdr:colOff>
      <xdr:row>237</xdr:row>
      <xdr:rowOff>155075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BA0DF6ED-C7FB-494C-B520-680A9712F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240</xdr:row>
      <xdr:rowOff>0</xdr:rowOff>
    </xdr:from>
    <xdr:to>
      <xdr:col>10</xdr:col>
      <xdr:colOff>33905</xdr:colOff>
      <xdr:row>261</xdr:row>
      <xdr:rowOff>155075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FFE9B6CF-95D9-4DCE-8E1A-D5EB9E554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U1014"/>
  <sheetViews>
    <sheetView topLeftCell="IY58" zoomScale="74" workbookViewId="0">
      <selection activeCell="IS96" sqref="IS96"/>
    </sheetView>
  </sheetViews>
  <sheetFormatPr baseColWidth="10" defaultColWidth="12.5546875" defaultRowHeight="15.75" customHeight="1" x14ac:dyDescent="0.25"/>
  <cols>
    <col min="4" max="4" width="12.5546875" customWidth="1"/>
    <col min="6" max="6" width="12.5546875" customWidth="1"/>
    <col min="8" max="8" width="12.5546875" customWidth="1"/>
    <col min="10" max="36" width="12.5546875" customWidth="1"/>
    <col min="38" max="38" width="12.5546875" customWidth="1"/>
    <col min="40" max="66" width="12.5546875" customWidth="1"/>
    <col min="68" max="68" width="12.5546875" customWidth="1"/>
    <col min="70" max="126" width="12.5546875" customWidth="1"/>
    <col min="128" max="128" width="12.5546875" customWidth="1"/>
    <col min="130" max="156" width="12.5546875" customWidth="1"/>
    <col min="158" max="158" width="12.5546875" customWidth="1"/>
    <col min="160" max="186" width="12.5546875" customWidth="1"/>
    <col min="188" max="188" width="12.5546875" customWidth="1"/>
    <col min="190" max="216" width="12.5546875" customWidth="1"/>
    <col min="218" max="218" width="12.5546875" customWidth="1"/>
    <col min="220" max="246" width="12.5546875" customWidth="1"/>
    <col min="248" max="248" width="12.5546875" customWidth="1"/>
    <col min="250" max="306" width="12.5546875" customWidth="1"/>
  </cols>
  <sheetData>
    <row r="1" spans="1:306" s="92" customFormat="1" ht="15.75" customHeight="1" thickTop="1" x14ac:dyDescent="0.25">
      <c r="A1" s="183" t="s">
        <v>64</v>
      </c>
      <c r="B1" s="187" t="s">
        <v>0</v>
      </c>
      <c r="C1" s="188"/>
      <c r="D1" s="188"/>
      <c r="E1" s="188"/>
      <c r="F1" s="189"/>
      <c r="G1" s="171" t="s">
        <v>40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4"/>
      <c r="AK1" s="171" t="s">
        <v>41</v>
      </c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4"/>
      <c r="BO1" s="171" t="s">
        <v>42</v>
      </c>
      <c r="BP1" s="172"/>
      <c r="BQ1" s="172"/>
      <c r="BR1" s="172"/>
      <c r="BS1" s="172"/>
      <c r="BT1" s="172"/>
      <c r="BU1" s="172"/>
      <c r="BV1" s="172"/>
      <c r="BW1" s="172"/>
      <c r="BX1" s="172"/>
      <c r="BY1" s="172"/>
      <c r="BZ1" s="172"/>
      <c r="CA1" s="172"/>
      <c r="CB1" s="172"/>
      <c r="CC1" s="172"/>
      <c r="CD1" s="172"/>
      <c r="CE1" s="172"/>
      <c r="CF1" s="172"/>
      <c r="CG1" s="172"/>
      <c r="CH1" s="172"/>
      <c r="CI1" s="172"/>
      <c r="CJ1" s="172"/>
      <c r="CK1" s="172"/>
      <c r="CL1" s="172"/>
      <c r="CM1" s="172"/>
      <c r="CN1" s="172"/>
      <c r="CO1" s="172"/>
      <c r="CP1" s="172"/>
      <c r="CQ1" s="172"/>
      <c r="CR1" s="174"/>
      <c r="CS1" s="171" t="s">
        <v>43</v>
      </c>
      <c r="CT1" s="172"/>
      <c r="CU1" s="172"/>
      <c r="CV1" s="172"/>
      <c r="CW1" s="172"/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2"/>
      <c r="DM1" s="172"/>
      <c r="DN1" s="172"/>
      <c r="DO1" s="172"/>
      <c r="DP1" s="172"/>
      <c r="DQ1" s="172"/>
      <c r="DR1" s="172"/>
      <c r="DS1" s="172"/>
      <c r="DT1" s="172"/>
      <c r="DU1" s="172"/>
      <c r="DV1" s="173"/>
      <c r="DW1" s="171" t="s">
        <v>107</v>
      </c>
      <c r="DX1" s="172"/>
      <c r="DY1" s="172"/>
      <c r="DZ1" s="172"/>
      <c r="EA1" s="172"/>
      <c r="EB1" s="172"/>
      <c r="EC1" s="172"/>
      <c r="ED1" s="172"/>
      <c r="EE1" s="172"/>
      <c r="EF1" s="172"/>
      <c r="EG1" s="172"/>
      <c r="EH1" s="172"/>
      <c r="EI1" s="172"/>
      <c r="EJ1" s="172"/>
      <c r="EK1" s="172"/>
      <c r="EL1" s="172"/>
      <c r="EM1" s="172"/>
      <c r="EN1" s="172"/>
      <c r="EO1" s="172"/>
      <c r="EP1" s="172"/>
      <c r="EQ1" s="172"/>
      <c r="ER1" s="172"/>
      <c r="ES1" s="172"/>
      <c r="ET1" s="172"/>
      <c r="EU1" s="172"/>
      <c r="EV1" s="172"/>
      <c r="EW1" s="172"/>
      <c r="EX1" s="172"/>
      <c r="EY1" s="172"/>
      <c r="EZ1" s="173"/>
      <c r="FA1" s="171" t="s">
        <v>69</v>
      </c>
      <c r="FB1" s="172"/>
      <c r="FC1" s="172"/>
      <c r="FD1" s="172"/>
      <c r="FE1" s="172"/>
      <c r="FF1" s="172"/>
      <c r="FG1" s="172"/>
      <c r="FH1" s="172"/>
      <c r="FI1" s="172"/>
      <c r="FJ1" s="172"/>
      <c r="FK1" s="172"/>
      <c r="FL1" s="172"/>
      <c r="FM1" s="172"/>
      <c r="FN1" s="172"/>
      <c r="FO1" s="172"/>
      <c r="FP1" s="172"/>
      <c r="FQ1" s="172"/>
      <c r="FR1" s="172"/>
      <c r="FS1" s="172"/>
      <c r="FT1" s="172"/>
      <c r="FU1" s="172"/>
      <c r="FV1" s="172"/>
      <c r="FW1" s="172"/>
      <c r="FX1" s="172"/>
      <c r="FY1" s="172"/>
      <c r="FZ1" s="172"/>
      <c r="GA1" s="172"/>
      <c r="GB1" s="172"/>
      <c r="GC1" s="172"/>
      <c r="GD1" s="173"/>
      <c r="GE1" s="171" t="s">
        <v>70</v>
      </c>
      <c r="GF1" s="172"/>
      <c r="GG1" s="172"/>
      <c r="GH1" s="172"/>
      <c r="GI1" s="172"/>
      <c r="GJ1" s="172"/>
      <c r="GK1" s="172"/>
      <c r="GL1" s="172"/>
      <c r="GM1" s="172"/>
      <c r="GN1" s="172"/>
      <c r="GO1" s="172"/>
      <c r="GP1" s="172"/>
      <c r="GQ1" s="172"/>
      <c r="GR1" s="172"/>
      <c r="GS1" s="172"/>
      <c r="GT1" s="172"/>
      <c r="GU1" s="172"/>
      <c r="GV1" s="172"/>
      <c r="GW1" s="172"/>
      <c r="GX1" s="172"/>
      <c r="GY1" s="172"/>
      <c r="GZ1" s="172"/>
      <c r="HA1" s="172"/>
      <c r="HB1" s="172"/>
      <c r="HC1" s="172"/>
      <c r="HD1" s="172"/>
      <c r="HE1" s="172"/>
      <c r="HF1" s="172"/>
      <c r="HG1" s="172"/>
      <c r="HH1" s="173"/>
      <c r="HI1" s="171" t="s">
        <v>71</v>
      </c>
      <c r="HJ1" s="172"/>
      <c r="HK1" s="172"/>
      <c r="HL1" s="172"/>
      <c r="HM1" s="172"/>
      <c r="HN1" s="172"/>
      <c r="HO1" s="172"/>
      <c r="HP1" s="172"/>
      <c r="HQ1" s="172"/>
      <c r="HR1" s="172"/>
      <c r="HS1" s="172"/>
      <c r="HT1" s="172"/>
      <c r="HU1" s="172"/>
      <c r="HV1" s="172"/>
      <c r="HW1" s="172"/>
      <c r="HX1" s="172"/>
      <c r="HY1" s="172"/>
      <c r="HZ1" s="172"/>
      <c r="IA1" s="172"/>
      <c r="IB1" s="172"/>
      <c r="IC1" s="172"/>
      <c r="ID1" s="172"/>
      <c r="IE1" s="172"/>
      <c r="IF1" s="172"/>
      <c r="IG1" s="172"/>
      <c r="IH1" s="172"/>
      <c r="II1" s="172"/>
      <c r="IJ1" s="172"/>
      <c r="IK1" s="172"/>
      <c r="IL1" s="173"/>
      <c r="IM1" s="171" t="s">
        <v>108</v>
      </c>
      <c r="IN1" s="172"/>
      <c r="IO1" s="172"/>
      <c r="IP1" s="172"/>
      <c r="IQ1" s="172"/>
      <c r="IR1" s="172"/>
      <c r="IS1" s="172"/>
      <c r="IT1" s="172"/>
      <c r="IU1" s="172"/>
      <c r="IV1" s="172"/>
      <c r="IW1" s="172"/>
      <c r="IX1" s="172"/>
      <c r="IY1" s="172"/>
      <c r="IZ1" s="172"/>
      <c r="JA1" s="172"/>
      <c r="JB1" s="172"/>
      <c r="JC1" s="172"/>
      <c r="JD1" s="172"/>
      <c r="JE1" s="172"/>
      <c r="JF1" s="172"/>
      <c r="JG1" s="172"/>
      <c r="JH1" s="172"/>
      <c r="JI1" s="172"/>
      <c r="JJ1" s="172"/>
      <c r="JK1" s="172"/>
      <c r="JL1" s="172"/>
      <c r="JM1" s="172"/>
      <c r="JN1" s="172"/>
      <c r="JO1" s="172"/>
      <c r="JP1" s="173"/>
      <c r="JQ1" s="171"/>
      <c r="JR1" s="172"/>
      <c r="JS1" s="172"/>
      <c r="JT1" s="172"/>
      <c r="JU1" s="172"/>
      <c r="JV1" s="172"/>
      <c r="JW1" s="172"/>
      <c r="JX1" s="172"/>
      <c r="JY1" s="172"/>
      <c r="JZ1" s="172"/>
      <c r="KA1" s="172"/>
      <c r="KB1" s="172"/>
      <c r="KC1" s="172"/>
      <c r="KD1" s="172"/>
      <c r="KE1" s="172"/>
      <c r="KF1" s="172"/>
      <c r="KG1" s="172"/>
      <c r="KH1" s="172"/>
      <c r="KI1" s="172"/>
      <c r="KJ1" s="172"/>
      <c r="KK1" s="172"/>
      <c r="KL1" s="172"/>
      <c r="KM1" s="172"/>
      <c r="KN1" s="172"/>
      <c r="KO1" s="172"/>
      <c r="KP1" s="172"/>
      <c r="KQ1" s="172"/>
      <c r="KR1" s="172"/>
      <c r="KS1" s="172"/>
      <c r="KT1" s="173"/>
    </row>
    <row r="2" spans="1:306" ht="13.2" x14ac:dyDescent="0.25">
      <c r="A2" s="179"/>
      <c r="B2" s="82" t="s">
        <v>1</v>
      </c>
      <c r="C2" s="3" t="s">
        <v>2</v>
      </c>
      <c r="D2" s="3" t="s">
        <v>37</v>
      </c>
      <c r="E2" s="83" t="s">
        <v>3</v>
      </c>
      <c r="F2" s="91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95</v>
      </c>
      <c r="N2" s="2" t="s">
        <v>97</v>
      </c>
      <c r="O2" s="2" t="s">
        <v>93</v>
      </c>
      <c r="P2" s="2" t="s">
        <v>13</v>
      </c>
      <c r="Q2" s="2" t="s">
        <v>14</v>
      </c>
      <c r="R2" s="2" t="s">
        <v>50</v>
      </c>
      <c r="S2" s="2" t="s">
        <v>56</v>
      </c>
      <c r="T2" s="2" t="s">
        <v>51</v>
      </c>
      <c r="U2" s="2" t="s">
        <v>57</v>
      </c>
      <c r="V2" s="2" t="s">
        <v>58</v>
      </c>
      <c r="W2" s="2" t="s">
        <v>59</v>
      </c>
      <c r="X2" s="2" t="s">
        <v>38</v>
      </c>
      <c r="Y2" s="2" t="s">
        <v>39</v>
      </c>
      <c r="Z2" s="2" t="s">
        <v>15</v>
      </c>
      <c r="AA2" s="2" t="s">
        <v>16</v>
      </c>
      <c r="AB2" s="2" t="s">
        <v>73</v>
      </c>
      <c r="AC2" s="2" t="s">
        <v>75</v>
      </c>
      <c r="AD2" s="2" t="s">
        <v>17</v>
      </c>
      <c r="AE2" s="2" t="s">
        <v>18</v>
      </c>
      <c r="AF2" s="83" t="s">
        <v>19</v>
      </c>
      <c r="AG2" s="83" t="s">
        <v>20</v>
      </c>
      <c r="AH2" s="83" t="s">
        <v>21</v>
      </c>
      <c r="AI2" s="83" t="s">
        <v>22</v>
      </c>
      <c r="AJ2" s="4" t="s">
        <v>23</v>
      </c>
      <c r="AK2" s="5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95</v>
      </c>
      <c r="AR2" s="2" t="s">
        <v>97</v>
      </c>
      <c r="AS2" s="2" t="s">
        <v>93</v>
      </c>
      <c r="AT2" s="2" t="s">
        <v>13</v>
      </c>
      <c r="AU2" s="2" t="s">
        <v>14</v>
      </c>
      <c r="AV2" s="2" t="s">
        <v>50</v>
      </c>
      <c r="AW2" s="2" t="s">
        <v>56</v>
      </c>
      <c r="AX2" s="2" t="s">
        <v>51</v>
      </c>
      <c r="AY2" s="2" t="s">
        <v>57</v>
      </c>
      <c r="AZ2" s="2" t="s">
        <v>58</v>
      </c>
      <c r="BA2" s="2" t="s">
        <v>59</v>
      </c>
      <c r="BB2" s="2" t="s">
        <v>38</v>
      </c>
      <c r="BC2" s="2" t="s">
        <v>39</v>
      </c>
      <c r="BD2" s="2" t="s">
        <v>15</v>
      </c>
      <c r="BE2" s="2" t="s">
        <v>16</v>
      </c>
      <c r="BF2" s="2" t="s">
        <v>73</v>
      </c>
      <c r="BG2" s="2" t="s">
        <v>75</v>
      </c>
      <c r="BH2" s="2" t="s">
        <v>17</v>
      </c>
      <c r="BI2" s="2" t="s">
        <v>18</v>
      </c>
      <c r="BJ2" s="63" t="s">
        <v>19</v>
      </c>
      <c r="BK2" s="63" t="s">
        <v>20</v>
      </c>
      <c r="BL2" s="63" t="s">
        <v>21</v>
      </c>
      <c r="BM2" s="2" t="s">
        <v>22</v>
      </c>
      <c r="BN2" s="4" t="s">
        <v>23</v>
      </c>
      <c r="BO2" s="5" t="s">
        <v>5</v>
      </c>
      <c r="BP2" s="2" t="s">
        <v>6</v>
      </c>
      <c r="BQ2" s="2" t="s">
        <v>7</v>
      </c>
      <c r="BR2" s="2" t="s">
        <v>8</v>
      </c>
      <c r="BS2" s="2" t="s">
        <v>9</v>
      </c>
      <c r="BT2" s="2" t="s">
        <v>10</v>
      </c>
      <c r="BU2" s="2" t="s">
        <v>95</v>
      </c>
      <c r="BV2" s="2" t="s">
        <v>97</v>
      </c>
      <c r="BW2" s="2" t="s">
        <v>93</v>
      </c>
      <c r="BX2" s="2" t="s">
        <v>13</v>
      </c>
      <c r="BY2" s="2" t="s">
        <v>14</v>
      </c>
      <c r="BZ2" s="2" t="s">
        <v>50</v>
      </c>
      <c r="CA2" s="2" t="s">
        <v>56</v>
      </c>
      <c r="CB2" s="2" t="s">
        <v>51</v>
      </c>
      <c r="CC2" s="2" t="s">
        <v>57</v>
      </c>
      <c r="CD2" s="2" t="s">
        <v>58</v>
      </c>
      <c r="CE2" s="2" t="s">
        <v>59</v>
      </c>
      <c r="CF2" s="2" t="s">
        <v>38</v>
      </c>
      <c r="CG2" s="2" t="s">
        <v>39</v>
      </c>
      <c r="CH2" s="2" t="s">
        <v>15</v>
      </c>
      <c r="CI2" s="2" t="s">
        <v>16</v>
      </c>
      <c r="CJ2" s="2" t="s">
        <v>73</v>
      </c>
      <c r="CK2" s="2" t="s">
        <v>75</v>
      </c>
      <c r="CL2" s="2" t="s">
        <v>17</v>
      </c>
      <c r="CM2" s="2" t="s">
        <v>18</v>
      </c>
      <c r="CN2" s="83" t="s">
        <v>19</v>
      </c>
      <c r="CO2" s="83" t="s">
        <v>20</v>
      </c>
      <c r="CP2" s="83" t="s">
        <v>21</v>
      </c>
      <c r="CQ2" s="2" t="s">
        <v>22</v>
      </c>
      <c r="CR2" s="4" t="s">
        <v>23</v>
      </c>
      <c r="CS2" s="5" t="s">
        <v>5</v>
      </c>
      <c r="CT2" s="2" t="s">
        <v>6</v>
      </c>
      <c r="CU2" s="2" t="s">
        <v>7</v>
      </c>
      <c r="CV2" s="2" t="s">
        <v>8</v>
      </c>
      <c r="CW2" s="2" t="s">
        <v>9</v>
      </c>
      <c r="CX2" s="2" t="s">
        <v>10</v>
      </c>
      <c r="CY2" s="2" t="s">
        <v>95</v>
      </c>
      <c r="CZ2" s="2" t="s">
        <v>97</v>
      </c>
      <c r="DA2" s="2" t="s">
        <v>93</v>
      </c>
      <c r="DB2" s="2" t="s">
        <v>13</v>
      </c>
      <c r="DC2" s="2" t="s">
        <v>14</v>
      </c>
      <c r="DD2" s="2" t="s">
        <v>50</v>
      </c>
      <c r="DE2" s="2" t="s">
        <v>56</v>
      </c>
      <c r="DF2" s="2" t="s">
        <v>51</v>
      </c>
      <c r="DG2" s="2" t="s">
        <v>57</v>
      </c>
      <c r="DH2" s="2" t="s">
        <v>58</v>
      </c>
      <c r="DI2" s="2" t="s">
        <v>59</v>
      </c>
      <c r="DJ2" s="2" t="s">
        <v>38</v>
      </c>
      <c r="DK2" s="2" t="s">
        <v>39</v>
      </c>
      <c r="DL2" s="2" t="s">
        <v>15</v>
      </c>
      <c r="DM2" s="2" t="s">
        <v>16</v>
      </c>
      <c r="DN2" s="2" t="s">
        <v>73</v>
      </c>
      <c r="DO2" s="2" t="s">
        <v>75</v>
      </c>
      <c r="DP2" s="2" t="s">
        <v>17</v>
      </c>
      <c r="DQ2" s="2" t="s">
        <v>18</v>
      </c>
      <c r="DR2" s="83" t="s">
        <v>19</v>
      </c>
      <c r="DS2" s="83" t="s">
        <v>20</v>
      </c>
      <c r="DT2" s="83" t="s">
        <v>21</v>
      </c>
      <c r="DU2" s="2" t="s">
        <v>22</v>
      </c>
      <c r="DV2" s="6" t="s">
        <v>23</v>
      </c>
      <c r="DW2" s="5" t="s">
        <v>5</v>
      </c>
      <c r="DX2" s="2" t="s">
        <v>6</v>
      </c>
      <c r="DY2" s="2" t="s">
        <v>7</v>
      </c>
      <c r="DZ2" s="2" t="s">
        <v>8</v>
      </c>
      <c r="EA2" s="2" t="s">
        <v>9</v>
      </c>
      <c r="EB2" s="2" t="s">
        <v>10</v>
      </c>
      <c r="EC2" s="2" t="s">
        <v>95</v>
      </c>
      <c r="ED2" s="2" t="s">
        <v>97</v>
      </c>
      <c r="EE2" s="2" t="s">
        <v>93</v>
      </c>
      <c r="EF2" s="2" t="s">
        <v>13</v>
      </c>
      <c r="EG2" s="2" t="s">
        <v>14</v>
      </c>
      <c r="EH2" s="2" t="s">
        <v>50</v>
      </c>
      <c r="EI2" s="2" t="s">
        <v>56</v>
      </c>
      <c r="EJ2" s="2" t="s">
        <v>51</v>
      </c>
      <c r="EK2" s="2" t="s">
        <v>57</v>
      </c>
      <c r="EL2" s="2" t="s">
        <v>58</v>
      </c>
      <c r="EM2" s="2" t="s">
        <v>59</v>
      </c>
      <c r="EN2" s="2" t="s">
        <v>38</v>
      </c>
      <c r="EO2" s="2" t="s">
        <v>39</v>
      </c>
      <c r="EP2" s="2" t="s">
        <v>15</v>
      </c>
      <c r="EQ2" s="2" t="s">
        <v>16</v>
      </c>
      <c r="ER2" s="2" t="s">
        <v>73</v>
      </c>
      <c r="ES2" s="2" t="s">
        <v>75</v>
      </c>
      <c r="ET2" s="2" t="s">
        <v>17</v>
      </c>
      <c r="EU2" s="2" t="s">
        <v>18</v>
      </c>
      <c r="EV2" s="83" t="s">
        <v>19</v>
      </c>
      <c r="EW2" s="83" t="s">
        <v>20</v>
      </c>
      <c r="EX2" s="83" t="s">
        <v>21</v>
      </c>
      <c r="EY2" s="2" t="s">
        <v>22</v>
      </c>
      <c r="EZ2" s="6" t="s">
        <v>23</v>
      </c>
      <c r="FA2" s="5" t="s">
        <v>5</v>
      </c>
      <c r="FB2" s="2" t="s">
        <v>6</v>
      </c>
      <c r="FC2" s="2" t="s">
        <v>7</v>
      </c>
      <c r="FD2" s="2" t="s">
        <v>8</v>
      </c>
      <c r="FE2" s="2" t="s">
        <v>9</v>
      </c>
      <c r="FF2" s="2" t="s">
        <v>10</v>
      </c>
      <c r="FG2" s="2" t="s">
        <v>95</v>
      </c>
      <c r="FH2" s="2" t="s">
        <v>97</v>
      </c>
      <c r="FI2" s="2" t="s">
        <v>93</v>
      </c>
      <c r="FJ2" s="2" t="s">
        <v>13</v>
      </c>
      <c r="FK2" s="2" t="s">
        <v>14</v>
      </c>
      <c r="FL2" s="2" t="s">
        <v>50</v>
      </c>
      <c r="FM2" s="2" t="s">
        <v>56</v>
      </c>
      <c r="FN2" s="2" t="s">
        <v>51</v>
      </c>
      <c r="FO2" s="2" t="s">
        <v>57</v>
      </c>
      <c r="FP2" s="2" t="s">
        <v>58</v>
      </c>
      <c r="FQ2" s="2" t="s">
        <v>59</v>
      </c>
      <c r="FR2" s="2" t="s">
        <v>38</v>
      </c>
      <c r="FS2" s="2" t="s">
        <v>39</v>
      </c>
      <c r="FT2" s="2" t="s">
        <v>15</v>
      </c>
      <c r="FU2" s="2" t="s">
        <v>16</v>
      </c>
      <c r="FV2" s="2" t="s">
        <v>73</v>
      </c>
      <c r="FW2" s="2" t="s">
        <v>75</v>
      </c>
      <c r="FX2" s="2" t="s">
        <v>17</v>
      </c>
      <c r="FY2" s="2" t="s">
        <v>18</v>
      </c>
      <c r="FZ2" s="83" t="s">
        <v>19</v>
      </c>
      <c r="GA2" s="83" t="s">
        <v>20</v>
      </c>
      <c r="GB2" s="83" t="s">
        <v>21</v>
      </c>
      <c r="GC2" s="2" t="s">
        <v>22</v>
      </c>
      <c r="GD2" s="6" t="s">
        <v>23</v>
      </c>
      <c r="GE2" s="5" t="s">
        <v>5</v>
      </c>
      <c r="GF2" s="2" t="s">
        <v>6</v>
      </c>
      <c r="GG2" s="2" t="s">
        <v>7</v>
      </c>
      <c r="GH2" s="2" t="s">
        <v>8</v>
      </c>
      <c r="GI2" s="2" t="s">
        <v>9</v>
      </c>
      <c r="GJ2" s="2" t="s">
        <v>10</v>
      </c>
      <c r="GK2" s="2" t="s">
        <v>95</v>
      </c>
      <c r="GL2" s="2" t="s">
        <v>97</v>
      </c>
      <c r="GM2" s="2" t="s">
        <v>93</v>
      </c>
      <c r="GN2" s="2" t="s">
        <v>13</v>
      </c>
      <c r="GO2" s="2" t="s">
        <v>14</v>
      </c>
      <c r="GP2" s="2" t="s">
        <v>50</v>
      </c>
      <c r="GQ2" s="2" t="s">
        <v>56</v>
      </c>
      <c r="GR2" s="2" t="s">
        <v>51</v>
      </c>
      <c r="GS2" s="2" t="s">
        <v>57</v>
      </c>
      <c r="GT2" s="2" t="s">
        <v>58</v>
      </c>
      <c r="GU2" s="2" t="s">
        <v>59</v>
      </c>
      <c r="GV2" s="2" t="s">
        <v>38</v>
      </c>
      <c r="GW2" s="2" t="s">
        <v>39</v>
      </c>
      <c r="GX2" s="2" t="s">
        <v>15</v>
      </c>
      <c r="GY2" s="2" t="s">
        <v>16</v>
      </c>
      <c r="GZ2" s="2" t="s">
        <v>73</v>
      </c>
      <c r="HA2" s="2" t="s">
        <v>75</v>
      </c>
      <c r="HB2" s="2" t="s">
        <v>17</v>
      </c>
      <c r="HC2" s="2" t="s">
        <v>18</v>
      </c>
      <c r="HD2" s="83" t="s">
        <v>19</v>
      </c>
      <c r="HE2" s="83" t="s">
        <v>20</v>
      </c>
      <c r="HF2" s="83" t="s">
        <v>21</v>
      </c>
      <c r="HG2" s="2" t="s">
        <v>22</v>
      </c>
      <c r="HH2" s="6" t="s">
        <v>23</v>
      </c>
      <c r="HI2" s="5" t="s">
        <v>5</v>
      </c>
      <c r="HJ2" s="2" t="s">
        <v>6</v>
      </c>
      <c r="HK2" s="2" t="s">
        <v>7</v>
      </c>
      <c r="HL2" s="2" t="s">
        <v>8</v>
      </c>
      <c r="HM2" s="2" t="s">
        <v>9</v>
      </c>
      <c r="HN2" s="2" t="s">
        <v>10</v>
      </c>
      <c r="HO2" s="2" t="s">
        <v>95</v>
      </c>
      <c r="HP2" s="2" t="s">
        <v>97</v>
      </c>
      <c r="HQ2" s="2" t="s">
        <v>93</v>
      </c>
      <c r="HR2" s="2" t="s">
        <v>13</v>
      </c>
      <c r="HS2" s="2" t="s">
        <v>14</v>
      </c>
      <c r="HT2" s="2" t="s">
        <v>50</v>
      </c>
      <c r="HU2" s="2" t="s">
        <v>56</v>
      </c>
      <c r="HV2" s="2" t="s">
        <v>51</v>
      </c>
      <c r="HW2" s="2" t="s">
        <v>57</v>
      </c>
      <c r="HX2" s="2" t="s">
        <v>58</v>
      </c>
      <c r="HY2" s="2" t="s">
        <v>59</v>
      </c>
      <c r="HZ2" s="2" t="s">
        <v>38</v>
      </c>
      <c r="IA2" s="2" t="s">
        <v>39</v>
      </c>
      <c r="IB2" s="2" t="s">
        <v>15</v>
      </c>
      <c r="IC2" s="2" t="s">
        <v>16</v>
      </c>
      <c r="ID2" s="2" t="s">
        <v>73</v>
      </c>
      <c r="IE2" s="2" t="s">
        <v>75</v>
      </c>
      <c r="IF2" s="2" t="s">
        <v>17</v>
      </c>
      <c r="IG2" s="2" t="s">
        <v>18</v>
      </c>
      <c r="IH2" s="83" t="s">
        <v>19</v>
      </c>
      <c r="II2" s="83" t="s">
        <v>20</v>
      </c>
      <c r="IJ2" s="83" t="s">
        <v>21</v>
      </c>
      <c r="IK2" s="2" t="s">
        <v>22</v>
      </c>
      <c r="IL2" s="6" t="s">
        <v>23</v>
      </c>
      <c r="IM2" s="5" t="s">
        <v>5</v>
      </c>
      <c r="IN2" s="2" t="s">
        <v>6</v>
      </c>
      <c r="IO2" s="2" t="s">
        <v>7</v>
      </c>
      <c r="IP2" s="2" t="s">
        <v>8</v>
      </c>
      <c r="IQ2" s="2" t="s">
        <v>9</v>
      </c>
      <c r="IR2" s="2" t="s">
        <v>10</v>
      </c>
      <c r="IS2" s="2" t="s">
        <v>95</v>
      </c>
      <c r="IT2" s="2" t="s">
        <v>97</v>
      </c>
      <c r="IU2" s="2" t="s">
        <v>93</v>
      </c>
      <c r="IV2" s="2" t="s">
        <v>13</v>
      </c>
      <c r="IW2" s="2" t="s">
        <v>14</v>
      </c>
      <c r="IX2" s="2" t="s">
        <v>50</v>
      </c>
      <c r="IY2" s="2" t="s">
        <v>56</v>
      </c>
      <c r="IZ2" s="2" t="s">
        <v>51</v>
      </c>
      <c r="JA2" s="2" t="s">
        <v>57</v>
      </c>
      <c r="JB2" s="2" t="s">
        <v>58</v>
      </c>
      <c r="JC2" s="2" t="s">
        <v>59</v>
      </c>
      <c r="JD2" s="2" t="s">
        <v>38</v>
      </c>
      <c r="JE2" s="2" t="s">
        <v>39</v>
      </c>
      <c r="JF2" s="2" t="s">
        <v>15</v>
      </c>
      <c r="JG2" s="2" t="s">
        <v>16</v>
      </c>
      <c r="JH2" s="2" t="s">
        <v>73</v>
      </c>
      <c r="JI2" s="2" t="s">
        <v>75</v>
      </c>
      <c r="JJ2" s="2" t="s">
        <v>17</v>
      </c>
      <c r="JK2" s="2" t="s">
        <v>18</v>
      </c>
      <c r="JL2" s="83" t="s">
        <v>19</v>
      </c>
      <c r="JM2" s="83" t="s">
        <v>20</v>
      </c>
      <c r="JN2" s="83" t="s">
        <v>21</v>
      </c>
      <c r="JO2" s="2" t="s">
        <v>22</v>
      </c>
      <c r="JP2" s="6" t="s">
        <v>23</v>
      </c>
      <c r="JQ2" s="5" t="s">
        <v>5</v>
      </c>
      <c r="JR2" s="2" t="s">
        <v>6</v>
      </c>
      <c r="JS2" s="2" t="s">
        <v>7</v>
      </c>
      <c r="JT2" s="2" t="s">
        <v>8</v>
      </c>
      <c r="JU2" s="2" t="s">
        <v>9</v>
      </c>
      <c r="JV2" s="2" t="s">
        <v>10</v>
      </c>
      <c r="JW2" s="2" t="s">
        <v>95</v>
      </c>
      <c r="JX2" s="2" t="s">
        <v>97</v>
      </c>
      <c r="JY2" s="2" t="s">
        <v>93</v>
      </c>
      <c r="JZ2" s="2" t="s">
        <v>13</v>
      </c>
      <c r="KA2" s="2" t="s">
        <v>14</v>
      </c>
      <c r="KB2" s="2" t="s">
        <v>50</v>
      </c>
      <c r="KC2" s="2" t="s">
        <v>56</v>
      </c>
      <c r="KD2" s="2" t="s">
        <v>51</v>
      </c>
      <c r="KE2" s="2" t="s">
        <v>57</v>
      </c>
      <c r="KF2" s="2" t="s">
        <v>58</v>
      </c>
      <c r="KG2" s="2" t="s">
        <v>59</v>
      </c>
      <c r="KH2" s="2" t="s">
        <v>38</v>
      </c>
      <c r="KI2" s="2" t="s">
        <v>39</v>
      </c>
      <c r="KJ2" s="2" t="s">
        <v>15</v>
      </c>
      <c r="KK2" s="2" t="s">
        <v>16</v>
      </c>
      <c r="KL2" s="2" t="s">
        <v>73</v>
      </c>
      <c r="KM2" s="2" t="s">
        <v>75</v>
      </c>
      <c r="KN2" s="2" t="s">
        <v>17</v>
      </c>
      <c r="KO2" s="2" t="s">
        <v>18</v>
      </c>
      <c r="KP2" s="83" t="s">
        <v>19</v>
      </c>
      <c r="KQ2" s="83" t="s">
        <v>20</v>
      </c>
      <c r="KR2" s="83" t="s">
        <v>21</v>
      </c>
      <c r="KS2" s="2" t="s">
        <v>22</v>
      </c>
      <c r="KT2" s="6" t="s">
        <v>23</v>
      </c>
    </row>
    <row r="3" spans="1:306" ht="13.2" x14ac:dyDescent="0.25">
      <c r="A3" s="179"/>
      <c r="B3" s="175" t="s">
        <v>24</v>
      </c>
      <c r="C3" s="7">
        <v>1</v>
      </c>
      <c r="D3" s="7">
        <f>C3</f>
        <v>1</v>
      </c>
      <c r="E3" s="7">
        <v>4</v>
      </c>
      <c r="F3" s="8">
        <f>E3</f>
        <v>4</v>
      </c>
      <c r="G3" s="55">
        <v>5</v>
      </c>
      <c r="H3" s="9">
        <f>G3</f>
        <v>5</v>
      </c>
      <c r="I3" s="55">
        <v>2</v>
      </c>
      <c r="J3" s="9">
        <f>I3</f>
        <v>2</v>
      </c>
      <c r="K3" s="9">
        <f t="shared" ref="K3:K11" si="0">IF(G3-I3&lt;=$E3-2,1,0)</f>
        <v>0</v>
      </c>
      <c r="L3" s="9">
        <f>K3</f>
        <v>0</v>
      </c>
      <c r="M3" s="9">
        <f t="shared" ref="M3:M11" si="1">IF(K3=0,IF(G3=$E3,1,0),0)</f>
        <v>0</v>
      </c>
      <c r="N3" s="9">
        <f>M3</f>
        <v>0</v>
      </c>
      <c r="O3" s="9"/>
      <c r="P3" s="9">
        <f t="shared" ref="P3:P11" si="2">IF($E3-G3=1,1,0)</f>
        <v>0</v>
      </c>
      <c r="Q3" s="9">
        <f>P3</f>
        <v>0</v>
      </c>
      <c r="R3" s="9">
        <f t="shared" ref="R3:R11" si="3">IF(G3=$E3,1,0)</f>
        <v>0</v>
      </c>
      <c r="S3" s="9">
        <f>R3</f>
        <v>0</v>
      </c>
      <c r="T3" s="9">
        <f t="shared" ref="T3:T11" si="4">IF(G3-$E3=1,1,0)</f>
        <v>1</v>
      </c>
      <c r="U3" s="9">
        <f>T3</f>
        <v>1</v>
      </c>
      <c r="V3" s="9">
        <f t="shared" ref="V3:V11" si="5">IF(G3-$E3&gt;=2,1,0)</f>
        <v>0</v>
      </c>
      <c r="W3" s="9">
        <f>V3</f>
        <v>0</v>
      </c>
      <c r="X3" s="9">
        <f t="shared" ref="X3:X11" si="6">IF(I3=0,1,0)</f>
        <v>0</v>
      </c>
      <c r="Y3" s="9">
        <f>X3</f>
        <v>0</v>
      </c>
      <c r="Z3" s="9">
        <f t="shared" ref="Z3:Z11" si="7">IF(I3=1,1,0)</f>
        <v>0</v>
      </c>
      <c r="AA3" s="9">
        <f>Z3</f>
        <v>0</v>
      </c>
      <c r="AB3" s="9">
        <f t="shared" ref="AB3:AB11" si="8">IF(I3=2,1,0)</f>
        <v>1</v>
      </c>
      <c r="AC3" s="9">
        <f>AB3</f>
        <v>1</v>
      </c>
      <c r="AD3" s="9">
        <f t="shared" ref="AD3:AD11" si="9">IF(I3&gt;=3,1,0)</f>
        <v>0</v>
      </c>
      <c r="AE3" s="9">
        <f>AD3</f>
        <v>0</v>
      </c>
      <c r="AF3" s="2"/>
      <c r="AG3" s="2">
        <f>IF($E3=4,G3-4,NA())</f>
        <v>1</v>
      </c>
      <c r="AH3" s="2"/>
      <c r="AI3" s="10">
        <f>G3-'Zusammenfassung Tag1-4'!$B$2/18</f>
        <v>4.166666666666667</v>
      </c>
      <c r="AJ3" s="11">
        <f>AI3</f>
        <v>4.166666666666667</v>
      </c>
      <c r="AK3" s="52">
        <v>4</v>
      </c>
      <c r="AL3" s="9">
        <f>AK3</f>
        <v>4</v>
      </c>
      <c r="AM3" s="55">
        <v>2</v>
      </c>
      <c r="AN3" s="9">
        <f>AM3</f>
        <v>2</v>
      </c>
      <c r="AO3" s="9">
        <f t="shared" ref="AO3:AO11" si="10">IF(AK3-AM3&lt;=$E3-2,1,0)</f>
        <v>1</v>
      </c>
      <c r="AP3" s="9">
        <f>AO3</f>
        <v>1</v>
      </c>
      <c r="AQ3" s="9">
        <f t="shared" ref="AQ3:AQ11" si="11">IF(AO3=0,IF(AK3=$E3,1,0),0)</f>
        <v>0</v>
      </c>
      <c r="AR3" s="9">
        <f>AQ3</f>
        <v>0</v>
      </c>
      <c r="AS3" s="9"/>
      <c r="AT3" s="9">
        <f t="shared" ref="AT3:AT11" si="12">IF($E3-AK3=1,1,0)</f>
        <v>0</v>
      </c>
      <c r="AU3" s="9">
        <f>AT3</f>
        <v>0</v>
      </c>
      <c r="AV3" s="9">
        <f>IF(AK3=$E3,1,0)</f>
        <v>1</v>
      </c>
      <c r="AW3" s="9">
        <f>AV3</f>
        <v>1</v>
      </c>
      <c r="AX3" s="9">
        <f>IF(AK3-$E3=1,1,0)</f>
        <v>0</v>
      </c>
      <c r="AY3" s="9">
        <f>AX3</f>
        <v>0</v>
      </c>
      <c r="AZ3" s="9">
        <f>IF(AK3-$E3&gt;=2,1,0)</f>
        <v>0</v>
      </c>
      <c r="BA3" s="9">
        <f>AZ3</f>
        <v>0</v>
      </c>
      <c r="BB3" s="9">
        <f>IF(AM3=0,1,0)</f>
        <v>0</v>
      </c>
      <c r="BC3" s="9">
        <f>BB3</f>
        <v>0</v>
      </c>
      <c r="BD3" s="9">
        <f t="shared" ref="BD3:BD11" si="13">IF(AM3=1,1,0)</f>
        <v>0</v>
      </c>
      <c r="BE3" s="9">
        <f>BD3</f>
        <v>0</v>
      </c>
      <c r="BF3" s="9">
        <f>IF(AM3=2,1,0)</f>
        <v>1</v>
      </c>
      <c r="BG3" s="9">
        <f>BF3</f>
        <v>1</v>
      </c>
      <c r="BH3" s="9">
        <f t="shared" ref="BH3:BH11" si="14">IF(AM3&gt;=3,1,0)</f>
        <v>0</v>
      </c>
      <c r="BI3" s="9">
        <f>BH3</f>
        <v>0</v>
      </c>
      <c r="BJ3" s="2"/>
      <c r="BK3" s="2">
        <f>IF($E3=4,AK3-4,NA())</f>
        <v>0</v>
      </c>
      <c r="BL3" s="2"/>
      <c r="BM3" s="10">
        <f>AK3-'Zusammenfassung Tag1-4'!$C$2/18</f>
        <v>3.4444444444444446</v>
      </c>
      <c r="BN3" s="11">
        <f>BM3</f>
        <v>3.4444444444444446</v>
      </c>
      <c r="BO3" s="52">
        <v>8</v>
      </c>
      <c r="BP3" s="9">
        <f>BO3</f>
        <v>8</v>
      </c>
      <c r="BQ3" s="55">
        <v>2</v>
      </c>
      <c r="BR3" s="9">
        <f>BQ3</f>
        <v>2</v>
      </c>
      <c r="BS3" s="9">
        <f t="shared" ref="BS3:BS11" si="15">IF(BO3-BQ3&lt;=$E3-2,1,0)</f>
        <v>0</v>
      </c>
      <c r="BT3" s="9">
        <f>BS3</f>
        <v>0</v>
      </c>
      <c r="BU3" s="9">
        <f t="shared" ref="BU3:BU11" si="16">IF(BS3=0,IF(BO3=$E3,1,0),0)</f>
        <v>0</v>
      </c>
      <c r="BV3" s="9">
        <f>BU3</f>
        <v>0</v>
      </c>
      <c r="BW3" s="9"/>
      <c r="BX3" s="9">
        <f t="shared" ref="BX3:BX11" si="17">IF($E3-BO3=1,1,0)</f>
        <v>0</v>
      </c>
      <c r="BY3" s="9">
        <f>BX3</f>
        <v>0</v>
      </c>
      <c r="BZ3" s="9">
        <f>IF(BO3=$E3,1,0)</f>
        <v>0</v>
      </c>
      <c r="CA3" s="9">
        <f>BZ3</f>
        <v>0</v>
      </c>
      <c r="CB3" s="9">
        <f>IF(BO3-$E3=1,1,0)</f>
        <v>0</v>
      </c>
      <c r="CC3" s="9">
        <f>CB3</f>
        <v>0</v>
      </c>
      <c r="CD3" s="9">
        <f>IF(BO3-$E3&gt;=2,1,0)</f>
        <v>1</v>
      </c>
      <c r="CE3" s="9">
        <f>CD3</f>
        <v>1</v>
      </c>
      <c r="CF3" s="9">
        <f>IF(BQ3=0,1,0)</f>
        <v>0</v>
      </c>
      <c r="CG3" s="9">
        <f>CF3</f>
        <v>0</v>
      </c>
      <c r="CH3" s="9">
        <f t="shared" ref="CH3:CH11" si="18">IF(BQ3=1,1,0)</f>
        <v>0</v>
      </c>
      <c r="CI3" s="9">
        <f>CH3</f>
        <v>0</v>
      </c>
      <c r="CJ3" s="9">
        <f>IF(BQ3=2,1,0)</f>
        <v>1</v>
      </c>
      <c r="CK3" s="9">
        <f>CJ3</f>
        <v>1</v>
      </c>
      <c r="CL3" s="9">
        <f t="shared" ref="CL3:CL11" si="19">IF(BQ3&gt;=3,1,0)</f>
        <v>0</v>
      </c>
      <c r="CM3" s="9">
        <f>CL3</f>
        <v>0</v>
      </c>
      <c r="CN3" s="2"/>
      <c r="CO3" s="2">
        <f>IF($E3=4,BO3-4,NA())</f>
        <v>4</v>
      </c>
      <c r="CP3" s="2"/>
      <c r="CQ3" s="10">
        <f>BO3-'Zusammenfassung Tag1-4'!$D$2/18</f>
        <v>6.9444444444444446</v>
      </c>
      <c r="CR3" s="11">
        <f>CQ3</f>
        <v>6.9444444444444446</v>
      </c>
      <c r="CS3" s="52">
        <v>4</v>
      </c>
      <c r="CT3" s="9">
        <f>CS3</f>
        <v>4</v>
      </c>
      <c r="CU3" s="55">
        <v>2</v>
      </c>
      <c r="CV3" s="9">
        <f>CU3</f>
        <v>2</v>
      </c>
      <c r="CW3" s="9">
        <f t="shared" ref="CW3:CW11" si="20">IF(CS3-CU3&lt;=$E3-2,1,0)</f>
        <v>1</v>
      </c>
      <c r="CX3" s="9">
        <f>CW3</f>
        <v>1</v>
      </c>
      <c r="CY3" s="9">
        <f t="shared" ref="CY3:CY11" si="21">IF(CW3=0,IF(CS3=$E3,1,0),0)</f>
        <v>0</v>
      </c>
      <c r="CZ3" s="9">
        <f>CY3</f>
        <v>0</v>
      </c>
      <c r="DA3" s="9"/>
      <c r="DB3" s="9">
        <f t="shared" ref="DB3:DB11" si="22">IF($E3-CS3=1,1,0)</f>
        <v>0</v>
      </c>
      <c r="DC3" s="9">
        <f>DB3</f>
        <v>0</v>
      </c>
      <c r="DD3" s="9">
        <f>IF(CS3=$E3,1,0)</f>
        <v>1</v>
      </c>
      <c r="DE3" s="9">
        <f>DD3</f>
        <v>1</v>
      </c>
      <c r="DF3" s="9">
        <f>IF(CS3-$E3=1,1,0)</f>
        <v>0</v>
      </c>
      <c r="DG3" s="9">
        <f>DF3</f>
        <v>0</v>
      </c>
      <c r="DH3" s="9">
        <f>IF(CS3-$E3&gt;=2,1,0)</f>
        <v>0</v>
      </c>
      <c r="DI3" s="9">
        <f>DH3</f>
        <v>0</v>
      </c>
      <c r="DJ3" s="9">
        <f>IF(CU3=0,1,0)</f>
        <v>0</v>
      </c>
      <c r="DK3" s="9">
        <f>DJ3</f>
        <v>0</v>
      </c>
      <c r="DL3" s="9">
        <f t="shared" ref="DL3:DL11" si="23">IF(CU3=1,1,0)</f>
        <v>0</v>
      </c>
      <c r="DM3" s="9">
        <f>DL3</f>
        <v>0</v>
      </c>
      <c r="DN3" s="9">
        <f>IF(CU3=2,1,0)</f>
        <v>1</v>
      </c>
      <c r="DO3" s="9">
        <f>DN3</f>
        <v>1</v>
      </c>
      <c r="DP3" s="9">
        <f t="shared" ref="DP3:DP11" si="24">IF(CU3&gt;=3,1,0)</f>
        <v>0</v>
      </c>
      <c r="DQ3" s="9">
        <f>DP3</f>
        <v>0</v>
      </c>
      <c r="DR3" s="2"/>
      <c r="DS3" s="2">
        <f>IF($E3=4,CS3-4,NA())</f>
        <v>0</v>
      </c>
      <c r="DT3" s="2"/>
      <c r="DU3" s="10">
        <f>CS3-'Zusammenfassung Tag1-4'!$E$2/18</f>
        <v>3</v>
      </c>
      <c r="DV3" s="12">
        <f>DU3</f>
        <v>3</v>
      </c>
      <c r="DW3" s="52">
        <v>9</v>
      </c>
      <c r="DX3" s="9">
        <v>89</v>
      </c>
      <c r="DY3" s="55">
        <v>2</v>
      </c>
      <c r="DZ3" s="9">
        <f>DY3</f>
        <v>2</v>
      </c>
      <c r="EA3" s="9">
        <f t="shared" ref="EA3:EA11" si="25">IF(DW3-DY3&lt;=$E3-2,1,0)</f>
        <v>0</v>
      </c>
      <c r="EB3" s="9">
        <f>EA3</f>
        <v>0</v>
      </c>
      <c r="EC3" s="9">
        <f t="shared" ref="EC3:EC11" si="26">IF(EA3=0,IF(DW3=$E3,1,0),0)</f>
        <v>0</v>
      </c>
      <c r="ED3" s="9">
        <f>EC3</f>
        <v>0</v>
      </c>
      <c r="EE3" s="9"/>
      <c r="EF3" s="9">
        <f t="shared" ref="EF3:EF11" si="27">IF($E3-DW3=1,1,0)</f>
        <v>0</v>
      </c>
      <c r="EG3" s="9">
        <f>EF3</f>
        <v>0</v>
      </c>
      <c r="EH3" s="9">
        <f>IF(DW3=$E3,1,0)</f>
        <v>0</v>
      </c>
      <c r="EI3" s="9">
        <f>EH3</f>
        <v>0</v>
      </c>
      <c r="EJ3" s="9">
        <f>IF(DW3-$E3=1,1,0)</f>
        <v>0</v>
      </c>
      <c r="EK3" s="9">
        <f>EJ3</f>
        <v>0</v>
      </c>
      <c r="EL3" s="9">
        <f>IF(DW3-$E3&gt;=2,1,0)</f>
        <v>1</v>
      </c>
      <c r="EM3" s="9">
        <f>EL3</f>
        <v>1</v>
      </c>
      <c r="EN3" s="9">
        <f>IF(DY3=0,1,0)</f>
        <v>0</v>
      </c>
      <c r="EO3" s="9">
        <f>EN3</f>
        <v>0</v>
      </c>
      <c r="EP3" s="9">
        <f t="shared" ref="EP3:EP11" si="28">IF(DY3=1,1,0)</f>
        <v>0</v>
      </c>
      <c r="EQ3" s="9">
        <f>EP3</f>
        <v>0</v>
      </c>
      <c r="ER3" s="9">
        <f>IF(DY3=2,1,0)</f>
        <v>1</v>
      </c>
      <c r="ES3" s="9">
        <f>ER3</f>
        <v>1</v>
      </c>
      <c r="ET3" s="9">
        <f t="shared" ref="ET3:ET11" si="29">IF(DY3&gt;=3,1,0)</f>
        <v>0</v>
      </c>
      <c r="EU3" s="9">
        <f>ET3</f>
        <v>0</v>
      </c>
      <c r="EV3" s="2"/>
      <c r="EW3" s="2">
        <f>IF($E3=4,DW3-4,NA())</f>
        <v>5</v>
      </c>
      <c r="EX3" s="2"/>
      <c r="EY3" s="10">
        <f>DW3-'Zusammenfassung Tag1-4'!$F$2/18</f>
        <v>6.5</v>
      </c>
      <c r="EZ3" s="12">
        <f>EY3</f>
        <v>6.5</v>
      </c>
      <c r="FA3" s="52">
        <v>8</v>
      </c>
      <c r="FB3" s="9">
        <v>4</v>
      </c>
      <c r="FC3" s="55">
        <v>3</v>
      </c>
      <c r="FD3" s="9">
        <f>FC3</f>
        <v>3</v>
      </c>
      <c r="FE3" s="9">
        <f t="shared" ref="FE3:FE11" si="30">IF(FA3-FC3&lt;=$E3-2,1,0)</f>
        <v>0</v>
      </c>
      <c r="FF3" s="9">
        <f>FE3</f>
        <v>0</v>
      </c>
      <c r="FG3" s="9">
        <f t="shared" ref="FG3:FG11" si="31">IF(FE3=0,IF(FA3=$E3,1,0),0)</f>
        <v>0</v>
      </c>
      <c r="FH3" s="9">
        <f>FG3</f>
        <v>0</v>
      </c>
      <c r="FI3" s="9"/>
      <c r="FJ3" s="9">
        <f t="shared" ref="FJ3:FJ11" si="32">IF($E3-FA3=1,1,0)</f>
        <v>0</v>
      </c>
      <c r="FK3" s="9">
        <f>FJ3</f>
        <v>0</v>
      </c>
      <c r="FL3" s="9">
        <f>IF(FA3=$E3,1,0)</f>
        <v>0</v>
      </c>
      <c r="FM3" s="9">
        <f>FL3</f>
        <v>0</v>
      </c>
      <c r="FN3" s="9">
        <f>IF(FA3-$E3=1,1,0)</f>
        <v>0</v>
      </c>
      <c r="FO3" s="9">
        <f>FN3</f>
        <v>0</v>
      </c>
      <c r="FP3" s="9">
        <f>IF(FA3-$E3&gt;=2,1,0)</f>
        <v>1</v>
      </c>
      <c r="FQ3" s="9">
        <f>FP3</f>
        <v>1</v>
      </c>
      <c r="FR3" s="9">
        <f>IF(FC3=0,1,0)</f>
        <v>0</v>
      </c>
      <c r="FS3" s="9">
        <f>FR3</f>
        <v>0</v>
      </c>
      <c r="FT3" s="9">
        <f t="shared" ref="FT3:FT11" si="33">IF(FC3=1,1,0)</f>
        <v>0</v>
      </c>
      <c r="FU3" s="9">
        <f>FT3</f>
        <v>0</v>
      </c>
      <c r="FV3" s="9">
        <f>IF(FC3=2,1,0)</f>
        <v>0</v>
      </c>
      <c r="FW3" s="9">
        <f>FV3</f>
        <v>0</v>
      </c>
      <c r="FX3" s="9">
        <f t="shared" ref="FX3:FX11" si="34">IF(FC3&gt;=3,1,0)</f>
        <v>1</v>
      </c>
      <c r="FY3" s="9">
        <f>FX3</f>
        <v>1</v>
      </c>
      <c r="FZ3" s="2"/>
      <c r="GA3" s="2">
        <f>IF($E3=4,FA3-4,NA())</f>
        <v>4</v>
      </c>
      <c r="GB3" s="2"/>
      <c r="GC3" s="10">
        <f>FA3-'Zusammenfassung Tag1-4'!$G$2/18</f>
        <v>6.7222222222222223</v>
      </c>
      <c r="GD3" s="12">
        <f>GC3</f>
        <v>6.7222222222222223</v>
      </c>
      <c r="GE3" s="52">
        <v>5</v>
      </c>
      <c r="GF3" s="9">
        <v>5</v>
      </c>
      <c r="GG3" s="55">
        <v>2</v>
      </c>
      <c r="GH3" s="9">
        <f>GG3</f>
        <v>2</v>
      </c>
      <c r="GI3" s="9">
        <f t="shared" ref="GI3:GI11" si="35">IF(GE3-GG3&lt;=$E3-2,1,0)</f>
        <v>0</v>
      </c>
      <c r="GJ3" s="9">
        <f>GI3</f>
        <v>0</v>
      </c>
      <c r="GK3" s="9">
        <f t="shared" ref="GK3:GK11" si="36">IF(GI3=0,IF(GE3=$E3,1,0),0)</f>
        <v>0</v>
      </c>
      <c r="GL3" s="9">
        <f>GK3</f>
        <v>0</v>
      </c>
      <c r="GM3" s="9"/>
      <c r="GN3" s="9">
        <f t="shared" ref="GN3:GN11" si="37">IF($E3-GE3=1,1,0)</f>
        <v>0</v>
      </c>
      <c r="GO3" s="9">
        <f>GN3</f>
        <v>0</v>
      </c>
      <c r="GP3" s="9">
        <f>IF(GE3=$E3,1,0)</f>
        <v>0</v>
      </c>
      <c r="GQ3" s="9">
        <f>GP3</f>
        <v>0</v>
      </c>
      <c r="GR3" s="9">
        <f>IF(GE3-$E3=1,1,0)</f>
        <v>1</v>
      </c>
      <c r="GS3" s="9">
        <f>GR3</f>
        <v>1</v>
      </c>
      <c r="GT3" s="9">
        <f>IF(GE3-$E3&gt;=2,1,0)</f>
        <v>0</v>
      </c>
      <c r="GU3" s="9">
        <f>GT3</f>
        <v>0</v>
      </c>
      <c r="GV3" s="9">
        <f>IF(GG3=0,1,0)</f>
        <v>0</v>
      </c>
      <c r="GW3" s="9">
        <f>GV3</f>
        <v>0</v>
      </c>
      <c r="GX3" s="9">
        <f t="shared" ref="GX3:GX11" si="38">IF(GG3=1,1,0)</f>
        <v>0</v>
      </c>
      <c r="GY3" s="9">
        <f>GX3</f>
        <v>0</v>
      </c>
      <c r="GZ3" s="9">
        <f>IF(GG3=2,1,0)</f>
        <v>1</v>
      </c>
      <c r="HA3" s="9">
        <f>GZ3</f>
        <v>1</v>
      </c>
      <c r="HB3" s="9">
        <f t="shared" ref="HB3:HB11" si="39">IF(GG3&gt;=3,1,0)</f>
        <v>0</v>
      </c>
      <c r="HC3" s="9">
        <f>HB3</f>
        <v>0</v>
      </c>
      <c r="HD3" s="2"/>
      <c r="HE3" s="2">
        <f>IF($E3=4,GE3-4,NA())</f>
        <v>1</v>
      </c>
      <c r="HF3" s="2"/>
      <c r="HG3" s="10">
        <f>GE3-'Zusammenfassung Tag1-4'!$H$2/18</f>
        <v>3.2222222222222223</v>
      </c>
      <c r="HH3" s="12">
        <f>HG3</f>
        <v>3.2222222222222223</v>
      </c>
      <c r="HI3" s="52">
        <v>7</v>
      </c>
      <c r="HJ3" s="9">
        <v>5</v>
      </c>
      <c r="HK3" s="55">
        <v>2</v>
      </c>
      <c r="HL3" s="9">
        <f>HK3</f>
        <v>2</v>
      </c>
      <c r="HM3" s="9">
        <f>IF(HI3-HK3&lt;=$E3-2,1,0)</f>
        <v>0</v>
      </c>
      <c r="HN3" s="9">
        <f>HM3</f>
        <v>0</v>
      </c>
      <c r="HO3" s="9">
        <f>IF(HM3=0,IF(HI3=$E3,1,0),0)</f>
        <v>0</v>
      </c>
      <c r="HP3" s="9">
        <f>HO3</f>
        <v>0</v>
      </c>
      <c r="HQ3" s="9"/>
      <c r="HR3" s="9">
        <f>IF($E3-HI3=1,1,0)</f>
        <v>0</v>
      </c>
      <c r="HS3" s="9">
        <f>HR3</f>
        <v>0</v>
      </c>
      <c r="HT3" s="9">
        <f>IF(HI3=$E3,1,0)</f>
        <v>0</v>
      </c>
      <c r="HU3" s="9">
        <f>HT3</f>
        <v>0</v>
      </c>
      <c r="HV3" s="9">
        <f>IF(HI3-$E3=1,1,0)</f>
        <v>0</v>
      </c>
      <c r="HW3" s="9">
        <f>HV3</f>
        <v>0</v>
      </c>
      <c r="HX3" s="9">
        <f>IF(HI3-$E3&gt;=2,1,0)</f>
        <v>1</v>
      </c>
      <c r="HY3" s="9">
        <f>HX3</f>
        <v>1</v>
      </c>
      <c r="HZ3" s="9">
        <f>IF(HK3=0,1,0)</f>
        <v>0</v>
      </c>
      <c r="IA3" s="9">
        <f>HZ3</f>
        <v>0</v>
      </c>
      <c r="IB3" s="9">
        <f t="shared" ref="IB3:IB11" si="40">IF(HK3=1,1,0)</f>
        <v>0</v>
      </c>
      <c r="IC3" s="9">
        <f>IB3</f>
        <v>0</v>
      </c>
      <c r="ID3" s="9">
        <f>IF(HK3=2,1,0)</f>
        <v>1</v>
      </c>
      <c r="IE3" s="9">
        <f>ID3</f>
        <v>1</v>
      </c>
      <c r="IF3" s="9">
        <f t="shared" ref="IF3:IF11" si="41">IF(HK3&gt;=3,1,0)</f>
        <v>0</v>
      </c>
      <c r="IG3" s="9">
        <f>IF3</f>
        <v>0</v>
      </c>
      <c r="IH3" s="2"/>
      <c r="II3" s="2">
        <f>IF($E3=4,HI3-4,NA())</f>
        <v>3</v>
      </c>
      <c r="IJ3" s="2"/>
      <c r="IK3" s="10">
        <f>HI3-'Zusammenfassung Tag1-4'!$I$2/18</f>
        <v>6.1111111111111107</v>
      </c>
      <c r="IL3" s="12">
        <f>IK3</f>
        <v>6.1111111111111107</v>
      </c>
      <c r="IM3" s="52">
        <v>9</v>
      </c>
      <c r="IN3" s="9">
        <v>140</v>
      </c>
      <c r="IO3" s="55">
        <v>3</v>
      </c>
      <c r="IP3" s="9">
        <f>IO3</f>
        <v>3</v>
      </c>
      <c r="IQ3" s="9">
        <f t="shared" ref="IQ3:IQ11" si="42">IF(IM3-IO3&lt;=$E3-2,1,0)</f>
        <v>0</v>
      </c>
      <c r="IR3" s="9">
        <f>IQ3</f>
        <v>0</v>
      </c>
      <c r="IS3" s="9">
        <f t="shared" ref="IS3:IS11" si="43">IF(IQ3=0,IF(IM3=$E3,1,0),0)</f>
        <v>0</v>
      </c>
      <c r="IT3" s="9">
        <f>IS3</f>
        <v>0</v>
      </c>
      <c r="IU3" s="9"/>
      <c r="IV3" s="9">
        <f t="shared" ref="IV3:IV11" si="44">IF($E3-IM3=1,1,0)</f>
        <v>0</v>
      </c>
      <c r="IW3" s="9">
        <f>IV3</f>
        <v>0</v>
      </c>
      <c r="IX3" s="9">
        <f>IF(IM3=$E3,1,0)</f>
        <v>0</v>
      </c>
      <c r="IY3" s="9">
        <f>IX3</f>
        <v>0</v>
      </c>
      <c r="IZ3" s="9">
        <f>IF(IM3-$E3=1,1,0)</f>
        <v>0</v>
      </c>
      <c r="JA3" s="9">
        <f>IZ3</f>
        <v>0</v>
      </c>
      <c r="JB3" s="9">
        <f>IF(IM3-$E3&gt;=2,1,0)</f>
        <v>1</v>
      </c>
      <c r="JC3" s="9">
        <f>JB3</f>
        <v>1</v>
      </c>
      <c r="JD3" s="9">
        <f>IF(IO3=0,1,0)</f>
        <v>0</v>
      </c>
      <c r="JE3" s="9">
        <f>JD3</f>
        <v>0</v>
      </c>
      <c r="JF3" s="9">
        <f t="shared" ref="JF3:JF11" si="45">IF(IO3=1,1,0)</f>
        <v>0</v>
      </c>
      <c r="JG3" s="9">
        <f>JF3</f>
        <v>0</v>
      </c>
      <c r="JH3" s="9">
        <f>IF(IO3=2,1,0)</f>
        <v>0</v>
      </c>
      <c r="JI3" s="9">
        <f>JH3</f>
        <v>0</v>
      </c>
      <c r="JJ3" s="9">
        <f t="shared" ref="JJ3:JJ11" si="46">IF(IO3&gt;=3,1,0)</f>
        <v>1</v>
      </c>
      <c r="JK3" s="9">
        <f>JJ3</f>
        <v>1</v>
      </c>
      <c r="JL3" s="2"/>
      <c r="JM3" s="2">
        <f>IF($E3=4,IM3-4,NA())</f>
        <v>5</v>
      </c>
      <c r="JN3" s="2"/>
      <c r="JO3" s="10">
        <f>IM3-'Zusammenfassung Tag1-4'!$J$2/18</f>
        <v>6.6666666666666661</v>
      </c>
      <c r="JP3" s="12">
        <f>JO3</f>
        <v>6.6666666666666661</v>
      </c>
      <c r="JQ3" s="52"/>
      <c r="JR3" s="9"/>
      <c r="JS3" s="55"/>
      <c r="JT3" s="9">
        <f>JS3</f>
        <v>0</v>
      </c>
      <c r="JU3" s="9">
        <f t="shared" ref="JU3:JU11" si="47">IF(JQ3-JS3&lt;=$E3-2,1,0)</f>
        <v>1</v>
      </c>
      <c r="JV3" s="9">
        <f>JU3</f>
        <v>1</v>
      </c>
      <c r="JW3" s="9">
        <f t="shared" ref="JW3:JW11" si="48">IF(JU3=0,IF(JQ3=$E3,1,0),0)</f>
        <v>0</v>
      </c>
      <c r="JX3" s="9">
        <f>JW3</f>
        <v>0</v>
      </c>
      <c r="JY3" s="9"/>
      <c r="JZ3" s="9">
        <f t="shared" ref="JZ3:JZ11" si="49">IF($E3-JQ3=1,1,0)</f>
        <v>0</v>
      </c>
      <c r="KA3" s="9">
        <f>JZ3</f>
        <v>0</v>
      </c>
      <c r="KB3" s="9">
        <f>IF(JQ3=$E3,1,0)</f>
        <v>0</v>
      </c>
      <c r="KC3" s="9">
        <f>KB3</f>
        <v>0</v>
      </c>
      <c r="KD3" s="9">
        <f>IF(JQ3-$E3=1,1,0)</f>
        <v>0</v>
      </c>
      <c r="KE3" s="9">
        <f>KD3</f>
        <v>0</v>
      </c>
      <c r="KF3" s="9">
        <f>IF(JQ3-$E3&gt;=2,1,0)</f>
        <v>0</v>
      </c>
      <c r="KG3" s="9">
        <f>KF3</f>
        <v>0</v>
      </c>
      <c r="KH3" s="9">
        <f>IF(JS3=0,1,0)</f>
        <v>1</v>
      </c>
      <c r="KI3" s="9">
        <f>KH3</f>
        <v>1</v>
      </c>
      <c r="KJ3" s="9">
        <f t="shared" ref="KJ3:KJ11" si="50">IF(JS3=1,1,0)</f>
        <v>0</v>
      </c>
      <c r="KK3" s="9">
        <f>KJ3</f>
        <v>0</v>
      </c>
      <c r="KL3" s="9">
        <f>IF(JS3=2,1,0)</f>
        <v>0</v>
      </c>
      <c r="KM3" s="9">
        <f>KL3</f>
        <v>0</v>
      </c>
      <c r="KN3" s="9">
        <f t="shared" ref="KN3:KN11" si="51">IF(JS3&gt;=3,1,0)</f>
        <v>0</v>
      </c>
      <c r="KO3" s="9">
        <f>KN3</f>
        <v>0</v>
      </c>
      <c r="KP3" s="2"/>
      <c r="KQ3" s="2">
        <f>IF($E3=4,JQ3-4,NA())</f>
        <v>-4</v>
      </c>
      <c r="KR3" s="2"/>
      <c r="KS3" s="10" t="e">
        <f>JQ3-'Zusammenfassung Tag1-4'!#REF!/18</f>
        <v>#REF!</v>
      </c>
      <c r="KT3" s="12" t="e">
        <f>KS3</f>
        <v>#REF!</v>
      </c>
    </row>
    <row r="4" spans="1:306" ht="13.2" x14ac:dyDescent="0.25">
      <c r="A4" s="179"/>
      <c r="B4" s="176"/>
      <c r="C4" s="44">
        <v>2</v>
      </c>
      <c r="D4" s="2">
        <f>D3+1</f>
        <v>2</v>
      </c>
      <c r="E4" s="44">
        <v>5</v>
      </c>
      <c r="F4" s="4">
        <f t="shared" ref="F4:F11" si="52">E4+F3</f>
        <v>9</v>
      </c>
      <c r="G4" s="56">
        <v>6</v>
      </c>
      <c r="H4" s="2">
        <f>G4+H3</f>
        <v>11</v>
      </c>
      <c r="I4" s="56">
        <v>2</v>
      </c>
      <c r="J4" s="2">
        <f t="shared" ref="J4:J11" si="53">I4+J3</f>
        <v>4</v>
      </c>
      <c r="K4" s="2">
        <f t="shared" si="0"/>
        <v>0</v>
      </c>
      <c r="L4" s="2">
        <f t="shared" ref="L4:L11" si="54">K4+L3</f>
        <v>0</v>
      </c>
      <c r="M4" s="2">
        <f t="shared" si="1"/>
        <v>0</v>
      </c>
      <c r="N4" s="2">
        <f t="shared" ref="N4:N11" si="55">M4+N3</f>
        <v>0</v>
      </c>
      <c r="O4" s="2"/>
      <c r="P4" s="2">
        <f t="shared" si="2"/>
        <v>0</v>
      </c>
      <c r="Q4" s="2">
        <f t="shared" ref="Q4:W11" si="56">P4+Q3</f>
        <v>0</v>
      </c>
      <c r="R4" s="2">
        <f t="shared" si="3"/>
        <v>0</v>
      </c>
      <c r="S4" s="2">
        <f t="shared" si="56"/>
        <v>0</v>
      </c>
      <c r="T4" s="2">
        <f t="shared" si="4"/>
        <v>1</v>
      </c>
      <c r="U4" s="2">
        <f t="shared" si="56"/>
        <v>2</v>
      </c>
      <c r="V4" s="2">
        <f t="shared" si="5"/>
        <v>0</v>
      </c>
      <c r="W4" s="2">
        <f t="shared" si="56"/>
        <v>0</v>
      </c>
      <c r="X4" s="2">
        <f t="shared" si="6"/>
        <v>0</v>
      </c>
      <c r="Y4" s="2">
        <f t="shared" ref="Y4:Y11" si="57">X4+Y3</f>
        <v>0</v>
      </c>
      <c r="Z4" s="2">
        <f t="shared" si="7"/>
        <v>0</v>
      </c>
      <c r="AA4" s="2">
        <f t="shared" ref="AA4:AC11" si="58">Z4+AA3</f>
        <v>0</v>
      </c>
      <c r="AB4" s="2">
        <f t="shared" si="8"/>
        <v>1</v>
      </c>
      <c r="AC4" s="2">
        <f t="shared" si="58"/>
        <v>2</v>
      </c>
      <c r="AD4" s="2">
        <f t="shared" si="9"/>
        <v>0</v>
      </c>
      <c r="AE4" s="2">
        <f t="shared" ref="AE4:AE11" si="59">AD4+AE3</f>
        <v>0</v>
      </c>
      <c r="AF4" s="2"/>
      <c r="AG4" s="2"/>
      <c r="AH4" s="2">
        <f>IF($E4=5,G4-5,NA())</f>
        <v>1</v>
      </c>
      <c r="AI4" s="41">
        <f>G4-'Zusammenfassung Tag1-4'!$B$2/18</f>
        <v>5.166666666666667</v>
      </c>
      <c r="AJ4" s="13">
        <f t="shared" ref="AJ4:AJ11" si="60">AI4+AJ3</f>
        <v>9.3333333333333339</v>
      </c>
      <c r="AK4" s="53">
        <v>5</v>
      </c>
      <c r="AL4" s="2">
        <f>AK4+AL3</f>
        <v>9</v>
      </c>
      <c r="AM4" s="56">
        <v>1</v>
      </c>
      <c r="AN4" s="2">
        <f t="shared" ref="AN4:AN11" si="61">AM4+AN3</f>
        <v>3</v>
      </c>
      <c r="AO4" s="2">
        <f t="shared" si="10"/>
        <v>0</v>
      </c>
      <c r="AP4" s="2">
        <f t="shared" ref="AP4:AP11" si="62">AO4+AP3</f>
        <v>1</v>
      </c>
      <c r="AQ4" s="2">
        <f t="shared" si="11"/>
        <v>1</v>
      </c>
      <c r="AR4" s="2">
        <f t="shared" ref="AR4:AR11" si="63">AQ4+AR3</f>
        <v>1</v>
      </c>
      <c r="AS4" s="2"/>
      <c r="AT4" s="2">
        <f t="shared" si="12"/>
        <v>0</v>
      </c>
      <c r="AU4" s="2">
        <f t="shared" ref="AU4:AU11" si="64">AT4+AU3</f>
        <v>0</v>
      </c>
      <c r="AV4" s="2">
        <f t="shared" ref="AV4:AV10" si="65">IF(AK4=$E4,1,0)</f>
        <v>1</v>
      </c>
      <c r="AW4" s="2">
        <f t="shared" ref="AW4:AW11" si="66">AV4+AW3</f>
        <v>2</v>
      </c>
      <c r="AX4" s="2">
        <f t="shared" ref="AX4:AX11" si="67">IF(AK4-$E4=1,1,0)</f>
        <v>0</v>
      </c>
      <c r="AY4" s="2">
        <f t="shared" ref="AY4:AY11" si="68">AX4+AY3</f>
        <v>0</v>
      </c>
      <c r="AZ4" s="2">
        <f t="shared" ref="AZ4:AZ11" si="69">IF(AK4-$E4&gt;=2,1,0)</f>
        <v>0</v>
      </c>
      <c r="BA4" s="2">
        <f t="shared" ref="BA4:BA11" si="70">AZ4+BA3</f>
        <v>0</v>
      </c>
      <c r="BB4" s="2">
        <f t="shared" ref="BB4:BB11" si="71">IF(AM4=0,1,0)</f>
        <v>0</v>
      </c>
      <c r="BC4" s="2">
        <f t="shared" ref="BC4:BC11" si="72">BB4+BC3</f>
        <v>0</v>
      </c>
      <c r="BD4" s="2">
        <f t="shared" si="13"/>
        <v>1</v>
      </c>
      <c r="BE4" s="2">
        <f t="shared" ref="BE4:BE11" si="73">BD4+BE3</f>
        <v>1</v>
      </c>
      <c r="BF4" s="2">
        <f t="shared" ref="BF4:BF11" si="74">IF(AM4=2,1,0)</f>
        <v>0</v>
      </c>
      <c r="BG4" s="2">
        <f t="shared" ref="BG4:BG11" si="75">BF4+BG3</f>
        <v>1</v>
      </c>
      <c r="BH4" s="2">
        <f t="shared" si="14"/>
        <v>0</v>
      </c>
      <c r="BI4" s="2">
        <f t="shared" ref="BI4:BI11" si="76">BH4+BI3</f>
        <v>0</v>
      </c>
      <c r="BJ4" s="2"/>
      <c r="BK4" s="2"/>
      <c r="BL4" s="2">
        <f t="shared" ref="BL4" si="77">IF($E4=5,AK4-5,NA())</f>
        <v>0</v>
      </c>
      <c r="BM4" s="41">
        <f>AK4-'Zusammenfassung Tag1-4'!$C$2/18</f>
        <v>4.4444444444444446</v>
      </c>
      <c r="BN4" s="13">
        <f t="shared" ref="BN4:BN11" si="78">BM4+BN3</f>
        <v>7.8888888888888893</v>
      </c>
      <c r="BO4" s="53">
        <v>7</v>
      </c>
      <c r="BP4" s="2">
        <f>BO4+BP3</f>
        <v>15</v>
      </c>
      <c r="BQ4" s="56">
        <v>2</v>
      </c>
      <c r="BR4" s="2">
        <f t="shared" ref="BR4:BR11" si="79">BQ4+BR3</f>
        <v>4</v>
      </c>
      <c r="BS4" s="2">
        <f t="shared" si="15"/>
        <v>0</v>
      </c>
      <c r="BT4" s="2">
        <f t="shared" ref="BT4:BT11" si="80">BS4+BT3</f>
        <v>0</v>
      </c>
      <c r="BU4" s="2">
        <f t="shared" si="16"/>
        <v>0</v>
      </c>
      <c r="BV4" s="2">
        <f t="shared" ref="BV4:BV11" si="81">BU4+BV3</f>
        <v>0</v>
      </c>
      <c r="BW4" s="2"/>
      <c r="BX4" s="2">
        <f t="shared" si="17"/>
        <v>0</v>
      </c>
      <c r="BY4" s="2">
        <f t="shared" ref="BY4:CG11" si="82">BX4+BY3</f>
        <v>0</v>
      </c>
      <c r="BZ4" s="2">
        <f t="shared" ref="BZ4:BZ10" si="83">IF(BO4=$E4,1,0)</f>
        <v>0</v>
      </c>
      <c r="CA4" s="2">
        <f t="shared" ref="CA4:CA11" si="84">BZ4+CA3</f>
        <v>0</v>
      </c>
      <c r="CB4" s="2">
        <f t="shared" ref="CB4:CB11" si="85">IF(BO4-$E4=1,1,0)</f>
        <v>0</v>
      </c>
      <c r="CC4" s="2">
        <f t="shared" ref="CC4:CC11" si="86">CB4+CC3</f>
        <v>0</v>
      </c>
      <c r="CD4" s="2">
        <f t="shared" ref="CD4:CD11" si="87">IF(BO4-$E4&gt;=2,1,0)</f>
        <v>1</v>
      </c>
      <c r="CE4" s="2">
        <f t="shared" ref="CE4:CE11" si="88">CD4+CE3</f>
        <v>2</v>
      </c>
      <c r="CF4" s="2">
        <f t="shared" ref="CF4:CF11" si="89">IF(BQ4=0,1,0)</f>
        <v>0</v>
      </c>
      <c r="CG4" s="2">
        <f t="shared" si="82"/>
        <v>0</v>
      </c>
      <c r="CH4" s="2">
        <f t="shared" si="18"/>
        <v>0</v>
      </c>
      <c r="CI4" s="2">
        <f t="shared" ref="CI4:CI11" si="90">CH4+CI3</f>
        <v>0</v>
      </c>
      <c r="CJ4" s="2">
        <f t="shared" ref="CJ4:CJ11" si="91">IF(BQ4=2,1,0)</f>
        <v>1</v>
      </c>
      <c r="CK4" s="2">
        <f t="shared" ref="CK4:CK11" si="92">CJ4+CK3</f>
        <v>2</v>
      </c>
      <c r="CL4" s="2">
        <f t="shared" si="19"/>
        <v>0</v>
      </c>
      <c r="CM4" s="2">
        <f t="shared" ref="CM4:CM11" si="93">CL4+CM3</f>
        <v>0</v>
      </c>
      <c r="CN4" s="2"/>
      <c r="CO4" s="2"/>
      <c r="CP4" s="2">
        <f t="shared" ref="CP4" si="94">IF($E4=5,BO4-5,NA())</f>
        <v>2</v>
      </c>
      <c r="CQ4" s="41">
        <f>BO4-'Zusammenfassung Tag1-4'!$D$2/18</f>
        <v>5.9444444444444446</v>
      </c>
      <c r="CR4" s="13">
        <f t="shared" ref="CR4:CR11" si="95">CQ4+CR3</f>
        <v>12.888888888888889</v>
      </c>
      <c r="CS4" s="53">
        <v>7</v>
      </c>
      <c r="CT4" s="2">
        <f>CS4+CT3</f>
        <v>11</v>
      </c>
      <c r="CU4" s="56">
        <v>2</v>
      </c>
      <c r="CV4" s="2">
        <f t="shared" ref="CV4:CV11" si="96">CU4+CV3</f>
        <v>4</v>
      </c>
      <c r="CW4" s="2">
        <f t="shared" si="20"/>
        <v>0</v>
      </c>
      <c r="CX4" s="2">
        <f t="shared" ref="CX4:CX11" si="97">CW4+CX3</f>
        <v>1</v>
      </c>
      <c r="CY4" s="2">
        <f t="shared" si="21"/>
        <v>0</v>
      </c>
      <c r="CZ4" s="2">
        <f t="shared" ref="CZ4:CZ11" si="98">CY4+CZ3</f>
        <v>0</v>
      </c>
      <c r="DA4" s="2"/>
      <c r="DB4" s="2">
        <f t="shared" si="22"/>
        <v>0</v>
      </c>
      <c r="DC4" s="2">
        <f t="shared" ref="DC4:DC11" si="99">DB4+DC3</f>
        <v>0</v>
      </c>
      <c r="DD4" s="2">
        <f t="shared" ref="DD4:DD10" si="100">IF(CS4=$E4,1,0)</f>
        <v>0</v>
      </c>
      <c r="DE4" s="2">
        <f t="shared" ref="DE4:DE11" si="101">DD4+DE3</f>
        <v>1</v>
      </c>
      <c r="DF4" s="2">
        <f t="shared" ref="DF4:DF11" si="102">IF(CS4-$E4=1,1,0)</f>
        <v>0</v>
      </c>
      <c r="DG4" s="2">
        <f t="shared" ref="DG4:DG11" si="103">DF4+DG3</f>
        <v>0</v>
      </c>
      <c r="DH4" s="2">
        <f t="shared" ref="DH4:DH11" si="104">IF(CS4-$E4&gt;=2,1,0)</f>
        <v>1</v>
      </c>
      <c r="DI4" s="2">
        <f t="shared" ref="DI4:DI11" si="105">DH4+DI3</f>
        <v>1</v>
      </c>
      <c r="DJ4" s="2">
        <f t="shared" ref="DJ4:DJ11" si="106">IF(CU4=0,1,0)</f>
        <v>0</v>
      </c>
      <c r="DK4" s="2">
        <f t="shared" ref="DK4:DK11" si="107">DJ4+DK3</f>
        <v>0</v>
      </c>
      <c r="DL4" s="2">
        <f t="shared" si="23"/>
        <v>0</v>
      </c>
      <c r="DM4" s="2">
        <f t="shared" ref="DM4:DM11" si="108">DL4+DM3</f>
        <v>0</v>
      </c>
      <c r="DN4" s="2">
        <f t="shared" ref="DN4:DN11" si="109">IF(CU4=2,1,0)</f>
        <v>1</v>
      </c>
      <c r="DO4" s="2">
        <f t="shared" ref="DO4:DO11" si="110">DN4+DO3</f>
        <v>2</v>
      </c>
      <c r="DP4" s="2">
        <f t="shared" si="24"/>
        <v>0</v>
      </c>
      <c r="DQ4" s="2">
        <f t="shared" ref="DQ4:DQ11" si="111">DP4+DQ3</f>
        <v>0</v>
      </c>
      <c r="DR4" s="2"/>
      <c r="DS4" s="2"/>
      <c r="DT4" s="2">
        <f t="shared" ref="DT4" si="112">IF($E4=5,CS4-5,NA())</f>
        <v>2</v>
      </c>
      <c r="DU4" s="41">
        <f>CS4-'Zusammenfassung Tag1-4'!$E$2/18</f>
        <v>6</v>
      </c>
      <c r="DV4" s="14">
        <f t="shared" ref="DV4:DV11" si="113">DU4+DV3</f>
        <v>9</v>
      </c>
      <c r="DW4" s="53">
        <v>8</v>
      </c>
      <c r="DX4" s="2">
        <v>94</v>
      </c>
      <c r="DY4" s="56">
        <v>3</v>
      </c>
      <c r="DZ4" s="2">
        <f t="shared" ref="DZ4:DZ11" si="114">DY4+DZ3</f>
        <v>5</v>
      </c>
      <c r="EA4" s="2">
        <f t="shared" si="25"/>
        <v>0</v>
      </c>
      <c r="EB4" s="2">
        <f t="shared" ref="EB4:EB11" si="115">EA4+EB3</f>
        <v>0</v>
      </c>
      <c r="EC4" s="2">
        <f t="shared" si="26"/>
        <v>0</v>
      </c>
      <c r="ED4" s="2">
        <f t="shared" ref="ED4:ED11" si="116">EC4+ED3</f>
        <v>0</v>
      </c>
      <c r="EE4" s="2"/>
      <c r="EF4" s="2">
        <f t="shared" si="27"/>
        <v>0</v>
      </c>
      <c r="EG4" s="2">
        <f t="shared" ref="EG4:EG11" si="117">EF4+EG3</f>
        <v>0</v>
      </c>
      <c r="EH4" s="2">
        <f t="shared" ref="EH4:EH10" si="118">IF(DW4=$E4,1,0)</f>
        <v>0</v>
      </c>
      <c r="EI4" s="2">
        <f t="shared" ref="EI4:EI11" si="119">EH4+EI3</f>
        <v>0</v>
      </c>
      <c r="EJ4" s="2">
        <f t="shared" ref="EJ4:EJ11" si="120">IF(DW4-$E4=1,1,0)</f>
        <v>0</v>
      </c>
      <c r="EK4" s="2">
        <f t="shared" ref="EK4:EK11" si="121">EJ4+EK3</f>
        <v>0</v>
      </c>
      <c r="EL4" s="2">
        <f t="shared" ref="EL4:EL11" si="122">IF(DW4-$E4&gt;=2,1,0)</f>
        <v>1</v>
      </c>
      <c r="EM4" s="2">
        <f t="shared" ref="EM4:EM11" si="123">EL4+EM3</f>
        <v>2</v>
      </c>
      <c r="EN4" s="2">
        <f t="shared" ref="EN4:EN11" si="124">IF(DY4=0,1,0)</f>
        <v>0</v>
      </c>
      <c r="EO4" s="2">
        <f t="shared" ref="EO4:EO11" si="125">EN4+EO3</f>
        <v>0</v>
      </c>
      <c r="EP4" s="2">
        <f t="shared" si="28"/>
        <v>0</v>
      </c>
      <c r="EQ4" s="2">
        <f t="shared" ref="EQ4:EQ11" si="126">EP4+EQ3</f>
        <v>0</v>
      </c>
      <c r="ER4" s="2">
        <f t="shared" ref="ER4:ER11" si="127">IF(DY4=2,1,0)</f>
        <v>0</v>
      </c>
      <c r="ES4" s="2">
        <f t="shared" ref="ES4:ES11" si="128">ER4+ES3</f>
        <v>1</v>
      </c>
      <c r="ET4" s="2">
        <f t="shared" si="29"/>
        <v>1</v>
      </c>
      <c r="EU4" s="2">
        <f t="shared" ref="EU4:EU11" si="129">ET4+EU3</f>
        <v>1</v>
      </c>
      <c r="EV4" s="2"/>
      <c r="EW4" s="2"/>
      <c r="EX4" s="2">
        <f t="shared" ref="EX4" si="130">IF($E4=5,DW4-5,NA())</f>
        <v>3</v>
      </c>
      <c r="EY4" s="41">
        <f>DW4-'Zusammenfassung Tag1-4'!$F$2/18</f>
        <v>5.5</v>
      </c>
      <c r="EZ4" s="14">
        <f t="shared" ref="EZ4:EZ11" si="131">EY4+EZ3</f>
        <v>12</v>
      </c>
      <c r="FA4" s="53">
        <v>7</v>
      </c>
      <c r="FB4" s="2">
        <v>10</v>
      </c>
      <c r="FC4" s="56">
        <v>2</v>
      </c>
      <c r="FD4" s="2">
        <f t="shared" ref="FD4:FD11" si="132">FC4+FD3</f>
        <v>5</v>
      </c>
      <c r="FE4" s="2">
        <f t="shared" si="30"/>
        <v>0</v>
      </c>
      <c r="FF4" s="2">
        <f t="shared" ref="FF4:FF11" si="133">FE4+FF3</f>
        <v>0</v>
      </c>
      <c r="FG4" s="2">
        <f t="shared" si="31"/>
        <v>0</v>
      </c>
      <c r="FH4" s="2">
        <f t="shared" ref="FH4:FH11" si="134">FG4+FH3</f>
        <v>0</v>
      </c>
      <c r="FI4" s="2"/>
      <c r="FJ4" s="2">
        <f t="shared" si="32"/>
        <v>0</v>
      </c>
      <c r="FK4" s="2">
        <f t="shared" ref="FK4:FK11" si="135">FJ4+FK3</f>
        <v>0</v>
      </c>
      <c r="FL4" s="2">
        <f t="shared" ref="FL4:FL10" si="136">IF(FA4=$E4,1,0)</f>
        <v>0</v>
      </c>
      <c r="FM4" s="2">
        <f t="shared" ref="FM4:FM11" si="137">FL4+FM3</f>
        <v>0</v>
      </c>
      <c r="FN4" s="2">
        <f t="shared" ref="FN4:FN11" si="138">IF(FA4-$E4=1,1,0)</f>
        <v>0</v>
      </c>
      <c r="FO4" s="2">
        <f t="shared" ref="FO4:FO11" si="139">FN4+FO3</f>
        <v>0</v>
      </c>
      <c r="FP4" s="2">
        <f t="shared" ref="FP4:FP11" si="140">IF(FA4-$E4&gt;=2,1,0)</f>
        <v>1</v>
      </c>
      <c r="FQ4" s="2">
        <f t="shared" ref="FQ4:FQ11" si="141">FP4+FQ3</f>
        <v>2</v>
      </c>
      <c r="FR4" s="2">
        <f t="shared" ref="FR4:FR11" si="142">IF(FC4=0,1,0)</f>
        <v>0</v>
      </c>
      <c r="FS4" s="2">
        <f t="shared" ref="FS4:FS11" si="143">FR4+FS3</f>
        <v>0</v>
      </c>
      <c r="FT4" s="2">
        <f t="shared" si="33"/>
        <v>0</v>
      </c>
      <c r="FU4" s="2">
        <f t="shared" ref="FU4:FU11" si="144">FT4+FU3</f>
        <v>0</v>
      </c>
      <c r="FV4" s="2">
        <f t="shared" ref="FV4:FV11" si="145">IF(FC4=2,1,0)</f>
        <v>1</v>
      </c>
      <c r="FW4" s="2">
        <f t="shared" ref="FW4:FW11" si="146">FV4+FW3</f>
        <v>1</v>
      </c>
      <c r="FX4" s="2">
        <f t="shared" si="34"/>
        <v>0</v>
      </c>
      <c r="FY4" s="2">
        <f t="shared" ref="FY4:FY11" si="147">FX4+FY3</f>
        <v>1</v>
      </c>
      <c r="FZ4" s="2"/>
      <c r="GA4" s="2"/>
      <c r="GB4" s="2">
        <f t="shared" ref="GB4" si="148">IF($E4=5,FA4-5,NA())</f>
        <v>2</v>
      </c>
      <c r="GC4" s="41">
        <f>FA4-'Zusammenfassung Tag1-4'!$G$2/18</f>
        <v>5.7222222222222223</v>
      </c>
      <c r="GD4" s="14">
        <f t="shared" ref="GD4:GD11" si="149">GC4+GD3</f>
        <v>12.444444444444445</v>
      </c>
      <c r="GE4" s="53">
        <v>10</v>
      </c>
      <c r="GF4" s="2">
        <v>13</v>
      </c>
      <c r="GG4" s="56">
        <v>2</v>
      </c>
      <c r="GH4" s="2">
        <f t="shared" ref="GH4:GH11" si="150">GG4+GH3</f>
        <v>4</v>
      </c>
      <c r="GI4" s="2">
        <f t="shared" si="35"/>
        <v>0</v>
      </c>
      <c r="GJ4" s="2">
        <f t="shared" ref="GJ4:GJ11" si="151">GI4+GJ3</f>
        <v>0</v>
      </c>
      <c r="GK4" s="2">
        <f t="shared" si="36"/>
        <v>0</v>
      </c>
      <c r="GL4" s="2">
        <f t="shared" ref="GL4:GL11" si="152">GK4+GL3</f>
        <v>0</v>
      </c>
      <c r="GM4" s="2"/>
      <c r="GN4" s="2">
        <f t="shared" si="37"/>
        <v>0</v>
      </c>
      <c r="GO4" s="2">
        <f t="shared" ref="GO4:GO11" si="153">GN4+GO3</f>
        <v>0</v>
      </c>
      <c r="GP4" s="2">
        <f t="shared" ref="GP4:GP10" si="154">IF(GE4=$E4,1,0)</f>
        <v>0</v>
      </c>
      <c r="GQ4" s="2">
        <f t="shared" ref="GQ4:GQ11" si="155">GP4+GQ3</f>
        <v>0</v>
      </c>
      <c r="GR4" s="2">
        <f t="shared" ref="GR4:GR11" si="156">IF(GE4-$E4=1,1,0)</f>
        <v>0</v>
      </c>
      <c r="GS4" s="2">
        <f t="shared" ref="GS4:GS11" si="157">GR4+GS3</f>
        <v>1</v>
      </c>
      <c r="GT4" s="2">
        <f t="shared" ref="GT4:GT11" si="158">IF(GE4-$E4&gt;=2,1,0)</f>
        <v>1</v>
      </c>
      <c r="GU4" s="2">
        <f t="shared" ref="GU4:GU11" si="159">GT4+GU3</f>
        <v>1</v>
      </c>
      <c r="GV4" s="2">
        <f t="shared" ref="GV4:GV11" si="160">IF(GG4=0,1,0)</f>
        <v>0</v>
      </c>
      <c r="GW4" s="2">
        <f t="shared" ref="GW4:GW11" si="161">GV4+GW3</f>
        <v>0</v>
      </c>
      <c r="GX4" s="2">
        <f t="shared" si="38"/>
        <v>0</v>
      </c>
      <c r="GY4" s="2">
        <f t="shared" ref="GY4:GY11" si="162">GX4+GY3</f>
        <v>0</v>
      </c>
      <c r="GZ4" s="2">
        <f t="shared" ref="GZ4:GZ11" si="163">IF(GG4=2,1,0)</f>
        <v>1</v>
      </c>
      <c r="HA4" s="2">
        <f t="shared" ref="HA4:HA11" si="164">GZ4+HA3</f>
        <v>2</v>
      </c>
      <c r="HB4" s="2">
        <f t="shared" si="39"/>
        <v>0</v>
      </c>
      <c r="HC4" s="2">
        <f t="shared" ref="HC4:HC11" si="165">HB4+HC3</f>
        <v>0</v>
      </c>
      <c r="HD4" s="2"/>
      <c r="HE4" s="2"/>
      <c r="HF4" s="2">
        <f t="shared" ref="HF4" si="166">IF($E4=5,GE4-5,NA())</f>
        <v>5</v>
      </c>
      <c r="HG4" s="41">
        <f>GE4-'Zusammenfassung Tag1-4'!$H$2/18</f>
        <v>8.2222222222222214</v>
      </c>
      <c r="HH4" s="14">
        <f t="shared" ref="HH4:HH11" si="167">HG4+HH3</f>
        <v>11.444444444444443</v>
      </c>
      <c r="HI4" s="53">
        <v>7</v>
      </c>
      <c r="HJ4" s="2">
        <v>10</v>
      </c>
      <c r="HK4" s="56">
        <v>2</v>
      </c>
      <c r="HL4" s="2">
        <f t="shared" ref="HL4:HL11" si="168">HK4+HL3</f>
        <v>4</v>
      </c>
      <c r="HM4" s="2">
        <f>IF(HI4-HK4&lt;=$E4-2,1,0)</f>
        <v>0</v>
      </c>
      <c r="HN4" s="2">
        <f t="shared" ref="HN4:HN11" si="169">HM4+HN3</f>
        <v>0</v>
      </c>
      <c r="HO4" s="2">
        <f>IF(HM4=0,IF(HI4=$E4,1,0),0)</f>
        <v>0</v>
      </c>
      <c r="HP4" s="2">
        <f t="shared" ref="HP4:HP11" si="170">HO4+HP3</f>
        <v>0</v>
      </c>
      <c r="HQ4" s="2"/>
      <c r="HR4" s="2">
        <f>IF($E4-HI4=1,1,0)</f>
        <v>0</v>
      </c>
      <c r="HS4" s="2">
        <f t="shared" ref="HS4:HS11" si="171">HR4+HS3</f>
        <v>0</v>
      </c>
      <c r="HT4" s="2">
        <f>IF(HI4=$E4,1,0)</f>
        <v>0</v>
      </c>
      <c r="HU4" s="2">
        <f t="shared" ref="HU4:HU11" si="172">HT4+HU3</f>
        <v>0</v>
      </c>
      <c r="HV4" s="2">
        <f>IF(HI4-$E4=1,1,0)</f>
        <v>0</v>
      </c>
      <c r="HW4" s="2">
        <f t="shared" ref="HW4:HW11" si="173">HV4+HW3</f>
        <v>0</v>
      </c>
      <c r="HX4" s="2">
        <f>IF(HI4-$E4&gt;=2,1,0)</f>
        <v>1</v>
      </c>
      <c r="HY4" s="2">
        <f t="shared" ref="HY4:HY11" si="174">HX4+HY3</f>
        <v>2</v>
      </c>
      <c r="HZ4" s="2">
        <f t="shared" ref="HZ4:HZ11" si="175">IF(HK4=0,1,0)</f>
        <v>0</v>
      </c>
      <c r="IA4" s="2">
        <f t="shared" ref="IA4:IA11" si="176">HZ4+IA3</f>
        <v>0</v>
      </c>
      <c r="IB4" s="2">
        <f t="shared" si="40"/>
        <v>0</v>
      </c>
      <c r="IC4" s="2">
        <f t="shared" ref="IC4:IC11" si="177">IB4+IC3</f>
        <v>0</v>
      </c>
      <c r="ID4" s="2">
        <f t="shared" ref="ID4:ID11" si="178">IF(HK4=2,1,0)</f>
        <v>1</v>
      </c>
      <c r="IE4" s="2">
        <f t="shared" ref="IE4:IE11" si="179">ID4+IE3</f>
        <v>2</v>
      </c>
      <c r="IF4" s="2">
        <f t="shared" si="41"/>
        <v>0</v>
      </c>
      <c r="IG4" s="2">
        <f t="shared" ref="IG4:IG11" si="180">IF4+IG3</f>
        <v>0</v>
      </c>
      <c r="IH4" s="2"/>
      <c r="II4" s="2"/>
      <c r="IJ4" s="2">
        <f>IF($E4=5,HI4-5,NA())</f>
        <v>2</v>
      </c>
      <c r="IK4" s="41">
        <f>HI4-'Zusammenfassung Tag1-4'!$I$2/18</f>
        <v>6.1111111111111107</v>
      </c>
      <c r="IL4" s="14">
        <f t="shared" ref="IL4:IL11" si="181">IK4+IL3</f>
        <v>12.222222222222221</v>
      </c>
      <c r="IM4" s="53">
        <v>5</v>
      </c>
      <c r="IN4" s="2">
        <v>148</v>
      </c>
      <c r="IO4" s="56">
        <v>2</v>
      </c>
      <c r="IP4" s="2">
        <f t="shared" ref="IP4:IP11" si="182">IO4+IP3</f>
        <v>5</v>
      </c>
      <c r="IQ4" s="2">
        <f t="shared" si="42"/>
        <v>1</v>
      </c>
      <c r="IR4" s="2">
        <f t="shared" ref="IR4:IR11" si="183">IQ4+IR3</f>
        <v>1</v>
      </c>
      <c r="IS4" s="2">
        <f t="shared" si="43"/>
        <v>0</v>
      </c>
      <c r="IT4" s="2">
        <f t="shared" ref="IT4:IT11" si="184">IS4+IT3</f>
        <v>0</v>
      </c>
      <c r="IU4" s="2"/>
      <c r="IV4" s="2">
        <f t="shared" si="44"/>
        <v>0</v>
      </c>
      <c r="IW4" s="2">
        <f t="shared" ref="IW4:IW11" si="185">IV4+IW3</f>
        <v>0</v>
      </c>
      <c r="IX4" s="2">
        <f t="shared" ref="IX4:IX10" si="186">IF(IM4=$E4,1,0)</f>
        <v>1</v>
      </c>
      <c r="IY4" s="2">
        <f t="shared" ref="IY4:IY11" si="187">IX4+IY3</f>
        <v>1</v>
      </c>
      <c r="IZ4" s="2">
        <f t="shared" ref="IZ4:IZ11" si="188">IF(IM4-$E4=1,1,0)</f>
        <v>0</v>
      </c>
      <c r="JA4" s="2">
        <f t="shared" ref="JA4:JA11" si="189">IZ4+JA3</f>
        <v>0</v>
      </c>
      <c r="JB4" s="2">
        <f t="shared" ref="JB4:JB11" si="190">IF(IM4-$E4&gt;=2,1,0)</f>
        <v>0</v>
      </c>
      <c r="JC4" s="2">
        <f t="shared" ref="JC4:JC11" si="191">JB4+JC3</f>
        <v>1</v>
      </c>
      <c r="JD4" s="2">
        <f t="shared" ref="JD4:JD11" si="192">IF(IO4=0,1,0)</f>
        <v>0</v>
      </c>
      <c r="JE4" s="2">
        <f t="shared" ref="JE4:JE11" si="193">JD4+JE3</f>
        <v>0</v>
      </c>
      <c r="JF4" s="2">
        <f t="shared" si="45"/>
        <v>0</v>
      </c>
      <c r="JG4" s="2">
        <f t="shared" ref="JG4:JG11" si="194">JF4+JG3</f>
        <v>0</v>
      </c>
      <c r="JH4" s="2">
        <f t="shared" ref="JH4:JH11" si="195">IF(IO4=2,1,0)</f>
        <v>1</v>
      </c>
      <c r="JI4" s="2">
        <f t="shared" ref="JI4:JI11" si="196">JH4+JI3</f>
        <v>1</v>
      </c>
      <c r="JJ4" s="2">
        <f t="shared" si="46"/>
        <v>0</v>
      </c>
      <c r="JK4" s="2">
        <f t="shared" ref="JK4:JK11" si="197">JJ4+JK3</f>
        <v>1</v>
      </c>
      <c r="JL4" s="2"/>
      <c r="JM4" s="2"/>
      <c r="JN4" s="2">
        <f t="shared" ref="JN4" si="198">IF($E4=5,IM4-5,NA())</f>
        <v>0</v>
      </c>
      <c r="JO4" s="41">
        <f>IM4-'Zusammenfassung Tag1-4'!$J$2/18</f>
        <v>2.6666666666666665</v>
      </c>
      <c r="JP4" s="14">
        <f t="shared" ref="JP4:JP11" si="199">JO4+JP3</f>
        <v>9.3333333333333321</v>
      </c>
      <c r="JQ4" s="53"/>
      <c r="JR4" s="2"/>
      <c r="JS4" s="56"/>
      <c r="JT4" s="2">
        <f t="shared" ref="JT4:JT11" si="200">JS4+JT3</f>
        <v>0</v>
      </c>
      <c r="JU4" s="2">
        <f t="shared" si="47"/>
        <v>1</v>
      </c>
      <c r="JV4" s="2">
        <f t="shared" ref="JV4:JV11" si="201">JU4+JV3</f>
        <v>2</v>
      </c>
      <c r="JW4" s="2">
        <f t="shared" si="48"/>
        <v>0</v>
      </c>
      <c r="JX4" s="2">
        <f t="shared" ref="JX4:JX11" si="202">JW4+JX3</f>
        <v>0</v>
      </c>
      <c r="JY4" s="2"/>
      <c r="JZ4" s="2">
        <f t="shared" si="49"/>
        <v>0</v>
      </c>
      <c r="KA4" s="2">
        <f t="shared" ref="KA4:KA11" si="203">JZ4+KA3</f>
        <v>0</v>
      </c>
      <c r="KB4" s="2">
        <f t="shared" ref="KB4:KB10" si="204">IF(JQ4=$E4,1,0)</f>
        <v>0</v>
      </c>
      <c r="KC4" s="2">
        <f t="shared" ref="KC4:KC11" si="205">KB4+KC3</f>
        <v>0</v>
      </c>
      <c r="KD4" s="2">
        <f t="shared" ref="KD4:KD11" si="206">IF(JQ4-$E4=1,1,0)</f>
        <v>0</v>
      </c>
      <c r="KE4" s="2">
        <f t="shared" ref="KE4:KE11" si="207">KD4+KE3</f>
        <v>0</v>
      </c>
      <c r="KF4" s="2">
        <f t="shared" ref="KF4:KF11" si="208">IF(JQ4-$E4&gt;=2,1,0)</f>
        <v>0</v>
      </c>
      <c r="KG4" s="2">
        <f t="shared" ref="KG4:KG11" si="209">KF4+KG3</f>
        <v>0</v>
      </c>
      <c r="KH4" s="2">
        <f t="shared" ref="KH4:KH11" si="210">IF(JS4=0,1,0)</f>
        <v>1</v>
      </c>
      <c r="KI4" s="2">
        <f t="shared" ref="KI4:KI11" si="211">KH4+KI3</f>
        <v>2</v>
      </c>
      <c r="KJ4" s="2">
        <f t="shared" si="50"/>
        <v>0</v>
      </c>
      <c r="KK4" s="2">
        <f t="shared" ref="KK4:KK11" si="212">KJ4+KK3</f>
        <v>0</v>
      </c>
      <c r="KL4" s="2">
        <f t="shared" ref="KL4:KL11" si="213">IF(JS4=2,1,0)</f>
        <v>0</v>
      </c>
      <c r="KM4" s="2">
        <f t="shared" ref="KM4:KM11" si="214">KL4+KM3</f>
        <v>0</v>
      </c>
      <c r="KN4" s="2">
        <f t="shared" si="51"/>
        <v>0</v>
      </c>
      <c r="KO4" s="2">
        <f t="shared" ref="KO4:KO11" si="215">KN4+KO3</f>
        <v>0</v>
      </c>
      <c r="KP4" s="2"/>
      <c r="KQ4" s="2"/>
      <c r="KR4" s="2">
        <f t="shared" ref="KR4" si="216">IF($E4=5,JQ4-5,NA())</f>
        <v>-5</v>
      </c>
      <c r="KS4" s="41" t="e">
        <f>JQ4-'Zusammenfassung Tag1-4'!#REF!/18</f>
        <v>#REF!</v>
      </c>
      <c r="KT4" s="14" t="e">
        <f t="shared" ref="KT4:KT11" si="217">KS4+KT3</f>
        <v>#REF!</v>
      </c>
    </row>
    <row r="5" spans="1:306" ht="13.2" x14ac:dyDescent="0.25">
      <c r="A5" s="179"/>
      <c r="B5" s="176"/>
      <c r="C5" s="44">
        <v>3</v>
      </c>
      <c r="D5" s="2">
        <f t="shared" ref="D5:D11" si="218">D4+1</f>
        <v>3</v>
      </c>
      <c r="E5" s="44">
        <v>4</v>
      </c>
      <c r="F5" s="4">
        <f t="shared" si="52"/>
        <v>13</v>
      </c>
      <c r="G5" s="56">
        <v>5</v>
      </c>
      <c r="H5" s="2">
        <f t="shared" ref="H5:H11" si="219">G5+H4</f>
        <v>16</v>
      </c>
      <c r="I5" s="56">
        <v>2</v>
      </c>
      <c r="J5" s="2">
        <f t="shared" si="53"/>
        <v>6</v>
      </c>
      <c r="K5" s="2">
        <f t="shared" si="0"/>
        <v>0</v>
      </c>
      <c r="L5" s="2">
        <f t="shared" si="54"/>
        <v>0</v>
      </c>
      <c r="M5" s="2">
        <f t="shared" si="1"/>
        <v>0</v>
      </c>
      <c r="N5" s="2">
        <f t="shared" si="55"/>
        <v>0</v>
      </c>
      <c r="O5" s="2"/>
      <c r="P5" s="2">
        <f t="shared" si="2"/>
        <v>0</v>
      </c>
      <c r="Q5" s="2">
        <f t="shared" si="56"/>
        <v>0</v>
      </c>
      <c r="R5" s="2">
        <f t="shared" si="3"/>
        <v>0</v>
      </c>
      <c r="S5" s="2">
        <f t="shared" si="56"/>
        <v>0</v>
      </c>
      <c r="T5" s="2">
        <f t="shared" si="4"/>
        <v>1</v>
      </c>
      <c r="U5" s="2">
        <f t="shared" si="56"/>
        <v>3</v>
      </c>
      <c r="V5" s="2">
        <f t="shared" si="5"/>
        <v>0</v>
      </c>
      <c r="W5" s="2">
        <f t="shared" si="56"/>
        <v>0</v>
      </c>
      <c r="X5" s="2">
        <f t="shared" si="6"/>
        <v>0</v>
      </c>
      <c r="Y5" s="2">
        <f t="shared" si="57"/>
        <v>0</v>
      </c>
      <c r="Z5" s="2">
        <f t="shared" si="7"/>
        <v>0</v>
      </c>
      <c r="AA5" s="2">
        <f t="shared" si="58"/>
        <v>0</v>
      </c>
      <c r="AB5" s="2">
        <f t="shared" si="8"/>
        <v>1</v>
      </c>
      <c r="AC5" s="2">
        <f t="shared" si="58"/>
        <v>3</v>
      </c>
      <c r="AD5" s="2">
        <f t="shared" si="9"/>
        <v>0</v>
      </c>
      <c r="AE5" s="2">
        <f t="shared" si="59"/>
        <v>0</v>
      </c>
      <c r="AF5" s="2"/>
      <c r="AG5" s="2">
        <f>IF($E5=4,G5-4,NA())</f>
        <v>1</v>
      </c>
      <c r="AH5" s="2"/>
      <c r="AI5" s="41">
        <f>G5-'Zusammenfassung Tag1-4'!$B$2/18</f>
        <v>4.166666666666667</v>
      </c>
      <c r="AJ5" s="13">
        <f t="shared" si="60"/>
        <v>13.5</v>
      </c>
      <c r="AK5" s="53">
        <v>4</v>
      </c>
      <c r="AL5" s="2">
        <f t="shared" ref="AL5:AL11" si="220">AK5+AL4</f>
        <v>13</v>
      </c>
      <c r="AM5" s="56">
        <v>2</v>
      </c>
      <c r="AN5" s="2">
        <f t="shared" si="61"/>
        <v>5</v>
      </c>
      <c r="AO5" s="2">
        <f t="shared" si="10"/>
        <v>1</v>
      </c>
      <c r="AP5" s="2">
        <f t="shared" si="62"/>
        <v>2</v>
      </c>
      <c r="AQ5" s="2">
        <f t="shared" si="11"/>
        <v>0</v>
      </c>
      <c r="AR5" s="2">
        <f t="shared" si="63"/>
        <v>1</v>
      </c>
      <c r="AS5" s="2"/>
      <c r="AT5" s="2">
        <f t="shared" si="12"/>
        <v>0</v>
      </c>
      <c r="AU5" s="2">
        <f t="shared" si="64"/>
        <v>0</v>
      </c>
      <c r="AV5" s="2">
        <f t="shared" si="65"/>
        <v>1</v>
      </c>
      <c r="AW5" s="2">
        <f t="shared" si="66"/>
        <v>3</v>
      </c>
      <c r="AX5" s="2">
        <f t="shared" si="67"/>
        <v>0</v>
      </c>
      <c r="AY5" s="2">
        <f t="shared" si="68"/>
        <v>0</v>
      </c>
      <c r="AZ5" s="2">
        <f t="shared" si="69"/>
        <v>0</v>
      </c>
      <c r="BA5" s="2">
        <f t="shared" si="70"/>
        <v>0</v>
      </c>
      <c r="BB5" s="2">
        <f t="shared" si="71"/>
        <v>0</v>
      </c>
      <c r="BC5" s="2">
        <f t="shared" si="72"/>
        <v>0</v>
      </c>
      <c r="BD5" s="2">
        <f t="shared" si="13"/>
        <v>0</v>
      </c>
      <c r="BE5" s="2">
        <f t="shared" si="73"/>
        <v>1</v>
      </c>
      <c r="BF5" s="2">
        <f t="shared" si="74"/>
        <v>1</v>
      </c>
      <c r="BG5" s="2">
        <f t="shared" si="75"/>
        <v>2</v>
      </c>
      <c r="BH5" s="2">
        <f t="shared" si="14"/>
        <v>0</v>
      </c>
      <c r="BI5" s="2">
        <f t="shared" si="76"/>
        <v>0</v>
      </c>
      <c r="BJ5" s="2"/>
      <c r="BK5" s="2">
        <f t="shared" ref="BK5" si="221">IF($E5=4,AK5-4,NA())</f>
        <v>0</v>
      </c>
      <c r="BL5" s="2"/>
      <c r="BM5" s="41">
        <f>AK5-'Zusammenfassung Tag1-4'!$C$2/18</f>
        <v>3.4444444444444446</v>
      </c>
      <c r="BN5" s="13">
        <f t="shared" si="78"/>
        <v>11.333333333333334</v>
      </c>
      <c r="BO5" s="53">
        <v>7</v>
      </c>
      <c r="BP5" s="2">
        <f t="shared" ref="BP5:BP11" si="222">BO5+BP4</f>
        <v>22</v>
      </c>
      <c r="BQ5" s="56">
        <v>3</v>
      </c>
      <c r="BR5" s="2">
        <f t="shared" si="79"/>
        <v>7</v>
      </c>
      <c r="BS5" s="2">
        <f t="shared" si="15"/>
        <v>0</v>
      </c>
      <c r="BT5" s="2">
        <f t="shared" si="80"/>
        <v>0</v>
      </c>
      <c r="BU5" s="2">
        <f t="shared" si="16"/>
        <v>0</v>
      </c>
      <c r="BV5" s="2">
        <f t="shared" si="81"/>
        <v>0</v>
      </c>
      <c r="BW5" s="2"/>
      <c r="BX5" s="2">
        <f t="shared" si="17"/>
        <v>0</v>
      </c>
      <c r="BY5" s="2">
        <f t="shared" si="82"/>
        <v>0</v>
      </c>
      <c r="BZ5" s="2">
        <f t="shared" si="83"/>
        <v>0</v>
      </c>
      <c r="CA5" s="2">
        <f t="shared" si="84"/>
        <v>0</v>
      </c>
      <c r="CB5" s="2">
        <f t="shared" si="85"/>
        <v>0</v>
      </c>
      <c r="CC5" s="2">
        <f t="shared" si="86"/>
        <v>0</v>
      </c>
      <c r="CD5" s="2">
        <f t="shared" si="87"/>
        <v>1</v>
      </c>
      <c r="CE5" s="2">
        <f t="shared" si="88"/>
        <v>3</v>
      </c>
      <c r="CF5" s="2">
        <f t="shared" si="89"/>
        <v>0</v>
      </c>
      <c r="CG5" s="2">
        <f t="shared" si="82"/>
        <v>0</v>
      </c>
      <c r="CH5" s="2">
        <f t="shared" si="18"/>
        <v>0</v>
      </c>
      <c r="CI5" s="2">
        <f t="shared" si="90"/>
        <v>0</v>
      </c>
      <c r="CJ5" s="2">
        <f t="shared" si="91"/>
        <v>0</v>
      </c>
      <c r="CK5" s="2">
        <f t="shared" si="92"/>
        <v>2</v>
      </c>
      <c r="CL5" s="2">
        <f t="shared" si="19"/>
        <v>1</v>
      </c>
      <c r="CM5" s="2">
        <f t="shared" si="93"/>
        <v>1</v>
      </c>
      <c r="CN5" s="2"/>
      <c r="CO5" s="2">
        <f t="shared" ref="CO5" si="223">IF($E5=4,BO5-4,NA())</f>
        <v>3</v>
      </c>
      <c r="CP5" s="2"/>
      <c r="CQ5" s="41">
        <f>BO5-'Zusammenfassung Tag1-4'!$D$2/18</f>
        <v>5.9444444444444446</v>
      </c>
      <c r="CR5" s="13">
        <f t="shared" si="95"/>
        <v>18.833333333333336</v>
      </c>
      <c r="CS5" s="53">
        <v>6</v>
      </c>
      <c r="CT5" s="2">
        <f t="shared" ref="CT5:CT11" si="224">CS5+CT4</f>
        <v>17</v>
      </c>
      <c r="CU5" s="56">
        <v>3</v>
      </c>
      <c r="CV5" s="2">
        <f t="shared" si="96"/>
        <v>7</v>
      </c>
      <c r="CW5" s="2">
        <f t="shared" si="20"/>
        <v>0</v>
      </c>
      <c r="CX5" s="2">
        <f t="shared" si="97"/>
        <v>1</v>
      </c>
      <c r="CY5" s="2">
        <f t="shared" si="21"/>
        <v>0</v>
      </c>
      <c r="CZ5" s="2">
        <f t="shared" si="98"/>
        <v>0</v>
      </c>
      <c r="DA5" s="2"/>
      <c r="DB5" s="2">
        <f t="shared" si="22"/>
        <v>0</v>
      </c>
      <c r="DC5" s="2">
        <f t="shared" si="99"/>
        <v>0</v>
      </c>
      <c r="DD5" s="2">
        <f t="shared" si="100"/>
        <v>0</v>
      </c>
      <c r="DE5" s="2">
        <f t="shared" si="101"/>
        <v>1</v>
      </c>
      <c r="DF5" s="2">
        <f t="shared" si="102"/>
        <v>0</v>
      </c>
      <c r="DG5" s="2">
        <f t="shared" si="103"/>
        <v>0</v>
      </c>
      <c r="DH5" s="2">
        <f t="shared" si="104"/>
        <v>1</v>
      </c>
      <c r="DI5" s="2">
        <f t="shared" si="105"/>
        <v>2</v>
      </c>
      <c r="DJ5" s="2">
        <f t="shared" si="106"/>
        <v>0</v>
      </c>
      <c r="DK5" s="2">
        <f t="shared" si="107"/>
        <v>0</v>
      </c>
      <c r="DL5" s="2">
        <f t="shared" si="23"/>
        <v>0</v>
      </c>
      <c r="DM5" s="2">
        <f t="shared" si="108"/>
        <v>0</v>
      </c>
      <c r="DN5" s="2">
        <f t="shared" si="109"/>
        <v>0</v>
      </c>
      <c r="DO5" s="2">
        <f t="shared" si="110"/>
        <v>2</v>
      </c>
      <c r="DP5" s="2">
        <f t="shared" si="24"/>
        <v>1</v>
      </c>
      <c r="DQ5" s="2">
        <f t="shared" si="111"/>
        <v>1</v>
      </c>
      <c r="DR5" s="2"/>
      <c r="DS5" s="2">
        <f t="shared" ref="DS5" si="225">IF($E5=4,CS5-4,NA())</f>
        <v>2</v>
      </c>
      <c r="DT5" s="2"/>
      <c r="DU5" s="41">
        <f>CS5-'Zusammenfassung Tag1-4'!$E$2/18</f>
        <v>5</v>
      </c>
      <c r="DV5" s="14">
        <f t="shared" si="113"/>
        <v>14</v>
      </c>
      <c r="DW5" s="53">
        <v>6</v>
      </c>
      <c r="DX5" s="2">
        <v>98</v>
      </c>
      <c r="DY5" s="56">
        <v>3</v>
      </c>
      <c r="DZ5" s="2">
        <f t="shared" si="114"/>
        <v>8</v>
      </c>
      <c r="EA5" s="2">
        <f t="shared" si="25"/>
        <v>0</v>
      </c>
      <c r="EB5" s="2">
        <f t="shared" si="115"/>
        <v>0</v>
      </c>
      <c r="EC5" s="2">
        <f t="shared" si="26"/>
        <v>0</v>
      </c>
      <c r="ED5" s="2">
        <f t="shared" si="116"/>
        <v>0</v>
      </c>
      <c r="EE5" s="2"/>
      <c r="EF5" s="2">
        <f t="shared" si="27"/>
        <v>0</v>
      </c>
      <c r="EG5" s="2">
        <f t="shared" si="117"/>
        <v>0</v>
      </c>
      <c r="EH5" s="2">
        <f t="shared" si="118"/>
        <v>0</v>
      </c>
      <c r="EI5" s="2">
        <f t="shared" si="119"/>
        <v>0</v>
      </c>
      <c r="EJ5" s="2">
        <f t="shared" si="120"/>
        <v>0</v>
      </c>
      <c r="EK5" s="2">
        <f t="shared" si="121"/>
        <v>0</v>
      </c>
      <c r="EL5" s="2">
        <f t="shared" si="122"/>
        <v>1</v>
      </c>
      <c r="EM5" s="2">
        <f t="shared" si="123"/>
        <v>3</v>
      </c>
      <c r="EN5" s="2">
        <f t="shared" si="124"/>
        <v>0</v>
      </c>
      <c r="EO5" s="2">
        <f t="shared" si="125"/>
        <v>0</v>
      </c>
      <c r="EP5" s="2">
        <f t="shared" si="28"/>
        <v>0</v>
      </c>
      <c r="EQ5" s="2">
        <f t="shared" si="126"/>
        <v>0</v>
      </c>
      <c r="ER5" s="2">
        <f t="shared" si="127"/>
        <v>0</v>
      </c>
      <c r="ES5" s="2">
        <f t="shared" si="128"/>
        <v>1</v>
      </c>
      <c r="ET5" s="2">
        <f t="shared" si="29"/>
        <v>1</v>
      </c>
      <c r="EU5" s="2">
        <f t="shared" si="129"/>
        <v>2</v>
      </c>
      <c r="EV5" s="2"/>
      <c r="EW5" s="2">
        <f t="shared" ref="EW5" si="226">IF($E5=4,DW5-4,NA())</f>
        <v>2</v>
      </c>
      <c r="EX5" s="2"/>
      <c r="EY5" s="41">
        <f>DW5-'Zusammenfassung Tag1-4'!$F$2/18</f>
        <v>3.5</v>
      </c>
      <c r="EZ5" s="14">
        <f t="shared" si="131"/>
        <v>15.5</v>
      </c>
      <c r="FA5" s="53">
        <v>6</v>
      </c>
      <c r="FB5" s="2">
        <v>17</v>
      </c>
      <c r="FC5" s="56">
        <v>2</v>
      </c>
      <c r="FD5" s="2">
        <f t="shared" si="132"/>
        <v>7</v>
      </c>
      <c r="FE5" s="2">
        <f t="shared" si="30"/>
        <v>0</v>
      </c>
      <c r="FF5" s="2">
        <f t="shared" si="133"/>
        <v>0</v>
      </c>
      <c r="FG5" s="2">
        <f t="shared" si="31"/>
        <v>0</v>
      </c>
      <c r="FH5" s="2">
        <f t="shared" si="134"/>
        <v>0</v>
      </c>
      <c r="FI5" s="2"/>
      <c r="FJ5" s="2">
        <f t="shared" si="32"/>
        <v>0</v>
      </c>
      <c r="FK5" s="2">
        <f t="shared" si="135"/>
        <v>0</v>
      </c>
      <c r="FL5" s="2">
        <f t="shared" si="136"/>
        <v>0</v>
      </c>
      <c r="FM5" s="2">
        <f t="shared" si="137"/>
        <v>0</v>
      </c>
      <c r="FN5" s="2">
        <f t="shared" si="138"/>
        <v>0</v>
      </c>
      <c r="FO5" s="2">
        <f t="shared" si="139"/>
        <v>0</v>
      </c>
      <c r="FP5" s="2">
        <f t="shared" si="140"/>
        <v>1</v>
      </c>
      <c r="FQ5" s="2">
        <f t="shared" si="141"/>
        <v>3</v>
      </c>
      <c r="FR5" s="2">
        <f t="shared" si="142"/>
        <v>0</v>
      </c>
      <c r="FS5" s="2">
        <f t="shared" si="143"/>
        <v>0</v>
      </c>
      <c r="FT5" s="2">
        <f t="shared" si="33"/>
        <v>0</v>
      </c>
      <c r="FU5" s="2">
        <f t="shared" si="144"/>
        <v>0</v>
      </c>
      <c r="FV5" s="2">
        <f t="shared" si="145"/>
        <v>1</v>
      </c>
      <c r="FW5" s="2">
        <f t="shared" si="146"/>
        <v>2</v>
      </c>
      <c r="FX5" s="2">
        <f t="shared" si="34"/>
        <v>0</v>
      </c>
      <c r="FY5" s="2">
        <f t="shared" si="147"/>
        <v>1</v>
      </c>
      <c r="FZ5" s="2"/>
      <c r="GA5" s="2">
        <f t="shared" ref="GA5" si="227">IF($E5=4,FA5-4,NA())</f>
        <v>2</v>
      </c>
      <c r="GB5" s="2"/>
      <c r="GC5" s="41">
        <f>FA5-'Zusammenfassung Tag1-4'!$G$2/18</f>
        <v>4.7222222222222223</v>
      </c>
      <c r="GD5" s="14">
        <f t="shared" si="149"/>
        <v>17.166666666666668</v>
      </c>
      <c r="GE5" s="53">
        <v>9</v>
      </c>
      <c r="GF5" s="2">
        <v>23</v>
      </c>
      <c r="GG5" s="56">
        <v>3</v>
      </c>
      <c r="GH5" s="2">
        <f t="shared" si="150"/>
        <v>7</v>
      </c>
      <c r="GI5" s="2">
        <f t="shared" si="35"/>
        <v>0</v>
      </c>
      <c r="GJ5" s="2">
        <f t="shared" si="151"/>
        <v>0</v>
      </c>
      <c r="GK5" s="2">
        <f t="shared" si="36"/>
        <v>0</v>
      </c>
      <c r="GL5" s="2">
        <f t="shared" si="152"/>
        <v>0</v>
      </c>
      <c r="GM5" s="2"/>
      <c r="GN5" s="2">
        <f t="shared" si="37"/>
        <v>0</v>
      </c>
      <c r="GO5" s="2">
        <f t="shared" si="153"/>
        <v>0</v>
      </c>
      <c r="GP5" s="2">
        <f t="shared" si="154"/>
        <v>0</v>
      </c>
      <c r="GQ5" s="2">
        <f t="shared" si="155"/>
        <v>0</v>
      </c>
      <c r="GR5" s="2">
        <f t="shared" si="156"/>
        <v>0</v>
      </c>
      <c r="GS5" s="2">
        <f t="shared" si="157"/>
        <v>1</v>
      </c>
      <c r="GT5" s="2">
        <f t="shared" si="158"/>
        <v>1</v>
      </c>
      <c r="GU5" s="2">
        <f t="shared" si="159"/>
        <v>2</v>
      </c>
      <c r="GV5" s="2">
        <f t="shared" si="160"/>
        <v>0</v>
      </c>
      <c r="GW5" s="2">
        <f t="shared" si="161"/>
        <v>0</v>
      </c>
      <c r="GX5" s="2">
        <f t="shared" si="38"/>
        <v>0</v>
      </c>
      <c r="GY5" s="2">
        <f t="shared" si="162"/>
        <v>0</v>
      </c>
      <c r="GZ5" s="2">
        <f t="shared" si="163"/>
        <v>0</v>
      </c>
      <c r="HA5" s="2">
        <f t="shared" si="164"/>
        <v>2</v>
      </c>
      <c r="HB5" s="2">
        <f t="shared" si="39"/>
        <v>1</v>
      </c>
      <c r="HC5" s="2">
        <f t="shared" si="165"/>
        <v>1</v>
      </c>
      <c r="HD5" s="2"/>
      <c r="HE5" s="2">
        <f t="shared" ref="HE5" si="228">IF($E5=4,GE5-4,NA())</f>
        <v>5</v>
      </c>
      <c r="HF5" s="2"/>
      <c r="HG5" s="41">
        <f>GE5-'Zusammenfassung Tag1-4'!$H$2/18</f>
        <v>7.2222222222222223</v>
      </c>
      <c r="HH5" s="14">
        <f t="shared" si="167"/>
        <v>18.666666666666664</v>
      </c>
      <c r="HI5" s="53">
        <v>6</v>
      </c>
      <c r="HJ5" s="2">
        <v>14</v>
      </c>
      <c r="HK5" s="56">
        <v>2</v>
      </c>
      <c r="HL5" s="2">
        <f t="shared" si="168"/>
        <v>6</v>
      </c>
      <c r="HM5" s="2">
        <f t="shared" ref="HM5:HM11" si="229">IF(HI5-HK5&lt;=$E5-2,1,0)</f>
        <v>0</v>
      </c>
      <c r="HN5" s="2">
        <f t="shared" si="169"/>
        <v>0</v>
      </c>
      <c r="HO5" s="2">
        <f t="shared" ref="HO5:HO11" si="230">IF(HM5=0,IF(HI5=$E5,1,0),0)</f>
        <v>0</v>
      </c>
      <c r="HP5" s="2">
        <f t="shared" si="170"/>
        <v>0</v>
      </c>
      <c r="HQ5" s="2"/>
      <c r="HR5" s="2">
        <f t="shared" ref="HR5:HR11" si="231">IF($E5-HI5=1,1,0)</f>
        <v>0</v>
      </c>
      <c r="HS5" s="2">
        <f t="shared" si="171"/>
        <v>0</v>
      </c>
      <c r="HT5" s="2">
        <f t="shared" ref="HT5:HT10" si="232">IF(HI5=$E5,1,0)</f>
        <v>0</v>
      </c>
      <c r="HU5" s="2">
        <f t="shared" si="172"/>
        <v>0</v>
      </c>
      <c r="HV5" s="2">
        <f t="shared" ref="HV5:HV11" si="233">IF(HI5-$E5=1,1,0)</f>
        <v>0</v>
      </c>
      <c r="HW5" s="2">
        <f t="shared" si="173"/>
        <v>0</v>
      </c>
      <c r="HX5" s="2">
        <f t="shared" ref="HX5:HX11" si="234">IF(HI5-$E5&gt;=2,1,0)</f>
        <v>1</v>
      </c>
      <c r="HY5" s="2">
        <f t="shared" si="174"/>
        <v>3</v>
      </c>
      <c r="HZ5" s="2">
        <f t="shared" si="175"/>
        <v>0</v>
      </c>
      <c r="IA5" s="2">
        <f t="shared" si="176"/>
        <v>0</v>
      </c>
      <c r="IB5" s="2">
        <f t="shared" si="40"/>
        <v>0</v>
      </c>
      <c r="IC5" s="2">
        <f t="shared" si="177"/>
        <v>0</v>
      </c>
      <c r="ID5" s="2">
        <f t="shared" si="178"/>
        <v>1</v>
      </c>
      <c r="IE5" s="2">
        <f t="shared" si="179"/>
        <v>3</v>
      </c>
      <c r="IF5" s="2">
        <f t="shared" si="41"/>
        <v>0</v>
      </c>
      <c r="IG5" s="2">
        <f t="shared" si="180"/>
        <v>0</v>
      </c>
      <c r="IH5" s="2"/>
      <c r="II5" s="2">
        <f t="shared" ref="II5" si="235">IF($E5=4,HI5-4,NA())</f>
        <v>2</v>
      </c>
      <c r="IJ5" s="2"/>
      <c r="IK5" s="41">
        <f>HI5-'Zusammenfassung Tag1-4'!$I$2/18</f>
        <v>5.1111111111111107</v>
      </c>
      <c r="IL5" s="14">
        <f t="shared" si="181"/>
        <v>17.333333333333332</v>
      </c>
      <c r="IM5" s="53">
        <v>7</v>
      </c>
      <c r="IN5" s="2">
        <v>155</v>
      </c>
      <c r="IO5" s="56">
        <v>5</v>
      </c>
      <c r="IP5" s="2">
        <f t="shared" si="182"/>
        <v>10</v>
      </c>
      <c r="IQ5" s="2">
        <f t="shared" si="42"/>
        <v>1</v>
      </c>
      <c r="IR5" s="2">
        <f t="shared" si="183"/>
        <v>2</v>
      </c>
      <c r="IS5" s="2">
        <f t="shared" si="43"/>
        <v>0</v>
      </c>
      <c r="IT5" s="2">
        <f t="shared" si="184"/>
        <v>0</v>
      </c>
      <c r="IU5" s="2"/>
      <c r="IV5" s="2">
        <f t="shared" si="44"/>
        <v>0</v>
      </c>
      <c r="IW5" s="2">
        <f t="shared" si="185"/>
        <v>0</v>
      </c>
      <c r="IX5" s="2">
        <f t="shared" si="186"/>
        <v>0</v>
      </c>
      <c r="IY5" s="2">
        <f t="shared" si="187"/>
        <v>1</v>
      </c>
      <c r="IZ5" s="2">
        <f t="shared" si="188"/>
        <v>0</v>
      </c>
      <c r="JA5" s="2">
        <f t="shared" si="189"/>
        <v>0</v>
      </c>
      <c r="JB5" s="2">
        <f t="shared" si="190"/>
        <v>1</v>
      </c>
      <c r="JC5" s="2">
        <f t="shared" si="191"/>
        <v>2</v>
      </c>
      <c r="JD5" s="2">
        <f t="shared" si="192"/>
        <v>0</v>
      </c>
      <c r="JE5" s="2">
        <f t="shared" si="193"/>
        <v>0</v>
      </c>
      <c r="JF5" s="2">
        <f t="shared" si="45"/>
        <v>0</v>
      </c>
      <c r="JG5" s="2">
        <f t="shared" si="194"/>
        <v>0</v>
      </c>
      <c r="JH5" s="2">
        <f t="shared" si="195"/>
        <v>0</v>
      </c>
      <c r="JI5" s="2">
        <f t="shared" si="196"/>
        <v>1</v>
      </c>
      <c r="JJ5" s="2">
        <f t="shared" si="46"/>
        <v>1</v>
      </c>
      <c r="JK5" s="2">
        <f t="shared" si="197"/>
        <v>2</v>
      </c>
      <c r="JL5" s="2"/>
      <c r="JM5" s="2">
        <f t="shared" ref="JM5" si="236">IF($E5=4,IM5-4,NA())</f>
        <v>3</v>
      </c>
      <c r="JN5" s="2"/>
      <c r="JO5" s="41">
        <f>IM5-'Zusammenfassung Tag1-4'!$J$2/18</f>
        <v>4.6666666666666661</v>
      </c>
      <c r="JP5" s="14">
        <f t="shared" si="199"/>
        <v>13.999999999999998</v>
      </c>
      <c r="JQ5" s="53"/>
      <c r="JR5" s="2"/>
      <c r="JS5" s="56"/>
      <c r="JT5" s="2">
        <f t="shared" si="200"/>
        <v>0</v>
      </c>
      <c r="JU5" s="2">
        <f t="shared" si="47"/>
        <v>1</v>
      </c>
      <c r="JV5" s="2">
        <f t="shared" si="201"/>
        <v>3</v>
      </c>
      <c r="JW5" s="2">
        <f t="shared" si="48"/>
        <v>0</v>
      </c>
      <c r="JX5" s="2">
        <f t="shared" si="202"/>
        <v>0</v>
      </c>
      <c r="JY5" s="2"/>
      <c r="JZ5" s="2">
        <f t="shared" si="49"/>
        <v>0</v>
      </c>
      <c r="KA5" s="2">
        <f t="shared" si="203"/>
        <v>0</v>
      </c>
      <c r="KB5" s="2">
        <f t="shared" si="204"/>
        <v>0</v>
      </c>
      <c r="KC5" s="2">
        <f t="shared" si="205"/>
        <v>0</v>
      </c>
      <c r="KD5" s="2">
        <f t="shared" si="206"/>
        <v>0</v>
      </c>
      <c r="KE5" s="2">
        <f t="shared" si="207"/>
        <v>0</v>
      </c>
      <c r="KF5" s="2">
        <f t="shared" si="208"/>
        <v>0</v>
      </c>
      <c r="KG5" s="2">
        <f t="shared" si="209"/>
        <v>0</v>
      </c>
      <c r="KH5" s="2">
        <f t="shared" si="210"/>
        <v>1</v>
      </c>
      <c r="KI5" s="2">
        <f t="shared" si="211"/>
        <v>3</v>
      </c>
      <c r="KJ5" s="2">
        <f t="shared" si="50"/>
        <v>0</v>
      </c>
      <c r="KK5" s="2">
        <f t="shared" si="212"/>
        <v>0</v>
      </c>
      <c r="KL5" s="2">
        <f t="shared" si="213"/>
        <v>0</v>
      </c>
      <c r="KM5" s="2">
        <f t="shared" si="214"/>
        <v>0</v>
      </c>
      <c r="KN5" s="2">
        <f t="shared" si="51"/>
        <v>0</v>
      </c>
      <c r="KO5" s="2">
        <f t="shared" si="215"/>
        <v>0</v>
      </c>
      <c r="KP5" s="2"/>
      <c r="KQ5" s="2">
        <f t="shared" ref="KQ5" si="237">IF($E5=4,JQ5-4,NA())</f>
        <v>-4</v>
      </c>
      <c r="KR5" s="2"/>
      <c r="KS5" s="41" t="e">
        <f>JQ5-'Zusammenfassung Tag1-4'!#REF!/18</f>
        <v>#REF!</v>
      </c>
      <c r="KT5" s="14" t="e">
        <f t="shared" si="217"/>
        <v>#REF!</v>
      </c>
    </row>
    <row r="6" spans="1:306" ht="13.2" x14ac:dyDescent="0.25">
      <c r="A6" s="179"/>
      <c r="B6" s="176"/>
      <c r="C6" s="44">
        <v>4</v>
      </c>
      <c r="D6" s="2">
        <f t="shared" si="218"/>
        <v>4</v>
      </c>
      <c r="E6" s="44">
        <v>3</v>
      </c>
      <c r="F6" s="4">
        <f t="shared" si="52"/>
        <v>16</v>
      </c>
      <c r="G6" s="56">
        <v>4</v>
      </c>
      <c r="H6" s="2">
        <f t="shared" si="219"/>
        <v>20</v>
      </c>
      <c r="I6" s="56">
        <v>2</v>
      </c>
      <c r="J6" s="2">
        <f t="shared" si="53"/>
        <v>8</v>
      </c>
      <c r="K6" s="2">
        <f t="shared" si="0"/>
        <v>0</v>
      </c>
      <c r="L6" s="2">
        <f t="shared" si="54"/>
        <v>0</v>
      </c>
      <c r="M6" s="2">
        <f t="shared" si="1"/>
        <v>0</v>
      </c>
      <c r="N6" s="2">
        <f t="shared" si="55"/>
        <v>0</v>
      </c>
      <c r="O6" s="2"/>
      <c r="P6" s="2">
        <f t="shared" si="2"/>
        <v>0</v>
      </c>
      <c r="Q6" s="2">
        <f t="shared" si="56"/>
        <v>0</v>
      </c>
      <c r="R6" s="2">
        <f t="shared" si="3"/>
        <v>0</v>
      </c>
      <c r="S6" s="2">
        <f t="shared" si="56"/>
        <v>0</v>
      </c>
      <c r="T6" s="2">
        <f t="shared" si="4"/>
        <v>1</v>
      </c>
      <c r="U6" s="2">
        <f t="shared" si="56"/>
        <v>4</v>
      </c>
      <c r="V6" s="2">
        <f t="shared" si="5"/>
        <v>0</v>
      </c>
      <c r="W6" s="2">
        <f t="shared" si="56"/>
        <v>0</v>
      </c>
      <c r="X6" s="2">
        <f t="shared" si="6"/>
        <v>0</v>
      </c>
      <c r="Y6" s="2">
        <f t="shared" si="57"/>
        <v>0</v>
      </c>
      <c r="Z6" s="2">
        <f t="shared" si="7"/>
        <v>0</v>
      </c>
      <c r="AA6" s="2">
        <f t="shared" si="58"/>
        <v>0</v>
      </c>
      <c r="AB6" s="2">
        <f t="shared" si="8"/>
        <v>1</v>
      </c>
      <c r="AC6" s="2">
        <f t="shared" si="58"/>
        <v>4</v>
      </c>
      <c r="AD6" s="2">
        <f t="shared" si="9"/>
        <v>0</v>
      </c>
      <c r="AE6" s="2">
        <f t="shared" si="59"/>
        <v>0</v>
      </c>
      <c r="AF6" s="2">
        <f>IF($E6=3,G6-3,NA())</f>
        <v>1</v>
      </c>
      <c r="AG6" s="2"/>
      <c r="AH6" s="2"/>
      <c r="AI6" s="41">
        <f>G6-'Zusammenfassung Tag1-4'!$B$2/18</f>
        <v>3.1666666666666665</v>
      </c>
      <c r="AJ6" s="13">
        <f t="shared" si="60"/>
        <v>16.666666666666668</v>
      </c>
      <c r="AK6" s="53">
        <v>4</v>
      </c>
      <c r="AL6" s="2">
        <f t="shared" si="220"/>
        <v>17</v>
      </c>
      <c r="AM6" s="56">
        <v>3</v>
      </c>
      <c r="AN6" s="2">
        <f t="shared" si="61"/>
        <v>8</v>
      </c>
      <c r="AO6" s="2">
        <f t="shared" si="10"/>
        <v>1</v>
      </c>
      <c r="AP6" s="2">
        <f t="shared" si="62"/>
        <v>3</v>
      </c>
      <c r="AQ6" s="2">
        <f t="shared" si="11"/>
        <v>0</v>
      </c>
      <c r="AR6" s="2">
        <f t="shared" si="63"/>
        <v>1</v>
      </c>
      <c r="AS6" s="2"/>
      <c r="AT6" s="2">
        <f t="shared" si="12"/>
        <v>0</v>
      </c>
      <c r="AU6" s="2">
        <f t="shared" si="64"/>
        <v>0</v>
      </c>
      <c r="AV6" s="2">
        <f t="shared" si="65"/>
        <v>0</v>
      </c>
      <c r="AW6" s="2">
        <f t="shared" si="66"/>
        <v>3</v>
      </c>
      <c r="AX6" s="2">
        <f t="shared" si="67"/>
        <v>1</v>
      </c>
      <c r="AY6" s="2">
        <f t="shared" si="68"/>
        <v>1</v>
      </c>
      <c r="AZ6" s="2">
        <f t="shared" si="69"/>
        <v>0</v>
      </c>
      <c r="BA6" s="2">
        <f t="shared" si="70"/>
        <v>0</v>
      </c>
      <c r="BB6" s="2">
        <f t="shared" si="71"/>
        <v>0</v>
      </c>
      <c r="BC6" s="2">
        <f t="shared" si="72"/>
        <v>0</v>
      </c>
      <c r="BD6" s="2">
        <f t="shared" si="13"/>
        <v>0</v>
      </c>
      <c r="BE6" s="2">
        <f t="shared" si="73"/>
        <v>1</v>
      </c>
      <c r="BF6" s="2">
        <f t="shared" si="74"/>
        <v>0</v>
      </c>
      <c r="BG6" s="2">
        <f t="shared" si="75"/>
        <v>2</v>
      </c>
      <c r="BH6" s="2">
        <f t="shared" si="14"/>
        <v>1</v>
      </c>
      <c r="BI6" s="2">
        <f t="shared" si="76"/>
        <v>1</v>
      </c>
      <c r="BJ6" s="2">
        <f>IF($E6=3,AK6-3,NA())</f>
        <v>1</v>
      </c>
      <c r="BK6" s="2"/>
      <c r="BL6" s="2"/>
      <c r="BM6" s="41">
        <f>AK6-'Zusammenfassung Tag1-4'!$C$2/18</f>
        <v>3.4444444444444446</v>
      </c>
      <c r="BN6" s="13">
        <f t="shared" si="78"/>
        <v>14.777777777777779</v>
      </c>
      <c r="BO6" s="53">
        <v>4</v>
      </c>
      <c r="BP6" s="2">
        <f t="shared" si="222"/>
        <v>26</v>
      </c>
      <c r="BQ6" s="56">
        <v>3</v>
      </c>
      <c r="BR6" s="2">
        <f t="shared" si="79"/>
        <v>10</v>
      </c>
      <c r="BS6" s="2">
        <f t="shared" si="15"/>
        <v>1</v>
      </c>
      <c r="BT6" s="2">
        <f t="shared" si="80"/>
        <v>1</v>
      </c>
      <c r="BU6" s="2">
        <f t="shared" si="16"/>
        <v>0</v>
      </c>
      <c r="BV6" s="2">
        <f t="shared" si="81"/>
        <v>0</v>
      </c>
      <c r="BW6" s="2"/>
      <c r="BX6" s="2">
        <f t="shared" si="17"/>
        <v>0</v>
      </c>
      <c r="BY6" s="2">
        <f t="shared" si="82"/>
        <v>0</v>
      </c>
      <c r="BZ6" s="2">
        <f t="shared" si="83"/>
        <v>0</v>
      </c>
      <c r="CA6" s="2">
        <f t="shared" si="84"/>
        <v>0</v>
      </c>
      <c r="CB6" s="2">
        <f t="shared" si="85"/>
        <v>1</v>
      </c>
      <c r="CC6" s="2">
        <f t="shared" si="86"/>
        <v>1</v>
      </c>
      <c r="CD6" s="2">
        <f t="shared" si="87"/>
        <v>0</v>
      </c>
      <c r="CE6" s="2">
        <f t="shared" si="88"/>
        <v>3</v>
      </c>
      <c r="CF6" s="2">
        <f t="shared" si="89"/>
        <v>0</v>
      </c>
      <c r="CG6" s="2">
        <f t="shared" si="82"/>
        <v>0</v>
      </c>
      <c r="CH6" s="2">
        <f t="shared" si="18"/>
        <v>0</v>
      </c>
      <c r="CI6" s="2">
        <f t="shared" si="90"/>
        <v>0</v>
      </c>
      <c r="CJ6" s="2">
        <f t="shared" si="91"/>
        <v>0</v>
      </c>
      <c r="CK6" s="2">
        <f t="shared" si="92"/>
        <v>2</v>
      </c>
      <c r="CL6" s="2">
        <f t="shared" si="19"/>
        <v>1</v>
      </c>
      <c r="CM6" s="2">
        <f t="shared" si="93"/>
        <v>2</v>
      </c>
      <c r="CN6" s="2">
        <f>IF($E6=3,BO6-3,NA())</f>
        <v>1</v>
      </c>
      <c r="CO6" s="2"/>
      <c r="CP6" s="2"/>
      <c r="CQ6" s="41">
        <f>BO6-'Zusammenfassung Tag1-4'!$D$2/18</f>
        <v>2.9444444444444446</v>
      </c>
      <c r="CR6" s="13">
        <f t="shared" si="95"/>
        <v>21.777777777777779</v>
      </c>
      <c r="CS6" s="53">
        <v>4</v>
      </c>
      <c r="CT6" s="2">
        <f t="shared" si="224"/>
        <v>21</v>
      </c>
      <c r="CU6" s="56">
        <v>3</v>
      </c>
      <c r="CV6" s="2">
        <f t="shared" si="96"/>
        <v>10</v>
      </c>
      <c r="CW6" s="2">
        <f t="shared" si="20"/>
        <v>1</v>
      </c>
      <c r="CX6" s="2">
        <f t="shared" si="97"/>
        <v>2</v>
      </c>
      <c r="CY6" s="2">
        <f t="shared" si="21"/>
        <v>0</v>
      </c>
      <c r="CZ6" s="2">
        <f t="shared" si="98"/>
        <v>0</v>
      </c>
      <c r="DA6" s="2"/>
      <c r="DB6" s="2">
        <f t="shared" si="22"/>
        <v>0</v>
      </c>
      <c r="DC6" s="2">
        <f t="shared" si="99"/>
        <v>0</v>
      </c>
      <c r="DD6" s="2">
        <f t="shared" si="100"/>
        <v>0</v>
      </c>
      <c r="DE6" s="2">
        <f t="shared" si="101"/>
        <v>1</v>
      </c>
      <c r="DF6" s="2">
        <f t="shared" si="102"/>
        <v>1</v>
      </c>
      <c r="DG6" s="2">
        <f t="shared" si="103"/>
        <v>1</v>
      </c>
      <c r="DH6" s="2">
        <f t="shared" si="104"/>
        <v>0</v>
      </c>
      <c r="DI6" s="2">
        <f t="shared" si="105"/>
        <v>2</v>
      </c>
      <c r="DJ6" s="2">
        <f t="shared" si="106"/>
        <v>0</v>
      </c>
      <c r="DK6" s="2">
        <f t="shared" si="107"/>
        <v>0</v>
      </c>
      <c r="DL6" s="2">
        <f t="shared" si="23"/>
        <v>0</v>
      </c>
      <c r="DM6" s="2">
        <f t="shared" si="108"/>
        <v>0</v>
      </c>
      <c r="DN6" s="2">
        <f t="shared" si="109"/>
        <v>0</v>
      </c>
      <c r="DO6" s="2">
        <f t="shared" si="110"/>
        <v>2</v>
      </c>
      <c r="DP6" s="2">
        <f t="shared" si="24"/>
        <v>1</v>
      </c>
      <c r="DQ6" s="2">
        <f t="shared" si="111"/>
        <v>2</v>
      </c>
      <c r="DR6" s="2">
        <f>IF($E6=3,CS6-3,NA())</f>
        <v>1</v>
      </c>
      <c r="DS6" s="2"/>
      <c r="DT6" s="2"/>
      <c r="DU6" s="41">
        <f>CS6-'Zusammenfassung Tag1-4'!$E$2/18</f>
        <v>3</v>
      </c>
      <c r="DV6" s="14">
        <f t="shared" si="113"/>
        <v>17</v>
      </c>
      <c r="DW6" s="53">
        <v>6</v>
      </c>
      <c r="DX6" s="2">
        <v>103</v>
      </c>
      <c r="DY6" s="56">
        <v>2</v>
      </c>
      <c r="DZ6" s="2">
        <f t="shared" si="114"/>
        <v>10</v>
      </c>
      <c r="EA6" s="2">
        <f t="shared" si="25"/>
        <v>0</v>
      </c>
      <c r="EB6" s="2">
        <f t="shared" si="115"/>
        <v>0</v>
      </c>
      <c r="EC6" s="2">
        <f t="shared" si="26"/>
        <v>0</v>
      </c>
      <c r="ED6" s="2">
        <f t="shared" si="116"/>
        <v>0</v>
      </c>
      <c r="EE6" s="2"/>
      <c r="EF6" s="2">
        <f t="shared" si="27"/>
        <v>0</v>
      </c>
      <c r="EG6" s="2">
        <f t="shared" si="117"/>
        <v>0</v>
      </c>
      <c r="EH6" s="2">
        <f t="shared" si="118"/>
        <v>0</v>
      </c>
      <c r="EI6" s="2">
        <f t="shared" si="119"/>
        <v>0</v>
      </c>
      <c r="EJ6" s="2">
        <f t="shared" si="120"/>
        <v>0</v>
      </c>
      <c r="EK6" s="2">
        <f t="shared" si="121"/>
        <v>0</v>
      </c>
      <c r="EL6" s="2">
        <f t="shared" si="122"/>
        <v>1</v>
      </c>
      <c r="EM6" s="2">
        <f t="shared" si="123"/>
        <v>4</v>
      </c>
      <c r="EN6" s="2">
        <f t="shared" si="124"/>
        <v>0</v>
      </c>
      <c r="EO6" s="2">
        <f t="shared" si="125"/>
        <v>0</v>
      </c>
      <c r="EP6" s="2">
        <f t="shared" si="28"/>
        <v>0</v>
      </c>
      <c r="EQ6" s="2">
        <f t="shared" si="126"/>
        <v>0</v>
      </c>
      <c r="ER6" s="2">
        <f t="shared" si="127"/>
        <v>1</v>
      </c>
      <c r="ES6" s="2">
        <f t="shared" si="128"/>
        <v>2</v>
      </c>
      <c r="ET6" s="2">
        <f t="shared" si="29"/>
        <v>0</v>
      </c>
      <c r="EU6" s="2">
        <f t="shared" si="129"/>
        <v>2</v>
      </c>
      <c r="EV6" s="2">
        <f>IF($E6=3,DW6-3,NA())</f>
        <v>3</v>
      </c>
      <c r="EW6" s="2"/>
      <c r="EX6" s="2"/>
      <c r="EY6" s="41">
        <f>DW6-'Zusammenfassung Tag1-4'!$F$2/18</f>
        <v>3.5</v>
      </c>
      <c r="EZ6" s="14">
        <f t="shared" si="131"/>
        <v>19</v>
      </c>
      <c r="FA6" s="53">
        <v>4</v>
      </c>
      <c r="FB6" s="2">
        <v>22</v>
      </c>
      <c r="FC6" s="56">
        <v>2</v>
      </c>
      <c r="FD6" s="2">
        <f t="shared" si="132"/>
        <v>9</v>
      </c>
      <c r="FE6" s="2">
        <f t="shared" si="30"/>
        <v>0</v>
      </c>
      <c r="FF6" s="2">
        <f t="shared" si="133"/>
        <v>0</v>
      </c>
      <c r="FG6" s="2">
        <f t="shared" si="31"/>
        <v>0</v>
      </c>
      <c r="FH6" s="2">
        <f t="shared" si="134"/>
        <v>0</v>
      </c>
      <c r="FI6" s="2"/>
      <c r="FJ6" s="2">
        <f t="shared" si="32"/>
        <v>0</v>
      </c>
      <c r="FK6" s="2">
        <f t="shared" si="135"/>
        <v>0</v>
      </c>
      <c r="FL6" s="2">
        <f t="shared" si="136"/>
        <v>0</v>
      </c>
      <c r="FM6" s="2">
        <f t="shared" si="137"/>
        <v>0</v>
      </c>
      <c r="FN6" s="2">
        <f t="shared" si="138"/>
        <v>1</v>
      </c>
      <c r="FO6" s="2">
        <f t="shared" si="139"/>
        <v>1</v>
      </c>
      <c r="FP6" s="2">
        <f t="shared" si="140"/>
        <v>0</v>
      </c>
      <c r="FQ6" s="2">
        <f t="shared" si="141"/>
        <v>3</v>
      </c>
      <c r="FR6" s="2">
        <f t="shared" si="142"/>
        <v>0</v>
      </c>
      <c r="FS6" s="2">
        <f t="shared" si="143"/>
        <v>0</v>
      </c>
      <c r="FT6" s="2">
        <f t="shared" si="33"/>
        <v>0</v>
      </c>
      <c r="FU6" s="2">
        <f t="shared" si="144"/>
        <v>0</v>
      </c>
      <c r="FV6" s="2">
        <f t="shared" si="145"/>
        <v>1</v>
      </c>
      <c r="FW6" s="2">
        <f t="shared" si="146"/>
        <v>3</v>
      </c>
      <c r="FX6" s="2">
        <f t="shared" si="34"/>
        <v>0</v>
      </c>
      <c r="FY6" s="2">
        <f t="shared" si="147"/>
        <v>1</v>
      </c>
      <c r="FZ6" s="2">
        <f>IF($E6=3,FA6-3,NA())</f>
        <v>1</v>
      </c>
      <c r="GA6" s="2"/>
      <c r="GB6" s="2"/>
      <c r="GC6" s="41">
        <f>FA6-'Zusammenfassung Tag1-4'!$G$2/18</f>
        <v>2.7222222222222223</v>
      </c>
      <c r="GD6" s="14">
        <f t="shared" si="149"/>
        <v>19.888888888888889</v>
      </c>
      <c r="GE6" s="53">
        <v>6</v>
      </c>
      <c r="GF6" s="2">
        <v>30</v>
      </c>
      <c r="GG6" s="56">
        <v>2</v>
      </c>
      <c r="GH6" s="2">
        <f t="shared" si="150"/>
        <v>9</v>
      </c>
      <c r="GI6" s="2">
        <f t="shared" si="35"/>
        <v>0</v>
      </c>
      <c r="GJ6" s="2">
        <f t="shared" si="151"/>
        <v>0</v>
      </c>
      <c r="GK6" s="2">
        <f t="shared" si="36"/>
        <v>0</v>
      </c>
      <c r="GL6" s="2">
        <f t="shared" si="152"/>
        <v>0</v>
      </c>
      <c r="GM6" s="2"/>
      <c r="GN6" s="2">
        <f t="shared" si="37"/>
        <v>0</v>
      </c>
      <c r="GO6" s="2">
        <f t="shared" si="153"/>
        <v>0</v>
      </c>
      <c r="GP6" s="2">
        <f t="shared" si="154"/>
        <v>0</v>
      </c>
      <c r="GQ6" s="2">
        <f t="shared" si="155"/>
        <v>0</v>
      </c>
      <c r="GR6" s="2">
        <f t="shared" si="156"/>
        <v>0</v>
      </c>
      <c r="GS6" s="2">
        <f t="shared" si="157"/>
        <v>1</v>
      </c>
      <c r="GT6" s="2">
        <f t="shared" si="158"/>
        <v>1</v>
      </c>
      <c r="GU6" s="2">
        <f t="shared" si="159"/>
        <v>3</v>
      </c>
      <c r="GV6" s="2">
        <f t="shared" si="160"/>
        <v>0</v>
      </c>
      <c r="GW6" s="2">
        <f t="shared" si="161"/>
        <v>0</v>
      </c>
      <c r="GX6" s="2">
        <f t="shared" si="38"/>
        <v>0</v>
      </c>
      <c r="GY6" s="2">
        <f t="shared" si="162"/>
        <v>0</v>
      </c>
      <c r="GZ6" s="2">
        <f t="shared" si="163"/>
        <v>1</v>
      </c>
      <c r="HA6" s="2">
        <f t="shared" si="164"/>
        <v>3</v>
      </c>
      <c r="HB6" s="2">
        <f t="shared" si="39"/>
        <v>0</v>
      </c>
      <c r="HC6" s="2">
        <f t="shared" si="165"/>
        <v>1</v>
      </c>
      <c r="HD6" s="2">
        <f>IF($E6=3,GE6-3,NA())</f>
        <v>3</v>
      </c>
      <c r="HE6" s="2"/>
      <c r="HF6" s="2"/>
      <c r="HG6" s="41">
        <f>GE6-'Zusammenfassung Tag1-4'!$H$2/18</f>
        <v>4.2222222222222223</v>
      </c>
      <c r="HH6" s="14">
        <f t="shared" si="167"/>
        <v>22.888888888888886</v>
      </c>
      <c r="HI6" s="53">
        <v>6</v>
      </c>
      <c r="HJ6" s="2">
        <v>18</v>
      </c>
      <c r="HK6" s="56">
        <v>2</v>
      </c>
      <c r="HL6" s="2">
        <f t="shared" si="168"/>
        <v>8</v>
      </c>
      <c r="HM6" s="2">
        <f t="shared" si="229"/>
        <v>0</v>
      </c>
      <c r="HN6" s="2">
        <f t="shared" si="169"/>
        <v>0</v>
      </c>
      <c r="HO6" s="2">
        <f t="shared" si="230"/>
        <v>0</v>
      </c>
      <c r="HP6" s="2">
        <f t="shared" si="170"/>
        <v>0</v>
      </c>
      <c r="HQ6" s="2"/>
      <c r="HR6" s="2">
        <f t="shared" si="231"/>
        <v>0</v>
      </c>
      <c r="HS6" s="2">
        <f t="shared" si="171"/>
        <v>0</v>
      </c>
      <c r="HT6" s="2">
        <f t="shared" si="232"/>
        <v>0</v>
      </c>
      <c r="HU6" s="2">
        <f t="shared" si="172"/>
        <v>0</v>
      </c>
      <c r="HV6" s="2">
        <f t="shared" si="233"/>
        <v>0</v>
      </c>
      <c r="HW6" s="2">
        <f t="shared" si="173"/>
        <v>0</v>
      </c>
      <c r="HX6" s="2">
        <f t="shared" si="234"/>
        <v>1</v>
      </c>
      <c r="HY6" s="2">
        <f t="shared" si="174"/>
        <v>4</v>
      </c>
      <c r="HZ6" s="2">
        <f t="shared" si="175"/>
        <v>0</v>
      </c>
      <c r="IA6" s="2">
        <f t="shared" si="176"/>
        <v>0</v>
      </c>
      <c r="IB6" s="2">
        <f t="shared" si="40"/>
        <v>0</v>
      </c>
      <c r="IC6" s="2">
        <f t="shared" si="177"/>
        <v>0</v>
      </c>
      <c r="ID6" s="2">
        <f t="shared" si="178"/>
        <v>1</v>
      </c>
      <c r="IE6" s="2">
        <f t="shared" si="179"/>
        <v>4</v>
      </c>
      <c r="IF6" s="2">
        <f t="shared" si="41"/>
        <v>0</v>
      </c>
      <c r="IG6" s="2">
        <f t="shared" si="180"/>
        <v>0</v>
      </c>
      <c r="IH6" s="2">
        <f>IF($E6=3,HI6-3,NA())</f>
        <v>3</v>
      </c>
      <c r="II6" s="2"/>
      <c r="IJ6" s="2"/>
      <c r="IK6" s="41">
        <f>HI6-'Zusammenfassung Tag1-4'!$I$2/18</f>
        <v>5.1111111111111107</v>
      </c>
      <c r="IL6" s="14">
        <f t="shared" si="181"/>
        <v>22.444444444444443</v>
      </c>
      <c r="IM6" s="53">
        <v>5</v>
      </c>
      <c r="IN6" s="2">
        <v>165</v>
      </c>
      <c r="IO6" s="56">
        <v>2</v>
      </c>
      <c r="IP6" s="2">
        <f t="shared" si="182"/>
        <v>12</v>
      </c>
      <c r="IQ6" s="2">
        <f t="shared" si="42"/>
        <v>0</v>
      </c>
      <c r="IR6" s="2">
        <f t="shared" si="183"/>
        <v>2</v>
      </c>
      <c r="IS6" s="2">
        <f t="shared" si="43"/>
        <v>0</v>
      </c>
      <c r="IT6" s="2">
        <f t="shared" si="184"/>
        <v>0</v>
      </c>
      <c r="IU6" s="2"/>
      <c r="IV6" s="2">
        <f t="shared" si="44"/>
        <v>0</v>
      </c>
      <c r="IW6" s="2">
        <f t="shared" si="185"/>
        <v>0</v>
      </c>
      <c r="IX6" s="2">
        <f t="shared" si="186"/>
        <v>0</v>
      </c>
      <c r="IY6" s="2">
        <f t="shared" si="187"/>
        <v>1</v>
      </c>
      <c r="IZ6" s="2">
        <f t="shared" si="188"/>
        <v>0</v>
      </c>
      <c r="JA6" s="2">
        <f t="shared" si="189"/>
        <v>0</v>
      </c>
      <c r="JB6" s="2">
        <f t="shared" si="190"/>
        <v>1</v>
      </c>
      <c r="JC6" s="2">
        <f t="shared" si="191"/>
        <v>3</v>
      </c>
      <c r="JD6" s="2">
        <f t="shared" si="192"/>
        <v>0</v>
      </c>
      <c r="JE6" s="2">
        <f t="shared" si="193"/>
        <v>0</v>
      </c>
      <c r="JF6" s="2">
        <f t="shared" si="45"/>
        <v>0</v>
      </c>
      <c r="JG6" s="2">
        <f t="shared" si="194"/>
        <v>0</v>
      </c>
      <c r="JH6" s="2">
        <f t="shared" si="195"/>
        <v>1</v>
      </c>
      <c r="JI6" s="2">
        <f t="shared" si="196"/>
        <v>2</v>
      </c>
      <c r="JJ6" s="2">
        <f t="shared" si="46"/>
        <v>0</v>
      </c>
      <c r="JK6" s="2">
        <f t="shared" si="197"/>
        <v>2</v>
      </c>
      <c r="JL6" s="2">
        <f>IF($E6=3,IM6-3,NA())</f>
        <v>2</v>
      </c>
      <c r="JM6" s="2"/>
      <c r="JN6" s="2"/>
      <c r="JO6" s="41">
        <f>IM6-'Zusammenfassung Tag1-4'!$J$2/18</f>
        <v>2.6666666666666665</v>
      </c>
      <c r="JP6" s="14">
        <f t="shared" si="199"/>
        <v>16.666666666666664</v>
      </c>
      <c r="JQ6" s="53"/>
      <c r="JR6" s="2"/>
      <c r="JS6" s="56"/>
      <c r="JT6" s="2">
        <f t="shared" si="200"/>
        <v>0</v>
      </c>
      <c r="JU6" s="2">
        <f t="shared" si="47"/>
        <v>1</v>
      </c>
      <c r="JV6" s="2">
        <f t="shared" si="201"/>
        <v>4</v>
      </c>
      <c r="JW6" s="2">
        <f t="shared" si="48"/>
        <v>0</v>
      </c>
      <c r="JX6" s="2">
        <f t="shared" si="202"/>
        <v>0</v>
      </c>
      <c r="JY6" s="2"/>
      <c r="JZ6" s="2">
        <f t="shared" si="49"/>
        <v>0</v>
      </c>
      <c r="KA6" s="2">
        <f t="shared" si="203"/>
        <v>0</v>
      </c>
      <c r="KB6" s="2">
        <f t="shared" si="204"/>
        <v>0</v>
      </c>
      <c r="KC6" s="2">
        <f t="shared" si="205"/>
        <v>0</v>
      </c>
      <c r="KD6" s="2">
        <f t="shared" si="206"/>
        <v>0</v>
      </c>
      <c r="KE6" s="2">
        <f t="shared" si="207"/>
        <v>0</v>
      </c>
      <c r="KF6" s="2">
        <f t="shared" si="208"/>
        <v>0</v>
      </c>
      <c r="KG6" s="2">
        <f t="shared" si="209"/>
        <v>0</v>
      </c>
      <c r="KH6" s="2">
        <f t="shared" si="210"/>
        <v>1</v>
      </c>
      <c r="KI6" s="2">
        <f t="shared" si="211"/>
        <v>4</v>
      </c>
      <c r="KJ6" s="2">
        <f t="shared" si="50"/>
        <v>0</v>
      </c>
      <c r="KK6" s="2">
        <f t="shared" si="212"/>
        <v>0</v>
      </c>
      <c r="KL6" s="2">
        <f t="shared" si="213"/>
        <v>0</v>
      </c>
      <c r="KM6" s="2">
        <f t="shared" si="214"/>
        <v>0</v>
      </c>
      <c r="KN6" s="2">
        <f t="shared" si="51"/>
        <v>0</v>
      </c>
      <c r="KO6" s="2">
        <f t="shared" si="215"/>
        <v>0</v>
      </c>
      <c r="KP6" s="2">
        <f>IF($E6=3,JQ6-3,NA())</f>
        <v>-3</v>
      </c>
      <c r="KQ6" s="2"/>
      <c r="KR6" s="2"/>
      <c r="KS6" s="41" t="e">
        <f>JQ6-'Zusammenfassung Tag1-4'!#REF!/18</f>
        <v>#REF!</v>
      </c>
      <c r="KT6" s="14" t="e">
        <f t="shared" si="217"/>
        <v>#REF!</v>
      </c>
    </row>
    <row r="7" spans="1:306" ht="13.2" x14ac:dyDescent="0.25">
      <c r="A7" s="179"/>
      <c r="B7" s="176"/>
      <c r="C7" s="44">
        <v>5</v>
      </c>
      <c r="D7" s="2">
        <f t="shared" si="218"/>
        <v>5</v>
      </c>
      <c r="E7" s="44">
        <v>4</v>
      </c>
      <c r="F7" s="4">
        <f t="shared" si="52"/>
        <v>20</v>
      </c>
      <c r="G7" s="56">
        <v>4</v>
      </c>
      <c r="H7" s="2">
        <f t="shared" si="219"/>
        <v>24</v>
      </c>
      <c r="I7" s="56">
        <v>2</v>
      </c>
      <c r="J7" s="2">
        <f t="shared" si="53"/>
        <v>10</v>
      </c>
      <c r="K7" s="2">
        <f t="shared" si="0"/>
        <v>1</v>
      </c>
      <c r="L7" s="2">
        <f t="shared" si="54"/>
        <v>1</v>
      </c>
      <c r="M7" s="2">
        <f t="shared" si="1"/>
        <v>0</v>
      </c>
      <c r="N7" s="2">
        <f t="shared" si="55"/>
        <v>0</v>
      </c>
      <c r="O7" s="2"/>
      <c r="P7" s="2">
        <f t="shared" si="2"/>
        <v>0</v>
      </c>
      <c r="Q7" s="2">
        <f t="shared" si="56"/>
        <v>0</v>
      </c>
      <c r="R7" s="2">
        <f t="shared" si="3"/>
        <v>1</v>
      </c>
      <c r="S7" s="2">
        <f t="shared" si="56"/>
        <v>1</v>
      </c>
      <c r="T7" s="2">
        <f t="shared" si="4"/>
        <v>0</v>
      </c>
      <c r="U7" s="2">
        <f t="shared" si="56"/>
        <v>4</v>
      </c>
      <c r="V7" s="2">
        <f t="shared" si="5"/>
        <v>0</v>
      </c>
      <c r="W7" s="2">
        <f t="shared" si="56"/>
        <v>0</v>
      </c>
      <c r="X7" s="2">
        <f t="shared" si="6"/>
        <v>0</v>
      </c>
      <c r="Y7" s="2">
        <f t="shared" si="57"/>
        <v>0</v>
      </c>
      <c r="Z7" s="2">
        <f t="shared" si="7"/>
        <v>0</v>
      </c>
      <c r="AA7" s="2">
        <f t="shared" si="58"/>
        <v>0</v>
      </c>
      <c r="AB7" s="2">
        <f t="shared" si="8"/>
        <v>1</v>
      </c>
      <c r="AC7" s="2">
        <f t="shared" si="58"/>
        <v>5</v>
      </c>
      <c r="AD7" s="2">
        <f t="shared" si="9"/>
        <v>0</v>
      </c>
      <c r="AE7" s="2">
        <f t="shared" si="59"/>
        <v>0</v>
      </c>
      <c r="AF7" s="2"/>
      <c r="AG7" s="2">
        <f>IF($E7=4,G7-4,NA())</f>
        <v>0</v>
      </c>
      <c r="AH7" s="2"/>
      <c r="AI7" s="41">
        <f>G7-'Zusammenfassung Tag1-4'!$B$2/18</f>
        <v>3.1666666666666665</v>
      </c>
      <c r="AJ7" s="13">
        <f t="shared" si="60"/>
        <v>19.833333333333336</v>
      </c>
      <c r="AK7" s="53">
        <v>5</v>
      </c>
      <c r="AL7" s="2">
        <f t="shared" si="220"/>
        <v>22</v>
      </c>
      <c r="AM7" s="56">
        <v>2</v>
      </c>
      <c r="AN7" s="2">
        <f t="shared" si="61"/>
        <v>10</v>
      </c>
      <c r="AO7" s="2">
        <f t="shared" si="10"/>
        <v>0</v>
      </c>
      <c r="AP7" s="2">
        <f t="shared" si="62"/>
        <v>3</v>
      </c>
      <c r="AQ7" s="2">
        <f t="shared" si="11"/>
        <v>0</v>
      </c>
      <c r="AR7" s="2">
        <f t="shared" si="63"/>
        <v>1</v>
      </c>
      <c r="AS7" s="2"/>
      <c r="AT7" s="2">
        <f t="shared" si="12"/>
        <v>0</v>
      </c>
      <c r="AU7" s="2">
        <f t="shared" si="64"/>
        <v>0</v>
      </c>
      <c r="AV7" s="2">
        <f t="shared" si="65"/>
        <v>0</v>
      </c>
      <c r="AW7" s="2">
        <f t="shared" si="66"/>
        <v>3</v>
      </c>
      <c r="AX7" s="2">
        <f t="shared" si="67"/>
        <v>1</v>
      </c>
      <c r="AY7" s="2">
        <f t="shared" si="68"/>
        <v>2</v>
      </c>
      <c r="AZ7" s="2">
        <f t="shared" si="69"/>
        <v>0</v>
      </c>
      <c r="BA7" s="2">
        <f t="shared" si="70"/>
        <v>0</v>
      </c>
      <c r="BB7" s="2">
        <f t="shared" si="71"/>
        <v>0</v>
      </c>
      <c r="BC7" s="2">
        <f t="shared" si="72"/>
        <v>0</v>
      </c>
      <c r="BD7" s="2">
        <f t="shared" si="13"/>
        <v>0</v>
      </c>
      <c r="BE7" s="2">
        <f t="shared" si="73"/>
        <v>1</v>
      </c>
      <c r="BF7" s="2">
        <f t="shared" si="74"/>
        <v>1</v>
      </c>
      <c r="BG7" s="2">
        <f t="shared" si="75"/>
        <v>3</v>
      </c>
      <c r="BH7" s="2">
        <f t="shared" si="14"/>
        <v>0</v>
      </c>
      <c r="BI7" s="2">
        <f t="shared" si="76"/>
        <v>1</v>
      </c>
      <c r="BJ7" s="2"/>
      <c r="BK7" s="2">
        <f t="shared" ref="BK7:BK8" si="238">IF($E7=4,AK7-4,NA())</f>
        <v>1</v>
      </c>
      <c r="BL7" s="2"/>
      <c r="BM7" s="41">
        <f>AK7-'Zusammenfassung Tag1-4'!$C$2/18</f>
        <v>4.4444444444444446</v>
      </c>
      <c r="BN7" s="13">
        <f t="shared" si="78"/>
        <v>19.222222222222221</v>
      </c>
      <c r="BO7" s="53">
        <v>4</v>
      </c>
      <c r="BP7" s="2">
        <f t="shared" si="222"/>
        <v>30</v>
      </c>
      <c r="BQ7" s="56">
        <v>2</v>
      </c>
      <c r="BR7" s="2">
        <f t="shared" si="79"/>
        <v>12</v>
      </c>
      <c r="BS7" s="2">
        <f t="shared" si="15"/>
        <v>1</v>
      </c>
      <c r="BT7" s="2">
        <f t="shared" si="80"/>
        <v>2</v>
      </c>
      <c r="BU7" s="2">
        <f t="shared" si="16"/>
        <v>0</v>
      </c>
      <c r="BV7" s="2">
        <f t="shared" si="81"/>
        <v>0</v>
      </c>
      <c r="BW7" s="2"/>
      <c r="BX7" s="2">
        <f t="shared" si="17"/>
        <v>0</v>
      </c>
      <c r="BY7" s="2">
        <f t="shared" si="82"/>
        <v>0</v>
      </c>
      <c r="BZ7" s="2">
        <f t="shared" si="83"/>
        <v>1</v>
      </c>
      <c r="CA7" s="2">
        <f t="shared" si="84"/>
        <v>1</v>
      </c>
      <c r="CB7" s="2">
        <f t="shared" si="85"/>
        <v>0</v>
      </c>
      <c r="CC7" s="2">
        <f t="shared" si="86"/>
        <v>1</v>
      </c>
      <c r="CD7" s="2">
        <f t="shared" si="87"/>
        <v>0</v>
      </c>
      <c r="CE7" s="2">
        <f t="shared" si="88"/>
        <v>3</v>
      </c>
      <c r="CF7" s="2">
        <f t="shared" si="89"/>
        <v>0</v>
      </c>
      <c r="CG7" s="2">
        <f t="shared" si="82"/>
        <v>0</v>
      </c>
      <c r="CH7" s="2">
        <f t="shared" si="18"/>
        <v>0</v>
      </c>
      <c r="CI7" s="2">
        <f t="shared" si="90"/>
        <v>0</v>
      </c>
      <c r="CJ7" s="2">
        <f t="shared" si="91"/>
        <v>1</v>
      </c>
      <c r="CK7" s="2">
        <f t="shared" si="92"/>
        <v>3</v>
      </c>
      <c r="CL7" s="2">
        <f t="shared" si="19"/>
        <v>0</v>
      </c>
      <c r="CM7" s="2">
        <f t="shared" si="93"/>
        <v>2</v>
      </c>
      <c r="CN7" s="2"/>
      <c r="CO7" s="2">
        <f t="shared" ref="CO7:CO8" si="239">IF($E7=4,BO7-4,NA())</f>
        <v>0</v>
      </c>
      <c r="CP7" s="2"/>
      <c r="CQ7" s="41">
        <f>BO7-'Zusammenfassung Tag1-4'!$D$2/18</f>
        <v>2.9444444444444446</v>
      </c>
      <c r="CR7" s="13">
        <f t="shared" si="95"/>
        <v>24.722222222222221</v>
      </c>
      <c r="CS7" s="53">
        <v>5</v>
      </c>
      <c r="CT7" s="2">
        <f t="shared" si="224"/>
        <v>26</v>
      </c>
      <c r="CU7" s="56">
        <v>3</v>
      </c>
      <c r="CV7" s="2">
        <f t="shared" si="96"/>
        <v>13</v>
      </c>
      <c r="CW7" s="2">
        <f t="shared" si="20"/>
        <v>1</v>
      </c>
      <c r="CX7" s="2">
        <f t="shared" si="97"/>
        <v>3</v>
      </c>
      <c r="CY7" s="2">
        <f t="shared" si="21"/>
        <v>0</v>
      </c>
      <c r="CZ7" s="2">
        <f t="shared" si="98"/>
        <v>0</v>
      </c>
      <c r="DA7" s="2"/>
      <c r="DB7" s="2">
        <f t="shared" si="22"/>
        <v>0</v>
      </c>
      <c r="DC7" s="2">
        <f t="shared" si="99"/>
        <v>0</v>
      </c>
      <c r="DD7" s="2">
        <f t="shared" si="100"/>
        <v>0</v>
      </c>
      <c r="DE7" s="2">
        <f t="shared" si="101"/>
        <v>1</v>
      </c>
      <c r="DF7" s="2">
        <f t="shared" si="102"/>
        <v>1</v>
      </c>
      <c r="DG7" s="2">
        <f t="shared" si="103"/>
        <v>2</v>
      </c>
      <c r="DH7" s="2">
        <f t="shared" si="104"/>
        <v>0</v>
      </c>
      <c r="DI7" s="2">
        <f t="shared" si="105"/>
        <v>2</v>
      </c>
      <c r="DJ7" s="2">
        <f t="shared" si="106"/>
        <v>0</v>
      </c>
      <c r="DK7" s="2">
        <f t="shared" si="107"/>
        <v>0</v>
      </c>
      <c r="DL7" s="2">
        <f t="shared" si="23"/>
        <v>0</v>
      </c>
      <c r="DM7" s="2">
        <f t="shared" si="108"/>
        <v>0</v>
      </c>
      <c r="DN7" s="2">
        <f t="shared" si="109"/>
        <v>0</v>
      </c>
      <c r="DO7" s="2">
        <f t="shared" si="110"/>
        <v>2</v>
      </c>
      <c r="DP7" s="2">
        <f t="shared" si="24"/>
        <v>1</v>
      </c>
      <c r="DQ7" s="2">
        <f t="shared" si="111"/>
        <v>3</v>
      </c>
      <c r="DR7" s="2"/>
      <c r="DS7" s="2">
        <f t="shared" ref="DS7:DS8" si="240">IF($E7=4,CS7-4,NA())</f>
        <v>1</v>
      </c>
      <c r="DT7" s="2"/>
      <c r="DU7" s="41">
        <f>CS7-'Zusammenfassung Tag1-4'!$E$2/18</f>
        <v>4</v>
      </c>
      <c r="DV7" s="14">
        <f t="shared" si="113"/>
        <v>21</v>
      </c>
      <c r="DW7" s="53">
        <v>6</v>
      </c>
      <c r="DX7" s="2">
        <v>108</v>
      </c>
      <c r="DY7" s="56">
        <v>3</v>
      </c>
      <c r="DZ7" s="2">
        <f t="shared" si="114"/>
        <v>13</v>
      </c>
      <c r="EA7" s="2">
        <f t="shared" si="25"/>
        <v>0</v>
      </c>
      <c r="EB7" s="2">
        <f t="shared" si="115"/>
        <v>0</v>
      </c>
      <c r="EC7" s="2">
        <f t="shared" si="26"/>
        <v>0</v>
      </c>
      <c r="ED7" s="2">
        <f t="shared" si="116"/>
        <v>0</v>
      </c>
      <c r="EE7" s="2"/>
      <c r="EF7" s="2">
        <f t="shared" si="27"/>
        <v>0</v>
      </c>
      <c r="EG7" s="2">
        <f t="shared" si="117"/>
        <v>0</v>
      </c>
      <c r="EH7" s="2">
        <f t="shared" si="118"/>
        <v>0</v>
      </c>
      <c r="EI7" s="2">
        <f t="shared" si="119"/>
        <v>0</v>
      </c>
      <c r="EJ7" s="2">
        <f t="shared" si="120"/>
        <v>0</v>
      </c>
      <c r="EK7" s="2">
        <f t="shared" si="121"/>
        <v>0</v>
      </c>
      <c r="EL7" s="2">
        <f t="shared" si="122"/>
        <v>1</v>
      </c>
      <c r="EM7" s="2">
        <f t="shared" si="123"/>
        <v>5</v>
      </c>
      <c r="EN7" s="2">
        <f t="shared" si="124"/>
        <v>0</v>
      </c>
      <c r="EO7" s="2">
        <f t="shared" si="125"/>
        <v>0</v>
      </c>
      <c r="EP7" s="2">
        <f t="shared" si="28"/>
        <v>0</v>
      </c>
      <c r="EQ7" s="2">
        <f t="shared" si="126"/>
        <v>0</v>
      </c>
      <c r="ER7" s="2">
        <f t="shared" si="127"/>
        <v>0</v>
      </c>
      <c r="ES7" s="2">
        <f t="shared" si="128"/>
        <v>2</v>
      </c>
      <c r="ET7" s="2">
        <f t="shared" si="29"/>
        <v>1</v>
      </c>
      <c r="EU7" s="2">
        <f t="shared" si="129"/>
        <v>3</v>
      </c>
      <c r="EV7" s="2"/>
      <c r="EW7" s="2">
        <f t="shared" ref="EW7:EW8" si="241">IF($E7=4,DW7-4,NA())</f>
        <v>2</v>
      </c>
      <c r="EX7" s="2"/>
      <c r="EY7" s="41">
        <f>DW7-'Zusammenfassung Tag1-4'!$F$2/18</f>
        <v>3.5</v>
      </c>
      <c r="EZ7" s="14">
        <f t="shared" si="131"/>
        <v>22.5</v>
      </c>
      <c r="FA7" s="53">
        <v>5</v>
      </c>
      <c r="FB7" s="2">
        <v>28</v>
      </c>
      <c r="FC7" s="56">
        <v>2</v>
      </c>
      <c r="FD7" s="2">
        <f t="shared" si="132"/>
        <v>11</v>
      </c>
      <c r="FE7" s="2">
        <f t="shared" si="30"/>
        <v>0</v>
      </c>
      <c r="FF7" s="2">
        <f t="shared" si="133"/>
        <v>0</v>
      </c>
      <c r="FG7" s="2">
        <f t="shared" si="31"/>
        <v>0</v>
      </c>
      <c r="FH7" s="2">
        <f t="shared" si="134"/>
        <v>0</v>
      </c>
      <c r="FI7" s="2"/>
      <c r="FJ7" s="2">
        <f t="shared" si="32"/>
        <v>0</v>
      </c>
      <c r="FK7" s="2">
        <f t="shared" si="135"/>
        <v>0</v>
      </c>
      <c r="FL7" s="2">
        <f t="shared" si="136"/>
        <v>0</v>
      </c>
      <c r="FM7" s="2">
        <f t="shared" si="137"/>
        <v>0</v>
      </c>
      <c r="FN7" s="2">
        <f t="shared" si="138"/>
        <v>1</v>
      </c>
      <c r="FO7" s="2">
        <f t="shared" si="139"/>
        <v>2</v>
      </c>
      <c r="FP7" s="2">
        <f t="shared" si="140"/>
        <v>0</v>
      </c>
      <c r="FQ7" s="2">
        <f t="shared" si="141"/>
        <v>3</v>
      </c>
      <c r="FR7" s="2">
        <f t="shared" si="142"/>
        <v>0</v>
      </c>
      <c r="FS7" s="2">
        <f t="shared" si="143"/>
        <v>0</v>
      </c>
      <c r="FT7" s="2">
        <f t="shared" si="33"/>
        <v>0</v>
      </c>
      <c r="FU7" s="2">
        <f t="shared" si="144"/>
        <v>0</v>
      </c>
      <c r="FV7" s="2">
        <f t="shared" si="145"/>
        <v>1</v>
      </c>
      <c r="FW7" s="2">
        <f t="shared" si="146"/>
        <v>4</v>
      </c>
      <c r="FX7" s="2">
        <f t="shared" si="34"/>
        <v>0</v>
      </c>
      <c r="FY7" s="2">
        <f t="shared" si="147"/>
        <v>1</v>
      </c>
      <c r="FZ7" s="2"/>
      <c r="GA7" s="2">
        <f t="shared" ref="GA7:GA8" si="242">IF($E7=4,FA7-4,NA())</f>
        <v>1</v>
      </c>
      <c r="GB7" s="2"/>
      <c r="GC7" s="41">
        <f>FA7-'Zusammenfassung Tag1-4'!$G$2/18</f>
        <v>3.7222222222222223</v>
      </c>
      <c r="GD7" s="14">
        <f t="shared" si="149"/>
        <v>23.611111111111111</v>
      </c>
      <c r="GE7" s="53">
        <v>6</v>
      </c>
      <c r="GF7" s="2">
        <v>38</v>
      </c>
      <c r="GG7" s="56">
        <v>2</v>
      </c>
      <c r="GH7" s="2">
        <f t="shared" si="150"/>
        <v>11</v>
      </c>
      <c r="GI7" s="2">
        <f t="shared" si="35"/>
        <v>0</v>
      </c>
      <c r="GJ7" s="2">
        <f t="shared" si="151"/>
        <v>0</v>
      </c>
      <c r="GK7" s="2">
        <f t="shared" si="36"/>
        <v>0</v>
      </c>
      <c r="GL7" s="2">
        <f t="shared" si="152"/>
        <v>0</v>
      </c>
      <c r="GM7" s="2"/>
      <c r="GN7" s="2">
        <f t="shared" si="37"/>
        <v>0</v>
      </c>
      <c r="GO7" s="2">
        <f t="shared" si="153"/>
        <v>0</v>
      </c>
      <c r="GP7" s="2">
        <f t="shared" si="154"/>
        <v>0</v>
      </c>
      <c r="GQ7" s="2">
        <f t="shared" si="155"/>
        <v>0</v>
      </c>
      <c r="GR7" s="2">
        <f t="shared" si="156"/>
        <v>0</v>
      </c>
      <c r="GS7" s="2">
        <f t="shared" si="157"/>
        <v>1</v>
      </c>
      <c r="GT7" s="2">
        <f t="shared" si="158"/>
        <v>1</v>
      </c>
      <c r="GU7" s="2">
        <f t="shared" si="159"/>
        <v>4</v>
      </c>
      <c r="GV7" s="2">
        <f t="shared" si="160"/>
        <v>0</v>
      </c>
      <c r="GW7" s="2">
        <f t="shared" si="161"/>
        <v>0</v>
      </c>
      <c r="GX7" s="2">
        <f t="shared" si="38"/>
        <v>0</v>
      </c>
      <c r="GY7" s="2">
        <f t="shared" si="162"/>
        <v>0</v>
      </c>
      <c r="GZ7" s="2">
        <f t="shared" si="163"/>
        <v>1</v>
      </c>
      <c r="HA7" s="2">
        <f t="shared" si="164"/>
        <v>4</v>
      </c>
      <c r="HB7" s="2">
        <f t="shared" si="39"/>
        <v>0</v>
      </c>
      <c r="HC7" s="2">
        <f t="shared" si="165"/>
        <v>1</v>
      </c>
      <c r="HD7" s="2"/>
      <c r="HE7" s="2">
        <f t="shared" ref="HE7:HE8" si="243">IF($E7=4,GE7-4,NA())</f>
        <v>2</v>
      </c>
      <c r="HF7" s="2"/>
      <c r="HG7" s="41">
        <f>GE7-'Zusammenfassung Tag1-4'!$H$2/18</f>
        <v>4.2222222222222223</v>
      </c>
      <c r="HH7" s="14">
        <f t="shared" si="167"/>
        <v>27.111111111111107</v>
      </c>
      <c r="HI7" s="53">
        <v>4</v>
      </c>
      <c r="HJ7" s="2">
        <v>25</v>
      </c>
      <c r="HK7" s="56">
        <v>1</v>
      </c>
      <c r="HL7" s="2">
        <f t="shared" si="168"/>
        <v>9</v>
      </c>
      <c r="HM7" s="2">
        <f t="shared" si="229"/>
        <v>0</v>
      </c>
      <c r="HN7" s="2">
        <f t="shared" si="169"/>
        <v>0</v>
      </c>
      <c r="HO7" s="2">
        <f t="shared" si="230"/>
        <v>1</v>
      </c>
      <c r="HP7" s="2">
        <f t="shared" si="170"/>
        <v>1</v>
      </c>
      <c r="HQ7" s="2"/>
      <c r="HR7" s="2">
        <f t="shared" si="231"/>
        <v>0</v>
      </c>
      <c r="HS7" s="2">
        <f t="shared" si="171"/>
        <v>0</v>
      </c>
      <c r="HT7" s="2">
        <f t="shared" si="232"/>
        <v>1</v>
      </c>
      <c r="HU7" s="2">
        <f t="shared" si="172"/>
        <v>1</v>
      </c>
      <c r="HV7" s="2">
        <f t="shared" si="233"/>
        <v>0</v>
      </c>
      <c r="HW7" s="2">
        <f t="shared" si="173"/>
        <v>0</v>
      </c>
      <c r="HX7" s="2">
        <f t="shared" si="234"/>
        <v>0</v>
      </c>
      <c r="HY7" s="2">
        <f t="shared" si="174"/>
        <v>4</v>
      </c>
      <c r="HZ7" s="2">
        <f t="shared" si="175"/>
        <v>0</v>
      </c>
      <c r="IA7" s="2">
        <f t="shared" si="176"/>
        <v>0</v>
      </c>
      <c r="IB7" s="2">
        <f t="shared" si="40"/>
        <v>1</v>
      </c>
      <c r="IC7" s="2">
        <f t="shared" si="177"/>
        <v>1</v>
      </c>
      <c r="ID7" s="2">
        <f t="shared" si="178"/>
        <v>0</v>
      </c>
      <c r="IE7" s="2">
        <f t="shared" si="179"/>
        <v>4</v>
      </c>
      <c r="IF7" s="2">
        <f t="shared" si="41"/>
        <v>0</v>
      </c>
      <c r="IG7" s="2">
        <f t="shared" si="180"/>
        <v>0</v>
      </c>
      <c r="IH7" s="2"/>
      <c r="II7" s="2">
        <f t="shared" ref="II7:II8" si="244">IF($E7=4,HI7-4,NA())</f>
        <v>0</v>
      </c>
      <c r="IJ7" s="2"/>
      <c r="IK7" s="41">
        <f>HI7-'Zusammenfassung Tag1-4'!$I$2/18</f>
        <v>3.1111111111111112</v>
      </c>
      <c r="IL7" s="14">
        <f t="shared" si="181"/>
        <v>25.555555555555554</v>
      </c>
      <c r="IM7" s="53">
        <v>9</v>
      </c>
      <c r="IN7" s="2">
        <v>172</v>
      </c>
      <c r="IO7" s="56">
        <v>3</v>
      </c>
      <c r="IP7" s="2">
        <f t="shared" si="182"/>
        <v>15</v>
      </c>
      <c r="IQ7" s="2">
        <f t="shared" si="42"/>
        <v>0</v>
      </c>
      <c r="IR7" s="2">
        <f t="shared" si="183"/>
        <v>2</v>
      </c>
      <c r="IS7" s="2">
        <f t="shared" si="43"/>
        <v>0</v>
      </c>
      <c r="IT7" s="2">
        <f t="shared" si="184"/>
        <v>0</v>
      </c>
      <c r="IU7" s="2"/>
      <c r="IV7" s="2">
        <f t="shared" si="44"/>
        <v>0</v>
      </c>
      <c r="IW7" s="2">
        <f t="shared" si="185"/>
        <v>0</v>
      </c>
      <c r="IX7" s="2">
        <f t="shared" si="186"/>
        <v>0</v>
      </c>
      <c r="IY7" s="2">
        <f t="shared" si="187"/>
        <v>1</v>
      </c>
      <c r="IZ7" s="2">
        <f t="shared" si="188"/>
        <v>0</v>
      </c>
      <c r="JA7" s="2">
        <f t="shared" si="189"/>
        <v>0</v>
      </c>
      <c r="JB7" s="2">
        <f t="shared" si="190"/>
        <v>1</v>
      </c>
      <c r="JC7" s="2">
        <f t="shared" si="191"/>
        <v>4</v>
      </c>
      <c r="JD7" s="2">
        <f t="shared" si="192"/>
        <v>0</v>
      </c>
      <c r="JE7" s="2">
        <f t="shared" si="193"/>
        <v>0</v>
      </c>
      <c r="JF7" s="2">
        <f t="shared" si="45"/>
        <v>0</v>
      </c>
      <c r="JG7" s="2">
        <f t="shared" si="194"/>
        <v>0</v>
      </c>
      <c r="JH7" s="2">
        <f t="shared" si="195"/>
        <v>0</v>
      </c>
      <c r="JI7" s="2">
        <f t="shared" si="196"/>
        <v>2</v>
      </c>
      <c r="JJ7" s="2">
        <f t="shared" si="46"/>
        <v>1</v>
      </c>
      <c r="JK7" s="2">
        <f t="shared" si="197"/>
        <v>3</v>
      </c>
      <c r="JL7" s="2"/>
      <c r="JM7" s="2">
        <f t="shared" ref="JM7:JM8" si="245">IF($E7=4,IM7-4,NA())</f>
        <v>5</v>
      </c>
      <c r="JN7" s="2"/>
      <c r="JO7" s="41">
        <f>IM7-'Zusammenfassung Tag1-4'!$J$2/18</f>
        <v>6.6666666666666661</v>
      </c>
      <c r="JP7" s="14">
        <f t="shared" si="199"/>
        <v>23.333333333333329</v>
      </c>
      <c r="JQ7" s="53"/>
      <c r="JR7" s="2"/>
      <c r="JS7" s="56"/>
      <c r="JT7" s="2">
        <f t="shared" si="200"/>
        <v>0</v>
      </c>
      <c r="JU7" s="2">
        <f t="shared" si="47"/>
        <v>1</v>
      </c>
      <c r="JV7" s="2">
        <f t="shared" si="201"/>
        <v>5</v>
      </c>
      <c r="JW7" s="2">
        <f t="shared" si="48"/>
        <v>0</v>
      </c>
      <c r="JX7" s="2">
        <f t="shared" si="202"/>
        <v>0</v>
      </c>
      <c r="JY7" s="2"/>
      <c r="JZ7" s="2">
        <f t="shared" si="49"/>
        <v>0</v>
      </c>
      <c r="KA7" s="2">
        <f t="shared" si="203"/>
        <v>0</v>
      </c>
      <c r="KB7" s="2">
        <f t="shared" si="204"/>
        <v>0</v>
      </c>
      <c r="KC7" s="2">
        <f t="shared" si="205"/>
        <v>0</v>
      </c>
      <c r="KD7" s="2">
        <f t="shared" si="206"/>
        <v>0</v>
      </c>
      <c r="KE7" s="2">
        <f t="shared" si="207"/>
        <v>0</v>
      </c>
      <c r="KF7" s="2">
        <f t="shared" si="208"/>
        <v>0</v>
      </c>
      <c r="KG7" s="2">
        <f t="shared" si="209"/>
        <v>0</v>
      </c>
      <c r="KH7" s="2">
        <f t="shared" si="210"/>
        <v>1</v>
      </c>
      <c r="KI7" s="2">
        <f t="shared" si="211"/>
        <v>5</v>
      </c>
      <c r="KJ7" s="2">
        <f t="shared" si="50"/>
        <v>0</v>
      </c>
      <c r="KK7" s="2">
        <f t="shared" si="212"/>
        <v>0</v>
      </c>
      <c r="KL7" s="2">
        <f t="shared" si="213"/>
        <v>0</v>
      </c>
      <c r="KM7" s="2">
        <f t="shared" si="214"/>
        <v>0</v>
      </c>
      <c r="KN7" s="2">
        <f t="shared" si="51"/>
        <v>0</v>
      </c>
      <c r="KO7" s="2">
        <f t="shared" si="215"/>
        <v>0</v>
      </c>
      <c r="KP7" s="2"/>
      <c r="KQ7" s="2">
        <f t="shared" ref="KQ7:KQ8" si="246">IF($E7=4,JQ7-4,NA())</f>
        <v>-4</v>
      </c>
      <c r="KR7" s="2"/>
      <c r="KS7" s="41" t="e">
        <f>JQ7-'Zusammenfassung Tag1-4'!#REF!/18</f>
        <v>#REF!</v>
      </c>
      <c r="KT7" s="14" t="e">
        <f t="shared" si="217"/>
        <v>#REF!</v>
      </c>
    </row>
    <row r="8" spans="1:306" ht="13.2" x14ac:dyDescent="0.25">
      <c r="A8" s="179"/>
      <c r="B8" s="176"/>
      <c r="C8" s="44">
        <v>6</v>
      </c>
      <c r="D8" s="2">
        <f t="shared" si="218"/>
        <v>6</v>
      </c>
      <c r="E8" s="44">
        <v>4</v>
      </c>
      <c r="F8" s="4">
        <f t="shared" si="52"/>
        <v>24</v>
      </c>
      <c r="G8" s="56">
        <v>4</v>
      </c>
      <c r="H8" s="2">
        <f t="shared" si="219"/>
        <v>28</v>
      </c>
      <c r="I8" s="56">
        <v>1</v>
      </c>
      <c r="J8" s="2">
        <f t="shared" si="53"/>
        <v>11</v>
      </c>
      <c r="K8" s="2">
        <f t="shared" si="0"/>
        <v>0</v>
      </c>
      <c r="L8" s="2">
        <f t="shared" si="54"/>
        <v>1</v>
      </c>
      <c r="M8" s="2">
        <f t="shared" si="1"/>
        <v>1</v>
      </c>
      <c r="N8" s="2">
        <f t="shared" si="55"/>
        <v>1</v>
      </c>
      <c r="O8" s="2"/>
      <c r="P8" s="2">
        <f t="shared" si="2"/>
        <v>0</v>
      </c>
      <c r="Q8" s="2">
        <f t="shared" si="56"/>
        <v>0</v>
      </c>
      <c r="R8" s="2">
        <f t="shared" si="3"/>
        <v>1</v>
      </c>
      <c r="S8" s="2">
        <f t="shared" si="56"/>
        <v>2</v>
      </c>
      <c r="T8" s="2">
        <f t="shared" si="4"/>
        <v>0</v>
      </c>
      <c r="U8" s="2">
        <f t="shared" si="56"/>
        <v>4</v>
      </c>
      <c r="V8" s="2">
        <f t="shared" si="5"/>
        <v>0</v>
      </c>
      <c r="W8" s="2">
        <f t="shared" si="56"/>
        <v>0</v>
      </c>
      <c r="X8" s="2">
        <f t="shared" si="6"/>
        <v>0</v>
      </c>
      <c r="Y8" s="2">
        <f t="shared" si="57"/>
        <v>0</v>
      </c>
      <c r="Z8" s="2">
        <f t="shared" si="7"/>
        <v>1</v>
      </c>
      <c r="AA8" s="2">
        <f t="shared" si="58"/>
        <v>1</v>
      </c>
      <c r="AB8" s="2">
        <f t="shared" si="8"/>
        <v>0</v>
      </c>
      <c r="AC8" s="2">
        <f t="shared" si="58"/>
        <v>5</v>
      </c>
      <c r="AD8" s="2">
        <f t="shared" si="9"/>
        <v>0</v>
      </c>
      <c r="AE8" s="2">
        <f t="shared" si="59"/>
        <v>0</v>
      </c>
      <c r="AF8" s="2"/>
      <c r="AG8" s="2">
        <f>IF($E8=4,G8-4,NA())</f>
        <v>0</v>
      </c>
      <c r="AH8" s="2"/>
      <c r="AI8" s="41">
        <f>G8-'Zusammenfassung Tag1-4'!$B$2/18</f>
        <v>3.1666666666666665</v>
      </c>
      <c r="AJ8" s="13">
        <f t="shared" si="60"/>
        <v>23.000000000000004</v>
      </c>
      <c r="AK8" s="53">
        <v>9</v>
      </c>
      <c r="AL8" s="2">
        <f t="shared" si="220"/>
        <v>31</v>
      </c>
      <c r="AM8" s="56">
        <v>2</v>
      </c>
      <c r="AN8" s="2">
        <f t="shared" si="61"/>
        <v>12</v>
      </c>
      <c r="AO8" s="2">
        <f t="shared" si="10"/>
        <v>0</v>
      </c>
      <c r="AP8" s="2">
        <f t="shared" si="62"/>
        <v>3</v>
      </c>
      <c r="AQ8" s="2">
        <f t="shared" si="11"/>
        <v>0</v>
      </c>
      <c r="AR8" s="2">
        <f t="shared" si="63"/>
        <v>1</v>
      </c>
      <c r="AS8" s="2"/>
      <c r="AT8" s="2">
        <f t="shared" si="12"/>
        <v>0</v>
      </c>
      <c r="AU8" s="2">
        <f t="shared" si="64"/>
        <v>0</v>
      </c>
      <c r="AV8" s="2">
        <f t="shared" si="65"/>
        <v>0</v>
      </c>
      <c r="AW8" s="2">
        <f t="shared" si="66"/>
        <v>3</v>
      </c>
      <c r="AX8" s="2">
        <f t="shared" si="67"/>
        <v>0</v>
      </c>
      <c r="AY8" s="2">
        <f t="shared" si="68"/>
        <v>2</v>
      </c>
      <c r="AZ8" s="2">
        <f t="shared" si="69"/>
        <v>1</v>
      </c>
      <c r="BA8" s="2">
        <f t="shared" si="70"/>
        <v>1</v>
      </c>
      <c r="BB8" s="2">
        <f t="shared" si="71"/>
        <v>0</v>
      </c>
      <c r="BC8" s="2">
        <f t="shared" si="72"/>
        <v>0</v>
      </c>
      <c r="BD8" s="2">
        <f t="shared" si="13"/>
        <v>0</v>
      </c>
      <c r="BE8" s="2">
        <f t="shared" si="73"/>
        <v>1</v>
      </c>
      <c r="BF8" s="2">
        <f t="shared" si="74"/>
        <v>1</v>
      </c>
      <c r="BG8" s="2">
        <f t="shared" si="75"/>
        <v>4</v>
      </c>
      <c r="BH8" s="2">
        <f t="shared" si="14"/>
        <v>0</v>
      </c>
      <c r="BI8" s="2">
        <f t="shared" si="76"/>
        <v>1</v>
      </c>
      <c r="BJ8" s="2"/>
      <c r="BK8" s="2">
        <f t="shared" si="238"/>
        <v>5</v>
      </c>
      <c r="BL8" s="2"/>
      <c r="BM8" s="41">
        <f>AK8-'Zusammenfassung Tag1-4'!$C$2/18</f>
        <v>8.4444444444444446</v>
      </c>
      <c r="BN8" s="13">
        <f t="shared" si="78"/>
        <v>27.666666666666664</v>
      </c>
      <c r="BO8" s="53">
        <v>5</v>
      </c>
      <c r="BP8" s="2">
        <f t="shared" si="222"/>
        <v>35</v>
      </c>
      <c r="BQ8" s="56">
        <v>2</v>
      </c>
      <c r="BR8" s="2">
        <f t="shared" si="79"/>
        <v>14</v>
      </c>
      <c r="BS8" s="2">
        <f t="shared" si="15"/>
        <v>0</v>
      </c>
      <c r="BT8" s="2">
        <f t="shared" si="80"/>
        <v>2</v>
      </c>
      <c r="BU8" s="2">
        <f t="shared" si="16"/>
        <v>0</v>
      </c>
      <c r="BV8" s="2">
        <f t="shared" si="81"/>
        <v>0</v>
      </c>
      <c r="BW8" s="2"/>
      <c r="BX8" s="2">
        <f t="shared" si="17"/>
        <v>0</v>
      </c>
      <c r="BY8" s="2">
        <f t="shared" si="82"/>
        <v>0</v>
      </c>
      <c r="BZ8" s="2">
        <f t="shared" si="83"/>
        <v>0</v>
      </c>
      <c r="CA8" s="2">
        <f t="shared" si="84"/>
        <v>1</v>
      </c>
      <c r="CB8" s="2">
        <f t="shared" si="85"/>
        <v>1</v>
      </c>
      <c r="CC8" s="2">
        <f t="shared" si="86"/>
        <v>2</v>
      </c>
      <c r="CD8" s="2">
        <f t="shared" si="87"/>
        <v>0</v>
      </c>
      <c r="CE8" s="2">
        <f t="shared" si="88"/>
        <v>3</v>
      </c>
      <c r="CF8" s="2">
        <f t="shared" si="89"/>
        <v>0</v>
      </c>
      <c r="CG8" s="2">
        <f t="shared" si="82"/>
        <v>0</v>
      </c>
      <c r="CH8" s="2">
        <f t="shared" si="18"/>
        <v>0</v>
      </c>
      <c r="CI8" s="2">
        <f t="shared" si="90"/>
        <v>0</v>
      </c>
      <c r="CJ8" s="2">
        <f t="shared" si="91"/>
        <v>1</v>
      </c>
      <c r="CK8" s="2">
        <f t="shared" si="92"/>
        <v>4</v>
      </c>
      <c r="CL8" s="2">
        <f t="shared" si="19"/>
        <v>0</v>
      </c>
      <c r="CM8" s="2">
        <f t="shared" si="93"/>
        <v>2</v>
      </c>
      <c r="CN8" s="2"/>
      <c r="CO8" s="2">
        <f t="shared" si="239"/>
        <v>1</v>
      </c>
      <c r="CP8" s="2"/>
      <c r="CQ8" s="41">
        <f>BO8-'Zusammenfassung Tag1-4'!$D$2/18</f>
        <v>3.9444444444444446</v>
      </c>
      <c r="CR8" s="13">
        <f t="shared" si="95"/>
        <v>28.666666666666664</v>
      </c>
      <c r="CS8" s="53">
        <v>5</v>
      </c>
      <c r="CT8" s="2">
        <f t="shared" si="224"/>
        <v>31</v>
      </c>
      <c r="CU8" s="56">
        <v>3</v>
      </c>
      <c r="CV8" s="2">
        <f t="shared" si="96"/>
        <v>16</v>
      </c>
      <c r="CW8" s="2">
        <f t="shared" si="20"/>
        <v>1</v>
      </c>
      <c r="CX8" s="2">
        <f t="shared" si="97"/>
        <v>4</v>
      </c>
      <c r="CY8" s="2">
        <f t="shared" si="21"/>
        <v>0</v>
      </c>
      <c r="CZ8" s="2">
        <f t="shared" si="98"/>
        <v>0</v>
      </c>
      <c r="DA8" s="2"/>
      <c r="DB8" s="2">
        <f t="shared" si="22"/>
        <v>0</v>
      </c>
      <c r="DC8" s="2">
        <f t="shared" si="99"/>
        <v>0</v>
      </c>
      <c r="DD8" s="2">
        <f t="shared" si="100"/>
        <v>0</v>
      </c>
      <c r="DE8" s="2">
        <f t="shared" si="101"/>
        <v>1</v>
      </c>
      <c r="DF8" s="2">
        <f t="shared" si="102"/>
        <v>1</v>
      </c>
      <c r="DG8" s="2">
        <f t="shared" si="103"/>
        <v>3</v>
      </c>
      <c r="DH8" s="2">
        <f t="shared" si="104"/>
        <v>0</v>
      </c>
      <c r="DI8" s="2">
        <f t="shared" si="105"/>
        <v>2</v>
      </c>
      <c r="DJ8" s="2">
        <f t="shared" si="106"/>
        <v>0</v>
      </c>
      <c r="DK8" s="2">
        <f t="shared" si="107"/>
        <v>0</v>
      </c>
      <c r="DL8" s="2">
        <f t="shared" si="23"/>
        <v>0</v>
      </c>
      <c r="DM8" s="2">
        <f t="shared" si="108"/>
        <v>0</v>
      </c>
      <c r="DN8" s="2">
        <f t="shared" si="109"/>
        <v>0</v>
      </c>
      <c r="DO8" s="2">
        <f t="shared" si="110"/>
        <v>2</v>
      </c>
      <c r="DP8" s="2">
        <f t="shared" si="24"/>
        <v>1</v>
      </c>
      <c r="DQ8" s="2">
        <f t="shared" si="111"/>
        <v>4</v>
      </c>
      <c r="DR8" s="2"/>
      <c r="DS8" s="2">
        <f t="shared" si="240"/>
        <v>1</v>
      </c>
      <c r="DT8" s="2"/>
      <c r="DU8" s="41">
        <f>CS8-'Zusammenfassung Tag1-4'!$E$2/18</f>
        <v>4</v>
      </c>
      <c r="DV8" s="14">
        <f t="shared" si="113"/>
        <v>25</v>
      </c>
      <c r="DW8" s="53">
        <v>9</v>
      </c>
      <c r="DX8" s="2">
        <v>112</v>
      </c>
      <c r="DY8" s="56">
        <v>2</v>
      </c>
      <c r="DZ8" s="2">
        <f t="shared" si="114"/>
        <v>15</v>
      </c>
      <c r="EA8" s="2">
        <f t="shared" si="25"/>
        <v>0</v>
      </c>
      <c r="EB8" s="2">
        <f t="shared" si="115"/>
        <v>0</v>
      </c>
      <c r="EC8" s="2">
        <f t="shared" si="26"/>
        <v>0</v>
      </c>
      <c r="ED8" s="2">
        <f t="shared" si="116"/>
        <v>0</v>
      </c>
      <c r="EE8" s="2"/>
      <c r="EF8" s="2">
        <f t="shared" si="27"/>
        <v>0</v>
      </c>
      <c r="EG8" s="2">
        <f t="shared" si="117"/>
        <v>0</v>
      </c>
      <c r="EH8" s="2">
        <f t="shared" si="118"/>
        <v>0</v>
      </c>
      <c r="EI8" s="2">
        <f t="shared" si="119"/>
        <v>0</v>
      </c>
      <c r="EJ8" s="2">
        <f t="shared" si="120"/>
        <v>0</v>
      </c>
      <c r="EK8" s="2">
        <f t="shared" si="121"/>
        <v>0</v>
      </c>
      <c r="EL8" s="2">
        <f t="shared" si="122"/>
        <v>1</v>
      </c>
      <c r="EM8" s="2">
        <f t="shared" si="123"/>
        <v>6</v>
      </c>
      <c r="EN8" s="2">
        <f t="shared" si="124"/>
        <v>0</v>
      </c>
      <c r="EO8" s="2">
        <f t="shared" si="125"/>
        <v>0</v>
      </c>
      <c r="EP8" s="2">
        <f t="shared" si="28"/>
        <v>0</v>
      </c>
      <c r="EQ8" s="2">
        <f t="shared" si="126"/>
        <v>0</v>
      </c>
      <c r="ER8" s="2">
        <f t="shared" si="127"/>
        <v>1</v>
      </c>
      <c r="ES8" s="2">
        <f t="shared" si="128"/>
        <v>3</v>
      </c>
      <c r="ET8" s="2">
        <f t="shared" si="29"/>
        <v>0</v>
      </c>
      <c r="EU8" s="2">
        <f t="shared" si="129"/>
        <v>3</v>
      </c>
      <c r="EV8" s="2"/>
      <c r="EW8" s="2">
        <f t="shared" si="241"/>
        <v>5</v>
      </c>
      <c r="EX8" s="2"/>
      <c r="EY8" s="41">
        <f>DW8-'Zusammenfassung Tag1-4'!$F$2/18</f>
        <v>6.5</v>
      </c>
      <c r="EZ8" s="14">
        <f t="shared" si="131"/>
        <v>29</v>
      </c>
      <c r="FA8" s="53">
        <v>6</v>
      </c>
      <c r="FB8" s="2">
        <v>34</v>
      </c>
      <c r="FC8" s="56">
        <v>2</v>
      </c>
      <c r="FD8" s="2">
        <f t="shared" si="132"/>
        <v>13</v>
      </c>
      <c r="FE8" s="2">
        <f t="shared" si="30"/>
        <v>0</v>
      </c>
      <c r="FF8" s="2">
        <f t="shared" si="133"/>
        <v>0</v>
      </c>
      <c r="FG8" s="2">
        <f t="shared" si="31"/>
        <v>0</v>
      </c>
      <c r="FH8" s="2">
        <f t="shared" si="134"/>
        <v>0</v>
      </c>
      <c r="FI8" s="2"/>
      <c r="FJ8" s="2">
        <f t="shared" si="32"/>
        <v>0</v>
      </c>
      <c r="FK8" s="2">
        <f t="shared" si="135"/>
        <v>0</v>
      </c>
      <c r="FL8" s="2">
        <f t="shared" si="136"/>
        <v>0</v>
      </c>
      <c r="FM8" s="2">
        <f t="shared" si="137"/>
        <v>0</v>
      </c>
      <c r="FN8" s="2">
        <f t="shared" si="138"/>
        <v>0</v>
      </c>
      <c r="FO8" s="2">
        <f t="shared" si="139"/>
        <v>2</v>
      </c>
      <c r="FP8" s="2">
        <f t="shared" si="140"/>
        <v>1</v>
      </c>
      <c r="FQ8" s="2">
        <f t="shared" si="141"/>
        <v>4</v>
      </c>
      <c r="FR8" s="2">
        <f t="shared" si="142"/>
        <v>0</v>
      </c>
      <c r="FS8" s="2">
        <f t="shared" si="143"/>
        <v>0</v>
      </c>
      <c r="FT8" s="2">
        <f t="shared" si="33"/>
        <v>0</v>
      </c>
      <c r="FU8" s="2">
        <f t="shared" si="144"/>
        <v>0</v>
      </c>
      <c r="FV8" s="2">
        <f t="shared" si="145"/>
        <v>1</v>
      </c>
      <c r="FW8" s="2">
        <f t="shared" si="146"/>
        <v>5</v>
      </c>
      <c r="FX8" s="2">
        <f t="shared" si="34"/>
        <v>0</v>
      </c>
      <c r="FY8" s="2">
        <f t="shared" si="147"/>
        <v>1</v>
      </c>
      <c r="FZ8" s="2"/>
      <c r="GA8" s="2">
        <f t="shared" si="242"/>
        <v>2</v>
      </c>
      <c r="GB8" s="2"/>
      <c r="GC8" s="41">
        <f>FA8-'Zusammenfassung Tag1-4'!$G$2/18</f>
        <v>4.7222222222222223</v>
      </c>
      <c r="GD8" s="14">
        <f t="shared" si="149"/>
        <v>28.333333333333332</v>
      </c>
      <c r="GE8" s="53">
        <v>7</v>
      </c>
      <c r="GF8" s="2">
        <v>45</v>
      </c>
      <c r="GG8" s="56">
        <v>1</v>
      </c>
      <c r="GH8" s="2">
        <f t="shared" si="150"/>
        <v>12</v>
      </c>
      <c r="GI8" s="2">
        <f t="shared" si="35"/>
        <v>0</v>
      </c>
      <c r="GJ8" s="2">
        <f t="shared" si="151"/>
        <v>0</v>
      </c>
      <c r="GK8" s="2">
        <f t="shared" si="36"/>
        <v>0</v>
      </c>
      <c r="GL8" s="2">
        <f t="shared" si="152"/>
        <v>0</v>
      </c>
      <c r="GM8" s="2"/>
      <c r="GN8" s="2">
        <f t="shared" si="37"/>
        <v>0</v>
      </c>
      <c r="GO8" s="2">
        <f t="shared" si="153"/>
        <v>0</v>
      </c>
      <c r="GP8" s="2">
        <f t="shared" si="154"/>
        <v>0</v>
      </c>
      <c r="GQ8" s="2">
        <f t="shared" si="155"/>
        <v>0</v>
      </c>
      <c r="GR8" s="2">
        <f t="shared" si="156"/>
        <v>0</v>
      </c>
      <c r="GS8" s="2">
        <f t="shared" si="157"/>
        <v>1</v>
      </c>
      <c r="GT8" s="2">
        <f t="shared" si="158"/>
        <v>1</v>
      </c>
      <c r="GU8" s="2">
        <f t="shared" si="159"/>
        <v>5</v>
      </c>
      <c r="GV8" s="2">
        <f t="shared" si="160"/>
        <v>0</v>
      </c>
      <c r="GW8" s="2">
        <f t="shared" si="161"/>
        <v>0</v>
      </c>
      <c r="GX8" s="2">
        <f t="shared" si="38"/>
        <v>1</v>
      </c>
      <c r="GY8" s="2">
        <f t="shared" si="162"/>
        <v>1</v>
      </c>
      <c r="GZ8" s="2">
        <f t="shared" si="163"/>
        <v>0</v>
      </c>
      <c r="HA8" s="2">
        <f t="shared" si="164"/>
        <v>4</v>
      </c>
      <c r="HB8" s="2">
        <f t="shared" si="39"/>
        <v>0</v>
      </c>
      <c r="HC8" s="2">
        <f t="shared" si="165"/>
        <v>1</v>
      </c>
      <c r="HD8" s="2"/>
      <c r="HE8" s="2">
        <f t="shared" si="243"/>
        <v>3</v>
      </c>
      <c r="HF8" s="2"/>
      <c r="HG8" s="41">
        <f>GE8-'Zusammenfassung Tag1-4'!$H$2/18</f>
        <v>5.2222222222222223</v>
      </c>
      <c r="HH8" s="14">
        <f t="shared" si="167"/>
        <v>32.333333333333329</v>
      </c>
      <c r="HI8" s="53">
        <v>6</v>
      </c>
      <c r="HJ8" s="2">
        <v>30</v>
      </c>
      <c r="HK8" s="56">
        <v>2</v>
      </c>
      <c r="HL8" s="2">
        <f t="shared" si="168"/>
        <v>11</v>
      </c>
      <c r="HM8" s="2">
        <f t="shared" si="229"/>
        <v>0</v>
      </c>
      <c r="HN8" s="2">
        <f t="shared" si="169"/>
        <v>0</v>
      </c>
      <c r="HO8" s="2">
        <f t="shared" si="230"/>
        <v>0</v>
      </c>
      <c r="HP8" s="2">
        <f t="shared" si="170"/>
        <v>1</v>
      </c>
      <c r="HQ8" s="2"/>
      <c r="HR8" s="2">
        <f t="shared" si="231"/>
        <v>0</v>
      </c>
      <c r="HS8" s="2">
        <f t="shared" si="171"/>
        <v>0</v>
      </c>
      <c r="HT8" s="2">
        <f t="shared" si="232"/>
        <v>0</v>
      </c>
      <c r="HU8" s="2">
        <f t="shared" si="172"/>
        <v>1</v>
      </c>
      <c r="HV8" s="2">
        <f t="shared" si="233"/>
        <v>0</v>
      </c>
      <c r="HW8" s="2">
        <f t="shared" si="173"/>
        <v>0</v>
      </c>
      <c r="HX8" s="2">
        <f t="shared" si="234"/>
        <v>1</v>
      </c>
      <c r="HY8" s="2">
        <f t="shared" si="174"/>
        <v>5</v>
      </c>
      <c r="HZ8" s="2">
        <f t="shared" si="175"/>
        <v>0</v>
      </c>
      <c r="IA8" s="2">
        <f t="shared" si="176"/>
        <v>0</v>
      </c>
      <c r="IB8" s="2">
        <f t="shared" si="40"/>
        <v>0</v>
      </c>
      <c r="IC8" s="2">
        <f t="shared" si="177"/>
        <v>1</v>
      </c>
      <c r="ID8" s="2">
        <f t="shared" si="178"/>
        <v>1</v>
      </c>
      <c r="IE8" s="2">
        <f t="shared" si="179"/>
        <v>5</v>
      </c>
      <c r="IF8" s="2">
        <f t="shared" si="41"/>
        <v>0</v>
      </c>
      <c r="IG8" s="2">
        <f t="shared" si="180"/>
        <v>0</v>
      </c>
      <c r="IH8" s="2"/>
      <c r="II8" s="2">
        <f t="shared" si="244"/>
        <v>2</v>
      </c>
      <c r="IJ8" s="2"/>
      <c r="IK8" s="41">
        <f>HI8-'Zusammenfassung Tag1-4'!$I$2/18</f>
        <v>5.1111111111111107</v>
      </c>
      <c r="IL8" s="14">
        <f t="shared" si="181"/>
        <v>30.666666666666664</v>
      </c>
      <c r="IM8" s="53">
        <v>7</v>
      </c>
      <c r="IN8" s="2">
        <v>182</v>
      </c>
      <c r="IO8" s="56">
        <v>4</v>
      </c>
      <c r="IP8" s="2">
        <f t="shared" si="182"/>
        <v>19</v>
      </c>
      <c r="IQ8" s="2">
        <f t="shared" si="42"/>
        <v>0</v>
      </c>
      <c r="IR8" s="2">
        <f t="shared" si="183"/>
        <v>2</v>
      </c>
      <c r="IS8" s="2">
        <f t="shared" si="43"/>
        <v>0</v>
      </c>
      <c r="IT8" s="2">
        <f t="shared" si="184"/>
        <v>0</v>
      </c>
      <c r="IU8" s="2"/>
      <c r="IV8" s="2">
        <f t="shared" si="44"/>
        <v>0</v>
      </c>
      <c r="IW8" s="2">
        <f t="shared" si="185"/>
        <v>0</v>
      </c>
      <c r="IX8" s="2">
        <f t="shared" si="186"/>
        <v>0</v>
      </c>
      <c r="IY8" s="2">
        <f t="shared" si="187"/>
        <v>1</v>
      </c>
      <c r="IZ8" s="2">
        <f t="shared" si="188"/>
        <v>0</v>
      </c>
      <c r="JA8" s="2">
        <f t="shared" si="189"/>
        <v>0</v>
      </c>
      <c r="JB8" s="2">
        <f t="shared" si="190"/>
        <v>1</v>
      </c>
      <c r="JC8" s="2">
        <f t="shared" si="191"/>
        <v>5</v>
      </c>
      <c r="JD8" s="2">
        <f t="shared" si="192"/>
        <v>0</v>
      </c>
      <c r="JE8" s="2">
        <f t="shared" si="193"/>
        <v>0</v>
      </c>
      <c r="JF8" s="2">
        <f t="shared" si="45"/>
        <v>0</v>
      </c>
      <c r="JG8" s="2">
        <f t="shared" si="194"/>
        <v>0</v>
      </c>
      <c r="JH8" s="2">
        <f t="shared" si="195"/>
        <v>0</v>
      </c>
      <c r="JI8" s="2">
        <f t="shared" si="196"/>
        <v>2</v>
      </c>
      <c r="JJ8" s="2">
        <f t="shared" si="46"/>
        <v>1</v>
      </c>
      <c r="JK8" s="2">
        <f t="shared" si="197"/>
        <v>4</v>
      </c>
      <c r="JL8" s="2"/>
      <c r="JM8" s="2">
        <f t="shared" si="245"/>
        <v>3</v>
      </c>
      <c r="JN8" s="2"/>
      <c r="JO8" s="41">
        <f>IM8-'Zusammenfassung Tag1-4'!$J$2/18</f>
        <v>4.6666666666666661</v>
      </c>
      <c r="JP8" s="14">
        <f t="shared" si="199"/>
        <v>27.999999999999993</v>
      </c>
      <c r="JQ8" s="53"/>
      <c r="JR8" s="2"/>
      <c r="JS8" s="56"/>
      <c r="JT8" s="2">
        <f t="shared" si="200"/>
        <v>0</v>
      </c>
      <c r="JU8" s="2">
        <f t="shared" si="47"/>
        <v>1</v>
      </c>
      <c r="JV8" s="2">
        <f t="shared" si="201"/>
        <v>6</v>
      </c>
      <c r="JW8" s="2">
        <f t="shared" si="48"/>
        <v>0</v>
      </c>
      <c r="JX8" s="2">
        <f t="shared" si="202"/>
        <v>0</v>
      </c>
      <c r="JY8" s="2"/>
      <c r="JZ8" s="2">
        <f t="shared" si="49"/>
        <v>0</v>
      </c>
      <c r="KA8" s="2">
        <f t="shared" si="203"/>
        <v>0</v>
      </c>
      <c r="KB8" s="2">
        <f t="shared" si="204"/>
        <v>0</v>
      </c>
      <c r="KC8" s="2">
        <f t="shared" si="205"/>
        <v>0</v>
      </c>
      <c r="KD8" s="2">
        <f t="shared" si="206"/>
        <v>0</v>
      </c>
      <c r="KE8" s="2">
        <f t="shared" si="207"/>
        <v>0</v>
      </c>
      <c r="KF8" s="2">
        <f t="shared" si="208"/>
        <v>0</v>
      </c>
      <c r="KG8" s="2">
        <f t="shared" si="209"/>
        <v>0</v>
      </c>
      <c r="KH8" s="2">
        <f t="shared" si="210"/>
        <v>1</v>
      </c>
      <c r="KI8" s="2">
        <f t="shared" si="211"/>
        <v>6</v>
      </c>
      <c r="KJ8" s="2">
        <f t="shared" si="50"/>
        <v>0</v>
      </c>
      <c r="KK8" s="2">
        <f t="shared" si="212"/>
        <v>0</v>
      </c>
      <c r="KL8" s="2">
        <f t="shared" si="213"/>
        <v>0</v>
      </c>
      <c r="KM8" s="2">
        <f t="shared" si="214"/>
        <v>0</v>
      </c>
      <c r="KN8" s="2">
        <f t="shared" si="51"/>
        <v>0</v>
      </c>
      <c r="KO8" s="2">
        <f t="shared" si="215"/>
        <v>0</v>
      </c>
      <c r="KP8" s="2"/>
      <c r="KQ8" s="2">
        <f t="shared" si="246"/>
        <v>-4</v>
      </c>
      <c r="KR8" s="2"/>
      <c r="KS8" s="41" t="e">
        <f>JQ8-'Zusammenfassung Tag1-4'!#REF!/18</f>
        <v>#REF!</v>
      </c>
      <c r="KT8" s="14" t="e">
        <f t="shared" si="217"/>
        <v>#REF!</v>
      </c>
    </row>
    <row r="9" spans="1:306" ht="13.2" x14ac:dyDescent="0.25">
      <c r="A9" s="179"/>
      <c r="B9" s="176"/>
      <c r="C9" s="44">
        <v>7</v>
      </c>
      <c r="D9" s="2">
        <f t="shared" si="218"/>
        <v>7</v>
      </c>
      <c r="E9" s="44">
        <v>5</v>
      </c>
      <c r="F9" s="4">
        <f t="shared" si="52"/>
        <v>29</v>
      </c>
      <c r="G9" s="56">
        <v>6</v>
      </c>
      <c r="H9" s="2">
        <f t="shared" si="219"/>
        <v>34</v>
      </c>
      <c r="I9" s="56">
        <v>2</v>
      </c>
      <c r="J9" s="2">
        <f t="shared" si="53"/>
        <v>13</v>
      </c>
      <c r="K9" s="2">
        <f t="shared" si="0"/>
        <v>0</v>
      </c>
      <c r="L9" s="2">
        <f t="shared" si="54"/>
        <v>1</v>
      </c>
      <c r="M9" s="2">
        <f t="shared" si="1"/>
        <v>0</v>
      </c>
      <c r="N9" s="2">
        <f t="shared" si="55"/>
        <v>1</v>
      </c>
      <c r="O9" s="2"/>
      <c r="P9" s="2">
        <f t="shared" si="2"/>
        <v>0</v>
      </c>
      <c r="Q9" s="2">
        <f t="shared" si="56"/>
        <v>0</v>
      </c>
      <c r="R9" s="2">
        <f t="shared" si="3"/>
        <v>0</v>
      </c>
      <c r="S9" s="2">
        <f t="shared" si="56"/>
        <v>2</v>
      </c>
      <c r="T9" s="2">
        <f t="shared" si="4"/>
        <v>1</v>
      </c>
      <c r="U9" s="2">
        <f t="shared" si="56"/>
        <v>5</v>
      </c>
      <c r="V9" s="2">
        <f t="shared" si="5"/>
        <v>0</v>
      </c>
      <c r="W9" s="2">
        <f t="shared" si="56"/>
        <v>0</v>
      </c>
      <c r="X9" s="2">
        <f t="shared" si="6"/>
        <v>0</v>
      </c>
      <c r="Y9" s="2">
        <f t="shared" si="57"/>
        <v>0</v>
      </c>
      <c r="Z9" s="2">
        <f t="shared" si="7"/>
        <v>0</v>
      </c>
      <c r="AA9" s="2">
        <f t="shared" si="58"/>
        <v>1</v>
      </c>
      <c r="AB9" s="2">
        <f t="shared" si="8"/>
        <v>1</v>
      </c>
      <c r="AC9" s="2">
        <f t="shared" si="58"/>
        <v>6</v>
      </c>
      <c r="AD9" s="2">
        <f t="shared" si="9"/>
        <v>0</v>
      </c>
      <c r="AE9" s="2">
        <f t="shared" si="59"/>
        <v>0</v>
      </c>
      <c r="AF9" s="2"/>
      <c r="AG9" s="2"/>
      <c r="AH9" s="2">
        <f>IF($E9=5,G9-5,NA())</f>
        <v>1</v>
      </c>
      <c r="AI9" s="41">
        <f>G9-'Zusammenfassung Tag1-4'!$B$2/18</f>
        <v>5.166666666666667</v>
      </c>
      <c r="AJ9" s="13">
        <f t="shared" si="60"/>
        <v>28.166666666666671</v>
      </c>
      <c r="AK9" s="53">
        <v>8</v>
      </c>
      <c r="AL9" s="2">
        <f t="shared" si="220"/>
        <v>39</v>
      </c>
      <c r="AM9" s="56">
        <v>2</v>
      </c>
      <c r="AN9" s="2">
        <f t="shared" si="61"/>
        <v>14</v>
      </c>
      <c r="AO9" s="2">
        <f t="shared" si="10"/>
        <v>0</v>
      </c>
      <c r="AP9" s="2">
        <f t="shared" si="62"/>
        <v>3</v>
      </c>
      <c r="AQ9" s="2">
        <f t="shared" si="11"/>
        <v>0</v>
      </c>
      <c r="AR9" s="2">
        <f t="shared" si="63"/>
        <v>1</v>
      </c>
      <c r="AS9" s="2"/>
      <c r="AT9" s="2">
        <f t="shared" si="12"/>
        <v>0</v>
      </c>
      <c r="AU9" s="2">
        <f t="shared" si="64"/>
        <v>0</v>
      </c>
      <c r="AV9" s="2">
        <f t="shared" si="65"/>
        <v>0</v>
      </c>
      <c r="AW9" s="2">
        <f t="shared" si="66"/>
        <v>3</v>
      </c>
      <c r="AX9" s="2">
        <f t="shared" si="67"/>
        <v>0</v>
      </c>
      <c r="AY9" s="2">
        <f t="shared" si="68"/>
        <v>2</v>
      </c>
      <c r="AZ9" s="2">
        <f t="shared" si="69"/>
        <v>1</v>
      </c>
      <c r="BA9" s="2">
        <f t="shared" si="70"/>
        <v>2</v>
      </c>
      <c r="BB9" s="2">
        <f t="shared" si="71"/>
        <v>0</v>
      </c>
      <c r="BC9" s="2">
        <f t="shared" si="72"/>
        <v>0</v>
      </c>
      <c r="BD9" s="2">
        <f t="shared" si="13"/>
        <v>0</v>
      </c>
      <c r="BE9" s="2">
        <f t="shared" si="73"/>
        <v>1</v>
      </c>
      <c r="BF9" s="2">
        <f t="shared" si="74"/>
        <v>1</v>
      </c>
      <c r="BG9" s="2">
        <f t="shared" si="75"/>
        <v>5</v>
      </c>
      <c r="BH9" s="2">
        <f t="shared" si="14"/>
        <v>0</v>
      </c>
      <c r="BI9" s="2">
        <f t="shared" si="76"/>
        <v>1</v>
      </c>
      <c r="BJ9" s="2"/>
      <c r="BK9" s="2"/>
      <c r="BL9" s="2">
        <f t="shared" ref="BL9" si="247">IF($E9=5,AK9-5,NA())</f>
        <v>3</v>
      </c>
      <c r="BM9" s="41">
        <f>AK9-'Zusammenfassung Tag1-4'!$C$2/18</f>
        <v>7.4444444444444446</v>
      </c>
      <c r="BN9" s="13">
        <f t="shared" si="78"/>
        <v>35.111111111111107</v>
      </c>
      <c r="BO9" s="53">
        <v>6</v>
      </c>
      <c r="BP9" s="2">
        <f t="shared" si="222"/>
        <v>41</v>
      </c>
      <c r="BQ9" s="56">
        <v>2</v>
      </c>
      <c r="BR9" s="2">
        <f t="shared" si="79"/>
        <v>16</v>
      </c>
      <c r="BS9" s="2">
        <f t="shared" si="15"/>
        <v>0</v>
      </c>
      <c r="BT9" s="2">
        <f t="shared" si="80"/>
        <v>2</v>
      </c>
      <c r="BU9" s="2">
        <f t="shared" si="16"/>
        <v>0</v>
      </c>
      <c r="BV9" s="2">
        <f t="shared" si="81"/>
        <v>0</v>
      </c>
      <c r="BW9" s="2"/>
      <c r="BX9" s="2">
        <f t="shared" si="17"/>
        <v>0</v>
      </c>
      <c r="BY9" s="2">
        <f t="shared" si="82"/>
        <v>0</v>
      </c>
      <c r="BZ9" s="2">
        <f t="shared" si="83"/>
        <v>0</v>
      </c>
      <c r="CA9" s="2">
        <f t="shared" si="84"/>
        <v>1</v>
      </c>
      <c r="CB9" s="2">
        <f t="shared" si="85"/>
        <v>1</v>
      </c>
      <c r="CC9" s="2">
        <f t="shared" si="86"/>
        <v>3</v>
      </c>
      <c r="CD9" s="2">
        <f t="shared" si="87"/>
        <v>0</v>
      </c>
      <c r="CE9" s="2">
        <f t="shared" si="88"/>
        <v>3</v>
      </c>
      <c r="CF9" s="2">
        <f t="shared" si="89"/>
        <v>0</v>
      </c>
      <c r="CG9" s="2">
        <f t="shared" si="82"/>
        <v>0</v>
      </c>
      <c r="CH9" s="2">
        <f t="shared" si="18"/>
        <v>0</v>
      </c>
      <c r="CI9" s="2">
        <f t="shared" si="90"/>
        <v>0</v>
      </c>
      <c r="CJ9" s="2">
        <f t="shared" si="91"/>
        <v>1</v>
      </c>
      <c r="CK9" s="2">
        <f t="shared" si="92"/>
        <v>5</v>
      </c>
      <c r="CL9" s="2">
        <f t="shared" si="19"/>
        <v>0</v>
      </c>
      <c r="CM9" s="2">
        <f t="shared" si="93"/>
        <v>2</v>
      </c>
      <c r="CN9" s="2"/>
      <c r="CO9" s="2"/>
      <c r="CP9" s="2">
        <f t="shared" ref="CP9" si="248">IF($E9=5,BO9-5,NA())</f>
        <v>1</v>
      </c>
      <c r="CQ9" s="41">
        <f>BO9-'Zusammenfassung Tag1-4'!$D$2/18</f>
        <v>4.9444444444444446</v>
      </c>
      <c r="CR9" s="13">
        <f t="shared" si="95"/>
        <v>33.611111111111107</v>
      </c>
      <c r="CS9" s="53">
        <v>8</v>
      </c>
      <c r="CT9" s="2">
        <f t="shared" si="224"/>
        <v>39</v>
      </c>
      <c r="CU9" s="56">
        <v>2</v>
      </c>
      <c r="CV9" s="2">
        <f t="shared" si="96"/>
        <v>18</v>
      </c>
      <c r="CW9" s="2">
        <f t="shared" si="20"/>
        <v>0</v>
      </c>
      <c r="CX9" s="2">
        <f t="shared" si="97"/>
        <v>4</v>
      </c>
      <c r="CY9" s="2">
        <f t="shared" si="21"/>
        <v>0</v>
      </c>
      <c r="CZ9" s="2">
        <f t="shared" si="98"/>
        <v>0</v>
      </c>
      <c r="DA9" s="2"/>
      <c r="DB9" s="2">
        <f t="shared" si="22"/>
        <v>0</v>
      </c>
      <c r="DC9" s="2">
        <f t="shared" si="99"/>
        <v>0</v>
      </c>
      <c r="DD9" s="2">
        <f t="shared" si="100"/>
        <v>0</v>
      </c>
      <c r="DE9" s="2">
        <f t="shared" si="101"/>
        <v>1</v>
      </c>
      <c r="DF9" s="2">
        <f t="shared" si="102"/>
        <v>0</v>
      </c>
      <c r="DG9" s="2">
        <f t="shared" si="103"/>
        <v>3</v>
      </c>
      <c r="DH9" s="2">
        <f t="shared" si="104"/>
        <v>1</v>
      </c>
      <c r="DI9" s="2">
        <f t="shared" si="105"/>
        <v>3</v>
      </c>
      <c r="DJ9" s="2">
        <f t="shared" si="106"/>
        <v>0</v>
      </c>
      <c r="DK9" s="2">
        <f t="shared" si="107"/>
        <v>0</v>
      </c>
      <c r="DL9" s="2">
        <f t="shared" si="23"/>
        <v>0</v>
      </c>
      <c r="DM9" s="2">
        <f t="shared" si="108"/>
        <v>0</v>
      </c>
      <c r="DN9" s="2">
        <f t="shared" si="109"/>
        <v>1</v>
      </c>
      <c r="DO9" s="2">
        <f t="shared" si="110"/>
        <v>3</v>
      </c>
      <c r="DP9" s="2">
        <f t="shared" si="24"/>
        <v>0</v>
      </c>
      <c r="DQ9" s="2">
        <f t="shared" si="111"/>
        <v>4</v>
      </c>
      <c r="DR9" s="2"/>
      <c r="DS9" s="2"/>
      <c r="DT9" s="2">
        <f t="shared" ref="DT9" si="249">IF($E9=5,CS9-5,NA())</f>
        <v>3</v>
      </c>
      <c r="DU9" s="41">
        <f>CS9-'Zusammenfassung Tag1-4'!$E$2/18</f>
        <v>7</v>
      </c>
      <c r="DV9" s="14">
        <f t="shared" si="113"/>
        <v>32</v>
      </c>
      <c r="DW9" s="53">
        <v>10</v>
      </c>
      <c r="DX9" s="2">
        <v>118</v>
      </c>
      <c r="DY9" s="56">
        <v>3</v>
      </c>
      <c r="DZ9" s="2">
        <f t="shared" si="114"/>
        <v>18</v>
      </c>
      <c r="EA9" s="2">
        <f t="shared" si="25"/>
        <v>0</v>
      </c>
      <c r="EB9" s="2">
        <f t="shared" si="115"/>
        <v>0</v>
      </c>
      <c r="EC9" s="2">
        <f t="shared" si="26"/>
        <v>0</v>
      </c>
      <c r="ED9" s="2">
        <f t="shared" si="116"/>
        <v>0</v>
      </c>
      <c r="EE9" s="2"/>
      <c r="EF9" s="2">
        <f t="shared" si="27"/>
        <v>0</v>
      </c>
      <c r="EG9" s="2">
        <f t="shared" si="117"/>
        <v>0</v>
      </c>
      <c r="EH9" s="2">
        <f t="shared" si="118"/>
        <v>0</v>
      </c>
      <c r="EI9" s="2">
        <f t="shared" si="119"/>
        <v>0</v>
      </c>
      <c r="EJ9" s="2">
        <f t="shared" si="120"/>
        <v>0</v>
      </c>
      <c r="EK9" s="2">
        <f t="shared" si="121"/>
        <v>0</v>
      </c>
      <c r="EL9" s="2">
        <f t="shared" si="122"/>
        <v>1</v>
      </c>
      <c r="EM9" s="2">
        <f t="shared" si="123"/>
        <v>7</v>
      </c>
      <c r="EN9" s="2">
        <f t="shared" si="124"/>
        <v>0</v>
      </c>
      <c r="EO9" s="2">
        <f t="shared" si="125"/>
        <v>0</v>
      </c>
      <c r="EP9" s="2">
        <f t="shared" si="28"/>
        <v>0</v>
      </c>
      <c r="EQ9" s="2">
        <f t="shared" si="126"/>
        <v>0</v>
      </c>
      <c r="ER9" s="2">
        <f t="shared" si="127"/>
        <v>0</v>
      </c>
      <c r="ES9" s="2">
        <f t="shared" si="128"/>
        <v>3</v>
      </c>
      <c r="ET9" s="2">
        <f t="shared" si="29"/>
        <v>1</v>
      </c>
      <c r="EU9" s="2">
        <f t="shared" si="129"/>
        <v>4</v>
      </c>
      <c r="EV9" s="2"/>
      <c r="EW9" s="2"/>
      <c r="EX9" s="2">
        <f t="shared" ref="EX9" si="250">IF($E9=5,DW9-5,NA())</f>
        <v>5</v>
      </c>
      <c r="EY9" s="41">
        <f>DW9-'Zusammenfassung Tag1-4'!$F$2/18</f>
        <v>7.5</v>
      </c>
      <c r="EZ9" s="14">
        <f t="shared" si="131"/>
        <v>36.5</v>
      </c>
      <c r="FA9" s="53">
        <v>8</v>
      </c>
      <c r="FB9" s="2">
        <v>41</v>
      </c>
      <c r="FC9" s="56">
        <v>1</v>
      </c>
      <c r="FD9" s="2">
        <f t="shared" si="132"/>
        <v>14</v>
      </c>
      <c r="FE9" s="2">
        <f t="shared" si="30"/>
        <v>0</v>
      </c>
      <c r="FF9" s="2">
        <f t="shared" si="133"/>
        <v>0</v>
      </c>
      <c r="FG9" s="2">
        <f t="shared" si="31"/>
        <v>0</v>
      </c>
      <c r="FH9" s="2">
        <f t="shared" si="134"/>
        <v>0</v>
      </c>
      <c r="FI9" s="2"/>
      <c r="FJ9" s="2">
        <f t="shared" si="32"/>
        <v>0</v>
      </c>
      <c r="FK9" s="2">
        <f t="shared" si="135"/>
        <v>0</v>
      </c>
      <c r="FL9" s="2">
        <f t="shared" si="136"/>
        <v>0</v>
      </c>
      <c r="FM9" s="2">
        <f t="shared" si="137"/>
        <v>0</v>
      </c>
      <c r="FN9" s="2">
        <f t="shared" si="138"/>
        <v>0</v>
      </c>
      <c r="FO9" s="2">
        <f t="shared" si="139"/>
        <v>2</v>
      </c>
      <c r="FP9" s="2">
        <f t="shared" si="140"/>
        <v>1</v>
      </c>
      <c r="FQ9" s="2">
        <f t="shared" si="141"/>
        <v>5</v>
      </c>
      <c r="FR9" s="2">
        <f t="shared" si="142"/>
        <v>0</v>
      </c>
      <c r="FS9" s="2">
        <f t="shared" si="143"/>
        <v>0</v>
      </c>
      <c r="FT9" s="2">
        <f t="shared" si="33"/>
        <v>1</v>
      </c>
      <c r="FU9" s="2">
        <f t="shared" si="144"/>
        <v>1</v>
      </c>
      <c r="FV9" s="2">
        <f t="shared" si="145"/>
        <v>0</v>
      </c>
      <c r="FW9" s="2">
        <f t="shared" si="146"/>
        <v>5</v>
      </c>
      <c r="FX9" s="2">
        <f t="shared" si="34"/>
        <v>0</v>
      </c>
      <c r="FY9" s="2">
        <f t="shared" si="147"/>
        <v>1</v>
      </c>
      <c r="FZ9" s="2"/>
      <c r="GA9" s="2"/>
      <c r="GB9" s="2">
        <f t="shared" ref="GB9" si="251">IF($E9=5,FA9-5,NA())</f>
        <v>3</v>
      </c>
      <c r="GC9" s="41">
        <f>FA9-'Zusammenfassung Tag1-4'!$G$2/18</f>
        <v>6.7222222222222223</v>
      </c>
      <c r="GD9" s="14">
        <f t="shared" si="149"/>
        <v>35.055555555555557</v>
      </c>
      <c r="GE9" s="53">
        <v>10</v>
      </c>
      <c r="GF9" s="2">
        <v>55</v>
      </c>
      <c r="GG9" s="56">
        <v>2</v>
      </c>
      <c r="GH9" s="2">
        <f t="shared" si="150"/>
        <v>14</v>
      </c>
      <c r="GI9" s="2">
        <f t="shared" si="35"/>
        <v>0</v>
      </c>
      <c r="GJ9" s="2">
        <f t="shared" si="151"/>
        <v>0</v>
      </c>
      <c r="GK9" s="2">
        <f t="shared" si="36"/>
        <v>0</v>
      </c>
      <c r="GL9" s="2">
        <f t="shared" si="152"/>
        <v>0</v>
      </c>
      <c r="GM9" s="2"/>
      <c r="GN9" s="2">
        <f t="shared" si="37"/>
        <v>0</v>
      </c>
      <c r="GO9" s="2">
        <f t="shared" si="153"/>
        <v>0</v>
      </c>
      <c r="GP9" s="2">
        <f t="shared" si="154"/>
        <v>0</v>
      </c>
      <c r="GQ9" s="2">
        <f t="shared" si="155"/>
        <v>0</v>
      </c>
      <c r="GR9" s="2">
        <f t="shared" si="156"/>
        <v>0</v>
      </c>
      <c r="GS9" s="2">
        <f t="shared" si="157"/>
        <v>1</v>
      </c>
      <c r="GT9" s="2">
        <f t="shared" si="158"/>
        <v>1</v>
      </c>
      <c r="GU9" s="2">
        <f t="shared" si="159"/>
        <v>6</v>
      </c>
      <c r="GV9" s="2">
        <f t="shared" si="160"/>
        <v>0</v>
      </c>
      <c r="GW9" s="2">
        <f t="shared" si="161"/>
        <v>0</v>
      </c>
      <c r="GX9" s="2">
        <f t="shared" si="38"/>
        <v>0</v>
      </c>
      <c r="GY9" s="2">
        <f t="shared" si="162"/>
        <v>1</v>
      </c>
      <c r="GZ9" s="2">
        <f t="shared" si="163"/>
        <v>1</v>
      </c>
      <c r="HA9" s="2">
        <f t="shared" si="164"/>
        <v>5</v>
      </c>
      <c r="HB9" s="2">
        <f t="shared" si="39"/>
        <v>0</v>
      </c>
      <c r="HC9" s="2">
        <f t="shared" si="165"/>
        <v>1</v>
      </c>
      <c r="HD9" s="2"/>
      <c r="HE9" s="2"/>
      <c r="HF9" s="2">
        <f t="shared" ref="HF9" si="252">IF($E9=5,GE9-5,NA())</f>
        <v>5</v>
      </c>
      <c r="HG9" s="41">
        <f>GE9-'Zusammenfassung Tag1-4'!$H$2/18</f>
        <v>8.2222222222222214</v>
      </c>
      <c r="HH9" s="14">
        <f t="shared" si="167"/>
        <v>40.55555555555555</v>
      </c>
      <c r="HI9" s="53">
        <v>7</v>
      </c>
      <c r="HJ9" s="2">
        <v>36</v>
      </c>
      <c r="HK9" s="56">
        <v>1</v>
      </c>
      <c r="HL9" s="2">
        <f t="shared" si="168"/>
        <v>12</v>
      </c>
      <c r="HM9" s="2">
        <f t="shared" si="229"/>
        <v>0</v>
      </c>
      <c r="HN9" s="2">
        <f t="shared" si="169"/>
        <v>0</v>
      </c>
      <c r="HO9" s="2">
        <f t="shared" si="230"/>
        <v>0</v>
      </c>
      <c r="HP9" s="2">
        <f t="shared" si="170"/>
        <v>1</v>
      </c>
      <c r="HQ9" s="2"/>
      <c r="HR9" s="2">
        <f t="shared" si="231"/>
        <v>0</v>
      </c>
      <c r="HS9" s="2">
        <f t="shared" si="171"/>
        <v>0</v>
      </c>
      <c r="HT9" s="2">
        <f t="shared" si="232"/>
        <v>0</v>
      </c>
      <c r="HU9" s="2">
        <f t="shared" si="172"/>
        <v>1</v>
      </c>
      <c r="HV9" s="2">
        <f t="shared" si="233"/>
        <v>0</v>
      </c>
      <c r="HW9" s="2">
        <f t="shared" si="173"/>
        <v>0</v>
      </c>
      <c r="HX9" s="2">
        <f t="shared" si="234"/>
        <v>1</v>
      </c>
      <c r="HY9" s="2">
        <f t="shared" si="174"/>
        <v>6</v>
      </c>
      <c r="HZ9" s="2">
        <f t="shared" si="175"/>
        <v>0</v>
      </c>
      <c r="IA9" s="2">
        <f t="shared" si="176"/>
        <v>0</v>
      </c>
      <c r="IB9" s="2">
        <f t="shared" si="40"/>
        <v>1</v>
      </c>
      <c r="IC9" s="2">
        <f t="shared" si="177"/>
        <v>2</v>
      </c>
      <c r="ID9" s="2">
        <f t="shared" si="178"/>
        <v>0</v>
      </c>
      <c r="IE9" s="2">
        <f t="shared" si="179"/>
        <v>5</v>
      </c>
      <c r="IF9" s="2">
        <f t="shared" si="41"/>
        <v>0</v>
      </c>
      <c r="IG9" s="2">
        <f t="shared" si="180"/>
        <v>0</v>
      </c>
      <c r="IH9" s="2"/>
      <c r="II9" s="2"/>
      <c r="IJ9" s="2">
        <f t="shared" ref="IJ9" si="253">IF($E9=5,HI9-5,NA())</f>
        <v>2</v>
      </c>
      <c r="IK9" s="41">
        <f>HI9-'Zusammenfassung Tag1-4'!$I$2/18</f>
        <v>6.1111111111111107</v>
      </c>
      <c r="IL9" s="14">
        <f t="shared" si="181"/>
        <v>36.777777777777771</v>
      </c>
      <c r="IM9" s="53">
        <v>9</v>
      </c>
      <c r="IN9" s="2">
        <v>189</v>
      </c>
      <c r="IO9" s="56">
        <v>2</v>
      </c>
      <c r="IP9" s="2">
        <f t="shared" si="182"/>
        <v>21</v>
      </c>
      <c r="IQ9" s="2">
        <f t="shared" si="42"/>
        <v>0</v>
      </c>
      <c r="IR9" s="2">
        <f t="shared" si="183"/>
        <v>2</v>
      </c>
      <c r="IS9" s="2">
        <f t="shared" si="43"/>
        <v>0</v>
      </c>
      <c r="IT9" s="2">
        <f t="shared" si="184"/>
        <v>0</v>
      </c>
      <c r="IU9" s="2"/>
      <c r="IV9" s="2">
        <f t="shared" si="44"/>
        <v>0</v>
      </c>
      <c r="IW9" s="2">
        <f t="shared" si="185"/>
        <v>0</v>
      </c>
      <c r="IX9" s="2">
        <f t="shared" si="186"/>
        <v>0</v>
      </c>
      <c r="IY9" s="2">
        <f t="shared" si="187"/>
        <v>1</v>
      </c>
      <c r="IZ9" s="2">
        <f t="shared" si="188"/>
        <v>0</v>
      </c>
      <c r="JA9" s="2">
        <f t="shared" si="189"/>
        <v>0</v>
      </c>
      <c r="JB9" s="2">
        <f t="shared" si="190"/>
        <v>1</v>
      </c>
      <c r="JC9" s="2">
        <f t="shared" si="191"/>
        <v>6</v>
      </c>
      <c r="JD9" s="2">
        <f t="shared" si="192"/>
        <v>0</v>
      </c>
      <c r="JE9" s="2">
        <f t="shared" si="193"/>
        <v>0</v>
      </c>
      <c r="JF9" s="2">
        <f t="shared" si="45"/>
        <v>0</v>
      </c>
      <c r="JG9" s="2">
        <f t="shared" si="194"/>
        <v>0</v>
      </c>
      <c r="JH9" s="2">
        <f t="shared" si="195"/>
        <v>1</v>
      </c>
      <c r="JI9" s="2">
        <f t="shared" si="196"/>
        <v>3</v>
      </c>
      <c r="JJ9" s="2">
        <f t="shared" si="46"/>
        <v>0</v>
      </c>
      <c r="JK9" s="2">
        <f t="shared" si="197"/>
        <v>4</v>
      </c>
      <c r="JL9" s="2"/>
      <c r="JM9" s="2"/>
      <c r="JN9" s="2">
        <f t="shared" ref="JN9" si="254">IF($E9=5,IM9-5,NA())</f>
        <v>4</v>
      </c>
      <c r="JO9" s="41">
        <f>IM9-'Zusammenfassung Tag1-4'!$J$2/18</f>
        <v>6.6666666666666661</v>
      </c>
      <c r="JP9" s="14">
        <f t="shared" si="199"/>
        <v>34.666666666666657</v>
      </c>
      <c r="JQ9" s="53"/>
      <c r="JR9" s="2"/>
      <c r="JS9" s="56"/>
      <c r="JT9" s="2">
        <f t="shared" si="200"/>
        <v>0</v>
      </c>
      <c r="JU9" s="2">
        <f t="shared" si="47"/>
        <v>1</v>
      </c>
      <c r="JV9" s="2">
        <f t="shared" si="201"/>
        <v>7</v>
      </c>
      <c r="JW9" s="2">
        <f t="shared" si="48"/>
        <v>0</v>
      </c>
      <c r="JX9" s="2">
        <f t="shared" si="202"/>
        <v>0</v>
      </c>
      <c r="JY9" s="2"/>
      <c r="JZ9" s="2">
        <f t="shared" si="49"/>
        <v>0</v>
      </c>
      <c r="KA9" s="2">
        <f t="shared" si="203"/>
        <v>0</v>
      </c>
      <c r="KB9" s="2">
        <f t="shared" si="204"/>
        <v>0</v>
      </c>
      <c r="KC9" s="2">
        <f t="shared" si="205"/>
        <v>0</v>
      </c>
      <c r="KD9" s="2">
        <f t="shared" si="206"/>
        <v>0</v>
      </c>
      <c r="KE9" s="2">
        <f t="shared" si="207"/>
        <v>0</v>
      </c>
      <c r="KF9" s="2">
        <f t="shared" si="208"/>
        <v>0</v>
      </c>
      <c r="KG9" s="2">
        <f t="shared" si="209"/>
        <v>0</v>
      </c>
      <c r="KH9" s="2">
        <f t="shared" si="210"/>
        <v>1</v>
      </c>
      <c r="KI9" s="2">
        <f t="shared" si="211"/>
        <v>7</v>
      </c>
      <c r="KJ9" s="2">
        <f t="shared" si="50"/>
        <v>0</v>
      </c>
      <c r="KK9" s="2">
        <f t="shared" si="212"/>
        <v>0</v>
      </c>
      <c r="KL9" s="2">
        <f t="shared" si="213"/>
        <v>0</v>
      </c>
      <c r="KM9" s="2">
        <f t="shared" si="214"/>
        <v>0</v>
      </c>
      <c r="KN9" s="2">
        <f t="shared" si="51"/>
        <v>0</v>
      </c>
      <c r="KO9" s="2">
        <f t="shared" si="215"/>
        <v>0</v>
      </c>
      <c r="KP9" s="2"/>
      <c r="KQ9" s="2"/>
      <c r="KR9" s="2">
        <f t="shared" ref="KR9" si="255">IF($E9=5,JQ9-5,NA())</f>
        <v>-5</v>
      </c>
      <c r="KS9" s="41" t="e">
        <f>JQ9-'Zusammenfassung Tag1-4'!#REF!/18</f>
        <v>#REF!</v>
      </c>
      <c r="KT9" s="14" t="e">
        <f t="shared" si="217"/>
        <v>#REF!</v>
      </c>
    </row>
    <row r="10" spans="1:306" ht="13.2" x14ac:dyDescent="0.25">
      <c r="A10" s="179"/>
      <c r="B10" s="176"/>
      <c r="C10" s="44">
        <v>8</v>
      </c>
      <c r="D10" s="2">
        <f t="shared" si="218"/>
        <v>8</v>
      </c>
      <c r="E10" s="44">
        <v>3</v>
      </c>
      <c r="F10" s="4">
        <f t="shared" si="52"/>
        <v>32</v>
      </c>
      <c r="G10" s="56">
        <v>3</v>
      </c>
      <c r="H10" s="2">
        <f t="shared" si="219"/>
        <v>37</v>
      </c>
      <c r="I10" s="56">
        <v>2</v>
      </c>
      <c r="J10" s="2">
        <f t="shared" si="53"/>
        <v>15</v>
      </c>
      <c r="K10" s="2">
        <f t="shared" si="0"/>
        <v>1</v>
      </c>
      <c r="L10" s="2">
        <f t="shared" si="54"/>
        <v>2</v>
      </c>
      <c r="M10" s="2">
        <f t="shared" si="1"/>
        <v>0</v>
      </c>
      <c r="N10" s="2">
        <f t="shared" si="55"/>
        <v>1</v>
      </c>
      <c r="O10" s="2"/>
      <c r="P10" s="2">
        <f t="shared" si="2"/>
        <v>0</v>
      </c>
      <c r="Q10" s="2">
        <f t="shared" si="56"/>
        <v>0</v>
      </c>
      <c r="R10" s="2">
        <f t="shared" si="3"/>
        <v>1</v>
      </c>
      <c r="S10" s="2">
        <f t="shared" si="56"/>
        <v>3</v>
      </c>
      <c r="T10" s="2">
        <f t="shared" si="4"/>
        <v>0</v>
      </c>
      <c r="U10" s="2">
        <f t="shared" si="56"/>
        <v>5</v>
      </c>
      <c r="V10" s="2">
        <f t="shared" si="5"/>
        <v>0</v>
      </c>
      <c r="W10" s="2">
        <f t="shared" si="56"/>
        <v>0</v>
      </c>
      <c r="X10" s="2">
        <f t="shared" si="6"/>
        <v>0</v>
      </c>
      <c r="Y10" s="2">
        <f t="shared" si="57"/>
        <v>0</v>
      </c>
      <c r="Z10" s="2">
        <f t="shared" si="7"/>
        <v>0</v>
      </c>
      <c r="AA10" s="2">
        <f t="shared" si="58"/>
        <v>1</v>
      </c>
      <c r="AB10" s="2">
        <f t="shared" si="8"/>
        <v>1</v>
      </c>
      <c r="AC10" s="2">
        <f t="shared" si="58"/>
        <v>7</v>
      </c>
      <c r="AD10" s="2">
        <f t="shared" si="9"/>
        <v>0</v>
      </c>
      <c r="AE10" s="2">
        <f t="shared" si="59"/>
        <v>0</v>
      </c>
      <c r="AF10" s="2">
        <f>IF($E10=3,G10-3,NA())</f>
        <v>0</v>
      </c>
      <c r="AG10" s="2"/>
      <c r="AH10" s="2"/>
      <c r="AI10" s="41">
        <f>G10-'Zusammenfassung Tag1-4'!$B$2/18</f>
        <v>2.1666666666666665</v>
      </c>
      <c r="AJ10" s="13">
        <f t="shared" si="60"/>
        <v>30.333333333333339</v>
      </c>
      <c r="AK10" s="53">
        <v>3</v>
      </c>
      <c r="AL10" s="2">
        <f t="shared" si="220"/>
        <v>42</v>
      </c>
      <c r="AM10" s="56">
        <v>2</v>
      </c>
      <c r="AN10" s="2">
        <f t="shared" si="61"/>
        <v>16</v>
      </c>
      <c r="AO10" s="2">
        <f t="shared" si="10"/>
        <v>1</v>
      </c>
      <c r="AP10" s="2">
        <f t="shared" si="62"/>
        <v>4</v>
      </c>
      <c r="AQ10" s="2">
        <f t="shared" si="11"/>
        <v>0</v>
      </c>
      <c r="AR10" s="2">
        <f t="shared" si="63"/>
        <v>1</v>
      </c>
      <c r="AS10" s="2"/>
      <c r="AT10" s="2">
        <f t="shared" si="12"/>
        <v>0</v>
      </c>
      <c r="AU10" s="2">
        <f t="shared" si="64"/>
        <v>0</v>
      </c>
      <c r="AV10" s="2">
        <f t="shared" si="65"/>
        <v>1</v>
      </c>
      <c r="AW10" s="2">
        <f t="shared" si="66"/>
        <v>4</v>
      </c>
      <c r="AX10" s="2">
        <f t="shared" si="67"/>
        <v>0</v>
      </c>
      <c r="AY10" s="2">
        <f t="shared" si="68"/>
        <v>2</v>
      </c>
      <c r="AZ10" s="2">
        <f t="shared" si="69"/>
        <v>0</v>
      </c>
      <c r="BA10" s="2">
        <f t="shared" si="70"/>
        <v>2</v>
      </c>
      <c r="BB10" s="2">
        <f t="shared" si="71"/>
        <v>0</v>
      </c>
      <c r="BC10" s="2">
        <f t="shared" si="72"/>
        <v>0</v>
      </c>
      <c r="BD10" s="2">
        <f t="shared" si="13"/>
        <v>0</v>
      </c>
      <c r="BE10" s="2">
        <f t="shared" si="73"/>
        <v>1</v>
      </c>
      <c r="BF10" s="2">
        <f t="shared" si="74"/>
        <v>1</v>
      </c>
      <c r="BG10" s="2">
        <f t="shared" si="75"/>
        <v>6</v>
      </c>
      <c r="BH10" s="2">
        <f t="shared" si="14"/>
        <v>0</v>
      </c>
      <c r="BI10" s="2">
        <f t="shared" si="76"/>
        <v>1</v>
      </c>
      <c r="BJ10" s="2">
        <f t="shared" ref="BJ10" si="256">IF($E10=3,AK10-3,NA())</f>
        <v>0</v>
      </c>
      <c r="BK10" s="2"/>
      <c r="BL10" s="2"/>
      <c r="BM10" s="41">
        <f>AK10-'Zusammenfassung Tag1-4'!$C$2/18</f>
        <v>2.4444444444444446</v>
      </c>
      <c r="BN10" s="13">
        <f t="shared" si="78"/>
        <v>37.55555555555555</v>
      </c>
      <c r="BO10" s="53">
        <v>4</v>
      </c>
      <c r="BP10" s="2">
        <f t="shared" si="222"/>
        <v>45</v>
      </c>
      <c r="BQ10" s="56">
        <v>3</v>
      </c>
      <c r="BR10" s="2">
        <f t="shared" si="79"/>
        <v>19</v>
      </c>
      <c r="BS10" s="2">
        <f t="shared" si="15"/>
        <v>1</v>
      </c>
      <c r="BT10" s="2">
        <f t="shared" si="80"/>
        <v>3</v>
      </c>
      <c r="BU10" s="2">
        <f t="shared" si="16"/>
        <v>0</v>
      </c>
      <c r="BV10" s="2">
        <f t="shared" si="81"/>
        <v>0</v>
      </c>
      <c r="BW10" s="2"/>
      <c r="BX10" s="2">
        <f t="shared" si="17"/>
        <v>0</v>
      </c>
      <c r="BY10" s="2">
        <f t="shared" si="82"/>
        <v>0</v>
      </c>
      <c r="BZ10" s="2">
        <f t="shared" si="83"/>
        <v>0</v>
      </c>
      <c r="CA10" s="2">
        <f t="shared" si="84"/>
        <v>1</v>
      </c>
      <c r="CB10" s="2">
        <f t="shared" si="85"/>
        <v>1</v>
      </c>
      <c r="CC10" s="2">
        <f t="shared" si="86"/>
        <v>4</v>
      </c>
      <c r="CD10" s="2">
        <f t="shared" si="87"/>
        <v>0</v>
      </c>
      <c r="CE10" s="2">
        <f t="shared" si="88"/>
        <v>3</v>
      </c>
      <c r="CF10" s="2">
        <f t="shared" si="89"/>
        <v>0</v>
      </c>
      <c r="CG10" s="2">
        <f t="shared" si="82"/>
        <v>0</v>
      </c>
      <c r="CH10" s="2">
        <f t="shared" si="18"/>
        <v>0</v>
      </c>
      <c r="CI10" s="2">
        <f t="shared" si="90"/>
        <v>0</v>
      </c>
      <c r="CJ10" s="2">
        <f t="shared" si="91"/>
        <v>0</v>
      </c>
      <c r="CK10" s="2">
        <f t="shared" si="92"/>
        <v>5</v>
      </c>
      <c r="CL10" s="2">
        <f t="shared" si="19"/>
        <v>1</v>
      </c>
      <c r="CM10" s="2">
        <f t="shared" si="93"/>
        <v>3</v>
      </c>
      <c r="CN10" s="2">
        <f t="shared" ref="CN10" si="257">IF($E10=3,BO10-3,NA())</f>
        <v>1</v>
      </c>
      <c r="CO10" s="2"/>
      <c r="CP10" s="2"/>
      <c r="CQ10" s="41">
        <f>BO10-'Zusammenfassung Tag1-4'!$D$2/18</f>
        <v>2.9444444444444446</v>
      </c>
      <c r="CR10" s="13">
        <f t="shared" si="95"/>
        <v>36.55555555555555</v>
      </c>
      <c r="CS10" s="53">
        <v>4</v>
      </c>
      <c r="CT10" s="2">
        <f t="shared" si="224"/>
        <v>43</v>
      </c>
      <c r="CU10" s="56">
        <v>2</v>
      </c>
      <c r="CV10" s="2">
        <f t="shared" si="96"/>
        <v>20</v>
      </c>
      <c r="CW10" s="2">
        <f t="shared" si="20"/>
        <v>0</v>
      </c>
      <c r="CX10" s="2">
        <f t="shared" si="97"/>
        <v>4</v>
      </c>
      <c r="CY10" s="2">
        <f t="shared" si="21"/>
        <v>0</v>
      </c>
      <c r="CZ10" s="2">
        <f t="shared" si="98"/>
        <v>0</v>
      </c>
      <c r="DA10" s="2"/>
      <c r="DB10" s="2">
        <f t="shared" si="22"/>
        <v>0</v>
      </c>
      <c r="DC10" s="2">
        <f t="shared" si="99"/>
        <v>0</v>
      </c>
      <c r="DD10" s="2">
        <f t="shared" si="100"/>
        <v>0</v>
      </c>
      <c r="DE10" s="2">
        <f t="shared" si="101"/>
        <v>1</v>
      </c>
      <c r="DF10" s="2">
        <f t="shared" si="102"/>
        <v>1</v>
      </c>
      <c r="DG10" s="2">
        <f t="shared" si="103"/>
        <v>4</v>
      </c>
      <c r="DH10" s="2">
        <f t="shared" si="104"/>
        <v>0</v>
      </c>
      <c r="DI10" s="2">
        <f t="shared" si="105"/>
        <v>3</v>
      </c>
      <c r="DJ10" s="2">
        <f t="shared" si="106"/>
        <v>0</v>
      </c>
      <c r="DK10" s="2">
        <f t="shared" si="107"/>
        <v>0</v>
      </c>
      <c r="DL10" s="2">
        <f t="shared" si="23"/>
        <v>0</v>
      </c>
      <c r="DM10" s="2">
        <f t="shared" si="108"/>
        <v>0</v>
      </c>
      <c r="DN10" s="2">
        <f t="shared" si="109"/>
        <v>1</v>
      </c>
      <c r="DO10" s="2">
        <f t="shared" si="110"/>
        <v>4</v>
      </c>
      <c r="DP10" s="2">
        <f t="shared" si="24"/>
        <v>0</v>
      </c>
      <c r="DQ10" s="2">
        <f t="shared" si="111"/>
        <v>4</v>
      </c>
      <c r="DR10" s="2">
        <f t="shared" ref="DR10" si="258">IF($E10=3,CS10-3,NA())</f>
        <v>1</v>
      </c>
      <c r="DS10" s="2"/>
      <c r="DT10" s="2"/>
      <c r="DU10" s="41">
        <f>CS10-'Zusammenfassung Tag1-4'!$E$2/18</f>
        <v>3</v>
      </c>
      <c r="DV10" s="14">
        <f t="shared" si="113"/>
        <v>35</v>
      </c>
      <c r="DW10" s="53">
        <v>6</v>
      </c>
      <c r="DX10" s="2">
        <v>121</v>
      </c>
      <c r="DY10" s="56">
        <v>2</v>
      </c>
      <c r="DZ10" s="2">
        <f t="shared" si="114"/>
        <v>20</v>
      </c>
      <c r="EA10" s="2">
        <f t="shared" si="25"/>
        <v>0</v>
      </c>
      <c r="EB10" s="2">
        <f t="shared" si="115"/>
        <v>0</v>
      </c>
      <c r="EC10" s="2">
        <f t="shared" si="26"/>
        <v>0</v>
      </c>
      <c r="ED10" s="2">
        <f t="shared" si="116"/>
        <v>0</v>
      </c>
      <c r="EE10" s="2"/>
      <c r="EF10" s="2">
        <f t="shared" si="27"/>
        <v>0</v>
      </c>
      <c r="EG10" s="2">
        <f t="shared" si="117"/>
        <v>0</v>
      </c>
      <c r="EH10" s="2">
        <f t="shared" si="118"/>
        <v>0</v>
      </c>
      <c r="EI10" s="2">
        <f t="shared" si="119"/>
        <v>0</v>
      </c>
      <c r="EJ10" s="2">
        <f t="shared" si="120"/>
        <v>0</v>
      </c>
      <c r="EK10" s="2">
        <f t="shared" si="121"/>
        <v>0</v>
      </c>
      <c r="EL10" s="2">
        <f t="shared" si="122"/>
        <v>1</v>
      </c>
      <c r="EM10" s="2">
        <f t="shared" si="123"/>
        <v>8</v>
      </c>
      <c r="EN10" s="2">
        <f t="shared" si="124"/>
        <v>0</v>
      </c>
      <c r="EO10" s="2">
        <f t="shared" si="125"/>
        <v>0</v>
      </c>
      <c r="EP10" s="2">
        <f t="shared" si="28"/>
        <v>0</v>
      </c>
      <c r="EQ10" s="2">
        <f t="shared" si="126"/>
        <v>0</v>
      </c>
      <c r="ER10" s="2">
        <f t="shared" si="127"/>
        <v>1</v>
      </c>
      <c r="ES10" s="2">
        <f t="shared" si="128"/>
        <v>4</v>
      </c>
      <c r="ET10" s="2">
        <f t="shared" si="29"/>
        <v>0</v>
      </c>
      <c r="EU10" s="2">
        <f t="shared" si="129"/>
        <v>4</v>
      </c>
      <c r="EV10" s="2">
        <f t="shared" ref="EV10" si="259">IF($E10=3,DW10-3,NA())</f>
        <v>3</v>
      </c>
      <c r="EW10" s="2"/>
      <c r="EX10" s="2"/>
      <c r="EY10" s="41">
        <f>DW10-'Zusammenfassung Tag1-4'!$F$2/18</f>
        <v>3.5</v>
      </c>
      <c r="EZ10" s="14">
        <f t="shared" si="131"/>
        <v>40</v>
      </c>
      <c r="FA10" s="53">
        <v>5</v>
      </c>
      <c r="FB10" s="2">
        <v>45</v>
      </c>
      <c r="FC10" s="56">
        <v>3</v>
      </c>
      <c r="FD10" s="2">
        <f t="shared" si="132"/>
        <v>17</v>
      </c>
      <c r="FE10" s="2">
        <f t="shared" si="30"/>
        <v>0</v>
      </c>
      <c r="FF10" s="2">
        <f t="shared" si="133"/>
        <v>0</v>
      </c>
      <c r="FG10" s="2">
        <f t="shared" si="31"/>
        <v>0</v>
      </c>
      <c r="FH10" s="2">
        <f t="shared" si="134"/>
        <v>0</v>
      </c>
      <c r="FI10" s="2"/>
      <c r="FJ10" s="2">
        <f t="shared" si="32"/>
        <v>0</v>
      </c>
      <c r="FK10" s="2">
        <f t="shared" si="135"/>
        <v>0</v>
      </c>
      <c r="FL10" s="2">
        <f t="shared" si="136"/>
        <v>0</v>
      </c>
      <c r="FM10" s="2">
        <f t="shared" si="137"/>
        <v>0</v>
      </c>
      <c r="FN10" s="2">
        <f t="shared" si="138"/>
        <v>0</v>
      </c>
      <c r="FO10" s="2">
        <f t="shared" si="139"/>
        <v>2</v>
      </c>
      <c r="FP10" s="2">
        <f t="shared" si="140"/>
        <v>1</v>
      </c>
      <c r="FQ10" s="2">
        <f t="shared" si="141"/>
        <v>6</v>
      </c>
      <c r="FR10" s="2">
        <f t="shared" si="142"/>
        <v>0</v>
      </c>
      <c r="FS10" s="2">
        <f t="shared" si="143"/>
        <v>0</v>
      </c>
      <c r="FT10" s="2">
        <f t="shared" si="33"/>
        <v>0</v>
      </c>
      <c r="FU10" s="2">
        <f t="shared" si="144"/>
        <v>1</v>
      </c>
      <c r="FV10" s="2">
        <f t="shared" si="145"/>
        <v>0</v>
      </c>
      <c r="FW10" s="2">
        <f t="shared" si="146"/>
        <v>5</v>
      </c>
      <c r="FX10" s="2">
        <f t="shared" si="34"/>
        <v>1</v>
      </c>
      <c r="FY10" s="2">
        <f t="shared" si="147"/>
        <v>2</v>
      </c>
      <c r="FZ10" s="2">
        <f t="shared" ref="FZ10" si="260">IF($E10=3,FA10-3,NA())</f>
        <v>2</v>
      </c>
      <c r="GA10" s="2"/>
      <c r="GB10" s="2"/>
      <c r="GC10" s="41">
        <f>FA10-'Zusammenfassung Tag1-4'!$G$2/18</f>
        <v>3.7222222222222223</v>
      </c>
      <c r="GD10" s="14">
        <f t="shared" si="149"/>
        <v>38.777777777777779</v>
      </c>
      <c r="GE10" s="53">
        <v>3</v>
      </c>
      <c r="GF10" s="2">
        <v>60</v>
      </c>
      <c r="GG10" s="56">
        <v>2</v>
      </c>
      <c r="GH10" s="2">
        <f t="shared" si="150"/>
        <v>16</v>
      </c>
      <c r="GI10" s="2">
        <f t="shared" si="35"/>
        <v>1</v>
      </c>
      <c r="GJ10" s="2">
        <f t="shared" si="151"/>
        <v>1</v>
      </c>
      <c r="GK10" s="2">
        <f t="shared" si="36"/>
        <v>0</v>
      </c>
      <c r="GL10" s="2">
        <f t="shared" si="152"/>
        <v>0</v>
      </c>
      <c r="GM10" s="2"/>
      <c r="GN10" s="2">
        <f t="shared" si="37"/>
        <v>0</v>
      </c>
      <c r="GO10" s="2">
        <f t="shared" si="153"/>
        <v>0</v>
      </c>
      <c r="GP10" s="2">
        <f t="shared" si="154"/>
        <v>1</v>
      </c>
      <c r="GQ10" s="2">
        <f t="shared" si="155"/>
        <v>1</v>
      </c>
      <c r="GR10" s="2">
        <f t="shared" si="156"/>
        <v>0</v>
      </c>
      <c r="GS10" s="2">
        <f t="shared" si="157"/>
        <v>1</v>
      </c>
      <c r="GT10" s="2">
        <f t="shared" si="158"/>
        <v>0</v>
      </c>
      <c r="GU10" s="2">
        <f t="shared" si="159"/>
        <v>6</v>
      </c>
      <c r="GV10" s="2">
        <f t="shared" si="160"/>
        <v>0</v>
      </c>
      <c r="GW10" s="2">
        <f t="shared" si="161"/>
        <v>0</v>
      </c>
      <c r="GX10" s="2">
        <f t="shared" si="38"/>
        <v>0</v>
      </c>
      <c r="GY10" s="2">
        <f t="shared" si="162"/>
        <v>1</v>
      </c>
      <c r="GZ10" s="2">
        <f t="shared" si="163"/>
        <v>1</v>
      </c>
      <c r="HA10" s="2">
        <f t="shared" si="164"/>
        <v>6</v>
      </c>
      <c r="HB10" s="2">
        <f t="shared" si="39"/>
        <v>0</v>
      </c>
      <c r="HC10" s="2">
        <f t="shared" si="165"/>
        <v>1</v>
      </c>
      <c r="HD10" s="2">
        <f t="shared" ref="HD10" si="261">IF($E10=3,GE10-3,NA())</f>
        <v>0</v>
      </c>
      <c r="HE10" s="2"/>
      <c r="HF10" s="2"/>
      <c r="HG10" s="41">
        <f>GE10-'Zusammenfassung Tag1-4'!$H$2/18</f>
        <v>1.2222222222222223</v>
      </c>
      <c r="HH10" s="14">
        <f t="shared" si="167"/>
        <v>41.777777777777771</v>
      </c>
      <c r="HI10" s="53">
        <v>5</v>
      </c>
      <c r="HJ10" s="2">
        <v>40</v>
      </c>
      <c r="HK10" s="56">
        <v>3</v>
      </c>
      <c r="HL10" s="2">
        <f t="shared" si="168"/>
        <v>15</v>
      </c>
      <c r="HM10" s="2">
        <f t="shared" si="229"/>
        <v>0</v>
      </c>
      <c r="HN10" s="2">
        <f t="shared" si="169"/>
        <v>0</v>
      </c>
      <c r="HO10" s="2">
        <f t="shared" si="230"/>
        <v>0</v>
      </c>
      <c r="HP10" s="2">
        <f t="shared" si="170"/>
        <v>1</v>
      </c>
      <c r="HQ10" s="2"/>
      <c r="HR10" s="2">
        <f t="shared" si="231"/>
        <v>0</v>
      </c>
      <c r="HS10" s="2">
        <f t="shared" si="171"/>
        <v>0</v>
      </c>
      <c r="HT10" s="2">
        <f t="shared" si="232"/>
        <v>0</v>
      </c>
      <c r="HU10" s="2">
        <f t="shared" si="172"/>
        <v>1</v>
      </c>
      <c r="HV10" s="2">
        <f t="shared" si="233"/>
        <v>0</v>
      </c>
      <c r="HW10" s="2">
        <f t="shared" si="173"/>
        <v>0</v>
      </c>
      <c r="HX10" s="2">
        <f t="shared" si="234"/>
        <v>1</v>
      </c>
      <c r="HY10" s="2">
        <f t="shared" si="174"/>
        <v>7</v>
      </c>
      <c r="HZ10" s="2">
        <f t="shared" si="175"/>
        <v>0</v>
      </c>
      <c r="IA10" s="2">
        <f t="shared" si="176"/>
        <v>0</v>
      </c>
      <c r="IB10" s="2">
        <f t="shared" si="40"/>
        <v>0</v>
      </c>
      <c r="IC10" s="2">
        <f t="shared" si="177"/>
        <v>2</v>
      </c>
      <c r="ID10" s="2">
        <f t="shared" si="178"/>
        <v>0</v>
      </c>
      <c r="IE10" s="2">
        <f t="shared" si="179"/>
        <v>5</v>
      </c>
      <c r="IF10" s="2">
        <f t="shared" si="41"/>
        <v>1</v>
      </c>
      <c r="IG10" s="2">
        <f t="shared" si="180"/>
        <v>1</v>
      </c>
      <c r="IH10" s="2">
        <f t="shared" ref="IH10" si="262">IF($E10=3,HI10-3,NA())</f>
        <v>2</v>
      </c>
      <c r="II10" s="2"/>
      <c r="IJ10" s="2"/>
      <c r="IK10" s="41">
        <f>HI10-'Zusammenfassung Tag1-4'!$I$2/18</f>
        <v>4.1111111111111107</v>
      </c>
      <c r="IL10" s="14">
        <f t="shared" si="181"/>
        <v>40.888888888888886</v>
      </c>
      <c r="IM10" s="53">
        <v>4</v>
      </c>
      <c r="IN10" s="2">
        <v>194</v>
      </c>
      <c r="IO10" s="56">
        <v>3</v>
      </c>
      <c r="IP10" s="2">
        <f t="shared" si="182"/>
        <v>24</v>
      </c>
      <c r="IQ10" s="2">
        <f t="shared" si="42"/>
        <v>1</v>
      </c>
      <c r="IR10" s="2">
        <f t="shared" si="183"/>
        <v>3</v>
      </c>
      <c r="IS10" s="2">
        <f t="shared" si="43"/>
        <v>0</v>
      </c>
      <c r="IT10" s="2">
        <f t="shared" si="184"/>
        <v>0</v>
      </c>
      <c r="IU10" s="2"/>
      <c r="IV10" s="2">
        <f t="shared" si="44"/>
        <v>0</v>
      </c>
      <c r="IW10" s="2">
        <f t="shared" si="185"/>
        <v>0</v>
      </c>
      <c r="IX10" s="2">
        <f t="shared" si="186"/>
        <v>0</v>
      </c>
      <c r="IY10" s="2">
        <f t="shared" si="187"/>
        <v>1</v>
      </c>
      <c r="IZ10" s="2">
        <f t="shared" si="188"/>
        <v>1</v>
      </c>
      <c r="JA10" s="2">
        <f t="shared" si="189"/>
        <v>1</v>
      </c>
      <c r="JB10" s="2">
        <f t="shared" si="190"/>
        <v>0</v>
      </c>
      <c r="JC10" s="2">
        <f t="shared" si="191"/>
        <v>6</v>
      </c>
      <c r="JD10" s="2">
        <f t="shared" si="192"/>
        <v>0</v>
      </c>
      <c r="JE10" s="2">
        <f t="shared" si="193"/>
        <v>0</v>
      </c>
      <c r="JF10" s="2">
        <f t="shared" si="45"/>
        <v>0</v>
      </c>
      <c r="JG10" s="2">
        <f t="shared" si="194"/>
        <v>0</v>
      </c>
      <c r="JH10" s="2">
        <f t="shared" si="195"/>
        <v>0</v>
      </c>
      <c r="JI10" s="2">
        <f t="shared" si="196"/>
        <v>3</v>
      </c>
      <c r="JJ10" s="2">
        <f t="shared" si="46"/>
        <v>1</v>
      </c>
      <c r="JK10" s="2">
        <f t="shared" si="197"/>
        <v>5</v>
      </c>
      <c r="JL10" s="2">
        <f t="shared" ref="JL10" si="263">IF($E10=3,IM10-3,NA())</f>
        <v>1</v>
      </c>
      <c r="JM10" s="2"/>
      <c r="JN10" s="2"/>
      <c r="JO10" s="41">
        <f>IM10-'Zusammenfassung Tag1-4'!$J$2/18</f>
        <v>1.6666666666666665</v>
      </c>
      <c r="JP10" s="14">
        <f t="shared" si="199"/>
        <v>36.333333333333321</v>
      </c>
      <c r="JQ10" s="53"/>
      <c r="JR10" s="2"/>
      <c r="JS10" s="56"/>
      <c r="JT10" s="2">
        <f t="shared" si="200"/>
        <v>0</v>
      </c>
      <c r="JU10" s="2">
        <f t="shared" si="47"/>
        <v>1</v>
      </c>
      <c r="JV10" s="2">
        <f t="shared" si="201"/>
        <v>8</v>
      </c>
      <c r="JW10" s="2">
        <f t="shared" si="48"/>
        <v>0</v>
      </c>
      <c r="JX10" s="2">
        <f t="shared" si="202"/>
        <v>0</v>
      </c>
      <c r="JY10" s="2"/>
      <c r="JZ10" s="2">
        <f t="shared" si="49"/>
        <v>0</v>
      </c>
      <c r="KA10" s="2">
        <f t="shared" si="203"/>
        <v>0</v>
      </c>
      <c r="KB10" s="2">
        <f t="shared" si="204"/>
        <v>0</v>
      </c>
      <c r="KC10" s="2">
        <f t="shared" si="205"/>
        <v>0</v>
      </c>
      <c r="KD10" s="2">
        <f t="shared" si="206"/>
        <v>0</v>
      </c>
      <c r="KE10" s="2">
        <f t="shared" si="207"/>
        <v>0</v>
      </c>
      <c r="KF10" s="2">
        <f t="shared" si="208"/>
        <v>0</v>
      </c>
      <c r="KG10" s="2">
        <f t="shared" si="209"/>
        <v>0</v>
      </c>
      <c r="KH10" s="2">
        <f t="shared" si="210"/>
        <v>1</v>
      </c>
      <c r="KI10" s="2">
        <f t="shared" si="211"/>
        <v>8</v>
      </c>
      <c r="KJ10" s="2">
        <f t="shared" si="50"/>
        <v>0</v>
      </c>
      <c r="KK10" s="2">
        <f t="shared" si="212"/>
        <v>0</v>
      </c>
      <c r="KL10" s="2">
        <f t="shared" si="213"/>
        <v>0</v>
      </c>
      <c r="KM10" s="2">
        <f t="shared" si="214"/>
        <v>0</v>
      </c>
      <c r="KN10" s="2">
        <f t="shared" si="51"/>
        <v>0</v>
      </c>
      <c r="KO10" s="2">
        <f t="shared" si="215"/>
        <v>0</v>
      </c>
      <c r="KP10" s="2">
        <f t="shared" ref="KP10" si="264">IF($E10=3,JQ10-3,NA())</f>
        <v>-3</v>
      </c>
      <c r="KQ10" s="2"/>
      <c r="KR10" s="2"/>
      <c r="KS10" s="41" t="e">
        <f>JQ10-'Zusammenfassung Tag1-4'!#REF!/18</f>
        <v>#REF!</v>
      </c>
      <c r="KT10" s="14" t="e">
        <f t="shared" si="217"/>
        <v>#REF!</v>
      </c>
    </row>
    <row r="11" spans="1:306" ht="13.2" x14ac:dyDescent="0.25">
      <c r="A11" s="179"/>
      <c r="B11" s="176"/>
      <c r="C11" s="15">
        <v>9</v>
      </c>
      <c r="D11" s="3">
        <f t="shared" si="218"/>
        <v>9</v>
      </c>
      <c r="E11" s="15">
        <v>4</v>
      </c>
      <c r="F11" s="1">
        <f t="shared" si="52"/>
        <v>36</v>
      </c>
      <c r="G11" s="57">
        <v>4</v>
      </c>
      <c r="H11" s="3">
        <f t="shared" si="219"/>
        <v>41</v>
      </c>
      <c r="I11" s="57">
        <v>1</v>
      </c>
      <c r="J11" s="3">
        <f t="shared" si="53"/>
        <v>16</v>
      </c>
      <c r="K11" s="3">
        <f t="shared" si="0"/>
        <v>0</v>
      </c>
      <c r="L11" s="3">
        <f t="shared" si="54"/>
        <v>2</v>
      </c>
      <c r="M11" s="3">
        <f t="shared" si="1"/>
        <v>1</v>
      </c>
      <c r="N11" s="3">
        <f t="shared" si="55"/>
        <v>2</v>
      </c>
      <c r="O11" s="3"/>
      <c r="P11" s="3">
        <f t="shared" si="2"/>
        <v>0</v>
      </c>
      <c r="Q11" s="3">
        <f t="shared" si="56"/>
        <v>0</v>
      </c>
      <c r="R11" s="3">
        <f t="shared" si="3"/>
        <v>1</v>
      </c>
      <c r="S11" s="3">
        <f t="shared" si="56"/>
        <v>4</v>
      </c>
      <c r="T11" s="3">
        <f t="shared" si="4"/>
        <v>0</v>
      </c>
      <c r="U11" s="63">
        <f t="shared" si="56"/>
        <v>5</v>
      </c>
      <c r="V11" s="3">
        <f t="shared" si="5"/>
        <v>0</v>
      </c>
      <c r="W11" s="63">
        <f t="shared" si="56"/>
        <v>0</v>
      </c>
      <c r="X11" s="3">
        <f t="shared" si="6"/>
        <v>0</v>
      </c>
      <c r="Y11" s="3">
        <f t="shared" si="57"/>
        <v>0</v>
      </c>
      <c r="Z11" s="3">
        <f t="shared" si="7"/>
        <v>1</v>
      </c>
      <c r="AA11" s="3">
        <f t="shared" si="58"/>
        <v>2</v>
      </c>
      <c r="AB11" s="3">
        <f t="shared" si="8"/>
        <v>0</v>
      </c>
      <c r="AC11" s="3">
        <f t="shared" si="58"/>
        <v>7</v>
      </c>
      <c r="AD11" s="3">
        <f t="shared" si="9"/>
        <v>0</v>
      </c>
      <c r="AE11" s="3">
        <f t="shared" si="59"/>
        <v>0</v>
      </c>
      <c r="AF11" s="2"/>
      <c r="AG11" s="2">
        <f>IF($E11=4,G11-4,NA())</f>
        <v>0</v>
      </c>
      <c r="AH11" s="2"/>
      <c r="AI11" s="17">
        <f>G11-'Zusammenfassung Tag1-4'!$B$2/18</f>
        <v>3.1666666666666665</v>
      </c>
      <c r="AJ11" s="50">
        <f t="shared" si="60"/>
        <v>33.500000000000007</v>
      </c>
      <c r="AK11" s="54">
        <v>4</v>
      </c>
      <c r="AL11" s="3">
        <f t="shared" si="220"/>
        <v>46</v>
      </c>
      <c r="AM11" s="57">
        <v>2</v>
      </c>
      <c r="AN11" s="3">
        <f t="shared" si="61"/>
        <v>18</v>
      </c>
      <c r="AO11" s="3">
        <f t="shared" si="10"/>
        <v>1</v>
      </c>
      <c r="AP11" s="3">
        <f t="shared" si="62"/>
        <v>5</v>
      </c>
      <c r="AQ11" s="3">
        <f t="shared" si="11"/>
        <v>0</v>
      </c>
      <c r="AR11" s="3">
        <f t="shared" si="63"/>
        <v>1</v>
      </c>
      <c r="AS11" s="3"/>
      <c r="AT11" s="3">
        <f t="shared" si="12"/>
        <v>0</v>
      </c>
      <c r="AU11" s="3">
        <f t="shared" si="64"/>
        <v>0</v>
      </c>
      <c r="AV11" s="3">
        <f>IF(AK11=$E11,1,0)</f>
        <v>1</v>
      </c>
      <c r="AW11" s="3">
        <f t="shared" si="66"/>
        <v>5</v>
      </c>
      <c r="AX11" s="3">
        <f t="shared" si="67"/>
        <v>0</v>
      </c>
      <c r="AY11" s="63">
        <f t="shared" si="68"/>
        <v>2</v>
      </c>
      <c r="AZ11" s="3">
        <f t="shared" si="69"/>
        <v>0</v>
      </c>
      <c r="BA11" s="63">
        <f t="shared" si="70"/>
        <v>2</v>
      </c>
      <c r="BB11" s="3">
        <f t="shared" si="71"/>
        <v>0</v>
      </c>
      <c r="BC11" s="3">
        <f t="shared" si="72"/>
        <v>0</v>
      </c>
      <c r="BD11" s="3">
        <f t="shared" si="13"/>
        <v>0</v>
      </c>
      <c r="BE11" s="3">
        <f t="shared" si="73"/>
        <v>1</v>
      </c>
      <c r="BF11" s="3">
        <f t="shared" si="74"/>
        <v>1</v>
      </c>
      <c r="BG11" s="3">
        <f t="shared" si="75"/>
        <v>7</v>
      </c>
      <c r="BH11" s="3">
        <f t="shared" si="14"/>
        <v>0</v>
      </c>
      <c r="BI11" s="3">
        <f t="shared" si="76"/>
        <v>1</v>
      </c>
      <c r="BJ11" s="2"/>
      <c r="BK11" s="2">
        <f t="shared" ref="BK11" si="265">IF($E11=4,AK11-4,NA())</f>
        <v>0</v>
      </c>
      <c r="BL11" s="2"/>
      <c r="BM11" s="17">
        <f>AK11-'Zusammenfassung Tag1-4'!$C$2/18</f>
        <v>3.4444444444444446</v>
      </c>
      <c r="BN11" s="50">
        <f t="shared" si="78"/>
        <v>40.999999999999993</v>
      </c>
      <c r="BO11" s="54">
        <v>10</v>
      </c>
      <c r="BP11" s="3">
        <f t="shared" si="222"/>
        <v>55</v>
      </c>
      <c r="BQ11" s="57">
        <v>3</v>
      </c>
      <c r="BR11" s="3">
        <f t="shared" si="79"/>
        <v>22</v>
      </c>
      <c r="BS11" s="3">
        <f t="shared" si="15"/>
        <v>0</v>
      </c>
      <c r="BT11" s="3">
        <f t="shared" si="80"/>
        <v>3</v>
      </c>
      <c r="BU11" s="3">
        <f t="shared" si="16"/>
        <v>0</v>
      </c>
      <c r="BV11" s="3">
        <f t="shared" si="81"/>
        <v>0</v>
      </c>
      <c r="BW11" s="3"/>
      <c r="BX11" s="3">
        <f t="shared" si="17"/>
        <v>0</v>
      </c>
      <c r="BY11" s="3">
        <f t="shared" si="82"/>
        <v>0</v>
      </c>
      <c r="BZ11" s="3">
        <f>IF(BO11=$E11,1,0)</f>
        <v>0</v>
      </c>
      <c r="CA11" s="3">
        <f t="shared" si="84"/>
        <v>1</v>
      </c>
      <c r="CB11" s="3">
        <f t="shared" si="85"/>
        <v>0</v>
      </c>
      <c r="CC11" s="63">
        <f t="shared" si="86"/>
        <v>4</v>
      </c>
      <c r="CD11" s="3">
        <f t="shared" si="87"/>
        <v>1</v>
      </c>
      <c r="CE11" s="63">
        <f t="shared" si="88"/>
        <v>4</v>
      </c>
      <c r="CF11" s="3">
        <f t="shared" si="89"/>
        <v>0</v>
      </c>
      <c r="CG11" s="3">
        <f t="shared" si="82"/>
        <v>0</v>
      </c>
      <c r="CH11" s="3">
        <f t="shared" si="18"/>
        <v>0</v>
      </c>
      <c r="CI11" s="3">
        <f t="shared" si="90"/>
        <v>0</v>
      </c>
      <c r="CJ11" s="3">
        <f t="shared" si="91"/>
        <v>0</v>
      </c>
      <c r="CK11" s="3">
        <f t="shared" si="92"/>
        <v>5</v>
      </c>
      <c r="CL11" s="3">
        <f t="shared" si="19"/>
        <v>1</v>
      </c>
      <c r="CM11" s="3">
        <f t="shared" si="93"/>
        <v>4</v>
      </c>
      <c r="CN11" s="2"/>
      <c r="CO11" s="2">
        <f t="shared" ref="CO11" si="266">IF($E11=4,BO11-4,NA())</f>
        <v>6</v>
      </c>
      <c r="CP11" s="2"/>
      <c r="CQ11" s="17">
        <f>BO11-'Zusammenfassung Tag1-4'!$D$2/18</f>
        <v>8.9444444444444446</v>
      </c>
      <c r="CR11" s="50">
        <f t="shared" si="95"/>
        <v>45.499999999999993</v>
      </c>
      <c r="CS11" s="54">
        <v>8</v>
      </c>
      <c r="CT11" s="3">
        <f t="shared" si="224"/>
        <v>51</v>
      </c>
      <c r="CU11" s="57">
        <v>3</v>
      </c>
      <c r="CV11" s="3">
        <f t="shared" si="96"/>
        <v>23</v>
      </c>
      <c r="CW11" s="3">
        <f t="shared" si="20"/>
        <v>0</v>
      </c>
      <c r="CX11" s="3">
        <f t="shared" si="97"/>
        <v>4</v>
      </c>
      <c r="CY11" s="3">
        <f t="shared" si="21"/>
        <v>0</v>
      </c>
      <c r="CZ11" s="3">
        <f t="shared" si="98"/>
        <v>0</v>
      </c>
      <c r="DA11" s="3"/>
      <c r="DB11" s="3">
        <f t="shared" si="22"/>
        <v>0</v>
      </c>
      <c r="DC11" s="3">
        <f t="shared" si="99"/>
        <v>0</v>
      </c>
      <c r="DD11" s="3">
        <f>IF(CS11=$E11,1,0)</f>
        <v>0</v>
      </c>
      <c r="DE11" s="3">
        <f t="shared" si="101"/>
        <v>1</v>
      </c>
      <c r="DF11" s="3">
        <f t="shared" si="102"/>
        <v>0</v>
      </c>
      <c r="DG11" s="63">
        <f t="shared" si="103"/>
        <v>4</v>
      </c>
      <c r="DH11" s="3">
        <f t="shared" si="104"/>
        <v>1</v>
      </c>
      <c r="DI11" s="63">
        <f t="shared" si="105"/>
        <v>4</v>
      </c>
      <c r="DJ11" s="3">
        <f t="shared" si="106"/>
        <v>0</v>
      </c>
      <c r="DK11" s="3">
        <f t="shared" si="107"/>
        <v>0</v>
      </c>
      <c r="DL11" s="3">
        <f t="shared" si="23"/>
        <v>0</v>
      </c>
      <c r="DM11" s="3">
        <f t="shared" si="108"/>
        <v>0</v>
      </c>
      <c r="DN11" s="3">
        <f t="shared" si="109"/>
        <v>0</v>
      </c>
      <c r="DO11" s="3">
        <f t="shared" si="110"/>
        <v>4</v>
      </c>
      <c r="DP11" s="3">
        <f t="shared" si="24"/>
        <v>1</v>
      </c>
      <c r="DQ11" s="3">
        <f t="shared" si="111"/>
        <v>5</v>
      </c>
      <c r="DR11" s="2"/>
      <c r="DS11" s="2">
        <f t="shared" ref="DS11" si="267">IF($E11=4,CS11-4,NA())</f>
        <v>4</v>
      </c>
      <c r="DT11" s="2"/>
      <c r="DU11" s="17">
        <f>CS11-'Zusammenfassung Tag1-4'!$E$2/18</f>
        <v>7</v>
      </c>
      <c r="DV11" s="51">
        <f t="shared" si="113"/>
        <v>42</v>
      </c>
      <c r="DW11" s="54">
        <v>10</v>
      </c>
      <c r="DX11" s="3">
        <v>126</v>
      </c>
      <c r="DY11" s="57">
        <v>2</v>
      </c>
      <c r="DZ11" s="3">
        <f t="shared" si="114"/>
        <v>22</v>
      </c>
      <c r="EA11" s="3">
        <f t="shared" si="25"/>
        <v>0</v>
      </c>
      <c r="EB11" s="3">
        <f t="shared" si="115"/>
        <v>0</v>
      </c>
      <c r="EC11" s="3">
        <f t="shared" si="26"/>
        <v>0</v>
      </c>
      <c r="ED11" s="3">
        <f t="shared" si="116"/>
        <v>0</v>
      </c>
      <c r="EE11" s="3"/>
      <c r="EF11" s="3">
        <f t="shared" si="27"/>
        <v>0</v>
      </c>
      <c r="EG11" s="3">
        <f t="shared" si="117"/>
        <v>0</v>
      </c>
      <c r="EH11" s="3">
        <f>IF(DW11=$E11,1,0)</f>
        <v>0</v>
      </c>
      <c r="EI11" s="3">
        <f t="shared" si="119"/>
        <v>0</v>
      </c>
      <c r="EJ11" s="3">
        <f t="shared" si="120"/>
        <v>0</v>
      </c>
      <c r="EK11" s="63">
        <f t="shared" si="121"/>
        <v>0</v>
      </c>
      <c r="EL11" s="3">
        <f t="shared" si="122"/>
        <v>1</v>
      </c>
      <c r="EM11" s="63">
        <f t="shared" si="123"/>
        <v>9</v>
      </c>
      <c r="EN11" s="3">
        <f t="shared" si="124"/>
        <v>0</v>
      </c>
      <c r="EO11" s="3">
        <f t="shared" si="125"/>
        <v>0</v>
      </c>
      <c r="EP11" s="3">
        <f t="shared" si="28"/>
        <v>0</v>
      </c>
      <c r="EQ11" s="3">
        <f t="shared" si="126"/>
        <v>0</v>
      </c>
      <c r="ER11" s="3">
        <f t="shared" si="127"/>
        <v>1</v>
      </c>
      <c r="ES11" s="3">
        <f t="shared" si="128"/>
        <v>5</v>
      </c>
      <c r="ET11" s="3">
        <f t="shared" si="29"/>
        <v>0</v>
      </c>
      <c r="EU11" s="3">
        <f t="shared" si="129"/>
        <v>4</v>
      </c>
      <c r="EV11" s="2"/>
      <c r="EW11" s="2">
        <f t="shared" ref="EW11" si="268">IF($E11=4,DW11-4,NA())</f>
        <v>6</v>
      </c>
      <c r="EX11" s="2"/>
      <c r="EY11" s="17">
        <f>DW11-'Zusammenfassung Tag1-4'!$F$2/18</f>
        <v>7.5</v>
      </c>
      <c r="EZ11" s="51">
        <f t="shared" si="131"/>
        <v>47.5</v>
      </c>
      <c r="FA11" s="54">
        <v>6</v>
      </c>
      <c r="FB11" s="3">
        <v>51</v>
      </c>
      <c r="FC11" s="57">
        <v>2</v>
      </c>
      <c r="FD11" s="3">
        <f t="shared" si="132"/>
        <v>19</v>
      </c>
      <c r="FE11" s="3">
        <f t="shared" si="30"/>
        <v>0</v>
      </c>
      <c r="FF11" s="3">
        <f t="shared" si="133"/>
        <v>0</v>
      </c>
      <c r="FG11" s="3">
        <f t="shared" si="31"/>
        <v>0</v>
      </c>
      <c r="FH11" s="3">
        <f t="shared" si="134"/>
        <v>0</v>
      </c>
      <c r="FI11" s="3"/>
      <c r="FJ11" s="3">
        <f t="shared" si="32"/>
        <v>0</v>
      </c>
      <c r="FK11" s="3">
        <f t="shared" si="135"/>
        <v>0</v>
      </c>
      <c r="FL11" s="3">
        <f>IF(FA11=$E11,1,0)</f>
        <v>0</v>
      </c>
      <c r="FM11" s="3">
        <f t="shared" si="137"/>
        <v>0</v>
      </c>
      <c r="FN11" s="3">
        <f t="shared" si="138"/>
        <v>0</v>
      </c>
      <c r="FO11" s="63">
        <f t="shared" si="139"/>
        <v>2</v>
      </c>
      <c r="FP11" s="3">
        <f t="shared" si="140"/>
        <v>1</v>
      </c>
      <c r="FQ11" s="63">
        <f t="shared" si="141"/>
        <v>7</v>
      </c>
      <c r="FR11" s="3">
        <f t="shared" si="142"/>
        <v>0</v>
      </c>
      <c r="FS11" s="3">
        <f t="shared" si="143"/>
        <v>0</v>
      </c>
      <c r="FT11" s="3">
        <f t="shared" si="33"/>
        <v>0</v>
      </c>
      <c r="FU11" s="3">
        <f t="shared" si="144"/>
        <v>1</v>
      </c>
      <c r="FV11" s="3">
        <f t="shared" si="145"/>
        <v>1</v>
      </c>
      <c r="FW11" s="3">
        <f t="shared" si="146"/>
        <v>6</v>
      </c>
      <c r="FX11" s="3">
        <f t="shared" si="34"/>
        <v>0</v>
      </c>
      <c r="FY11" s="3">
        <f t="shared" si="147"/>
        <v>2</v>
      </c>
      <c r="FZ11" s="2"/>
      <c r="GA11" s="2">
        <f t="shared" ref="GA11" si="269">IF($E11=4,FA11-4,NA())</f>
        <v>2</v>
      </c>
      <c r="GB11" s="2"/>
      <c r="GC11" s="17">
        <f>FA11-'Zusammenfassung Tag1-4'!$G$2/18</f>
        <v>4.7222222222222223</v>
      </c>
      <c r="GD11" s="51">
        <f t="shared" si="149"/>
        <v>43.5</v>
      </c>
      <c r="GE11" s="54">
        <v>8</v>
      </c>
      <c r="GF11" s="3">
        <v>66</v>
      </c>
      <c r="GG11" s="57">
        <v>2</v>
      </c>
      <c r="GH11" s="3">
        <f t="shared" si="150"/>
        <v>18</v>
      </c>
      <c r="GI11" s="3">
        <f t="shared" si="35"/>
        <v>0</v>
      </c>
      <c r="GJ11" s="3">
        <f t="shared" si="151"/>
        <v>1</v>
      </c>
      <c r="GK11" s="3">
        <f t="shared" si="36"/>
        <v>0</v>
      </c>
      <c r="GL11" s="3">
        <f t="shared" si="152"/>
        <v>0</v>
      </c>
      <c r="GM11" s="3"/>
      <c r="GN11" s="3">
        <f t="shared" si="37"/>
        <v>0</v>
      </c>
      <c r="GO11" s="3">
        <f t="shared" si="153"/>
        <v>0</v>
      </c>
      <c r="GP11" s="3">
        <f>IF(GE11=$E11,1,0)</f>
        <v>0</v>
      </c>
      <c r="GQ11" s="3">
        <f t="shared" si="155"/>
        <v>1</v>
      </c>
      <c r="GR11" s="3">
        <f t="shared" si="156"/>
        <v>0</v>
      </c>
      <c r="GS11" s="63">
        <f t="shared" si="157"/>
        <v>1</v>
      </c>
      <c r="GT11" s="3">
        <f t="shared" si="158"/>
        <v>1</v>
      </c>
      <c r="GU11" s="63">
        <f t="shared" si="159"/>
        <v>7</v>
      </c>
      <c r="GV11" s="3">
        <f t="shared" si="160"/>
        <v>0</v>
      </c>
      <c r="GW11" s="3">
        <f t="shared" si="161"/>
        <v>0</v>
      </c>
      <c r="GX11" s="3">
        <f t="shared" si="38"/>
        <v>0</v>
      </c>
      <c r="GY11" s="3">
        <f t="shared" si="162"/>
        <v>1</v>
      </c>
      <c r="GZ11" s="3">
        <f t="shared" si="163"/>
        <v>1</v>
      </c>
      <c r="HA11" s="3">
        <f t="shared" si="164"/>
        <v>7</v>
      </c>
      <c r="HB11" s="3">
        <f t="shared" si="39"/>
        <v>0</v>
      </c>
      <c r="HC11" s="3">
        <f t="shared" si="165"/>
        <v>1</v>
      </c>
      <c r="HD11" s="2"/>
      <c r="HE11" s="2">
        <f t="shared" ref="HE11" si="270">IF($E11=4,GE11-4,NA())</f>
        <v>4</v>
      </c>
      <c r="HF11" s="2"/>
      <c r="HG11" s="17">
        <f>GE11-'Zusammenfassung Tag1-4'!$H$2/18</f>
        <v>6.2222222222222223</v>
      </c>
      <c r="HH11" s="51">
        <f t="shared" si="167"/>
        <v>47.999999999999993</v>
      </c>
      <c r="HI11" s="54">
        <v>5</v>
      </c>
      <c r="HJ11" s="3">
        <v>47</v>
      </c>
      <c r="HK11" s="57">
        <v>2</v>
      </c>
      <c r="HL11" s="3">
        <f t="shared" si="168"/>
        <v>17</v>
      </c>
      <c r="HM11" s="3">
        <f t="shared" si="229"/>
        <v>0</v>
      </c>
      <c r="HN11" s="3">
        <f t="shared" si="169"/>
        <v>0</v>
      </c>
      <c r="HO11" s="3">
        <f t="shared" si="230"/>
        <v>0</v>
      </c>
      <c r="HP11" s="3">
        <f t="shared" si="170"/>
        <v>1</v>
      </c>
      <c r="HQ11" s="3"/>
      <c r="HR11" s="3">
        <f t="shared" si="231"/>
        <v>0</v>
      </c>
      <c r="HS11" s="3">
        <f t="shared" si="171"/>
        <v>0</v>
      </c>
      <c r="HT11" s="3">
        <f>IF(HI11=$E11,1,0)</f>
        <v>0</v>
      </c>
      <c r="HU11" s="3">
        <f t="shared" si="172"/>
        <v>1</v>
      </c>
      <c r="HV11" s="3">
        <f t="shared" si="233"/>
        <v>1</v>
      </c>
      <c r="HW11" s="63">
        <f t="shared" si="173"/>
        <v>1</v>
      </c>
      <c r="HX11" s="3">
        <f t="shared" si="234"/>
        <v>0</v>
      </c>
      <c r="HY11" s="63">
        <f t="shared" si="174"/>
        <v>7</v>
      </c>
      <c r="HZ11" s="3">
        <f t="shared" si="175"/>
        <v>0</v>
      </c>
      <c r="IA11" s="3">
        <f t="shared" si="176"/>
        <v>0</v>
      </c>
      <c r="IB11" s="3">
        <f t="shared" si="40"/>
        <v>0</v>
      </c>
      <c r="IC11" s="3">
        <f t="shared" si="177"/>
        <v>2</v>
      </c>
      <c r="ID11" s="3">
        <f t="shared" si="178"/>
        <v>1</v>
      </c>
      <c r="IE11" s="3">
        <f t="shared" si="179"/>
        <v>6</v>
      </c>
      <c r="IF11" s="3">
        <f t="shared" si="41"/>
        <v>0</v>
      </c>
      <c r="IG11" s="3">
        <f t="shared" si="180"/>
        <v>1</v>
      </c>
      <c r="IH11" s="2"/>
      <c r="II11" s="2">
        <f t="shared" ref="II11" si="271">IF($E11=4,HI11-4,NA())</f>
        <v>1</v>
      </c>
      <c r="IJ11" s="2"/>
      <c r="IK11" s="17">
        <f>HI11-'Zusammenfassung Tag1-4'!$I$2/18</f>
        <v>4.1111111111111107</v>
      </c>
      <c r="IL11" s="51">
        <f t="shared" si="181"/>
        <v>45</v>
      </c>
      <c r="IM11" s="54">
        <v>8</v>
      </c>
      <c r="IN11" s="3">
        <v>200</v>
      </c>
      <c r="IO11" s="57">
        <v>3</v>
      </c>
      <c r="IP11" s="3">
        <f t="shared" si="182"/>
        <v>27</v>
      </c>
      <c r="IQ11" s="3">
        <f t="shared" si="42"/>
        <v>0</v>
      </c>
      <c r="IR11" s="3">
        <f t="shared" si="183"/>
        <v>3</v>
      </c>
      <c r="IS11" s="3">
        <f t="shared" si="43"/>
        <v>0</v>
      </c>
      <c r="IT11" s="3">
        <f t="shared" si="184"/>
        <v>0</v>
      </c>
      <c r="IU11" s="3"/>
      <c r="IV11" s="3">
        <f t="shared" si="44"/>
        <v>0</v>
      </c>
      <c r="IW11" s="3">
        <f t="shared" si="185"/>
        <v>0</v>
      </c>
      <c r="IX11" s="3">
        <f>IF(IM11=$E11,1,0)</f>
        <v>0</v>
      </c>
      <c r="IY11" s="3">
        <f t="shared" si="187"/>
        <v>1</v>
      </c>
      <c r="IZ11" s="3">
        <f t="shared" si="188"/>
        <v>0</v>
      </c>
      <c r="JA11" s="63">
        <f t="shared" si="189"/>
        <v>1</v>
      </c>
      <c r="JB11" s="3">
        <f t="shared" si="190"/>
        <v>1</v>
      </c>
      <c r="JC11" s="63">
        <f t="shared" si="191"/>
        <v>7</v>
      </c>
      <c r="JD11" s="3">
        <f t="shared" si="192"/>
        <v>0</v>
      </c>
      <c r="JE11" s="3">
        <f t="shared" si="193"/>
        <v>0</v>
      </c>
      <c r="JF11" s="3">
        <f t="shared" si="45"/>
        <v>0</v>
      </c>
      <c r="JG11" s="3">
        <f t="shared" si="194"/>
        <v>0</v>
      </c>
      <c r="JH11" s="3">
        <f t="shared" si="195"/>
        <v>0</v>
      </c>
      <c r="JI11" s="3">
        <f t="shared" si="196"/>
        <v>3</v>
      </c>
      <c r="JJ11" s="3">
        <f t="shared" si="46"/>
        <v>1</v>
      </c>
      <c r="JK11" s="3">
        <f t="shared" si="197"/>
        <v>6</v>
      </c>
      <c r="JL11" s="2"/>
      <c r="JM11" s="2">
        <f t="shared" ref="JM11" si="272">IF($E11=4,IM11-4,NA())</f>
        <v>4</v>
      </c>
      <c r="JN11" s="2"/>
      <c r="JO11" s="17">
        <f>IM11-'Zusammenfassung Tag1-4'!$J$2/18</f>
        <v>5.6666666666666661</v>
      </c>
      <c r="JP11" s="51">
        <f t="shared" si="199"/>
        <v>41.999999999999986</v>
      </c>
      <c r="JQ11" s="54"/>
      <c r="JR11" s="3"/>
      <c r="JS11" s="57"/>
      <c r="JT11" s="3">
        <f t="shared" si="200"/>
        <v>0</v>
      </c>
      <c r="JU11" s="3">
        <f t="shared" si="47"/>
        <v>1</v>
      </c>
      <c r="JV11" s="3">
        <f t="shared" si="201"/>
        <v>9</v>
      </c>
      <c r="JW11" s="3">
        <f t="shared" si="48"/>
        <v>0</v>
      </c>
      <c r="JX11" s="3">
        <f t="shared" si="202"/>
        <v>0</v>
      </c>
      <c r="JY11" s="3"/>
      <c r="JZ11" s="3">
        <f t="shared" si="49"/>
        <v>0</v>
      </c>
      <c r="KA11" s="3">
        <f t="shared" si="203"/>
        <v>0</v>
      </c>
      <c r="KB11" s="3">
        <f>IF(JQ11=$E11,1,0)</f>
        <v>0</v>
      </c>
      <c r="KC11" s="3">
        <f t="shared" si="205"/>
        <v>0</v>
      </c>
      <c r="KD11" s="3">
        <f t="shared" si="206"/>
        <v>0</v>
      </c>
      <c r="KE11" s="63">
        <f t="shared" si="207"/>
        <v>0</v>
      </c>
      <c r="KF11" s="3">
        <f t="shared" si="208"/>
        <v>0</v>
      </c>
      <c r="KG11" s="63">
        <f t="shared" si="209"/>
        <v>0</v>
      </c>
      <c r="KH11" s="3">
        <f t="shared" si="210"/>
        <v>1</v>
      </c>
      <c r="KI11" s="3">
        <f t="shared" si="211"/>
        <v>9</v>
      </c>
      <c r="KJ11" s="3">
        <f t="shared" si="50"/>
        <v>0</v>
      </c>
      <c r="KK11" s="3">
        <f t="shared" si="212"/>
        <v>0</v>
      </c>
      <c r="KL11" s="3">
        <f t="shared" si="213"/>
        <v>0</v>
      </c>
      <c r="KM11" s="3">
        <f t="shared" si="214"/>
        <v>0</v>
      </c>
      <c r="KN11" s="3">
        <f t="shared" si="51"/>
        <v>0</v>
      </c>
      <c r="KO11" s="3">
        <f t="shared" si="215"/>
        <v>0</v>
      </c>
      <c r="KP11" s="2"/>
      <c r="KQ11" s="2">
        <f t="shared" ref="KQ11" si="273">IF($E11=4,JQ11-4,NA())</f>
        <v>-4</v>
      </c>
      <c r="KR11" s="2"/>
      <c r="KS11" s="17" t="e">
        <f>JQ11-'Zusammenfassung Tag1-4'!#REF!/18</f>
        <v>#REF!</v>
      </c>
      <c r="KT11" s="51" t="e">
        <f t="shared" si="217"/>
        <v>#REF!</v>
      </c>
    </row>
    <row r="12" spans="1:306" ht="13.2" x14ac:dyDescent="0.25">
      <c r="A12" s="179"/>
      <c r="B12" s="177"/>
      <c r="C12" s="15" t="s">
        <v>25</v>
      </c>
      <c r="D12" s="3"/>
      <c r="E12" s="15">
        <f>SUM(E3:E11)</f>
        <v>36</v>
      </c>
      <c r="F12" s="1"/>
      <c r="G12" s="16">
        <f>SUM(G3:G11)</f>
        <v>41</v>
      </c>
      <c r="H12" s="3"/>
      <c r="I12" s="3">
        <f>SUM(I3:I11)</f>
        <v>16</v>
      </c>
      <c r="J12" s="3"/>
      <c r="K12" s="3">
        <f>SUM(K3:K11)</f>
        <v>2</v>
      </c>
      <c r="L12" s="3"/>
      <c r="M12" s="3">
        <f>SUM(M3:M11)</f>
        <v>2</v>
      </c>
      <c r="N12" s="3"/>
      <c r="O12" s="3"/>
      <c r="P12" s="3">
        <f>SUM(P3:P11)</f>
        <v>0</v>
      </c>
      <c r="Q12" s="3"/>
      <c r="R12" s="3">
        <f>SUM(R3:R11)</f>
        <v>4</v>
      </c>
      <c r="S12" s="3"/>
      <c r="T12" s="3">
        <f>SUM(T3:T11)</f>
        <v>5</v>
      </c>
      <c r="U12" s="3"/>
      <c r="V12" s="3">
        <f>SUM(V3:V11)</f>
        <v>0</v>
      </c>
      <c r="W12" s="3"/>
      <c r="X12" s="3">
        <f>SUM(X3:X11)</f>
        <v>0</v>
      </c>
      <c r="Y12" s="3"/>
      <c r="Z12" s="3">
        <f>SUM(Z3:Z11)</f>
        <v>2</v>
      </c>
      <c r="AA12" s="3"/>
      <c r="AB12" s="3">
        <f>SUM(AB3:AB11)</f>
        <v>7</v>
      </c>
      <c r="AC12" s="3"/>
      <c r="AD12" s="3">
        <f>SUM(AD3:AD11)</f>
        <v>0</v>
      </c>
      <c r="AE12" s="3"/>
      <c r="AF12" s="83">
        <f t="shared" ref="AF12:AH12" si="274">AVERAGE(AF3:AF11)</f>
        <v>0.5</v>
      </c>
      <c r="AG12" s="83">
        <f t="shared" si="274"/>
        <v>0.4</v>
      </c>
      <c r="AH12" s="83">
        <f t="shared" si="274"/>
        <v>1</v>
      </c>
      <c r="AI12" s="17">
        <f>SUM(AI3:AI11)</f>
        <v>33.500000000000007</v>
      </c>
      <c r="AJ12" s="1"/>
      <c r="AK12" s="16">
        <f>SUM(AK3:AK11)</f>
        <v>46</v>
      </c>
      <c r="AL12" s="3"/>
      <c r="AM12" s="3">
        <f>SUM(AM3:AM11)</f>
        <v>18</v>
      </c>
      <c r="AN12" s="3"/>
      <c r="AO12" s="3">
        <f>SUM(AO3:AO11)</f>
        <v>5</v>
      </c>
      <c r="AP12" s="3"/>
      <c r="AQ12" s="3">
        <f>SUM(AQ3:AQ11)</f>
        <v>1</v>
      </c>
      <c r="AR12" s="3"/>
      <c r="AS12" s="3"/>
      <c r="AT12" s="3">
        <f>SUM(AT3:AT11)</f>
        <v>0</v>
      </c>
      <c r="AU12" s="3"/>
      <c r="AV12" s="3">
        <f>SUM(AV3:AV11)</f>
        <v>5</v>
      </c>
      <c r="AW12" s="3"/>
      <c r="AX12" s="3">
        <f>SUM(AX3:AX11)</f>
        <v>2</v>
      </c>
      <c r="AY12" s="3"/>
      <c r="AZ12" s="3">
        <f>SUM(AZ3:AZ11)</f>
        <v>2</v>
      </c>
      <c r="BA12" s="3"/>
      <c r="BB12" s="3">
        <f>SUM(BB3:BB11)</f>
        <v>0</v>
      </c>
      <c r="BC12" s="3"/>
      <c r="BD12" s="3">
        <f>SUM(BD3:BD11)</f>
        <v>1</v>
      </c>
      <c r="BE12" s="3"/>
      <c r="BF12" s="3">
        <f>SUM(BF3:BF11)</f>
        <v>7</v>
      </c>
      <c r="BG12" s="3"/>
      <c r="BH12" s="3">
        <f>SUM(BH3:BH11)</f>
        <v>1</v>
      </c>
      <c r="BI12" s="3"/>
      <c r="BJ12" s="83">
        <f t="shared" ref="BJ12:BL12" si="275">AVERAGE(BJ3:BJ11)</f>
        <v>0.5</v>
      </c>
      <c r="BK12" s="83">
        <f t="shared" si="275"/>
        <v>1.2</v>
      </c>
      <c r="BL12" s="83">
        <f t="shared" si="275"/>
        <v>1.5</v>
      </c>
      <c r="BM12" s="17">
        <f>SUM(BM3:BM11)</f>
        <v>40.999999999999993</v>
      </c>
      <c r="BN12" s="1"/>
      <c r="BO12" s="16">
        <f>SUM(BO3:BO11)</f>
        <v>55</v>
      </c>
      <c r="BP12" s="3"/>
      <c r="BQ12" s="3">
        <f>SUM(BQ3:BQ11)</f>
        <v>22</v>
      </c>
      <c r="BR12" s="3"/>
      <c r="BS12" s="3">
        <f>SUM(BS3:BS11)</f>
        <v>3</v>
      </c>
      <c r="BT12" s="3"/>
      <c r="BU12" s="3">
        <f>SUM(BU3:BU11)</f>
        <v>0</v>
      </c>
      <c r="BV12" s="3"/>
      <c r="BW12" s="3"/>
      <c r="BX12" s="3">
        <f>SUM(BX3:BX11)</f>
        <v>0</v>
      </c>
      <c r="BY12" s="3"/>
      <c r="BZ12" s="3">
        <f>SUM(BZ3:BZ11)</f>
        <v>1</v>
      </c>
      <c r="CA12" s="3"/>
      <c r="CB12" s="3">
        <f>SUM(CB3:CB11)</f>
        <v>4</v>
      </c>
      <c r="CC12" s="3"/>
      <c r="CD12" s="3">
        <f>SUM(CD3:CD11)</f>
        <v>4</v>
      </c>
      <c r="CE12" s="3"/>
      <c r="CF12" s="3">
        <f>SUM(CF3:CF11)</f>
        <v>0</v>
      </c>
      <c r="CG12" s="3"/>
      <c r="CH12" s="3">
        <f>SUM(CH3:CH11)</f>
        <v>0</v>
      </c>
      <c r="CI12" s="3"/>
      <c r="CJ12" s="3">
        <f>SUM(CJ3:CJ11)</f>
        <v>5</v>
      </c>
      <c r="CK12" s="3"/>
      <c r="CL12" s="3">
        <f>SUM(CL3:CL11)</f>
        <v>4</v>
      </c>
      <c r="CM12" s="3"/>
      <c r="CN12" s="83">
        <f t="shared" ref="CN12:CP12" si="276">AVERAGE(CN3:CN11)</f>
        <v>1</v>
      </c>
      <c r="CO12" s="83">
        <f t="shared" si="276"/>
        <v>2.8</v>
      </c>
      <c r="CP12" s="83">
        <f t="shared" si="276"/>
        <v>1.5</v>
      </c>
      <c r="CQ12" s="17">
        <f>SUM(CQ3:CQ11)</f>
        <v>45.499999999999993</v>
      </c>
      <c r="CR12" s="1"/>
      <c r="CS12" s="16">
        <f>SUM(CS3:CS11)</f>
        <v>51</v>
      </c>
      <c r="CT12" s="3"/>
      <c r="CU12" s="3">
        <f>SUM(CU3:CU11)</f>
        <v>23</v>
      </c>
      <c r="CV12" s="3"/>
      <c r="CW12" s="3">
        <f>SUM(CW3:CW11)</f>
        <v>4</v>
      </c>
      <c r="CX12" s="3"/>
      <c r="CY12" s="3">
        <f>SUM(CY3:CY11)</f>
        <v>0</v>
      </c>
      <c r="CZ12" s="3"/>
      <c r="DA12" s="3"/>
      <c r="DB12" s="3">
        <f>SUM(DB3:DB11)</f>
        <v>0</v>
      </c>
      <c r="DC12" s="3"/>
      <c r="DD12" s="3">
        <f>SUM(DD3:DD11)</f>
        <v>1</v>
      </c>
      <c r="DE12" s="3"/>
      <c r="DF12" s="3">
        <f>SUM(DF3:DF11)</f>
        <v>4</v>
      </c>
      <c r="DG12" s="3"/>
      <c r="DH12" s="3">
        <f>SUM(DH3:DH11)</f>
        <v>4</v>
      </c>
      <c r="DI12" s="3"/>
      <c r="DJ12" s="3">
        <f>SUM(DJ3:DJ11)</f>
        <v>0</v>
      </c>
      <c r="DK12" s="3"/>
      <c r="DL12" s="3">
        <f>SUM(DL3:DL11)</f>
        <v>0</v>
      </c>
      <c r="DM12" s="3"/>
      <c r="DN12" s="3">
        <f>SUM(DN3:DN11)</f>
        <v>4</v>
      </c>
      <c r="DO12" s="3"/>
      <c r="DP12" s="3">
        <f>SUM(DP3:DP11)</f>
        <v>5</v>
      </c>
      <c r="DQ12" s="3"/>
      <c r="DR12" s="83">
        <f t="shared" ref="DR12:DT12" si="277">AVERAGE(DR3:DR11)</f>
        <v>1</v>
      </c>
      <c r="DS12" s="83">
        <f t="shared" si="277"/>
        <v>1.6</v>
      </c>
      <c r="DT12" s="83">
        <f t="shared" si="277"/>
        <v>2.5</v>
      </c>
      <c r="DU12" s="17">
        <f>SUM(DU3:DU11)</f>
        <v>42</v>
      </c>
      <c r="DV12" s="18"/>
      <c r="DW12" s="16">
        <f>SUM(DW3:DW11)</f>
        <v>70</v>
      </c>
      <c r="DX12" s="3"/>
      <c r="DY12" s="3">
        <f>SUM(DY3:DY11)</f>
        <v>22</v>
      </c>
      <c r="DZ12" s="3"/>
      <c r="EA12" s="3">
        <f>SUM(EA3:EA11)</f>
        <v>0</v>
      </c>
      <c r="EB12" s="3"/>
      <c r="EC12" s="3">
        <f>SUM(EC3:EC11)</f>
        <v>0</v>
      </c>
      <c r="ED12" s="3"/>
      <c r="EE12" s="3"/>
      <c r="EF12" s="3">
        <f>SUM(EF3:EF11)</f>
        <v>0</v>
      </c>
      <c r="EG12" s="3"/>
      <c r="EH12" s="3">
        <f>SUM(EH3:EH11)</f>
        <v>0</v>
      </c>
      <c r="EI12" s="3"/>
      <c r="EJ12" s="3">
        <f>SUM(EJ3:EJ11)</f>
        <v>0</v>
      </c>
      <c r="EK12" s="3"/>
      <c r="EL12" s="3">
        <f>SUM(EL3:EL11)</f>
        <v>9</v>
      </c>
      <c r="EM12" s="3"/>
      <c r="EN12" s="3">
        <f>SUM(EN3:EN11)</f>
        <v>0</v>
      </c>
      <c r="EO12" s="3"/>
      <c r="EP12" s="3">
        <f>SUM(EP3:EP11)</f>
        <v>0</v>
      </c>
      <c r="EQ12" s="3"/>
      <c r="ER12" s="3">
        <f>SUM(ER3:ER11)</f>
        <v>5</v>
      </c>
      <c r="ES12" s="3"/>
      <c r="ET12" s="3">
        <f>SUM(ET3:ET11)</f>
        <v>4</v>
      </c>
      <c r="EU12" s="3"/>
      <c r="EV12" s="83">
        <f t="shared" ref="EV12:EX12" si="278">AVERAGE(EV3:EV11)</f>
        <v>3</v>
      </c>
      <c r="EW12" s="83">
        <f t="shared" si="278"/>
        <v>4</v>
      </c>
      <c r="EX12" s="83">
        <f t="shared" si="278"/>
        <v>4</v>
      </c>
      <c r="EY12" s="17">
        <f>SUM(EY3:EY11)</f>
        <v>47.5</v>
      </c>
      <c r="EZ12" s="18"/>
      <c r="FA12" s="16">
        <f>SUM(FA3:FA11)</f>
        <v>55</v>
      </c>
      <c r="FB12" s="3"/>
      <c r="FC12" s="16">
        <f>SUM(FC3:FC11)</f>
        <v>19</v>
      </c>
      <c r="FD12" s="3"/>
      <c r="FE12" s="3">
        <f>SUM(FE3:FE11)</f>
        <v>0</v>
      </c>
      <c r="FF12" s="3"/>
      <c r="FG12" s="3">
        <f>SUM(FG3:FG11)</f>
        <v>0</v>
      </c>
      <c r="FH12" s="3"/>
      <c r="FI12" s="3"/>
      <c r="FJ12" s="3">
        <f>SUM(FJ3:FJ11)</f>
        <v>0</v>
      </c>
      <c r="FK12" s="3"/>
      <c r="FL12" s="3">
        <f>SUM(FL3:FL11)</f>
        <v>0</v>
      </c>
      <c r="FM12" s="3"/>
      <c r="FN12" s="3">
        <f>SUM(FN3:FN11)</f>
        <v>2</v>
      </c>
      <c r="FO12" s="3"/>
      <c r="FP12" s="3">
        <f>SUM(FP3:FP11)</f>
        <v>7</v>
      </c>
      <c r="FQ12" s="3"/>
      <c r="FR12" s="3">
        <f>SUM(FR3:FR11)</f>
        <v>0</v>
      </c>
      <c r="FS12" s="3"/>
      <c r="FT12" s="3">
        <f>SUM(FT3:FT11)</f>
        <v>1</v>
      </c>
      <c r="FU12" s="3"/>
      <c r="FV12" s="3">
        <f>SUM(FV3:FV11)</f>
        <v>6</v>
      </c>
      <c r="FW12" s="3"/>
      <c r="FX12" s="3">
        <f>SUM(FX3:FX11)</f>
        <v>2</v>
      </c>
      <c r="FY12" s="3"/>
      <c r="FZ12" s="83">
        <f t="shared" ref="FZ12:GB12" si="279">AVERAGE(FZ3:FZ11)</f>
        <v>1.5</v>
      </c>
      <c r="GA12" s="83">
        <f t="shared" si="279"/>
        <v>2.2000000000000002</v>
      </c>
      <c r="GB12" s="83">
        <f t="shared" si="279"/>
        <v>2.5</v>
      </c>
      <c r="GC12" s="17">
        <f>SUM(GC3:GC11)</f>
        <v>43.5</v>
      </c>
      <c r="GD12" s="18"/>
      <c r="GE12" s="16">
        <f>SUM(GE3:GE11)</f>
        <v>64</v>
      </c>
      <c r="GF12" s="3"/>
      <c r="GG12" s="16">
        <f>SUM(GG3:GG11)</f>
        <v>18</v>
      </c>
      <c r="GH12" s="3"/>
      <c r="GI12" s="3">
        <f>SUM(GI3:GI11)</f>
        <v>1</v>
      </c>
      <c r="GJ12" s="3"/>
      <c r="GK12" s="3">
        <f>SUM(GK3:GK11)</f>
        <v>0</v>
      </c>
      <c r="GL12" s="3"/>
      <c r="GM12" s="3"/>
      <c r="GN12" s="3">
        <f>SUM(GN3:GN11)</f>
        <v>0</v>
      </c>
      <c r="GO12" s="3"/>
      <c r="GP12" s="3">
        <f>SUM(GP3:GP11)</f>
        <v>1</v>
      </c>
      <c r="GQ12" s="3"/>
      <c r="GR12" s="3">
        <f>SUM(GR3:GR11)</f>
        <v>1</v>
      </c>
      <c r="GS12" s="3"/>
      <c r="GT12" s="3">
        <f>SUM(GT3:GT11)</f>
        <v>7</v>
      </c>
      <c r="GU12" s="3"/>
      <c r="GV12" s="3">
        <f>SUM(GV3:GV11)</f>
        <v>0</v>
      </c>
      <c r="GW12" s="3"/>
      <c r="GX12" s="3">
        <f>SUM(GX3:GX11)</f>
        <v>1</v>
      </c>
      <c r="GY12" s="3"/>
      <c r="GZ12" s="3">
        <f>SUM(GZ3:GZ11)</f>
        <v>7</v>
      </c>
      <c r="HA12" s="3"/>
      <c r="HB12" s="3">
        <f>SUM(HB3:HB11)</f>
        <v>1</v>
      </c>
      <c r="HC12" s="3"/>
      <c r="HD12" s="83">
        <f t="shared" ref="HD12:HF12" si="280">AVERAGE(HD3:HD11)</f>
        <v>1.5</v>
      </c>
      <c r="HE12" s="83">
        <f t="shared" si="280"/>
        <v>3</v>
      </c>
      <c r="HF12" s="83">
        <f t="shared" si="280"/>
        <v>5</v>
      </c>
      <c r="HG12" s="17">
        <f>SUM(HG3:HG11)</f>
        <v>47.999999999999993</v>
      </c>
      <c r="HH12" s="18"/>
      <c r="HI12" s="16">
        <f>SUM(HI3:HI11)</f>
        <v>53</v>
      </c>
      <c r="HJ12" s="3"/>
      <c r="HK12" s="16">
        <f>SUM(HK3:HK11)</f>
        <v>17</v>
      </c>
      <c r="HL12" s="3"/>
      <c r="HM12" s="3">
        <f>SUM(HM3:HM11)</f>
        <v>0</v>
      </c>
      <c r="HN12" s="3"/>
      <c r="HO12" s="3">
        <f>SUM(HO3:HO11)</f>
        <v>1</v>
      </c>
      <c r="HP12" s="3"/>
      <c r="HQ12" s="3"/>
      <c r="HR12" s="3">
        <f>SUM(HR3:HR11)</f>
        <v>0</v>
      </c>
      <c r="HS12" s="3"/>
      <c r="HT12" s="3">
        <f>SUM(HT3:HT11)</f>
        <v>1</v>
      </c>
      <c r="HU12" s="3"/>
      <c r="HV12" s="3">
        <f>SUM(HV3:HV11)</f>
        <v>1</v>
      </c>
      <c r="HW12" s="3"/>
      <c r="HX12" s="3">
        <f>SUM(HX3:HX11)</f>
        <v>7</v>
      </c>
      <c r="HY12" s="3"/>
      <c r="HZ12" s="3">
        <f>SUM(HZ3:HZ11)</f>
        <v>0</v>
      </c>
      <c r="IA12" s="3"/>
      <c r="IB12" s="3">
        <f>SUM(IB3:IB11)</f>
        <v>2</v>
      </c>
      <c r="IC12" s="3"/>
      <c r="ID12" s="3">
        <f>SUM(ID3:ID11)</f>
        <v>6</v>
      </c>
      <c r="IE12" s="3"/>
      <c r="IF12" s="3">
        <f>SUM(IF3:IF11)</f>
        <v>1</v>
      </c>
      <c r="IG12" s="3"/>
      <c r="IH12" s="83">
        <f t="shared" ref="IH12:IJ12" si="281">AVERAGE(IH3:IH11)</f>
        <v>2.5</v>
      </c>
      <c r="II12" s="83">
        <f t="shared" si="281"/>
        <v>1.6</v>
      </c>
      <c r="IJ12" s="83">
        <f t="shared" si="281"/>
        <v>2</v>
      </c>
      <c r="IK12" s="17">
        <f>SUM(IK3:IK11)</f>
        <v>45</v>
      </c>
      <c r="IL12" s="18"/>
      <c r="IM12" s="16">
        <f>SUM(IM3:IM11)</f>
        <v>63</v>
      </c>
      <c r="IN12" s="3"/>
      <c r="IO12" s="16">
        <f>SUM(IO3:IO11)</f>
        <v>27</v>
      </c>
      <c r="IP12" s="3"/>
      <c r="IQ12" s="3">
        <f>SUM(IQ3:IQ11)</f>
        <v>3</v>
      </c>
      <c r="IR12" s="3"/>
      <c r="IS12" s="3">
        <f>SUM(IS3:IS11)</f>
        <v>0</v>
      </c>
      <c r="IT12" s="3"/>
      <c r="IU12" s="3"/>
      <c r="IV12" s="3">
        <f>SUM(IV3:IV11)</f>
        <v>0</v>
      </c>
      <c r="IW12" s="3"/>
      <c r="IX12" s="3">
        <f>SUM(IX3:IX11)</f>
        <v>1</v>
      </c>
      <c r="IY12" s="3"/>
      <c r="IZ12" s="3">
        <f>SUM(IZ3:IZ11)</f>
        <v>1</v>
      </c>
      <c r="JA12" s="3"/>
      <c r="JB12" s="3">
        <f>SUM(JB3:JB11)</f>
        <v>7</v>
      </c>
      <c r="JC12" s="3"/>
      <c r="JD12" s="3">
        <f>SUM(JD3:JD11)</f>
        <v>0</v>
      </c>
      <c r="JE12" s="3"/>
      <c r="JF12" s="3">
        <f>SUM(JF3:JF11)</f>
        <v>0</v>
      </c>
      <c r="JG12" s="3"/>
      <c r="JH12" s="3">
        <f>SUM(JH3:JH11)</f>
        <v>3</v>
      </c>
      <c r="JI12" s="3"/>
      <c r="JJ12" s="3">
        <f>SUM(JJ3:JJ11)</f>
        <v>6</v>
      </c>
      <c r="JK12" s="3"/>
      <c r="JL12" s="83">
        <f t="shared" ref="JL12:JN12" si="282">AVERAGE(JL3:JL11)</f>
        <v>1.5</v>
      </c>
      <c r="JM12" s="83">
        <f t="shared" si="282"/>
        <v>4</v>
      </c>
      <c r="JN12" s="83">
        <f t="shared" si="282"/>
        <v>2</v>
      </c>
      <c r="JO12" s="17">
        <f>SUM(JO3:JO11)</f>
        <v>41.999999999999986</v>
      </c>
      <c r="JP12" s="18"/>
      <c r="JQ12" s="16">
        <v>67</v>
      </c>
      <c r="JR12" s="3"/>
      <c r="JS12" s="3">
        <v>23</v>
      </c>
      <c r="JT12" s="3"/>
      <c r="JU12" s="3">
        <f>SUM(JU3:JU11)</f>
        <v>9</v>
      </c>
      <c r="JV12" s="3"/>
      <c r="JW12" s="3">
        <f>SUM(JW3:JW11)</f>
        <v>0</v>
      </c>
      <c r="JX12" s="3"/>
      <c r="JY12" s="3"/>
      <c r="JZ12" s="3">
        <f>SUM(JZ3:JZ11)</f>
        <v>0</v>
      </c>
      <c r="KA12" s="3"/>
      <c r="KB12" s="3">
        <f>SUM(KB3:KB11)</f>
        <v>0</v>
      </c>
      <c r="KC12" s="3"/>
      <c r="KD12" s="3">
        <f>SUM(KD3:KD11)</f>
        <v>0</v>
      </c>
      <c r="KE12" s="3"/>
      <c r="KF12" s="3">
        <f>SUM(KF3:KF11)</f>
        <v>0</v>
      </c>
      <c r="KG12" s="3"/>
      <c r="KH12" s="3">
        <f>SUM(KH3:KH11)</f>
        <v>9</v>
      </c>
      <c r="KI12" s="3"/>
      <c r="KJ12" s="3">
        <f>SUM(KJ3:KJ11)</f>
        <v>0</v>
      </c>
      <c r="KK12" s="3"/>
      <c r="KL12" s="3">
        <f>SUM(KL3:KL11)</f>
        <v>0</v>
      </c>
      <c r="KM12" s="3"/>
      <c r="KN12" s="3">
        <f>SUM(KN3:KN11)</f>
        <v>0</v>
      </c>
      <c r="KO12" s="3"/>
      <c r="KP12" s="83">
        <f t="shared" ref="KP12:KR12" si="283">AVERAGE(KP3:KP11)</f>
        <v>-3</v>
      </c>
      <c r="KQ12" s="83">
        <f t="shared" si="283"/>
        <v>-4</v>
      </c>
      <c r="KR12" s="83">
        <f t="shared" si="283"/>
        <v>-5</v>
      </c>
      <c r="KS12" s="17" t="e">
        <f>SUM(KS3:KS11)</f>
        <v>#REF!</v>
      </c>
      <c r="KT12" s="18"/>
    </row>
    <row r="13" spans="1:306" ht="13.2" x14ac:dyDescent="0.25">
      <c r="A13" s="179"/>
      <c r="B13" s="175" t="s">
        <v>26</v>
      </c>
      <c r="C13" s="7">
        <v>10</v>
      </c>
      <c r="D13" s="2">
        <f>D11+1</f>
        <v>10</v>
      </c>
      <c r="E13" s="7">
        <v>4</v>
      </c>
      <c r="F13" s="4">
        <f>E13+F11</f>
        <v>40</v>
      </c>
      <c r="G13" s="55">
        <v>4</v>
      </c>
      <c r="H13" s="9">
        <f>G13+H11</f>
        <v>45</v>
      </c>
      <c r="I13" s="55">
        <v>2</v>
      </c>
      <c r="J13" s="9">
        <f>I13+J11</f>
        <v>18</v>
      </c>
      <c r="K13" s="9">
        <f t="shared" ref="K13:K21" si="284">IF(G13-I13&lt;=$E13-2,1,0)</f>
        <v>1</v>
      </c>
      <c r="L13" s="9">
        <f>K13+L11</f>
        <v>3</v>
      </c>
      <c r="M13" s="9">
        <f t="shared" ref="M13:M21" si="285">IF(K13=0,IF(G13=$E13,1,0),0)</f>
        <v>0</v>
      </c>
      <c r="N13" s="9">
        <f>M13+N11</f>
        <v>2</v>
      </c>
      <c r="O13" s="9"/>
      <c r="P13" s="9">
        <f t="shared" ref="P13:P21" si="286">IF($E13-G13=1,1,0)</f>
        <v>0</v>
      </c>
      <c r="Q13" s="9">
        <f>P13+Q11</f>
        <v>0</v>
      </c>
      <c r="R13" s="9">
        <f t="shared" ref="R13:R21" si="287">IF(G13=$E13,1,0)</f>
        <v>1</v>
      </c>
      <c r="S13" s="9">
        <f>R13+S11</f>
        <v>5</v>
      </c>
      <c r="T13" s="9">
        <f t="shared" ref="T13:T21" si="288">IF(G13-$E13=1,1,0)</f>
        <v>0</v>
      </c>
      <c r="U13" s="9">
        <f>T13+U11</f>
        <v>5</v>
      </c>
      <c r="V13" s="9">
        <f t="shared" ref="V13:V21" si="289">IF(G13-$E13&gt;=2,1,0)</f>
        <v>0</v>
      </c>
      <c r="W13" s="9">
        <f>V13+W11</f>
        <v>0</v>
      </c>
      <c r="X13" s="9">
        <f t="shared" ref="X13:X21" si="290">IF(I13=0,1,0)</f>
        <v>0</v>
      </c>
      <c r="Y13" s="9">
        <f>X13+Y11</f>
        <v>0</v>
      </c>
      <c r="Z13" s="9">
        <f t="shared" ref="Z13:Z21" si="291">IF(I13=1,1,0)</f>
        <v>0</v>
      </c>
      <c r="AA13" s="9">
        <f>Z13+AA11</f>
        <v>2</v>
      </c>
      <c r="AB13" s="9">
        <f t="shared" ref="AB13:AB21" si="292">IF(I13=2,1,0)</f>
        <v>1</v>
      </c>
      <c r="AC13" s="9">
        <f>AB13+AC11</f>
        <v>8</v>
      </c>
      <c r="AD13" s="9">
        <f t="shared" ref="AD13:AD21" si="293">IF(I13&gt;=3,1,0)</f>
        <v>0</v>
      </c>
      <c r="AE13" s="9">
        <f>AD13+AE11</f>
        <v>0</v>
      </c>
      <c r="AF13" s="2"/>
      <c r="AG13" s="2">
        <f>IF($E13=4,G13-4,NA())</f>
        <v>0</v>
      </c>
      <c r="AH13" s="9"/>
      <c r="AI13" s="10">
        <f>G13-'Zusammenfassung Tag1-4'!$B$2/18</f>
        <v>3.1666666666666665</v>
      </c>
      <c r="AJ13" s="11">
        <f>AI13+AJ11</f>
        <v>36.666666666666671</v>
      </c>
      <c r="AK13" s="52">
        <v>4</v>
      </c>
      <c r="AL13" s="9">
        <f>AK13+AL11</f>
        <v>50</v>
      </c>
      <c r="AM13" s="55">
        <v>2</v>
      </c>
      <c r="AN13" s="9">
        <f>AM13+AN11</f>
        <v>20</v>
      </c>
      <c r="AO13" s="9">
        <f t="shared" ref="AO13:AO21" si="294">IF(AK13-AM13&lt;=$E13-2,1,0)</f>
        <v>1</v>
      </c>
      <c r="AP13" s="9">
        <f>AO13+AP11</f>
        <v>6</v>
      </c>
      <c r="AQ13" s="9">
        <f t="shared" ref="AQ13:AQ21" si="295">IF(AO13=0,IF(AK13=$E13,1,0),0)</f>
        <v>0</v>
      </c>
      <c r="AR13" s="9">
        <f>AQ13+AR11</f>
        <v>1</v>
      </c>
      <c r="AS13" s="9"/>
      <c r="AT13" s="9">
        <f t="shared" ref="AT13:AT21" si="296">IF($E13-AK13=1,1,0)</f>
        <v>0</v>
      </c>
      <c r="AU13" s="9">
        <f>AT13+AU11</f>
        <v>0</v>
      </c>
      <c r="AV13" s="9">
        <f>IF(AK13=$E13,1,0)</f>
        <v>1</v>
      </c>
      <c r="AW13" s="9">
        <f>AV13+AW11</f>
        <v>6</v>
      </c>
      <c r="AX13" s="9">
        <f>IF(AK13-$E13=1,1,0)</f>
        <v>0</v>
      </c>
      <c r="AY13" s="9">
        <f>AX13+AY11</f>
        <v>2</v>
      </c>
      <c r="AZ13" s="9">
        <f>IF(AK13-$E13&gt;=2,1,0)</f>
        <v>0</v>
      </c>
      <c r="BA13" s="9">
        <f>AZ13+BA11</f>
        <v>2</v>
      </c>
      <c r="BB13" s="9">
        <f>IF(AM13=0,1,0)</f>
        <v>0</v>
      </c>
      <c r="BC13" s="9">
        <f>BB13+BC11</f>
        <v>0</v>
      </c>
      <c r="BD13" s="9">
        <f t="shared" ref="BD13:BD21" si="297">IF(AM13=1,1,0)</f>
        <v>0</v>
      </c>
      <c r="BE13" s="9">
        <f>BD13+BE11</f>
        <v>1</v>
      </c>
      <c r="BF13" s="9">
        <f>IF(AM13=2,1,0)</f>
        <v>1</v>
      </c>
      <c r="BG13" s="9">
        <f>BF13+BG11</f>
        <v>8</v>
      </c>
      <c r="BH13" s="9">
        <f t="shared" ref="BH13:BH21" si="298">IF(AM13&gt;=3,1,0)</f>
        <v>0</v>
      </c>
      <c r="BI13" s="9">
        <f>BH13+BI11</f>
        <v>1</v>
      </c>
      <c r="BJ13" s="2"/>
      <c r="BK13" s="2">
        <f t="shared" ref="BK13:BK15" si="299">IF($E13=4,AK13-4,NA())</f>
        <v>0</v>
      </c>
      <c r="BL13" s="9"/>
      <c r="BM13" s="10">
        <f>AK13-'Zusammenfassung Tag1-4'!$C$2/18</f>
        <v>3.4444444444444446</v>
      </c>
      <c r="BN13" s="11">
        <f>BM13+BN11</f>
        <v>44.444444444444436</v>
      </c>
      <c r="BO13" s="52">
        <v>5</v>
      </c>
      <c r="BP13" s="9">
        <f>BO13+BP11</f>
        <v>60</v>
      </c>
      <c r="BQ13" s="55">
        <v>2</v>
      </c>
      <c r="BR13" s="9">
        <f>BQ13+BR11</f>
        <v>24</v>
      </c>
      <c r="BS13" s="9">
        <f t="shared" ref="BS13:BS21" si="300">IF(BO13-BQ13&lt;=$E13-2,1,0)</f>
        <v>0</v>
      </c>
      <c r="BT13" s="9">
        <f>BS13+BT11</f>
        <v>3</v>
      </c>
      <c r="BU13" s="9">
        <f t="shared" ref="BU13:BU21" si="301">IF(BS13=0,IF(BO13=$E13,1,0),0)</f>
        <v>0</v>
      </c>
      <c r="BV13" s="9">
        <f>BU13+BV11</f>
        <v>0</v>
      </c>
      <c r="BW13" s="9"/>
      <c r="BX13" s="9">
        <f t="shared" ref="BX13:BX21" si="302">IF($E13-BO13=1,1,0)</f>
        <v>0</v>
      </c>
      <c r="BY13" s="9">
        <f>BX13+BY11</f>
        <v>0</v>
      </c>
      <c r="BZ13" s="9">
        <f>IF(BO13=$E13,1,0)</f>
        <v>0</v>
      </c>
      <c r="CA13" s="9">
        <f>BZ13+CA11</f>
        <v>1</v>
      </c>
      <c r="CB13" s="9">
        <f>IF(BO13-$E13=1,1,0)</f>
        <v>1</v>
      </c>
      <c r="CC13" s="9">
        <f>CB13+CC11</f>
        <v>5</v>
      </c>
      <c r="CD13" s="9">
        <f>IF(BO13-$E13&gt;=2,1,0)</f>
        <v>0</v>
      </c>
      <c r="CE13" s="9">
        <f>CD13+CE11</f>
        <v>4</v>
      </c>
      <c r="CF13" s="9">
        <f>IF(BQ13=0,1,0)</f>
        <v>0</v>
      </c>
      <c r="CG13" s="9">
        <f>CF13+CG11</f>
        <v>0</v>
      </c>
      <c r="CH13" s="9">
        <f t="shared" ref="CH13:CH21" si="303">IF(BQ13=1,1,0)</f>
        <v>0</v>
      </c>
      <c r="CI13" s="9">
        <f>CH13+CI11</f>
        <v>0</v>
      </c>
      <c r="CJ13" s="9">
        <f>IF(BQ13=2,1,0)</f>
        <v>1</v>
      </c>
      <c r="CK13" s="9">
        <f>CJ13+CK11</f>
        <v>6</v>
      </c>
      <c r="CL13" s="9">
        <f t="shared" ref="CL13:CL21" si="304">IF(BQ13&gt;=3,1,0)</f>
        <v>0</v>
      </c>
      <c r="CM13" s="9">
        <f>CL13+CM11</f>
        <v>4</v>
      </c>
      <c r="CN13" s="2"/>
      <c r="CO13" s="2">
        <f t="shared" ref="CO13:CO15" si="305">IF($E13=4,BO13-4,NA())</f>
        <v>1</v>
      </c>
      <c r="CP13" s="9"/>
      <c r="CQ13" s="10">
        <f>BO13-'Zusammenfassung Tag1-4'!$D$2/18</f>
        <v>3.9444444444444446</v>
      </c>
      <c r="CR13" s="11">
        <f>CQ13+CR11</f>
        <v>49.444444444444436</v>
      </c>
      <c r="CS13" s="52">
        <v>5</v>
      </c>
      <c r="CT13" s="9">
        <f>CS13+CT11</f>
        <v>56</v>
      </c>
      <c r="CU13" s="55">
        <v>3</v>
      </c>
      <c r="CV13" s="9">
        <f>CU13+CV11</f>
        <v>26</v>
      </c>
      <c r="CW13" s="9">
        <f t="shared" ref="CW13:CW21" si="306">IF(CS13-CU13&lt;=$E13-2,1,0)</f>
        <v>1</v>
      </c>
      <c r="CX13" s="9">
        <f>CW13+CX11</f>
        <v>5</v>
      </c>
      <c r="CY13" s="9">
        <f t="shared" ref="CY13:CY21" si="307">IF(CW13=0,IF(CS13=$E13,1,0),0)</f>
        <v>0</v>
      </c>
      <c r="CZ13" s="9">
        <f>CY13+CZ11</f>
        <v>0</v>
      </c>
      <c r="DA13" s="9"/>
      <c r="DB13" s="9">
        <f t="shared" ref="DB13:DB21" si="308">IF($E13-CS13=1,1,0)</f>
        <v>0</v>
      </c>
      <c r="DC13" s="9">
        <f>DB13+DC11</f>
        <v>0</v>
      </c>
      <c r="DD13" s="9">
        <f>IF(CS13=$E13,1,0)</f>
        <v>0</v>
      </c>
      <c r="DE13" s="9">
        <f>DD13+DE11</f>
        <v>1</v>
      </c>
      <c r="DF13" s="9">
        <f>IF(CS13-$E13=1,1,0)</f>
        <v>1</v>
      </c>
      <c r="DG13" s="9">
        <f>DF13+DG11</f>
        <v>5</v>
      </c>
      <c r="DH13" s="9">
        <f>IF(CS13-$E13&gt;=2,1,0)</f>
        <v>0</v>
      </c>
      <c r="DI13" s="9">
        <f>DH13+DI11</f>
        <v>4</v>
      </c>
      <c r="DJ13" s="9">
        <f>IF(CU13=0,1,0)</f>
        <v>0</v>
      </c>
      <c r="DK13" s="9">
        <f>DJ13+DK11</f>
        <v>0</v>
      </c>
      <c r="DL13" s="9">
        <f t="shared" ref="DL13:DL21" si="309">IF(CU13=1,1,0)</f>
        <v>0</v>
      </c>
      <c r="DM13" s="9">
        <f>DL13+DM11</f>
        <v>0</v>
      </c>
      <c r="DN13" s="9">
        <f>IF(CU13=2,1,0)</f>
        <v>0</v>
      </c>
      <c r="DO13" s="9">
        <f>DN13+DO11</f>
        <v>4</v>
      </c>
      <c r="DP13" s="9">
        <f t="shared" ref="DP13:DP21" si="310">IF(CU13&gt;=3,1,0)</f>
        <v>1</v>
      </c>
      <c r="DQ13" s="9">
        <f>DP13+DQ11</f>
        <v>6</v>
      </c>
      <c r="DR13" s="2"/>
      <c r="DS13" s="2">
        <f t="shared" ref="DS13:DS15" si="311">IF($E13=4,CS13-4,NA())</f>
        <v>1</v>
      </c>
      <c r="DT13" s="9"/>
      <c r="DU13" s="10">
        <f>CS13-'Zusammenfassung Tag1-4'!$E$2/18</f>
        <v>4</v>
      </c>
      <c r="DV13" s="12">
        <f>DU13+DV11</f>
        <v>46</v>
      </c>
      <c r="DW13" s="52">
        <v>10</v>
      </c>
      <c r="DX13" s="9">
        <v>132</v>
      </c>
      <c r="DY13" s="55">
        <v>2</v>
      </c>
      <c r="DZ13" s="9">
        <f>DY13+DZ11</f>
        <v>24</v>
      </c>
      <c r="EA13" s="9">
        <f t="shared" ref="EA13:EA21" si="312">IF(DW13-DY13&lt;=$E13-2,1,0)</f>
        <v>0</v>
      </c>
      <c r="EB13" s="9">
        <f>EA13+EB11</f>
        <v>0</v>
      </c>
      <c r="EC13" s="9">
        <f t="shared" ref="EC13:EC21" si="313">IF(EA13=0,IF(DW13=$E13,1,0),0)</f>
        <v>0</v>
      </c>
      <c r="ED13" s="9">
        <f>EC13+ED11</f>
        <v>0</v>
      </c>
      <c r="EE13" s="9"/>
      <c r="EF13" s="9">
        <f t="shared" ref="EF13:EF21" si="314">IF($E13-DW13=1,1,0)</f>
        <v>0</v>
      </c>
      <c r="EG13" s="9">
        <f>EF13+EG11</f>
        <v>0</v>
      </c>
      <c r="EH13" s="9">
        <f>IF(DW13=$E13,1,0)</f>
        <v>0</v>
      </c>
      <c r="EI13" s="9">
        <f>EH13+EI11</f>
        <v>0</v>
      </c>
      <c r="EJ13" s="9">
        <f>IF(DW13-$E13=1,1,0)</f>
        <v>0</v>
      </c>
      <c r="EK13" s="9">
        <f>EJ13+EK11</f>
        <v>0</v>
      </c>
      <c r="EL13" s="9">
        <f>IF(DW13-$E13&gt;=2,1,0)</f>
        <v>1</v>
      </c>
      <c r="EM13" s="9">
        <f>EL13+EM11</f>
        <v>10</v>
      </c>
      <c r="EN13" s="9">
        <f>IF(DY13=0,1,0)</f>
        <v>0</v>
      </c>
      <c r="EO13" s="9">
        <f>EN13+EO11</f>
        <v>0</v>
      </c>
      <c r="EP13" s="9">
        <f t="shared" ref="EP13:EP21" si="315">IF(DY13=1,1,0)</f>
        <v>0</v>
      </c>
      <c r="EQ13" s="9">
        <f>EP13+EQ11</f>
        <v>0</v>
      </c>
      <c r="ER13" s="9">
        <f>IF(DY13=2,1,0)</f>
        <v>1</v>
      </c>
      <c r="ES13" s="9">
        <f>ER13+ES11</f>
        <v>6</v>
      </c>
      <c r="ET13" s="9">
        <f t="shared" ref="ET13:ET21" si="316">IF(DY13&gt;=3,1,0)</f>
        <v>0</v>
      </c>
      <c r="EU13" s="9">
        <f>ET13+EU11</f>
        <v>4</v>
      </c>
      <c r="EV13" s="2"/>
      <c r="EW13" s="2">
        <f t="shared" ref="EW13:EW15" si="317">IF($E13=4,DW13-4,NA())</f>
        <v>6</v>
      </c>
      <c r="EX13" s="9"/>
      <c r="EY13" s="10">
        <f>DW13-'Zusammenfassung Tag1-4'!$F$2/18</f>
        <v>7.5</v>
      </c>
      <c r="EZ13" s="12">
        <f>EY13+EZ11</f>
        <v>55</v>
      </c>
      <c r="FA13" s="52">
        <v>5</v>
      </c>
      <c r="FB13" s="9">
        <v>56</v>
      </c>
      <c r="FC13" s="55">
        <v>3</v>
      </c>
      <c r="FD13" s="9">
        <f>FC13+FD11</f>
        <v>22</v>
      </c>
      <c r="FE13" s="9">
        <f t="shared" ref="FE13:FE21" si="318">IF(FA13-FC13&lt;=$E13-2,1,0)</f>
        <v>1</v>
      </c>
      <c r="FF13" s="9">
        <f>FE13+FF11</f>
        <v>1</v>
      </c>
      <c r="FG13" s="9">
        <f t="shared" ref="FG13:FG21" si="319">IF(FE13=0,IF(FA13=$E13,1,0),0)</f>
        <v>0</v>
      </c>
      <c r="FH13" s="9">
        <f>FG13+FH11</f>
        <v>0</v>
      </c>
      <c r="FI13" s="9"/>
      <c r="FJ13" s="9">
        <f t="shared" ref="FJ13:FJ21" si="320">IF($E13-FA13=1,1,0)</f>
        <v>0</v>
      </c>
      <c r="FK13" s="9">
        <f>FJ13+FK11</f>
        <v>0</v>
      </c>
      <c r="FL13" s="9">
        <f>IF(FA13=$E13,1,0)</f>
        <v>0</v>
      </c>
      <c r="FM13" s="9">
        <f>FL13+FM11</f>
        <v>0</v>
      </c>
      <c r="FN13" s="9">
        <f>IF(FA13-$E13=1,1,0)</f>
        <v>1</v>
      </c>
      <c r="FO13" s="9">
        <f>FN13+FO11</f>
        <v>3</v>
      </c>
      <c r="FP13" s="9">
        <f>IF(FA13-$E13&gt;=2,1,0)</f>
        <v>0</v>
      </c>
      <c r="FQ13" s="9">
        <f>FP13+FQ11</f>
        <v>7</v>
      </c>
      <c r="FR13" s="9">
        <f>IF(FC13=0,1,0)</f>
        <v>0</v>
      </c>
      <c r="FS13" s="9">
        <f>FR13+FS11</f>
        <v>0</v>
      </c>
      <c r="FT13" s="9">
        <f t="shared" ref="FT13:FT21" si="321">IF(FC13=1,1,0)</f>
        <v>0</v>
      </c>
      <c r="FU13" s="9">
        <f>FT13+FU11</f>
        <v>1</v>
      </c>
      <c r="FV13" s="9">
        <f>IF(FC13=2,1,0)</f>
        <v>0</v>
      </c>
      <c r="FW13" s="9">
        <f>FV13+FW11</f>
        <v>6</v>
      </c>
      <c r="FX13" s="9">
        <f t="shared" ref="FX13:FX21" si="322">IF(FC13&gt;=3,1,0)</f>
        <v>1</v>
      </c>
      <c r="FY13" s="9">
        <f>FX13+FY11</f>
        <v>3</v>
      </c>
      <c r="FZ13" s="2"/>
      <c r="GA13" s="2">
        <f t="shared" ref="GA13:GA15" si="323">IF($E13=4,FA13-4,NA())</f>
        <v>1</v>
      </c>
      <c r="GB13" s="9"/>
      <c r="GC13" s="10">
        <f>FA13-'Zusammenfassung Tag1-4'!$G$2/18</f>
        <v>3.7222222222222223</v>
      </c>
      <c r="GD13" s="12">
        <f>GC13+GD11</f>
        <v>47.222222222222221</v>
      </c>
      <c r="GE13" s="52">
        <v>8</v>
      </c>
      <c r="GF13" s="9">
        <v>73</v>
      </c>
      <c r="GG13" s="55">
        <v>2</v>
      </c>
      <c r="GH13" s="9">
        <f>GG13+GH11</f>
        <v>20</v>
      </c>
      <c r="GI13" s="9">
        <f t="shared" ref="GI13:GI21" si="324">IF(GE13-GG13&lt;=$E13-2,1,0)</f>
        <v>0</v>
      </c>
      <c r="GJ13" s="9">
        <f>GI13+GJ11</f>
        <v>1</v>
      </c>
      <c r="GK13" s="9">
        <f t="shared" ref="GK13:GK21" si="325">IF(GI13=0,IF(GE13=$E13,1,0),0)</f>
        <v>0</v>
      </c>
      <c r="GL13" s="9">
        <f>GK13+GL11</f>
        <v>0</v>
      </c>
      <c r="GM13" s="9"/>
      <c r="GN13" s="9">
        <f t="shared" ref="GN13:GN21" si="326">IF($E13-GE13=1,1,0)</f>
        <v>0</v>
      </c>
      <c r="GO13" s="9">
        <f>GN13+GO11</f>
        <v>0</v>
      </c>
      <c r="GP13" s="9">
        <f>IF(GE13=$E13,1,0)</f>
        <v>0</v>
      </c>
      <c r="GQ13" s="9">
        <f>GP13+GQ11</f>
        <v>1</v>
      </c>
      <c r="GR13" s="9">
        <f>IF(GE13-$E13=1,1,0)</f>
        <v>0</v>
      </c>
      <c r="GS13" s="9">
        <f>GR13+GS11</f>
        <v>1</v>
      </c>
      <c r="GT13" s="9">
        <f>IF(GE13-$E13&gt;=2,1,0)</f>
        <v>1</v>
      </c>
      <c r="GU13" s="9">
        <f>GT13+GU11</f>
        <v>8</v>
      </c>
      <c r="GV13" s="9">
        <f>IF(GG13=0,1,0)</f>
        <v>0</v>
      </c>
      <c r="GW13" s="9">
        <f>GV13+GW11</f>
        <v>0</v>
      </c>
      <c r="GX13" s="9">
        <f t="shared" ref="GX13:GX21" si="327">IF(GG13=1,1,0)</f>
        <v>0</v>
      </c>
      <c r="GY13" s="9">
        <f>GX13+GY11</f>
        <v>1</v>
      </c>
      <c r="GZ13" s="9">
        <f>IF(GG13=2,1,0)</f>
        <v>1</v>
      </c>
      <c r="HA13" s="9">
        <f>GZ13+HA11</f>
        <v>8</v>
      </c>
      <c r="HB13" s="9">
        <f t="shared" ref="HB13:HB21" si="328">IF(GG13&gt;=3,1,0)</f>
        <v>0</v>
      </c>
      <c r="HC13" s="9">
        <f>HB13+HC11</f>
        <v>1</v>
      </c>
      <c r="HD13" s="2"/>
      <c r="HE13" s="2">
        <f t="shared" ref="HE13:HE15" si="329">IF($E13=4,GE13-4,NA())</f>
        <v>4</v>
      </c>
      <c r="HF13" s="9"/>
      <c r="HG13" s="10">
        <f>GE13-'Zusammenfassung Tag1-4'!$H$2/18</f>
        <v>6.2222222222222223</v>
      </c>
      <c r="HH13" s="12">
        <f>HG13+HH11</f>
        <v>54.222222222222214</v>
      </c>
      <c r="HI13" s="52">
        <v>6</v>
      </c>
      <c r="HJ13" s="9">
        <v>51</v>
      </c>
      <c r="HK13" s="55">
        <v>2</v>
      </c>
      <c r="HL13" s="9">
        <f>HK13+HL11</f>
        <v>19</v>
      </c>
      <c r="HM13" s="9">
        <f t="shared" ref="HM13:HM21" si="330">IF(HI13-HK13&lt;=$E13-2,1,0)</f>
        <v>0</v>
      </c>
      <c r="HN13" s="9">
        <f>HM13+HN11</f>
        <v>0</v>
      </c>
      <c r="HO13" s="9">
        <f t="shared" ref="HO13:HO21" si="331">IF(HM13=0,IF(HI13=$E13,1,0),0)</f>
        <v>0</v>
      </c>
      <c r="HP13" s="9">
        <f>HO13+HP11</f>
        <v>1</v>
      </c>
      <c r="HQ13" s="9"/>
      <c r="HR13" s="9">
        <f t="shared" ref="HR13:HR21" si="332">IF($E13-HI13=1,1,0)</f>
        <v>0</v>
      </c>
      <c r="HS13" s="9">
        <f>HR13+HS11</f>
        <v>0</v>
      </c>
      <c r="HT13" s="9">
        <f>IF(HI13=$E13,1,0)</f>
        <v>0</v>
      </c>
      <c r="HU13" s="9">
        <f>HT13+HU11</f>
        <v>1</v>
      </c>
      <c r="HV13" s="9">
        <f>IF(HI13-$E13=1,1,0)</f>
        <v>0</v>
      </c>
      <c r="HW13" s="9">
        <f>HV13+HW11</f>
        <v>1</v>
      </c>
      <c r="HX13" s="9">
        <f>IF(HI13-$E13&gt;=2,1,0)</f>
        <v>1</v>
      </c>
      <c r="HY13" s="9">
        <f>HX13+HY11</f>
        <v>8</v>
      </c>
      <c r="HZ13" s="9">
        <f>IF(HK13=0,1,0)</f>
        <v>0</v>
      </c>
      <c r="IA13" s="9">
        <f>HZ13+IA11</f>
        <v>0</v>
      </c>
      <c r="IB13" s="9">
        <f t="shared" ref="IB13:IB21" si="333">IF(HK13=1,1,0)</f>
        <v>0</v>
      </c>
      <c r="IC13" s="9">
        <f>IB13+IC11</f>
        <v>2</v>
      </c>
      <c r="ID13" s="9">
        <f>IF(HK13=2,1,0)</f>
        <v>1</v>
      </c>
      <c r="IE13" s="9">
        <f>ID13+IE11</f>
        <v>7</v>
      </c>
      <c r="IF13" s="9">
        <f t="shared" ref="IF13:IF21" si="334">IF(HK13&gt;=3,1,0)</f>
        <v>0</v>
      </c>
      <c r="IG13" s="9">
        <f>IF13+IG11</f>
        <v>1</v>
      </c>
      <c r="IH13" s="2"/>
      <c r="II13" s="2">
        <f t="shared" ref="II13:II15" si="335">IF($E13=4,HI13-4,NA())</f>
        <v>2</v>
      </c>
      <c r="IJ13" s="9"/>
      <c r="IK13" s="10">
        <f>HI13-'Zusammenfassung Tag1-4'!$I$2/18</f>
        <v>5.1111111111111107</v>
      </c>
      <c r="IL13" s="12">
        <f>IK13+IL11</f>
        <v>50.111111111111114</v>
      </c>
      <c r="IM13" s="52">
        <v>5</v>
      </c>
      <c r="IN13" s="9">
        <v>207</v>
      </c>
      <c r="IO13" s="55">
        <v>3</v>
      </c>
      <c r="IP13" s="9">
        <f>IO13+IP11</f>
        <v>30</v>
      </c>
      <c r="IQ13" s="9">
        <f t="shared" ref="IQ13:IQ21" si="336">IF(IM13-IO13&lt;=$E13-2,1,0)</f>
        <v>1</v>
      </c>
      <c r="IR13" s="9">
        <f>IQ13+IR11</f>
        <v>4</v>
      </c>
      <c r="IS13" s="9">
        <f t="shared" ref="IS13:IS21" si="337">IF(IQ13=0,IF(IM13=$E13,1,0),0)</f>
        <v>0</v>
      </c>
      <c r="IT13" s="9">
        <f>IS13+IT11</f>
        <v>0</v>
      </c>
      <c r="IU13" s="9"/>
      <c r="IV13" s="9">
        <f t="shared" ref="IV13:IV21" si="338">IF($E13-IM13=1,1,0)</f>
        <v>0</v>
      </c>
      <c r="IW13" s="9">
        <f>IV13+IW11</f>
        <v>0</v>
      </c>
      <c r="IX13" s="9">
        <f>IF(IM13=$E13,1,0)</f>
        <v>0</v>
      </c>
      <c r="IY13" s="9">
        <f>IX13+IY11</f>
        <v>1</v>
      </c>
      <c r="IZ13" s="9">
        <f>IF(IM13-$E13=1,1,0)</f>
        <v>1</v>
      </c>
      <c r="JA13" s="9">
        <f>IZ13+JA11</f>
        <v>2</v>
      </c>
      <c r="JB13" s="9">
        <f>IF(IM13-$E13&gt;=2,1,0)</f>
        <v>0</v>
      </c>
      <c r="JC13" s="9">
        <f>JB13+JC11</f>
        <v>7</v>
      </c>
      <c r="JD13" s="9">
        <f>IF(IO13=0,1,0)</f>
        <v>0</v>
      </c>
      <c r="JE13" s="9">
        <f>JD13+JE11</f>
        <v>0</v>
      </c>
      <c r="JF13" s="9">
        <f t="shared" ref="JF13:JF21" si="339">IF(IO13=1,1,0)</f>
        <v>0</v>
      </c>
      <c r="JG13" s="9">
        <f>JF13+JG11</f>
        <v>0</v>
      </c>
      <c r="JH13" s="9">
        <f>IF(IO13=2,1,0)</f>
        <v>0</v>
      </c>
      <c r="JI13" s="9">
        <f>JH13+JI11</f>
        <v>3</v>
      </c>
      <c r="JJ13" s="9">
        <f t="shared" ref="JJ13:JJ21" si="340">IF(IO13&gt;=3,1,0)</f>
        <v>1</v>
      </c>
      <c r="JK13" s="9">
        <f>JJ13+JK11</f>
        <v>7</v>
      </c>
      <c r="JL13" s="2"/>
      <c r="JM13" s="2">
        <f t="shared" ref="JM13:JM15" si="341">IF($E13=4,IM13-4,NA())</f>
        <v>1</v>
      </c>
      <c r="JN13" s="9"/>
      <c r="JO13" s="10">
        <f>IM13-'Zusammenfassung Tag1-4'!$J$2/18</f>
        <v>2.6666666666666665</v>
      </c>
      <c r="JP13" s="12">
        <f>JO13+JP11</f>
        <v>44.66666666666665</v>
      </c>
      <c r="JQ13" s="52"/>
      <c r="JR13" s="9"/>
      <c r="JS13" s="55"/>
      <c r="JT13" s="9">
        <f>JS13+JT11</f>
        <v>0</v>
      </c>
      <c r="JU13" s="9">
        <f t="shared" ref="JU13:JU21" si="342">IF(JQ13-JS13&lt;=$E13-2,1,0)</f>
        <v>1</v>
      </c>
      <c r="JV13" s="9">
        <f>JU13+JV11</f>
        <v>10</v>
      </c>
      <c r="JW13" s="9">
        <f t="shared" ref="JW13:JW21" si="343">IF(JU13=0,IF(JQ13=$E13,1,0),0)</f>
        <v>0</v>
      </c>
      <c r="JX13" s="9">
        <f>JW13+JX11</f>
        <v>0</v>
      </c>
      <c r="JY13" s="9"/>
      <c r="JZ13" s="9">
        <f t="shared" ref="JZ13:JZ21" si="344">IF($E13-JQ13=1,1,0)</f>
        <v>0</v>
      </c>
      <c r="KA13" s="9">
        <f>JZ13+KA11</f>
        <v>0</v>
      </c>
      <c r="KB13" s="9">
        <f>IF(JQ13=$E13,1,0)</f>
        <v>0</v>
      </c>
      <c r="KC13" s="9">
        <f>KB13+KC11</f>
        <v>0</v>
      </c>
      <c r="KD13" s="9">
        <f>IF(JQ13-$E13=1,1,0)</f>
        <v>0</v>
      </c>
      <c r="KE13" s="9">
        <f>KD13+KE11</f>
        <v>0</v>
      </c>
      <c r="KF13" s="9">
        <f>IF(JQ13-$E13&gt;=2,1,0)</f>
        <v>0</v>
      </c>
      <c r="KG13" s="9">
        <f>KF13+KG11</f>
        <v>0</v>
      </c>
      <c r="KH13" s="9">
        <f>IF(JS13=0,1,0)</f>
        <v>1</v>
      </c>
      <c r="KI13" s="9">
        <f>KH13+KI11</f>
        <v>10</v>
      </c>
      <c r="KJ13" s="9">
        <f t="shared" ref="KJ13:KJ21" si="345">IF(JS13=1,1,0)</f>
        <v>0</v>
      </c>
      <c r="KK13" s="9">
        <f>KJ13+KK11</f>
        <v>0</v>
      </c>
      <c r="KL13" s="9">
        <f>IF(JS13=2,1,0)</f>
        <v>0</v>
      </c>
      <c r="KM13" s="9">
        <f>KL13+KM11</f>
        <v>0</v>
      </c>
      <c r="KN13" s="9">
        <f t="shared" ref="KN13:KN21" si="346">IF(JS13&gt;=3,1,0)</f>
        <v>0</v>
      </c>
      <c r="KO13" s="9">
        <f>KN13+KO11</f>
        <v>0</v>
      </c>
      <c r="KP13" s="2"/>
      <c r="KQ13" s="2">
        <f t="shared" ref="KQ13:KQ15" si="347">IF($E13=4,JQ13-4,NA())</f>
        <v>-4</v>
      </c>
      <c r="KR13" s="9"/>
      <c r="KS13" s="10" t="e">
        <f>JQ13-'Zusammenfassung Tag1-4'!#REF!/18</f>
        <v>#REF!</v>
      </c>
      <c r="KT13" s="12" t="e">
        <f>KS13+KT11</f>
        <v>#REF!</v>
      </c>
    </row>
    <row r="14" spans="1:306" ht="13.2" x14ac:dyDescent="0.25">
      <c r="A14" s="179"/>
      <c r="B14" s="176"/>
      <c r="C14" s="44">
        <v>11</v>
      </c>
      <c r="D14" s="2">
        <f t="shared" ref="D14:D21" si="348">D13+1</f>
        <v>11</v>
      </c>
      <c r="E14" s="44">
        <v>4</v>
      </c>
      <c r="F14" s="4">
        <f t="shared" ref="F14:F21" si="349">E14+F13</f>
        <v>44</v>
      </c>
      <c r="G14" s="56">
        <v>3</v>
      </c>
      <c r="H14" s="2">
        <f t="shared" ref="H14:H21" si="350">G14+H13</f>
        <v>48</v>
      </c>
      <c r="I14" s="56">
        <v>1</v>
      </c>
      <c r="J14" s="2">
        <f t="shared" ref="J14:J21" si="351">I14+J13</f>
        <v>19</v>
      </c>
      <c r="K14" s="2">
        <f t="shared" si="284"/>
        <v>1</v>
      </c>
      <c r="L14" s="2">
        <f t="shared" ref="L14:L21" si="352">K14+L13</f>
        <v>4</v>
      </c>
      <c r="M14" s="2">
        <f t="shared" si="285"/>
        <v>0</v>
      </c>
      <c r="N14" s="2">
        <f t="shared" ref="N14:N21" si="353">M14+N13</f>
        <v>2</v>
      </c>
      <c r="O14" s="2"/>
      <c r="P14" s="2">
        <f t="shared" si="286"/>
        <v>1</v>
      </c>
      <c r="Q14" s="2">
        <f t="shared" ref="Q14:W21" si="354">P14+Q13</f>
        <v>1</v>
      </c>
      <c r="R14" s="2">
        <f t="shared" si="287"/>
        <v>0</v>
      </c>
      <c r="S14" s="2">
        <f t="shared" si="354"/>
        <v>5</v>
      </c>
      <c r="T14" s="2">
        <f t="shared" si="288"/>
        <v>0</v>
      </c>
      <c r="U14" s="2">
        <f t="shared" si="354"/>
        <v>5</v>
      </c>
      <c r="V14" s="2">
        <f t="shared" si="289"/>
        <v>0</v>
      </c>
      <c r="W14" s="2">
        <f t="shared" si="354"/>
        <v>0</v>
      </c>
      <c r="X14" s="2">
        <f t="shared" si="290"/>
        <v>0</v>
      </c>
      <c r="Y14" s="2">
        <f t="shared" ref="Y14:Y21" si="355">X14+Y13</f>
        <v>0</v>
      </c>
      <c r="Z14" s="2">
        <f t="shared" si="291"/>
        <v>1</v>
      </c>
      <c r="AA14" s="2">
        <f t="shared" ref="AA14:AC21" si="356">Z14+AA13</f>
        <v>3</v>
      </c>
      <c r="AB14" s="2">
        <f t="shared" si="292"/>
        <v>0</v>
      </c>
      <c r="AC14" s="2">
        <f t="shared" si="356"/>
        <v>8</v>
      </c>
      <c r="AD14" s="2">
        <f t="shared" si="293"/>
        <v>0</v>
      </c>
      <c r="AE14" s="2">
        <f t="shared" ref="AE14:AE21" si="357">AD14+AE13</f>
        <v>0</v>
      </c>
      <c r="AF14" s="2"/>
      <c r="AG14" s="2">
        <f>IF($E14=4,G14-4,NA())</f>
        <v>-1</v>
      </c>
      <c r="AH14" s="2"/>
      <c r="AI14" s="41">
        <f>G14-'Zusammenfassung Tag1-4'!$B$2/18</f>
        <v>2.1666666666666665</v>
      </c>
      <c r="AJ14" s="13">
        <f t="shared" ref="AJ14:AJ21" si="358">AI14+AJ13</f>
        <v>38.833333333333336</v>
      </c>
      <c r="AK14" s="53">
        <v>4</v>
      </c>
      <c r="AL14" s="2">
        <f t="shared" ref="AL14:AL21" si="359">AK14+AL13</f>
        <v>54</v>
      </c>
      <c r="AM14" s="56">
        <v>2</v>
      </c>
      <c r="AN14" s="2">
        <f t="shared" ref="AN14:AN21" si="360">AM14+AN13</f>
        <v>22</v>
      </c>
      <c r="AO14" s="2">
        <f t="shared" si="294"/>
        <v>1</v>
      </c>
      <c r="AP14" s="2">
        <f t="shared" ref="AP14:AP21" si="361">AO14+AP13</f>
        <v>7</v>
      </c>
      <c r="AQ14" s="2">
        <f t="shared" si="295"/>
        <v>0</v>
      </c>
      <c r="AR14" s="2">
        <f t="shared" ref="AR14:AR21" si="362">AQ14+AR13</f>
        <v>1</v>
      </c>
      <c r="AS14" s="2"/>
      <c r="AT14" s="2">
        <f t="shared" si="296"/>
        <v>0</v>
      </c>
      <c r="AU14" s="2">
        <f t="shared" ref="AU14:AU21" si="363">AT14+AU13</f>
        <v>0</v>
      </c>
      <c r="AV14" s="2">
        <f t="shared" ref="AV14:AV20" si="364">IF(AK14=$E14,1,0)</f>
        <v>1</v>
      </c>
      <c r="AW14" s="2">
        <f t="shared" ref="AW14:AW21" si="365">AV14+AW13</f>
        <v>7</v>
      </c>
      <c r="AX14" s="2">
        <f t="shared" ref="AX14:AX21" si="366">IF(AK14-$E14=1,1,0)</f>
        <v>0</v>
      </c>
      <c r="AY14" s="2">
        <f t="shared" ref="AY14:AY21" si="367">AX14+AY13</f>
        <v>2</v>
      </c>
      <c r="AZ14" s="2">
        <f t="shared" ref="AZ14:AZ21" si="368">IF(AK14-$E14&gt;=2,1,0)</f>
        <v>0</v>
      </c>
      <c r="BA14" s="2">
        <f t="shared" ref="BA14:BA21" si="369">AZ14+BA13</f>
        <v>2</v>
      </c>
      <c r="BB14" s="2">
        <f t="shared" ref="BB14:BB21" si="370">IF(AM14=0,1,0)</f>
        <v>0</v>
      </c>
      <c r="BC14" s="2">
        <f t="shared" ref="BC14:BC21" si="371">BB14+BC13</f>
        <v>0</v>
      </c>
      <c r="BD14" s="2">
        <f t="shared" si="297"/>
        <v>0</v>
      </c>
      <c r="BE14" s="2">
        <f t="shared" ref="BE14:BE21" si="372">BD14+BE13</f>
        <v>1</v>
      </c>
      <c r="BF14" s="2">
        <f t="shared" ref="BF14:BF21" si="373">IF(AM14=2,1,0)</f>
        <v>1</v>
      </c>
      <c r="BG14" s="2">
        <f t="shared" ref="BG14:BG21" si="374">BF14+BG13</f>
        <v>9</v>
      </c>
      <c r="BH14" s="2">
        <f t="shared" si="298"/>
        <v>0</v>
      </c>
      <c r="BI14" s="2">
        <f t="shared" ref="BI14:BI21" si="375">BH14+BI13</f>
        <v>1</v>
      </c>
      <c r="BJ14" s="2"/>
      <c r="BK14" s="2">
        <f t="shared" si="299"/>
        <v>0</v>
      </c>
      <c r="BL14" s="2"/>
      <c r="BM14" s="41">
        <f>AK14-'Zusammenfassung Tag1-4'!$C$2/18</f>
        <v>3.4444444444444446</v>
      </c>
      <c r="BN14" s="13">
        <f t="shared" ref="BN14:BN21" si="376">BM14+BN13</f>
        <v>47.888888888888879</v>
      </c>
      <c r="BO14" s="53">
        <v>5</v>
      </c>
      <c r="BP14" s="2">
        <f t="shared" ref="BP14:BP21" si="377">BO14+BP13</f>
        <v>65</v>
      </c>
      <c r="BQ14" s="56">
        <v>3</v>
      </c>
      <c r="BR14" s="2">
        <f t="shared" ref="BR14:BR21" si="378">BQ14+BR13</f>
        <v>27</v>
      </c>
      <c r="BS14" s="2">
        <f t="shared" si="300"/>
        <v>1</v>
      </c>
      <c r="BT14" s="2">
        <f t="shared" ref="BT14:BT21" si="379">BS14+BT13</f>
        <v>4</v>
      </c>
      <c r="BU14" s="2">
        <f t="shared" si="301"/>
        <v>0</v>
      </c>
      <c r="BV14" s="2">
        <f t="shared" ref="BV14:BV21" si="380">BU14+BV13</f>
        <v>0</v>
      </c>
      <c r="BW14" s="2"/>
      <c r="BX14" s="2">
        <f t="shared" si="302"/>
        <v>0</v>
      </c>
      <c r="BY14" s="2">
        <f t="shared" ref="BY14:CG21" si="381">BX14+BY13</f>
        <v>0</v>
      </c>
      <c r="BZ14" s="2">
        <f t="shared" ref="BZ14:BZ20" si="382">IF(BO14=$E14,1,0)</f>
        <v>0</v>
      </c>
      <c r="CA14" s="2">
        <f t="shared" ref="CA14:CA21" si="383">BZ14+CA13</f>
        <v>1</v>
      </c>
      <c r="CB14" s="2">
        <f t="shared" ref="CB14:CB21" si="384">IF(BO14-$E14=1,1,0)</f>
        <v>1</v>
      </c>
      <c r="CC14" s="2">
        <f t="shared" ref="CC14:CC21" si="385">CB14+CC13</f>
        <v>6</v>
      </c>
      <c r="CD14" s="2">
        <f t="shared" ref="CD14:CD21" si="386">IF(BO14-$E14&gt;=2,1,0)</f>
        <v>0</v>
      </c>
      <c r="CE14" s="2">
        <f t="shared" ref="CE14:CE21" si="387">CD14+CE13</f>
        <v>4</v>
      </c>
      <c r="CF14" s="2">
        <f t="shared" ref="CF14:CF21" si="388">IF(BQ14=0,1,0)</f>
        <v>0</v>
      </c>
      <c r="CG14" s="2">
        <f t="shared" si="381"/>
        <v>0</v>
      </c>
      <c r="CH14" s="2">
        <f t="shared" si="303"/>
        <v>0</v>
      </c>
      <c r="CI14" s="2">
        <f t="shared" ref="CI14:CI21" si="389">CH14+CI13</f>
        <v>0</v>
      </c>
      <c r="CJ14" s="2">
        <f t="shared" ref="CJ14:CJ21" si="390">IF(BQ14=2,1,0)</f>
        <v>0</v>
      </c>
      <c r="CK14" s="2">
        <f t="shared" ref="CK14:CK21" si="391">CJ14+CK13</f>
        <v>6</v>
      </c>
      <c r="CL14" s="2">
        <f t="shared" si="304"/>
        <v>1</v>
      </c>
      <c r="CM14" s="2">
        <f t="shared" ref="CM14:CM21" si="392">CL14+CM13</f>
        <v>5</v>
      </c>
      <c r="CN14" s="2"/>
      <c r="CO14" s="2">
        <f t="shared" si="305"/>
        <v>1</v>
      </c>
      <c r="CP14" s="2"/>
      <c r="CQ14" s="41">
        <f>BO14-'Zusammenfassung Tag1-4'!$D$2/18</f>
        <v>3.9444444444444446</v>
      </c>
      <c r="CR14" s="13">
        <f t="shared" ref="CR14:CR21" si="393">CQ14+CR13</f>
        <v>53.388888888888879</v>
      </c>
      <c r="CS14" s="53">
        <v>4</v>
      </c>
      <c r="CT14" s="2">
        <f t="shared" ref="CT14:CT21" si="394">CS14+CT13</f>
        <v>60</v>
      </c>
      <c r="CU14" s="56">
        <v>2</v>
      </c>
      <c r="CV14" s="2">
        <f t="shared" ref="CV14:CV21" si="395">CU14+CV13</f>
        <v>28</v>
      </c>
      <c r="CW14" s="2">
        <f t="shared" si="306"/>
        <v>1</v>
      </c>
      <c r="CX14" s="2">
        <f t="shared" ref="CX14:CX21" si="396">CW14+CX13</f>
        <v>6</v>
      </c>
      <c r="CY14" s="2">
        <f t="shared" si="307"/>
        <v>0</v>
      </c>
      <c r="CZ14" s="2">
        <f t="shared" ref="CZ14:CZ21" si="397">CY14+CZ13</f>
        <v>0</v>
      </c>
      <c r="DA14" s="2"/>
      <c r="DB14" s="2">
        <f t="shared" si="308"/>
        <v>0</v>
      </c>
      <c r="DC14" s="2">
        <f t="shared" ref="DC14:DC21" si="398">DB14+DC13</f>
        <v>0</v>
      </c>
      <c r="DD14" s="2">
        <f t="shared" ref="DD14:DD20" si="399">IF(CS14=$E14,1,0)</f>
        <v>1</v>
      </c>
      <c r="DE14" s="2">
        <f t="shared" ref="DE14:DE21" si="400">DD14+DE13</f>
        <v>2</v>
      </c>
      <c r="DF14" s="2">
        <f t="shared" ref="DF14:DF21" si="401">IF(CS14-$E14=1,1,0)</f>
        <v>0</v>
      </c>
      <c r="DG14" s="2">
        <f t="shared" ref="DG14:DG21" si="402">DF14+DG13</f>
        <v>5</v>
      </c>
      <c r="DH14" s="2">
        <f t="shared" ref="DH14:DH21" si="403">IF(CS14-$E14&gt;=2,1,0)</f>
        <v>0</v>
      </c>
      <c r="DI14" s="2">
        <f t="shared" ref="DI14:DI21" si="404">DH14+DI13</f>
        <v>4</v>
      </c>
      <c r="DJ14" s="2">
        <f t="shared" ref="DJ14:DJ21" si="405">IF(CU14=0,1,0)</f>
        <v>0</v>
      </c>
      <c r="DK14" s="2">
        <f t="shared" ref="DK14:DK21" si="406">DJ14+DK13</f>
        <v>0</v>
      </c>
      <c r="DL14" s="2">
        <f t="shared" si="309"/>
        <v>0</v>
      </c>
      <c r="DM14" s="2">
        <f t="shared" ref="DM14:DM21" si="407">DL14+DM13</f>
        <v>0</v>
      </c>
      <c r="DN14" s="2">
        <f t="shared" ref="DN14:DN21" si="408">IF(CU14=2,1,0)</f>
        <v>1</v>
      </c>
      <c r="DO14" s="2">
        <f t="shared" ref="DO14:DO21" si="409">DN14+DO13</f>
        <v>5</v>
      </c>
      <c r="DP14" s="2">
        <f t="shared" si="310"/>
        <v>0</v>
      </c>
      <c r="DQ14" s="2">
        <f t="shared" ref="DQ14:DQ21" si="410">DP14+DQ13</f>
        <v>6</v>
      </c>
      <c r="DR14" s="2"/>
      <c r="DS14" s="2">
        <f t="shared" si="311"/>
        <v>0</v>
      </c>
      <c r="DT14" s="2"/>
      <c r="DU14" s="41">
        <f>CS14-'Zusammenfassung Tag1-4'!$E$2/18</f>
        <v>3</v>
      </c>
      <c r="DV14" s="14">
        <f t="shared" ref="DV14:DV21" si="411">DU14+DV13</f>
        <v>49</v>
      </c>
      <c r="DW14" s="53">
        <v>8</v>
      </c>
      <c r="DX14" s="2">
        <v>136</v>
      </c>
      <c r="DY14" s="56">
        <v>3</v>
      </c>
      <c r="DZ14" s="2">
        <f t="shared" ref="DZ14:DZ21" si="412">DY14+DZ13</f>
        <v>27</v>
      </c>
      <c r="EA14" s="2">
        <f t="shared" si="312"/>
        <v>0</v>
      </c>
      <c r="EB14" s="2">
        <f t="shared" ref="EB14:EB21" si="413">EA14+EB13</f>
        <v>0</v>
      </c>
      <c r="EC14" s="2">
        <f t="shared" si="313"/>
        <v>0</v>
      </c>
      <c r="ED14" s="2">
        <f t="shared" ref="ED14:ED21" si="414">EC14+ED13</f>
        <v>0</v>
      </c>
      <c r="EE14" s="2"/>
      <c r="EF14" s="2">
        <f t="shared" si="314"/>
        <v>0</v>
      </c>
      <c r="EG14" s="2">
        <f t="shared" ref="EG14:EG21" si="415">EF14+EG13</f>
        <v>0</v>
      </c>
      <c r="EH14" s="2">
        <f t="shared" ref="EH14:EH20" si="416">IF(DW14=$E14,1,0)</f>
        <v>0</v>
      </c>
      <c r="EI14" s="2">
        <f t="shared" ref="EI14:EI21" si="417">EH14+EI13</f>
        <v>0</v>
      </c>
      <c r="EJ14" s="2">
        <f t="shared" ref="EJ14:EJ21" si="418">IF(DW14-$E14=1,1,0)</f>
        <v>0</v>
      </c>
      <c r="EK14" s="2">
        <f t="shared" ref="EK14:EK21" si="419">EJ14+EK13</f>
        <v>0</v>
      </c>
      <c r="EL14" s="2">
        <f t="shared" ref="EL14:EL21" si="420">IF(DW14-$E14&gt;=2,1,0)</f>
        <v>1</v>
      </c>
      <c r="EM14" s="2">
        <f t="shared" ref="EM14:EM21" si="421">EL14+EM13</f>
        <v>11</v>
      </c>
      <c r="EN14" s="2">
        <f t="shared" ref="EN14:EN21" si="422">IF(DY14=0,1,0)</f>
        <v>0</v>
      </c>
      <c r="EO14" s="2">
        <f t="shared" ref="EO14:EO21" si="423">EN14+EO13</f>
        <v>0</v>
      </c>
      <c r="EP14" s="2">
        <f t="shared" si="315"/>
        <v>0</v>
      </c>
      <c r="EQ14" s="2">
        <f t="shared" ref="EQ14:EQ21" si="424">EP14+EQ13</f>
        <v>0</v>
      </c>
      <c r="ER14" s="2">
        <f t="shared" ref="ER14:ER21" si="425">IF(DY14=2,1,0)</f>
        <v>0</v>
      </c>
      <c r="ES14" s="2">
        <f t="shared" ref="ES14:ES21" si="426">ER14+ES13</f>
        <v>6</v>
      </c>
      <c r="ET14" s="2">
        <f t="shared" si="316"/>
        <v>1</v>
      </c>
      <c r="EU14" s="2">
        <f t="shared" ref="EU14:EU21" si="427">ET14+EU13</f>
        <v>5</v>
      </c>
      <c r="EV14" s="2"/>
      <c r="EW14" s="2">
        <f t="shared" si="317"/>
        <v>4</v>
      </c>
      <c r="EX14" s="2"/>
      <c r="EY14" s="41">
        <f>DW14-'Zusammenfassung Tag1-4'!$F$2/18</f>
        <v>5.5</v>
      </c>
      <c r="EZ14" s="14">
        <f t="shared" ref="EZ14:EZ21" si="428">EY14+EZ13</f>
        <v>60.5</v>
      </c>
      <c r="FA14" s="53">
        <v>4</v>
      </c>
      <c r="FB14" s="2">
        <v>62</v>
      </c>
      <c r="FC14" s="56">
        <v>2</v>
      </c>
      <c r="FD14" s="2">
        <f t="shared" ref="FD14:FD21" si="429">FC14+FD13</f>
        <v>24</v>
      </c>
      <c r="FE14" s="2">
        <f t="shared" si="318"/>
        <v>1</v>
      </c>
      <c r="FF14" s="2">
        <f t="shared" ref="FF14:FF21" si="430">FE14+FF13</f>
        <v>2</v>
      </c>
      <c r="FG14" s="2">
        <f t="shared" si="319"/>
        <v>0</v>
      </c>
      <c r="FH14" s="2">
        <f t="shared" ref="FH14:FH21" si="431">FG14+FH13</f>
        <v>0</v>
      </c>
      <c r="FI14" s="2"/>
      <c r="FJ14" s="2">
        <f t="shared" si="320"/>
        <v>0</v>
      </c>
      <c r="FK14" s="2">
        <f t="shared" ref="FK14:FK21" si="432">FJ14+FK13</f>
        <v>0</v>
      </c>
      <c r="FL14" s="2">
        <f t="shared" ref="FL14:FL20" si="433">IF(FA14=$E14,1,0)</f>
        <v>1</v>
      </c>
      <c r="FM14" s="2">
        <f t="shared" ref="FM14:FM21" si="434">FL14+FM13</f>
        <v>1</v>
      </c>
      <c r="FN14" s="2">
        <f t="shared" ref="FN14:FN21" si="435">IF(FA14-$E14=1,1,0)</f>
        <v>0</v>
      </c>
      <c r="FO14" s="2">
        <f t="shared" ref="FO14:FO21" si="436">FN14+FO13</f>
        <v>3</v>
      </c>
      <c r="FP14" s="2">
        <f t="shared" ref="FP14:FP21" si="437">IF(FA14-$E14&gt;=2,1,0)</f>
        <v>0</v>
      </c>
      <c r="FQ14" s="2">
        <f t="shared" ref="FQ14:FQ21" si="438">FP14+FQ13</f>
        <v>7</v>
      </c>
      <c r="FR14" s="2">
        <f t="shared" ref="FR14:FR21" si="439">IF(FC14=0,1,0)</f>
        <v>0</v>
      </c>
      <c r="FS14" s="2">
        <f t="shared" ref="FS14:FS21" si="440">FR14+FS13</f>
        <v>0</v>
      </c>
      <c r="FT14" s="2">
        <f t="shared" si="321"/>
        <v>0</v>
      </c>
      <c r="FU14" s="2">
        <f t="shared" ref="FU14:FU21" si="441">FT14+FU13</f>
        <v>1</v>
      </c>
      <c r="FV14" s="2">
        <f t="shared" ref="FV14:FV21" si="442">IF(FC14=2,1,0)</f>
        <v>1</v>
      </c>
      <c r="FW14" s="2">
        <f t="shared" ref="FW14:FW21" si="443">FV14+FW13</f>
        <v>7</v>
      </c>
      <c r="FX14" s="2">
        <f t="shared" si="322"/>
        <v>0</v>
      </c>
      <c r="FY14" s="2">
        <f t="shared" ref="FY14:FY21" si="444">FX14+FY13</f>
        <v>3</v>
      </c>
      <c r="FZ14" s="2"/>
      <c r="GA14" s="2">
        <f t="shared" si="323"/>
        <v>0</v>
      </c>
      <c r="GB14" s="2"/>
      <c r="GC14" s="41">
        <f>FA14-'Zusammenfassung Tag1-4'!$G$2/18</f>
        <v>2.7222222222222223</v>
      </c>
      <c r="GD14" s="14">
        <f t="shared" ref="GD14:GD21" si="445">GC14+GD13</f>
        <v>49.944444444444443</v>
      </c>
      <c r="GE14" s="53">
        <v>4</v>
      </c>
      <c r="GF14" s="2">
        <v>83</v>
      </c>
      <c r="GG14" s="56">
        <v>1</v>
      </c>
      <c r="GH14" s="2">
        <f t="shared" ref="GH14:GH21" si="446">GG14+GH13</f>
        <v>21</v>
      </c>
      <c r="GI14" s="2">
        <f t="shared" si="324"/>
        <v>0</v>
      </c>
      <c r="GJ14" s="2">
        <f t="shared" ref="GJ14:GJ21" si="447">GI14+GJ13</f>
        <v>1</v>
      </c>
      <c r="GK14" s="2">
        <f t="shared" si="325"/>
        <v>1</v>
      </c>
      <c r="GL14" s="2">
        <f t="shared" ref="GL14:GL21" si="448">GK14+GL13</f>
        <v>1</v>
      </c>
      <c r="GM14" s="2"/>
      <c r="GN14" s="2">
        <f t="shared" si="326"/>
        <v>0</v>
      </c>
      <c r="GO14" s="2">
        <f t="shared" ref="GO14:GO21" si="449">GN14+GO13</f>
        <v>0</v>
      </c>
      <c r="GP14" s="2">
        <f t="shared" ref="GP14:GP20" si="450">IF(GE14=$E14,1,0)</f>
        <v>1</v>
      </c>
      <c r="GQ14" s="2">
        <f t="shared" ref="GQ14:GQ21" si="451">GP14+GQ13</f>
        <v>2</v>
      </c>
      <c r="GR14" s="2">
        <f t="shared" ref="GR14:GR21" si="452">IF(GE14-$E14=1,1,0)</f>
        <v>0</v>
      </c>
      <c r="GS14" s="2">
        <f t="shared" ref="GS14:GS21" si="453">GR14+GS13</f>
        <v>1</v>
      </c>
      <c r="GT14" s="2">
        <f t="shared" ref="GT14:GT21" si="454">IF(GE14-$E14&gt;=2,1,0)</f>
        <v>0</v>
      </c>
      <c r="GU14" s="2">
        <f t="shared" ref="GU14:GU21" si="455">GT14+GU13</f>
        <v>8</v>
      </c>
      <c r="GV14" s="2">
        <f t="shared" ref="GV14:GV21" si="456">IF(GG14=0,1,0)</f>
        <v>0</v>
      </c>
      <c r="GW14" s="2">
        <f t="shared" ref="GW14:GW21" si="457">GV14+GW13</f>
        <v>0</v>
      </c>
      <c r="GX14" s="2">
        <f t="shared" si="327"/>
        <v>1</v>
      </c>
      <c r="GY14" s="2">
        <f t="shared" ref="GY14:GY21" si="458">GX14+GY13</f>
        <v>2</v>
      </c>
      <c r="GZ14" s="2">
        <f t="shared" ref="GZ14:GZ21" si="459">IF(GG14=2,1,0)</f>
        <v>0</v>
      </c>
      <c r="HA14" s="2">
        <f t="shared" ref="HA14:HA21" si="460">GZ14+HA13</f>
        <v>8</v>
      </c>
      <c r="HB14" s="2">
        <f t="shared" si="328"/>
        <v>0</v>
      </c>
      <c r="HC14" s="2">
        <f t="shared" ref="HC14:HC21" si="461">HB14+HC13</f>
        <v>1</v>
      </c>
      <c r="HD14" s="2"/>
      <c r="HE14" s="2">
        <f t="shared" si="329"/>
        <v>0</v>
      </c>
      <c r="HF14" s="2"/>
      <c r="HG14" s="41">
        <f>GE14-'Zusammenfassung Tag1-4'!$H$2/18</f>
        <v>2.2222222222222223</v>
      </c>
      <c r="HH14" s="14">
        <f t="shared" ref="HH14:HH21" si="462">HG14+HH13</f>
        <v>56.444444444444436</v>
      </c>
      <c r="HI14" s="53">
        <v>6</v>
      </c>
      <c r="HJ14" s="2">
        <v>57</v>
      </c>
      <c r="HK14" s="56">
        <v>2</v>
      </c>
      <c r="HL14" s="2">
        <f t="shared" ref="HL14:HL21" si="463">HK14+HL13</f>
        <v>21</v>
      </c>
      <c r="HM14" s="2">
        <f t="shared" si="330"/>
        <v>0</v>
      </c>
      <c r="HN14" s="2">
        <f t="shared" ref="HN14:HN21" si="464">HM14+HN13</f>
        <v>0</v>
      </c>
      <c r="HO14" s="2">
        <f t="shared" si="331"/>
        <v>0</v>
      </c>
      <c r="HP14" s="2">
        <f t="shared" ref="HP14:HP21" si="465">HO14+HP13</f>
        <v>1</v>
      </c>
      <c r="HQ14" s="2"/>
      <c r="HR14" s="2">
        <f t="shared" si="332"/>
        <v>0</v>
      </c>
      <c r="HS14" s="2">
        <f t="shared" ref="HS14:HS21" si="466">HR14+HS13</f>
        <v>0</v>
      </c>
      <c r="HT14" s="2">
        <f t="shared" ref="HT14:HT20" si="467">IF(HI14=$E14,1,0)</f>
        <v>0</v>
      </c>
      <c r="HU14" s="2">
        <f t="shared" ref="HU14:HU21" si="468">HT14+HU13</f>
        <v>1</v>
      </c>
      <c r="HV14" s="2">
        <f t="shared" ref="HV14:HV21" si="469">IF(HI14-$E14=1,1,0)</f>
        <v>0</v>
      </c>
      <c r="HW14" s="2">
        <f t="shared" ref="HW14:HW21" si="470">HV14+HW13</f>
        <v>1</v>
      </c>
      <c r="HX14" s="2">
        <f t="shared" ref="HX14:HX21" si="471">IF(HI14-$E14&gt;=2,1,0)</f>
        <v>1</v>
      </c>
      <c r="HY14" s="2">
        <f t="shared" ref="HY14:HY21" si="472">HX14+HY13</f>
        <v>9</v>
      </c>
      <c r="HZ14" s="2">
        <f t="shared" ref="HZ14:HZ21" si="473">IF(HK14=0,1,0)</f>
        <v>0</v>
      </c>
      <c r="IA14" s="2">
        <f t="shared" ref="IA14:IA21" si="474">HZ14+IA13</f>
        <v>0</v>
      </c>
      <c r="IB14" s="2">
        <f t="shared" si="333"/>
        <v>0</v>
      </c>
      <c r="IC14" s="2">
        <f t="shared" ref="IC14:IC21" si="475">IB14+IC13</f>
        <v>2</v>
      </c>
      <c r="ID14" s="2">
        <f t="shared" ref="ID14:ID21" si="476">IF(HK14=2,1,0)</f>
        <v>1</v>
      </c>
      <c r="IE14" s="2">
        <f t="shared" ref="IE14:IE21" si="477">ID14+IE13</f>
        <v>8</v>
      </c>
      <c r="IF14" s="2">
        <f t="shared" si="334"/>
        <v>0</v>
      </c>
      <c r="IG14" s="2">
        <f t="shared" ref="IG14:IG21" si="478">IF14+IG13</f>
        <v>1</v>
      </c>
      <c r="IH14" s="2"/>
      <c r="II14" s="2">
        <f t="shared" si="335"/>
        <v>2</v>
      </c>
      <c r="IJ14" s="2"/>
      <c r="IK14" s="41">
        <f>HI14-'Zusammenfassung Tag1-4'!$I$2/18</f>
        <v>5.1111111111111107</v>
      </c>
      <c r="IL14" s="14">
        <f t="shared" ref="IL14:IL21" si="479">IK14+IL13</f>
        <v>55.222222222222229</v>
      </c>
      <c r="IM14" s="53">
        <v>7</v>
      </c>
      <c r="IN14" s="2">
        <v>213</v>
      </c>
      <c r="IO14" s="56">
        <v>2</v>
      </c>
      <c r="IP14" s="2">
        <f t="shared" ref="IP14:IP21" si="480">IO14+IP13</f>
        <v>32</v>
      </c>
      <c r="IQ14" s="2">
        <f t="shared" si="336"/>
        <v>0</v>
      </c>
      <c r="IR14" s="2">
        <f t="shared" ref="IR14:IR21" si="481">IQ14+IR13</f>
        <v>4</v>
      </c>
      <c r="IS14" s="2">
        <f t="shared" si="337"/>
        <v>0</v>
      </c>
      <c r="IT14" s="2">
        <f t="shared" ref="IT14:IT21" si="482">IS14+IT13</f>
        <v>0</v>
      </c>
      <c r="IU14" s="2"/>
      <c r="IV14" s="2">
        <f t="shared" si="338"/>
        <v>0</v>
      </c>
      <c r="IW14" s="2">
        <f t="shared" ref="IW14:IW21" si="483">IV14+IW13</f>
        <v>0</v>
      </c>
      <c r="IX14" s="2">
        <f t="shared" ref="IX14:IX20" si="484">IF(IM14=$E14,1,0)</f>
        <v>0</v>
      </c>
      <c r="IY14" s="2">
        <f t="shared" ref="IY14:IY21" si="485">IX14+IY13</f>
        <v>1</v>
      </c>
      <c r="IZ14" s="2">
        <f t="shared" ref="IZ14:IZ21" si="486">IF(IM14-$E14=1,1,0)</f>
        <v>0</v>
      </c>
      <c r="JA14" s="2">
        <f t="shared" ref="JA14:JA21" si="487">IZ14+JA13</f>
        <v>2</v>
      </c>
      <c r="JB14" s="2">
        <f t="shared" ref="JB14:JB21" si="488">IF(IM14-$E14&gt;=2,1,0)</f>
        <v>1</v>
      </c>
      <c r="JC14" s="2">
        <f t="shared" ref="JC14:JC21" si="489">JB14+JC13</f>
        <v>8</v>
      </c>
      <c r="JD14" s="2">
        <f t="shared" ref="JD14:JD21" si="490">IF(IO14=0,1,0)</f>
        <v>0</v>
      </c>
      <c r="JE14" s="2">
        <f t="shared" ref="JE14:JE21" si="491">JD14+JE13</f>
        <v>0</v>
      </c>
      <c r="JF14" s="2">
        <f t="shared" si="339"/>
        <v>0</v>
      </c>
      <c r="JG14" s="2">
        <f t="shared" ref="JG14:JG21" si="492">JF14+JG13</f>
        <v>0</v>
      </c>
      <c r="JH14" s="2">
        <f t="shared" ref="JH14:JH21" si="493">IF(IO14=2,1,0)</f>
        <v>1</v>
      </c>
      <c r="JI14" s="2">
        <f t="shared" ref="JI14:JI21" si="494">JH14+JI13</f>
        <v>4</v>
      </c>
      <c r="JJ14" s="2">
        <f t="shared" si="340"/>
        <v>0</v>
      </c>
      <c r="JK14" s="2">
        <f t="shared" ref="JK14:JK21" si="495">JJ14+JK13</f>
        <v>7</v>
      </c>
      <c r="JL14" s="2"/>
      <c r="JM14" s="2">
        <f t="shared" si="341"/>
        <v>3</v>
      </c>
      <c r="JN14" s="2"/>
      <c r="JO14" s="41">
        <f>IM14-'Zusammenfassung Tag1-4'!$J$2/18</f>
        <v>4.6666666666666661</v>
      </c>
      <c r="JP14" s="14">
        <f t="shared" ref="JP14:JP21" si="496">JO14+JP13</f>
        <v>49.333333333333314</v>
      </c>
      <c r="JQ14" s="53"/>
      <c r="JR14" s="2"/>
      <c r="JS14" s="56"/>
      <c r="JT14" s="2">
        <f t="shared" ref="JT14:JT21" si="497">JS14+JT13</f>
        <v>0</v>
      </c>
      <c r="JU14" s="2">
        <f t="shared" si="342"/>
        <v>1</v>
      </c>
      <c r="JV14" s="2">
        <f t="shared" ref="JV14:JV21" si="498">JU14+JV13</f>
        <v>11</v>
      </c>
      <c r="JW14" s="2">
        <f t="shared" si="343"/>
        <v>0</v>
      </c>
      <c r="JX14" s="2">
        <f t="shared" ref="JX14:JX21" si="499">JW14+JX13</f>
        <v>0</v>
      </c>
      <c r="JY14" s="2"/>
      <c r="JZ14" s="2">
        <f t="shared" si="344"/>
        <v>0</v>
      </c>
      <c r="KA14" s="2">
        <f t="shared" ref="KA14:KA21" si="500">JZ14+KA13</f>
        <v>0</v>
      </c>
      <c r="KB14" s="2">
        <f t="shared" ref="KB14:KB20" si="501">IF(JQ14=$E14,1,0)</f>
        <v>0</v>
      </c>
      <c r="KC14" s="2">
        <f t="shared" ref="KC14:KC21" si="502">KB14+KC13</f>
        <v>0</v>
      </c>
      <c r="KD14" s="2">
        <f t="shared" ref="KD14:KD21" si="503">IF(JQ14-$E14=1,1,0)</f>
        <v>0</v>
      </c>
      <c r="KE14" s="2">
        <f t="shared" ref="KE14:KE21" si="504">KD14+KE13</f>
        <v>0</v>
      </c>
      <c r="KF14" s="2">
        <f t="shared" ref="KF14:KF21" si="505">IF(JQ14-$E14&gt;=2,1,0)</f>
        <v>0</v>
      </c>
      <c r="KG14" s="2">
        <f t="shared" ref="KG14:KG21" si="506">KF14+KG13</f>
        <v>0</v>
      </c>
      <c r="KH14" s="2">
        <f t="shared" ref="KH14:KH21" si="507">IF(JS14=0,1,0)</f>
        <v>1</v>
      </c>
      <c r="KI14" s="2">
        <f t="shared" ref="KI14:KI21" si="508">KH14+KI13</f>
        <v>11</v>
      </c>
      <c r="KJ14" s="2">
        <f t="shared" si="345"/>
        <v>0</v>
      </c>
      <c r="KK14" s="2">
        <f t="shared" ref="KK14:KK21" si="509">KJ14+KK13</f>
        <v>0</v>
      </c>
      <c r="KL14" s="2">
        <f t="shared" ref="KL14:KL21" si="510">IF(JS14=2,1,0)</f>
        <v>0</v>
      </c>
      <c r="KM14" s="2">
        <f t="shared" ref="KM14:KM21" si="511">KL14+KM13</f>
        <v>0</v>
      </c>
      <c r="KN14" s="2">
        <f t="shared" si="346"/>
        <v>0</v>
      </c>
      <c r="KO14" s="2">
        <f t="shared" ref="KO14:KO21" si="512">KN14+KO13</f>
        <v>0</v>
      </c>
      <c r="KP14" s="2"/>
      <c r="KQ14" s="2">
        <f t="shared" si="347"/>
        <v>-4</v>
      </c>
      <c r="KR14" s="2"/>
      <c r="KS14" s="41" t="e">
        <f>JQ14-'Zusammenfassung Tag1-4'!#REF!/18</f>
        <v>#REF!</v>
      </c>
      <c r="KT14" s="14" t="e">
        <f t="shared" ref="KT14:KT21" si="513">KS14+KT13</f>
        <v>#REF!</v>
      </c>
    </row>
    <row r="15" spans="1:306" ht="13.2" x14ac:dyDescent="0.25">
      <c r="A15" s="179"/>
      <c r="B15" s="176"/>
      <c r="C15" s="44">
        <v>12</v>
      </c>
      <c r="D15" s="2">
        <f t="shared" si="348"/>
        <v>12</v>
      </c>
      <c r="E15" s="44">
        <v>4</v>
      </c>
      <c r="F15" s="4">
        <f t="shared" si="349"/>
        <v>48</v>
      </c>
      <c r="G15" s="56">
        <v>5</v>
      </c>
      <c r="H15" s="2">
        <f t="shared" si="350"/>
        <v>53</v>
      </c>
      <c r="I15" s="56">
        <v>2</v>
      </c>
      <c r="J15" s="2">
        <f t="shared" si="351"/>
        <v>21</v>
      </c>
      <c r="K15" s="2">
        <f t="shared" si="284"/>
        <v>0</v>
      </c>
      <c r="L15" s="2">
        <f t="shared" si="352"/>
        <v>4</v>
      </c>
      <c r="M15" s="2">
        <f t="shared" si="285"/>
        <v>0</v>
      </c>
      <c r="N15" s="2">
        <f t="shared" si="353"/>
        <v>2</v>
      </c>
      <c r="O15" s="2"/>
      <c r="P15" s="2">
        <f t="shared" si="286"/>
        <v>0</v>
      </c>
      <c r="Q15" s="2">
        <f t="shared" si="354"/>
        <v>1</v>
      </c>
      <c r="R15" s="2">
        <f t="shared" si="287"/>
        <v>0</v>
      </c>
      <c r="S15" s="2">
        <f t="shared" si="354"/>
        <v>5</v>
      </c>
      <c r="T15" s="2">
        <f t="shared" si="288"/>
        <v>1</v>
      </c>
      <c r="U15" s="2">
        <f t="shared" si="354"/>
        <v>6</v>
      </c>
      <c r="V15" s="2">
        <f t="shared" si="289"/>
        <v>0</v>
      </c>
      <c r="W15" s="2">
        <f t="shared" si="354"/>
        <v>0</v>
      </c>
      <c r="X15" s="2">
        <f t="shared" si="290"/>
        <v>0</v>
      </c>
      <c r="Y15" s="2">
        <f t="shared" si="355"/>
        <v>0</v>
      </c>
      <c r="Z15" s="2">
        <f t="shared" si="291"/>
        <v>0</v>
      </c>
      <c r="AA15" s="2">
        <f t="shared" si="356"/>
        <v>3</v>
      </c>
      <c r="AB15" s="2">
        <f t="shared" si="292"/>
        <v>1</v>
      </c>
      <c r="AC15" s="2">
        <f t="shared" si="356"/>
        <v>9</v>
      </c>
      <c r="AD15" s="2">
        <f t="shared" si="293"/>
        <v>0</v>
      </c>
      <c r="AE15" s="2">
        <f t="shared" si="357"/>
        <v>0</v>
      </c>
      <c r="AF15" s="2"/>
      <c r="AG15" s="2">
        <f>IF($E15=4,G15-4,NA())</f>
        <v>1</v>
      </c>
      <c r="AH15" s="2"/>
      <c r="AI15" s="41">
        <f>G15-'Zusammenfassung Tag1-4'!$B$2/18</f>
        <v>4.166666666666667</v>
      </c>
      <c r="AJ15" s="13">
        <f t="shared" si="358"/>
        <v>43</v>
      </c>
      <c r="AK15" s="53">
        <v>5</v>
      </c>
      <c r="AL15" s="2">
        <f t="shared" si="359"/>
        <v>59</v>
      </c>
      <c r="AM15" s="56">
        <v>1</v>
      </c>
      <c r="AN15" s="2">
        <f t="shared" si="360"/>
        <v>23</v>
      </c>
      <c r="AO15" s="2">
        <f t="shared" si="294"/>
        <v>0</v>
      </c>
      <c r="AP15" s="2">
        <f t="shared" si="361"/>
        <v>7</v>
      </c>
      <c r="AQ15" s="2">
        <f t="shared" si="295"/>
        <v>0</v>
      </c>
      <c r="AR15" s="2">
        <f t="shared" si="362"/>
        <v>1</v>
      </c>
      <c r="AS15" s="2"/>
      <c r="AT15" s="2">
        <f t="shared" si="296"/>
        <v>0</v>
      </c>
      <c r="AU15" s="2">
        <f t="shared" si="363"/>
        <v>0</v>
      </c>
      <c r="AV15" s="2">
        <f t="shared" si="364"/>
        <v>0</v>
      </c>
      <c r="AW15" s="2">
        <f t="shared" si="365"/>
        <v>7</v>
      </c>
      <c r="AX15" s="2">
        <f t="shared" si="366"/>
        <v>1</v>
      </c>
      <c r="AY15" s="2">
        <f t="shared" si="367"/>
        <v>3</v>
      </c>
      <c r="AZ15" s="2">
        <f t="shared" si="368"/>
        <v>0</v>
      </c>
      <c r="BA15" s="2">
        <f t="shared" si="369"/>
        <v>2</v>
      </c>
      <c r="BB15" s="2">
        <f t="shared" si="370"/>
        <v>0</v>
      </c>
      <c r="BC15" s="2">
        <f t="shared" si="371"/>
        <v>0</v>
      </c>
      <c r="BD15" s="2">
        <f t="shared" si="297"/>
        <v>1</v>
      </c>
      <c r="BE15" s="2">
        <f t="shared" si="372"/>
        <v>2</v>
      </c>
      <c r="BF15" s="2">
        <f t="shared" si="373"/>
        <v>0</v>
      </c>
      <c r="BG15" s="2">
        <f t="shared" si="374"/>
        <v>9</v>
      </c>
      <c r="BH15" s="2">
        <f t="shared" si="298"/>
        <v>0</v>
      </c>
      <c r="BI15" s="2">
        <f t="shared" si="375"/>
        <v>1</v>
      </c>
      <c r="BJ15" s="2"/>
      <c r="BK15" s="2">
        <f t="shared" si="299"/>
        <v>1</v>
      </c>
      <c r="BL15" s="2"/>
      <c r="BM15" s="41">
        <f>AK15-'Zusammenfassung Tag1-4'!$C$2/18</f>
        <v>4.4444444444444446</v>
      </c>
      <c r="BN15" s="13">
        <f t="shared" si="376"/>
        <v>52.333333333333321</v>
      </c>
      <c r="BO15" s="53">
        <v>6</v>
      </c>
      <c r="BP15" s="2">
        <f t="shared" si="377"/>
        <v>71</v>
      </c>
      <c r="BQ15" s="56">
        <v>2</v>
      </c>
      <c r="BR15" s="2">
        <f t="shared" si="378"/>
        <v>29</v>
      </c>
      <c r="BS15" s="2">
        <f t="shared" si="300"/>
        <v>0</v>
      </c>
      <c r="BT15" s="2">
        <f t="shared" si="379"/>
        <v>4</v>
      </c>
      <c r="BU15" s="2">
        <f t="shared" si="301"/>
        <v>0</v>
      </c>
      <c r="BV15" s="2">
        <f t="shared" si="380"/>
        <v>0</v>
      </c>
      <c r="BW15" s="2"/>
      <c r="BX15" s="2">
        <f t="shared" si="302"/>
        <v>0</v>
      </c>
      <c r="BY15" s="2">
        <f t="shared" si="381"/>
        <v>0</v>
      </c>
      <c r="BZ15" s="2">
        <f t="shared" si="382"/>
        <v>0</v>
      </c>
      <c r="CA15" s="2">
        <f t="shared" si="383"/>
        <v>1</v>
      </c>
      <c r="CB15" s="2">
        <f t="shared" si="384"/>
        <v>0</v>
      </c>
      <c r="CC15" s="2">
        <f t="shared" si="385"/>
        <v>6</v>
      </c>
      <c r="CD15" s="2">
        <f t="shared" si="386"/>
        <v>1</v>
      </c>
      <c r="CE15" s="2">
        <f t="shared" si="387"/>
        <v>5</v>
      </c>
      <c r="CF15" s="2">
        <f t="shared" si="388"/>
        <v>0</v>
      </c>
      <c r="CG15" s="2">
        <f t="shared" si="381"/>
        <v>0</v>
      </c>
      <c r="CH15" s="2">
        <f t="shared" si="303"/>
        <v>0</v>
      </c>
      <c r="CI15" s="2">
        <f t="shared" si="389"/>
        <v>0</v>
      </c>
      <c r="CJ15" s="2">
        <f t="shared" si="390"/>
        <v>1</v>
      </c>
      <c r="CK15" s="2">
        <f t="shared" si="391"/>
        <v>7</v>
      </c>
      <c r="CL15" s="2">
        <f t="shared" si="304"/>
        <v>0</v>
      </c>
      <c r="CM15" s="2">
        <f t="shared" si="392"/>
        <v>5</v>
      </c>
      <c r="CN15" s="2"/>
      <c r="CO15" s="2">
        <f t="shared" si="305"/>
        <v>2</v>
      </c>
      <c r="CP15" s="2"/>
      <c r="CQ15" s="41">
        <f>BO15-'Zusammenfassung Tag1-4'!$D$2/18</f>
        <v>4.9444444444444446</v>
      </c>
      <c r="CR15" s="13">
        <f t="shared" si="393"/>
        <v>58.333333333333321</v>
      </c>
      <c r="CS15" s="53">
        <v>5</v>
      </c>
      <c r="CT15" s="2">
        <f t="shared" si="394"/>
        <v>65</v>
      </c>
      <c r="CU15" s="56">
        <v>1</v>
      </c>
      <c r="CV15" s="2">
        <f t="shared" si="395"/>
        <v>29</v>
      </c>
      <c r="CW15" s="2">
        <f t="shared" si="306"/>
        <v>0</v>
      </c>
      <c r="CX15" s="2">
        <f t="shared" si="396"/>
        <v>6</v>
      </c>
      <c r="CY15" s="2">
        <f t="shared" si="307"/>
        <v>0</v>
      </c>
      <c r="CZ15" s="2">
        <f t="shared" si="397"/>
        <v>0</v>
      </c>
      <c r="DA15" s="2"/>
      <c r="DB15" s="2">
        <f t="shared" si="308"/>
        <v>0</v>
      </c>
      <c r="DC15" s="2">
        <f t="shared" si="398"/>
        <v>0</v>
      </c>
      <c r="DD15" s="2">
        <f t="shared" si="399"/>
        <v>0</v>
      </c>
      <c r="DE15" s="2">
        <f t="shared" si="400"/>
        <v>2</v>
      </c>
      <c r="DF15" s="2">
        <f t="shared" si="401"/>
        <v>1</v>
      </c>
      <c r="DG15" s="2">
        <f t="shared" si="402"/>
        <v>6</v>
      </c>
      <c r="DH15" s="2">
        <f t="shared" si="403"/>
        <v>0</v>
      </c>
      <c r="DI15" s="2">
        <f t="shared" si="404"/>
        <v>4</v>
      </c>
      <c r="DJ15" s="2">
        <f t="shared" si="405"/>
        <v>0</v>
      </c>
      <c r="DK15" s="2">
        <f t="shared" si="406"/>
        <v>0</v>
      </c>
      <c r="DL15" s="2">
        <f t="shared" si="309"/>
        <v>1</v>
      </c>
      <c r="DM15" s="2">
        <f t="shared" si="407"/>
        <v>1</v>
      </c>
      <c r="DN15" s="2">
        <f t="shared" si="408"/>
        <v>0</v>
      </c>
      <c r="DO15" s="2">
        <f t="shared" si="409"/>
        <v>5</v>
      </c>
      <c r="DP15" s="2">
        <f t="shared" si="310"/>
        <v>0</v>
      </c>
      <c r="DQ15" s="2">
        <f t="shared" si="410"/>
        <v>6</v>
      </c>
      <c r="DR15" s="2"/>
      <c r="DS15" s="2">
        <f t="shared" si="311"/>
        <v>1</v>
      </c>
      <c r="DT15" s="2"/>
      <c r="DU15" s="41">
        <f>CS15-'Zusammenfassung Tag1-4'!$E$2/18</f>
        <v>4</v>
      </c>
      <c r="DV15" s="14">
        <f t="shared" si="411"/>
        <v>53</v>
      </c>
      <c r="DW15" s="53">
        <v>7</v>
      </c>
      <c r="DX15" s="2">
        <v>140</v>
      </c>
      <c r="DY15" s="56">
        <v>3</v>
      </c>
      <c r="DZ15" s="2">
        <f t="shared" si="412"/>
        <v>30</v>
      </c>
      <c r="EA15" s="2">
        <f t="shared" si="312"/>
        <v>0</v>
      </c>
      <c r="EB15" s="2">
        <f t="shared" si="413"/>
        <v>0</v>
      </c>
      <c r="EC15" s="2">
        <f t="shared" si="313"/>
        <v>0</v>
      </c>
      <c r="ED15" s="2">
        <f t="shared" si="414"/>
        <v>0</v>
      </c>
      <c r="EE15" s="2"/>
      <c r="EF15" s="2">
        <f t="shared" si="314"/>
        <v>0</v>
      </c>
      <c r="EG15" s="2">
        <f t="shared" si="415"/>
        <v>0</v>
      </c>
      <c r="EH15" s="2">
        <f t="shared" si="416"/>
        <v>0</v>
      </c>
      <c r="EI15" s="2">
        <f t="shared" si="417"/>
        <v>0</v>
      </c>
      <c r="EJ15" s="2">
        <f t="shared" si="418"/>
        <v>0</v>
      </c>
      <c r="EK15" s="2">
        <f t="shared" si="419"/>
        <v>0</v>
      </c>
      <c r="EL15" s="2">
        <f t="shared" si="420"/>
        <v>1</v>
      </c>
      <c r="EM15" s="2">
        <f t="shared" si="421"/>
        <v>12</v>
      </c>
      <c r="EN15" s="2">
        <f t="shared" si="422"/>
        <v>0</v>
      </c>
      <c r="EO15" s="2">
        <f t="shared" si="423"/>
        <v>0</v>
      </c>
      <c r="EP15" s="2">
        <f t="shared" si="315"/>
        <v>0</v>
      </c>
      <c r="EQ15" s="2">
        <f t="shared" si="424"/>
        <v>0</v>
      </c>
      <c r="ER15" s="2">
        <f t="shared" si="425"/>
        <v>0</v>
      </c>
      <c r="ES15" s="2">
        <f t="shared" si="426"/>
        <v>6</v>
      </c>
      <c r="ET15" s="2">
        <f t="shared" si="316"/>
        <v>1</v>
      </c>
      <c r="EU15" s="2">
        <f t="shared" si="427"/>
        <v>6</v>
      </c>
      <c r="EV15" s="2"/>
      <c r="EW15" s="2">
        <f t="shared" si="317"/>
        <v>3</v>
      </c>
      <c r="EX15" s="2"/>
      <c r="EY15" s="41">
        <f>DW15-'Zusammenfassung Tag1-4'!$F$2/18</f>
        <v>4.5</v>
      </c>
      <c r="EZ15" s="14">
        <f t="shared" si="428"/>
        <v>65</v>
      </c>
      <c r="FA15" s="53">
        <v>7</v>
      </c>
      <c r="FB15" s="2">
        <v>69</v>
      </c>
      <c r="FC15" s="56">
        <v>3</v>
      </c>
      <c r="FD15" s="2">
        <f t="shared" si="429"/>
        <v>27</v>
      </c>
      <c r="FE15" s="2">
        <f t="shared" si="318"/>
        <v>0</v>
      </c>
      <c r="FF15" s="2">
        <f t="shared" si="430"/>
        <v>2</v>
      </c>
      <c r="FG15" s="2">
        <f t="shared" si="319"/>
        <v>0</v>
      </c>
      <c r="FH15" s="2">
        <f t="shared" si="431"/>
        <v>0</v>
      </c>
      <c r="FI15" s="2"/>
      <c r="FJ15" s="2">
        <f t="shared" si="320"/>
        <v>0</v>
      </c>
      <c r="FK15" s="2">
        <f t="shared" si="432"/>
        <v>0</v>
      </c>
      <c r="FL15" s="2">
        <f t="shared" si="433"/>
        <v>0</v>
      </c>
      <c r="FM15" s="2">
        <f t="shared" si="434"/>
        <v>1</v>
      </c>
      <c r="FN15" s="2">
        <f t="shared" si="435"/>
        <v>0</v>
      </c>
      <c r="FO15" s="2">
        <f t="shared" si="436"/>
        <v>3</v>
      </c>
      <c r="FP15" s="2">
        <f t="shared" si="437"/>
        <v>1</v>
      </c>
      <c r="FQ15" s="2">
        <f t="shared" si="438"/>
        <v>8</v>
      </c>
      <c r="FR15" s="2">
        <f t="shared" si="439"/>
        <v>0</v>
      </c>
      <c r="FS15" s="2">
        <f t="shared" si="440"/>
        <v>0</v>
      </c>
      <c r="FT15" s="2">
        <f t="shared" si="321"/>
        <v>0</v>
      </c>
      <c r="FU15" s="2">
        <f t="shared" si="441"/>
        <v>1</v>
      </c>
      <c r="FV15" s="2">
        <f t="shared" si="442"/>
        <v>0</v>
      </c>
      <c r="FW15" s="2">
        <f t="shared" si="443"/>
        <v>7</v>
      </c>
      <c r="FX15" s="2">
        <f t="shared" si="322"/>
        <v>1</v>
      </c>
      <c r="FY15" s="2">
        <f t="shared" si="444"/>
        <v>4</v>
      </c>
      <c r="FZ15" s="2"/>
      <c r="GA15" s="2">
        <f t="shared" si="323"/>
        <v>3</v>
      </c>
      <c r="GB15" s="2"/>
      <c r="GC15" s="41">
        <f>FA15-'Zusammenfassung Tag1-4'!$G$2/18</f>
        <v>5.7222222222222223</v>
      </c>
      <c r="GD15" s="14">
        <f t="shared" si="445"/>
        <v>55.666666666666664</v>
      </c>
      <c r="GE15" s="53">
        <v>5</v>
      </c>
      <c r="GF15" s="2">
        <v>91</v>
      </c>
      <c r="GG15" s="56">
        <v>2</v>
      </c>
      <c r="GH15" s="2">
        <f t="shared" si="446"/>
        <v>23</v>
      </c>
      <c r="GI15" s="2">
        <f t="shared" si="324"/>
        <v>0</v>
      </c>
      <c r="GJ15" s="2">
        <f t="shared" si="447"/>
        <v>1</v>
      </c>
      <c r="GK15" s="2">
        <f t="shared" si="325"/>
        <v>0</v>
      </c>
      <c r="GL15" s="2">
        <f t="shared" si="448"/>
        <v>1</v>
      </c>
      <c r="GM15" s="2"/>
      <c r="GN15" s="2">
        <f t="shared" si="326"/>
        <v>0</v>
      </c>
      <c r="GO15" s="2">
        <f t="shared" si="449"/>
        <v>0</v>
      </c>
      <c r="GP15" s="2">
        <f t="shared" si="450"/>
        <v>0</v>
      </c>
      <c r="GQ15" s="2">
        <f t="shared" si="451"/>
        <v>2</v>
      </c>
      <c r="GR15" s="2">
        <f t="shared" si="452"/>
        <v>1</v>
      </c>
      <c r="GS15" s="2">
        <f t="shared" si="453"/>
        <v>2</v>
      </c>
      <c r="GT15" s="2">
        <f t="shared" si="454"/>
        <v>0</v>
      </c>
      <c r="GU15" s="2">
        <f t="shared" si="455"/>
        <v>8</v>
      </c>
      <c r="GV15" s="2">
        <f t="shared" si="456"/>
        <v>0</v>
      </c>
      <c r="GW15" s="2">
        <f t="shared" si="457"/>
        <v>0</v>
      </c>
      <c r="GX15" s="2">
        <f t="shared" si="327"/>
        <v>0</v>
      </c>
      <c r="GY15" s="2">
        <f t="shared" si="458"/>
        <v>2</v>
      </c>
      <c r="GZ15" s="2">
        <f t="shared" si="459"/>
        <v>1</v>
      </c>
      <c r="HA15" s="2">
        <f t="shared" si="460"/>
        <v>9</v>
      </c>
      <c r="HB15" s="2">
        <f t="shared" si="328"/>
        <v>0</v>
      </c>
      <c r="HC15" s="2">
        <f t="shared" si="461"/>
        <v>1</v>
      </c>
      <c r="HD15" s="2"/>
      <c r="HE15" s="2">
        <f t="shared" si="329"/>
        <v>1</v>
      </c>
      <c r="HF15" s="2"/>
      <c r="HG15" s="41">
        <f>GE15-'Zusammenfassung Tag1-4'!$H$2/18</f>
        <v>3.2222222222222223</v>
      </c>
      <c r="HH15" s="14">
        <f t="shared" si="462"/>
        <v>59.666666666666657</v>
      </c>
      <c r="HI15" s="53">
        <v>5</v>
      </c>
      <c r="HJ15" s="2">
        <v>62</v>
      </c>
      <c r="HK15" s="56">
        <v>2</v>
      </c>
      <c r="HL15" s="2">
        <f t="shared" si="463"/>
        <v>23</v>
      </c>
      <c r="HM15" s="2">
        <f t="shared" si="330"/>
        <v>0</v>
      </c>
      <c r="HN15" s="2">
        <f t="shared" si="464"/>
        <v>0</v>
      </c>
      <c r="HO15" s="2">
        <f t="shared" si="331"/>
        <v>0</v>
      </c>
      <c r="HP15" s="2">
        <f t="shared" si="465"/>
        <v>1</v>
      </c>
      <c r="HQ15" s="2"/>
      <c r="HR15" s="2">
        <f t="shared" si="332"/>
        <v>0</v>
      </c>
      <c r="HS15" s="2">
        <f t="shared" si="466"/>
        <v>0</v>
      </c>
      <c r="HT15" s="2">
        <f t="shared" si="467"/>
        <v>0</v>
      </c>
      <c r="HU15" s="2">
        <f t="shared" si="468"/>
        <v>1</v>
      </c>
      <c r="HV15" s="2">
        <f t="shared" si="469"/>
        <v>1</v>
      </c>
      <c r="HW15" s="2">
        <f t="shared" si="470"/>
        <v>2</v>
      </c>
      <c r="HX15" s="2">
        <f t="shared" si="471"/>
        <v>0</v>
      </c>
      <c r="HY15" s="2">
        <f t="shared" si="472"/>
        <v>9</v>
      </c>
      <c r="HZ15" s="2">
        <f t="shared" si="473"/>
        <v>0</v>
      </c>
      <c r="IA15" s="2">
        <f t="shared" si="474"/>
        <v>0</v>
      </c>
      <c r="IB15" s="2">
        <f t="shared" si="333"/>
        <v>0</v>
      </c>
      <c r="IC15" s="2">
        <f t="shared" si="475"/>
        <v>2</v>
      </c>
      <c r="ID15" s="2">
        <f t="shared" si="476"/>
        <v>1</v>
      </c>
      <c r="IE15" s="2">
        <f t="shared" si="477"/>
        <v>9</v>
      </c>
      <c r="IF15" s="2">
        <f t="shared" si="334"/>
        <v>0</v>
      </c>
      <c r="IG15" s="2">
        <f t="shared" si="478"/>
        <v>1</v>
      </c>
      <c r="IH15" s="2"/>
      <c r="II15" s="2">
        <f t="shared" si="335"/>
        <v>1</v>
      </c>
      <c r="IJ15" s="2"/>
      <c r="IK15" s="41">
        <f>HI15-'Zusammenfassung Tag1-4'!$I$2/18</f>
        <v>4.1111111111111107</v>
      </c>
      <c r="IL15" s="14">
        <f t="shared" si="479"/>
        <v>59.333333333333343</v>
      </c>
      <c r="IM15" s="53">
        <v>5</v>
      </c>
      <c r="IN15" s="2">
        <v>223</v>
      </c>
      <c r="IO15" s="56">
        <v>2</v>
      </c>
      <c r="IP15" s="2">
        <f t="shared" si="480"/>
        <v>34</v>
      </c>
      <c r="IQ15" s="2">
        <f t="shared" si="336"/>
        <v>0</v>
      </c>
      <c r="IR15" s="2">
        <f t="shared" si="481"/>
        <v>4</v>
      </c>
      <c r="IS15" s="2">
        <f t="shared" si="337"/>
        <v>0</v>
      </c>
      <c r="IT15" s="2">
        <f t="shared" si="482"/>
        <v>0</v>
      </c>
      <c r="IU15" s="2"/>
      <c r="IV15" s="2">
        <f t="shared" si="338"/>
        <v>0</v>
      </c>
      <c r="IW15" s="2">
        <f t="shared" si="483"/>
        <v>0</v>
      </c>
      <c r="IX15" s="2">
        <f t="shared" si="484"/>
        <v>0</v>
      </c>
      <c r="IY15" s="2">
        <f t="shared" si="485"/>
        <v>1</v>
      </c>
      <c r="IZ15" s="2">
        <f t="shared" si="486"/>
        <v>1</v>
      </c>
      <c r="JA15" s="2">
        <f t="shared" si="487"/>
        <v>3</v>
      </c>
      <c r="JB15" s="2">
        <f t="shared" si="488"/>
        <v>0</v>
      </c>
      <c r="JC15" s="2">
        <f t="shared" si="489"/>
        <v>8</v>
      </c>
      <c r="JD15" s="2">
        <f t="shared" si="490"/>
        <v>0</v>
      </c>
      <c r="JE15" s="2">
        <f t="shared" si="491"/>
        <v>0</v>
      </c>
      <c r="JF15" s="2">
        <f t="shared" si="339"/>
        <v>0</v>
      </c>
      <c r="JG15" s="2">
        <f t="shared" si="492"/>
        <v>0</v>
      </c>
      <c r="JH15" s="2">
        <f t="shared" si="493"/>
        <v>1</v>
      </c>
      <c r="JI15" s="2">
        <f t="shared" si="494"/>
        <v>5</v>
      </c>
      <c r="JJ15" s="2">
        <f t="shared" si="340"/>
        <v>0</v>
      </c>
      <c r="JK15" s="2">
        <f t="shared" si="495"/>
        <v>7</v>
      </c>
      <c r="JL15" s="2"/>
      <c r="JM15" s="2">
        <f t="shared" si="341"/>
        <v>1</v>
      </c>
      <c r="JN15" s="2"/>
      <c r="JO15" s="41">
        <f>IM15-'Zusammenfassung Tag1-4'!$J$2/18</f>
        <v>2.6666666666666665</v>
      </c>
      <c r="JP15" s="14">
        <f t="shared" si="496"/>
        <v>51.999999999999979</v>
      </c>
      <c r="JQ15" s="53"/>
      <c r="JR15" s="2"/>
      <c r="JS15" s="56"/>
      <c r="JT15" s="2">
        <f t="shared" si="497"/>
        <v>0</v>
      </c>
      <c r="JU15" s="2">
        <f t="shared" si="342"/>
        <v>1</v>
      </c>
      <c r="JV15" s="2">
        <f t="shared" si="498"/>
        <v>12</v>
      </c>
      <c r="JW15" s="2">
        <f t="shared" si="343"/>
        <v>0</v>
      </c>
      <c r="JX15" s="2">
        <f t="shared" si="499"/>
        <v>0</v>
      </c>
      <c r="JY15" s="2"/>
      <c r="JZ15" s="2">
        <f t="shared" si="344"/>
        <v>0</v>
      </c>
      <c r="KA15" s="2">
        <f t="shared" si="500"/>
        <v>0</v>
      </c>
      <c r="KB15" s="2">
        <f t="shared" si="501"/>
        <v>0</v>
      </c>
      <c r="KC15" s="2">
        <f t="shared" si="502"/>
        <v>0</v>
      </c>
      <c r="KD15" s="2">
        <f t="shared" si="503"/>
        <v>0</v>
      </c>
      <c r="KE15" s="2">
        <f t="shared" si="504"/>
        <v>0</v>
      </c>
      <c r="KF15" s="2">
        <f t="shared" si="505"/>
        <v>0</v>
      </c>
      <c r="KG15" s="2">
        <f t="shared" si="506"/>
        <v>0</v>
      </c>
      <c r="KH15" s="2">
        <f t="shared" si="507"/>
        <v>1</v>
      </c>
      <c r="KI15" s="2">
        <f t="shared" si="508"/>
        <v>12</v>
      </c>
      <c r="KJ15" s="2">
        <f t="shared" si="345"/>
        <v>0</v>
      </c>
      <c r="KK15" s="2">
        <f t="shared" si="509"/>
        <v>0</v>
      </c>
      <c r="KL15" s="2">
        <f t="shared" si="510"/>
        <v>0</v>
      </c>
      <c r="KM15" s="2">
        <f t="shared" si="511"/>
        <v>0</v>
      </c>
      <c r="KN15" s="2">
        <f t="shared" si="346"/>
        <v>0</v>
      </c>
      <c r="KO15" s="2">
        <f t="shared" si="512"/>
        <v>0</v>
      </c>
      <c r="KP15" s="2"/>
      <c r="KQ15" s="2">
        <f t="shared" si="347"/>
        <v>-4</v>
      </c>
      <c r="KR15" s="2"/>
      <c r="KS15" s="41" t="e">
        <f>JQ15-'Zusammenfassung Tag1-4'!#REF!/18</f>
        <v>#REF!</v>
      </c>
      <c r="KT15" s="14" t="e">
        <f t="shared" si="513"/>
        <v>#REF!</v>
      </c>
    </row>
    <row r="16" spans="1:306" ht="13.2" x14ac:dyDescent="0.25">
      <c r="A16" s="179"/>
      <c r="B16" s="176"/>
      <c r="C16" s="44">
        <v>13</v>
      </c>
      <c r="D16" s="2">
        <f t="shared" si="348"/>
        <v>13</v>
      </c>
      <c r="E16" s="44">
        <v>5</v>
      </c>
      <c r="F16" s="4">
        <f t="shared" si="349"/>
        <v>53</v>
      </c>
      <c r="G16" s="56">
        <v>6</v>
      </c>
      <c r="H16" s="2">
        <f t="shared" si="350"/>
        <v>59</v>
      </c>
      <c r="I16" s="56">
        <v>2</v>
      </c>
      <c r="J16" s="2">
        <f t="shared" si="351"/>
        <v>23</v>
      </c>
      <c r="K16" s="2">
        <f t="shared" si="284"/>
        <v>0</v>
      </c>
      <c r="L16" s="2">
        <f t="shared" si="352"/>
        <v>4</v>
      </c>
      <c r="M16" s="2">
        <f t="shared" si="285"/>
        <v>0</v>
      </c>
      <c r="N16" s="2">
        <f t="shared" si="353"/>
        <v>2</v>
      </c>
      <c r="O16" s="2"/>
      <c r="P16" s="2">
        <f t="shared" si="286"/>
        <v>0</v>
      </c>
      <c r="Q16" s="2">
        <f t="shared" si="354"/>
        <v>1</v>
      </c>
      <c r="R16" s="2">
        <f t="shared" si="287"/>
        <v>0</v>
      </c>
      <c r="S16" s="2">
        <f t="shared" si="354"/>
        <v>5</v>
      </c>
      <c r="T16" s="2">
        <f t="shared" si="288"/>
        <v>1</v>
      </c>
      <c r="U16" s="2">
        <f t="shared" si="354"/>
        <v>7</v>
      </c>
      <c r="V16" s="2">
        <f t="shared" si="289"/>
        <v>0</v>
      </c>
      <c r="W16" s="2">
        <f t="shared" si="354"/>
        <v>0</v>
      </c>
      <c r="X16" s="2">
        <f t="shared" si="290"/>
        <v>0</v>
      </c>
      <c r="Y16" s="2">
        <f t="shared" si="355"/>
        <v>0</v>
      </c>
      <c r="Z16" s="2">
        <f t="shared" si="291"/>
        <v>0</v>
      </c>
      <c r="AA16" s="2">
        <f t="shared" si="356"/>
        <v>3</v>
      </c>
      <c r="AB16" s="2">
        <f t="shared" si="292"/>
        <v>1</v>
      </c>
      <c r="AC16" s="2">
        <f t="shared" si="356"/>
        <v>10</v>
      </c>
      <c r="AD16" s="2">
        <f t="shared" si="293"/>
        <v>0</v>
      </c>
      <c r="AE16" s="2">
        <f t="shared" si="357"/>
        <v>0</v>
      </c>
      <c r="AF16" s="2"/>
      <c r="AG16" s="2"/>
      <c r="AH16" s="2">
        <f>IF($E16=5,G16-5,NA())</f>
        <v>1</v>
      </c>
      <c r="AI16" s="41">
        <f>G16-'Zusammenfassung Tag1-4'!$B$2/18</f>
        <v>5.166666666666667</v>
      </c>
      <c r="AJ16" s="13">
        <f t="shared" si="358"/>
        <v>48.166666666666664</v>
      </c>
      <c r="AK16" s="53">
        <v>6</v>
      </c>
      <c r="AL16" s="2">
        <f t="shared" si="359"/>
        <v>65</v>
      </c>
      <c r="AM16" s="56">
        <v>2</v>
      </c>
      <c r="AN16" s="2">
        <f t="shared" si="360"/>
        <v>25</v>
      </c>
      <c r="AO16" s="2">
        <f t="shared" si="294"/>
        <v>0</v>
      </c>
      <c r="AP16" s="2">
        <f t="shared" si="361"/>
        <v>7</v>
      </c>
      <c r="AQ16" s="2">
        <f t="shared" si="295"/>
        <v>0</v>
      </c>
      <c r="AR16" s="2">
        <f t="shared" si="362"/>
        <v>1</v>
      </c>
      <c r="AS16" s="2"/>
      <c r="AT16" s="2">
        <f t="shared" si="296"/>
        <v>0</v>
      </c>
      <c r="AU16" s="2">
        <f t="shared" si="363"/>
        <v>0</v>
      </c>
      <c r="AV16" s="2">
        <f t="shared" si="364"/>
        <v>0</v>
      </c>
      <c r="AW16" s="2">
        <f t="shared" si="365"/>
        <v>7</v>
      </c>
      <c r="AX16" s="2">
        <f t="shared" si="366"/>
        <v>1</v>
      </c>
      <c r="AY16" s="2">
        <f t="shared" si="367"/>
        <v>4</v>
      </c>
      <c r="AZ16" s="2">
        <f t="shared" si="368"/>
        <v>0</v>
      </c>
      <c r="BA16" s="2">
        <f t="shared" si="369"/>
        <v>2</v>
      </c>
      <c r="BB16" s="2">
        <f t="shared" si="370"/>
        <v>0</v>
      </c>
      <c r="BC16" s="2">
        <f t="shared" si="371"/>
        <v>0</v>
      </c>
      <c r="BD16" s="2">
        <f t="shared" si="297"/>
        <v>0</v>
      </c>
      <c r="BE16" s="2">
        <f t="shared" si="372"/>
        <v>2</v>
      </c>
      <c r="BF16" s="2">
        <f t="shared" si="373"/>
        <v>1</v>
      </c>
      <c r="BG16" s="2">
        <f t="shared" si="374"/>
        <v>10</v>
      </c>
      <c r="BH16" s="2">
        <f t="shared" si="298"/>
        <v>0</v>
      </c>
      <c r="BI16" s="2">
        <f t="shared" si="375"/>
        <v>1</v>
      </c>
      <c r="BJ16" s="2"/>
      <c r="BK16" s="2"/>
      <c r="BL16" s="2">
        <f t="shared" ref="BL16" si="514">IF($E16=5,AK16-5,NA())</f>
        <v>1</v>
      </c>
      <c r="BM16" s="41">
        <f>AK16-'Zusammenfassung Tag1-4'!$C$2/18</f>
        <v>5.4444444444444446</v>
      </c>
      <c r="BN16" s="13">
        <f t="shared" si="376"/>
        <v>57.777777777777764</v>
      </c>
      <c r="BO16" s="53">
        <v>6</v>
      </c>
      <c r="BP16" s="2">
        <f t="shared" si="377"/>
        <v>77</v>
      </c>
      <c r="BQ16" s="56">
        <v>2</v>
      </c>
      <c r="BR16" s="2">
        <f t="shared" si="378"/>
        <v>31</v>
      </c>
      <c r="BS16" s="2">
        <f t="shared" si="300"/>
        <v>0</v>
      </c>
      <c r="BT16" s="2">
        <f t="shared" si="379"/>
        <v>4</v>
      </c>
      <c r="BU16" s="2">
        <f t="shared" si="301"/>
        <v>0</v>
      </c>
      <c r="BV16" s="2">
        <f t="shared" si="380"/>
        <v>0</v>
      </c>
      <c r="BW16" s="2"/>
      <c r="BX16" s="2">
        <f t="shared" si="302"/>
        <v>0</v>
      </c>
      <c r="BY16" s="2">
        <f t="shared" si="381"/>
        <v>0</v>
      </c>
      <c r="BZ16" s="2">
        <f t="shared" si="382"/>
        <v>0</v>
      </c>
      <c r="CA16" s="2">
        <f t="shared" si="383"/>
        <v>1</v>
      </c>
      <c r="CB16" s="2">
        <f t="shared" si="384"/>
        <v>1</v>
      </c>
      <c r="CC16" s="2">
        <f t="shared" si="385"/>
        <v>7</v>
      </c>
      <c r="CD16" s="2">
        <f t="shared" si="386"/>
        <v>0</v>
      </c>
      <c r="CE16" s="2">
        <f t="shared" si="387"/>
        <v>5</v>
      </c>
      <c r="CF16" s="2">
        <f t="shared" si="388"/>
        <v>0</v>
      </c>
      <c r="CG16" s="2">
        <f t="shared" si="381"/>
        <v>0</v>
      </c>
      <c r="CH16" s="2">
        <f t="shared" si="303"/>
        <v>0</v>
      </c>
      <c r="CI16" s="2">
        <f t="shared" si="389"/>
        <v>0</v>
      </c>
      <c r="CJ16" s="2">
        <f t="shared" si="390"/>
        <v>1</v>
      </c>
      <c r="CK16" s="2">
        <f t="shared" si="391"/>
        <v>8</v>
      </c>
      <c r="CL16" s="2">
        <f t="shared" si="304"/>
        <v>0</v>
      </c>
      <c r="CM16" s="2">
        <f t="shared" si="392"/>
        <v>5</v>
      </c>
      <c r="CN16" s="2"/>
      <c r="CO16" s="2"/>
      <c r="CP16" s="2">
        <f t="shared" ref="CP16" si="515">IF($E16=5,BO16-5,NA())</f>
        <v>1</v>
      </c>
      <c r="CQ16" s="41">
        <f>BO16-'Zusammenfassung Tag1-4'!$D$2/18</f>
        <v>4.9444444444444446</v>
      </c>
      <c r="CR16" s="13">
        <f t="shared" si="393"/>
        <v>63.277777777777764</v>
      </c>
      <c r="CS16" s="53">
        <v>8</v>
      </c>
      <c r="CT16" s="2">
        <f t="shared" si="394"/>
        <v>73</v>
      </c>
      <c r="CU16" s="56">
        <v>4</v>
      </c>
      <c r="CV16" s="2">
        <f t="shared" si="395"/>
        <v>33</v>
      </c>
      <c r="CW16" s="2">
        <f t="shared" si="306"/>
        <v>0</v>
      </c>
      <c r="CX16" s="2">
        <f t="shared" si="396"/>
        <v>6</v>
      </c>
      <c r="CY16" s="2">
        <f t="shared" si="307"/>
        <v>0</v>
      </c>
      <c r="CZ16" s="2">
        <f t="shared" si="397"/>
        <v>0</v>
      </c>
      <c r="DA16" s="2"/>
      <c r="DB16" s="2">
        <f t="shared" si="308"/>
        <v>0</v>
      </c>
      <c r="DC16" s="2">
        <f t="shared" si="398"/>
        <v>0</v>
      </c>
      <c r="DD16" s="2">
        <f t="shared" si="399"/>
        <v>0</v>
      </c>
      <c r="DE16" s="2">
        <f t="shared" si="400"/>
        <v>2</v>
      </c>
      <c r="DF16" s="2">
        <f t="shared" si="401"/>
        <v>0</v>
      </c>
      <c r="DG16" s="2">
        <f t="shared" si="402"/>
        <v>6</v>
      </c>
      <c r="DH16" s="2">
        <f t="shared" si="403"/>
        <v>1</v>
      </c>
      <c r="DI16" s="2">
        <f t="shared" si="404"/>
        <v>5</v>
      </c>
      <c r="DJ16" s="2">
        <f t="shared" si="405"/>
        <v>0</v>
      </c>
      <c r="DK16" s="2">
        <f t="shared" si="406"/>
        <v>0</v>
      </c>
      <c r="DL16" s="2">
        <f t="shared" si="309"/>
        <v>0</v>
      </c>
      <c r="DM16" s="2">
        <f t="shared" si="407"/>
        <v>1</v>
      </c>
      <c r="DN16" s="2">
        <f t="shared" si="408"/>
        <v>0</v>
      </c>
      <c r="DO16" s="2">
        <f t="shared" si="409"/>
        <v>5</v>
      </c>
      <c r="DP16" s="2">
        <f t="shared" si="310"/>
        <v>1</v>
      </c>
      <c r="DQ16" s="2">
        <f t="shared" si="410"/>
        <v>7</v>
      </c>
      <c r="DR16" s="2"/>
      <c r="DS16" s="2"/>
      <c r="DT16" s="2">
        <f t="shared" ref="DT16" si="516">IF($E16=5,CS16-5,NA())</f>
        <v>3</v>
      </c>
      <c r="DU16" s="41">
        <f>CS16-'Zusammenfassung Tag1-4'!$E$2/18</f>
        <v>7</v>
      </c>
      <c r="DV16" s="14">
        <f t="shared" si="411"/>
        <v>60</v>
      </c>
      <c r="DW16" s="53">
        <v>9</v>
      </c>
      <c r="DX16" s="2">
        <v>146</v>
      </c>
      <c r="DY16" s="56">
        <v>4</v>
      </c>
      <c r="DZ16" s="2">
        <f t="shared" si="412"/>
        <v>34</v>
      </c>
      <c r="EA16" s="2">
        <f t="shared" si="312"/>
        <v>0</v>
      </c>
      <c r="EB16" s="2">
        <f t="shared" si="413"/>
        <v>0</v>
      </c>
      <c r="EC16" s="2">
        <f t="shared" si="313"/>
        <v>0</v>
      </c>
      <c r="ED16" s="2">
        <f t="shared" si="414"/>
        <v>0</v>
      </c>
      <c r="EE16" s="2"/>
      <c r="EF16" s="2">
        <f t="shared" si="314"/>
        <v>0</v>
      </c>
      <c r="EG16" s="2">
        <f t="shared" si="415"/>
        <v>0</v>
      </c>
      <c r="EH16" s="2">
        <f t="shared" si="416"/>
        <v>0</v>
      </c>
      <c r="EI16" s="2">
        <f t="shared" si="417"/>
        <v>0</v>
      </c>
      <c r="EJ16" s="2">
        <f t="shared" si="418"/>
        <v>0</v>
      </c>
      <c r="EK16" s="2">
        <f t="shared" si="419"/>
        <v>0</v>
      </c>
      <c r="EL16" s="2">
        <f t="shared" si="420"/>
        <v>1</v>
      </c>
      <c r="EM16" s="2">
        <f t="shared" si="421"/>
        <v>13</v>
      </c>
      <c r="EN16" s="2">
        <f t="shared" si="422"/>
        <v>0</v>
      </c>
      <c r="EO16" s="2">
        <f t="shared" si="423"/>
        <v>0</v>
      </c>
      <c r="EP16" s="2">
        <f t="shared" si="315"/>
        <v>0</v>
      </c>
      <c r="EQ16" s="2">
        <f t="shared" si="424"/>
        <v>0</v>
      </c>
      <c r="ER16" s="2">
        <f t="shared" si="425"/>
        <v>0</v>
      </c>
      <c r="ES16" s="2">
        <f t="shared" si="426"/>
        <v>6</v>
      </c>
      <c r="ET16" s="2">
        <f t="shared" si="316"/>
        <v>1</v>
      </c>
      <c r="EU16" s="2">
        <f t="shared" si="427"/>
        <v>7</v>
      </c>
      <c r="EV16" s="2"/>
      <c r="EW16" s="2"/>
      <c r="EX16" s="2">
        <f t="shared" ref="EX16" si="517">IF($E16=5,DW16-5,NA())</f>
        <v>4</v>
      </c>
      <c r="EY16" s="41">
        <f>DW16-'Zusammenfassung Tag1-4'!$F$2/18</f>
        <v>6.5</v>
      </c>
      <c r="EZ16" s="14">
        <f t="shared" si="428"/>
        <v>71.5</v>
      </c>
      <c r="FA16" s="53">
        <v>6</v>
      </c>
      <c r="FB16" s="2">
        <v>76</v>
      </c>
      <c r="FC16" s="56">
        <v>3</v>
      </c>
      <c r="FD16" s="2">
        <f t="shared" si="429"/>
        <v>30</v>
      </c>
      <c r="FE16" s="2">
        <f t="shared" si="318"/>
        <v>1</v>
      </c>
      <c r="FF16" s="2">
        <f t="shared" si="430"/>
        <v>3</v>
      </c>
      <c r="FG16" s="2">
        <f t="shared" si="319"/>
        <v>0</v>
      </c>
      <c r="FH16" s="2">
        <f t="shared" si="431"/>
        <v>0</v>
      </c>
      <c r="FI16" s="2"/>
      <c r="FJ16" s="2">
        <f t="shared" si="320"/>
        <v>0</v>
      </c>
      <c r="FK16" s="2">
        <f t="shared" si="432"/>
        <v>0</v>
      </c>
      <c r="FL16" s="2">
        <f t="shared" si="433"/>
        <v>0</v>
      </c>
      <c r="FM16" s="2">
        <f t="shared" si="434"/>
        <v>1</v>
      </c>
      <c r="FN16" s="2">
        <f t="shared" si="435"/>
        <v>1</v>
      </c>
      <c r="FO16" s="2">
        <f t="shared" si="436"/>
        <v>4</v>
      </c>
      <c r="FP16" s="2">
        <f t="shared" si="437"/>
        <v>0</v>
      </c>
      <c r="FQ16" s="2">
        <f t="shared" si="438"/>
        <v>8</v>
      </c>
      <c r="FR16" s="2">
        <f t="shared" si="439"/>
        <v>0</v>
      </c>
      <c r="FS16" s="2">
        <f t="shared" si="440"/>
        <v>0</v>
      </c>
      <c r="FT16" s="2">
        <f t="shared" si="321"/>
        <v>0</v>
      </c>
      <c r="FU16" s="2">
        <f t="shared" si="441"/>
        <v>1</v>
      </c>
      <c r="FV16" s="2">
        <f t="shared" si="442"/>
        <v>0</v>
      </c>
      <c r="FW16" s="2">
        <f t="shared" si="443"/>
        <v>7</v>
      </c>
      <c r="FX16" s="2">
        <f t="shared" si="322"/>
        <v>1</v>
      </c>
      <c r="FY16" s="2">
        <f t="shared" si="444"/>
        <v>5</v>
      </c>
      <c r="FZ16" s="2"/>
      <c r="GA16" s="2"/>
      <c r="GB16" s="2">
        <f t="shared" ref="GB16" si="518">IF($E16=5,FA16-5,NA())</f>
        <v>1</v>
      </c>
      <c r="GC16" s="41">
        <f>FA16-'Zusammenfassung Tag1-4'!$G$2/18</f>
        <v>4.7222222222222223</v>
      </c>
      <c r="GD16" s="14">
        <f t="shared" si="445"/>
        <v>60.388888888888886</v>
      </c>
      <c r="GE16" s="53">
        <v>8</v>
      </c>
      <c r="GF16" s="2">
        <v>98</v>
      </c>
      <c r="GG16" s="56">
        <v>3</v>
      </c>
      <c r="GH16" s="2">
        <f t="shared" si="446"/>
        <v>26</v>
      </c>
      <c r="GI16" s="2">
        <f t="shared" si="324"/>
        <v>0</v>
      </c>
      <c r="GJ16" s="2">
        <f t="shared" si="447"/>
        <v>1</v>
      </c>
      <c r="GK16" s="2">
        <f t="shared" si="325"/>
        <v>0</v>
      </c>
      <c r="GL16" s="2">
        <f t="shared" si="448"/>
        <v>1</v>
      </c>
      <c r="GM16" s="2"/>
      <c r="GN16" s="2">
        <f t="shared" si="326"/>
        <v>0</v>
      </c>
      <c r="GO16" s="2">
        <f t="shared" si="449"/>
        <v>0</v>
      </c>
      <c r="GP16" s="2">
        <f t="shared" si="450"/>
        <v>0</v>
      </c>
      <c r="GQ16" s="2">
        <f t="shared" si="451"/>
        <v>2</v>
      </c>
      <c r="GR16" s="2">
        <f t="shared" si="452"/>
        <v>0</v>
      </c>
      <c r="GS16" s="2">
        <f t="shared" si="453"/>
        <v>2</v>
      </c>
      <c r="GT16" s="2">
        <f t="shared" si="454"/>
        <v>1</v>
      </c>
      <c r="GU16" s="2">
        <f t="shared" si="455"/>
        <v>9</v>
      </c>
      <c r="GV16" s="2">
        <f t="shared" si="456"/>
        <v>0</v>
      </c>
      <c r="GW16" s="2">
        <f t="shared" si="457"/>
        <v>0</v>
      </c>
      <c r="GX16" s="2">
        <f t="shared" si="327"/>
        <v>0</v>
      </c>
      <c r="GY16" s="2">
        <f t="shared" si="458"/>
        <v>2</v>
      </c>
      <c r="GZ16" s="2">
        <f t="shared" si="459"/>
        <v>0</v>
      </c>
      <c r="HA16" s="2">
        <f t="shared" si="460"/>
        <v>9</v>
      </c>
      <c r="HB16" s="2">
        <f t="shared" si="328"/>
        <v>1</v>
      </c>
      <c r="HC16" s="2">
        <f t="shared" si="461"/>
        <v>2</v>
      </c>
      <c r="HD16" s="2"/>
      <c r="HE16" s="2"/>
      <c r="HF16" s="2">
        <f t="shared" ref="HF16" si="519">IF($E16=5,GE16-5,NA())</f>
        <v>3</v>
      </c>
      <c r="HG16" s="41">
        <f>GE16-'Zusammenfassung Tag1-4'!$H$2/18</f>
        <v>6.2222222222222223</v>
      </c>
      <c r="HH16" s="14">
        <f t="shared" si="462"/>
        <v>65.888888888888886</v>
      </c>
      <c r="HI16" s="53">
        <v>6</v>
      </c>
      <c r="HJ16" s="2">
        <v>68</v>
      </c>
      <c r="HK16" s="56">
        <v>2</v>
      </c>
      <c r="HL16" s="2">
        <f t="shared" si="463"/>
        <v>25</v>
      </c>
      <c r="HM16" s="2">
        <f t="shared" si="330"/>
        <v>0</v>
      </c>
      <c r="HN16" s="2">
        <f t="shared" si="464"/>
        <v>0</v>
      </c>
      <c r="HO16" s="2">
        <f t="shared" si="331"/>
        <v>0</v>
      </c>
      <c r="HP16" s="2">
        <f t="shared" si="465"/>
        <v>1</v>
      </c>
      <c r="HQ16" s="2"/>
      <c r="HR16" s="2">
        <f t="shared" si="332"/>
        <v>0</v>
      </c>
      <c r="HS16" s="2">
        <f t="shared" si="466"/>
        <v>0</v>
      </c>
      <c r="HT16" s="2">
        <f t="shared" si="467"/>
        <v>0</v>
      </c>
      <c r="HU16" s="2">
        <f t="shared" si="468"/>
        <v>1</v>
      </c>
      <c r="HV16" s="2">
        <f t="shared" si="469"/>
        <v>1</v>
      </c>
      <c r="HW16" s="2">
        <f t="shared" si="470"/>
        <v>3</v>
      </c>
      <c r="HX16" s="2">
        <f t="shared" si="471"/>
        <v>0</v>
      </c>
      <c r="HY16" s="2">
        <f t="shared" si="472"/>
        <v>9</v>
      </c>
      <c r="HZ16" s="2">
        <f t="shared" si="473"/>
        <v>0</v>
      </c>
      <c r="IA16" s="2">
        <f t="shared" si="474"/>
        <v>0</v>
      </c>
      <c r="IB16" s="2">
        <f t="shared" si="333"/>
        <v>0</v>
      </c>
      <c r="IC16" s="2">
        <f t="shared" si="475"/>
        <v>2</v>
      </c>
      <c r="ID16" s="2">
        <f t="shared" si="476"/>
        <v>1</v>
      </c>
      <c r="IE16" s="2">
        <f t="shared" si="477"/>
        <v>10</v>
      </c>
      <c r="IF16" s="2">
        <f t="shared" si="334"/>
        <v>0</v>
      </c>
      <c r="IG16" s="2">
        <f t="shared" si="478"/>
        <v>1</v>
      </c>
      <c r="IH16" s="2"/>
      <c r="II16" s="2"/>
      <c r="IJ16" s="2">
        <f t="shared" ref="IJ16" si="520">IF($E16=5,HI16-5,NA())</f>
        <v>1</v>
      </c>
      <c r="IK16" s="41">
        <f>HI16-'Zusammenfassung Tag1-4'!$I$2/18</f>
        <v>5.1111111111111107</v>
      </c>
      <c r="IL16" s="14">
        <f t="shared" si="479"/>
        <v>64.444444444444457</v>
      </c>
      <c r="IM16" s="53">
        <v>10</v>
      </c>
      <c r="IN16" s="2">
        <v>232</v>
      </c>
      <c r="IO16" s="56">
        <v>2</v>
      </c>
      <c r="IP16" s="2">
        <f t="shared" si="480"/>
        <v>36</v>
      </c>
      <c r="IQ16" s="2">
        <f t="shared" si="336"/>
        <v>0</v>
      </c>
      <c r="IR16" s="2">
        <f t="shared" si="481"/>
        <v>4</v>
      </c>
      <c r="IS16" s="2">
        <f t="shared" si="337"/>
        <v>0</v>
      </c>
      <c r="IT16" s="2">
        <f t="shared" si="482"/>
        <v>0</v>
      </c>
      <c r="IU16" s="2"/>
      <c r="IV16" s="2">
        <f t="shared" si="338"/>
        <v>0</v>
      </c>
      <c r="IW16" s="2">
        <f t="shared" si="483"/>
        <v>0</v>
      </c>
      <c r="IX16" s="2">
        <f t="shared" si="484"/>
        <v>0</v>
      </c>
      <c r="IY16" s="2">
        <f t="shared" si="485"/>
        <v>1</v>
      </c>
      <c r="IZ16" s="2">
        <f t="shared" si="486"/>
        <v>0</v>
      </c>
      <c r="JA16" s="2">
        <f t="shared" si="487"/>
        <v>3</v>
      </c>
      <c r="JB16" s="2">
        <f t="shared" si="488"/>
        <v>1</v>
      </c>
      <c r="JC16" s="2">
        <f t="shared" si="489"/>
        <v>9</v>
      </c>
      <c r="JD16" s="2">
        <f t="shared" si="490"/>
        <v>0</v>
      </c>
      <c r="JE16" s="2">
        <f t="shared" si="491"/>
        <v>0</v>
      </c>
      <c r="JF16" s="2">
        <f t="shared" si="339"/>
        <v>0</v>
      </c>
      <c r="JG16" s="2">
        <f t="shared" si="492"/>
        <v>0</v>
      </c>
      <c r="JH16" s="2">
        <f t="shared" si="493"/>
        <v>1</v>
      </c>
      <c r="JI16" s="2">
        <f t="shared" si="494"/>
        <v>6</v>
      </c>
      <c r="JJ16" s="2">
        <f t="shared" si="340"/>
        <v>0</v>
      </c>
      <c r="JK16" s="2">
        <f t="shared" si="495"/>
        <v>7</v>
      </c>
      <c r="JL16" s="2"/>
      <c r="JM16" s="2"/>
      <c r="JN16" s="2">
        <f t="shared" ref="JN16" si="521">IF($E16=5,IM16-5,NA())</f>
        <v>5</v>
      </c>
      <c r="JO16" s="41">
        <f>IM16-'Zusammenfassung Tag1-4'!$J$2/18</f>
        <v>7.6666666666666661</v>
      </c>
      <c r="JP16" s="14">
        <f t="shared" si="496"/>
        <v>59.666666666666643</v>
      </c>
      <c r="JQ16" s="53"/>
      <c r="JR16" s="2"/>
      <c r="JS16" s="56"/>
      <c r="JT16" s="2">
        <f t="shared" si="497"/>
        <v>0</v>
      </c>
      <c r="JU16" s="2">
        <f t="shared" si="342"/>
        <v>1</v>
      </c>
      <c r="JV16" s="2">
        <f t="shared" si="498"/>
        <v>13</v>
      </c>
      <c r="JW16" s="2">
        <f t="shared" si="343"/>
        <v>0</v>
      </c>
      <c r="JX16" s="2">
        <f t="shared" si="499"/>
        <v>0</v>
      </c>
      <c r="JY16" s="2"/>
      <c r="JZ16" s="2">
        <f t="shared" si="344"/>
        <v>0</v>
      </c>
      <c r="KA16" s="2">
        <f t="shared" si="500"/>
        <v>0</v>
      </c>
      <c r="KB16" s="2">
        <f t="shared" si="501"/>
        <v>0</v>
      </c>
      <c r="KC16" s="2">
        <f t="shared" si="502"/>
        <v>0</v>
      </c>
      <c r="KD16" s="2">
        <f t="shared" si="503"/>
        <v>0</v>
      </c>
      <c r="KE16" s="2">
        <f t="shared" si="504"/>
        <v>0</v>
      </c>
      <c r="KF16" s="2">
        <f t="shared" si="505"/>
        <v>0</v>
      </c>
      <c r="KG16" s="2">
        <f t="shared" si="506"/>
        <v>0</v>
      </c>
      <c r="KH16" s="2">
        <f t="shared" si="507"/>
        <v>1</v>
      </c>
      <c r="KI16" s="2">
        <f t="shared" si="508"/>
        <v>13</v>
      </c>
      <c r="KJ16" s="2">
        <f t="shared" si="345"/>
        <v>0</v>
      </c>
      <c r="KK16" s="2">
        <f t="shared" si="509"/>
        <v>0</v>
      </c>
      <c r="KL16" s="2">
        <f t="shared" si="510"/>
        <v>0</v>
      </c>
      <c r="KM16" s="2">
        <f t="shared" si="511"/>
        <v>0</v>
      </c>
      <c r="KN16" s="2">
        <f t="shared" si="346"/>
        <v>0</v>
      </c>
      <c r="KO16" s="2">
        <f t="shared" si="512"/>
        <v>0</v>
      </c>
      <c r="KP16" s="2"/>
      <c r="KQ16" s="2"/>
      <c r="KR16" s="2">
        <f t="shared" ref="KR16" si="522">IF($E16=5,JQ16-5,NA())</f>
        <v>-5</v>
      </c>
      <c r="KS16" s="41" t="e">
        <f>JQ16-'Zusammenfassung Tag1-4'!#REF!/18</f>
        <v>#REF!</v>
      </c>
      <c r="KT16" s="14" t="e">
        <f t="shared" si="513"/>
        <v>#REF!</v>
      </c>
    </row>
    <row r="17" spans="1:306" ht="13.2" x14ac:dyDescent="0.25">
      <c r="A17" s="179"/>
      <c r="B17" s="176"/>
      <c r="C17" s="44">
        <v>14</v>
      </c>
      <c r="D17" s="2">
        <f t="shared" si="348"/>
        <v>14</v>
      </c>
      <c r="E17" s="44">
        <v>3</v>
      </c>
      <c r="F17" s="4">
        <f t="shared" si="349"/>
        <v>56</v>
      </c>
      <c r="G17" s="56">
        <v>5</v>
      </c>
      <c r="H17" s="2">
        <f t="shared" si="350"/>
        <v>64</v>
      </c>
      <c r="I17" s="56">
        <v>4</v>
      </c>
      <c r="J17" s="2">
        <f t="shared" si="351"/>
        <v>27</v>
      </c>
      <c r="K17" s="2">
        <f t="shared" si="284"/>
        <v>1</v>
      </c>
      <c r="L17" s="2">
        <f t="shared" si="352"/>
        <v>5</v>
      </c>
      <c r="M17" s="2">
        <f t="shared" si="285"/>
        <v>0</v>
      </c>
      <c r="N17" s="2">
        <f t="shared" si="353"/>
        <v>2</v>
      </c>
      <c r="O17" s="2"/>
      <c r="P17" s="2">
        <f t="shared" si="286"/>
        <v>0</v>
      </c>
      <c r="Q17" s="2">
        <f t="shared" si="354"/>
        <v>1</v>
      </c>
      <c r="R17" s="2">
        <f t="shared" si="287"/>
        <v>0</v>
      </c>
      <c r="S17" s="2">
        <f t="shared" si="354"/>
        <v>5</v>
      </c>
      <c r="T17" s="2">
        <f t="shared" si="288"/>
        <v>0</v>
      </c>
      <c r="U17" s="2">
        <f t="shared" si="354"/>
        <v>7</v>
      </c>
      <c r="V17" s="2">
        <f t="shared" si="289"/>
        <v>1</v>
      </c>
      <c r="W17" s="2">
        <f t="shared" si="354"/>
        <v>1</v>
      </c>
      <c r="X17" s="2">
        <f t="shared" si="290"/>
        <v>0</v>
      </c>
      <c r="Y17" s="2">
        <f t="shared" si="355"/>
        <v>0</v>
      </c>
      <c r="Z17" s="2">
        <f t="shared" si="291"/>
        <v>0</v>
      </c>
      <c r="AA17" s="2">
        <f t="shared" si="356"/>
        <v>3</v>
      </c>
      <c r="AB17" s="2">
        <f t="shared" si="292"/>
        <v>0</v>
      </c>
      <c r="AC17" s="2">
        <f t="shared" si="356"/>
        <v>10</v>
      </c>
      <c r="AD17" s="2">
        <f t="shared" si="293"/>
        <v>1</v>
      </c>
      <c r="AE17" s="2">
        <f t="shared" si="357"/>
        <v>1</v>
      </c>
      <c r="AF17" s="2">
        <f>IF($E17=3,G17-3,NA())</f>
        <v>2</v>
      </c>
      <c r="AG17" s="2"/>
      <c r="AH17" s="2"/>
      <c r="AI17" s="41">
        <f>G17-'Zusammenfassung Tag1-4'!$B$2/18</f>
        <v>4.166666666666667</v>
      </c>
      <c r="AJ17" s="13">
        <f t="shared" si="358"/>
        <v>52.333333333333329</v>
      </c>
      <c r="AK17" s="53">
        <v>6</v>
      </c>
      <c r="AL17" s="2">
        <f t="shared" si="359"/>
        <v>71</v>
      </c>
      <c r="AM17" s="56">
        <v>2</v>
      </c>
      <c r="AN17" s="2">
        <f t="shared" si="360"/>
        <v>27</v>
      </c>
      <c r="AO17" s="2">
        <f t="shared" si="294"/>
        <v>0</v>
      </c>
      <c r="AP17" s="2">
        <f t="shared" si="361"/>
        <v>7</v>
      </c>
      <c r="AQ17" s="2">
        <f t="shared" si="295"/>
        <v>0</v>
      </c>
      <c r="AR17" s="2">
        <f t="shared" si="362"/>
        <v>1</v>
      </c>
      <c r="AS17" s="2"/>
      <c r="AT17" s="2">
        <f t="shared" si="296"/>
        <v>0</v>
      </c>
      <c r="AU17" s="2">
        <f t="shared" si="363"/>
        <v>0</v>
      </c>
      <c r="AV17" s="2">
        <f t="shared" si="364"/>
        <v>0</v>
      </c>
      <c r="AW17" s="2">
        <f t="shared" si="365"/>
        <v>7</v>
      </c>
      <c r="AX17" s="2">
        <f t="shared" si="366"/>
        <v>0</v>
      </c>
      <c r="AY17" s="2">
        <f t="shared" si="367"/>
        <v>4</v>
      </c>
      <c r="AZ17" s="2">
        <f t="shared" si="368"/>
        <v>1</v>
      </c>
      <c r="BA17" s="2">
        <f t="shared" si="369"/>
        <v>3</v>
      </c>
      <c r="BB17" s="2">
        <f t="shared" si="370"/>
        <v>0</v>
      </c>
      <c r="BC17" s="2">
        <f t="shared" si="371"/>
        <v>0</v>
      </c>
      <c r="BD17" s="2">
        <f t="shared" si="297"/>
        <v>0</v>
      </c>
      <c r="BE17" s="2">
        <f t="shared" si="372"/>
        <v>2</v>
      </c>
      <c r="BF17" s="2">
        <f t="shared" si="373"/>
        <v>1</v>
      </c>
      <c r="BG17" s="2">
        <f t="shared" si="374"/>
        <v>11</v>
      </c>
      <c r="BH17" s="2">
        <f t="shared" si="298"/>
        <v>0</v>
      </c>
      <c r="BI17" s="2">
        <f t="shared" si="375"/>
        <v>1</v>
      </c>
      <c r="BJ17" s="2">
        <f t="shared" ref="BJ17" si="523">IF($E17=3,AK17-3,NA())</f>
        <v>3</v>
      </c>
      <c r="BK17" s="2"/>
      <c r="BL17" s="2"/>
      <c r="BM17" s="41">
        <f>AK17-'Zusammenfassung Tag1-4'!$C$2/18</f>
        <v>5.4444444444444446</v>
      </c>
      <c r="BN17" s="13">
        <f t="shared" si="376"/>
        <v>63.222222222222207</v>
      </c>
      <c r="BO17" s="53">
        <v>5</v>
      </c>
      <c r="BP17" s="2">
        <f t="shared" si="377"/>
        <v>82</v>
      </c>
      <c r="BQ17" s="56">
        <v>3</v>
      </c>
      <c r="BR17" s="2">
        <f t="shared" si="378"/>
        <v>34</v>
      </c>
      <c r="BS17" s="2">
        <f t="shared" si="300"/>
        <v>0</v>
      </c>
      <c r="BT17" s="2">
        <f t="shared" si="379"/>
        <v>4</v>
      </c>
      <c r="BU17" s="2">
        <f t="shared" si="301"/>
        <v>0</v>
      </c>
      <c r="BV17" s="2">
        <f t="shared" si="380"/>
        <v>0</v>
      </c>
      <c r="BW17" s="2"/>
      <c r="BX17" s="2">
        <f t="shared" si="302"/>
        <v>0</v>
      </c>
      <c r="BY17" s="2">
        <f t="shared" si="381"/>
        <v>0</v>
      </c>
      <c r="BZ17" s="2">
        <f t="shared" si="382"/>
        <v>0</v>
      </c>
      <c r="CA17" s="2">
        <f t="shared" si="383"/>
        <v>1</v>
      </c>
      <c r="CB17" s="2">
        <f t="shared" si="384"/>
        <v>0</v>
      </c>
      <c r="CC17" s="2">
        <f t="shared" si="385"/>
        <v>7</v>
      </c>
      <c r="CD17" s="2">
        <f t="shared" si="386"/>
        <v>1</v>
      </c>
      <c r="CE17" s="2">
        <f t="shared" si="387"/>
        <v>6</v>
      </c>
      <c r="CF17" s="2">
        <f t="shared" si="388"/>
        <v>0</v>
      </c>
      <c r="CG17" s="2">
        <f t="shared" si="381"/>
        <v>0</v>
      </c>
      <c r="CH17" s="2">
        <f t="shared" si="303"/>
        <v>0</v>
      </c>
      <c r="CI17" s="2">
        <f t="shared" si="389"/>
        <v>0</v>
      </c>
      <c r="CJ17" s="2">
        <f t="shared" si="390"/>
        <v>0</v>
      </c>
      <c r="CK17" s="2">
        <f t="shared" si="391"/>
        <v>8</v>
      </c>
      <c r="CL17" s="2">
        <f t="shared" si="304"/>
        <v>1</v>
      </c>
      <c r="CM17" s="2">
        <f t="shared" si="392"/>
        <v>6</v>
      </c>
      <c r="CN17" s="2">
        <f t="shared" ref="CN17" si="524">IF($E17=3,BO17-3,NA())</f>
        <v>2</v>
      </c>
      <c r="CO17" s="2"/>
      <c r="CP17" s="2"/>
      <c r="CQ17" s="41">
        <f>BO17-'Zusammenfassung Tag1-4'!$D$2/18</f>
        <v>3.9444444444444446</v>
      </c>
      <c r="CR17" s="13">
        <f t="shared" si="393"/>
        <v>67.222222222222214</v>
      </c>
      <c r="CS17" s="53">
        <v>5</v>
      </c>
      <c r="CT17" s="2">
        <f t="shared" si="394"/>
        <v>78</v>
      </c>
      <c r="CU17" s="56">
        <v>2</v>
      </c>
      <c r="CV17" s="2">
        <f t="shared" si="395"/>
        <v>35</v>
      </c>
      <c r="CW17" s="2">
        <f t="shared" si="306"/>
        <v>0</v>
      </c>
      <c r="CX17" s="2">
        <f t="shared" si="396"/>
        <v>6</v>
      </c>
      <c r="CY17" s="2">
        <f t="shared" si="307"/>
        <v>0</v>
      </c>
      <c r="CZ17" s="2">
        <f t="shared" si="397"/>
        <v>0</v>
      </c>
      <c r="DA17" s="2"/>
      <c r="DB17" s="2">
        <f t="shared" si="308"/>
        <v>0</v>
      </c>
      <c r="DC17" s="2">
        <f t="shared" si="398"/>
        <v>0</v>
      </c>
      <c r="DD17" s="2">
        <f t="shared" si="399"/>
        <v>0</v>
      </c>
      <c r="DE17" s="2">
        <f t="shared" si="400"/>
        <v>2</v>
      </c>
      <c r="DF17" s="2">
        <f t="shared" si="401"/>
        <v>0</v>
      </c>
      <c r="DG17" s="2">
        <f t="shared" si="402"/>
        <v>6</v>
      </c>
      <c r="DH17" s="2">
        <f t="shared" si="403"/>
        <v>1</v>
      </c>
      <c r="DI17" s="2">
        <f t="shared" si="404"/>
        <v>6</v>
      </c>
      <c r="DJ17" s="2">
        <f t="shared" si="405"/>
        <v>0</v>
      </c>
      <c r="DK17" s="2">
        <f t="shared" si="406"/>
        <v>0</v>
      </c>
      <c r="DL17" s="2">
        <f t="shared" si="309"/>
        <v>0</v>
      </c>
      <c r="DM17" s="2">
        <f t="shared" si="407"/>
        <v>1</v>
      </c>
      <c r="DN17" s="2">
        <f t="shared" si="408"/>
        <v>1</v>
      </c>
      <c r="DO17" s="2">
        <f t="shared" si="409"/>
        <v>6</v>
      </c>
      <c r="DP17" s="2">
        <f t="shared" si="310"/>
        <v>0</v>
      </c>
      <c r="DQ17" s="2">
        <f t="shared" si="410"/>
        <v>7</v>
      </c>
      <c r="DR17" s="2">
        <f t="shared" ref="DR17" si="525">IF($E17=3,CS17-3,NA())</f>
        <v>2</v>
      </c>
      <c r="DS17" s="2"/>
      <c r="DT17" s="2"/>
      <c r="DU17" s="41">
        <f>CS17-'Zusammenfassung Tag1-4'!$E$2/18</f>
        <v>4</v>
      </c>
      <c r="DV17" s="14">
        <f t="shared" si="411"/>
        <v>64</v>
      </c>
      <c r="DW17" s="53">
        <v>4</v>
      </c>
      <c r="DX17" s="2">
        <v>149</v>
      </c>
      <c r="DY17" s="56">
        <v>2</v>
      </c>
      <c r="DZ17" s="2">
        <f t="shared" si="412"/>
        <v>36</v>
      </c>
      <c r="EA17" s="2">
        <f t="shared" si="312"/>
        <v>0</v>
      </c>
      <c r="EB17" s="2">
        <f t="shared" si="413"/>
        <v>0</v>
      </c>
      <c r="EC17" s="2">
        <f t="shared" si="313"/>
        <v>0</v>
      </c>
      <c r="ED17" s="2">
        <f t="shared" si="414"/>
        <v>0</v>
      </c>
      <c r="EE17" s="2"/>
      <c r="EF17" s="2">
        <f t="shared" si="314"/>
        <v>0</v>
      </c>
      <c r="EG17" s="2">
        <f t="shared" si="415"/>
        <v>0</v>
      </c>
      <c r="EH17" s="2">
        <f t="shared" si="416"/>
        <v>0</v>
      </c>
      <c r="EI17" s="2">
        <f t="shared" si="417"/>
        <v>0</v>
      </c>
      <c r="EJ17" s="2">
        <f t="shared" si="418"/>
        <v>1</v>
      </c>
      <c r="EK17" s="2">
        <f t="shared" si="419"/>
        <v>1</v>
      </c>
      <c r="EL17" s="2">
        <f t="shared" si="420"/>
        <v>0</v>
      </c>
      <c r="EM17" s="2">
        <f t="shared" si="421"/>
        <v>13</v>
      </c>
      <c r="EN17" s="2">
        <f t="shared" si="422"/>
        <v>0</v>
      </c>
      <c r="EO17" s="2">
        <f t="shared" si="423"/>
        <v>0</v>
      </c>
      <c r="EP17" s="2">
        <f t="shared" si="315"/>
        <v>0</v>
      </c>
      <c r="EQ17" s="2">
        <f t="shared" si="424"/>
        <v>0</v>
      </c>
      <c r="ER17" s="2">
        <f t="shared" si="425"/>
        <v>1</v>
      </c>
      <c r="ES17" s="2">
        <f t="shared" si="426"/>
        <v>7</v>
      </c>
      <c r="ET17" s="2">
        <f t="shared" si="316"/>
        <v>0</v>
      </c>
      <c r="EU17" s="2">
        <f t="shared" si="427"/>
        <v>7</v>
      </c>
      <c r="EV17" s="2">
        <f t="shared" ref="EV17" si="526">IF($E17=3,DW17-3,NA())</f>
        <v>1</v>
      </c>
      <c r="EW17" s="2"/>
      <c r="EX17" s="2"/>
      <c r="EY17" s="41">
        <f>DW17-'Zusammenfassung Tag1-4'!$F$2/18</f>
        <v>1.5</v>
      </c>
      <c r="EZ17" s="14">
        <f t="shared" si="428"/>
        <v>73</v>
      </c>
      <c r="FA17" s="53">
        <v>4</v>
      </c>
      <c r="FB17" s="2">
        <v>80</v>
      </c>
      <c r="FC17" s="56">
        <v>2</v>
      </c>
      <c r="FD17" s="2">
        <f t="shared" si="429"/>
        <v>32</v>
      </c>
      <c r="FE17" s="2">
        <f t="shared" si="318"/>
        <v>0</v>
      </c>
      <c r="FF17" s="2">
        <f t="shared" si="430"/>
        <v>3</v>
      </c>
      <c r="FG17" s="2">
        <f t="shared" si="319"/>
        <v>0</v>
      </c>
      <c r="FH17" s="2">
        <f t="shared" si="431"/>
        <v>0</v>
      </c>
      <c r="FI17" s="2"/>
      <c r="FJ17" s="2">
        <f t="shared" si="320"/>
        <v>0</v>
      </c>
      <c r="FK17" s="2">
        <f t="shared" si="432"/>
        <v>0</v>
      </c>
      <c r="FL17" s="2">
        <f t="shared" si="433"/>
        <v>0</v>
      </c>
      <c r="FM17" s="2">
        <f t="shared" si="434"/>
        <v>1</v>
      </c>
      <c r="FN17" s="2">
        <f t="shared" si="435"/>
        <v>1</v>
      </c>
      <c r="FO17" s="2">
        <f t="shared" si="436"/>
        <v>5</v>
      </c>
      <c r="FP17" s="2">
        <f t="shared" si="437"/>
        <v>0</v>
      </c>
      <c r="FQ17" s="2">
        <f t="shared" si="438"/>
        <v>8</v>
      </c>
      <c r="FR17" s="2">
        <f t="shared" si="439"/>
        <v>0</v>
      </c>
      <c r="FS17" s="2">
        <f t="shared" si="440"/>
        <v>0</v>
      </c>
      <c r="FT17" s="2">
        <f t="shared" si="321"/>
        <v>0</v>
      </c>
      <c r="FU17" s="2">
        <f t="shared" si="441"/>
        <v>1</v>
      </c>
      <c r="FV17" s="2">
        <f t="shared" si="442"/>
        <v>1</v>
      </c>
      <c r="FW17" s="2">
        <f t="shared" si="443"/>
        <v>8</v>
      </c>
      <c r="FX17" s="2">
        <f t="shared" si="322"/>
        <v>0</v>
      </c>
      <c r="FY17" s="2">
        <f t="shared" si="444"/>
        <v>5</v>
      </c>
      <c r="FZ17" s="2">
        <f t="shared" ref="FZ17" si="527">IF($E17=3,FA17-3,NA())</f>
        <v>1</v>
      </c>
      <c r="GA17" s="2"/>
      <c r="GB17" s="2"/>
      <c r="GC17" s="41">
        <f>FA17-'Zusammenfassung Tag1-4'!$G$2/18</f>
        <v>2.7222222222222223</v>
      </c>
      <c r="GD17" s="14">
        <f t="shared" si="445"/>
        <v>63.111111111111107</v>
      </c>
      <c r="GE17" s="53">
        <v>4</v>
      </c>
      <c r="GF17" s="2">
        <v>102</v>
      </c>
      <c r="GG17" s="56">
        <v>2</v>
      </c>
      <c r="GH17" s="2">
        <f t="shared" si="446"/>
        <v>28</v>
      </c>
      <c r="GI17" s="2">
        <f t="shared" si="324"/>
        <v>0</v>
      </c>
      <c r="GJ17" s="2">
        <f t="shared" si="447"/>
        <v>1</v>
      </c>
      <c r="GK17" s="2">
        <f t="shared" si="325"/>
        <v>0</v>
      </c>
      <c r="GL17" s="2">
        <f t="shared" si="448"/>
        <v>1</v>
      </c>
      <c r="GM17" s="2"/>
      <c r="GN17" s="2">
        <f t="shared" si="326"/>
        <v>0</v>
      </c>
      <c r="GO17" s="2">
        <f t="shared" si="449"/>
        <v>0</v>
      </c>
      <c r="GP17" s="2">
        <f t="shared" si="450"/>
        <v>0</v>
      </c>
      <c r="GQ17" s="2">
        <f t="shared" si="451"/>
        <v>2</v>
      </c>
      <c r="GR17" s="2">
        <f t="shared" si="452"/>
        <v>1</v>
      </c>
      <c r="GS17" s="2">
        <f t="shared" si="453"/>
        <v>3</v>
      </c>
      <c r="GT17" s="2">
        <f t="shared" si="454"/>
        <v>0</v>
      </c>
      <c r="GU17" s="2">
        <f t="shared" si="455"/>
        <v>9</v>
      </c>
      <c r="GV17" s="2">
        <f t="shared" si="456"/>
        <v>0</v>
      </c>
      <c r="GW17" s="2">
        <f t="shared" si="457"/>
        <v>0</v>
      </c>
      <c r="GX17" s="2">
        <f t="shared" si="327"/>
        <v>0</v>
      </c>
      <c r="GY17" s="2">
        <f t="shared" si="458"/>
        <v>2</v>
      </c>
      <c r="GZ17" s="2">
        <f t="shared" si="459"/>
        <v>1</v>
      </c>
      <c r="HA17" s="2">
        <f t="shared" si="460"/>
        <v>10</v>
      </c>
      <c r="HB17" s="2">
        <f t="shared" si="328"/>
        <v>0</v>
      </c>
      <c r="HC17" s="2">
        <f t="shared" si="461"/>
        <v>2</v>
      </c>
      <c r="HD17" s="2">
        <f t="shared" ref="HD17" si="528">IF($E17=3,GE17-3,NA())</f>
        <v>1</v>
      </c>
      <c r="HE17" s="2"/>
      <c r="HF17" s="2"/>
      <c r="HG17" s="41">
        <f>GE17-'Zusammenfassung Tag1-4'!$H$2/18</f>
        <v>2.2222222222222223</v>
      </c>
      <c r="HH17" s="14">
        <f t="shared" si="462"/>
        <v>68.111111111111114</v>
      </c>
      <c r="HI17" s="53">
        <v>6</v>
      </c>
      <c r="HJ17" s="2">
        <v>72</v>
      </c>
      <c r="HK17" s="56">
        <v>1</v>
      </c>
      <c r="HL17" s="2">
        <f t="shared" si="463"/>
        <v>26</v>
      </c>
      <c r="HM17" s="2">
        <f t="shared" si="330"/>
        <v>0</v>
      </c>
      <c r="HN17" s="2">
        <f t="shared" si="464"/>
        <v>0</v>
      </c>
      <c r="HO17" s="2">
        <f t="shared" si="331"/>
        <v>0</v>
      </c>
      <c r="HP17" s="2">
        <f t="shared" si="465"/>
        <v>1</v>
      </c>
      <c r="HQ17" s="2"/>
      <c r="HR17" s="2">
        <f t="shared" si="332"/>
        <v>0</v>
      </c>
      <c r="HS17" s="2">
        <f t="shared" si="466"/>
        <v>0</v>
      </c>
      <c r="HT17" s="2">
        <f t="shared" si="467"/>
        <v>0</v>
      </c>
      <c r="HU17" s="2">
        <f t="shared" si="468"/>
        <v>1</v>
      </c>
      <c r="HV17" s="2">
        <f t="shared" si="469"/>
        <v>0</v>
      </c>
      <c r="HW17" s="2">
        <f t="shared" si="470"/>
        <v>3</v>
      </c>
      <c r="HX17" s="2">
        <f t="shared" si="471"/>
        <v>1</v>
      </c>
      <c r="HY17" s="2">
        <f t="shared" si="472"/>
        <v>10</v>
      </c>
      <c r="HZ17" s="2">
        <f t="shared" si="473"/>
        <v>0</v>
      </c>
      <c r="IA17" s="2">
        <f t="shared" si="474"/>
        <v>0</v>
      </c>
      <c r="IB17" s="2">
        <f t="shared" si="333"/>
        <v>1</v>
      </c>
      <c r="IC17" s="2">
        <f t="shared" si="475"/>
        <v>3</v>
      </c>
      <c r="ID17" s="2">
        <f t="shared" si="476"/>
        <v>0</v>
      </c>
      <c r="IE17" s="2">
        <f t="shared" si="477"/>
        <v>10</v>
      </c>
      <c r="IF17" s="2">
        <f t="shared" si="334"/>
        <v>0</v>
      </c>
      <c r="IG17" s="2">
        <f t="shared" si="478"/>
        <v>1</v>
      </c>
      <c r="IH17" s="2">
        <f t="shared" ref="IH17" si="529">IF($E17=3,HI17-3,NA())</f>
        <v>3</v>
      </c>
      <c r="II17" s="2"/>
      <c r="IJ17" s="2"/>
      <c r="IK17" s="41">
        <f>HI17-'Zusammenfassung Tag1-4'!$I$2/18</f>
        <v>5.1111111111111107</v>
      </c>
      <c r="IL17" s="14">
        <f t="shared" si="479"/>
        <v>69.555555555555571</v>
      </c>
      <c r="IM17" s="53">
        <v>7</v>
      </c>
      <c r="IN17" s="2">
        <v>238</v>
      </c>
      <c r="IO17" s="56">
        <v>3</v>
      </c>
      <c r="IP17" s="2">
        <f t="shared" si="480"/>
        <v>39</v>
      </c>
      <c r="IQ17" s="2">
        <f t="shared" si="336"/>
        <v>0</v>
      </c>
      <c r="IR17" s="2">
        <f t="shared" si="481"/>
        <v>4</v>
      </c>
      <c r="IS17" s="2">
        <f t="shared" si="337"/>
        <v>0</v>
      </c>
      <c r="IT17" s="2">
        <f t="shared" si="482"/>
        <v>0</v>
      </c>
      <c r="IU17" s="2"/>
      <c r="IV17" s="2">
        <f t="shared" si="338"/>
        <v>0</v>
      </c>
      <c r="IW17" s="2">
        <f t="shared" si="483"/>
        <v>0</v>
      </c>
      <c r="IX17" s="2">
        <f t="shared" si="484"/>
        <v>0</v>
      </c>
      <c r="IY17" s="2">
        <f t="shared" si="485"/>
        <v>1</v>
      </c>
      <c r="IZ17" s="2">
        <f t="shared" si="486"/>
        <v>0</v>
      </c>
      <c r="JA17" s="2">
        <f t="shared" si="487"/>
        <v>3</v>
      </c>
      <c r="JB17" s="2">
        <f t="shared" si="488"/>
        <v>1</v>
      </c>
      <c r="JC17" s="2">
        <f t="shared" si="489"/>
        <v>10</v>
      </c>
      <c r="JD17" s="2">
        <f t="shared" si="490"/>
        <v>0</v>
      </c>
      <c r="JE17" s="2">
        <f t="shared" si="491"/>
        <v>0</v>
      </c>
      <c r="JF17" s="2">
        <f t="shared" si="339"/>
        <v>0</v>
      </c>
      <c r="JG17" s="2">
        <f t="shared" si="492"/>
        <v>0</v>
      </c>
      <c r="JH17" s="2">
        <f t="shared" si="493"/>
        <v>0</v>
      </c>
      <c r="JI17" s="2">
        <f t="shared" si="494"/>
        <v>6</v>
      </c>
      <c r="JJ17" s="2">
        <f t="shared" si="340"/>
        <v>1</v>
      </c>
      <c r="JK17" s="2">
        <f t="shared" si="495"/>
        <v>8</v>
      </c>
      <c r="JL17" s="2">
        <f t="shared" ref="JL17" si="530">IF($E17=3,IM17-3,NA())</f>
        <v>4</v>
      </c>
      <c r="JM17" s="2"/>
      <c r="JN17" s="2"/>
      <c r="JO17" s="41">
        <f>IM17-'Zusammenfassung Tag1-4'!$J$2/18</f>
        <v>4.6666666666666661</v>
      </c>
      <c r="JP17" s="14">
        <f t="shared" si="496"/>
        <v>64.333333333333314</v>
      </c>
      <c r="JQ17" s="53"/>
      <c r="JR17" s="2"/>
      <c r="JS17" s="56"/>
      <c r="JT17" s="2">
        <f t="shared" si="497"/>
        <v>0</v>
      </c>
      <c r="JU17" s="2">
        <f t="shared" si="342"/>
        <v>1</v>
      </c>
      <c r="JV17" s="2">
        <f t="shared" si="498"/>
        <v>14</v>
      </c>
      <c r="JW17" s="2">
        <f t="shared" si="343"/>
        <v>0</v>
      </c>
      <c r="JX17" s="2">
        <f t="shared" si="499"/>
        <v>0</v>
      </c>
      <c r="JY17" s="2"/>
      <c r="JZ17" s="2">
        <f t="shared" si="344"/>
        <v>0</v>
      </c>
      <c r="KA17" s="2">
        <f t="shared" si="500"/>
        <v>0</v>
      </c>
      <c r="KB17" s="2">
        <f t="shared" si="501"/>
        <v>0</v>
      </c>
      <c r="KC17" s="2">
        <f t="shared" si="502"/>
        <v>0</v>
      </c>
      <c r="KD17" s="2">
        <f t="shared" si="503"/>
        <v>0</v>
      </c>
      <c r="KE17" s="2">
        <f t="shared" si="504"/>
        <v>0</v>
      </c>
      <c r="KF17" s="2">
        <f t="shared" si="505"/>
        <v>0</v>
      </c>
      <c r="KG17" s="2">
        <f t="shared" si="506"/>
        <v>0</v>
      </c>
      <c r="KH17" s="2">
        <f t="shared" si="507"/>
        <v>1</v>
      </c>
      <c r="KI17" s="2">
        <f t="shared" si="508"/>
        <v>14</v>
      </c>
      <c r="KJ17" s="2">
        <f t="shared" si="345"/>
        <v>0</v>
      </c>
      <c r="KK17" s="2">
        <f t="shared" si="509"/>
        <v>0</v>
      </c>
      <c r="KL17" s="2">
        <f t="shared" si="510"/>
        <v>0</v>
      </c>
      <c r="KM17" s="2">
        <f t="shared" si="511"/>
        <v>0</v>
      </c>
      <c r="KN17" s="2">
        <f t="shared" si="346"/>
        <v>0</v>
      </c>
      <c r="KO17" s="2">
        <f t="shared" si="512"/>
        <v>0</v>
      </c>
      <c r="KP17" s="2">
        <f t="shared" ref="KP17" si="531">IF($E17=3,JQ17-3,NA())</f>
        <v>-3</v>
      </c>
      <c r="KQ17" s="2"/>
      <c r="KR17" s="2"/>
      <c r="KS17" s="41" t="e">
        <f>JQ17-'Zusammenfassung Tag1-4'!#REF!/18</f>
        <v>#REF!</v>
      </c>
      <c r="KT17" s="14" t="e">
        <f t="shared" si="513"/>
        <v>#REF!</v>
      </c>
    </row>
    <row r="18" spans="1:306" ht="13.2" x14ac:dyDescent="0.25">
      <c r="A18" s="179"/>
      <c r="B18" s="176"/>
      <c r="C18" s="44">
        <v>15</v>
      </c>
      <c r="D18" s="2">
        <f t="shared" si="348"/>
        <v>15</v>
      </c>
      <c r="E18" s="44">
        <v>4</v>
      </c>
      <c r="F18" s="4">
        <f t="shared" si="349"/>
        <v>60</v>
      </c>
      <c r="G18" s="56">
        <v>5</v>
      </c>
      <c r="H18" s="2">
        <f t="shared" si="350"/>
        <v>69</v>
      </c>
      <c r="I18" s="56">
        <v>2</v>
      </c>
      <c r="J18" s="2">
        <f t="shared" si="351"/>
        <v>29</v>
      </c>
      <c r="K18" s="2">
        <f t="shared" si="284"/>
        <v>0</v>
      </c>
      <c r="L18" s="2">
        <f t="shared" si="352"/>
        <v>5</v>
      </c>
      <c r="M18" s="2">
        <f t="shared" si="285"/>
        <v>0</v>
      </c>
      <c r="N18" s="2">
        <f t="shared" si="353"/>
        <v>2</v>
      </c>
      <c r="O18" s="2"/>
      <c r="P18" s="2">
        <f t="shared" si="286"/>
        <v>0</v>
      </c>
      <c r="Q18" s="2">
        <f t="shared" si="354"/>
        <v>1</v>
      </c>
      <c r="R18" s="2">
        <f t="shared" si="287"/>
        <v>0</v>
      </c>
      <c r="S18" s="2">
        <f t="shared" si="354"/>
        <v>5</v>
      </c>
      <c r="T18" s="2">
        <f t="shared" si="288"/>
        <v>1</v>
      </c>
      <c r="U18" s="2">
        <f t="shared" si="354"/>
        <v>8</v>
      </c>
      <c r="V18" s="2">
        <f t="shared" si="289"/>
        <v>0</v>
      </c>
      <c r="W18" s="2">
        <f t="shared" si="354"/>
        <v>1</v>
      </c>
      <c r="X18" s="2">
        <f t="shared" si="290"/>
        <v>0</v>
      </c>
      <c r="Y18" s="2">
        <f t="shared" si="355"/>
        <v>0</v>
      </c>
      <c r="Z18" s="2">
        <f t="shared" si="291"/>
        <v>0</v>
      </c>
      <c r="AA18" s="2">
        <f t="shared" si="356"/>
        <v>3</v>
      </c>
      <c r="AB18" s="2">
        <f t="shared" si="292"/>
        <v>1</v>
      </c>
      <c r="AC18" s="2">
        <f t="shared" si="356"/>
        <v>11</v>
      </c>
      <c r="AD18" s="2">
        <f t="shared" si="293"/>
        <v>0</v>
      </c>
      <c r="AE18" s="2">
        <f t="shared" si="357"/>
        <v>1</v>
      </c>
      <c r="AF18" s="2"/>
      <c r="AG18" s="2">
        <f>IF($E18=4,G18-4,NA())</f>
        <v>1</v>
      </c>
      <c r="AH18" s="2"/>
      <c r="AI18" s="41">
        <f>G18-'Zusammenfassung Tag1-4'!$B$2/18</f>
        <v>4.166666666666667</v>
      </c>
      <c r="AJ18" s="13">
        <f t="shared" si="358"/>
        <v>56.499999999999993</v>
      </c>
      <c r="AK18" s="53">
        <v>5</v>
      </c>
      <c r="AL18" s="2">
        <f t="shared" si="359"/>
        <v>76</v>
      </c>
      <c r="AM18" s="56">
        <v>2</v>
      </c>
      <c r="AN18" s="2">
        <f t="shared" si="360"/>
        <v>29</v>
      </c>
      <c r="AO18" s="2">
        <f t="shared" si="294"/>
        <v>0</v>
      </c>
      <c r="AP18" s="2">
        <f t="shared" si="361"/>
        <v>7</v>
      </c>
      <c r="AQ18" s="2">
        <f t="shared" si="295"/>
        <v>0</v>
      </c>
      <c r="AR18" s="2">
        <f t="shared" si="362"/>
        <v>1</v>
      </c>
      <c r="AS18" s="2"/>
      <c r="AT18" s="2">
        <f t="shared" si="296"/>
        <v>0</v>
      </c>
      <c r="AU18" s="2">
        <f t="shared" si="363"/>
        <v>0</v>
      </c>
      <c r="AV18" s="2">
        <f t="shared" si="364"/>
        <v>0</v>
      </c>
      <c r="AW18" s="2">
        <f t="shared" si="365"/>
        <v>7</v>
      </c>
      <c r="AX18" s="2">
        <f t="shared" si="366"/>
        <v>1</v>
      </c>
      <c r="AY18" s="2">
        <f t="shared" si="367"/>
        <v>5</v>
      </c>
      <c r="AZ18" s="2">
        <f t="shared" si="368"/>
        <v>0</v>
      </c>
      <c r="BA18" s="2">
        <f t="shared" si="369"/>
        <v>3</v>
      </c>
      <c r="BB18" s="2">
        <f t="shared" si="370"/>
        <v>0</v>
      </c>
      <c r="BC18" s="2">
        <f t="shared" si="371"/>
        <v>0</v>
      </c>
      <c r="BD18" s="2">
        <f t="shared" si="297"/>
        <v>0</v>
      </c>
      <c r="BE18" s="2">
        <f t="shared" si="372"/>
        <v>2</v>
      </c>
      <c r="BF18" s="2">
        <f t="shared" si="373"/>
        <v>1</v>
      </c>
      <c r="BG18" s="2">
        <f t="shared" si="374"/>
        <v>12</v>
      </c>
      <c r="BH18" s="2">
        <f t="shared" si="298"/>
        <v>0</v>
      </c>
      <c r="BI18" s="2">
        <f t="shared" si="375"/>
        <v>1</v>
      </c>
      <c r="BJ18" s="2"/>
      <c r="BK18" s="2">
        <f t="shared" ref="BK18" si="532">IF($E18=4,AK18-4,NA())</f>
        <v>1</v>
      </c>
      <c r="BL18" s="2"/>
      <c r="BM18" s="41">
        <f>AK18-'Zusammenfassung Tag1-4'!$C$2/18</f>
        <v>4.4444444444444446</v>
      </c>
      <c r="BN18" s="13">
        <f t="shared" si="376"/>
        <v>67.666666666666657</v>
      </c>
      <c r="BO18" s="53">
        <v>4</v>
      </c>
      <c r="BP18" s="2">
        <f t="shared" si="377"/>
        <v>86</v>
      </c>
      <c r="BQ18" s="56">
        <v>2</v>
      </c>
      <c r="BR18" s="2">
        <f t="shared" si="378"/>
        <v>36</v>
      </c>
      <c r="BS18" s="2">
        <f t="shared" si="300"/>
        <v>1</v>
      </c>
      <c r="BT18" s="2">
        <f t="shared" si="379"/>
        <v>5</v>
      </c>
      <c r="BU18" s="2">
        <f t="shared" si="301"/>
        <v>0</v>
      </c>
      <c r="BV18" s="2">
        <f t="shared" si="380"/>
        <v>0</v>
      </c>
      <c r="BW18" s="2"/>
      <c r="BX18" s="2">
        <f t="shared" si="302"/>
        <v>0</v>
      </c>
      <c r="BY18" s="2">
        <f t="shared" si="381"/>
        <v>0</v>
      </c>
      <c r="BZ18" s="2">
        <f t="shared" si="382"/>
        <v>1</v>
      </c>
      <c r="CA18" s="2">
        <f t="shared" si="383"/>
        <v>2</v>
      </c>
      <c r="CB18" s="2">
        <f t="shared" si="384"/>
        <v>0</v>
      </c>
      <c r="CC18" s="2">
        <f t="shared" si="385"/>
        <v>7</v>
      </c>
      <c r="CD18" s="2">
        <f t="shared" si="386"/>
        <v>0</v>
      </c>
      <c r="CE18" s="2">
        <f t="shared" si="387"/>
        <v>6</v>
      </c>
      <c r="CF18" s="2">
        <f t="shared" si="388"/>
        <v>0</v>
      </c>
      <c r="CG18" s="2">
        <f t="shared" si="381"/>
        <v>0</v>
      </c>
      <c r="CH18" s="2">
        <f t="shared" si="303"/>
        <v>0</v>
      </c>
      <c r="CI18" s="2">
        <f t="shared" si="389"/>
        <v>0</v>
      </c>
      <c r="CJ18" s="2">
        <f t="shared" si="390"/>
        <v>1</v>
      </c>
      <c r="CK18" s="2">
        <f t="shared" si="391"/>
        <v>9</v>
      </c>
      <c r="CL18" s="2">
        <f t="shared" si="304"/>
        <v>0</v>
      </c>
      <c r="CM18" s="2">
        <f t="shared" si="392"/>
        <v>6</v>
      </c>
      <c r="CN18" s="2"/>
      <c r="CO18" s="2">
        <f t="shared" ref="CO18" si="533">IF($E18=4,BO18-4,NA())</f>
        <v>0</v>
      </c>
      <c r="CP18" s="2"/>
      <c r="CQ18" s="41">
        <f>BO18-'Zusammenfassung Tag1-4'!$D$2/18</f>
        <v>2.9444444444444446</v>
      </c>
      <c r="CR18" s="13">
        <f t="shared" si="393"/>
        <v>70.166666666666657</v>
      </c>
      <c r="CS18" s="53">
        <v>5</v>
      </c>
      <c r="CT18" s="2">
        <f t="shared" si="394"/>
        <v>83</v>
      </c>
      <c r="CU18" s="56">
        <v>2</v>
      </c>
      <c r="CV18" s="2">
        <f t="shared" si="395"/>
        <v>37</v>
      </c>
      <c r="CW18" s="2">
        <f t="shared" si="306"/>
        <v>0</v>
      </c>
      <c r="CX18" s="2">
        <f t="shared" si="396"/>
        <v>6</v>
      </c>
      <c r="CY18" s="2">
        <f t="shared" si="307"/>
        <v>0</v>
      </c>
      <c r="CZ18" s="2">
        <f t="shared" si="397"/>
        <v>0</v>
      </c>
      <c r="DA18" s="2"/>
      <c r="DB18" s="2">
        <f t="shared" si="308"/>
        <v>0</v>
      </c>
      <c r="DC18" s="2">
        <f t="shared" si="398"/>
        <v>0</v>
      </c>
      <c r="DD18" s="2">
        <f t="shared" si="399"/>
        <v>0</v>
      </c>
      <c r="DE18" s="2">
        <f t="shared" si="400"/>
        <v>2</v>
      </c>
      <c r="DF18" s="2">
        <f t="shared" si="401"/>
        <v>1</v>
      </c>
      <c r="DG18" s="2">
        <f t="shared" si="402"/>
        <v>7</v>
      </c>
      <c r="DH18" s="2">
        <f t="shared" si="403"/>
        <v>0</v>
      </c>
      <c r="DI18" s="2">
        <f t="shared" si="404"/>
        <v>6</v>
      </c>
      <c r="DJ18" s="2">
        <f t="shared" si="405"/>
        <v>0</v>
      </c>
      <c r="DK18" s="2">
        <f t="shared" si="406"/>
        <v>0</v>
      </c>
      <c r="DL18" s="2">
        <f t="shared" si="309"/>
        <v>0</v>
      </c>
      <c r="DM18" s="2">
        <f t="shared" si="407"/>
        <v>1</v>
      </c>
      <c r="DN18" s="2">
        <f t="shared" si="408"/>
        <v>1</v>
      </c>
      <c r="DO18" s="2">
        <f t="shared" si="409"/>
        <v>7</v>
      </c>
      <c r="DP18" s="2">
        <f t="shared" si="310"/>
        <v>0</v>
      </c>
      <c r="DQ18" s="2">
        <f t="shared" si="410"/>
        <v>7</v>
      </c>
      <c r="DR18" s="2"/>
      <c r="DS18" s="2">
        <f t="shared" ref="DS18" si="534">IF($E18=4,CS18-4,NA())</f>
        <v>1</v>
      </c>
      <c r="DT18" s="2"/>
      <c r="DU18" s="41">
        <f>CS18-'Zusammenfassung Tag1-4'!$E$2/18</f>
        <v>4</v>
      </c>
      <c r="DV18" s="14">
        <f t="shared" si="411"/>
        <v>68</v>
      </c>
      <c r="DW18" s="53">
        <v>6</v>
      </c>
      <c r="DX18" s="2">
        <v>154</v>
      </c>
      <c r="DY18" s="56">
        <v>2</v>
      </c>
      <c r="DZ18" s="2">
        <f t="shared" si="412"/>
        <v>38</v>
      </c>
      <c r="EA18" s="2">
        <f t="shared" si="312"/>
        <v>0</v>
      </c>
      <c r="EB18" s="2">
        <f t="shared" si="413"/>
        <v>0</v>
      </c>
      <c r="EC18" s="2">
        <f t="shared" si="313"/>
        <v>0</v>
      </c>
      <c r="ED18" s="2">
        <f t="shared" si="414"/>
        <v>0</v>
      </c>
      <c r="EE18" s="2"/>
      <c r="EF18" s="2">
        <f t="shared" si="314"/>
        <v>0</v>
      </c>
      <c r="EG18" s="2">
        <f t="shared" si="415"/>
        <v>0</v>
      </c>
      <c r="EH18" s="2">
        <f t="shared" si="416"/>
        <v>0</v>
      </c>
      <c r="EI18" s="2">
        <f t="shared" si="417"/>
        <v>0</v>
      </c>
      <c r="EJ18" s="2">
        <f t="shared" si="418"/>
        <v>0</v>
      </c>
      <c r="EK18" s="2">
        <f t="shared" si="419"/>
        <v>1</v>
      </c>
      <c r="EL18" s="2">
        <f t="shared" si="420"/>
        <v>1</v>
      </c>
      <c r="EM18" s="2">
        <f t="shared" si="421"/>
        <v>14</v>
      </c>
      <c r="EN18" s="2">
        <f t="shared" si="422"/>
        <v>0</v>
      </c>
      <c r="EO18" s="2">
        <f t="shared" si="423"/>
        <v>0</v>
      </c>
      <c r="EP18" s="2">
        <f t="shared" si="315"/>
        <v>0</v>
      </c>
      <c r="EQ18" s="2">
        <f t="shared" si="424"/>
        <v>0</v>
      </c>
      <c r="ER18" s="2">
        <f t="shared" si="425"/>
        <v>1</v>
      </c>
      <c r="ES18" s="2">
        <f t="shared" si="426"/>
        <v>8</v>
      </c>
      <c r="ET18" s="2">
        <f t="shared" si="316"/>
        <v>0</v>
      </c>
      <c r="EU18" s="2">
        <f t="shared" si="427"/>
        <v>7</v>
      </c>
      <c r="EV18" s="2"/>
      <c r="EW18" s="2">
        <f t="shared" ref="EW18" si="535">IF($E18=4,DW18-4,NA())</f>
        <v>2</v>
      </c>
      <c r="EX18" s="2"/>
      <c r="EY18" s="41">
        <f>DW18-'Zusammenfassung Tag1-4'!$F$2/18</f>
        <v>3.5</v>
      </c>
      <c r="EZ18" s="14">
        <f t="shared" si="428"/>
        <v>76.5</v>
      </c>
      <c r="FA18" s="53">
        <v>5</v>
      </c>
      <c r="FB18" s="2">
        <v>85</v>
      </c>
      <c r="FC18" s="56">
        <v>2</v>
      </c>
      <c r="FD18" s="2">
        <f t="shared" si="429"/>
        <v>34</v>
      </c>
      <c r="FE18" s="2">
        <f t="shared" si="318"/>
        <v>0</v>
      </c>
      <c r="FF18" s="2">
        <f t="shared" si="430"/>
        <v>3</v>
      </c>
      <c r="FG18" s="2">
        <f t="shared" si="319"/>
        <v>0</v>
      </c>
      <c r="FH18" s="2">
        <f t="shared" si="431"/>
        <v>0</v>
      </c>
      <c r="FI18" s="2"/>
      <c r="FJ18" s="2">
        <f t="shared" si="320"/>
        <v>0</v>
      </c>
      <c r="FK18" s="2">
        <f t="shared" si="432"/>
        <v>0</v>
      </c>
      <c r="FL18" s="2">
        <f t="shared" si="433"/>
        <v>0</v>
      </c>
      <c r="FM18" s="2">
        <f t="shared" si="434"/>
        <v>1</v>
      </c>
      <c r="FN18" s="2">
        <f t="shared" si="435"/>
        <v>1</v>
      </c>
      <c r="FO18" s="2">
        <f t="shared" si="436"/>
        <v>6</v>
      </c>
      <c r="FP18" s="2">
        <f t="shared" si="437"/>
        <v>0</v>
      </c>
      <c r="FQ18" s="2">
        <f t="shared" si="438"/>
        <v>8</v>
      </c>
      <c r="FR18" s="2">
        <f t="shared" si="439"/>
        <v>0</v>
      </c>
      <c r="FS18" s="2">
        <f t="shared" si="440"/>
        <v>0</v>
      </c>
      <c r="FT18" s="2">
        <f t="shared" si="321"/>
        <v>0</v>
      </c>
      <c r="FU18" s="2">
        <f t="shared" si="441"/>
        <v>1</v>
      </c>
      <c r="FV18" s="2">
        <f t="shared" si="442"/>
        <v>1</v>
      </c>
      <c r="FW18" s="2">
        <f t="shared" si="443"/>
        <v>9</v>
      </c>
      <c r="FX18" s="2">
        <f t="shared" si="322"/>
        <v>0</v>
      </c>
      <c r="FY18" s="2">
        <f t="shared" si="444"/>
        <v>5</v>
      </c>
      <c r="FZ18" s="2"/>
      <c r="GA18" s="2">
        <f t="shared" ref="GA18" si="536">IF($E18=4,FA18-4,NA())</f>
        <v>1</v>
      </c>
      <c r="GB18" s="2"/>
      <c r="GC18" s="41">
        <f>FA18-'Zusammenfassung Tag1-4'!$G$2/18</f>
        <v>3.7222222222222223</v>
      </c>
      <c r="GD18" s="14">
        <f t="shared" si="445"/>
        <v>66.833333333333329</v>
      </c>
      <c r="GE18" s="53">
        <v>8</v>
      </c>
      <c r="GF18" s="2">
        <v>108</v>
      </c>
      <c r="GG18" s="56">
        <v>3</v>
      </c>
      <c r="GH18" s="2">
        <f t="shared" si="446"/>
        <v>31</v>
      </c>
      <c r="GI18" s="2">
        <f t="shared" si="324"/>
        <v>0</v>
      </c>
      <c r="GJ18" s="2">
        <f t="shared" si="447"/>
        <v>1</v>
      </c>
      <c r="GK18" s="2">
        <f t="shared" si="325"/>
        <v>0</v>
      </c>
      <c r="GL18" s="2">
        <f t="shared" si="448"/>
        <v>1</v>
      </c>
      <c r="GM18" s="2"/>
      <c r="GN18" s="2">
        <f t="shared" si="326"/>
        <v>0</v>
      </c>
      <c r="GO18" s="2">
        <f t="shared" si="449"/>
        <v>0</v>
      </c>
      <c r="GP18" s="2">
        <f t="shared" si="450"/>
        <v>0</v>
      </c>
      <c r="GQ18" s="2">
        <f t="shared" si="451"/>
        <v>2</v>
      </c>
      <c r="GR18" s="2">
        <f t="shared" si="452"/>
        <v>0</v>
      </c>
      <c r="GS18" s="2">
        <f t="shared" si="453"/>
        <v>3</v>
      </c>
      <c r="GT18" s="2">
        <f t="shared" si="454"/>
        <v>1</v>
      </c>
      <c r="GU18" s="2">
        <f t="shared" si="455"/>
        <v>10</v>
      </c>
      <c r="GV18" s="2">
        <f t="shared" si="456"/>
        <v>0</v>
      </c>
      <c r="GW18" s="2">
        <f t="shared" si="457"/>
        <v>0</v>
      </c>
      <c r="GX18" s="2">
        <f t="shared" si="327"/>
        <v>0</v>
      </c>
      <c r="GY18" s="2">
        <f t="shared" si="458"/>
        <v>2</v>
      </c>
      <c r="GZ18" s="2">
        <f t="shared" si="459"/>
        <v>0</v>
      </c>
      <c r="HA18" s="2">
        <f t="shared" si="460"/>
        <v>10</v>
      </c>
      <c r="HB18" s="2">
        <f t="shared" si="328"/>
        <v>1</v>
      </c>
      <c r="HC18" s="2">
        <f t="shared" si="461"/>
        <v>3</v>
      </c>
      <c r="HD18" s="2"/>
      <c r="HE18" s="2">
        <f t="shared" ref="HE18" si="537">IF($E18=4,GE18-4,NA())</f>
        <v>4</v>
      </c>
      <c r="HF18" s="2"/>
      <c r="HG18" s="41">
        <f>GE18-'Zusammenfassung Tag1-4'!$H$2/18</f>
        <v>6.2222222222222223</v>
      </c>
      <c r="HH18" s="14">
        <f t="shared" si="462"/>
        <v>74.333333333333343</v>
      </c>
      <c r="HI18" s="53">
        <v>4</v>
      </c>
      <c r="HJ18" s="2">
        <v>78</v>
      </c>
      <c r="HK18" s="56">
        <v>2</v>
      </c>
      <c r="HL18" s="2">
        <f t="shared" si="463"/>
        <v>28</v>
      </c>
      <c r="HM18" s="2">
        <f t="shared" si="330"/>
        <v>1</v>
      </c>
      <c r="HN18" s="2">
        <f t="shared" si="464"/>
        <v>1</v>
      </c>
      <c r="HO18" s="2">
        <f t="shared" si="331"/>
        <v>0</v>
      </c>
      <c r="HP18" s="2">
        <f t="shared" si="465"/>
        <v>1</v>
      </c>
      <c r="HQ18" s="2"/>
      <c r="HR18" s="2">
        <f t="shared" si="332"/>
        <v>0</v>
      </c>
      <c r="HS18" s="2">
        <f t="shared" si="466"/>
        <v>0</v>
      </c>
      <c r="HT18" s="2">
        <f t="shared" si="467"/>
        <v>1</v>
      </c>
      <c r="HU18" s="2">
        <f t="shared" si="468"/>
        <v>2</v>
      </c>
      <c r="HV18" s="2">
        <f t="shared" si="469"/>
        <v>0</v>
      </c>
      <c r="HW18" s="2">
        <f t="shared" si="470"/>
        <v>3</v>
      </c>
      <c r="HX18" s="2">
        <f t="shared" si="471"/>
        <v>0</v>
      </c>
      <c r="HY18" s="2">
        <f t="shared" si="472"/>
        <v>10</v>
      </c>
      <c r="HZ18" s="2">
        <f t="shared" si="473"/>
        <v>0</v>
      </c>
      <c r="IA18" s="2">
        <f t="shared" si="474"/>
        <v>0</v>
      </c>
      <c r="IB18" s="2">
        <f t="shared" si="333"/>
        <v>0</v>
      </c>
      <c r="IC18" s="2">
        <f t="shared" si="475"/>
        <v>3</v>
      </c>
      <c r="ID18" s="2">
        <f t="shared" si="476"/>
        <v>1</v>
      </c>
      <c r="IE18" s="2">
        <f t="shared" si="477"/>
        <v>11</v>
      </c>
      <c r="IF18" s="2">
        <f t="shared" si="334"/>
        <v>0</v>
      </c>
      <c r="IG18" s="2">
        <f t="shared" si="478"/>
        <v>1</v>
      </c>
      <c r="IH18" s="2"/>
      <c r="II18" s="2">
        <f t="shared" ref="II18" si="538">IF($E18=4,HI18-4,NA())</f>
        <v>0</v>
      </c>
      <c r="IJ18" s="2"/>
      <c r="IK18" s="41">
        <f>HI18-'Zusammenfassung Tag1-4'!$I$2/18</f>
        <v>3.1111111111111112</v>
      </c>
      <c r="IL18" s="14">
        <f t="shared" si="479"/>
        <v>72.666666666666686</v>
      </c>
      <c r="IM18" s="53">
        <v>7</v>
      </c>
      <c r="IN18" s="2">
        <v>245</v>
      </c>
      <c r="IO18" s="56">
        <v>2</v>
      </c>
      <c r="IP18" s="2">
        <f t="shared" si="480"/>
        <v>41</v>
      </c>
      <c r="IQ18" s="2">
        <f t="shared" si="336"/>
        <v>0</v>
      </c>
      <c r="IR18" s="2">
        <f t="shared" si="481"/>
        <v>4</v>
      </c>
      <c r="IS18" s="2">
        <f t="shared" si="337"/>
        <v>0</v>
      </c>
      <c r="IT18" s="2">
        <f t="shared" si="482"/>
        <v>0</v>
      </c>
      <c r="IU18" s="2"/>
      <c r="IV18" s="2">
        <f t="shared" si="338"/>
        <v>0</v>
      </c>
      <c r="IW18" s="2">
        <f t="shared" si="483"/>
        <v>0</v>
      </c>
      <c r="IX18" s="2">
        <f t="shared" si="484"/>
        <v>0</v>
      </c>
      <c r="IY18" s="2">
        <f t="shared" si="485"/>
        <v>1</v>
      </c>
      <c r="IZ18" s="2">
        <f t="shared" si="486"/>
        <v>0</v>
      </c>
      <c r="JA18" s="2">
        <f t="shared" si="487"/>
        <v>3</v>
      </c>
      <c r="JB18" s="2">
        <f t="shared" si="488"/>
        <v>1</v>
      </c>
      <c r="JC18" s="2">
        <f t="shared" si="489"/>
        <v>11</v>
      </c>
      <c r="JD18" s="2">
        <f t="shared" si="490"/>
        <v>0</v>
      </c>
      <c r="JE18" s="2">
        <f t="shared" si="491"/>
        <v>0</v>
      </c>
      <c r="JF18" s="2">
        <f t="shared" si="339"/>
        <v>0</v>
      </c>
      <c r="JG18" s="2">
        <f t="shared" si="492"/>
        <v>0</v>
      </c>
      <c r="JH18" s="2">
        <f t="shared" si="493"/>
        <v>1</v>
      </c>
      <c r="JI18" s="2">
        <f t="shared" si="494"/>
        <v>7</v>
      </c>
      <c r="JJ18" s="2">
        <f t="shared" si="340"/>
        <v>0</v>
      </c>
      <c r="JK18" s="2">
        <f t="shared" si="495"/>
        <v>8</v>
      </c>
      <c r="JL18" s="2"/>
      <c r="JM18" s="2">
        <f t="shared" ref="JM18" si="539">IF($E18=4,IM18-4,NA())</f>
        <v>3</v>
      </c>
      <c r="JN18" s="2"/>
      <c r="JO18" s="41">
        <f>IM18-'Zusammenfassung Tag1-4'!$J$2/18</f>
        <v>4.6666666666666661</v>
      </c>
      <c r="JP18" s="14">
        <f t="shared" si="496"/>
        <v>68.999999999999986</v>
      </c>
      <c r="JQ18" s="53"/>
      <c r="JR18" s="2"/>
      <c r="JS18" s="56"/>
      <c r="JT18" s="2">
        <f t="shared" si="497"/>
        <v>0</v>
      </c>
      <c r="JU18" s="2">
        <f t="shared" si="342"/>
        <v>1</v>
      </c>
      <c r="JV18" s="2">
        <f t="shared" si="498"/>
        <v>15</v>
      </c>
      <c r="JW18" s="2">
        <f t="shared" si="343"/>
        <v>0</v>
      </c>
      <c r="JX18" s="2">
        <f t="shared" si="499"/>
        <v>0</v>
      </c>
      <c r="JY18" s="2"/>
      <c r="JZ18" s="2">
        <f t="shared" si="344"/>
        <v>0</v>
      </c>
      <c r="KA18" s="2">
        <f t="shared" si="500"/>
        <v>0</v>
      </c>
      <c r="KB18" s="2">
        <f t="shared" si="501"/>
        <v>0</v>
      </c>
      <c r="KC18" s="2">
        <f t="shared" si="502"/>
        <v>0</v>
      </c>
      <c r="KD18" s="2">
        <f t="shared" si="503"/>
        <v>0</v>
      </c>
      <c r="KE18" s="2">
        <f t="shared" si="504"/>
        <v>0</v>
      </c>
      <c r="KF18" s="2">
        <f t="shared" si="505"/>
        <v>0</v>
      </c>
      <c r="KG18" s="2">
        <f t="shared" si="506"/>
        <v>0</v>
      </c>
      <c r="KH18" s="2">
        <f t="shared" si="507"/>
        <v>1</v>
      </c>
      <c r="KI18" s="2">
        <f t="shared" si="508"/>
        <v>15</v>
      </c>
      <c r="KJ18" s="2">
        <f t="shared" si="345"/>
        <v>0</v>
      </c>
      <c r="KK18" s="2">
        <f t="shared" si="509"/>
        <v>0</v>
      </c>
      <c r="KL18" s="2">
        <f t="shared" si="510"/>
        <v>0</v>
      </c>
      <c r="KM18" s="2">
        <f t="shared" si="511"/>
        <v>0</v>
      </c>
      <c r="KN18" s="2">
        <f t="shared" si="346"/>
        <v>0</v>
      </c>
      <c r="KO18" s="2">
        <f t="shared" si="512"/>
        <v>0</v>
      </c>
      <c r="KP18" s="2"/>
      <c r="KQ18" s="2">
        <f t="shared" ref="KQ18" si="540">IF($E18=4,JQ18-4,NA())</f>
        <v>-4</v>
      </c>
      <c r="KR18" s="2"/>
      <c r="KS18" s="41" t="e">
        <f>JQ18-'Zusammenfassung Tag1-4'!#REF!/18</f>
        <v>#REF!</v>
      </c>
      <c r="KT18" s="14" t="e">
        <f t="shared" si="513"/>
        <v>#REF!</v>
      </c>
    </row>
    <row r="19" spans="1:306" ht="13.2" x14ac:dyDescent="0.25">
      <c r="A19" s="179"/>
      <c r="B19" s="176"/>
      <c r="C19" s="44">
        <v>16</v>
      </c>
      <c r="D19" s="2">
        <f t="shared" si="348"/>
        <v>16</v>
      </c>
      <c r="E19" s="44">
        <v>3</v>
      </c>
      <c r="F19" s="4">
        <f t="shared" si="349"/>
        <v>63</v>
      </c>
      <c r="G19" s="56">
        <v>3</v>
      </c>
      <c r="H19" s="2">
        <f t="shared" si="350"/>
        <v>72</v>
      </c>
      <c r="I19" s="56">
        <v>2</v>
      </c>
      <c r="J19" s="2">
        <f t="shared" si="351"/>
        <v>31</v>
      </c>
      <c r="K19" s="2">
        <f t="shared" si="284"/>
        <v>1</v>
      </c>
      <c r="L19" s="2">
        <f t="shared" si="352"/>
        <v>6</v>
      </c>
      <c r="M19" s="2">
        <f t="shared" si="285"/>
        <v>0</v>
      </c>
      <c r="N19" s="2">
        <f t="shared" si="353"/>
        <v>2</v>
      </c>
      <c r="O19" s="2"/>
      <c r="P19" s="2">
        <f t="shared" si="286"/>
        <v>0</v>
      </c>
      <c r="Q19" s="2">
        <f t="shared" si="354"/>
        <v>1</v>
      </c>
      <c r="R19" s="2">
        <f t="shared" si="287"/>
        <v>1</v>
      </c>
      <c r="S19" s="2">
        <f t="shared" si="354"/>
        <v>6</v>
      </c>
      <c r="T19" s="2">
        <f t="shared" si="288"/>
        <v>0</v>
      </c>
      <c r="U19" s="2">
        <f t="shared" si="354"/>
        <v>8</v>
      </c>
      <c r="V19" s="2">
        <f t="shared" si="289"/>
        <v>0</v>
      </c>
      <c r="W19" s="2">
        <f t="shared" si="354"/>
        <v>1</v>
      </c>
      <c r="X19" s="2">
        <f t="shared" si="290"/>
        <v>0</v>
      </c>
      <c r="Y19" s="2">
        <f t="shared" si="355"/>
        <v>0</v>
      </c>
      <c r="Z19" s="2">
        <f t="shared" si="291"/>
        <v>0</v>
      </c>
      <c r="AA19" s="2">
        <f t="shared" si="356"/>
        <v>3</v>
      </c>
      <c r="AB19" s="2">
        <f t="shared" si="292"/>
        <v>1</v>
      </c>
      <c r="AC19" s="2">
        <f t="shared" si="356"/>
        <v>12</v>
      </c>
      <c r="AD19" s="2">
        <f t="shared" si="293"/>
        <v>0</v>
      </c>
      <c r="AE19" s="2">
        <f t="shared" si="357"/>
        <v>1</v>
      </c>
      <c r="AF19" s="2">
        <f>IF($E19=3,G19-3,NA())</f>
        <v>0</v>
      </c>
      <c r="AG19" s="2"/>
      <c r="AH19" s="2"/>
      <c r="AI19" s="41">
        <f>G19-'Zusammenfassung Tag1-4'!$B$2/18</f>
        <v>2.1666666666666665</v>
      </c>
      <c r="AJ19" s="13">
        <f t="shared" si="358"/>
        <v>58.666666666666657</v>
      </c>
      <c r="AK19" s="53">
        <v>4</v>
      </c>
      <c r="AL19" s="2">
        <f t="shared" si="359"/>
        <v>80</v>
      </c>
      <c r="AM19" s="56">
        <v>1</v>
      </c>
      <c r="AN19" s="2">
        <f t="shared" si="360"/>
        <v>30</v>
      </c>
      <c r="AO19" s="2">
        <f t="shared" si="294"/>
        <v>0</v>
      </c>
      <c r="AP19" s="2">
        <f t="shared" si="361"/>
        <v>7</v>
      </c>
      <c r="AQ19" s="2">
        <f t="shared" si="295"/>
        <v>0</v>
      </c>
      <c r="AR19" s="2">
        <f t="shared" si="362"/>
        <v>1</v>
      </c>
      <c r="AS19" s="2"/>
      <c r="AT19" s="2">
        <f t="shared" si="296"/>
        <v>0</v>
      </c>
      <c r="AU19" s="2">
        <f t="shared" si="363"/>
        <v>0</v>
      </c>
      <c r="AV19" s="2">
        <f t="shared" si="364"/>
        <v>0</v>
      </c>
      <c r="AW19" s="2">
        <f t="shared" si="365"/>
        <v>7</v>
      </c>
      <c r="AX19" s="2">
        <f t="shared" si="366"/>
        <v>1</v>
      </c>
      <c r="AY19" s="2">
        <f t="shared" si="367"/>
        <v>6</v>
      </c>
      <c r="AZ19" s="2">
        <f t="shared" si="368"/>
        <v>0</v>
      </c>
      <c r="BA19" s="2">
        <f t="shared" si="369"/>
        <v>3</v>
      </c>
      <c r="BB19" s="2">
        <f t="shared" si="370"/>
        <v>0</v>
      </c>
      <c r="BC19" s="2">
        <f t="shared" si="371"/>
        <v>0</v>
      </c>
      <c r="BD19" s="2">
        <f t="shared" si="297"/>
        <v>1</v>
      </c>
      <c r="BE19" s="2">
        <f t="shared" si="372"/>
        <v>3</v>
      </c>
      <c r="BF19" s="2">
        <f t="shared" si="373"/>
        <v>0</v>
      </c>
      <c r="BG19" s="2">
        <f t="shared" si="374"/>
        <v>12</v>
      </c>
      <c r="BH19" s="2">
        <f t="shared" si="298"/>
        <v>0</v>
      </c>
      <c r="BI19" s="2">
        <f t="shared" si="375"/>
        <v>1</v>
      </c>
      <c r="BJ19" s="2">
        <f t="shared" ref="BJ19" si="541">IF($E19=3,AK19-3,NA())</f>
        <v>1</v>
      </c>
      <c r="BK19" s="2"/>
      <c r="BL19" s="2"/>
      <c r="BM19" s="41">
        <f>AK19-'Zusammenfassung Tag1-4'!$C$2/18</f>
        <v>3.4444444444444446</v>
      </c>
      <c r="BN19" s="13">
        <f t="shared" si="376"/>
        <v>71.1111111111111</v>
      </c>
      <c r="BO19" s="53">
        <v>6</v>
      </c>
      <c r="BP19" s="2">
        <f t="shared" si="377"/>
        <v>92</v>
      </c>
      <c r="BQ19" s="56">
        <v>3</v>
      </c>
      <c r="BR19" s="2">
        <f t="shared" si="378"/>
        <v>39</v>
      </c>
      <c r="BS19" s="2">
        <f t="shared" si="300"/>
        <v>0</v>
      </c>
      <c r="BT19" s="2">
        <f t="shared" si="379"/>
        <v>5</v>
      </c>
      <c r="BU19" s="2">
        <f t="shared" si="301"/>
        <v>0</v>
      </c>
      <c r="BV19" s="2">
        <f t="shared" si="380"/>
        <v>0</v>
      </c>
      <c r="BW19" s="2"/>
      <c r="BX19" s="2">
        <f t="shared" si="302"/>
        <v>0</v>
      </c>
      <c r="BY19" s="2">
        <f t="shared" si="381"/>
        <v>0</v>
      </c>
      <c r="BZ19" s="2">
        <f t="shared" si="382"/>
        <v>0</v>
      </c>
      <c r="CA19" s="2">
        <f t="shared" si="383"/>
        <v>2</v>
      </c>
      <c r="CB19" s="2">
        <f t="shared" si="384"/>
        <v>0</v>
      </c>
      <c r="CC19" s="2">
        <f t="shared" si="385"/>
        <v>7</v>
      </c>
      <c r="CD19" s="2">
        <f t="shared" si="386"/>
        <v>1</v>
      </c>
      <c r="CE19" s="2">
        <f t="shared" si="387"/>
        <v>7</v>
      </c>
      <c r="CF19" s="2">
        <f t="shared" si="388"/>
        <v>0</v>
      </c>
      <c r="CG19" s="2">
        <f t="shared" si="381"/>
        <v>0</v>
      </c>
      <c r="CH19" s="2">
        <f t="shared" si="303"/>
        <v>0</v>
      </c>
      <c r="CI19" s="2">
        <f t="shared" si="389"/>
        <v>0</v>
      </c>
      <c r="CJ19" s="2">
        <f t="shared" si="390"/>
        <v>0</v>
      </c>
      <c r="CK19" s="2">
        <f t="shared" si="391"/>
        <v>9</v>
      </c>
      <c r="CL19" s="2">
        <f t="shared" si="304"/>
        <v>1</v>
      </c>
      <c r="CM19" s="2">
        <f t="shared" si="392"/>
        <v>7</v>
      </c>
      <c r="CN19" s="2">
        <f t="shared" ref="CN19" si="542">IF($E19=3,BO19-3,NA())</f>
        <v>3</v>
      </c>
      <c r="CO19" s="2"/>
      <c r="CP19" s="2"/>
      <c r="CQ19" s="41">
        <f>BO19-'Zusammenfassung Tag1-4'!$D$2/18</f>
        <v>4.9444444444444446</v>
      </c>
      <c r="CR19" s="13">
        <f t="shared" si="393"/>
        <v>75.1111111111111</v>
      </c>
      <c r="CS19" s="53">
        <v>4</v>
      </c>
      <c r="CT19" s="2">
        <f t="shared" si="394"/>
        <v>87</v>
      </c>
      <c r="CU19" s="56">
        <v>2</v>
      </c>
      <c r="CV19" s="2">
        <f t="shared" si="395"/>
        <v>39</v>
      </c>
      <c r="CW19" s="2">
        <f t="shared" si="306"/>
        <v>0</v>
      </c>
      <c r="CX19" s="2">
        <f t="shared" si="396"/>
        <v>6</v>
      </c>
      <c r="CY19" s="2">
        <f t="shared" si="307"/>
        <v>0</v>
      </c>
      <c r="CZ19" s="2">
        <f t="shared" si="397"/>
        <v>0</v>
      </c>
      <c r="DA19" s="2"/>
      <c r="DB19" s="2">
        <f t="shared" si="308"/>
        <v>0</v>
      </c>
      <c r="DC19" s="2">
        <f t="shared" si="398"/>
        <v>0</v>
      </c>
      <c r="DD19" s="2">
        <f t="shared" si="399"/>
        <v>0</v>
      </c>
      <c r="DE19" s="2">
        <f t="shared" si="400"/>
        <v>2</v>
      </c>
      <c r="DF19" s="2">
        <f t="shared" si="401"/>
        <v>1</v>
      </c>
      <c r="DG19" s="2">
        <f t="shared" si="402"/>
        <v>8</v>
      </c>
      <c r="DH19" s="2">
        <f t="shared" si="403"/>
        <v>0</v>
      </c>
      <c r="DI19" s="2">
        <f t="shared" si="404"/>
        <v>6</v>
      </c>
      <c r="DJ19" s="2">
        <f t="shared" si="405"/>
        <v>0</v>
      </c>
      <c r="DK19" s="2">
        <f t="shared" si="406"/>
        <v>0</v>
      </c>
      <c r="DL19" s="2">
        <f t="shared" si="309"/>
        <v>0</v>
      </c>
      <c r="DM19" s="2">
        <f t="shared" si="407"/>
        <v>1</v>
      </c>
      <c r="DN19" s="2">
        <f t="shared" si="408"/>
        <v>1</v>
      </c>
      <c r="DO19" s="2">
        <f t="shared" si="409"/>
        <v>8</v>
      </c>
      <c r="DP19" s="2">
        <f t="shared" si="310"/>
        <v>0</v>
      </c>
      <c r="DQ19" s="2">
        <f t="shared" si="410"/>
        <v>7</v>
      </c>
      <c r="DR19" s="2">
        <f t="shared" ref="DR19" si="543">IF($E19=3,CS19-3,NA())</f>
        <v>1</v>
      </c>
      <c r="DS19" s="2"/>
      <c r="DT19" s="2"/>
      <c r="DU19" s="41">
        <f>CS19-'Zusammenfassung Tag1-4'!$E$2/18</f>
        <v>3</v>
      </c>
      <c r="DV19" s="14">
        <f t="shared" si="411"/>
        <v>71</v>
      </c>
      <c r="DW19" s="53">
        <v>7</v>
      </c>
      <c r="DX19" s="2">
        <v>157</v>
      </c>
      <c r="DY19" s="56">
        <v>2</v>
      </c>
      <c r="DZ19" s="2">
        <f t="shared" si="412"/>
        <v>40</v>
      </c>
      <c r="EA19" s="2">
        <f t="shared" si="312"/>
        <v>0</v>
      </c>
      <c r="EB19" s="2">
        <f t="shared" si="413"/>
        <v>0</v>
      </c>
      <c r="EC19" s="2">
        <f t="shared" si="313"/>
        <v>0</v>
      </c>
      <c r="ED19" s="2">
        <f t="shared" si="414"/>
        <v>0</v>
      </c>
      <c r="EE19" s="2"/>
      <c r="EF19" s="2">
        <f t="shared" si="314"/>
        <v>0</v>
      </c>
      <c r="EG19" s="2">
        <f t="shared" si="415"/>
        <v>0</v>
      </c>
      <c r="EH19" s="2">
        <f t="shared" si="416"/>
        <v>0</v>
      </c>
      <c r="EI19" s="2">
        <f t="shared" si="417"/>
        <v>0</v>
      </c>
      <c r="EJ19" s="2">
        <f t="shared" si="418"/>
        <v>0</v>
      </c>
      <c r="EK19" s="2">
        <f t="shared" si="419"/>
        <v>1</v>
      </c>
      <c r="EL19" s="2">
        <f t="shared" si="420"/>
        <v>1</v>
      </c>
      <c r="EM19" s="2">
        <f t="shared" si="421"/>
        <v>15</v>
      </c>
      <c r="EN19" s="2">
        <f t="shared" si="422"/>
        <v>0</v>
      </c>
      <c r="EO19" s="2">
        <f t="shared" si="423"/>
        <v>0</v>
      </c>
      <c r="EP19" s="2">
        <f t="shared" si="315"/>
        <v>0</v>
      </c>
      <c r="EQ19" s="2">
        <f t="shared" si="424"/>
        <v>0</v>
      </c>
      <c r="ER19" s="2">
        <f t="shared" si="425"/>
        <v>1</v>
      </c>
      <c r="ES19" s="2">
        <f t="shared" si="426"/>
        <v>9</v>
      </c>
      <c r="ET19" s="2">
        <f t="shared" si="316"/>
        <v>0</v>
      </c>
      <c r="EU19" s="2">
        <f t="shared" si="427"/>
        <v>7</v>
      </c>
      <c r="EV19" s="2">
        <f t="shared" ref="EV19" si="544">IF($E19=3,DW19-3,NA())</f>
        <v>4</v>
      </c>
      <c r="EW19" s="2"/>
      <c r="EX19" s="2"/>
      <c r="EY19" s="41">
        <f>DW19-'Zusammenfassung Tag1-4'!$F$2/18</f>
        <v>4.5</v>
      </c>
      <c r="EZ19" s="14">
        <f t="shared" si="428"/>
        <v>81</v>
      </c>
      <c r="FA19" s="53">
        <v>5</v>
      </c>
      <c r="FB19" s="2">
        <v>90</v>
      </c>
      <c r="FC19" s="56">
        <v>2</v>
      </c>
      <c r="FD19" s="2">
        <f t="shared" si="429"/>
        <v>36</v>
      </c>
      <c r="FE19" s="2">
        <f t="shared" si="318"/>
        <v>0</v>
      </c>
      <c r="FF19" s="2">
        <f t="shared" si="430"/>
        <v>3</v>
      </c>
      <c r="FG19" s="2">
        <f t="shared" si="319"/>
        <v>0</v>
      </c>
      <c r="FH19" s="2">
        <f t="shared" si="431"/>
        <v>0</v>
      </c>
      <c r="FI19" s="2"/>
      <c r="FJ19" s="2">
        <f t="shared" si="320"/>
        <v>0</v>
      </c>
      <c r="FK19" s="2">
        <f t="shared" si="432"/>
        <v>0</v>
      </c>
      <c r="FL19" s="2">
        <f t="shared" si="433"/>
        <v>0</v>
      </c>
      <c r="FM19" s="2">
        <f t="shared" si="434"/>
        <v>1</v>
      </c>
      <c r="FN19" s="2">
        <f t="shared" si="435"/>
        <v>0</v>
      </c>
      <c r="FO19" s="2">
        <f t="shared" si="436"/>
        <v>6</v>
      </c>
      <c r="FP19" s="2">
        <f t="shared" si="437"/>
        <v>1</v>
      </c>
      <c r="FQ19" s="2">
        <f t="shared" si="438"/>
        <v>9</v>
      </c>
      <c r="FR19" s="2">
        <f t="shared" si="439"/>
        <v>0</v>
      </c>
      <c r="FS19" s="2">
        <f t="shared" si="440"/>
        <v>0</v>
      </c>
      <c r="FT19" s="2">
        <f t="shared" si="321"/>
        <v>0</v>
      </c>
      <c r="FU19" s="2">
        <f t="shared" si="441"/>
        <v>1</v>
      </c>
      <c r="FV19" s="2">
        <f t="shared" si="442"/>
        <v>1</v>
      </c>
      <c r="FW19" s="2">
        <f t="shared" si="443"/>
        <v>10</v>
      </c>
      <c r="FX19" s="2">
        <f t="shared" si="322"/>
        <v>0</v>
      </c>
      <c r="FY19" s="2">
        <f t="shared" si="444"/>
        <v>5</v>
      </c>
      <c r="FZ19" s="2">
        <f t="shared" ref="FZ19" si="545">IF($E19=3,FA19-3,NA())</f>
        <v>2</v>
      </c>
      <c r="GA19" s="2"/>
      <c r="GB19" s="2"/>
      <c r="GC19" s="41">
        <f>FA19-'Zusammenfassung Tag1-4'!$G$2/18</f>
        <v>3.7222222222222223</v>
      </c>
      <c r="GD19" s="14">
        <f t="shared" si="445"/>
        <v>70.555555555555557</v>
      </c>
      <c r="GE19" s="53">
        <v>4</v>
      </c>
      <c r="GF19" s="2">
        <v>113</v>
      </c>
      <c r="GG19" s="56">
        <v>2</v>
      </c>
      <c r="GH19" s="2">
        <f t="shared" si="446"/>
        <v>33</v>
      </c>
      <c r="GI19" s="2">
        <f t="shared" si="324"/>
        <v>0</v>
      </c>
      <c r="GJ19" s="2">
        <f t="shared" si="447"/>
        <v>1</v>
      </c>
      <c r="GK19" s="2">
        <f t="shared" si="325"/>
        <v>0</v>
      </c>
      <c r="GL19" s="2">
        <f t="shared" si="448"/>
        <v>1</v>
      </c>
      <c r="GM19" s="2"/>
      <c r="GN19" s="2">
        <f t="shared" si="326"/>
        <v>0</v>
      </c>
      <c r="GO19" s="2">
        <f t="shared" si="449"/>
        <v>0</v>
      </c>
      <c r="GP19" s="2">
        <f t="shared" si="450"/>
        <v>0</v>
      </c>
      <c r="GQ19" s="2">
        <f t="shared" si="451"/>
        <v>2</v>
      </c>
      <c r="GR19" s="2">
        <f t="shared" si="452"/>
        <v>1</v>
      </c>
      <c r="GS19" s="2">
        <f t="shared" si="453"/>
        <v>4</v>
      </c>
      <c r="GT19" s="2">
        <f t="shared" si="454"/>
        <v>0</v>
      </c>
      <c r="GU19" s="2">
        <f t="shared" si="455"/>
        <v>10</v>
      </c>
      <c r="GV19" s="2">
        <f t="shared" si="456"/>
        <v>0</v>
      </c>
      <c r="GW19" s="2">
        <f t="shared" si="457"/>
        <v>0</v>
      </c>
      <c r="GX19" s="2">
        <f t="shared" si="327"/>
        <v>0</v>
      </c>
      <c r="GY19" s="2">
        <f t="shared" si="458"/>
        <v>2</v>
      </c>
      <c r="GZ19" s="2">
        <f t="shared" si="459"/>
        <v>1</v>
      </c>
      <c r="HA19" s="2">
        <f t="shared" si="460"/>
        <v>11</v>
      </c>
      <c r="HB19" s="2">
        <f t="shared" si="328"/>
        <v>0</v>
      </c>
      <c r="HC19" s="2">
        <f t="shared" si="461"/>
        <v>3</v>
      </c>
      <c r="HD19" s="2">
        <f t="shared" ref="HD19" si="546">IF($E19=3,GE19-3,NA())</f>
        <v>1</v>
      </c>
      <c r="HE19" s="2"/>
      <c r="HF19" s="2"/>
      <c r="HG19" s="41">
        <f>GE19-'Zusammenfassung Tag1-4'!$H$2/18</f>
        <v>2.2222222222222223</v>
      </c>
      <c r="HH19" s="14">
        <f t="shared" si="462"/>
        <v>76.555555555555571</v>
      </c>
      <c r="HI19" s="53">
        <v>5</v>
      </c>
      <c r="HJ19" s="2">
        <v>81</v>
      </c>
      <c r="HK19" s="56">
        <v>3</v>
      </c>
      <c r="HL19" s="2">
        <f t="shared" si="463"/>
        <v>31</v>
      </c>
      <c r="HM19" s="2">
        <f t="shared" si="330"/>
        <v>0</v>
      </c>
      <c r="HN19" s="2">
        <f t="shared" si="464"/>
        <v>1</v>
      </c>
      <c r="HO19" s="2">
        <f t="shared" si="331"/>
        <v>0</v>
      </c>
      <c r="HP19" s="2">
        <f t="shared" si="465"/>
        <v>1</v>
      </c>
      <c r="HQ19" s="2"/>
      <c r="HR19" s="2">
        <f t="shared" si="332"/>
        <v>0</v>
      </c>
      <c r="HS19" s="2">
        <f t="shared" si="466"/>
        <v>0</v>
      </c>
      <c r="HT19" s="2">
        <f t="shared" si="467"/>
        <v>0</v>
      </c>
      <c r="HU19" s="2">
        <f t="shared" si="468"/>
        <v>2</v>
      </c>
      <c r="HV19" s="2">
        <f t="shared" si="469"/>
        <v>0</v>
      </c>
      <c r="HW19" s="2">
        <f t="shared" si="470"/>
        <v>3</v>
      </c>
      <c r="HX19" s="2">
        <f t="shared" si="471"/>
        <v>1</v>
      </c>
      <c r="HY19" s="2">
        <f t="shared" si="472"/>
        <v>11</v>
      </c>
      <c r="HZ19" s="2">
        <f t="shared" si="473"/>
        <v>0</v>
      </c>
      <c r="IA19" s="2">
        <f t="shared" si="474"/>
        <v>0</v>
      </c>
      <c r="IB19" s="2">
        <f t="shared" si="333"/>
        <v>0</v>
      </c>
      <c r="IC19" s="2">
        <f t="shared" si="475"/>
        <v>3</v>
      </c>
      <c r="ID19" s="2">
        <f t="shared" si="476"/>
        <v>0</v>
      </c>
      <c r="IE19" s="2">
        <f t="shared" si="477"/>
        <v>11</v>
      </c>
      <c r="IF19" s="2">
        <f t="shared" si="334"/>
        <v>1</v>
      </c>
      <c r="IG19" s="2">
        <f t="shared" si="478"/>
        <v>2</v>
      </c>
      <c r="IH19" s="2">
        <f t="shared" ref="IH19" si="547">IF($E19=3,HI19-3,NA())</f>
        <v>2</v>
      </c>
      <c r="II19" s="2"/>
      <c r="IJ19" s="2"/>
      <c r="IK19" s="41">
        <f>HI19-'Zusammenfassung Tag1-4'!$I$2/18</f>
        <v>4.1111111111111107</v>
      </c>
      <c r="IL19" s="14">
        <f t="shared" si="479"/>
        <v>76.7777777777778</v>
      </c>
      <c r="IM19" s="53">
        <v>4</v>
      </c>
      <c r="IN19" s="2">
        <v>251</v>
      </c>
      <c r="IO19" s="56">
        <v>3</v>
      </c>
      <c r="IP19" s="2">
        <f t="shared" si="480"/>
        <v>44</v>
      </c>
      <c r="IQ19" s="2">
        <f t="shared" si="336"/>
        <v>1</v>
      </c>
      <c r="IR19" s="2">
        <f t="shared" si="481"/>
        <v>5</v>
      </c>
      <c r="IS19" s="2">
        <f t="shared" si="337"/>
        <v>0</v>
      </c>
      <c r="IT19" s="2">
        <f t="shared" si="482"/>
        <v>0</v>
      </c>
      <c r="IU19" s="2"/>
      <c r="IV19" s="2">
        <f t="shared" si="338"/>
        <v>0</v>
      </c>
      <c r="IW19" s="2">
        <f t="shared" si="483"/>
        <v>0</v>
      </c>
      <c r="IX19" s="2">
        <f t="shared" si="484"/>
        <v>0</v>
      </c>
      <c r="IY19" s="2">
        <f t="shared" si="485"/>
        <v>1</v>
      </c>
      <c r="IZ19" s="2">
        <f t="shared" si="486"/>
        <v>1</v>
      </c>
      <c r="JA19" s="2">
        <f t="shared" si="487"/>
        <v>4</v>
      </c>
      <c r="JB19" s="2">
        <f t="shared" si="488"/>
        <v>0</v>
      </c>
      <c r="JC19" s="2">
        <f t="shared" si="489"/>
        <v>11</v>
      </c>
      <c r="JD19" s="2">
        <f t="shared" si="490"/>
        <v>0</v>
      </c>
      <c r="JE19" s="2">
        <f t="shared" si="491"/>
        <v>0</v>
      </c>
      <c r="JF19" s="2">
        <f t="shared" si="339"/>
        <v>0</v>
      </c>
      <c r="JG19" s="2">
        <f t="shared" si="492"/>
        <v>0</v>
      </c>
      <c r="JH19" s="2">
        <f t="shared" si="493"/>
        <v>0</v>
      </c>
      <c r="JI19" s="2">
        <f t="shared" si="494"/>
        <v>7</v>
      </c>
      <c r="JJ19" s="2">
        <f t="shared" si="340"/>
        <v>1</v>
      </c>
      <c r="JK19" s="2">
        <f t="shared" si="495"/>
        <v>9</v>
      </c>
      <c r="JL19" s="2">
        <f t="shared" ref="JL19" si="548">IF($E19=3,IM19-3,NA())</f>
        <v>1</v>
      </c>
      <c r="JM19" s="2"/>
      <c r="JN19" s="2"/>
      <c r="JO19" s="41">
        <f>IM19-'Zusammenfassung Tag1-4'!$J$2/18</f>
        <v>1.6666666666666665</v>
      </c>
      <c r="JP19" s="14">
        <f t="shared" si="496"/>
        <v>70.666666666666657</v>
      </c>
      <c r="JQ19" s="53"/>
      <c r="JR19" s="2"/>
      <c r="JS19" s="56"/>
      <c r="JT19" s="2">
        <f t="shared" si="497"/>
        <v>0</v>
      </c>
      <c r="JU19" s="2">
        <f t="shared" si="342"/>
        <v>1</v>
      </c>
      <c r="JV19" s="2">
        <f t="shared" si="498"/>
        <v>16</v>
      </c>
      <c r="JW19" s="2">
        <f t="shared" si="343"/>
        <v>0</v>
      </c>
      <c r="JX19" s="2">
        <f t="shared" si="499"/>
        <v>0</v>
      </c>
      <c r="JY19" s="2"/>
      <c r="JZ19" s="2">
        <f t="shared" si="344"/>
        <v>0</v>
      </c>
      <c r="KA19" s="2">
        <f t="shared" si="500"/>
        <v>0</v>
      </c>
      <c r="KB19" s="2">
        <f t="shared" si="501"/>
        <v>0</v>
      </c>
      <c r="KC19" s="2">
        <f t="shared" si="502"/>
        <v>0</v>
      </c>
      <c r="KD19" s="2">
        <f t="shared" si="503"/>
        <v>0</v>
      </c>
      <c r="KE19" s="2">
        <f t="shared" si="504"/>
        <v>0</v>
      </c>
      <c r="KF19" s="2">
        <f t="shared" si="505"/>
        <v>0</v>
      </c>
      <c r="KG19" s="2">
        <f t="shared" si="506"/>
        <v>0</v>
      </c>
      <c r="KH19" s="2">
        <f t="shared" si="507"/>
        <v>1</v>
      </c>
      <c r="KI19" s="2">
        <f t="shared" si="508"/>
        <v>16</v>
      </c>
      <c r="KJ19" s="2">
        <f t="shared" si="345"/>
        <v>0</v>
      </c>
      <c r="KK19" s="2">
        <f t="shared" si="509"/>
        <v>0</v>
      </c>
      <c r="KL19" s="2">
        <f t="shared" si="510"/>
        <v>0</v>
      </c>
      <c r="KM19" s="2">
        <f t="shared" si="511"/>
        <v>0</v>
      </c>
      <c r="KN19" s="2">
        <f t="shared" si="346"/>
        <v>0</v>
      </c>
      <c r="KO19" s="2">
        <f t="shared" si="512"/>
        <v>0</v>
      </c>
      <c r="KP19" s="2">
        <f t="shared" ref="KP19" si="549">IF($E19=3,JQ19-3,NA())</f>
        <v>-3</v>
      </c>
      <c r="KQ19" s="2"/>
      <c r="KR19" s="2"/>
      <c r="KS19" s="41" t="e">
        <f>JQ19-'Zusammenfassung Tag1-4'!#REF!/18</f>
        <v>#REF!</v>
      </c>
      <c r="KT19" s="14" t="e">
        <f t="shared" si="513"/>
        <v>#REF!</v>
      </c>
    </row>
    <row r="20" spans="1:306" ht="13.2" x14ac:dyDescent="0.25">
      <c r="A20" s="179"/>
      <c r="B20" s="176"/>
      <c r="C20" s="44">
        <v>17</v>
      </c>
      <c r="D20" s="2">
        <f t="shared" si="348"/>
        <v>17</v>
      </c>
      <c r="E20" s="44">
        <v>5</v>
      </c>
      <c r="F20" s="4">
        <f t="shared" si="349"/>
        <v>68</v>
      </c>
      <c r="G20" s="56">
        <v>5</v>
      </c>
      <c r="H20" s="2">
        <f t="shared" si="350"/>
        <v>77</v>
      </c>
      <c r="I20" s="56">
        <v>1</v>
      </c>
      <c r="J20" s="2">
        <f t="shared" si="351"/>
        <v>32</v>
      </c>
      <c r="K20" s="2">
        <f t="shared" si="284"/>
        <v>0</v>
      </c>
      <c r="L20" s="2">
        <f t="shared" si="352"/>
        <v>6</v>
      </c>
      <c r="M20" s="2">
        <f t="shared" si="285"/>
        <v>1</v>
      </c>
      <c r="N20" s="2">
        <f t="shared" si="353"/>
        <v>3</v>
      </c>
      <c r="O20" s="2"/>
      <c r="P20" s="2">
        <f t="shared" si="286"/>
        <v>0</v>
      </c>
      <c r="Q20" s="2">
        <f t="shared" si="354"/>
        <v>1</v>
      </c>
      <c r="R20" s="2">
        <f t="shared" si="287"/>
        <v>1</v>
      </c>
      <c r="S20" s="2">
        <f t="shared" si="354"/>
        <v>7</v>
      </c>
      <c r="T20" s="2">
        <f t="shared" si="288"/>
        <v>0</v>
      </c>
      <c r="U20" s="2">
        <f t="shared" si="354"/>
        <v>8</v>
      </c>
      <c r="V20" s="2">
        <f t="shared" si="289"/>
        <v>0</v>
      </c>
      <c r="W20" s="2">
        <f t="shared" si="354"/>
        <v>1</v>
      </c>
      <c r="X20" s="2">
        <f t="shared" si="290"/>
        <v>0</v>
      </c>
      <c r="Y20" s="2">
        <f t="shared" si="355"/>
        <v>0</v>
      </c>
      <c r="Z20" s="2">
        <f t="shared" si="291"/>
        <v>1</v>
      </c>
      <c r="AA20" s="2">
        <f t="shared" si="356"/>
        <v>4</v>
      </c>
      <c r="AB20" s="2">
        <f t="shared" si="292"/>
        <v>0</v>
      </c>
      <c r="AC20" s="2">
        <f t="shared" si="356"/>
        <v>12</v>
      </c>
      <c r="AD20" s="2">
        <f t="shared" si="293"/>
        <v>0</v>
      </c>
      <c r="AE20" s="2">
        <f t="shared" si="357"/>
        <v>1</v>
      </c>
      <c r="AF20" s="2"/>
      <c r="AG20" s="2"/>
      <c r="AH20" s="2">
        <f>IF($E20=5,G20-5,NA())</f>
        <v>0</v>
      </c>
      <c r="AI20" s="41">
        <f>G20-'Zusammenfassung Tag1-4'!$B$2/18</f>
        <v>4.166666666666667</v>
      </c>
      <c r="AJ20" s="13">
        <f t="shared" si="358"/>
        <v>62.833333333333321</v>
      </c>
      <c r="AK20" s="53">
        <v>7</v>
      </c>
      <c r="AL20" s="2">
        <f t="shared" si="359"/>
        <v>87</v>
      </c>
      <c r="AM20" s="56">
        <v>2</v>
      </c>
      <c r="AN20" s="2">
        <f t="shared" si="360"/>
        <v>32</v>
      </c>
      <c r="AO20" s="2">
        <f t="shared" si="294"/>
        <v>0</v>
      </c>
      <c r="AP20" s="2">
        <f t="shared" si="361"/>
        <v>7</v>
      </c>
      <c r="AQ20" s="2">
        <f t="shared" si="295"/>
        <v>0</v>
      </c>
      <c r="AR20" s="2">
        <f t="shared" si="362"/>
        <v>1</v>
      </c>
      <c r="AS20" s="2"/>
      <c r="AT20" s="2">
        <f t="shared" si="296"/>
        <v>0</v>
      </c>
      <c r="AU20" s="2">
        <f t="shared" si="363"/>
        <v>0</v>
      </c>
      <c r="AV20" s="2">
        <f t="shared" si="364"/>
        <v>0</v>
      </c>
      <c r="AW20" s="2">
        <f t="shared" si="365"/>
        <v>7</v>
      </c>
      <c r="AX20" s="2">
        <f t="shared" si="366"/>
        <v>0</v>
      </c>
      <c r="AY20" s="2">
        <f t="shared" si="367"/>
        <v>6</v>
      </c>
      <c r="AZ20" s="2">
        <f t="shared" si="368"/>
        <v>1</v>
      </c>
      <c r="BA20" s="2">
        <f t="shared" si="369"/>
        <v>4</v>
      </c>
      <c r="BB20" s="2">
        <f t="shared" si="370"/>
        <v>0</v>
      </c>
      <c r="BC20" s="2">
        <f t="shared" si="371"/>
        <v>0</v>
      </c>
      <c r="BD20" s="2">
        <f t="shared" si="297"/>
        <v>0</v>
      </c>
      <c r="BE20" s="2">
        <f t="shared" si="372"/>
        <v>3</v>
      </c>
      <c r="BF20" s="2">
        <f t="shared" si="373"/>
        <v>1</v>
      </c>
      <c r="BG20" s="2">
        <f t="shared" si="374"/>
        <v>13</v>
      </c>
      <c r="BH20" s="2">
        <f t="shared" si="298"/>
        <v>0</v>
      </c>
      <c r="BI20" s="2">
        <f t="shared" si="375"/>
        <v>1</v>
      </c>
      <c r="BJ20" s="2"/>
      <c r="BK20" s="2"/>
      <c r="BL20" s="2">
        <f t="shared" ref="BL20" si="550">IF($E20=5,AK20-5,NA())</f>
        <v>2</v>
      </c>
      <c r="BM20" s="41">
        <f>AK20-'Zusammenfassung Tag1-4'!$C$2/18</f>
        <v>6.4444444444444446</v>
      </c>
      <c r="BN20" s="13">
        <f t="shared" si="376"/>
        <v>77.555555555555543</v>
      </c>
      <c r="BO20" s="53">
        <v>7</v>
      </c>
      <c r="BP20" s="2">
        <f t="shared" si="377"/>
        <v>99</v>
      </c>
      <c r="BQ20" s="56">
        <v>2</v>
      </c>
      <c r="BR20" s="2">
        <f t="shared" si="378"/>
        <v>41</v>
      </c>
      <c r="BS20" s="2">
        <f t="shared" si="300"/>
        <v>0</v>
      </c>
      <c r="BT20" s="2">
        <f t="shared" si="379"/>
        <v>5</v>
      </c>
      <c r="BU20" s="2">
        <f t="shared" si="301"/>
        <v>0</v>
      </c>
      <c r="BV20" s="2">
        <f t="shared" si="380"/>
        <v>0</v>
      </c>
      <c r="BW20" s="2"/>
      <c r="BX20" s="2">
        <f t="shared" si="302"/>
        <v>0</v>
      </c>
      <c r="BY20" s="2">
        <f t="shared" si="381"/>
        <v>0</v>
      </c>
      <c r="BZ20" s="2">
        <f t="shared" si="382"/>
        <v>0</v>
      </c>
      <c r="CA20" s="2">
        <f t="shared" si="383"/>
        <v>2</v>
      </c>
      <c r="CB20" s="2">
        <f t="shared" si="384"/>
        <v>0</v>
      </c>
      <c r="CC20" s="2">
        <f t="shared" si="385"/>
        <v>7</v>
      </c>
      <c r="CD20" s="2">
        <f t="shared" si="386"/>
        <v>1</v>
      </c>
      <c r="CE20" s="2">
        <f t="shared" si="387"/>
        <v>8</v>
      </c>
      <c r="CF20" s="2">
        <f t="shared" si="388"/>
        <v>0</v>
      </c>
      <c r="CG20" s="2">
        <f t="shared" si="381"/>
        <v>0</v>
      </c>
      <c r="CH20" s="2">
        <f t="shared" si="303"/>
        <v>0</v>
      </c>
      <c r="CI20" s="2">
        <f t="shared" si="389"/>
        <v>0</v>
      </c>
      <c r="CJ20" s="2">
        <f t="shared" si="390"/>
        <v>1</v>
      </c>
      <c r="CK20" s="2">
        <f t="shared" si="391"/>
        <v>10</v>
      </c>
      <c r="CL20" s="2">
        <f t="shared" si="304"/>
        <v>0</v>
      </c>
      <c r="CM20" s="2">
        <f t="shared" si="392"/>
        <v>7</v>
      </c>
      <c r="CN20" s="2"/>
      <c r="CO20" s="2"/>
      <c r="CP20" s="2">
        <f t="shared" ref="CP20" si="551">IF($E20=5,BO20-5,NA())</f>
        <v>2</v>
      </c>
      <c r="CQ20" s="41">
        <f>BO20-'Zusammenfassung Tag1-4'!$D$2/18</f>
        <v>5.9444444444444446</v>
      </c>
      <c r="CR20" s="13">
        <f t="shared" si="393"/>
        <v>81.055555555555543</v>
      </c>
      <c r="CS20" s="53">
        <v>9</v>
      </c>
      <c r="CT20" s="2">
        <f t="shared" si="394"/>
        <v>96</v>
      </c>
      <c r="CU20" s="56">
        <v>3</v>
      </c>
      <c r="CV20" s="2">
        <f t="shared" si="395"/>
        <v>42</v>
      </c>
      <c r="CW20" s="2">
        <f t="shared" si="306"/>
        <v>0</v>
      </c>
      <c r="CX20" s="2">
        <f t="shared" si="396"/>
        <v>6</v>
      </c>
      <c r="CY20" s="2">
        <f t="shared" si="307"/>
        <v>0</v>
      </c>
      <c r="CZ20" s="2">
        <f t="shared" si="397"/>
        <v>0</v>
      </c>
      <c r="DA20" s="2"/>
      <c r="DB20" s="2">
        <f t="shared" si="308"/>
        <v>0</v>
      </c>
      <c r="DC20" s="2">
        <f t="shared" si="398"/>
        <v>0</v>
      </c>
      <c r="DD20" s="2">
        <f t="shared" si="399"/>
        <v>0</v>
      </c>
      <c r="DE20" s="2">
        <f t="shared" si="400"/>
        <v>2</v>
      </c>
      <c r="DF20" s="2">
        <f t="shared" si="401"/>
        <v>0</v>
      </c>
      <c r="DG20" s="2">
        <f t="shared" si="402"/>
        <v>8</v>
      </c>
      <c r="DH20" s="2">
        <f t="shared" si="403"/>
        <v>1</v>
      </c>
      <c r="DI20" s="2">
        <f t="shared" si="404"/>
        <v>7</v>
      </c>
      <c r="DJ20" s="2">
        <f t="shared" si="405"/>
        <v>0</v>
      </c>
      <c r="DK20" s="2">
        <f t="shared" si="406"/>
        <v>0</v>
      </c>
      <c r="DL20" s="2">
        <f t="shared" si="309"/>
        <v>0</v>
      </c>
      <c r="DM20" s="2">
        <f t="shared" si="407"/>
        <v>1</v>
      </c>
      <c r="DN20" s="2">
        <f t="shared" si="408"/>
        <v>0</v>
      </c>
      <c r="DO20" s="2">
        <f t="shared" si="409"/>
        <v>8</v>
      </c>
      <c r="DP20" s="2">
        <f t="shared" si="310"/>
        <v>1</v>
      </c>
      <c r="DQ20" s="2">
        <f t="shared" si="410"/>
        <v>8</v>
      </c>
      <c r="DR20" s="2"/>
      <c r="DS20" s="2"/>
      <c r="DT20" s="2">
        <f t="shared" ref="DT20" si="552">IF($E20=5,CS20-5,NA())</f>
        <v>4</v>
      </c>
      <c r="DU20" s="41">
        <f>CS20-'Zusammenfassung Tag1-4'!$E$2/18</f>
        <v>8</v>
      </c>
      <c r="DV20" s="14">
        <f t="shared" si="411"/>
        <v>79</v>
      </c>
      <c r="DW20" s="53">
        <v>10</v>
      </c>
      <c r="DX20" s="2">
        <v>161</v>
      </c>
      <c r="DY20" s="56">
        <v>3</v>
      </c>
      <c r="DZ20" s="2">
        <f t="shared" si="412"/>
        <v>43</v>
      </c>
      <c r="EA20" s="2">
        <f t="shared" si="312"/>
        <v>0</v>
      </c>
      <c r="EB20" s="2">
        <f t="shared" si="413"/>
        <v>0</v>
      </c>
      <c r="EC20" s="2">
        <f t="shared" si="313"/>
        <v>0</v>
      </c>
      <c r="ED20" s="2">
        <f t="shared" si="414"/>
        <v>0</v>
      </c>
      <c r="EE20" s="2"/>
      <c r="EF20" s="2">
        <f t="shared" si="314"/>
        <v>0</v>
      </c>
      <c r="EG20" s="2">
        <f t="shared" si="415"/>
        <v>0</v>
      </c>
      <c r="EH20" s="2">
        <f t="shared" si="416"/>
        <v>0</v>
      </c>
      <c r="EI20" s="2">
        <f t="shared" si="417"/>
        <v>0</v>
      </c>
      <c r="EJ20" s="2">
        <f t="shared" si="418"/>
        <v>0</v>
      </c>
      <c r="EK20" s="2">
        <f t="shared" si="419"/>
        <v>1</v>
      </c>
      <c r="EL20" s="2">
        <f t="shared" si="420"/>
        <v>1</v>
      </c>
      <c r="EM20" s="2">
        <f t="shared" si="421"/>
        <v>16</v>
      </c>
      <c r="EN20" s="2">
        <f t="shared" si="422"/>
        <v>0</v>
      </c>
      <c r="EO20" s="2">
        <f t="shared" si="423"/>
        <v>0</v>
      </c>
      <c r="EP20" s="2">
        <f t="shared" si="315"/>
        <v>0</v>
      </c>
      <c r="EQ20" s="2">
        <f t="shared" si="424"/>
        <v>0</v>
      </c>
      <c r="ER20" s="2">
        <f t="shared" si="425"/>
        <v>0</v>
      </c>
      <c r="ES20" s="2">
        <f t="shared" si="426"/>
        <v>9</v>
      </c>
      <c r="ET20" s="2">
        <f t="shared" si="316"/>
        <v>1</v>
      </c>
      <c r="EU20" s="2">
        <f t="shared" si="427"/>
        <v>8</v>
      </c>
      <c r="EV20" s="2"/>
      <c r="EW20" s="2"/>
      <c r="EX20" s="2">
        <f t="shared" ref="EX20" si="553">IF($E20=5,DW20-5,NA())</f>
        <v>5</v>
      </c>
      <c r="EY20" s="41">
        <f>DW20-'Zusammenfassung Tag1-4'!$F$2/18</f>
        <v>7.5</v>
      </c>
      <c r="EZ20" s="14">
        <f t="shared" si="428"/>
        <v>88.5</v>
      </c>
      <c r="FA20" s="53">
        <v>6</v>
      </c>
      <c r="FB20" s="2">
        <v>95</v>
      </c>
      <c r="FC20" s="56">
        <v>1</v>
      </c>
      <c r="FD20" s="2">
        <f t="shared" si="429"/>
        <v>37</v>
      </c>
      <c r="FE20" s="2">
        <f t="shared" si="318"/>
        <v>0</v>
      </c>
      <c r="FF20" s="2">
        <f t="shared" si="430"/>
        <v>3</v>
      </c>
      <c r="FG20" s="2">
        <f t="shared" si="319"/>
        <v>0</v>
      </c>
      <c r="FH20" s="2">
        <f t="shared" si="431"/>
        <v>0</v>
      </c>
      <c r="FI20" s="2"/>
      <c r="FJ20" s="2">
        <f t="shared" si="320"/>
        <v>0</v>
      </c>
      <c r="FK20" s="2">
        <f t="shared" si="432"/>
        <v>0</v>
      </c>
      <c r="FL20" s="2">
        <f t="shared" si="433"/>
        <v>0</v>
      </c>
      <c r="FM20" s="2">
        <f t="shared" si="434"/>
        <v>1</v>
      </c>
      <c r="FN20" s="2">
        <f t="shared" si="435"/>
        <v>1</v>
      </c>
      <c r="FO20" s="2">
        <f t="shared" si="436"/>
        <v>7</v>
      </c>
      <c r="FP20" s="2">
        <f t="shared" si="437"/>
        <v>0</v>
      </c>
      <c r="FQ20" s="2">
        <f t="shared" si="438"/>
        <v>9</v>
      </c>
      <c r="FR20" s="2">
        <f t="shared" si="439"/>
        <v>0</v>
      </c>
      <c r="FS20" s="2">
        <f t="shared" si="440"/>
        <v>0</v>
      </c>
      <c r="FT20" s="2">
        <f t="shared" si="321"/>
        <v>1</v>
      </c>
      <c r="FU20" s="2">
        <f t="shared" si="441"/>
        <v>2</v>
      </c>
      <c r="FV20" s="2">
        <f t="shared" si="442"/>
        <v>0</v>
      </c>
      <c r="FW20" s="2">
        <f t="shared" si="443"/>
        <v>10</v>
      </c>
      <c r="FX20" s="2">
        <f t="shared" si="322"/>
        <v>0</v>
      </c>
      <c r="FY20" s="2">
        <f t="shared" si="444"/>
        <v>5</v>
      </c>
      <c r="FZ20" s="2"/>
      <c r="GA20" s="2"/>
      <c r="GB20" s="2">
        <f t="shared" ref="GB20" si="554">IF($E20=5,FA20-5,NA())</f>
        <v>1</v>
      </c>
      <c r="GC20" s="41">
        <f>FA20-'Zusammenfassung Tag1-4'!$G$2/18</f>
        <v>4.7222222222222223</v>
      </c>
      <c r="GD20" s="14">
        <f t="shared" si="445"/>
        <v>75.277777777777786</v>
      </c>
      <c r="GE20" s="53">
        <v>9</v>
      </c>
      <c r="GF20" s="2">
        <v>121</v>
      </c>
      <c r="GG20" s="56">
        <v>2</v>
      </c>
      <c r="GH20" s="2">
        <f t="shared" si="446"/>
        <v>35</v>
      </c>
      <c r="GI20" s="2">
        <f t="shared" si="324"/>
        <v>0</v>
      </c>
      <c r="GJ20" s="2">
        <f t="shared" si="447"/>
        <v>1</v>
      </c>
      <c r="GK20" s="2">
        <f t="shared" si="325"/>
        <v>0</v>
      </c>
      <c r="GL20" s="2">
        <f t="shared" si="448"/>
        <v>1</v>
      </c>
      <c r="GM20" s="2"/>
      <c r="GN20" s="2">
        <f t="shared" si="326"/>
        <v>0</v>
      </c>
      <c r="GO20" s="2">
        <f t="shared" si="449"/>
        <v>0</v>
      </c>
      <c r="GP20" s="2">
        <f t="shared" si="450"/>
        <v>0</v>
      </c>
      <c r="GQ20" s="2">
        <f t="shared" si="451"/>
        <v>2</v>
      </c>
      <c r="GR20" s="2">
        <f t="shared" si="452"/>
        <v>0</v>
      </c>
      <c r="GS20" s="2">
        <f t="shared" si="453"/>
        <v>4</v>
      </c>
      <c r="GT20" s="2">
        <f t="shared" si="454"/>
        <v>1</v>
      </c>
      <c r="GU20" s="2">
        <f t="shared" si="455"/>
        <v>11</v>
      </c>
      <c r="GV20" s="2">
        <f t="shared" si="456"/>
        <v>0</v>
      </c>
      <c r="GW20" s="2">
        <f t="shared" si="457"/>
        <v>0</v>
      </c>
      <c r="GX20" s="2">
        <f t="shared" si="327"/>
        <v>0</v>
      </c>
      <c r="GY20" s="2">
        <f t="shared" si="458"/>
        <v>2</v>
      </c>
      <c r="GZ20" s="2">
        <f t="shared" si="459"/>
        <v>1</v>
      </c>
      <c r="HA20" s="2">
        <f t="shared" si="460"/>
        <v>12</v>
      </c>
      <c r="HB20" s="2">
        <f t="shared" si="328"/>
        <v>0</v>
      </c>
      <c r="HC20" s="2">
        <f t="shared" si="461"/>
        <v>3</v>
      </c>
      <c r="HD20" s="2"/>
      <c r="HE20" s="2"/>
      <c r="HF20" s="2">
        <f t="shared" ref="HF20" si="555">IF($E20=5,GE20-5,NA())</f>
        <v>4</v>
      </c>
      <c r="HG20" s="41">
        <f>GE20-'Zusammenfassung Tag1-4'!$H$2/18</f>
        <v>7.2222222222222223</v>
      </c>
      <c r="HH20" s="14">
        <f t="shared" si="462"/>
        <v>83.7777777777778</v>
      </c>
      <c r="HI20" s="53">
        <v>6</v>
      </c>
      <c r="HJ20" s="2">
        <v>91</v>
      </c>
      <c r="HK20" s="56">
        <v>2</v>
      </c>
      <c r="HL20" s="2">
        <f t="shared" si="463"/>
        <v>33</v>
      </c>
      <c r="HM20" s="2">
        <f t="shared" si="330"/>
        <v>0</v>
      </c>
      <c r="HN20" s="2">
        <f t="shared" si="464"/>
        <v>1</v>
      </c>
      <c r="HO20" s="2">
        <f t="shared" si="331"/>
        <v>0</v>
      </c>
      <c r="HP20" s="2">
        <f t="shared" si="465"/>
        <v>1</v>
      </c>
      <c r="HQ20" s="2"/>
      <c r="HR20" s="2">
        <f t="shared" si="332"/>
        <v>0</v>
      </c>
      <c r="HS20" s="2">
        <f t="shared" si="466"/>
        <v>0</v>
      </c>
      <c r="HT20" s="2">
        <f t="shared" si="467"/>
        <v>0</v>
      </c>
      <c r="HU20" s="2">
        <f t="shared" si="468"/>
        <v>2</v>
      </c>
      <c r="HV20" s="2">
        <f t="shared" si="469"/>
        <v>1</v>
      </c>
      <c r="HW20" s="2">
        <f t="shared" si="470"/>
        <v>4</v>
      </c>
      <c r="HX20" s="2">
        <f t="shared" si="471"/>
        <v>0</v>
      </c>
      <c r="HY20" s="2">
        <f t="shared" si="472"/>
        <v>11</v>
      </c>
      <c r="HZ20" s="2">
        <f t="shared" si="473"/>
        <v>0</v>
      </c>
      <c r="IA20" s="2">
        <f t="shared" si="474"/>
        <v>0</v>
      </c>
      <c r="IB20" s="2">
        <f t="shared" si="333"/>
        <v>0</v>
      </c>
      <c r="IC20" s="2">
        <f t="shared" si="475"/>
        <v>3</v>
      </c>
      <c r="ID20" s="2">
        <f t="shared" si="476"/>
        <v>1</v>
      </c>
      <c r="IE20" s="2">
        <f t="shared" si="477"/>
        <v>12</v>
      </c>
      <c r="IF20" s="2">
        <f t="shared" si="334"/>
        <v>0</v>
      </c>
      <c r="IG20" s="2">
        <f t="shared" si="478"/>
        <v>2</v>
      </c>
      <c r="IH20" s="2"/>
      <c r="II20" s="2"/>
      <c r="IJ20" s="2">
        <f t="shared" ref="IJ20" si="556">IF($E20=5,HI20-5,NA())</f>
        <v>1</v>
      </c>
      <c r="IK20" s="41">
        <f>HI20-'Zusammenfassung Tag1-4'!$I$2/18</f>
        <v>5.1111111111111107</v>
      </c>
      <c r="IL20" s="14">
        <f t="shared" si="479"/>
        <v>81.888888888888914</v>
      </c>
      <c r="IM20" s="53">
        <v>7</v>
      </c>
      <c r="IN20" s="2">
        <v>258</v>
      </c>
      <c r="IO20" s="56">
        <v>2</v>
      </c>
      <c r="IP20" s="2">
        <f t="shared" si="480"/>
        <v>46</v>
      </c>
      <c r="IQ20" s="2">
        <f t="shared" si="336"/>
        <v>0</v>
      </c>
      <c r="IR20" s="2">
        <f t="shared" si="481"/>
        <v>5</v>
      </c>
      <c r="IS20" s="2">
        <f t="shared" si="337"/>
        <v>0</v>
      </c>
      <c r="IT20" s="2">
        <f t="shared" si="482"/>
        <v>0</v>
      </c>
      <c r="IU20" s="2"/>
      <c r="IV20" s="2">
        <f t="shared" si="338"/>
        <v>0</v>
      </c>
      <c r="IW20" s="2">
        <f t="shared" si="483"/>
        <v>0</v>
      </c>
      <c r="IX20" s="2">
        <f t="shared" si="484"/>
        <v>0</v>
      </c>
      <c r="IY20" s="2">
        <f t="shared" si="485"/>
        <v>1</v>
      </c>
      <c r="IZ20" s="2">
        <f t="shared" si="486"/>
        <v>0</v>
      </c>
      <c r="JA20" s="2">
        <f t="shared" si="487"/>
        <v>4</v>
      </c>
      <c r="JB20" s="2">
        <f t="shared" si="488"/>
        <v>1</v>
      </c>
      <c r="JC20" s="2">
        <f t="shared" si="489"/>
        <v>12</v>
      </c>
      <c r="JD20" s="2">
        <f t="shared" si="490"/>
        <v>0</v>
      </c>
      <c r="JE20" s="2">
        <f t="shared" si="491"/>
        <v>0</v>
      </c>
      <c r="JF20" s="2">
        <f t="shared" si="339"/>
        <v>0</v>
      </c>
      <c r="JG20" s="2">
        <f t="shared" si="492"/>
        <v>0</v>
      </c>
      <c r="JH20" s="2">
        <f t="shared" si="493"/>
        <v>1</v>
      </c>
      <c r="JI20" s="2">
        <f t="shared" si="494"/>
        <v>8</v>
      </c>
      <c r="JJ20" s="2">
        <f t="shared" si="340"/>
        <v>0</v>
      </c>
      <c r="JK20" s="2">
        <f t="shared" si="495"/>
        <v>9</v>
      </c>
      <c r="JL20" s="2"/>
      <c r="JM20" s="2"/>
      <c r="JN20" s="2">
        <f t="shared" ref="JN20" si="557">IF($E20=5,IM20-5,NA())</f>
        <v>2</v>
      </c>
      <c r="JO20" s="41">
        <f>IM20-'Zusammenfassung Tag1-4'!$J$2/18</f>
        <v>4.6666666666666661</v>
      </c>
      <c r="JP20" s="14">
        <f t="shared" si="496"/>
        <v>75.333333333333329</v>
      </c>
      <c r="JQ20" s="53"/>
      <c r="JR20" s="2"/>
      <c r="JS20" s="56"/>
      <c r="JT20" s="2">
        <f t="shared" si="497"/>
        <v>0</v>
      </c>
      <c r="JU20" s="2">
        <f t="shared" si="342"/>
        <v>1</v>
      </c>
      <c r="JV20" s="2">
        <f t="shared" si="498"/>
        <v>17</v>
      </c>
      <c r="JW20" s="2">
        <f t="shared" si="343"/>
        <v>0</v>
      </c>
      <c r="JX20" s="2">
        <f t="shared" si="499"/>
        <v>0</v>
      </c>
      <c r="JY20" s="2"/>
      <c r="JZ20" s="2">
        <f t="shared" si="344"/>
        <v>0</v>
      </c>
      <c r="KA20" s="2">
        <f t="shared" si="500"/>
        <v>0</v>
      </c>
      <c r="KB20" s="2">
        <f t="shared" si="501"/>
        <v>0</v>
      </c>
      <c r="KC20" s="2">
        <f t="shared" si="502"/>
        <v>0</v>
      </c>
      <c r="KD20" s="2">
        <f t="shared" si="503"/>
        <v>0</v>
      </c>
      <c r="KE20" s="2">
        <f t="shared" si="504"/>
        <v>0</v>
      </c>
      <c r="KF20" s="2">
        <f t="shared" si="505"/>
        <v>0</v>
      </c>
      <c r="KG20" s="2">
        <f t="shared" si="506"/>
        <v>0</v>
      </c>
      <c r="KH20" s="2">
        <f t="shared" si="507"/>
        <v>1</v>
      </c>
      <c r="KI20" s="2">
        <f t="shared" si="508"/>
        <v>17</v>
      </c>
      <c r="KJ20" s="2">
        <f t="shared" si="345"/>
        <v>0</v>
      </c>
      <c r="KK20" s="2">
        <f t="shared" si="509"/>
        <v>0</v>
      </c>
      <c r="KL20" s="2">
        <f t="shared" si="510"/>
        <v>0</v>
      </c>
      <c r="KM20" s="2">
        <f t="shared" si="511"/>
        <v>0</v>
      </c>
      <c r="KN20" s="2">
        <f t="shared" si="346"/>
        <v>0</v>
      </c>
      <c r="KO20" s="2">
        <f t="shared" si="512"/>
        <v>0</v>
      </c>
      <c r="KP20" s="2"/>
      <c r="KQ20" s="2"/>
      <c r="KR20" s="2">
        <f t="shared" ref="KR20" si="558">IF($E20=5,JQ20-5,NA())</f>
        <v>-5</v>
      </c>
      <c r="KS20" s="41" t="e">
        <f>JQ20-'Zusammenfassung Tag1-4'!#REF!/18</f>
        <v>#REF!</v>
      </c>
      <c r="KT20" s="14" t="e">
        <f t="shared" si="513"/>
        <v>#REF!</v>
      </c>
    </row>
    <row r="21" spans="1:306" ht="13.2" x14ac:dyDescent="0.25">
      <c r="A21" s="179"/>
      <c r="B21" s="176"/>
      <c r="C21" s="15">
        <v>18</v>
      </c>
      <c r="D21" s="3">
        <f t="shared" si="348"/>
        <v>18</v>
      </c>
      <c r="E21" s="15">
        <v>4</v>
      </c>
      <c r="F21" s="1">
        <f t="shared" si="349"/>
        <v>72</v>
      </c>
      <c r="G21" s="57">
        <v>5</v>
      </c>
      <c r="H21" s="3">
        <f t="shared" si="350"/>
        <v>82</v>
      </c>
      <c r="I21" s="57">
        <v>2</v>
      </c>
      <c r="J21" s="3">
        <f t="shared" si="351"/>
        <v>34</v>
      </c>
      <c r="K21" s="3">
        <f t="shared" si="284"/>
        <v>0</v>
      </c>
      <c r="L21" s="3">
        <f t="shared" si="352"/>
        <v>6</v>
      </c>
      <c r="M21" s="3">
        <f t="shared" si="285"/>
        <v>0</v>
      </c>
      <c r="N21" s="3">
        <f t="shared" si="353"/>
        <v>3</v>
      </c>
      <c r="O21" s="3"/>
      <c r="P21" s="3">
        <f t="shared" si="286"/>
        <v>0</v>
      </c>
      <c r="Q21" s="3">
        <f t="shared" si="354"/>
        <v>1</v>
      </c>
      <c r="R21" s="3">
        <f t="shared" si="287"/>
        <v>0</v>
      </c>
      <c r="S21" s="3">
        <f t="shared" si="354"/>
        <v>7</v>
      </c>
      <c r="T21" s="3">
        <f t="shared" si="288"/>
        <v>1</v>
      </c>
      <c r="U21" s="3">
        <f t="shared" si="354"/>
        <v>9</v>
      </c>
      <c r="V21" s="3">
        <f t="shared" si="289"/>
        <v>0</v>
      </c>
      <c r="W21" s="3">
        <f t="shared" si="354"/>
        <v>1</v>
      </c>
      <c r="X21" s="3">
        <f t="shared" si="290"/>
        <v>0</v>
      </c>
      <c r="Y21" s="3">
        <f t="shared" si="355"/>
        <v>0</v>
      </c>
      <c r="Z21" s="3">
        <f t="shared" si="291"/>
        <v>0</v>
      </c>
      <c r="AA21" s="3">
        <f t="shared" si="356"/>
        <v>4</v>
      </c>
      <c r="AB21" s="3">
        <f t="shared" si="292"/>
        <v>1</v>
      </c>
      <c r="AC21" s="3">
        <f t="shared" si="356"/>
        <v>13</v>
      </c>
      <c r="AD21" s="3">
        <f t="shared" si="293"/>
        <v>0</v>
      </c>
      <c r="AE21" s="3">
        <f t="shared" si="357"/>
        <v>1</v>
      </c>
      <c r="AF21" s="2"/>
      <c r="AG21" s="2">
        <f>IF($E21=4,G21-4,NA())</f>
        <v>1</v>
      </c>
      <c r="AH21" s="3"/>
      <c r="AI21" s="17">
        <f>G21-'Zusammenfassung Tag1-4'!$B$2/18</f>
        <v>4.166666666666667</v>
      </c>
      <c r="AJ21" s="50">
        <f t="shared" si="358"/>
        <v>66.999999999999986</v>
      </c>
      <c r="AK21" s="54">
        <v>6</v>
      </c>
      <c r="AL21" s="3">
        <f t="shared" si="359"/>
        <v>93</v>
      </c>
      <c r="AM21" s="57">
        <v>2</v>
      </c>
      <c r="AN21" s="3">
        <f t="shared" si="360"/>
        <v>34</v>
      </c>
      <c r="AO21" s="3">
        <f t="shared" si="294"/>
        <v>0</v>
      </c>
      <c r="AP21" s="3">
        <f t="shared" si="361"/>
        <v>7</v>
      </c>
      <c r="AQ21" s="3">
        <f t="shared" si="295"/>
        <v>0</v>
      </c>
      <c r="AR21" s="3">
        <f t="shared" si="362"/>
        <v>1</v>
      </c>
      <c r="AS21" s="3"/>
      <c r="AT21" s="3">
        <f t="shared" si="296"/>
        <v>0</v>
      </c>
      <c r="AU21" s="3">
        <f t="shared" si="363"/>
        <v>0</v>
      </c>
      <c r="AV21" s="3">
        <f>IF(AK21=$E21,1,0)</f>
        <v>0</v>
      </c>
      <c r="AW21" s="3">
        <f t="shared" si="365"/>
        <v>7</v>
      </c>
      <c r="AX21" s="3">
        <f t="shared" si="366"/>
        <v>0</v>
      </c>
      <c r="AY21" s="3">
        <f t="shared" si="367"/>
        <v>6</v>
      </c>
      <c r="AZ21" s="3">
        <f t="shared" si="368"/>
        <v>1</v>
      </c>
      <c r="BA21" s="3">
        <f t="shared" si="369"/>
        <v>5</v>
      </c>
      <c r="BB21" s="3">
        <f t="shared" si="370"/>
        <v>0</v>
      </c>
      <c r="BC21" s="3">
        <f t="shared" si="371"/>
        <v>0</v>
      </c>
      <c r="BD21" s="3">
        <f t="shared" si="297"/>
        <v>0</v>
      </c>
      <c r="BE21" s="3">
        <f t="shared" si="372"/>
        <v>3</v>
      </c>
      <c r="BF21" s="3">
        <f t="shared" si="373"/>
        <v>1</v>
      </c>
      <c r="BG21" s="3">
        <f t="shared" si="374"/>
        <v>14</v>
      </c>
      <c r="BH21" s="3">
        <f t="shared" si="298"/>
        <v>0</v>
      </c>
      <c r="BI21" s="3">
        <f t="shared" si="375"/>
        <v>1</v>
      </c>
      <c r="BJ21" s="63"/>
      <c r="BK21" s="63">
        <f t="shared" ref="BK21" si="559">IF($E21=4,AK21-4,NA())</f>
        <v>2</v>
      </c>
      <c r="BL21" s="63"/>
      <c r="BM21" s="17">
        <f>AK21-'Zusammenfassung Tag1-4'!$C$2/18</f>
        <v>5.4444444444444446</v>
      </c>
      <c r="BN21" s="50">
        <f t="shared" si="376"/>
        <v>82.999999999999986</v>
      </c>
      <c r="BO21" s="54">
        <v>9</v>
      </c>
      <c r="BP21" s="3">
        <f t="shared" si="377"/>
        <v>108</v>
      </c>
      <c r="BQ21" s="57">
        <v>3</v>
      </c>
      <c r="BR21" s="3">
        <f t="shared" si="378"/>
        <v>44</v>
      </c>
      <c r="BS21" s="3">
        <f t="shared" si="300"/>
        <v>0</v>
      </c>
      <c r="BT21" s="3">
        <f t="shared" si="379"/>
        <v>5</v>
      </c>
      <c r="BU21" s="3">
        <f t="shared" si="301"/>
        <v>0</v>
      </c>
      <c r="BV21" s="3">
        <f t="shared" si="380"/>
        <v>0</v>
      </c>
      <c r="BW21" s="3"/>
      <c r="BX21" s="3">
        <f t="shared" si="302"/>
        <v>0</v>
      </c>
      <c r="BY21" s="3">
        <f t="shared" si="381"/>
        <v>0</v>
      </c>
      <c r="BZ21" s="3">
        <f>IF(BO21=$E21,1,0)</f>
        <v>0</v>
      </c>
      <c r="CA21" s="3">
        <f t="shared" si="383"/>
        <v>2</v>
      </c>
      <c r="CB21" s="3">
        <f t="shared" si="384"/>
        <v>0</v>
      </c>
      <c r="CC21" s="3">
        <f t="shared" si="385"/>
        <v>7</v>
      </c>
      <c r="CD21" s="3">
        <f t="shared" si="386"/>
        <v>1</v>
      </c>
      <c r="CE21" s="3">
        <f t="shared" si="387"/>
        <v>9</v>
      </c>
      <c r="CF21" s="3">
        <f t="shared" si="388"/>
        <v>0</v>
      </c>
      <c r="CG21" s="3">
        <f t="shared" si="381"/>
        <v>0</v>
      </c>
      <c r="CH21" s="3">
        <f t="shared" si="303"/>
        <v>0</v>
      </c>
      <c r="CI21" s="3">
        <f t="shared" si="389"/>
        <v>0</v>
      </c>
      <c r="CJ21" s="3">
        <f t="shared" si="390"/>
        <v>0</v>
      </c>
      <c r="CK21" s="3">
        <f t="shared" si="391"/>
        <v>10</v>
      </c>
      <c r="CL21" s="3">
        <f t="shared" si="304"/>
        <v>1</v>
      </c>
      <c r="CM21" s="3">
        <f t="shared" si="392"/>
        <v>8</v>
      </c>
      <c r="CN21" s="2"/>
      <c r="CO21" s="2">
        <f t="shared" ref="CO21" si="560">IF($E21=4,BO21-4,NA())</f>
        <v>5</v>
      </c>
      <c r="CP21" s="3"/>
      <c r="CQ21" s="17">
        <f>BO21-'Zusammenfassung Tag1-4'!$D$2/18</f>
        <v>7.9444444444444446</v>
      </c>
      <c r="CR21" s="50">
        <f t="shared" si="393"/>
        <v>88.999999999999986</v>
      </c>
      <c r="CS21" s="54">
        <v>5</v>
      </c>
      <c r="CT21" s="3">
        <f t="shared" si="394"/>
        <v>101</v>
      </c>
      <c r="CU21" s="57">
        <v>1</v>
      </c>
      <c r="CV21" s="3">
        <f t="shared" si="395"/>
        <v>43</v>
      </c>
      <c r="CW21" s="3">
        <f t="shared" si="306"/>
        <v>0</v>
      </c>
      <c r="CX21" s="3">
        <f t="shared" si="396"/>
        <v>6</v>
      </c>
      <c r="CY21" s="3">
        <f t="shared" si="307"/>
        <v>0</v>
      </c>
      <c r="CZ21" s="3">
        <f t="shared" si="397"/>
        <v>0</v>
      </c>
      <c r="DA21" s="3"/>
      <c r="DB21" s="3">
        <f t="shared" si="308"/>
        <v>0</v>
      </c>
      <c r="DC21" s="3">
        <f t="shared" si="398"/>
        <v>0</v>
      </c>
      <c r="DD21" s="3">
        <f>IF(CS21=$E21,1,0)</f>
        <v>0</v>
      </c>
      <c r="DE21" s="3">
        <f t="shared" si="400"/>
        <v>2</v>
      </c>
      <c r="DF21" s="3">
        <f t="shared" si="401"/>
        <v>1</v>
      </c>
      <c r="DG21" s="3">
        <f t="shared" si="402"/>
        <v>9</v>
      </c>
      <c r="DH21" s="3">
        <f t="shared" si="403"/>
        <v>0</v>
      </c>
      <c r="DI21" s="3">
        <f t="shared" si="404"/>
        <v>7</v>
      </c>
      <c r="DJ21" s="3">
        <f t="shared" si="405"/>
        <v>0</v>
      </c>
      <c r="DK21" s="3">
        <f t="shared" si="406"/>
        <v>0</v>
      </c>
      <c r="DL21" s="3">
        <f t="shared" si="309"/>
        <v>1</v>
      </c>
      <c r="DM21" s="3">
        <f t="shared" si="407"/>
        <v>2</v>
      </c>
      <c r="DN21" s="3">
        <f t="shared" si="408"/>
        <v>0</v>
      </c>
      <c r="DO21" s="3">
        <f t="shared" si="409"/>
        <v>8</v>
      </c>
      <c r="DP21" s="3">
        <f t="shared" si="310"/>
        <v>0</v>
      </c>
      <c r="DQ21" s="3">
        <f t="shared" si="410"/>
        <v>8</v>
      </c>
      <c r="DR21" s="63"/>
      <c r="DS21" s="63">
        <f t="shared" ref="DS21" si="561">IF($E21=4,CS21-4,NA())</f>
        <v>1</v>
      </c>
      <c r="DT21" s="3"/>
      <c r="DU21" s="17">
        <f>CS21-'Zusammenfassung Tag1-4'!$E$2/18</f>
        <v>4</v>
      </c>
      <c r="DV21" s="51">
        <f t="shared" si="411"/>
        <v>83</v>
      </c>
      <c r="DW21" s="54">
        <v>5</v>
      </c>
      <c r="DX21" s="3">
        <v>169</v>
      </c>
      <c r="DY21" s="57">
        <v>2</v>
      </c>
      <c r="DZ21" s="3">
        <f t="shared" si="412"/>
        <v>45</v>
      </c>
      <c r="EA21" s="3">
        <f t="shared" si="312"/>
        <v>0</v>
      </c>
      <c r="EB21" s="3">
        <f t="shared" si="413"/>
        <v>0</v>
      </c>
      <c r="EC21" s="3">
        <f t="shared" si="313"/>
        <v>0</v>
      </c>
      <c r="ED21" s="3">
        <f t="shared" si="414"/>
        <v>0</v>
      </c>
      <c r="EE21" s="3"/>
      <c r="EF21" s="3">
        <f t="shared" si="314"/>
        <v>0</v>
      </c>
      <c r="EG21" s="3">
        <f t="shared" si="415"/>
        <v>0</v>
      </c>
      <c r="EH21" s="3">
        <f>IF(DW21=$E21,1,0)</f>
        <v>0</v>
      </c>
      <c r="EI21" s="3">
        <f t="shared" si="417"/>
        <v>0</v>
      </c>
      <c r="EJ21" s="3">
        <f t="shared" si="418"/>
        <v>1</v>
      </c>
      <c r="EK21" s="3">
        <f t="shared" si="419"/>
        <v>2</v>
      </c>
      <c r="EL21" s="3">
        <f t="shared" si="420"/>
        <v>0</v>
      </c>
      <c r="EM21" s="3">
        <f t="shared" si="421"/>
        <v>16</v>
      </c>
      <c r="EN21" s="3">
        <f t="shared" si="422"/>
        <v>0</v>
      </c>
      <c r="EO21" s="3">
        <f t="shared" si="423"/>
        <v>0</v>
      </c>
      <c r="EP21" s="3">
        <f t="shared" si="315"/>
        <v>0</v>
      </c>
      <c r="EQ21" s="3">
        <f t="shared" si="424"/>
        <v>0</v>
      </c>
      <c r="ER21" s="3">
        <f t="shared" si="425"/>
        <v>1</v>
      </c>
      <c r="ES21" s="3">
        <f t="shared" si="426"/>
        <v>10</v>
      </c>
      <c r="ET21" s="3">
        <f t="shared" si="316"/>
        <v>0</v>
      </c>
      <c r="EU21" s="3">
        <f t="shared" si="427"/>
        <v>8</v>
      </c>
      <c r="EV21" s="63"/>
      <c r="EW21" s="63">
        <f t="shared" ref="EW21" si="562">IF($E21=4,DW21-4,NA())</f>
        <v>1</v>
      </c>
      <c r="EX21" s="3"/>
      <c r="EY21" s="17">
        <f>DW21-'Zusammenfassung Tag1-4'!$F$2/18</f>
        <v>2.5</v>
      </c>
      <c r="EZ21" s="51">
        <f t="shared" si="428"/>
        <v>91</v>
      </c>
      <c r="FA21" s="54">
        <v>4</v>
      </c>
      <c r="FB21" s="3">
        <v>102</v>
      </c>
      <c r="FC21" s="57">
        <v>1</v>
      </c>
      <c r="FD21" s="3">
        <f t="shared" si="429"/>
        <v>38</v>
      </c>
      <c r="FE21" s="3">
        <f t="shared" si="318"/>
        <v>0</v>
      </c>
      <c r="FF21" s="3">
        <f t="shared" si="430"/>
        <v>3</v>
      </c>
      <c r="FG21" s="3">
        <f t="shared" si="319"/>
        <v>1</v>
      </c>
      <c r="FH21" s="3">
        <f t="shared" si="431"/>
        <v>1</v>
      </c>
      <c r="FI21" s="3"/>
      <c r="FJ21" s="3">
        <f t="shared" si="320"/>
        <v>0</v>
      </c>
      <c r="FK21" s="3">
        <f t="shared" si="432"/>
        <v>0</v>
      </c>
      <c r="FL21" s="3">
        <f>IF(FA21=$E21,1,0)</f>
        <v>1</v>
      </c>
      <c r="FM21" s="3">
        <f t="shared" si="434"/>
        <v>2</v>
      </c>
      <c r="FN21" s="3">
        <f t="shared" si="435"/>
        <v>0</v>
      </c>
      <c r="FO21" s="3">
        <f t="shared" si="436"/>
        <v>7</v>
      </c>
      <c r="FP21" s="3">
        <f t="shared" si="437"/>
        <v>0</v>
      </c>
      <c r="FQ21" s="3">
        <f t="shared" si="438"/>
        <v>9</v>
      </c>
      <c r="FR21" s="3">
        <f t="shared" si="439"/>
        <v>0</v>
      </c>
      <c r="FS21" s="3">
        <f t="shared" si="440"/>
        <v>0</v>
      </c>
      <c r="FT21" s="3">
        <f t="shared" si="321"/>
        <v>1</v>
      </c>
      <c r="FU21" s="3">
        <f t="shared" si="441"/>
        <v>3</v>
      </c>
      <c r="FV21" s="3">
        <f t="shared" si="442"/>
        <v>0</v>
      </c>
      <c r="FW21" s="3">
        <f t="shared" si="443"/>
        <v>10</v>
      </c>
      <c r="FX21" s="3">
        <f t="shared" si="322"/>
        <v>0</v>
      </c>
      <c r="FY21" s="3">
        <f t="shared" si="444"/>
        <v>5</v>
      </c>
      <c r="FZ21" s="63"/>
      <c r="GA21" s="63">
        <f t="shared" ref="GA21" si="563">IF($E21=4,FA21-4,NA())</f>
        <v>0</v>
      </c>
      <c r="GB21" s="3"/>
      <c r="GC21" s="17">
        <f>FA21-'Zusammenfassung Tag1-4'!$G$2/18</f>
        <v>2.7222222222222223</v>
      </c>
      <c r="GD21" s="51">
        <f t="shared" si="445"/>
        <v>78.000000000000014</v>
      </c>
      <c r="GE21" s="54">
        <v>9</v>
      </c>
      <c r="GF21" s="3">
        <v>131</v>
      </c>
      <c r="GG21" s="57">
        <v>1</v>
      </c>
      <c r="GH21" s="3">
        <f t="shared" si="446"/>
        <v>36</v>
      </c>
      <c r="GI21" s="3">
        <f t="shared" si="324"/>
        <v>0</v>
      </c>
      <c r="GJ21" s="3">
        <f t="shared" si="447"/>
        <v>1</v>
      </c>
      <c r="GK21" s="3">
        <f t="shared" si="325"/>
        <v>0</v>
      </c>
      <c r="GL21" s="3">
        <f t="shared" si="448"/>
        <v>1</v>
      </c>
      <c r="GM21" s="3"/>
      <c r="GN21" s="3">
        <f t="shared" si="326"/>
        <v>0</v>
      </c>
      <c r="GO21" s="3">
        <f t="shared" si="449"/>
        <v>0</v>
      </c>
      <c r="GP21" s="3">
        <f>IF(GE21=$E21,1,0)</f>
        <v>0</v>
      </c>
      <c r="GQ21" s="3">
        <f t="shared" si="451"/>
        <v>2</v>
      </c>
      <c r="GR21" s="3">
        <f t="shared" si="452"/>
        <v>0</v>
      </c>
      <c r="GS21" s="3">
        <f t="shared" si="453"/>
        <v>4</v>
      </c>
      <c r="GT21" s="3">
        <f t="shared" si="454"/>
        <v>1</v>
      </c>
      <c r="GU21" s="3">
        <f t="shared" si="455"/>
        <v>12</v>
      </c>
      <c r="GV21" s="3">
        <f t="shared" si="456"/>
        <v>0</v>
      </c>
      <c r="GW21" s="3">
        <f t="shared" si="457"/>
        <v>0</v>
      </c>
      <c r="GX21" s="3">
        <f t="shared" si="327"/>
        <v>1</v>
      </c>
      <c r="GY21" s="3">
        <f t="shared" si="458"/>
        <v>3</v>
      </c>
      <c r="GZ21" s="3">
        <f t="shared" si="459"/>
        <v>0</v>
      </c>
      <c r="HA21" s="3">
        <f t="shared" si="460"/>
        <v>12</v>
      </c>
      <c r="HB21" s="3">
        <f t="shared" si="328"/>
        <v>0</v>
      </c>
      <c r="HC21" s="3">
        <f t="shared" si="461"/>
        <v>3</v>
      </c>
      <c r="HD21" s="63"/>
      <c r="HE21" s="63">
        <f t="shared" ref="HE21" si="564">IF($E21=4,GE21-4,NA())</f>
        <v>5</v>
      </c>
      <c r="HF21" s="3"/>
      <c r="HG21" s="17">
        <f>GE21-'Zusammenfassung Tag1-4'!$H$2/18</f>
        <v>7.2222222222222223</v>
      </c>
      <c r="HH21" s="51">
        <f t="shared" si="462"/>
        <v>91.000000000000028</v>
      </c>
      <c r="HI21" s="54">
        <v>7</v>
      </c>
      <c r="HJ21" s="3">
        <v>95</v>
      </c>
      <c r="HK21" s="57">
        <v>2</v>
      </c>
      <c r="HL21" s="3">
        <f t="shared" si="463"/>
        <v>35</v>
      </c>
      <c r="HM21" s="3">
        <f t="shared" si="330"/>
        <v>0</v>
      </c>
      <c r="HN21" s="3">
        <f t="shared" si="464"/>
        <v>1</v>
      </c>
      <c r="HO21" s="3">
        <f t="shared" si="331"/>
        <v>0</v>
      </c>
      <c r="HP21" s="3">
        <f t="shared" si="465"/>
        <v>1</v>
      </c>
      <c r="HQ21" s="3"/>
      <c r="HR21" s="3">
        <f t="shared" si="332"/>
        <v>0</v>
      </c>
      <c r="HS21" s="3">
        <f t="shared" si="466"/>
        <v>0</v>
      </c>
      <c r="HT21" s="3">
        <f>IF(HI21=$E21,1,0)</f>
        <v>0</v>
      </c>
      <c r="HU21" s="3">
        <f t="shared" si="468"/>
        <v>2</v>
      </c>
      <c r="HV21" s="3">
        <f t="shared" si="469"/>
        <v>0</v>
      </c>
      <c r="HW21" s="3">
        <f t="shared" si="470"/>
        <v>4</v>
      </c>
      <c r="HX21" s="3">
        <f t="shared" si="471"/>
        <v>1</v>
      </c>
      <c r="HY21" s="3">
        <f t="shared" si="472"/>
        <v>12</v>
      </c>
      <c r="HZ21" s="3">
        <f t="shared" si="473"/>
        <v>0</v>
      </c>
      <c r="IA21" s="3">
        <f t="shared" si="474"/>
        <v>0</v>
      </c>
      <c r="IB21" s="3">
        <f t="shared" si="333"/>
        <v>0</v>
      </c>
      <c r="IC21" s="3">
        <f t="shared" si="475"/>
        <v>3</v>
      </c>
      <c r="ID21" s="3">
        <f t="shared" si="476"/>
        <v>1</v>
      </c>
      <c r="IE21" s="3">
        <f t="shared" si="477"/>
        <v>13</v>
      </c>
      <c r="IF21" s="3">
        <f t="shared" si="334"/>
        <v>0</v>
      </c>
      <c r="IG21" s="3">
        <f t="shared" si="478"/>
        <v>2</v>
      </c>
      <c r="IH21" s="63"/>
      <c r="II21" s="63">
        <f t="shared" ref="II21" si="565">IF($E21=4,HI21-4,NA())</f>
        <v>3</v>
      </c>
      <c r="IJ21" s="3"/>
      <c r="IK21" s="17">
        <f>HI21-'Zusammenfassung Tag1-4'!$I$2/18</f>
        <v>6.1111111111111107</v>
      </c>
      <c r="IL21" s="51">
        <f t="shared" si="479"/>
        <v>88.000000000000028</v>
      </c>
      <c r="IM21" s="54">
        <v>6</v>
      </c>
      <c r="IN21" s="3">
        <v>268</v>
      </c>
      <c r="IO21" s="57">
        <v>2</v>
      </c>
      <c r="IP21" s="3">
        <f t="shared" si="480"/>
        <v>48</v>
      </c>
      <c r="IQ21" s="3">
        <f t="shared" si="336"/>
        <v>0</v>
      </c>
      <c r="IR21" s="3">
        <f t="shared" si="481"/>
        <v>5</v>
      </c>
      <c r="IS21" s="3">
        <f t="shared" si="337"/>
        <v>0</v>
      </c>
      <c r="IT21" s="3">
        <f t="shared" si="482"/>
        <v>0</v>
      </c>
      <c r="IU21" s="3"/>
      <c r="IV21" s="3">
        <f t="shared" si="338"/>
        <v>0</v>
      </c>
      <c r="IW21" s="3">
        <f t="shared" si="483"/>
        <v>0</v>
      </c>
      <c r="IX21" s="3">
        <f>IF(IM21=$E21,1,0)</f>
        <v>0</v>
      </c>
      <c r="IY21" s="3">
        <f t="shared" si="485"/>
        <v>1</v>
      </c>
      <c r="IZ21" s="3">
        <f t="shared" si="486"/>
        <v>0</v>
      </c>
      <c r="JA21" s="3">
        <f t="shared" si="487"/>
        <v>4</v>
      </c>
      <c r="JB21" s="3">
        <f t="shared" si="488"/>
        <v>1</v>
      </c>
      <c r="JC21" s="3">
        <f t="shared" si="489"/>
        <v>13</v>
      </c>
      <c r="JD21" s="3">
        <f t="shared" si="490"/>
        <v>0</v>
      </c>
      <c r="JE21" s="3">
        <f t="shared" si="491"/>
        <v>0</v>
      </c>
      <c r="JF21" s="3">
        <f t="shared" si="339"/>
        <v>0</v>
      </c>
      <c r="JG21" s="3">
        <f t="shared" si="492"/>
        <v>0</v>
      </c>
      <c r="JH21" s="3">
        <f t="shared" si="493"/>
        <v>1</v>
      </c>
      <c r="JI21" s="3">
        <f t="shared" si="494"/>
        <v>9</v>
      </c>
      <c r="JJ21" s="3">
        <f t="shared" si="340"/>
        <v>0</v>
      </c>
      <c r="JK21" s="3">
        <f t="shared" si="495"/>
        <v>9</v>
      </c>
      <c r="JL21" s="63"/>
      <c r="JM21" s="63">
        <f t="shared" ref="JM21" si="566">IF($E21=4,IM21-4,NA())</f>
        <v>2</v>
      </c>
      <c r="JN21" s="3"/>
      <c r="JO21" s="17">
        <f>IM21-'Zusammenfassung Tag1-4'!$J$2/18</f>
        <v>3.6666666666666665</v>
      </c>
      <c r="JP21" s="51">
        <f t="shared" si="496"/>
        <v>79</v>
      </c>
      <c r="JQ21" s="54"/>
      <c r="JR21" s="3"/>
      <c r="JS21" s="57"/>
      <c r="JT21" s="3">
        <f t="shared" si="497"/>
        <v>0</v>
      </c>
      <c r="JU21" s="3">
        <f t="shared" si="342"/>
        <v>1</v>
      </c>
      <c r="JV21" s="3">
        <f t="shared" si="498"/>
        <v>18</v>
      </c>
      <c r="JW21" s="3">
        <f t="shared" si="343"/>
        <v>0</v>
      </c>
      <c r="JX21" s="3">
        <f t="shared" si="499"/>
        <v>0</v>
      </c>
      <c r="JY21" s="3"/>
      <c r="JZ21" s="3">
        <f t="shared" si="344"/>
        <v>0</v>
      </c>
      <c r="KA21" s="3">
        <f t="shared" si="500"/>
        <v>0</v>
      </c>
      <c r="KB21" s="3">
        <f>IF(JQ21=$E21,1,0)</f>
        <v>0</v>
      </c>
      <c r="KC21" s="3">
        <f t="shared" si="502"/>
        <v>0</v>
      </c>
      <c r="KD21" s="3">
        <f t="shared" si="503"/>
        <v>0</v>
      </c>
      <c r="KE21" s="3">
        <f t="shared" si="504"/>
        <v>0</v>
      </c>
      <c r="KF21" s="3">
        <f t="shared" si="505"/>
        <v>0</v>
      </c>
      <c r="KG21" s="3">
        <f t="shared" si="506"/>
        <v>0</v>
      </c>
      <c r="KH21" s="3">
        <f t="shared" si="507"/>
        <v>1</v>
      </c>
      <c r="KI21" s="3">
        <f t="shared" si="508"/>
        <v>18</v>
      </c>
      <c r="KJ21" s="3">
        <f t="shared" si="345"/>
        <v>0</v>
      </c>
      <c r="KK21" s="3">
        <f t="shared" si="509"/>
        <v>0</v>
      </c>
      <c r="KL21" s="3">
        <f t="shared" si="510"/>
        <v>0</v>
      </c>
      <c r="KM21" s="3">
        <f t="shared" si="511"/>
        <v>0</v>
      </c>
      <c r="KN21" s="3">
        <f t="shared" si="346"/>
        <v>0</v>
      </c>
      <c r="KO21" s="3">
        <f t="shared" si="512"/>
        <v>0</v>
      </c>
      <c r="KP21" s="63"/>
      <c r="KQ21" s="63">
        <f t="shared" ref="KQ21" si="567">IF($E21=4,JQ21-4,NA())</f>
        <v>-4</v>
      </c>
      <c r="KR21" s="3"/>
      <c r="KS21" s="17" t="e">
        <f>JQ21-'Zusammenfassung Tag1-4'!#REF!/18</f>
        <v>#REF!</v>
      </c>
      <c r="KT21" s="51" t="e">
        <f t="shared" si="513"/>
        <v>#REF!</v>
      </c>
    </row>
    <row r="22" spans="1:306" ht="13.2" x14ac:dyDescent="0.25">
      <c r="A22" s="179"/>
      <c r="B22" s="177"/>
      <c r="C22" s="3" t="s">
        <v>25</v>
      </c>
      <c r="D22" s="3"/>
      <c r="E22" s="83">
        <f>SUM(E13:E21)</f>
        <v>36</v>
      </c>
      <c r="F22" s="91"/>
      <c r="G22" s="3">
        <f>SUM(G13:G21)</f>
        <v>41</v>
      </c>
      <c r="H22" s="3"/>
      <c r="I22" s="3">
        <f>SUM(I13:I21)</f>
        <v>18</v>
      </c>
      <c r="J22" s="3"/>
      <c r="K22" s="3">
        <f>SUM(K13:K21)</f>
        <v>4</v>
      </c>
      <c r="L22" s="3"/>
      <c r="M22" s="3">
        <f>SUM(M13:M21)</f>
        <v>1</v>
      </c>
      <c r="N22" s="3"/>
      <c r="O22" s="3"/>
      <c r="P22" s="3">
        <f>SUM(P13:P21)</f>
        <v>1</v>
      </c>
      <c r="Q22" s="3"/>
      <c r="R22" s="3">
        <f>SUM(R13:R21)</f>
        <v>3</v>
      </c>
      <c r="S22" s="3"/>
      <c r="T22" s="3">
        <f>SUM(T13:T21)</f>
        <v>4</v>
      </c>
      <c r="U22" s="3"/>
      <c r="V22" s="3">
        <f>SUM(V13:V21)</f>
        <v>1</v>
      </c>
      <c r="W22" s="3"/>
      <c r="X22" s="3">
        <f>SUM(X13:X21)</f>
        <v>0</v>
      </c>
      <c r="Y22" s="3"/>
      <c r="Z22" s="3">
        <f>SUM(Z13:Z21)</f>
        <v>2</v>
      </c>
      <c r="AA22" s="3"/>
      <c r="AB22" s="3">
        <f>SUM(AB13:AB21)</f>
        <v>6</v>
      </c>
      <c r="AC22" s="3"/>
      <c r="AD22" s="3">
        <f>SUM(AD13:AD21)</f>
        <v>1</v>
      </c>
      <c r="AE22" s="3"/>
      <c r="AF22" s="84">
        <f t="shared" ref="AF22" si="568">AVERAGE(AF13:AF21)</f>
        <v>1</v>
      </c>
      <c r="AG22" s="84">
        <f t="shared" ref="AG22:AH22" si="569">AVERAGE(AG13:AG21)</f>
        <v>0.4</v>
      </c>
      <c r="AH22" s="84">
        <f t="shared" si="569"/>
        <v>0.5</v>
      </c>
      <c r="AI22" s="17">
        <f>SUM(AI13:AI21)</f>
        <v>33.500000000000007</v>
      </c>
      <c r="AJ22" s="1"/>
      <c r="AK22" s="16">
        <f>SUM(AK13:AK21)</f>
        <v>47</v>
      </c>
      <c r="AL22" s="3"/>
      <c r="AM22" s="3">
        <f>SUM(AM13:AM21)</f>
        <v>16</v>
      </c>
      <c r="AN22" s="3"/>
      <c r="AO22" s="3">
        <f>SUM(AO13:AO21)</f>
        <v>2</v>
      </c>
      <c r="AP22" s="3"/>
      <c r="AQ22" s="3">
        <f>SUM(AQ13:AQ21)</f>
        <v>0</v>
      </c>
      <c r="AR22" s="3"/>
      <c r="AS22" s="3"/>
      <c r="AT22" s="3">
        <f>SUM(AT13:AT21)</f>
        <v>0</v>
      </c>
      <c r="AU22" s="3"/>
      <c r="AV22" s="3">
        <f>SUM(AV13:AV21)</f>
        <v>2</v>
      </c>
      <c r="AW22" s="3"/>
      <c r="AX22" s="3">
        <f>SUM(AX13:AX21)</f>
        <v>4</v>
      </c>
      <c r="AY22" s="3"/>
      <c r="AZ22" s="3">
        <f>SUM(AZ13:AZ21)</f>
        <v>3</v>
      </c>
      <c r="BA22" s="3"/>
      <c r="BB22" s="3">
        <f>SUM(BB13:BB21)</f>
        <v>0</v>
      </c>
      <c r="BC22" s="3"/>
      <c r="BD22" s="3">
        <f>SUM(BD13:BD21)</f>
        <v>2</v>
      </c>
      <c r="BE22" s="3"/>
      <c r="BF22" s="3">
        <f>SUM(BF13:BF21)</f>
        <v>7</v>
      </c>
      <c r="BG22" s="3"/>
      <c r="BH22" s="3">
        <f>SUM(BH13:BH21)</f>
        <v>0</v>
      </c>
      <c r="BI22" s="3"/>
      <c r="BJ22" s="84">
        <f t="shared" ref="BJ22:BL22" si="570">AVERAGE(BJ13:BJ21)</f>
        <v>2</v>
      </c>
      <c r="BK22" s="84">
        <f t="shared" si="570"/>
        <v>0.8</v>
      </c>
      <c r="BL22" s="84">
        <f t="shared" si="570"/>
        <v>1.5</v>
      </c>
      <c r="BM22" s="17">
        <f>SUM(BM13:BM21)</f>
        <v>41.999999999999993</v>
      </c>
      <c r="BN22" s="1"/>
      <c r="BO22" s="16">
        <f>SUM(BO13:BO21)</f>
        <v>53</v>
      </c>
      <c r="BP22" s="3"/>
      <c r="BQ22" s="3">
        <f>SUM(BQ13:BQ21)</f>
        <v>22</v>
      </c>
      <c r="BR22" s="3"/>
      <c r="BS22" s="3">
        <f>SUM(BS13:BS21)</f>
        <v>2</v>
      </c>
      <c r="BT22" s="3"/>
      <c r="BU22" s="3">
        <f>SUM(BU13:BU21)</f>
        <v>0</v>
      </c>
      <c r="BV22" s="3"/>
      <c r="BW22" s="3"/>
      <c r="BX22" s="3">
        <f>SUM(BX13:BX21)</f>
        <v>0</v>
      </c>
      <c r="BY22" s="3"/>
      <c r="BZ22" s="3">
        <f>SUM(BZ13:BZ21)</f>
        <v>1</v>
      </c>
      <c r="CA22" s="3"/>
      <c r="CB22" s="3">
        <f>SUM(CB13:CB21)</f>
        <v>3</v>
      </c>
      <c r="CC22" s="3"/>
      <c r="CD22" s="3">
        <f>SUM(CD13:CD21)</f>
        <v>5</v>
      </c>
      <c r="CE22" s="3"/>
      <c r="CF22" s="3">
        <f>SUM(CF13:CF21)</f>
        <v>0</v>
      </c>
      <c r="CG22" s="3"/>
      <c r="CH22" s="3">
        <f>SUM(CH13:CH21)</f>
        <v>0</v>
      </c>
      <c r="CI22" s="3"/>
      <c r="CJ22" s="3">
        <f>SUM(CJ13:CJ21)</f>
        <v>5</v>
      </c>
      <c r="CK22" s="3"/>
      <c r="CL22" s="3">
        <f>SUM(CL13:CL21)</f>
        <v>4</v>
      </c>
      <c r="CM22" s="3"/>
      <c r="CN22" s="84">
        <f t="shared" ref="CN22:CP22" si="571">AVERAGE(CN13:CN21)</f>
        <v>2.5</v>
      </c>
      <c r="CO22" s="84">
        <f t="shared" si="571"/>
        <v>1.8</v>
      </c>
      <c r="CP22" s="84">
        <f t="shared" si="571"/>
        <v>1.5</v>
      </c>
      <c r="CQ22" s="17">
        <f>SUM(CQ13:CQ21)</f>
        <v>43.499999999999993</v>
      </c>
      <c r="CR22" s="1"/>
      <c r="CS22" s="16">
        <f>SUM(CS13:CS21)</f>
        <v>50</v>
      </c>
      <c r="CT22" s="3"/>
      <c r="CU22" s="3">
        <f>SUM(CU13:CU21)</f>
        <v>20</v>
      </c>
      <c r="CV22" s="3"/>
      <c r="CW22" s="3">
        <f>SUM(CW13:CW21)</f>
        <v>2</v>
      </c>
      <c r="CX22" s="3"/>
      <c r="CY22" s="3">
        <f>SUM(CY13:CY21)</f>
        <v>0</v>
      </c>
      <c r="CZ22" s="3"/>
      <c r="DA22" s="3"/>
      <c r="DB22" s="3">
        <f>SUM(DB13:DB21)</f>
        <v>0</v>
      </c>
      <c r="DC22" s="3"/>
      <c r="DD22" s="3">
        <f>SUM(DD13:DD21)</f>
        <v>1</v>
      </c>
      <c r="DE22" s="3"/>
      <c r="DF22" s="3">
        <f>SUM(DF13:DF21)</f>
        <v>5</v>
      </c>
      <c r="DG22" s="3"/>
      <c r="DH22" s="3">
        <f>SUM(DH13:DH21)</f>
        <v>3</v>
      </c>
      <c r="DI22" s="3"/>
      <c r="DJ22" s="3">
        <f>SUM(DJ13:DJ21)</f>
        <v>0</v>
      </c>
      <c r="DK22" s="3"/>
      <c r="DL22" s="3">
        <f>SUM(DL13:DL21)</f>
        <v>2</v>
      </c>
      <c r="DM22" s="3"/>
      <c r="DN22" s="3">
        <f>SUM(DN13:DN21)</f>
        <v>4</v>
      </c>
      <c r="DO22" s="3"/>
      <c r="DP22" s="3">
        <f>SUM(DP13:DP21)</f>
        <v>3</v>
      </c>
      <c r="DQ22" s="3"/>
      <c r="DR22" s="84">
        <f t="shared" ref="DR22:DT22" si="572">AVERAGE(DR13:DR21)</f>
        <v>1.5</v>
      </c>
      <c r="DS22" s="84">
        <f t="shared" si="572"/>
        <v>0.8</v>
      </c>
      <c r="DT22" s="84">
        <f t="shared" si="572"/>
        <v>3.5</v>
      </c>
      <c r="DU22" s="17">
        <f>SUM(DU13:DU21)</f>
        <v>41</v>
      </c>
      <c r="DV22" s="18"/>
      <c r="DW22" s="16">
        <f>SUM(DW13:DW21)</f>
        <v>66</v>
      </c>
      <c r="DX22" s="3"/>
      <c r="DY22" s="3">
        <f>SUM(DY13:DY21)</f>
        <v>23</v>
      </c>
      <c r="DZ22" s="3"/>
      <c r="EA22" s="3">
        <f>SUM(EA13:EA21)</f>
        <v>0</v>
      </c>
      <c r="EB22" s="3"/>
      <c r="EC22" s="3">
        <f>SUM(EC13:EC21)</f>
        <v>0</v>
      </c>
      <c r="ED22" s="3"/>
      <c r="EE22" s="3"/>
      <c r="EF22" s="3">
        <f>SUM(EF13:EF21)</f>
        <v>0</v>
      </c>
      <c r="EG22" s="3"/>
      <c r="EH22" s="3">
        <f>SUM(EH13:EH21)</f>
        <v>0</v>
      </c>
      <c r="EI22" s="3"/>
      <c r="EJ22" s="3">
        <f>SUM(EJ13:EJ21)</f>
        <v>2</v>
      </c>
      <c r="EK22" s="3"/>
      <c r="EL22" s="3">
        <f>SUM(EL13:EL21)</f>
        <v>7</v>
      </c>
      <c r="EM22" s="3"/>
      <c r="EN22" s="3">
        <f>SUM(EN13:EN21)</f>
        <v>0</v>
      </c>
      <c r="EO22" s="3"/>
      <c r="EP22" s="3">
        <f>SUM(EP13:EP21)</f>
        <v>0</v>
      </c>
      <c r="EQ22" s="3"/>
      <c r="ER22" s="3">
        <f>SUM(ER13:ER21)</f>
        <v>5</v>
      </c>
      <c r="ES22" s="3"/>
      <c r="ET22" s="3">
        <f>SUM(ET13:ET21)</f>
        <v>4</v>
      </c>
      <c r="EU22" s="3"/>
      <c r="EV22" s="84">
        <f t="shared" ref="EV22:EX22" si="573">AVERAGE(EV13:EV21)</f>
        <v>2.5</v>
      </c>
      <c r="EW22" s="84">
        <f t="shared" si="573"/>
        <v>3.2</v>
      </c>
      <c r="EX22" s="84">
        <f t="shared" si="573"/>
        <v>4.5</v>
      </c>
      <c r="EY22" s="17">
        <f>SUM(EY13:EY21)</f>
        <v>43.5</v>
      </c>
      <c r="EZ22" s="18"/>
      <c r="FA22" s="16">
        <f>SUM(FA13:FA21)</f>
        <v>46</v>
      </c>
      <c r="FB22" s="3"/>
      <c r="FC22" s="3">
        <f>SUM(FC13:FC21)</f>
        <v>19</v>
      </c>
      <c r="FD22" s="3"/>
      <c r="FE22" s="3">
        <f>SUM(FE13:FE21)</f>
        <v>3</v>
      </c>
      <c r="FF22" s="3"/>
      <c r="FG22" s="3">
        <f>SUM(FG13:FG21)</f>
        <v>1</v>
      </c>
      <c r="FH22" s="3"/>
      <c r="FI22" s="3"/>
      <c r="FJ22" s="3">
        <f>SUM(FJ13:FJ21)</f>
        <v>0</v>
      </c>
      <c r="FK22" s="3"/>
      <c r="FL22" s="3">
        <f>SUM(FL13:FL21)</f>
        <v>2</v>
      </c>
      <c r="FM22" s="3"/>
      <c r="FN22" s="3">
        <f>SUM(FN13:FN21)</f>
        <v>5</v>
      </c>
      <c r="FO22" s="3"/>
      <c r="FP22" s="3">
        <f>SUM(FP13:FP21)</f>
        <v>2</v>
      </c>
      <c r="FQ22" s="3"/>
      <c r="FR22" s="3">
        <f>SUM(FR13:FR21)</f>
        <v>0</v>
      </c>
      <c r="FS22" s="3"/>
      <c r="FT22" s="3">
        <f>SUM(FT13:FT21)</f>
        <v>2</v>
      </c>
      <c r="FU22" s="3"/>
      <c r="FV22" s="3">
        <f>SUM(FV13:FV21)</f>
        <v>4</v>
      </c>
      <c r="FW22" s="3"/>
      <c r="FX22" s="3">
        <f>SUM(FX13:FX21)</f>
        <v>3</v>
      </c>
      <c r="FY22" s="3"/>
      <c r="FZ22" s="84">
        <f t="shared" ref="FZ22:GB22" si="574">AVERAGE(FZ13:FZ21)</f>
        <v>1.5</v>
      </c>
      <c r="GA22" s="84">
        <f t="shared" si="574"/>
        <v>1</v>
      </c>
      <c r="GB22" s="84">
        <f t="shared" si="574"/>
        <v>1</v>
      </c>
      <c r="GC22" s="17">
        <f>SUM(GC13:GC21)</f>
        <v>34.5</v>
      </c>
      <c r="GD22" s="18"/>
      <c r="GE22" s="16">
        <f>SUM(GE13:GE21)</f>
        <v>59</v>
      </c>
      <c r="GF22" s="3"/>
      <c r="GG22" s="3">
        <f>SUM(GG13:GG21)</f>
        <v>18</v>
      </c>
      <c r="GH22" s="3"/>
      <c r="GI22" s="3">
        <f>SUM(GI13:GI21)</f>
        <v>0</v>
      </c>
      <c r="GJ22" s="3"/>
      <c r="GK22" s="3">
        <f>SUM(GK13:GK21)</f>
        <v>1</v>
      </c>
      <c r="GL22" s="3"/>
      <c r="GM22" s="3"/>
      <c r="GN22" s="3">
        <f>SUM(GN13:GN21)</f>
        <v>0</v>
      </c>
      <c r="GO22" s="3"/>
      <c r="GP22" s="3">
        <f>SUM(GP13:GP21)</f>
        <v>1</v>
      </c>
      <c r="GQ22" s="3"/>
      <c r="GR22" s="3">
        <f>SUM(GR13:GR21)</f>
        <v>3</v>
      </c>
      <c r="GS22" s="3"/>
      <c r="GT22" s="3">
        <f>SUM(GT13:GT21)</f>
        <v>5</v>
      </c>
      <c r="GU22" s="3"/>
      <c r="GV22" s="3">
        <f>SUM(GV13:GV21)</f>
        <v>0</v>
      </c>
      <c r="GW22" s="3"/>
      <c r="GX22" s="3">
        <f>SUM(GX13:GX21)</f>
        <v>2</v>
      </c>
      <c r="GY22" s="3"/>
      <c r="GZ22" s="3">
        <f>SUM(GZ13:GZ21)</f>
        <v>5</v>
      </c>
      <c r="HA22" s="3"/>
      <c r="HB22" s="3">
        <f>SUM(HB13:HB21)</f>
        <v>2</v>
      </c>
      <c r="HC22" s="3"/>
      <c r="HD22" s="84">
        <f t="shared" ref="HD22:HF22" si="575">AVERAGE(HD13:HD21)</f>
        <v>1</v>
      </c>
      <c r="HE22" s="84">
        <f t="shared" si="575"/>
        <v>2.8</v>
      </c>
      <c r="HF22" s="84">
        <f t="shared" si="575"/>
        <v>3.5</v>
      </c>
      <c r="HG22" s="17">
        <f>SUM(HG13:HG21)</f>
        <v>43</v>
      </c>
      <c r="HH22" s="18"/>
      <c r="HI22" s="16">
        <f>SUM(HI13:HI21)</f>
        <v>51</v>
      </c>
      <c r="HJ22" s="3"/>
      <c r="HK22" s="3">
        <f>SUM(HK13:HK21)</f>
        <v>18</v>
      </c>
      <c r="HL22" s="3"/>
      <c r="HM22" s="3">
        <f>SUM(HM13:HM21)</f>
        <v>1</v>
      </c>
      <c r="HN22" s="3"/>
      <c r="HO22" s="3">
        <f>SUM(HO13:HO21)</f>
        <v>0</v>
      </c>
      <c r="HP22" s="3"/>
      <c r="HQ22" s="3"/>
      <c r="HR22" s="3">
        <f>SUM(HR13:HR21)</f>
        <v>0</v>
      </c>
      <c r="HS22" s="3"/>
      <c r="HT22" s="3">
        <f>SUM(HT13:HT21)</f>
        <v>1</v>
      </c>
      <c r="HU22" s="3"/>
      <c r="HV22" s="3">
        <f>SUM(HV13:HV21)</f>
        <v>3</v>
      </c>
      <c r="HW22" s="3"/>
      <c r="HX22" s="3">
        <f>SUM(HX13:HX21)</f>
        <v>5</v>
      </c>
      <c r="HY22" s="3"/>
      <c r="HZ22" s="3">
        <f>SUM(HZ13:HZ21)</f>
        <v>0</v>
      </c>
      <c r="IA22" s="3"/>
      <c r="IB22" s="3">
        <f>SUM(IB13:IB21)</f>
        <v>1</v>
      </c>
      <c r="IC22" s="3"/>
      <c r="ID22" s="3">
        <f>SUM(ID13:ID21)</f>
        <v>7</v>
      </c>
      <c r="IE22" s="3"/>
      <c r="IF22" s="3">
        <f>SUM(IF13:IF21)</f>
        <v>1</v>
      </c>
      <c r="IG22" s="3"/>
      <c r="IH22" s="84">
        <f t="shared" ref="IH22:IJ22" si="576">AVERAGE(IH13:IH21)</f>
        <v>2.5</v>
      </c>
      <c r="II22" s="84">
        <f t="shared" si="576"/>
        <v>1.6</v>
      </c>
      <c r="IJ22" s="84">
        <f t="shared" si="576"/>
        <v>1</v>
      </c>
      <c r="IK22" s="17">
        <f>SUM(IK13:IK21)</f>
        <v>43</v>
      </c>
      <c r="IL22" s="18"/>
      <c r="IM22" s="16">
        <f>SUM(IM13:IM21)</f>
        <v>58</v>
      </c>
      <c r="IN22" s="3"/>
      <c r="IO22" s="3">
        <f>SUM(IO13:IO21)</f>
        <v>21</v>
      </c>
      <c r="IP22" s="3"/>
      <c r="IQ22" s="3">
        <f>SUM(IQ13:IQ21)</f>
        <v>2</v>
      </c>
      <c r="IR22" s="3"/>
      <c r="IS22" s="3">
        <f>SUM(IS13:IS21)</f>
        <v>0</v>
      </c>
      <c r="IT22" s="3"/>
      <c r="IU22" s="3"/>
      <c r="IV22" s="3">
        <f>SUM(IV13:IV21)</f>
        <v>0</v>
      </c>
      <c r="IW22" s="3"/>
      <c r="IX22" s="3">
        <f>SUM(IX13:IX21)</f>
        <v>0</v>
      </c>
      <c r="IY22" s="3"/>
      <c r="IZ22" s="3">
        <f>SUM(IZ13:IZ21)</f>
        <v>3</v>
      </c>
      <c r="JA22" s="3"/>
      <c r="JB22" s="3">
        <f>SUM(JB13:JB21)</f>
        <v>6</v>
      </c>
      <c r="JC22" s="3"/>
      <c r="JD22" s="3">
        <f>SUM(JD13:JD21)</f>
        <v>0</v>
      </c>
      <c r="JE22" s="3"/>
      <c r="JF22" s="3">
        <f>SUM(JF13:JF21)</f>
        <v>0</v>
      </c>
      <c r="JG22" s="3"/>
      <c r="JH22" s="3">
        <f>SUM(JH13:JH21)</f>
        <v>6</v>
      </c>
      <c r="JI22" s="3"/>
      <c r="JJ22" s="3">
        <f>SUM(JJ13:JJ21)</f>
        <v>3</v>
      </c>
      <c r="JK22" s="3"/>
      <c r="JL22" s="84">
        <f t="shared" ref="JL22:JN22" si="577">AVERAGE(JL13:JL21)</f>
        <v>2.5</v>
      </c>
      <c r="JM22" s="84">
        <f t="shared" si="577"/>
        <v>2</v>
      </c>
      <c r="JN22" s="84">
        <f t="shared" si="577"/>
        <v>3.5</v>
      </c>
      <c r="JO22" s="17">
        <f>SUM(JO13:JO21)</f>
        <v>36.999999999999993</v>
      </c>
      <c r="JP22" s="18"/>
      <c r="JQ22" s="16">
        <f>SUM(JQ13:JQ21)</f>
        <v>0</v>
      </c>
      <c r="JR22" s="3"/>
      <c r="JS22" s="3">
        <f>SUM(JS13:JS21)</f>
        <v>0</v>
      </c>
      <c r="JT22" s="3"/>
      <c r="JU22" s="3">
        <f>SUM(JU13:JU21)</f>
        <v>9</v>
      </c>
      <c r="JV22" s="3"/>
      <c r="JW22" s="3">
        <f>SUM(JW13:JW21)</f>
        <v>0</v>
      </c>
      <c r="JX22" s="3"/>
      <c r="JY22" s="3"/>
      <c r="JZ22" s="3">
        <f>SUM(JZ13:JZ21)</f>
        <v>0</v>
      </c>
      <c r="KA22" s="3"/>
      <c r="KB22" s="3">
        <f>SUM(KB13:KB21)</f>
        <v>0</v>
      </c>
      <c r="KC22" s="3"/>
      <c r="KD22" s="3">
        <f>SUM(KD13:KD21)</f>
        <v>0</v>
      </c>
      <c r="KE22" s="3"/>
      <c r="KF22" s="3">
        <f>SUM(KF13:KF21)</f>
        <v>0</v>
      </c>
      <c r="KG22" s="3"/>
      <c r="KH22" s="3">
        <f>SUM(KH13:KH21)</f>
        <v>9</v>
      </c>
      <c r="KI22" s="3"/>
      <c r="KJ22" s="3">
        <f>SUM(KJ13:KJ21)</f>
        <v>0</v>
      </c>
      <c r="KK22" s="3"/>
      <c r="KL22" s="3">
        <f>SUM(KL13:KL21)</f>
        <v>0</v>
      </c>
      <c r="KM22" s="3"/>
      <c r="KN22" s="3">
        <f>SUM(KN13:KN21)</f>
        <v>0</v>
      </c>
      <c r="KO22" s="3"/>
      <c r="KP22" s="84">
        <f t="shared" ref="KP22:KR22" si="578">AVERAGE(KP13:KP21)</f>
        <v>-3</v>
      </c>
      <c r="KQ22" s="84">
        <f t="shared" si="578"/>
        <v>-4</v>
      </c>
      <c r="KR22" s="84">
        <f t="shared" si="578"/>
        <v>-5</v>
      </c>
      <c r="KS22" s="17" t="e">
        <f>SUM(KS13:KS21)</f>
        <v>#REF!</v>
      </c>
      <c r="KT22" s="18"/>
    </row>
    <row r="23" spans="1:306" ht="13.8" thickBot="1" x14ac:dyDescent="0.3">
      <c r="A23" s="180"/>
      <c r="B23" s="19" t="s">
        <v>27</v>
      </c>
      <c r="C23" s="20" t="s">
        <v>25</v>
      </c>
      <c r="D23" s="20"/>
      <c r="E23" s="115">
        <f>E12+E22</f>
        <v>72</v>
      </c>
      <c r="F23" s="21"/>
      <c r="G23" s="22">
        <f>G12+G22</f>
        <v>82</v>
      </c>
      <c r="H23" s="22"/>
      <c r="I23" s="22">
        <f>I12+I22</f>
        <v>34</v>
      </c>
      <c r="J23" s="22"/>
      <c r="K23" s="22">
        <f>K12+K22</f>
        <v>6</v>
      </c>
      <c r="L23" s="22"/>
      <c r="M23" s="22">
        <f>M12+M22</f>
        <v>3</v>
      </c>
      <c r="N23" s="22"/>
      <c r="O23" s="22">
        <f>I23-(0.45*K23+22.5)</f>
        <v>8.8000000000000007</v>
      </c>
      <c r="P23" s="22">
        <f>P12+P22</f>
        <v>1</v>
      </c>
      <c r="Q23" s="22"/>
      <c r="R23" s="22">
        <f>R12+R22</f>
        <v>7</v>
      </c>
      <c r="S23" s="22"/>
      <c r="T23" s="22">
        <f>T12+T22</f>
        <v>9</v>
      </c>
      <c r="U23" s="22"/>
      <c r="V23" s="22">
        <f>V12+V22</f>
        <v>1</v>
      </c>
      <c r="W23" s="22"/>
      <c r="X23" s="22">
        <f>X12+X22</f>
        <v>0</v>
      </c>
      <c r="Y23" s="22"/>
      <c r="Z23" s="22">
        <f>Z12+Z22</f>
        <v>4</v>
      </c>
      <c r="AA23" s="22"/>
      <c r="AB23" s="22">
        <f>AB12+AB22</f>
        <v>13</v>
      </c>
      <c r="AC23" s="22"/>
      <c r="AD23" s="22">
        <f>AD12+AD22</f>
        <v>1</v>
      </c>
      <c r="AE23" s="22"/>
      <c r="AF23" s="23">
        <f>AVERAGE(AF3:AF11,AF13:AF21)</f>
        <v>0.75</v>
      </c>
      <c r="AG23" s="23">
        <f>AVERAGE(AG3:AG11,AG13:AG21)</f>
        <v>0.4</v>
      </c>
      <c r="AH23" s="23">
        <f>AVERAGE(AH3:AH11,AH13:AH21)</f>
        <v>0.75</v>
      </c>
      <c r="AI23" s="23">
        <f>AI12+AI22</f>
        <v>67.000000000000014</v>
      </c>
      <c r="AJ23" s="21"/>
      <c r="AK23" s="24">
        <f>AK12+AK22</f>
        <v>93</v>
      </c>
      <c r="AL23" s="22"/>
      <c r="AM23" s="22">
        <f>AM12+AM22</f>
        <v>34</v>
      </c>
      <c r="AN23" s="22"/>
      <c r="AO23" s="22">
        <f>AO12+AO22</f>
        <v>7</v>
      </c>
      <c r="AP23" s="22"/>
      <c r="AQ23" s="22">
        <f>AQ12+AQ22</f>
        <v>1</v>
      </c>
      <c r="AR23" s="22"/>
      <c r="AS23" s="22">
        <f>AM23-(0.45*AO23+22.5)</f>
        <v>8.3500000000000014</v>
      </c>
      <c r="AT23" s="22">
        <f>AT12+AT22</f>
        <v>0</v>
      </c>
      <c r="AU23" s="22"/>
      <c r="AV23" s="22">
        <f>AV12+AV22</f>
        <v>7</v>
      </c>
      <c r="AW23" s="22"/>
      <c r="AX23" s="22">
        <f>AX12+AX22</f>
        <v>6</v>
      </c>
      <c r="AY23" s="22"/>
      <c r="AZ23" s="22">
        <f>AZ12+AZ22</f>
        <v>5</v>
      </c>
      <c r="BA23" s="22"/>
      <c r="BB23" s="22">
        <f>BB12+BB22</f>
        <v>0</v>
      </c>
      <c r="BC23" s="22"/>
      <c r="BD23" s="22">
        <f>BD12+BD22</f>
        <v>3</v>
      </c>
      <c r="BE23" s="22"/>
      <c r="BF23" s="22">
        <f>BF12+BF22</f>
        <v>14</v>
      </c>
      <c r="BG23" s="22"/>
      <c r="BH23" s="22">
        <f>BH12+BH22</f>
        <v>1</v>
      </c>
      <c r="BI23" s="22"/>
      <c r="BJ23" s="23">
        <f>AVERAGE(BJ3:BJ11,BJ13:BJ21)</f>
        <v>1.25</v>
      </c>
      <c r="BK23" s="23">
        <f>AVERAGE(BK3:BK11,BK13:BK21)</f>
        <v>1</v>
      </c>
      <c r="BL23" s="23">
        <f>AVERAGE(BL3:BL11,BL13:BL21)</f>
        <v>1.5</v>
      </c>
      <c r="BM23" s="23">
        <f>BM12+BM22</f>
        <v>82.999999999999986</v>
      </c>
      <c r="BN23" s="21"/>
      <c r="BO23" s="24">
        <f>BO12+BO22</f>
        <v>108</v>
      </c>
      <c r="BP23" s="22"/>
      <c r="BQ23" s="22">
        <f>BQ12+BQ22</f>
        <v>44</v>
      </c>
      <c r="BR23" s="22"/>
      <c r="BS23" s="22">
        <f>BS12+BS22</f>
        <v>5</v>
      </c>
      <c r="BT23" s="22"/>
      <c r="BU23" s="22">
        <f>BU12+BU22</f>
        <v>0</v>
      </c>
      <c r="BV23" s="22"/>
      <c r="BW23" s="22">
        <f>BQ23-(0.45*BS23+22.5)</f>
        <v>19.25</v>
      </c>
      <c r="BX23" s="22">
        <f>BX12+BX22</f>
        <v>0</v>
      </c>
      <c r="BY23" s="22"/>
      <c r="BZ23" s="22">
        <f>BZ12+BZ22</f>
        <v>2</v>
      </c>
      <c r="CA23" s="22"/>
      <c r="CB23" s="22">
        <f>CB12+CB22</f>
        <v>7</v>
      </c>
      <c r="CC23" s="22"/>
      <c r="CD23" s="22">
        <f>CD12+CD22</f>
        <v>9</v>
      </c>
      <c r="CE23" s="22"/>
      <c r="CF23" s="22">
        <f>CF12+CF22</f>
        <v>0</v>
      </c>
      <c r="CG23" s="22"/>
      <c r="CH23" s="22">
        <f>CH12+CH22</f>
        <v>0</v>
      </c>
      <c r="CI23" s="22"/>
      <c r="CJ23" s="22">
        <f>CJ12+CJ22</f>
        <v>10</v>
      </c>
      <c r="CK23" s="22"/>
      <c r="CL23" s="22">
        <f>CL12+CL22</f>
        <v>8</v>
      </c>
      <c r="CM23" s="22"/>
      <c r="CN23" s="23">
        <f>AVERAGE(CN3:CN11,CN13:CN21)</f>
        <v>1.75</v>
      </c>
      <c r="CO23" s="23">
        <f>AVERAGE(CO3:CO11,CO13:CO21)</f>
        <v>2.2999999999999998</v>
      </c>
      <c r="CP23" s="23">
        <f>AVERAGE(CP3:CP11,CP13:CP21)</f>
        <v>1.5</v>
      </c>
      <c r="CQ23" s="23">
        <f>CQ12+CQ22</f>
        <v>88.999999999999986</v>
      </c>
      <c r="CR23" s="21"/>
      <c r="CS23" s="24">
        <f>CS12+CS22</f>
        <v>101</v>
      </c>
      <c r="CT23" s="22"/>
      <c r="CU23" s="22">
        <f>CU12+CU22</f>
        <v>43</v>
      </c>
      <c r="CV23" s="22"/>
      <c r="CW23" s="22">
        <f>CW12+CW22</f>
        <v>6</v>
      </c>
      <c r="CX23" s="22"/>
      <c r="CY23" s="22">
        <f>CY12+CY22</f>
        <v>0</v>
      </c>
      <c r="CZ23" s="22"/>
      <c r="DA23" s="22">
        <f>CU23-(0.45*CW23+22.5)</f>
        <v>17.8</v>
      </c>
      <c r="DB23" s="22">
        <f>DB12+DB22</f>
        <v>0</v>
      </c>
      <c r="DC23" s="22"/>
      <c r="DD23" s="22">
        <f>DD12+DD22</f>
        <v>2</v>
      </c>
      <c r="DE23" s="22"/>
      <c r="DF23" s="22">
        <f>DF12+DF22</f>
        <v>9</v>
      </c>
      <c r="DG23" s="22"/>
      <c r="DH23" s="22">
        <f>DH12+DH22</f>
        <v>7</v>
      </c>
      <c r="DI23" s="22"/>
      <c r="DJ23" s="22">
        <f>DJ12+DJ22</f>
        <v>0</v>
      </c>
      <c r="DK23" s="22"/>
      <c r="DL23" s="22">
        <f>DL12+DL22</f>
        <v>2</v>
      </c>
      <c r="DM23" s="22"/>
      <c r="DN23" s="22">
        <f>DN12+DN22</f>
        <v>8</v>
      </c>
      <c r="DO23" s="22"/>
      <c r="DP23" s="22">
        <f>DP12+DP22</f>
        <v>8</v>
      </c>
      <c r="DQ23" s="22"/>
      <c r="DR23" s="23">
        <f>AVERAGE(DR3:DR11,DR13:DR21)</f>
        <v>1.25</v>
      </c>
      <c r="DS23" s="23">
        <f>AVERAGE(DS3:DS11,DS13:DS21)</f>
        <v>1.2</v>
      </c>
      <c r="DT23" s="23">
        <f>AVERAGE(DT3:DT11,DT13:DT21)</f>
        <v>3</v>
      </c>
      <c r="DU23" s="23">
        <f>DU12+DU22</f>
        <v>83</v>
      </c>
      <c r="DV23" s="25"/>
      <c r="DW23" s="24">
        <f>DW12+DW22</f>
        <v>136</v>
      </c>
      <c r="DX23" s="22"/>
      <c r="DY23" s="22">
        <f>DY12+DY22</f>
        <v>45</v>
      </c>
      <c r="DZ23" s="22"/>
      <c r="EA23" s="22">
        <f>EA12+EA22</f>
        <v>0</v>
      </c>
      <c r="EB23" s="22"/>
      <c r="EC23" s="22">
        <f>EC12+EC22</f>
        <v>0</v>
      </c>
      <c r="ED23" s="22"/>
      <c r="EE23" s="22">
        <f>DY23-(0.45*EA23+22.5)</f>
        <v>22.5</v>
      </c>
      <c r="EF23" s="22">
        <f>EF12+EF22</f>
        <v>0</v>
      </c>
      <c r="EG23" s="22"/>
      <c r="EH23" s="22">
        <f>EH12+EH22</f>
        <v>0</v>
      </c>
      <c r="EI23" s="22"/>
      <c r="EJ23" s="22">
        <f>EJ12+EJ22</f>
        <v>2</v>
      </c>
      <c r="EK23" s="22"/>
      <c r="EL23" s="22">
        <f>EL12+EL22</f>
        <v>16</v>
      </c>
      <c r="EM23" s="22"/>
      <c r="EN23" s="22">
        <f>EN12+EN22</f>
        <v>0</v>
      </c>
      <c r="EO23" s="22"/>
      <c r="EP23" s="22">
        <f>EP12+EP22</f>
        <v>0</v>
      </c>
      <c r="EQ23" s="22"/>
      <c r="ER23" s="22">
        <f>ER12+ER22</f>
        <v>10</v>
      </c>
      <c r="ES23" s="22"/>
      <c r="ET23" s="22">
        <f>ET12+ET22</f>
        <v>8</v>
      </c>
      <c r="EU23" s="22"/>
      <c r="EV23" s="23">
        <f>AVERAGE(EV3:EV11,EV13:EV21)</f>
        <v>2.75</v>
      </c>
      <c r="EW23" s="23">
        <f>AVERAGE(EW3:EW11,EW13:EW21)</f>
        <v>3.6</v>
      </c>
      <c r="EX23" s="23">
        <f>AVERAGE(EX3:EX11,EX13:EX21)</f>
        <v>4.25</v>
      </c>
      <c r="EY23" s="23">
        <f>EY12+EY22</f>
        <v>91</v>
      </c>
      <c r="EZ23" s="25"/>
      <c r="FA23" s="24">
        <f>FA12+FA22</f>
        <v>101</v>
      </c>
      <c r="FB23" s="22"/>
      <c r="FC23" s="22">
        <f>FC12+FC22</f>
        <v>38</v>
      </c>
      <c r="FD23" s="22"/>
      <c r="FE23" s="22">
        <f>FE12+FE22</f>
        <v>3</v>
      </c>
      <c r="FF23" s="22"/>
      <c r="FG23" s="22">
        <f>FG12+FG22</f>
        <v>1</v>
      </c>
      <c r="FH23" s="22"/>
      <c r="FI23" s="22">
        <f>FC23-(0.45*FE23+22.5)</f>
        <v>14.149999999999999</v>
      </c>
      <c r="FJ23" s="22">
        <f>FJ12+FJ22</f>
        <v>0</v>
      </c>
      <c r="FK23" s="22"/>
      <c r="FL23" s="22">
        <f>FL12+FL22</f>
        <v>2</v>
      </c>
      <c r="FM23" s="22"/>
      <c r="FN23" s="22">
        <f>FN12+FN22</f>
        <v>7</v>
      </c>
      <c r="FO23" s="22"/>
      <c r="FP23" s="22">
        <f>FP12+FP22</f>
        <v>9</v>
      </c>
      <c r="FQ23" s="22"/>
      <c r="FR23" s="22">
        <f>FR12+FR22</f>
        <v>0</v>
      </c>
      <c r="FS23" s="22"/>
      <c r="FT23" s="22">
        <f>FT12+FT22</f>
        <v>3</v>
      </c>
      <c r="FU23" s="22"/>
      <c r="FV23" s="22">
        <f>FV12+FV22</f>
        <v>10</v>
      </c>
      <c r="FW23" s="22"/>
      <c r="FX23" s="22">
        <f>FX12+FX22</f>
        <v>5</v>
      </c>
      <c r="FY23" s="22"/>
      <c r="FZ23" s="23">
        <f>AVERAGE(FZ3:FZ11,FZ13:FZ21)</f>
        <v>1.5</v>
      </c>
      <c r="GA23" s="23">
        <f>AVERAGE(GA3:GA11,GA13:GA21)</f>
        <v>1.6</v>
      </c>
      <c r="GB23" s="23">
        <f>AVERAGE(GB3:GB11,GB13:GB21)</f>
        <v>1.75</v>
      </c>
      <c r="GC23" s="23">
        <f>GC12+GC22</f>
        <v>78</v>
      </c>
      <c r="GD23" s="25"/>
      <c r="GE23" s="24">
        <f>GE12+GE22</f>
        <v>123</v>
      </c>
      <c r="GF23" s="22"/>
      <c r="GG23" s="22">
        <f>GG12+GG22</f>
        <v>36</v>
      </c>
      <c r="GH23" s="22"/>
      <c r="GI23" s="22">
        <f>GI12+GI22</f>
        <v>1</v>
      </c>
      <c r="GJ23" s="22"/>
      <c r="GK23" s="22">
        <f>GK12+GK22</f>
        <v>1</v>
      </c>
      <c r="GL23" s="22"/>
      <c r="GM23" s="22">
        <f>GG23-(0.45*GI23+22.5)</f>
        <v>13.05</v>
      </c>
      <c r="GN23" s="22">
        <f>GN12+GN22</f>
        <v>0</v>
      </c>
      <c r="GO23" s="22"/>
      <c r="GP23" s="22">
        <f>GP12+GP22</f>
        <v>2</v>
      </c>
      <c r="GQ23" s="22"/>
      <c r="GR23" s="22">
        <f>GR12+GR22</f>
        <v>4</v>
      </c>
      <c r="GS23" s="22"/>
      <c r="GT23" s="22">
        <f>GT12+GT22</f>
        <v>12</v>
      </c>
      <c r="GU23" s="22"/>
      <c r="GV23" s="22">
        <f>GV12+GV22</f>
        <v>0</v>
      </c>
      <c r="GW23" s="22"/>
      <c r="GX23" s="22">
        <f>GX12+GX22</f>
        <v>3</v>
      </c>
      <c r="GY23" s="22"/>
      <c r="GZ23" s="22">
        <f>GZ12+GZ22</f>
        <v>12</v>
      </c>
      <c r="HA23" s="22"/>
      <c r="HB23" s="22">
        <f>HB12+HB22</f>
        <v>3</v>
      </c>
      <c r="HC23" s="22"/>
      <c r="HD23" s="23">
        <f>AVERAGE(HD3:HD11,HD13:HD21)</f>
        <v>1.25</v>
      </c>
      <c r="HE23" s="23">
        <f>AVERAGE(HE3:HE11,HE13:HE21)</f>
        <v>2.9</v>
      </c>
      <c r="HF23" s="23">
        <f>AVERAGE(HF3:HF11,HF13:HF21)</f>
        <v>4.25</v>
      </c>
      <c r="HG23" s="23">
        <f>HG12+HG22</f>
        <v>91</v>
      </c>
      <c r="HH23" s="25"/>
      <c r="HI23" s="24">
        <f>HI12+HI22</f>
        <v>104</v>
      </c>
      <c r="HJ23" s="22"/>
      <c r="HK23" s="22">
        <f>HK12+HK22</f>
        <v>35</v>
      </c>
      <c r="HL23" s="22"/>
      <c r="HM23" s="22">
        <f>HM12+HM22</f>
        <v>1</v>
      </c>
      <c r="HN23" s="22"/>
      <c r="HO23" s="22">
        <f>HO12+HO22</f>
        <v>1</v>
      </c>
      <c r="HP23" s="22"/>
      <c r="HQ23" s="22">
        <f>HK23-(0.45*HM23+22.5)</f>
        <v>12.05</v>
      </c>
      <c r="HR23" s="22">
        <f>HR12+HR22</f>
        <v>0</v>
      </c>
      <c r="HS23" s="22"/>
      <c r="HT23" s="22">
        <f>HT12+HT22</f>
        <v>2</v>
      </c>
      <c r="HU23" s="22"/>
      <c r="HV23" s="22">
        <f>HV12+HV22</f>
        <v>4</v>
      </c>
      <c r="HW23" s="22"/>
      <c r="HX23" s="22">
        <f>HX12+HX22</f>
        <v>12</v>
      </c>
      <c r="HY23" s="22"/>
      <c r="HZ23" s="22">
        <f>HZ12+HZ22</f>
        <v>0</v>
      </c>
      <c r="IA23" s="22"/>
      <c r="IB23" s="22">
        <f>IB12+IB22</f>
        <v>3</v>
      </c>
      <c r="IC23" s="22"/>
      <c r="ID23" s="22">
        <f>ID12+ID22</f>
        <v>13</v>
      </c>
      <c r="IE23" s="22"/>
      <c r="IF23" s="22">
        <f>IF12+IF22</f>
        <v>2</v>
      </c>
      <c r="IG23" s="22"/>
      <c r="IH23" s="23">
        <f>AVERAGE(IH3:IH11,IH13:IH21)</f>
        <v>2.5</v>
      </c>
      <c r="II23" s="23">
        <f>AVERAGE(II3:II11,II13:II21)</f>
        <v>1.6</v>
      </c>
      <c r="IJ23" s="23">
        <f>AVERAGE(IJ3:IJ11,IJ13:IJ21)</f>
        <v>1.5</v>
      </c>
      <c r="IK23" s="23">
        <f>IK12+IK22</f>
        <v>88</v>
      </c>
      <c r="IL23" s="25"/>
      <c r="IM23" s="24">
        <f>IM12+IM22</f>
        <v>121</v>
      </c>
      <c r="IN23" s="22"/>
      <c r="IO23" s="22">
        <f>IO12+IO22</f>
        <v>48</v>
      </c>
      <c r="IP23" s="22"/>
      <c r="IQ23" s="22">
        <f>IQ12+IQ22</f>
        <v>5</v>
      </c>
      <c r="IR23" s="22"/>
      <c r="IS23" s="22">
        <f>IS12+IS22</f>
        <v>0</v>
      </c>
      <c r="IT23" s="22"/>
      <c r="IU23" s="22">
        <f>IO23-(0.45*IQ23+22.5)</f>
        <v>23.25</v>
      </c>
      <c r="IV23" s="22">
        <f>IV12+IV22</f>
        <v>0</v>
      </c>
      <c r="IW23" s="22"/>
      <c r="IX23" s="22">
        <f>IX12+IX22</f>
        <v>1</v>
      </c>
      <c r="IY23" s="22"/>
      <c r="IZ23" s="22">
        <f>IZ12+IZ22</f>
        <v>4</v>
      </c>
      <c r="JA23" s="22"/>
      <c r="JB23" s="22">
        <f>JB12+JB22</f>
        <v>13</v>
      </c>
      <c r="JC23" s="22"/>
      <c r="JD23" s="22">
        <f>JD12+JD22</f>
        <v>0</v>
      </c>
      <c r="JE23" s="22"/>
      <c r="JF23" s="22">
        <f>JF12+JF22</f>
        <v>0</v>
      </c>
      <c r="JG23" s="22"/>
      <c r="JH23" s="22">
        <f>JH12+JH22</f>
        <v>9</v>
      </c>
      <c r="JI23" s="22"/>
      <c r="JJ23" s="22">
        <f>JJ12+JJ22</f>
        <v>9</v>
      </c>
      <c r="JK23" s="22"/>
      <c r="JL23" s="23">
        <f>AVERAGE(JL3:JL11,JL13:JL21)</f>
        <v>2</v>
      </c>
      <c r="JM23" s="23">
        <f>AVERAGE(JM3:JM11,JM13:JM21)</f>
        <v>3</v>
      </c>
      <c r="JN23" s="23">
        <f>AVERAGE(JN3:JN11,JN13:JN21)</f>
        <v>2.75</v>
      </c>
      <c r="JO23" s="23">
        <f>JO12+JO22</f>
        <v>78.999999999999972</v>
      </c>
      <c r="JP23" s="25"/>
      <c r="JQ23" s="24">
        <f>JQ12+JQ22</f>
        <v>67</v>
      </c>
      <c r="JR23" s="22"/>
      <c r="JS23" s="22">
        <f>JS12+JS22</f>
        <v>23</v>
      </c>
      <c r="JT23" s="22"/>
      <c r="JU23" s="22">
        <f>JU12+JU22</f>
        <v>18</v>
      </c>
      <c r="JV23" s="22"/>
      <c r="JW23" s="22">
        <f>JW12+JW22</f>
        <v>0</v>
      </c>
      <c r="JX23" s="22"/>
      <c r="JY23" s="22">
        <f>JS23-(0.45*JU23+22.5)</f>
        <v>-7.6000000000000014</v>
      </c>
      <c r="JZ23" s="22">
        <f>JZ12+JZ22</f>
        <v>0</v>
      </c>
      <c r="KA23" s="22"/>
      <c r="KB23" s="22">
        <f>KB12+KB22</f>
        <v>0</v>
      </c>
      <c r="KC23" s="22"/>
      <c r="KD23" s="22">
        <f>KD12+KD22</f>
        <v>0</v>
      </c>
      <c r="KE23" s="22"/>
      <c r="KF23" s="22">
        <f>KF12+KF22</f>
        <v>0</v>
      </c>
      <c r="KG23" s="22"/>
      <c r="KH23" s="22">
        <f>KH12+KH22</f>
        <v>18</v>
      </c>
      <c r="KI23" s="22"/>
      <c r="KJ23" s="22">
        <f>KJ12+KJ22</f>
        <v>0</v>
      </c>
      <c r="KK23" s="22"/>
      <c r="KL23" s="22">
        <f>KL12+KL22</f>
        <v>0</v>
      </c>
      <c r="KM23" s="22"/>
      <c r="KN23" s="22">
        <f>KN12+KN22</f>
        <v>0</v>
      </c>
      <c r="KO23" s="22"/>
      <c r="KP23" s="23">
        <f>AVERAGE(KP3:KP11,KP13:KP21)</f>
        <v>-3</v>
      </c>
      <c r="KQ23" s="23">
        <f>AVERAGE(KQ3:KQ11,KQ13:KQ21)</f>
        <v>-4</v>
      </c>
      <c r="KR23" s="23">
        <f>AVERAGE(KR3:KR11,KR13:KR21)</f>
        <v>-5</v>
      </c>
      <c r="KS23" s="23" t="e">
        <f>KS12+KS22</f>
        <v>#REF!</v>
      </c>
      <c r="KT23" s="25"/>
    </row>
    <row r="24" spans="1:306" s="92" customFormat="1" ht="13.8" thickTop="1" x14ac:dyDescent="0.25">
      <c r="A24" s="183" t="s">
        <v>65</v>
      </c>
      <c r="B24" s="184" t="s">
        <v>0</v>
      </c>
      <c r="C24" s="185"/>
      <c r="D24" s="185"/>
      <c r="E24" s="185"/>
      <c r="F24" s="186"/>
      <c r="G24" s="171" t="s">
        <v>40</v>
      </c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4"/>
      <c r="AK24" s="171" t="s">
        <v>41</v>
      </c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4"/>
      <c r="BO24" s="171" t="s">
        <v>42</v>
      </c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4"/>
      <c r="CS24" s="171" t="s">
        <v>43</v>
      </c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2"/>
      <c r="DE24" s="172"/>
      <c r="DF24" s="172"/>
      <c r="DG24" s="172"/>
      <c r="DH24" s="172"/>
      <c r="DI24" s="172"/>
      <c r="DJ24" s="172"/>
      <c r="DK24" s="172"/>
      <c r="DL24" s="172"/>
      <c r="DM24" s="172"/>
      <c r="DN24" s="172"/>
      <c r="DO24" s="172"/>
      <c r="DP24" s="172"/>
      <c r="DQ24" s="172"/>
      <c r="DR24" s="172"/>
      <c r="DS24" s="172"/>
      <c r="DT24" s="172"/>
      <c r="DU24" s="172"/>
      <c r="DV24" s="173"/>
      <c r="DW24" s="171" t="s">
        <v>107</v>
      </c>
      <c r="DX24" s="172"/>
      <c r="DY24" s="172"/>
      <c r="DZ24" s="172"/>
      <c r="EA24" s="172"/>
      <c r="EB24" s="172"/>
      <c r="EC24" s="172"/>
      <c r="ED24" s="172"/>
      <c r="EE24" s="172"/>
      <c r="EF24" s="172"/>
      <c r="EG24" s="172"/>
      <c r="EH24" s="172"/>
      <c r="EI24" s="172"/>
      <c r="EJ24" s="172"/>
      <c r="EK24" s="172"/>
      <c r="EL24" s="172"/>
      <c r="EM24" s="172"/>
      <c r="EN24" s="172"/>
      <c r="EO24" s="172"/>
      <c r="EP24" s="172"/>
      <c r="EQ24" s="172"/>
      <c r="ER24" s="172"/>
      <c r="ES24" s="172"/>
      <c r="ET24" s="172"/>
      <c r="EU24" s="172"/>
      <c r="EV24" s="172"/>
      <c r="EW24" s="172"/>
      <c r="EX24" s="172"/>
      <c r="EY24" s="172"/>
      <c r="EZ24" s="173"/>
      <c r="FA24" s="171" t="s">
        <v>69</v>
      </c>
      <c r="FB24" s="172"/>
      <c r="FC24" s="172"/>
      <c r="FD24" s="172"/>
      <c r="FE24" s="172"/>
      <c r="FF24" s="172"/>
      <c r="FG24" s="172"/>
      <c r="FH24" s="172"/>
      <c r="FI24" s="172"/>
      <c r="FJ24" s="172"/>
      <c r="FK24" s="172"/>
      <c r="FL24" s="172"/>
      <c r="FM24" s="172"/>
      <c r="FN24" s="172"/>
      <c r="FO24" s="172"/>
      <c r="FP24" s="172"/>
      <c r="FQ24" s="172"/>
      <c r="FR24" s="172"/>
      <c r="FS24" s="172"/>
      <c r="FT24" s="172"/>
      <c r="FU24" s="172"/>
      <c r="FV24" s="172"/>
      <c r="FW24" s="172"/>
      <c r="FX24" s="172"/>
      <c r="FY24" s="172"/>
      <c r="FZ24" s="172"/>
      <c r="GA24" s="172"/>
      <c r="GB24" s="172"/>
      <c r="GC24" s="172"/>
      <c r="GD24" s="173"/>
      <c r="GE24" s="171" t="s">
        <v>70</v>
      </c>
      <c r="GF24" s="172"/>
      <c r="GG24" s="172"/>
      <c r="GH24" s="172"/>
      <c r="GI24" s="172"/>
      <c r="GJ24" s="172"/>
      <c r="GK24" s="172"/>
      <c r="GL24" s="172"/>
      <c r="GM24" s="172"/>
      <c r="GN24" s="172"/>
      <c r="GO24" s="172"/>
      <c r="GP24" s="172"/>
      <c r="GQ24" s="172"/>
      <c r="GR24" s="172"/>
      <c r="GS24" s="172"/>
      <c r="GT24" s="172"/>
      <c r="GU24" s="172"/>
      <c r="GV24" s="172"/>
      <c r="GW24" s="172"/>
      <c r="GX24" s="172"/>
      <c r="GY24" s="172"/>
      <c r="GZ24" s="172"/>
      <c r="HA24" s="172"/>
      <c r="HB24" s="172"/>
      <c r="HC24" s="172"/>
      <c r="HD24" s="172"/>
      <c r="HE24" s="172"/>
      <c r="HF24" s="172"/>
      <c r="HG24" s="172"/>
      <c r="HH24" s="173"/>
      <c r="HI24" s="171" t="s">
        <v>71</v>
      </c>
      <c r="HJ24" s="172"/>
      <c r="HK24" s="172"/>
      <c r="HL24" s="172"/>
      <c r="HM24" s="172"/>
      <c r="HN24" s="172"/>
      <c r="HO24" s="172"/>
      <c r="HP24" s="172"/>
      <c r="HQ24" s="172"/>
      <c r="HR24" s="172"/>
      <c r="HS24" s="172"/>
      <c r="HT24" s="172"/>
      <c r="HU24" s="172"/>
      <c r="HV24" s="172"/>
      <c r="HW24" s="172"/>
      <c r="HX24" s="172"/>
      <c r="HY24" s="172"/>
      <c r="HZ24" s="172"/>
      <c r="IA24" s="172"/>
      <c r="IB24" s="172"/>
      <c r="IC24" s="172"/>
      <c r="ID24" s="172"/>
      <c r="IE24" s="172"/>
      <c r="IF24" s="172"/>
      <c r="IG24" s="172"/>
      <c r="IH24" s="172"/>
      <c r="II24" s="172"/>
      <c r="IJ24" s="172"/>
      <c r="IK24" s="172"/>
      <c r="IL24" s="173"/>
      <c r="IM24" s="171" t="s">
        <v>108</v>
      </c>
      <c r="IN24" s="172"/>
      <c r="IO24" s="172"/>
      <c r="IP24" s="172"/>
      <c r="IQ24" s="172"/>
      <c r="IR24" s="172"/>
      <c r="IS24" s="172"/>
      <c r="IT24" s="172"/>
      <c r="IU24" s="172"/>
      <c r="IV24" s="172"/>
      <c r="IW24" s="172"/>
      <c r="IX24" s="172"/>
      <c r="IY24" s="172"/>
      <c r="IZ24" s="172"/>
      <c r="JA24" s="172"/>
      <c r="JB24" s="172"/>
      <c r="JC24" s="172"/>
      <c r="JD24" s="172"/>
      <c r="JE24" s="172"/>
      <c r="JF24" s="172"/>
      <c r="JG24" s="172"/>
      <c r="JH24" s="172"/>
      <c r="JI24" s="172"/>
      <c r="JJ24" s="172"/>
      <c r="JK24" s="172"/>
      <c r="JL24" s="172"/>
      <c r="JM24" s="172"/>
      <c r="JN24" s="172"/>
      <c r="JO24" s="172"/>
      <c r="JP24" s="173"/>
      <c r="JQ24" s="171" t="s">
        <v>68</v>
      </c>
      <c r="JR24" s="172"/>
      <c r="JS24" s="172"/>
      <c r="JT24" s="172"/>
      <c r="JU24" s="172"/>
      <c r="JV24" s="172"/>
      <c r="JW24" s="172"/>
      <c r="JX24" s="172"/>
      <c r="JY24" s="172"/>
      <c r="JZ24" s="172"/>
      <c r="KA24" s="172"/>
      <c r="KB24" s="172"/>
      <c r="KC24" s="172"/>
      <c r="KD24" s="172"/>
      <c r="KE24" s="172"/>
      <c r="KF24" s="172"/>
      <c r="KG24" s="172"/>
      <c r="KH24" s="172"/>
      <c r="KI24" s="172"/>
      <c r="KJ24" s="172"/>
      <c r="KK24" s="172"/>
      <c r="KL24" s="172"/>
      <c r="KM24" s="172"/>
      <c r="KN24" s="172"/>
      <c r="KO24" s="172"/>
      <c r="KP24" s="172"/>
      <c r="KQ24" s="172"/>
      <c r="KR24" s="172"/>
      <c r="KS24" s="172"/>
      <c r="KT24" s="173"/>
    </row>
    <row r="25" spans="1:306" ht="13.2" x14ac:dyDescent="0.25">
      <c r="A25" s="179"/>
      <c r="B25" s="82" t="s">
        <v>1</v>
      </c>
      <c r="C25" s="3" t="s">
        <v>2</v>
      </c>
      <c r="D25" s="3"/>
      <c r="E25" s="3" t="s">
        <v>3</v>
      </c>
      <c r="F25" s="1"/>
      <c r="G25" s="16" t="s">
        <v>5</v>
      </c>
      <c r="H25" s="3" t="s">
        <v>6</v>
      </c>
      <c r="I25" s="3" t="s">
        <v>7</v>
      </c>
      <c r="J25" s="3" t="s">
        <v>8</v>
      </c>
      <c r="K25" s="3" t="s">
        <v>9</v>
      </c>
      <c r="L25" s="3" t="s">
        <v>10</v>
      </c>
      <c r="M25" s="3" t="s">
        <v>11</v>
      </c>
      <c r="N25" s="3" t="s">
        <v>12</v>
      </c>
      <c r="O25" s="2" t="s">
        <v>93</v>
      </c>
      <c r="P25" s="3" t="s">
        <v>13</v>
      </c>
      <c r="Q25" s="3" t="s">
        <v>14</v>
      </c>
      <c r="R25" s="2" t="s">
        <v>50</v>
      </c>
      <c r="S25" s="2" t="s">
        <v>56</v>
      </c>
      <c r="T25" s="2" t="s">
        <v>51</v>
      </c>
      <c r="U25" s="2" t="s">
        <v>57</v>
      </c>
      <c r="V25" s="2" t="s">
        <v>58</v>
      </c>
      <c r="W25" s="2" t="s">
        <v>59</v>
      </c>
      <c r="X25" s="2" t="s">
        <v>38</v>
      </c>
      <c r="Y25" s="2" t="s">
        <v>39</v>
      </c>
      <c r="Z25" s="3" t="s">
        <v>15</v>
      </c>
      <c r="AA25" s="3" t="s">
        <v>16</v>
      </c>
      <c r="AB25" s="2" t="s">
        <v>73</v>
      </c>
      <c r="AC25" s="2" t="s">
        <v>75</v>
      </c>
      <c r="AD25" s="3" t="s">
        <v>17</v>
      </c>
      <c r="AE25" s="3" t="s">
        <v>18</v>
      </c>
      <c r="AF25" s="3" t="s">
        <v>19</v>
      </c>
      <c r="AG25" s="3" t="s">
        <v>20</v>
      </c>
      <c r="AH25" s="3" t="s">
        <v>21</v>
      </c>
      <c r="AI25" s="3" t="s">
        <v>22</v>
      </c>
      <c r="AJ25" s="1" t="s">
        <v>23</v>
      </c>
      <c r="AK25" s="16" t="s">
        <v>5</v>
      </c>
      <c r="AL25" s="3" t="s">
        <v>6</v>
      </c>
      <c r="AM25" s="3" t="s">
        <v>7</v>
      </c>
      <c r="AN25" s="3" t="s">
        <v>8</v>
      </c>
      <c r="AO25" s="3" t="s">
        <v>9</v>
      </c>
      <c r="AP25" s="3" t="s">
        <v>10</v>
      </c>
      <c r="AQ25" s="3" t="s">
        <v>11</v>
      </c>
      <c r="AR25" s="3" t="s">
        <v>12</v>
      </c>
      <c r="AS25" s="2" t="s">
        <v>93</v>
      </c>
      <c r="AT25" s="3" t="s">
        <v>13</v>
      </c>
      <c r="AU25" s="3" t="s">
        <v>14</v>
      </c>
      <c r="AV25" s="2" t="s">
        <v>50</v>
      </c>
      <c r="AW25" s="2" t="s">
        <v>56</v>
      </c>
      <c r="AX25" s="2" t="s">
        <v>51</v>
      </c>
      <c r="AY25" s="2" t="s">
        <v>57</v>
      </c>
      <c r="AZ25" s="2" t="s">
        <v>58</v>
      </c>
      <c r="BA25" s="2" t="s">
        <v>59</v>
      </c>
      <c r="BB25" s="2" t="s">
        <v>38</v>
      </c>
      <c r="BC25" s="2" t="s">
        <v>39</v>
      </c>
      <c r="BD25" s="3" t="s">
        <v>15</v>
      </c>
      <c r="BE25" s="3" t="s">
        <v>16</v>
      </c>
      <c r="BF25" s="2" t="s">
        <v>73</v>
      </c>
      <c r="BG25" s="2" t="s">
        <v>75</v>
      </c>
      <c r="BH25" s="3" t="s">
        <v>17</v>
      </c>
      <c r="BI25" s="3" t="s">
        <v>18</v>
      </c>
      <c r="BJ25" s="3" t="s">
        <v>19</v>
      </c>
      <c r="BK25" s="3" t="s">
        <v>20</v>
      </c>
      <c r="BL25" s="3" t="s">
        <v>21</v>
      </c>
      <c r="BM25" s="3" t="s">
        <v>22</v>
      </c>
      <c r="BN25" s="1" t="s">
        <v>23</v>
      </c>
      <c r="BO25" s="16" t="s">
        <v>5</v>
      </c>
      <c r="BP25" s="3" t="s">
        <v>6</v>
      </c>
      <c r="BQ25" s="3" t="s">
        <v>7</v>
      </c>
      <c r="BR25" s="3" t="s">
        <v>8</v>
      </c>
      <c r="BS25" s="3" t="s">
        <v>9</v>
      </c>
      <c r="BT25" s="3" t="s">
        <v>10</v>
      </c>
      <c r="BU25" s="3" t="s">
        <v>11</v>
      </c>
      <c r="BV25" s="3" t="s">
        <v>12</v>
      </c>
      <c r="BW25" s="2" t="s">
        <v>93</v>
      </c>
      <c r="BX25" s="3" t="s">
        <v>13</v>
      </c>
      <c r="BY25" s="3" t="s">
        <v>14</v>
      </c>
      <c r="BZ25" s="2" t="s">
        <v>50</v>
      </c>
      <c r="CA25" s="2" t="s">
        <v>56</v>
      </c>
      <c r="CB25" s="2" t="s">
        <v>51</v>
      </c>
      <c r="CC25" s="2" t="s">
        <v>57</v>
      </c>
      <c r="CD25" s="2" t="s">
        <v>58</v>
      </c>
      <c r="CE25" s="2" t="s">
        <v>59</v>
      </c>
      <c r="CF25" s="2" t="s">
        <v>38</v>
      </c>
      <c r="CG25" s="2" t="s">
        <v>39</v>
      </c>
      <c r="CH25" s="3" t="s">
        <v>15</v>
      </c>
      <c r="CI25" s="3" t="s">
        <v>16</v>
      </c>
      <c r="CJ25" s="2" t="s">
        <v>73</v>
      </c>
      <c r="CK25" s="2" t="s">
        <v>75</v>
      </c>
      <c r="CL25" s="3" t="s">
        <v>17</v>
      </c>
      <c r="CM25" s="3" t="s">
        <v>18</v>
      </c>
      <c r="CN25" s="3" t="s">
        <v>19</v>
      </c>
      <c r="CO25" s="3" t="s">
        <v>20</v>
      </c>
      <c r="CP25" s="3" t="s">
        <v>21</v>
      </c>
      <c r="CQ25" s="3" t="s">
        <v>22</v>
      </c>
      <c r="CR25" s="1" t="s">
        <v>23</v>
      </c>
      <c r="CS25" s="16" t="s">
        <v>5</v>
      </c>
      <c r="CT25" s="3" t="s">
        <v>6</v>
      </c>
      <c r="CU25" s="3" t="s">
        <v>7</v>
      </c>
      <c r="CV25" s="3" t="s">
        <v>8</v>
      </c>
      <c r="CW25" s="3" t="s">
        <v>9</v>
      </c>
      <c r="CX25" s="3" t="s">
        <v>10</v>
      </c>
      <c r="CY25" s="3" t="s">
        <v>11</v>
      </c>
      <c r="CZ25" s="3" t="s">
        <v>12</v>
      </c>
      <c r="DA25" s="2" t="s">
        <v>93</v>
      </c>
      <c r="DB25" s="3" t="s">
        <v>13</v>
      </c>
      <c r="DC25" s="3" t="s">
        <v>14</v>
      </c>
      <c r="DD25" s="2" t="s">
        <v>50</v>
      </c>
      <c r="DE25" s="2" t="s">
        <v>56</v>
      </c>
      <c r="DF25" s="2" t="s">
        <v>51</v>
      </c>
      <c r="DG25" s="2" t="s">
        <v>57</v>
      </c>
      <c r="DH25" s="2" t="s">
        <v>58</v>
      </c>
      <c r="DI25" s="2" t="s">
        <v>59</v>
      </c>
      <c r="DJ25" s="2" t="s">
        <v>38</v>
      </c>
      <c r="DK25" s="2" t="s">
        <v>39</v>
      </c>
      <c r="DL25" s="3" t="s">
        <v>15</v>
      </c>
      <c r="DM25" s="3" t="s">
        <v>16</v>
      </c>
      <c r="DN25" s="2" t="s">
        <v>73</v>
      </c>
      <c r="DO25" s="2" t="s">
        <v>75</v>
      </c>
      <c r="DP25" s="3" t="s">
        <v>17</v>
      </c>
      <c r="DQ25" s="3" t="s">
        <v>18</v>
      </c>
      <c r="DR25" s="3" t="s">
        <v>19</v>
      </c>
      <c r="DS25" s="3" t="s">
        <v>20</v>
      </c>
      <c r="DT25" s="3" t="s">
        <v>21</v>
      </c>
      <c r="DU25" s="3" t="s">
        <v>22</v>
      </c>
      <c r="DV25" s="18" t="s">
        <v>23</v>
      </c>
      <c r="DW25" s="16" t="s">
        <v>5</v>
      </c>
      <c r="DX25" s="3" t="s">
        <v>6</v>
      </c>
      <c r="DY25" s="3" t="s">
        <v>7</v>
      </c>
      <c r="DZ25" s="3" t="s">
        <v>8</v>
      </c>
      <c r="EA25" s="3" t="s">
        <v>9</v>
      </c>
      <c r="EB25" s="3" t="s">
        <v>10</v>
      </c>
      <c r="EC25" s="3" t="s">
        <v>11</v>
      </c>
      <c r="ED25" s="3" t="s">
        <v>12</v>
      </c>
      <c r="EE25" s="2" t="s">
        <v>93</v>
      </c>
      <c r="EF25" s="3" t="s">
        <v>13</v>
      </c>
      <c r="EG25" s="3" t="s">
        <v>14</v>
      </c>
      <c r="EH25" s="2" t="s">
        <v>50</v>
      </c>
      <c r="EI25" s="2" t="s">
        <v>56</v>
      </c>
      <c r="EJ25" s="2" t="s">
        <v>51</v>
      </c>
      <c r="EK25" s="2" t="s">
        <v>57</v>
      </c>
      <c r="EL25" s="2" t="s">
        <v>58</v>
      </c>
      <c r="EM25" s="2" t="s">
        <v>59</v>
      </c>
      <c r="EN25" s="2" t="s">
        <v>38</v>
      </c>
      <c r="EO25" s="2" t="s">
        <v>39</v>
      </c>
      <c r="EP25" s="3" t="s">
        <v>15</v>
      </c>
      <c r="EQ25" s="3" t="s">
        <v>16</v>
      </c>
      <c r="ER25" s="2" t="s">
        <v>73</v>
      </c>
      <c r="ES25" s="2" t="s">
        <v>75</v>
      </c>
      <c r="ET25" s="3" t="s">
        <v>17</v>
      </c>
      <c r="EU25" s="3" t="s">
        <v>18</v>
      </c>
      <c r="EV25" s="3" t="s">
        <v>19</v>
      </c>
      <c r="EW25" s="3" t="s">
        <v>20</v>
      </c>
      <c r="EX25" s="3" t="s">
        <v>21</v>
      </c>
      <c r="EY25" s="3" t="s">
        <v>22</v>
      </c>
      <c r="EZ25" s="18" t="s">
        <v>23</v>
      </c>
      <c r="FA25" s="16" t="s">
        <v>5</v>
      </c>
      <c r="FB25" s="3" t="s">
        <v>6</v>
      </c>
      <c r="FC25" s="3" t="s">
        <v>7</v>
      </c>
      <c r="FD25" s="3" t="s">
        <v>8</v>
      </c>
      <c r="FE25" s="3" t="s">
        <v>9</v>
      </c>
      <c r="FF25" s="3" t="s">
        <v>10</v>
      </c>
      <c r="FG25" s="3" t="s">
        <v>11</v>
      </c>
      <c r="FH25" s="3" t="s">
        <v>12</v>
      </c>
      <c r="FI25" s="2" t="s">
        <v>93</v>
      </c>
      <c r="FJ25" s="3" t="s">
        <v>13</v>
      </c>
      <c r="FK25" s="3" t="s">
        <v>14</v>
      </c>
      <c r="FL25" s="2" t="s">
        <v>50</v>
      </c>
      <c r="FM25" s="2" t="s">
        <v>56</v>
      </c>
      <c r="FN25" s="2" t="s">
        <v>51</v>
      </c>
      <c r="FO25" s="2" t="s">
        <v>57</v>
      </c>
      <c r="FP25" s="2" t="s">
        <v>58</v>
      </c>
      <c r="FQ25" s="2" t="s">
        <v>59</v>
      </c>
      <c r="FR25" s="2" t="s">
        <v>38</v>
      </c>
      <c r="FS25" s="2" t="s">
        <v>39</v>
      </c>
      <c r="FT25" s="3" t="s">
        <v>15</v>
      </c>
      <c r="FU25" s="3" t="s">
        <v>16</v>
      </c>
      <c r="FV25" s="2" t="s">
        <v>73</v>
      </c>
      <c r="FW25" s="2" t="s">
        <v>75</v>
      </c>
      <c r="FX25" s="3" t="s">
        <v>17</v>
      </c>
      <c r="FY25" s="3" t="s">
        <v>18</v>
      </c>
      <c r="FZ25" s="3" t="s">
        <v>19</v>
      </c>
      <c r="GA25" s="3" t="s">
        <v>20</v>
      </c>
      <c r="GB25" s="3" t="s">
        <v>21</v>
      </c>
      <c r="GC25" s="3" t="s">
        <v>22</v>
      </c>
      <c r="GD25" s="18" t="s">
        <v>23</v>
      </c>
      <c r="GE25" s="16" t="s">
        <v>5</v>
      </c>
      <c r="GF25" s="3" t="s">
        <v>6</v>
      </c>
      <c r="GG25" s="3" t="s">
        <v>7</v>
      </c>
      <c r="GH25" s="3" t="s">
        <v>8</v>
      </c>
      <c r="GI25" s="3" t="s">
        <v>9</v>
      </c>
      <c r="GJ25" s="3" t="s">
        <v>10</v>
      </c>
      <c r="GK25" s="3" t="s">
        <v>11</v>
      </c>
      <c r="GL25" s="3" t="s">
        <v>12</v>
      </c>
      <c r="GM25" s="2" t="s">
        <v>93</v>
      </c>
      <c r="GN25" s="3" t="s">
        <v>13</v>
      </c>
      <c r="GO25" s="3" t="s">
        <v>14</v>
      </c>
      <c r="GP25" s="2" t="s">
        <v>50</v>
      </c>
      <c r="GQ25" s="2" t="s">
        <v>56</v>
      </c>
      <c r="GR25" s="2" t="s">
        <v>51</v>
      </c>
      <c r="GS25" s="2" t="s">
        <v>57</v>
      </c>
      <c r="GT25" s="2" t="s">
        <v>58</v>
      </c>
      <c r="GU25" s="2" t="s">
        <v>59</v>
      </c>
      <c r="GV25" s="2" t="s">
        <v>38</v>
      </c>
      <c r="GW25" s="2" t="s">
        <v>39</v>
      </c>
      <c r="GX25" s="3" t="s">
        <v>15</v>
      </c>
      <c r="GY25" s="3" t="s">
        <v>16</v>
      </c>
      <c r="GZ25" s="2" t="s">
        <v>73</v>
      </c>
      <c r="HA25" s="2" t="s">
        <v>75</v>
      </c>
      <c r="HB25" s="3" t="s">
        <v>17</v>
      </c>
      <c r="HC25" s="3" t="s">
        <v>18</v>
      </c>
      <c r="HD25" s="3" t="s">
        <v>19</v>
      </c>
      <c r="HE25" s="3" t="s">
        <v>20</v>
      </c>
      <c r="HF25" s="3" t="s">
        <v>21</v>
      </c>
      <c r="HG25" s="3" t="s">
        <v>22</v>
      </c>
      <c r="HH25" s="18" t="s">
        <v>23</v>
      </c>
      <c r="HI25" s="16" t="s">
        <v>5</v>
      </c>
      <c r="HJ25" s="3" t="s">
        <v>6</v>
      </c>
      <c r="HK25" s="3" t="s">
        <v>7</v>
      </c>
      <c r="HL25" s="3" t="s">
        <v>8</v>
      </c>
      <c r="HM25" s="3" t="s">
        <v>9</v>
      </c>
      <c r="HN25" s="3" t="s">
        <v>10</v>
      </c>
      <c r="HO25" s="3" t="s">
        <v>11</v>
      </c>
      <c r="HP25" s="3" t="s">
        <v>12</v>
      </c>
      <c r="HQ25" s="2" t="s">
        <v>93</v>
      </c>
      <c r="HR25" s="3" t="s">
        <v>13</v>
      </c>
      <c r="HS25" s="3" t="s">
        <v>14</v>
      </c>
      <c r="HT25" s="2" t="s">
        <v>50</v>
      </c>
      <c r="HU25" s="2" t="s">
        <v>56</v>
      </c>
      <c r="HV25" s="2" t="s">
        <v>51</v>
      </c>
      <c r="HW25" s="2" t="s">
        <v>57</v>
      </c>
      <c r="HX25" s="2" t="s">
        <v>58</v>
      </c>
      <c r="HY25" s="2" t="s">
        <v>59</v>
      </c>
      <c r="HZ25" s="2" t="s">
        <v>38</v>
      </c>
      <c r="IA25" s="2" t="s">
        <v>39</v>
      </c>
      <c r="IB25" s="3" t="s">
        <v>15</v>
      </c>
      <c r="IC25" s="3" t="s">
        <v>16</v>
      </c>
      <c r="ID25" s="2" t="s">
        <v>73</v>
      </c>
      <c r="IE25" s="2" t="s">
        <v>75</v>
      </c>
      <c r="IF25" s="3" t="s">
        <v>17</v>
      </c>
      <c r="IG25" s="3" t="s">
        <v>18</v>
      </c>
      <c r="IH25" s="3" t="s">
        <v>19</v>
      </c>
      <c r="II25" s="3" t="s">
        <v>20</v>
      </c>
      <c r="IJ25" s="3" t="s">
        <v>21</v>
      </c>
      <c r="IK25" s="3" t="s">
        <v>22</v>
      </c>
      <c r="IL25" s="18" t="s">
        <v>23</v>
      </c>
      <c r="IM25" s="16" t="s">
        <v>5</v>
      </c>
      <c r="IN25" s="3" t="s">
        <v>6</v>
      </c>
      <c r="IO25" s="3" t="s">
        <v>7</v>
      </c>
      <c r="IP25" s="3" t="s">
        <v>8</v>
      </c>
      <c r="IQ25" s="3" t="s">
        <v>9</v>
      </c>
      <c r="IR25" s="3" t="s">
        <v>10</v>
      </c>
      <c r="IS25" s="3" t="s">
        <v>11</v>
      </c>
      <c r="IT25" s="3" t="s">
        <v>12</v>
      </c>
      <c r="IU25" s="2" t="s">
        <v>93</v>
      </c>
      <c r="IV25" s="3" t="s">
        <v>13</v>
      </c>
      <c r="IW25" s="3" t="s">
        <v>14</v>
      </c>
      <c r="IX25" s="2" t="s">
        <v>50</v>
      </c>
      <c r="IY25" s="2" t="s">
        <v>56</v>
      </c>
      <c r="IZ25" s="2" t="s">
        <v>51</v>
      </c>
      <c r="JA25" s="2" t="s">
        <v>57</v>
      </c>
      <c r="JB25" s="2" t="s">
        <v>58</v>
      </c>
      <c r="JC25" s="2" t="s">
        <v>59</v>
      </c>
      <c r="JD25" s="2" t="s">
        <v>38</v>
      </c>
      <c r="JE25" s="2" t="s">
        <v>39</v>
      </c>
      <c r="JF25" s="3" t="s">
        <v>15</v>
      </c>
      <c r="JG25" s="3" t="s">
        <v>16</v>
      </c>
      <c r="JH25" s="2" t="s">
        <v>73</v>
      </c>
      <c r="JI25" s="2" t="s">
        <v>75</v>
      </c>
      <c r="JJ25" s="3" t="s">
        <v>17</v>
      </c>
      <c r="JK25" s="3" t="s">
        <v>18</v>
      </c>
      <c r="JL25" s="3" t="s">
        <v>19</v>
      </c>
      <c r="JM25" s="3" t="s">
        <v>20</v>
      </c>
      <c r="JN25" s="3" t="s">
        <v>21</v>
      </c>
      <c r="JO25" s="3" t="s">
        <v>22</v>
      </c>
      <c r="JP25" s="18" t="s">
        <v>23</v>
      </c>
      <c r="JQ25" s="16" t="s">
        <v>5</v>
      </c>
      <c r="JR25" s="3" t="s">
        <v>6</v>
      </c>
      <c r="JS25" s="3" t="s">
        <v>7</v>
      </c>
      <c r="JT25" s="3" t="s">
        <v>8</v>
      </c>
      <c r="JU25" s="3" t="s">
        <v>9</v>
      </c>
      <c r="JV25" s="3" t="s">
        <v>10</v>
      </c>
      <c r="JW25" s="3" t="s">
        <v>11</v>
      </c>
      <c r="JX25" s="3" t="s">
        <v>12</v>
      </c>
      <c r="JY25" s="2" t="s">
        <v>93</v>
      </c>
      <c r="JZ25" s="3" t="s">
        <v>13</v>
      </c>
      <c r="KA25" s="3" t="s">
        <v>14</v>
      </c>
      <c r="KB25" s="2" t="s">
        <v>50</v>
      </c>
      <c r="KC25" s="2" t="s">
        <v>56</v>
      </c>
      <c r="KD25" s="2" t="s">
        <v>51</v>
      </c>
      <c r="KE25" s="2" t="s">
        <v>57</v>
      </c>
      <c r="KF25" s="2" t="s">
        <v>58</v>
      </c>
      <c r="KG25" s="2" t="s">
        <v>59</v>
      </c>
      <c r="KH25" s="2" t="s">
        <v>38</v>
      </c>
      <c r="KI25" s="2" t="s">
        <v>39</v>
      </c>
      <c r="KJ25" s="3" t="s">
        <v>15</v>
      </c>
      <c r="KK25" s="3" t="s">
        <v>16</v>
      </c>
      <c r="KL25" s="2" t="s">
        <v>73</v>
      </c>
      <c r="KM25" s="2" t="s">
        <v>75</v>
      </c>
      <c r="KN25" s="3" t="s">
        <v>17</v>
      </c>
      <c r="KO25" s="3" t="s">
        <v>18</v>
      </c>
      <c r="KP25" s="3" t="s">
        <v>19</v>
      </c>
      <c r="KQ25" s="3" t="s">
        <v>20</v>
      </c>
      <c r="KR25" s="3" t="s">
        <v>21</v>
      </c>
      <c r="KS25" s="3" t="s">
        <v>22</v>
      </c>
      <c r="KT25" s="18" t="s">
        <v>23</v>
      </c>
    </row>
    <row r="26" spans="1:306" ht="13.2" x14ac:dyDescent="0.25">
      <c r="A26" s="179"/>
      <c r="B26" s="175" t="s">
        <v>24</v>
      </c>
      <c r="C26" s="7">
        <v>1</v>
      </c>
      <c r="D26" s="7">
        <f>D21+1</f>
        <v>19</v>
      </c>
      <c r="E26" s="7">
        <v>4</v>
      </c>
      <c r="F26" s="8">
        <f>E26+F21</f>
        <v>76</v>
      </c>
      <c r="G26" s="52">
        <v>5</v>
      </c>
      <c r="H26" s="9">
        <f>H21+G26</f>
        <v>87</v>
      </c>
      <c r="I26" s="55">
        <v>2</v>
      </c>
      <c r="J26" s="9">
        <f>I26+J21</f>
        <v>36</v>
      </c>
      <c r="K26" s="9">
        <f t="shared" ref="K26:K34" si="579">IF(G26-I26&lt;=$E26-2,1,0)</f>
        <v>0</v>
      </c>
      <c r="L26" s="9">
        <f>K26+L21</f>
        <v>6</v>
      </c>
      <c r="M26" s="9">
        <f t="shared" ref="M26:M34" si="580">IF(K26=0,IF(G26=$E26,1,0),0)</f>
        <v>0</v>
      </c>
      <c r="N26" s="9">
        <f>M26+N21</f>
        <v>3</v>
      </c>
      <c r="O26" s="9"/>
      <c r="P26" s="9">
        <f t="shared" ref="P26:P34" si="581">IF($E26-G26=1,1,0)</f>
        <v>0</v>
      </c>
      <c r="Q26" s="9">
        <f>P26+Q21</f>
        <v>1</v>
      </c>
      <c r="R26" s="9">
        <f t="shared" ref="R26:R34" si="582">IF(G26=$E26,1,0)</f>
        <v>0</v>
      </c>
      <c r="S26" s="9">
        <f>R26</f>
        <v>0</v>
      </c>
      <c r="T26" s="9">
        <f t="shared" ref="T26:T34" si="583">IF(G26-$E26=1,1,0)</f>
        <v>1</v>
      </c>
      <c r="U26" s="9">
        <f>T26</f>
        <v>1</v>
      </c>
      <c r="V26" s="9">
        <f t="shared" ref="V26:V34" si="584">IF(G26-$E26&gt;=2,1,0)</f>
        <v>0</v>
      </c>
      <c r="W26" s="9">
        <f>V26</f>
        <v>0</v>
      </c>
      <c r="X26" s="9">
        <f t="shared" ref="X26:X34" si="585">IF(I26=0,1,0)</f>
        <v>0</v>
      </c>
      <c r="Y26" s="9">
        <f>X26</f>
        <v>0</v>
      </c>
      <c r="Z26" s="9">
        <f t="shared" ref="Z26:Z34" si="586">IF(I26=1,1,0)</f>
        <v>0</v>
      </c>
      <c r="AA26" s="9">
        <f>Z26+AA21</f>
        <v>4</v>
      </c>
      <c r="AB26" s="9">
        <f t="shared" ref="AB26:AB34" si="587">IF(I26=2,1,0)</f>
        <v>1</v>
      </c>
      <c r="AC26" s="9">
        <f>AB26</f>
        <v>1</v>
      </c>
      <c r="AD26" s="9">
        <f t="shared" ref="AD26:AD34" si="588">IF(I26&gt;=3,1,0)</f>
        <v>0</v>
      </c>
      <c r="AE26" s="9">
        <f>AD26+AE21</f>
        <v>1</v>
      </c>
      <c r="AF26" s="9"/>
      <c r="AG26" s="9">
        <f>IF($E26=4,G26-4,NA())</f>
        <v>1</v>
      </c>
      <c r="AH26" s="9"/>
      <c r="AI26" s="10">
        <f>G26-'Zusammenfassung Tag1-4'!$B$2/18</f>
        <v>4.166666666666667</v>
      </c>
      <c r="AJ26" s="11">
        <f>AI26+AJ21</f>
        <v>71.166666666666657</v>
      </c>
      <c r="AK26" s="52">
        <v>5</v>
      </c>
      <c r="AL26" s="9">
        <f>AL21+AK26</f>
        <v>98</v>
      </c>
      <c r="AM26" s="55">
        <v>3</v>
      </c>
      <c r="AN26" s="9">
        <f>AM26+AN21</f>
        <v>37</v>
      </c>
      <c r="AO26" s="9">
        <f t="shared" ref="AO26:AO34" si="589">IF(AK26-AM26&lt;=$E26-2,1,0)</f>
        <v>1</v>
      </c>
      <c r="AP26" s="9">
        <f>AO26+AP21</f>
        <v>8</v>
      </c>
      <c r="AQ26" s="9">
        <f t="shared" ref="AQ26:AQ34" si="590">IF(AO26=0,IF(AK26=$E26,1,0),0)</f>
        <v>0</v>
      </c>
      <c r="AR26" s="9">
        <f>AQ26+AR21</f>
        <v>1</v>
      </c>
      <c r="AS26" s="9"/>
      <c r="AT26" s="9">
        <f t="shared" ref="AT26:AT34" si="591">IF($E26-AK26=1,1,0)</f>
        <v>0</v>
      </c>
      <c r="AU26" s="9">
        <f>AT26+AU21</f>
        <v>0</v>
      </c>
      <c r="AV26" s="9">
        <f>IF(AK26=$E26,1,0)</f>
        <v>0</v>
      </c>
      <c r="AW26" s="9">
        <f>AV26</f>
        <v>0</v>
      </c>
      <c r="AX26" s="9">
        <f>IF(AK26-$E26=1,1,0)</f>
        <v>1</v>
      </c>
      <c r="AY26" s="9">
        <f>AX26</f>
        <v>1</v>
      </c>
      <c r="AZ26" s="9">
        <f>IF(AK26-$E26&gt;=2,1,0)</f>
        <v>0</v>
      </c>
      <c r="BA26" s="9">
        <f>AZ26</f>
        <v>0</v>
      </c>
      <c r="BB26" s="9">
        <f>IF(AM26=0,1,0)</f>
        <v>0</v>
      </c>
      <c r="BC26" s="9">
        <f>BB26</f>
        <v>0</v>
      </c>
      <c r="BD26" s="9">
        <f t="shared" ref="BD26:BD34" si="592">IF(AM26=1,1,0)</f>
        <v>0</v>
      </c>
      <c r="BE26" s="9">
        <f>BD26+BE21</f>
        <v>3</v>
      </c>
      <c r="BF26" s="9">
        <f>IF(AM26=2,1,0)</f>
        <v>0</v>
      </c>
      <c r="BG26" s="9">
        <f>BF26</f>
        <v>0</v>
      </c>
      <c r="BH26" s="9">
        <f t="shared" ref="BH26:BH34" si="593">IF(AM26&gt;=3,1,0)</f>
        <v>1</v>
      </c>
      <c r="BI26" s="9">
        <f>BH26+BI21</f>
        <v>2</v>
      </c>
      <c r="BJ26" s="9"/>
      <c r="BK26" s="9">
        <f>IF($E26=4,AK26-4,NA())</f>
        <v>1</v>
      </c>
      <c r="BL26" s="9"/>
      <c r="BM26" s="10">
        <f>AK26-'Zusammenfassung Tag1-4'!$C$2/18</f>
        <v>4.4444444444444446</v>
      </c>
      <c r="BN26" s="11">
        <f>BM26+BN21</f>
        <v>87.444444444444429</v>
      </c>
      <c r="BO26" s="52">
        <v>6</v>
      </c>
      <c r="BP26" s="9">
        <f>BP21+BO26</f>
        <v>114</v>
      </c>
      <c r="BQ26" s="55">
        <v>1</v>
      </c>
      <c r="BR26" s="9">
        <f>BQ26+BR21</f>
        <v>45</v>
      </c>
      <c r="BS26" s="9">
        <f t="shared" ref="BS26:BS34" si="594">IF(BO26-BQ26&lt;=$E26-2,1,0)</f>
        <v>0</v>
      </c>
      <c r="BT26" s="9">
        <f>BS26+BT21</f>
        <v>5</v>
      </c>
      <c r="BU26" s="9">
        <f t="shared" ref="BU26:BU34" si="595">IF(BS26=0,IF(BO26=$E26,1,0),0)</f>
        <v>0</v>
      </c>
      <c r="BV26" s="9">
        <f>BU26+BV21</f>
        <v>0</v>
      </c>
      <c r="BW26" s="9"/>
      <c r="BX26" s="9">
        <f t="shared" ref="BX26:BX34" si="596">IF($E26-BO26=1,1,0)</f>
        <v>0</v>
      </c>
      <c r="BY26" s="9">
        <f>BX26</f>
        <v>0</v>
      </c>
      <c r="BZ26" s="9">
        <f>IF(BO26=$E26,1,0)</f>
        <v>0</v>
      </c>
      <c r="CA26" s="9">
        <f>BZ26</f>
        <v>0</v>
      </c>
      <c r="CB26" s="9">
        <f>IF(BO26-$E26=1,1,0)</f>
        <v>0</v>
      </c>
      <c r="CC26" s="9">
        <f>CB26</f>
        <v>0</v>
      </c>
      <c r="CD26" s="9">
        <f>IF(BO26-$E26&gt;=2,1,0)</f>
        <v>1</v>
      </c>
      <c r="CE26" s="9">
        <f>CD26</f>
        <v>1</v>
      </c>
      <c r="CF26" s="9">
        <f>IF(BQ26=0,1,0)</f>
        <v>0</v>
      </c>
      <c r="CG26" s="9">
        <f>CF26</f>
        <v>0</v>
      </c>
      <c r="CH26" s="9">
        <f t="shared" ref="CH26:CH34" si="597">IF(BQ26=1,1,0)</f>
        <v>1</v>
      </c>
      <c r="CI26" s="9">
        <f>CH26+CI21</f>
        <v>1</v>
      </c>
      <c r="CJ26" s="9">
        <f>IF(BQ26=2,1,0)</f>
        <v>0</v>
      </c>
      <c r="CK26" s="9">
        <f>CJ26</f>
        <v>0</v>
      </c>
      <c r="CL26" s="9">
        <f t="shared" ref="CL26:CL34" si="598">IF(BQ26&gt;=3,1,0)</f>
        <v>0</v>
      </c>
      <c r="CM26" s="9">
        <f>CL26+CM21</f>
        <v>8</v>
      </c>
      <c r="CN26" s="9"/>
      <c r="CO26" s="9">
        <f>IF($E26=4,BO26-4,NA())</f>
        <v>2</v>
      </c>
      <c r="CP26" s="9"/>
      <c r="CQ26" s="10">
        <f>BO26-'Zusammenfassung Tag1-4'!$D$2/18</f>
        <v>4.9444444444444446</v>
      </c>
      <c r="CR26" s="11">
        <f>CQ26+CR21</f>
        <v>93.944444444444429</v>
      </c>
      <c r="CS26" s="52">
        <v>7</v>
      </c>
      <c r="CT26" s="9">
        <f>CT21+CS26</f>
        <v>108</v>
      </c>
      <c r="CU26" s="55">
        <v>2</v>
      </c>
      <c r="CV26" s="9">
        <f>CU26+CV21</f>
        <v>45</v>
      </c>
      <c r="CW26" s="9">
        <f t="shared" ref="CW26:CW34" si="599">IF(CS26-CU26&lt;=$E26-2,1,0)</f>
        <v>0</v>
      </c>
      <c r="CX26" s="9">
        <f>CW26+CX21</f>
        <v>6</v>
      </c>
      <c r="CY26" s="9">
        <f t="shared" ref="CY26:CY34" si="600">IF(CW26=0,IF(CS26=$E26,1,0),0)</f>
        <v>0</v>
      </c>
      <c r="CZ26" s="9">
        <f>CY26+CZ21</f>
        <v>0</v>
      </c>
      <c r="DA26" s="9"/>
      <c r="DB26" s="9">
        <f t="shared" ref="DB26:DB34" si="601">IF($E26-CS26=1,1,0)</f>
        <v>0</v>
      </c>
      <c r="DC26" s="9">
        <f>DB26</f>
        <v>0</v>
      </c>
      <c r="DD26" s="9">
        <f>IF(CS26=$E26,1,0)</f>
        <v>0</v>
      </c>
      <c r="DE26" s="9">
        <f>DD26</f>
        <v>0</v>
      </c>
      <c r="DF26" s="9">
        <f>IF(CS26-$E26=1,1,0)</f>
        <v>0</v>
      </c>
      <c r="DG26" s="9">
        <f>DF26</f>
        <v>0</v>
      </c>
      <c r="DH26" s="9">
        <f>IF(CS26-$E26&gt;=2,1,0)</f>
        <v>1</v>
      </c>
      <c r="DI26" s="9">
        <f>DH26</f>
        <v>1</v>
      </c>
      <c r="DJ26" s="9">
        <f>IF(CU26=0,1,0)</f>
        <v>0</v>
      </c>
      <c r="DK26" s="9">
        <f>DJ26</f>
        <v>0</v>
      </c>
      <c r="DL26" s="9">
        <f t="shared" ref="DL26:DL34" si="602">IF(CU26=1,1,0)</f>
        <v>0</v>
      </c>
      <c r="DM26" s="9">
        <f>DL26+DM21</f>
        <v>2</v>
      </c>
      <c r="DN26" s="9">
        <f>IF(CU26=2,1,0)</f>
        <v>1</v>
      </c>
      <c r="DO26" s="9">
        <f>DN26</f>
        <v>1</v>
      </c>
      <c r="DP26" s="9">
        <f t="shared" ref="DP26:DP34" si="603">IF(CU26&gt;=3,1,0)</f>
        <v>0</v>
      </c>
      <c r="DQ26" s="9">
        <f>DP26+DQ21</f>
        <v>8</v>
      </c>
      <c r="DR26" s="9"/>
      <c r="DS26" s="9">
        <f>IF($E26=4,CS26-4,NA())</f>
        <v>3</v>
      </c>
      <c r="DT26" s="9"/>
      <c r="DU26" s="10">
        <f>CS26-'Zusammenfassung Tag1-4'!$E$2/18</f>
        <v>6</v>
      </c>
      <c r="DV26" s="12">
        <f>DU26+DV21</f>
        <v>89</v>
      </c>
      <c r="DW26" s="52">
        <v>5</v>
      </c>
      <c r="DX26" s="9">
        <v>4</v>
      </c>
      <c r="DY26" s="55">
        <v>2</v>
      </c>
      <c r="DZ26" s="9">
        <f>DY26+DZ21</f>
        <v>47</v>
      </c>
      <c r="EA26" s="9">
        <f t="shared" ref="EA26:EA34" si="604">IF(DW26-DY26&lt;=$E26-2,1,0)</f>
        <v>0</v>
      </c>
      <c r="EB26" s="9">
        <f>EA26+EB21</f>
        <v>0</v>
      </c>
      <c r="EC26" s="9">
        <f t="shared" ref="EC26:EC34" si="605">IF(EA26=0,IF(DW26=$E26,1,0),0)</f>
        <v>0</v>
      </c>
      <c r="ED26" s="9">
        <f>EC26+ED21</f>
        <v>0</v>
      </c>
      <c r="EE26" s="9"/>
      <c r="EF26" s="9">
        <f t="shared" ref="EF26:EF34" si="606">IF($E26-DW26=1,1,0)</f>
        <v>0</v>
      </c>
      <c r="EG26" s="9">
        <f>EF26</f>
        <v>0</v>
      </c>
      <c r="EH26" s="9">
        <f>IF(DW26=$E26,1,0)</f>
        <v>0</v>
      </c>
      <c r="EI26" s="9">
        <f>EH26</f>
        <v>0</v>
      </c>
      <c r="EJ26" s="9">
        <f>IF(DW26-$E26=1,1,0)</f>
        <v>1</v>
      </c>
      <c r="EK26" s="9">
        <f>EJ26</f>
        <v>1</v>
      </c>
      <c r="EL26" s="9">
        <f>IF(DW26-$E26&gt;=2,1,0)</f>
        <v>0</v>
      </c>
      <c r="EM26" s="9">
        <f>EL26</f>
        <v>0</v>
      </c>
      <c r="EN26" s="9">
        <f>IF(DY26=0,1,0)</f>
        <v>0</v>
      </c>
      <c r="EO26" s="9">
        <f>EN26</f>
        <v>0</v>
      </c>
      <c r="EP26" s="9">
        <f t="shared" ref="EP26:EP34" si="607">IF(DY26=1,1,0)</f>
        <v>0</v>
      </c>
      <c r="EQ26" s="9">
        <f>EP26+EQ21</f>
        <v>0</v>
      </c>
      <c r="ER26" s="9">
        <f>IF(DY26=2,1,0)</f>
        <v>1</v>
      </c>
      <c r="ES26" s="9">
        <f>ER26</f>
        <v>1</v>
      </c>
      <c r="ET26" s="9">
        <f t="shared" ref="ET26:ET34" si="608">IF(DY26&gt;=3,1,0)</f>
        <v>0</v>
      </c>
      <c r="EU26" s="9">
        <f>ET26+EU21</f>
        <v>8</v>
      </c>
      <c r="EV26" s="9"/>
      <c r="EW26" s="9">
        <f>IF($E26=4,DW26-4,NA())</f>
        <v>1</v>
      </c>
      <c r="EX26" s="9"/>
      <c r="EY26" s="10">
        <f>DW26-'Zusammenfassung Tag1-4'!$F$2/18</f>
        <v>2.5</v>
      </c>
      <c r="EZ26" s="12">
        <f>EY26+EZ21</f>
        <v>93.5</v>
      </c>
      <c r="FA26" s="52">
        <v>4</v>
      </c>
      <c r="FB26" s="9">
        <v>105</v>
      </c>
      <c r="FC26" s="55">
        <v>2</v>
      </c>
      <c r="FD26" s="9">
        <f>FC26+FD21</f>
        <v>40</v>
      </c>
      <c r="FE26" s="9">
        <f t="shared" ref="FE26:FE34" si="609">IF(FA26-FC26&lt;=$E26-2,1,0)</f>
        <v>1</v>
      </c>
      <c r="FF26" s="9">
        <f>FE26+FF21</f>
        <v>4</v>
      </c>
      <c r="FG26" s="9">
        <f t="shared" ref="FG26:FG34" si="610">IF(FE26=0,IF(FA26=$E26,1,0),0)</f>
        <v>0</v>
      </c>
      <c r="FH26" s="9">
        <f>FG26+FH21</f>
        <v>1</v>
      </c>
      <c r="FI26" s="9"/>
      <c r="FJ26" s="9">
        <f t="shared" ref="FJ26:FJ34" si="611">IF($E26-FA26=1,1,0)</f>
        <v>0</v>
      </c>
      <c r="FK26" s="9">
        <f>FJ26</f>
        <v>0</v>
      </c>
      <c r="FL26" s="9">
        <f>IF(FA26=$E26,1,0)</f>
        <v>1</v>
      </c>
      <c r="FM26" s="9">
        <f>FL26</f>
        <v>1</v>
      </c>
      <c r="FN26" s="9">
        <f>IF(FA26-$E26=1,1,0)</f>
        <v>0</v>
      </c>
      <c r="FO26" s="9">
        <f>FN26</f>
        <v>0</v>
      </c>
      <c r="FP26" s="9">
        <f>IF(FA26-$E26&gt;=2,1,0)</f>
        <v>0</v>
      </c>
      <c r="FQ26" s="9">
        <f>FP26</f>
        <v>0</v>
      </c>
      <c r="FR26" s="9">
        <f>IF(FC26=0,1,0)</f>
        <v>0</v>
      </c>
      <c r="FS26" s="9">
        <f>FR26</f>
        <v>0</v>
      </c>
      <c r="FT26" s="9">
        <f t="shared" ref="FT26:FT34" si="612">IF(FC26=1,1,0)</f>
        <v>0</v>
      </c>
      <c r="FU26" s="9">
        <f>FT26+FU21</f>
        <v>3</v>
      </c>
      <c r="FV26" s="9">
        <f>IF(FC26=2,1,0)</f>
        <v>1</v>
      </c>
      <c r="FW26" s="9">
        <f>FV26</f>
        <v>1</v>
      </c>
      <c r="FX26" s="9">
        <f t="shared" ref="FX26:FX34" si="613">IF(FC26&gt;=3,1,0)</f>
        <v>0</v>
      </c>
      <c r="FY26" s="9">
        <f>FX26+FY21</f>
        <v>5</v>
      </c>
      <c r="FZ26" s="9"/>
      <c r="GA26" s="9">
        <f>IF($E26=4,FA26-4,NA())</f>
        <v>0</v>
      </c>
      <c r="GB26" s="9"/>
      <c r="GC26" s="10">
        <f>FA26-'Zusammenfassung Tag1-4'!$G$2/18</f>
        <v>2.7222222222222223</v>
      </c>
      <c r="GD26" s="12">
        <f>GC26+GD21</f>
        <v>80.722222222222243</v>
      </c>
      <c r="GE26" s="52">
        <v>8</v>
      </c>
      <c r="GF26" s="9">
        <v>140</v>
      </c>
      <c r="GG26" s="55">
        <v>1</v>
      </c>
      <c r="GH26" s="9">
        <f>GG26+GH21</f>
        <v>37</v>
      </c>
      <c r="GI26" s="9">
        <f t="shared" ref="GI26:GI34" si="614">IF(GE26-GG26&lt;=$E26-2,1,0)</f>
        <v>0</v>
      </c>
      <c r="GJ26" s="9">
        <f>GI26+GJ21</f>
        <v>1</v>
      </c>
      <c r="GK26" s="9">
        <f t="shared" ref="GK26:GK34" si="615">IF(GI26=0,IF(GE26=$E26,1,0),0)</f>
        <v>0</v>
      </c>
      <c r="GL26" s="9">
        <f>GK26+GL21</f>
        <v>1</v>
      </c>
      <c r="GM26" s="9"/>
      <c r="GN26" s="9">
        <f t="shared" ref="GN26:GN34" si="616">IF($E26-GE26=1,1,0)</f>
        <v>0</v>
      </c>
      <c r="GO26" s="9">
        <f>GN26</f>
        <v>0</v>
      </c>
      <c r="GP26" s="9">
        <f>IF(GE26=$E26,1,0)</f>
        <v>0</v>
      </c>
      <c r="GQ26" s="9">
        <f>GP26</f>
        <v>0</v>
      </c>
      <c r="GR26" s="9">
        <f>IF(GE26-$E26=1,1,0)</f>
        <v>0</v>
      </c>
      <c r="GS26" s="9">
        <f>GR26</f>
        <v>0</v>
      </c>
      <c r="GT26" s="9">
        <f>IF(GE26-$E26&gt;=2,1,0)</f>
        <v>1</v>
      </c>
      <c r="GU26" s="9">
        <f>GT26</f>
        <v>1</v>
      </c>
      <c r="GV26" s="9">
        <f>IF(GG26=0,1,0)</f>
        <v>0</v>
      </c>
      <c r="GW26" s="9">
        <f>GV26</f>
        <v>0</v>
      </c>
      <c r="GX26" s="9">
        <f t="shared" ref="GX26:GX34" si="617">IF(GG26=1,1,0)</f>
        <v>1</v>
      </c>
      <c r="GY26" s="9">
        <f>GX26+GY21</f>
        <v>4</v>
      </c>
      <c r="GZ26" s="9">
        <f>IF(GG26=2,1,0)</f>
        <v>0</v>
      </c>
      <c r="HA26" s="9">
        <f>GZ26</f>
        <v>0</v>
      </c>
      <c r="HB26" s="9">
        <f t="shared" ref="HB26:HB34" si="618">IF(GG26&gt;=3,1,0)</f>
        <v>0</v>
      </c>
      <c r="HC26" s="9">
        <f>HB26+HC21</f>
        <v>3</v>
      </c>
      <c r="HD26" s="9"/>
      <c r="HE26" s="9">
        <f>IF($E26=4,GE26-4,NA())</f>
        <v>4</v>
      </c>
      <c r="HF26" s="9"/>
      <c r="HG26" s="10">
        <f>GE26-'Zusammenfassung Tag1-4'!$H$2/18</f>
        <v>6.2222222222222223</v>
      </c>
      <c r="HH26" s="12">
        <f>HG26+HH21</f>
        <v>97.222222222222257</v>
      </c>
      <c r="HI26" s="52">
        <v>5</v>
      </c>
      <c r="HJ26" s="9">
        <v>100</v>
      </c>
      <c r="HK26" s="55">
        <v>2</v>
      </c>
      <c r="HL26" s="9">
        <f>HK26+HL21</f>
        <v>37</v>
      </c>
      <c r="HM26" s="9">
        <f t="shared" ref="HM26:HM34" si="619">IF(HI26-HK26&lt;=$E26-2,1,0)</f>
        <v>0</v>
      </c>
      <c r="HN26" s="9">
        <f>HM26+HN21</f>
        <v>1</v>
      </c>
      <c r="HO26" s="9">
        <f t="shared" ref="HO26:HO34" si="620">IF(HM26=0,IF(HI26=$E26,1,0),0)</f>
        <v>0</v>
      </c>
      <c r="HP26" s="9">
        <f>HO26+HP21</f>
        <v>1</v>
      </c>
      <c r="HQ26" s="9"/>
      <c r="HR26" s="9">
        <f t="shared" ref="HR26:HR34" si="621">IF($E26-HI26=1,1,0)</f>
        <v>0</v>
      </c>
      <c r="HS26" s="9">
        <f>HR26</f>
        <v>0</v>
      </c>
      <c r="HT26" s="9">
        <f>IF(HI26=$E26,1,0)</f>
        <v>0</v>
      </c>
      <c r="HU26" s="9">
        <f>HT26</f>
        <v>0</v>
      </c>
      <c r="HV26" s="9">
        <f>IF(HI26-$E26=1,1,0)</f>
        <v>1</v>
      </c>
      <c r="HW26" s="9">
        <f>HV26</f>
        <v>1</v>
      </c>
      <c r="HX26" s="9">
        <f>IF(HI26-$E26&gt;=2,1,0)</f>
        <v>0</v>
      </c>
      <c r="HY26" s="9">
        <f>HX26</f>
        <v>0</v>
      </c>
      <c r="HZ26" s="9">
        <f>IF(HK26=0,1,0)</f>
        <v>0</v>
      </c>
      <c r="IA26" s="9">
        <f>HZ26</f>
        <v>0</v>
      </c>
      <c r="IB26" s="9">
        <f t="shared" ref="IB26:IB34" si="622">IF(HK26=1,1,0)</f>
        <v>0</v>
      </c>
      <c r="IC26" s="9">
        <f>IB26+IC21</f>
        <v>3</v>
      </c>
      <c r="ID26" s="9">
        <f>IF(HK26=2,1,0)</f>
        <v>1</v>
      </c>
      <c r="IE26" s="9">
        <f>ID26</f>
        <v>1</v>
      </c>
      <c r="IF26" s="9">
        <f t="shared" ref="IF26:IF34" si="623">IF(HK26&gt;=3,1,0)</f>
        <v>0</v>
      </c>
      <c r="IG26" s="9">
        <f>IF26+IG21</f>
        <v>2</v>
      </c>
      <c r="IH26" s="9"/>
      <c r="II26" s="9">
        <f>IF($E26=4,HI26-4,NA())</f>
        <v>1</v>
      </c>
      <c r="IJ26" s="9"/>
      <c r="IK26" s="10">
        <f>HI26-'Zusammenfassung Tag1-4'!$I$2/18</f>
        <v>4.1111111111111107</v>
      </c>
      <c r="IL26" s="12">
        <f>IK26+IL21</f>
        <v>92.111111111111143</v>
      </c>
      <c r="IM26" s="52">
        <v>9</v>
      </c>
      <c r="IN26" s="9">
        <v>9</v>
      </c>
      <c r="IO26" s="55">
        <v>3</v>
      </c>
      <c r="IP26" s="9">
        <f>IO26+IP21</f>
        <v>51</v>
      </c>
      <c r="IQ26" s="9">
        <f t="shared" ref="IQ26:IQ34" si="624">IF(IM26-IO26&lt;=$E26-2,1,0)</f>
        <v>0</v>
      </c>
      <c r="IR26" s="9">
        <f>IQ26+IR21</f>
        <v>5</v>
      </c>
      <c r="IS26" s="9">
        <f t="shared" ref="IS26:IS34" si="625">IF(IQ26=0,IF(IM26=$E26,1,0),0)</f>
        <v>0</v>
      </c>
      <c r="IT26" s="9">
        <f>IS26+IT21</f>
        <v>0</v>
      </c>
      <c r="IU26" s="9"/>
      <c r="IV26" s="9">
        <f t="shared" ref="IV26:IV34" si="626">IF($E26-IM26=1,1,0)</f>
        <v>0</v>
      </c>
      <c r="IW26" s="9">
        <f>IV26</f>
        <v>0</v>
      </c>
      <c r="IX26" s="9">
        <f>IF(IM26=$E26,1,0)</f>
        <v>0</v>
      </c>
      <c r="IY26" s="9">
        <f>IX26</f>
        <v>0</v>
      </c>
      <c r="IZ26" s="9">
        <f>IF(IM26-$E26=1,1,0)</f>
        <v>0</v>
      </c>
      <c r="JA26" s="9">
        <f>IZ26</f>
        <v>0</v>
      </c>
      <c r="JB26" s="9">
        <f>IF(IM26-$E26&gt;=2,1,0)</f>
        <v>1</v>
      </c>
      <c r="JC26" s="9">
        <f>JB26</f>
        <v>1</v>
      </c>
      <c r="JD26" s="9">
        <f>IF(IO26=0,1,0)</f>
        <v>0</v>
      </c>
      <c r="JE26" s="9">
        <f>JD26</f>
        <v>0</v>
      </c>
      <c r="JF26" s="9">
        <f t="shared" ref="JF26:JF34" si="627">IF(IO26=1,1,0)</f>
        <v>0</v>
      </c>
      <c r="JG26" s="9">
        <f>JF26+JG21</f>
        <v>0</v>
      </c>
      <c r="JH26" s="9">
        <f>IF(IO26=2,1,0)</f>
        <v>0</v>
      </c>
      <c r="JI26" s="9">
        <f>JH26</f>
        <v>0</v>
      </c>
      <c r="JJ26" s="9">
        <f t="shared" ref="JJ26:JJ34" si="628">IF(IO26&gt;=3,1,0)</f>
        <v>1</v>
      </c>
      <c r="JK26" s="9">
        <f>JJ26+JK21</f>
        <v>10</v>
      </c>
      <c r="JL26" s="9"/>
      <c r="JM26" s="9">
        <f>IF($E26=4,IM26-4,NA())</f>
        <v>5</v>
      </c>
      <c r="JN26" s="9"/>
      <c r="JO26" s="10">
        <f>IM26-'Zusammenfassung Tag1-4'!$J$2/18</f>
        <v>6.6666666666666661</v>
      </c>
      <c r="JP26" s="12">
        <f>JO26+JP21</f>
        <v>85.666666666666671</v>
      </c>
      <c r="JQ26" s="52"/>
      <c r="JR26" s="9"/>
      <c r="JS26" s="55"/>
      <c r="JT26" s="9">
        <f>JS26+JT21</f>
        <v>0</v>
      </c>
      <c r="JU26" s="9">
        <f t="shared" ref="JU26:JU34" si="629">IF(JQ26-JS26&lt;=$E26-2,1,0)</f>
        <v>1</v>
      </c>
      <c r="JV26" s="9">
        <f>JU26+JV21</f>
        <v>19</v>
      </c>
      <c r="JW26" s="9">
        <f t="shared" ref="JW26:JW34" si="630">IF(JU26=0,IF(JQ26=$E26,1,0),0)</f>
        <v>0</v>
      </c>
      <c r="JX26" s="9">
        <f>JW26+JX21</f>
        <v>0</v>
      </c>
      <c r="JY26" s="9"/>
      <c r="JZ26" s="9">
        <f t="shared" ref="JZ26:JZ34" si="631">IF($E26-JQ26=1,1,0)</f>
        <v>0</v>
      </c>
      <c r="KA26" s="9">
        <f>JZ26</f>
        <v>0</v>
      </c>
      <c r="KB26" s="9">
        <f>IF(JQ26=$E26,1,0)</f>
        <v>0</v>
      </c>
      <c r="KC26" s="9">
        <f>KB26</f>
        <v>0</v>
      </c>
      <c r="KD26" s="9">
        <f>IF(JQ26-$E26=1,1,0)</f>
        <v>0</v>
      </c>
      <c r="KE26" s="9">
        <f>KD26</f>
        <v>0</v>
      </c>
      <c r="KF26" s="9">
        <f>IF(JQ26-$E26&gt;=2,1,0)</f>
        <v>0</v>
      </c>
      <c r="KG26" s="9">
        <f>KF26</f>
        <v>0</v>
      </c>
      <c r="KH26" s="9">
        <f>IF(JS26=0,1,0)</f>
        <v>1</v>
      </c>
      <c r="KI26" s="9">
        <f>KH26</f>
        <v>1</v>
      </c>
      <c r="KJ26" s="9">
        <f t="shared" ref="KJ26:KJ34" si="632">IF(JS26=1,1,0)</f>
        <v>0</v>
      </c>
      <c r="KK26" s="9">
        <f>KJ26+KK21</f>
        <v>0</v>
      </c>
      <c r="KL26" s="9">
        <f>IF(JS26=2,1,0)</f>
        <v>0</v>
      </c>
      <c r="KM26" s="9">
        <f>KL26</f>
        <v>0</v>
      </c>
      <c r="KN26" s="9">
        <f t="shared" ref="KN26:KN34" si="633">IF(JS26&gt;=3,1,0)</f>
        <v>0</v>
      </c>
      <c r="KO26" s="9">
        <f>KN26+KO21</f>
        <v>0</v>
      </c>
      <c r="KP26" s="9"/>
      <c r="KQ26" s="9">
        <f>IF($E26=4,JQ26-4,NA())</f>
        <v>-4</v>
      </c>
      <c r="KR26" s="9"/>
      <c r="KS26" s="10" t="e">
        <f>JQ26-'Zusammenfassung Tag1-4'!#REF!/18</f>
        <v>#REF!</v>
      </c>
      <c r="KT26" s="12" t="e">
        <f>KS26+KT21</f>
        <v>#REF!</v>
      </c>
    </row>
    <row r="27" spans="1:306" ht="13.2" x14ac:dyDescent="0.25">
      <c r="A27" s="179"/>
      <c r="B27" s="176"/>
      <c r="C27" s="44">
        <v>2</v>
      </c>
      <c r="D27" s="2">
        <f>D26+1</f>
        <v>20</v>
      </c>
      <c r="E27" s="44">
        <v>5</v>
      </c>
      <c r="F27" s="4">
        <f t="shared" ref="F27:F34" si="634">E27+F26</f>
        <v>81</v>
      </c>
      <c r="G27" s="53">
        <v>7</v>
      </c>
      <c r="H27" s="2">
        <f>G27+H26</f>
        <v>94</v>
      </c>
      <c r="I27" s="56">
        <v>3</v>
      </c>
      <c r="J27" s="2">
        <f t="shared" ref="J27:J34" si="635">I27+J26</f>
        <v>39</v>
      </c>
      <c r="K27" s="2">
        <f t="shared" si="579"/>
        <v>0</v>
      </c>
      <c r="L27" s="2">
        <f t="shared" ref="L27:L34" si="636">K27+L26</f>
        <v>6</v>
      </c>
      <c r="M27" s="2">
        <f t="shared" si="580"/>
        <v>0</v>
      </c>
      <c r="N27" s="2">
        <f t="shared" ref="N27:N34" si="637">M27+N26</f>
        <v>3</v>
      </c>
      <c r="O27" s="2"/>
      <c r="P27" s="2">
        <f t="shared" si="581"/>
        <v>0</v>
      </c>
      <c r="Q27" s="2">
        <f t="shared" ref="Q27:Q34" si="638">P27+Q26</f>
        <v>1</v>
      </c>
      <c r="R27" s="2">
        <f t="shared" si="582"/>
        <v>0</v>
      </c>
      <c r="S27" s="2">
        <f t="shared" ref="S27:S34" si="639">R27+S26</f>
        <v>0</v>
      </c>
      <c r="T27" s="2">
        <f t="shared" si="583"/>
        <v>0</v>
      </c>
      <c r="U27" s="2">
        <f t="shared" ref="U27:U34" si="640">T27+U26</f>
        <v>1</v>
      </c>
      <c r="V27" s="2">
        <f t="shared" si="584"/>
        <v>1</v>
      </c>
      <c r="W27" s="2">
        <f t="shared" ref="W27:W34" si="641">V27+W26</f>
        <v>1</v>
      </c>
      <c r="X27" s="2">
        <f t="shared" si="585"/>
        <v>0</v>
      </c>
      <c r="Y27" s="2">
        <f t="shared" ref="Y27:Y34" si="642">X27+Y26</f>
        <v>0</v>
      </c>
      <c r="Z27" s="2">
        <f t="shared" si="586"/>
        <v>0</v>
      </c>
      <c r="AA27" s="2">
        <f t="shared" ref="AA27:AA34" si="643">Z27+AA26</f>
        <v>4</v>
      </c>
      <c r="AB27" s="2">
        <f t="shared" si="587"/>
        <v>0</v>
      </c>
      <c r="AC27" s="2">
        <f t="shared" ref="AC27:AC34" si="644">AB27+AC26</f>
        <v>1</v>
      </c>
      <c r="AD27" s="2">
        <f t="shared" si="588"/>
        <v>1</v>
      </c>
      <c r="AE27" s="2">
        <f t="shared" ref="AE27:AE34" si="645">AD27+AE26</f>
        <v>2</v>
      </c>
      <c r="AF27" s="2"/>
      <c r="AG27" s="2"/>
      <c r="AH27" s="2">
        <f>IF($E27=5,G27-5,NA())</f>
        <v>2</v>
      </c>
      <c r="AI27" s="41">
        <f>G27-'Zusammenfassung Tag1-4'!$B$2/18</f>
        <v>6.166666666666667</v>
      </c>
      <c r="AJ27" s="13">
        <f t="shared" ref="AJ27:AJ34" si="646">AI27+AJ26</f>
        <v>77.333333333333329</v>
      </c>
      <c r="AK27" s="53">
        <v>5</v>
      </c>
      <c r="AL27" s="2">
        <f>AK27+AL26</f>
        <v>103</v>
      </c>
      <c r="AM27" s="56">
        <v>2</v>
      </c>
      <c r="AN27" s="2">
        <f t="shared" ref="AN27:AN34" si="647">AM27+AN26</f>
        <v>39</v>
      </c>
      <c r="AO27" s="2">
        <f t="shared" si="589"/>
        <v>1</v>
      </c>
      <c r="AP27" s="2">
        <f t="shared" ref="AP27:AP34" si="648">AO27+AP26</f>
        <v>9</v>
      </c>
      <c r="AQ27" s="2">
        <f t="shared" si="590"/>
        <v>0</v>
      </c>
      <c r="AR27" s="2">
        <f t="shared" ref="AR27:AR34" si="649">AQ27+AR26</f>
        <v>1</v>
      </c>
      <c r="AS27" s="2"/>
      <c r="AT27" s="2">
        <f t="shared" si="591"/>
        <v>0</v>
      </c>
      <c r="AU27" s="2">
        <f t="shared" ref="AU27:AU34" si="650">AT27+AU26</f>
        <v>0</v>
      </c>
      <c r="AV27" s="2">
        <f t="shared" ref="AV27:AV33" si="651">IF(AK27=$E27,1,0)</f>
        <v>1</v>
      </c>
      <c r="AW27" s="2">
        <f t="shared" ref="AW27:AW34" si="652">AV27+AW26</f>
        <v>1</v>
      </c>
      <c r="AX27" s="2">
        <f t="shared" ref="AX27:AX34" si="653">IF(AK27-$E27=1,1,0)</f>
        <v>0</v>
      </c>
      <c r="AY27" s="2">
        <f t="shared" ref="AY27:AY34" si="654">AX27+AY26</f>
        <v>1</v>
      </c>
      <c r="AZ27" s="2">
        <f t="shared" ref="AZ27:AZ34" si="655">IF(AK27-$E27&gt;=2,1,0)</f>
        <v>0</v>
      </c>
      <c r="BA27" s="2">
        <f t="shared" ref="BA27:BA34" si="656">AZ27+BA26</f>
        <v>0</v>
      </c>
      <c r="BB27" s="2">
        <f t="shared" ref="BB27:BB34" si="657">IF(AM27=0,1,0)</f>
        <v>0</v>
      </c>
      <c r="BC27" s="2">
        <f t="shared" ref="BC27:BC34" si="658">BB27+BC26</f>
        <v>0</v>
      </c>
      <c r="BD27" s="2">
        <f t="shared" si="592"/>
        <v>0</v>
      </c>
      <c r="BE27" s="2">
        <f t="shared" ref="BE27:BE34" si="659">BD27+BE26</f>
        <v>3</v>
      </c>
      <c r="BF27" s="2">
        <f t="shared" ref="BF27:BF34" si="660">IF(AM27=2,1,0)</f>
        <v>1</v>
      </c>
      <c r="BG27" s="2">
        <f t="shared" ref="BG27:BG34" si="661">BF27+BG26</f>
        <v>1</v>
      </c>
      <c r="BH27" s="2">
        <f t="shared" si="593"/>
        <v>0</v>
      </c>
      <c r="BI27" s="2">
        <f t="shared" ref="BI27:BI34" si="662">BH27+BI26</f>
        <v>2</v>
      </c>
      <c r="BJ27" s="2"/>
      <c r="BK27" s="2"/>
      <c r="BL27" s="2">
        <f t="shared" ref="BL27:BL28" si="663">IF($E27=5,AK27-5,NA())</f>
        <v>0</v>
      </c>
      <c r="BM27" s="41">
        <f>AK27-'Zusammenfassung Tag1-4'!$C$2/18</f>
        <v>4.4444444444444446</v>
      </c>
      <c r="BN27" s="13">
        <f t="shared" ref="BN27:BN34" si="664">BM27+BN26</f>
        <v>91.888888888888872</v>
      </c>
      <c r="BO27" s="53">
        <v>6</v>
      </c>
      <c r="BP27" s="2">
        <f>BO27+BP26</f>
        <v>120</v>
      </c>
      <c r="BQ27" s="56">
        <v>2</v>
      </c>
      <c r="BR27" s="2">
        <f t="shared" ref="BR27:BR34" si="665">BQ27+BR26</f>
        <v>47</v>
      </c>
      <c r="BS27" s="2">
        <f t="shared" si="594"/>
        <v>0</v>
      </c>
      <c r="BT27" s="2">
        <f t="shared" ref="BT27:BT34" si="666">BS27+BT26</f>
        <v>5</v>
      </c>
      <c r="BU27" s="2">
        <f t="shared" si="595"/>
        <v>0</v>
      </c>
      <c r="BV27" s="2">
        <f t="shared" ref="BV27:BV34" si="667">BU27+BV26</f>
        <v>0</v>
      </c>
      <c r="BW27" s="2"/>
      <c r="BX27" s="2">
        <f t="shared" si="596"/>
        <v>0</v>
      </c>
      <c r="BY27" s="2">
        <f t="shared" ref="BY27:CG34" si="668">BX27+BY26</f>
        <v>0</v>
      </c>
      <c r="BZ27" s="2">
        <f t="shared" ref="BZ27:BZ33" si="669">IF(BO27=$E27,1,0)</f>
        <v>0</v>
      </c>
      <c r="CA27" s="2">
        <f t="shared" ref="CA27:CA34" si="670">BZ27+CA26</f>
        <v>0</v>
      </c>
      <c r="CB27" s="2">
        <f t="shared" ref="CB27:CB34" si="671">IF(BO27-$E27=1,1,0)</f>
        <v>1</v>
      </c>
      <c r="CC27" s="2">
        <f t="shared" ref="CC27:CC34" si="672">CB27+CC26</f>
        <v>1</v>
      </c>
      <c r="CD27" s="2">
        <f t="shared" ref="CD27:CD34" si="673">IF(BO27-$E27&gt;=2,1,0)</f>
        <v>0</v>
      </c>
      <c r="CE27" s="2">
        <f t="shared" ref="CE27:CE34" si="674">CD27+CE26</f>
        <v>1</v>
      </c>
      <c r="CF27" s="2">
        <f t="shared" ref="CF27:CF34" si="675">IF(BQ27=0,1,0)</f>
        <v>0</v>
      </c>
      <c r="CG27" s="2">
        <f t="shared" si="668"/>
        <v>0</v>
      </c>
      <c r="CH27" s="2">
        <f t="shared" si="597"/>
        <v>0</v>
      </c>
      <c r="CI27" s="2">
        <f t="shared" ref="CI27:CI34" si="676">CH27+CI26</f>
        <v>1</v>
      </c>
      <c r="CJ27" s="2">
        <f t="shared" ref="CJ27:CJ34" si="677">IF(BQ27=2,1,0)</f>
        <v>1</v>
      </c>
      <c r="CK27" s="2">
        <f t="shared" ref="CK27:CK34" si="678">CJ27+CK26</f>
        <v>1</v>
      </c>
      <c r="CL27" s="2">
        <f t="shared" si="598"/>
        <v>0</v>
      </c>
      <c r="CM27" s="2">
        <f t="shared" ref="CM27:CM34" si="679">CL27+CM26</f>
        <v>8</v>
      </c>
      <c r="CN27" s="2"/>
      <c r="CO27" s="2"/>
      <c r="CP27" s="2">
        <f t="shared" ref="CP27:CP28" si="680">IF($E27=5,BO27-5,NA())</f>
        <v>1</v>
      </c>
      <c r="CQ27" s="41">
        <f>BO27-'Zusammenfassung Tag1-4'!$D$2/18</f>
        <v>4.9444444444444446</v>
      </c>
      <c r="CR27" s="13">
        <f t="shared" ref="CR27:CR34" si="681">CQ27+CR26</f>
        <v>98.888888888888872</v>
      </c>
      <c r="CS27" s="53">
        <v>6</v>
      </c>
      <c r="CT27" s="2">
        <f>CS27+CT26</f>
        <v>114</v>
      </c>
      <c r="CU27" s="56">
        <v>2</v>
      </c>
      <c r="CV27" s="2">
        <f t="shared" ref="CV27:CV34" si="682">CU27+CV26</f>
        <v>47</v>
      </c>
      <c r="CW27" s="2">
        <f t="shared" si="599"/>
        <v>0</v>
      </c>
      <c r="CX27" s="2">
        <f t="shared" ref="CX27:CX34" si="683">CW27+CX26</f>
        <v>6</v>
      </c>
      <c r="CY27" s="2">
        <f t="shared" si="600"/>
        <v>0</v>
      </c>
      <c r="CZ27" s="2">
        <f t="shared" ref="CZ27:CZ34" si="684">CY27+CZ26</f>
        <v>0</v>
      </c>
      <c r="DA27" s="2"/>
      <c r="DB27" s="2">
        <f t="shared" si="601"/>
        <v>0</v>
      </c>
      <c r="DC27" s="2">
        <f t="shared" ref="DC27:DC34" si="685">DB27+DC26</f>
        <v>0</v>
      </c>
      <c r="DD27" s="2">
        <f t="shared" ref="DD27:DD33" si="686">IF(CS27=$E27,1,0)</f>
        <v>0</v>
      </c>
      <c r="DE27" s="2">
        <f t="shared" ref="DE27:DE34" si="687">DD27+DE26</f>
        <v>0</v>
      </c>
      <c r="DF27" s="2">
        <f t="shared" ref="DF27:DF34" si="688">IF(CS27-$E27=1,1,0)</f>
        <v>1</v>
      </c>
      <c r="DG27" s="2">
        <f t="shared" ref="DG27:DG34" si="689">DF27+DG26</f>
        <v>1</v>
      </c>
      <c r="DH27" s="2">
        <f t="shared" ref="DH27:DH34" si="690">IF(CS27-$E27&gt;=2,1,0)</f>
        <v>0</v>
      </c>
      <c r="DI27" s="2">
        <f t="shared" ref="DI27:DI34" si="691">DH27+DI26</f>
        <v>1</v>
      </c>
      <c r="DJ27" s="2">
        <f t="shared" ref="DJ27:DJ34" si="692">IF(CU27=0,1,0)</f>
        <v>0</v>
      </c>
      <c r="DK27" s="2">
        <f t="shared" ref="DK27:DK34" si="693">DJ27+DK26</f>
        <v>0</v>
      </c>
      <c r="DL27" s="2">
        <f t="shared" si="602"/>
        <v>0</v>
      </c>
      <c r="DM27" s="2">
        <f t="shared" ref="DM27:DM34" si="694">DL27+DM26</f>
        <v>2</v>
      </c>
      <c r="DN27" s="2">
        <f t="shared" ref="DN27:DN34" si="695">IF(CU27=2,1,0)</f>
        <v>1</v>
      </c>
      <c r="DO27" s="2">
        <f t="shared" ref="DO27:DO34" si="696">DN27+DO26</f>
        <v>2</v>
      </c>
      <c r="DP27" s="2">
        <f t="shared" si="603"/>
        <v>0</v>
      </c>
      <c r="DQ27" s="2">
        <f t="shared" ref="DQ27:DQ34" si="697">DP27+DQ26</f>
        <v>8</v>
      </c>
      <c r="DR27" s="2"/>
      <c r="DS27" s="2"/>
      <c r="DT27" s="2">
        <f t="shared" ref="DT27:DT28" si="698">IF($E27=5,CS27-5,NA())</f>
        <v>1</v>
      </c>
      <c r="DU27" s="41">
        <f>CS27-'Zusammenfassung Tag1-4'!$E$2/18</f>
        <v>5</v>
      </c>
      <c r="DV27" s="14">
        <f t="shared" ref="DV27:DV34" si="699">DU27+DV26</f>
        <v>94</v>
      </c>
      <c r="DW27" s="53">
        <v>9</v>
      </c>
      <c r="DX27" s="2">
        <v>9</v>
      </c>
      <c r="DY27" s="56">
        <v>2</v>
      </c>
      <c r="DZ27" s="2">
        <f t="shared" ref="DZ27:DZ34" si="700">DY27+DZ26</f>
        <v>49</v>
      </c>
      <c r="EA27" s="2">
        <f t="shared" si="604"/>
        <v>0</v>
      </c>
      <c r="EB27" s="2">
        <f t="shared" ref="EB27:EB34" si="701">EA27+EB26</f>
        <v>0</v>
      </c>
      <c r="EC27" s="2">
        <f t="shared" si="605"/>
        <v>0</v>
      </c>
      <c r="ED27" s="2">
        <f t="shared" ref="ED27:ED34" si="702">EC27+ED26</f>
        <v>0</v>
      </c>
      <c r="EE27" s="2"/>
      <c r="EF27" s="2">
        <f t="shared" si="606"/>
        <v>0</v>
      </c>
      <c r="EG27" s="2">
        <f t="shared" ref="EG27:EG34" si="703">EF27+EG26</f>
        <v>0</v>
      </c>
      <c r="EH27" s="2">
        <f t="shared" ref="EH27:EH33" si="704">IF(DW27=$E27,1,0)</f>
        <v>0</v>
      </c>
      <c r="EI27" s="2">
        <f t="shared" ref="EI27:EI34" si="705">EH27+EI26</f>
        <v>0</v>
      </c>
      <c r="EJ27" s="2">
        <f t="shared" ref="EJ27:EJ34" si="706">IF(DW27-$E27=1,1,0)</f>
        <v>0</v>
      </c>
      <c r="EK27" s="2">
        <f t="shared" ref="EK27:EK34" si="707">EJ27+EK26</f>
        <v>1</v>
      </c>
      <c r="EL27" s="2">
        <f t="shared" ref="EL27:EL34" si="708">IF(DW27-$E27&gt;=2,1,0)</f>
        <v>1</v>
      </c>
      <c r="EM27" s="2">
        <f t="shared" ref="EM27:EM34" si="709">EL27+EM26</f>
        <v>1</v>
      </c>
      <c r="EN27" s="2">
        <f t="shared" ref="EN27:EN34" si="710">IF(DY27=0,1,0)</f>
        <v>0</v>
      </c>
      <c r="EO27" s="2">
        <f t="shared" ref="EO27:EO34" si="711">EN27+EO26</f>
        <v>0</v>
      </c>
      <c r="EP27" s="2">
        <f t="shared" si="607"/>
        <v>0</v>
      </c>
      <c r="EQ27" s="2">
        <f t="shared" ref="EQ27:EQ34" si="712">EP27+EQ26</f>
        <v>0</v>
      </c>
      <c r="ER27" s="2">
        <f t="shared" ref="ER27:ER34" si="713">IF(DY27=2,1,0)</f>
        <v>1</v>
      </c>
      <c r="ES27" s="2">
        <f t="shared" ref="ES27:ES34" si="714">ER27+ES26</f>
        <v>2</v>
      </c>
      <c r="ET27" s="2">
        <f t="shared" si="608"/>
        <v>0</v>
      </c>
      <c r="EU27" s="2">
        <f t="shared" ref="EU27:EU34" si="715">ET27+EU26</f>
        <v>8</v>
      </c>
      <c r="EV27" s="2"/>
      <c r="EW27" s="2"/>
      <c r="EX27" s="2">
        <f t="shared" ref="EX27:EX28" si="716">IF($E27=5,DW27-5,NA())</f>
        <v>4</v>
      </c>
      <c r="EY27" s="41">
        <f>DW27-'Zusammenfassung Tag1-4'!$F$2/18</f>
        <v>6.5</v>
      </c>
      <c r="EZ27" s="14">
        <f t="shared" ref="EZ27:EZ34" si="717">EY27+EZ26</f>
        <v>100</v>
      </c>
      <c r="FA27" s="53">
        <v>7</v>
      </c>
      <c r="FB27" s="2">
        <v>111</v>
      </c>
      <c r="FC27" s="56">
        <v>1</v>
      </c>
      <c r="FD27" s="2">
        <f t="shared" ref="FD27:FD34" si="718">FC27+FD26</f>
        <v>41</v>
      </c>
      <c r="FE27" s="2">
        <f t="shared" si="609"/>
        <v>0</v>
      </c>
      <c r="FF27" s="2">
        <f t="shared" ref="FF27:FF34" si="719">FE27+FF26</f>
        <v>4</v>
      </c>
      <c r="FG27" s="2">
        <f t="shared" si="610"/>
        <v>0</v>
      </c>
      <c r="FH27" s="2">
        <f t="shared" ref="FH27:FH34" si="720">FG27+FH26</f>
        <v>1</v>
      </c>
      <c r="FI27" s="2"/>
      <c r="FJ27" s="2">
        <f t="shared" si="611"/>
        <v>0</v>
      </c>
      <c r="FK27" s="2">
        <f t="shared" ref="FK27:FK34" si="721">FJ27+FK26</f>
        <v>0</v>
      </c>
      <c r="FL27" s="2">
        <f t="shared" ref="FL27:FL33" si="722">IF(FA27=$E27,1,0)</f>
        <v>0</v>
      </c>
      <c r="FM27" s="2">
        <f t="shared" ref="FM27:FM34" si="723">FL27+FM26</f>
        <v>1</v>
      </c>
      <c r="FN27" s="2">
        <f t="shared" ref="FN27:FN34" si="724">IF(FA27-$E27=1,1,0)</f>
        <v>0</v>
      </c>
      <c r="FO27" s="2">
        <f t="shared" ref="FO27:FO34" si="725">FN27+FO26</f>
        <v>0</v>
      </c>
      <c r="FP27" s="2">
        <f t="shared" ref="FP27:FP34" si="726">IF(FA27-$E27&gt;=2,1,0)</f>
        <v>1</v>
      </c>
      <c r="FQ27" s="2">
        <f t="shared" ref="FQ27:FQ34" si="727">FP27+FQ26</f>
        <v>1</v>
      </c>
      <c r="FR27" s="2">
        <f t="shared" ref="FR27:FR34" si="728">IF(FC27=0,1,0)</f>
        <v>0</v>
      </c>
      <c r="FS27" s="2">
        <f t="shared" ref="FS27:FS34" si="729">FR27+FS26</f>
        <v>0</v>
      </c>
      <c r="FT27" s="2">
        <f t="shared" si="612"/>
        <v>1</v>
      </c>
      <c r="FU27" s="2">
        <f t="shared" ref="FU27:FU34" si="730">FT27+FU26</f>
        <v>4</v>
      </c>
      <c r="FV27" s="2">
        <f t="shared" ref="FV27:FV34" si="731">IF(FC27=2,1,0)</f>
        <v>0</v>
      </c>
      <c r="FW27" s="2">
        <f t="shared" ref="FW27:FW34" si="732">FV27+FW26</f>
        <v>1</v>
      </c>
      <c r="FX27" s="2">
        <f t="shared" si="613"/>
        <v>0</v>
      </c>
      <c r="FY27" s="2">
        <f t="shared" ref="FY27:FY34" si="733">FX27+FY26</f>
        <v>5</v>
      </c>
      <c r="FZ27" s="2"/>
      <c r="GA27" s="2"/>
      <c r="GB27" s="2">
        <f t="shared" ref="GB27:GB28" si="734">IF($E27=5,FA27-5,NA())</f>
        <v>2</v>
      </c>
      <c r="GC27" s="41">
        <f>FA27-'Zusammenfassung Tag1-4'!$G$2/18</f>
        <v>5.7222222222222223</v>
      </c>
      <c r="GD27" s="14">
        <f t="shared" ref="GD27:GD34" si="735">GC27+GD26</f>
        <v>86.444444444444471</v>
      </c>
      <c r="GE27" s="53">
        <v>7</v>
      </c>
      <c r="GF27" s="2">
        <v>147</v>
      </c>
      <c r="GG27" s="56">
        <v>2</v>
      </c>
      <c r="GH27" s="2">
        <f t="shared" ref="GH27:GH34" si="736">GG27+GH26</f>
        <v>39</v>
      </c>
      <c r="GI27" s="2">
        <f t="shared" si="614"/>
        <v>0</v>
      </c>
      <c r="GJ27" s="2">
        <f t="shared" ref="GJ27:GJ34" si="737">GI27+GJ26</f>
        <v>1</v>
      </c>
      <c r="GK27" s="2">
        <f t="shared" si="615"/>
        <v>0</v>
      </c>
      <c r="GL27" s="2">
        <f t="shared" ref="GL27:GL34" si="738">GK27+GL26</f>
        <v>1</v>
      </c>
      <c r="GM27" s="2"/>
      <c r="GN27" s="2">
        <f t="shared" si="616"/>
        <v>0</v>
      </c>
      <c r="GO27" s="2">
        <f t="shared" ref="GO27:GO34" si="739">GN27+GO26</f>
        <v>0</v>
      </c>
      <c r="GP27" s="2">
        <f t="shared" ref="GP27:GP33" si="740">IF(GE27=$E27,1,0)</f>
        <v>0</v>
      </c>
      <c r="GQ27" s="2">
        <f t="shared" ref="GQ27:GQ34" si="741">GP27+GQ26</f>
        <v>0</v>
      </c>
      <c r="GR27" s="2">
        <f t="shared" ref="GR27:GR34" si="742">IF(GE27-$E27=1,1,0)</f>
        <v>0</v>
      </c>
      <c r="GS27" s="2">
        <f t="shared" ref="GS27:GS34" si="743">GR27+GS26</f>
        <v>0</v>
      </c>
      <c r="GT27" s="2">
        <f t="shared" ref="GT27:GT34" si="744">IF(GE27-$E27&gt;=2,1,0)</f>
        <v>1</v>
      </c>
      <c r="GU27" s="2">
        <f t="shared" ref="GU27:GU34" si="745">GT27+GU26</f>
        <v>2</v>
      </c>
      <c r="GV27" s="2">
        <f t="shared" ref="GV27:GV34" si="746">IF(GG27=0,1,0)</f>
        <v>0</v>
      </c>
      <c r="GW27" s="2">
        <f t="shared" ref="GW27:GW34" si="747">GV27+GW26</f>
        <v>0</v>
      </c>
      <c r="GX27" s="2">
        <f t="shared" si="617"/>
        <v>0</v>
      </c>
      <c r="GY27" s="2">
        <f t="shared" ref="GY27:GY34" si="748">GX27+GY26</f>
        <v>4</v>
      </c>
      <c r="GZ27" s="2">
        <f t="shared" ref="GZ27:GZ34" si="749">IF(GG27=2,1,0)</f>
        <v>1</v>
      </c>
      <c r="HA27" s="2">
        <f t="shared" ref="HA27:HA34" si="750">GZ27+HA26</f>
        <v>1</v>
      </c>
      <c r="HB27" s="2">
        <f t="shared" si="618"/>
        <v>0</v>
      </c>
      <c r="HC27" s="2">
        <f t="shared" ref="HC27:HC34" si="751">HB27+HC26</f>
        <v>3</v>
      </c>
      <c r="HD27" s="2"/>
      <c r="HE27" s="2"/>
      <c r="HF27" s="2">
        <f t="shared" ref="HF27:HF28" si="752">IF($E27=5,GE27-5,NA())</f>
        <v>2</v>
      </c>
      <c r="HG27" s="41">
        <f>GE27-'Zusammenfassung Tag1-4'!$H$2/18</f>
        <v>5.2222222222222223</v>
      </c>
      <c r="HH27" s="14">
        <f t="shared" ref="HH27:HH34" si="753">HG27+HH26</f>
        <v>102.44444444444449</v>
      </c>
      <c r="HI27" s="53">
        <v>6</v>
      </c>
      <c r="HJ27" s="2">
        <v>108</v>
      </c>
      <c r="HK27" s="56">
        <v>3</v>
      </c>
      <c r="HL27" s="2">
        <f t="shared" ref="HL27:HL34" si="754">HK27+HL26</f>
        <v>40</v>
      </c>
      <c r="HM27" s="2">
        <f t="shared" si="619"/>
        <v>1</v>
      </c>
      <c r="HN27" s="2">
        <f t="shared" ref="HN27:HN34" si="755">HM27+HN26</f>
        <v>2</v>
      </c>
      <c r="HO27" s="2">
        <f t="shared" si="620"/>
        <v>0</v>
      </c>
      <c r="HP27" s="2">
        <f t="shared" ref="HP27:HP34" si="756">HO27+HP26</f>
        <v>1</v>
      </c>
      <c r="HQ27" s="2"/>
      <c r="HR27" s="2">
        <f t="shared" si="621"/>
        <v>0</v>
      </c>
      <c r="HS27" s="2">
        <f t="shared" ref="HS27:HS34" si="757">HR27+HS26</f>
        <v>0</v>
      </c>
      <c r="HT27" s="2">
        <f t="shared" ref="HT27:HT33" si="758">IF(HI27=$E27,1,0)</f>
        <v>0</v>
      </c>
      <c r="HU27" s="2">
        <f t="shared" ref="HU27:HU34" si="759">HT27+HU26</f>
        <v>0</v>
      </c>
      <c r="HV27" s="2">
        <f t="shared" ref="HV27:HV34" si="760">IF(HI27-$E27=1,1,0)</f>
        <v>1</v>
      </c>
      <c r="HW27" s="2">
        <f t="shared" ref="HW27:HW34" si="761">HV27+HW26</f>
        <v>2</v>
      </c>
      <c r="HX27" s="2">
        <f t="shared" ref="HX27:HX34" si="762">IF(HI27-$E27&gt;=2,1,0)</f>
        <v>0</v>
      </c>
      <c r="HY27" s="2">
        <f t="shared" ref="HY27:HY34" si="763">HX27+HY26</f>
        <v>0</v>
      </c>
      <c r="HZ27" s="2">
        <f t="shared" ref="HZ27:HZ34" si="764">IF(HK27=0,1,0)</f>
        <v>0</v>
      </c>
      <c r="IA27" s="2">
        <f t="shared" ref="IA27:IA34" si="765">HZ27+IA26</f>
        <v>0</v>
      </c>
      <c r="IB27" s="2">
        <f t="shared" si="622"/>
        <v>0</v>
      </c>
      <c r="IC27" s="2">
        <f t="shared" ref="IC27:IC34" si="766">IB27+IC26</f>
        <v>3</v>
      </c>
      <c r="ID27" s="2">
        <f t="shared" ref="ID27:ID34" si="767">IF(HK27=2,1,0)</f>
        <v>0</v>
      </c>
      <c r="IE27" s="2">
        <f t="shared" ref="IE27:IE34" si="768">ID27+IE26</f>
        <v>1</v>
      </c>
      <c r="IF27" s="2">
        <f t="shared" si="623"/>
        <v>1</v>
      </c>
      <c r="IG27" s="2">
        <f t="shared" ref="IG27:IG34" si="769">IF27+IG26</f>
        <v>3</v>
      </c>
      <c r="IH27" s="2"/>
      <c r="II27" s="2"/>
      <c r="IJ27" s="2">
        <f t="shared" ref="IJ27:IJ28" si="770">IF($E27=5,HI27-5,NA())</f>
        <v>1</v>
      </c>
      <c r="IK27" s="41">
        <f>HI27-'Zusammenfassung Tag1-4'!$I$2/18</f>
        <v>5.1111111111111107</v>
      </c>
      <c r="IL27" s="14">
        <f t="shared" ref="IL27:IL34" si="771">IK27+IL26</f>
        <v>97.222222222222257</v>
      </c>
      <c r="IM27" s="53">
        <v>8</v>
      </c>
      <c r="IN27" s="2">
        <v>17</v>
      </c>
      <c r="IO27" s="56">
        <v>2</v>
      </c>
      <c r="IP27" s="2">
        <f t="shared" ref="IP27:IP34" si="772">IO27+IP26</f>
        <v>53</v>
      </c>
      <c r="IQ27" s="2">
        <f t="shared" si="624"/>
        <v>0</v>
      </c>
      <c r="IR27" s="2">
        <f t="shared" ref="IR27:IR34" si="773">IQ27+IR26</f>
        <v>5</v>
      </c>
      <c r="IS27" s="2">
        <f t="shared" si="625"/>
        <v>0</v>
      </c>
      <c r="IT27" s="2">
        <f t="shared" ref="IT27:IT34" si="774">IS27+IT26</f>
        <v>0</v>
      </c>
      <c r="IU27" s="2"/>
      <c r="IV27" s="2">
        <f t="shared" si="626"/>
        <v>0</v>
      </c>
      <c r="IW27" s="2">
        <f t="shared" ref="IW27:IW34" si="775">IV27+IW26</f>
        <v>0</v>
      </c>
      <c r="IX27" s="2">
        <f t="shared" ref="IX27:IX33" si="776">IF(IM27=$E27,1,0)</f>
        <v>0</v>
      </c>
      <c r="IY27" s="2">
        <f t="shared" ref="IY27:IY34" si="777">IX27+IY26</f>
        <v>0</v>
      </c>
      <c r="IZ27" s="2">
        <f t="shared" ref="IZ27:IZ34" si="778">IF(IM27-$E27=1,1,0)</f>
        <v>0</v>
      </c>
      <c r="JA27" s="2">
        <f t="shared" ref="JA27:JA34" si="779">IZ27+JA26</f>
        <v>0</v>
      </c>
      <c r="JB27" s="2">
        <f t="shared" ref="JB27:JB34" si="780">IF(IM27-$E27&gt;=2,1,0)</f>
        <v>1</v>
      </c>
      <c r="JC27" s="2">
        <f t="shared" ref="JC27:JC34" si="781">JB27+JC26</f>
        <v>2</v>
      </c>
      <c r="JD27" s="2">
        <f t="shared" ref="JD27:JD34" si="782">IF(IO27=0,1,0)</f>
        <v>0</v>
      </c>
      <c r="JE27" s="2">
        <f t="shared" ref="JE27:JE34" si="783">JD27+JE26</f>
        <v>0</v>
      </c>
      <c r="JF27" s="2">
        <f t="shared" si="627"/>
        <v>0</v>
      </c>
      <c r="JG27" s="2">
        <f t="shared" ref="JG27:JG34" si="784">JF27+JG26</f>
        <v>0</v>
      </c>
      <c r="JH27" s="2">
        <f t="shared" ref="JH27:JH34" si="785">IF(IO27=2,1,0)</f>
        <v>1</v>
      </c>
      <c r="JI27" s="2">
        <f t="shared" ref="JI27:JI34" si="786">JH27+JI26</f>
        <v>1</v>
      </c>
      <c r="JJ27" s="2">
        <f t="shared" si="628"/>
        <v>0</v>
      </c>
      <c r="JK27" s="2">
        <f t="shared" ref="JK27:JK34" si="787">JJ27+JK26</f>
        <v>10</v>
      </c>
      <c r="JL27" s="2"/>
      <c r="JM27" s="2"/>
      <c r="JN27" s="2">
        <f t="shared" ref="JN27:JN28" si="788">IF($E27=5,IM27-5,NA())</f>
        <v>3</v>
      </c>
      <c r="JO27" s="41">
        <f>IM27-'Zusammenfassung Tag1-4'!$J$2/18</f>
        <v>5.6666666666666661</v>
      </c>
      <c r="JP27" s="14">
        <f t="shared" ref="JP27:JP34" si="789">JO27+JP26</f>
        <v>91.333333333333343</v>
      </c>
      <c r="JQ27" s="53"/>
      <c r="JR27" s="2"/>
      <c r="JS27" s="56"/>
      <c r="JT27" s="2">
        <f t="shared" ref="JT27:JT34" si="790">JS27+JT26</f>
        <v>0</v>
      </c>
      <c r="JU27" s="2">
        <f t="shared" si="629"/>
        <v>1</v>
      </c>
      <c r="JV27" s="2">
        <f t="shared" ref="JV27:JV34" si="791">JU27+JV26</f>
        <v>20</v>
      </c>
      <c r="JW27" s="2">
        <f t="shared" si="630"/>
        <v>0</v>
      </c>
      <c r="JX27" s="2">
        <f t="shared" ref="JX27:JX34" si="792">JW27+JX26</f>
        <v>0</v>
      </c>
      <c r="JY27" s="2"/>
      <c r="JZ27" s="2">
        <f t="shared" si="631"/>
        <v>0</v>
      </c>
      <c r="KA27" s="2">
        <f t="shared" ref="KA27:KA34" si="793">JZ27+KA26</f>
        <v>0</v>
      </c>
      <c r="KB27" s="2">
        <f t="shared" ref="KB27:KB33" si="794">IF(JQ27=$E27,1,0)</f>
        <v>0</v>
      </c>
      <c r="KC27" s="2">
        <f t="shared" ref="KC27:KC34" si="795">KB27+KC26</f>
        <v>0</v>
      </c>
      <c r="KD27" s="2">
        <f t="shared" ref="KD27:KD34" si="796">IF(JQ27-$E27=1,1,0)</f>
        <v>0</v>
      </c>
      <c r="KE27" s="2">
        <f t="shared" ref="KE27:KE34" si="797">KD27+KE26</f>
        <v>0</v>
      </c>
      <c r="KF27" s="2">
        <f t="shared" ref="KF27:KF34" si="798">IF(JQ27-$E27&gt;=2,1,0)</f>
        <v>0</v>
      </c>
      <c r="KG27" s="2">
        <f t="shared" ref="KG27:KG34" si="799">KF27+KG26</f>
        <v>0</v>
      </c>
      <c r="KH27" s="2">
        <f t="shared" ref="KH27:KH34" si="800">IF(JS27=0,1,0)</f>
        <v>1</v>
      </c>
      <c r="KI27" s="2">
        <f t="shared" ref="KI27:KI34" si="801">KH27+KI26</f>
        <v>2</v>
      </c>
      <c r="KJ27" s="2">
        <f t="shared" si="632"/>
        <v>0</v>
      </c>
      <c r="KK27" s="2">
        <f t="shared" ref="KK27:KK34" si="802">KJ27+KK26</f>
        <v>0</v>
      </c>
      <c r="KL27" s="2">
        <f t="shared" ref="KL27:KL34" si="803">IF(JS27=2,1,0)</f>
        <v>0</v>
      </c>
      <c r="KM27" s="2">
        <f t="shared" ref="KM27:KM34" si="804">KL27+KM26</f>
        <v>0</v>
      </c>
      <c r="KN27" s="2">
        <f t="shared" si="633"/>
        <v>0</v>
      </c>
      <c r="KO27" s="2">
        <f t="shared" ref="KO27:KO34" si="805">KN27+KO26</f>
        <v>0</v>
      </c>
      <c r="KP27" s="2"/>
      <c r="KQ27" s="2"/>
      <c r="KR27" s="2">
        <f t="shared" ref="KR27:KR28" si="806">IF($E27=5,JQ27-5,NA())</f>
        <v>-5</v>
      </c>
      <c r="KS27" s="41" t="e">
        <f>JQ27-'Zusammenfassung Tag1-4'!#REF!/18</f>
        <v>#REF!</v>
      </c>
      <c r="KT27" s="14" t="e">
        <f t="shared" ref="KT27:KT34" si="807">KS27+KT26</f>
        <v>#REF!</v>
      </c>
    </row>
    <row r="28" spans="1:306" ht="13.2" x14ac:dyDescent="0.25">
      <c r="A28" s="179"/>
      <c r="B28" s="176"/>
      <c r="C28" s="44">
        <v>3</v>
      </c>
      <c r="D28" s="2">
        <f t="shared" ref="D28:D34" si="808">D27+1</f>
        <v>21</v>
      </c>
      <c r="E28" s="44">
        <v>5</v>
      </c>
      <c r="F28" s="4">
        <f t="shared" si="634"/>
        <v>86</v>
      </c>
      <c r="G28" s="53">
        <v>9</v>
      </c>
      <c r="H28" s="2">
        <f t="shared" ref="H28:H34" si="809">G28+H27</f>
        <v>103</v>
      </c>
      <c r="I28" s="56">
        <v>3</v>
      </c>
      <c r="J28" s="2">
        <f t="shared" si="635"/>
        <v>42</v>
      </c>
      <c r="K28" s="2">
        <f t="shared" si="579"/>
        <v>0</v>
      </c>
      <c r="L28" s="2">
        <f t="shared" si="636"/>
        <v>6</v>
      </c>
      <c r="M28" s="2">
        <f t="shared" si="580"/>
        <v>0</v>
      </c>
      <c r="N28" s="2">
        <f t="shared" si="637"/>
        <v>3</v>
      </c>
      <c r="O28" s="2"/>
      <c r="P28" s="2">
        <f t="shared" si="581"/>
        <v>0</v>
      </c>
      <c r="Q28" s="2">
        <f t="shared" si="638"/>
        <v>1</v>
      </c>
      <c r="R28" s="2">
        <f t="shared" si="582"/>
        <v>0</v>
      </c>
      <c r="S28" s="2">
        <f t="shared" si="639"/>
        <v>0</v>
      </c>
      <c r="T28" s="2">
        <f t="shared" si="583"/>
        <v>0</v>
      </c>
      <c r="U28" s="2">
        <f t="shared" si="640"/>
        <v>1</v>
      </c>
      <c r="V28" s="2">
        <f t="shared" si="584"/>
        <v>1</v>
      </c>
      <c r="W28" s="2">
        <f t="shared" si="641"/>
        <v>2</v>
      </c>
      <c r="X28" s="2">
        <f t="shared" si="585"/>
        <v>0</v>
      </c>
      <c r="Y28" s="2">
        <f t="shared" si="642"/>
        <v>0</v>
      </c>
      <c r="Z28" s="2">
        <f t="shared" si="586"/>
        <v>0</v>
      </c>
      <c r="AA28" s="2">
        <f t="shared" si="643"/>
        <v>4</v>
      </c>
      <c r="AB28" s="2">
        <f t="shared" si="587"/>
        <v>0</v>
      </c>
      <c r="AC28" s="2">
        <f t="shared" si="644"/>
        <v>1</v>
      </c>
      <c r="AD28" s="2">
        <f t="shared" si="588"/>
        <v>1</v>
      </c>
      <c r="AE28" s="2">
        <f t="shared" si="645"/>
        <v>3</v>
      </c>
      <c r="AF28" s="2"/>
      <c r="AG28" s="2"/>
      <c r="AH28" s="2">
        <f>IF($E28=5,G28-5,NA())</f>
        <v>4</v>
      </c>
      <c r="AI28" s="41">
        <f>G28-'Zusammenfassung Tag1-4'!$B$2/18</f>
        <v>8.1666666666666661</v>
      </c>
      <c r="AJ28" s="13">
        <f t="shared" si="646"/>
        <v>85.5</v>
      </c>
      <c r="AK28" s="53">
        <v>5</v>
      </c>
      <c r="AL28" s="2">
        <f t="shared" ref="AL28:AL34" si="810">AK28+AL27</f>
        <v>108</v>
      </c>
      <c r="AM28" s="56">
        <v>1</v>
      </c>
      <c r="AN28" s="2">
        <f t="shared" si="647"/>
        <v>40</v>
      </c>
      <c r="AO28" s="2">
        <f t="shared" si="589"/>
        <v>0</v>
      </c>
      <c r="AP28" s="2">
        <f t="shared" si="648"/>
        <v>9</v>
      </c>
      <c r="AQ28" s="2">
        <f t="shared" si="590"/>
        <v>1</v>
      </c>
      <c r="AR28" s="2">
        <f t="shared" si="649"/>
        <v>2</v>
      </c>
      <c r="AS28" s="2"/>
      <c r="AT28" s="2">
        <f t="shared" si="591"/>
        <v>0</v>
      </c>
      <c r="AU28" s="2">
        <f t="shared" si="650"/>
        <v>0</v>
      </c>
      <c r="AV28" s="2">
        <f t="shared" si="651"/>
        <v>1</v>
      </c>
      <c r="AW28" s="2">
        <f t="shared" si="652"/>
        <v>2</v>
      </c>
      <c r="AX28" s="2">
        <f t="shared" si="653"/>
        <v>0</v>
      </c>
      <c r="AY28" s="2">
        <f t="shared" si="654"/>
        <v>1</v>
      </c>
      <c r="AZ28" s="2">
        <f t="shared" si="655"/>
        <v>0</v>
      </c>
      <c r="BA28" s="2">
        <f t="shared" si="656"/>
        <v>0</v>
      </c>
      <c r="BB28" s="2">
        <f t="shared" si="657"/>
        <v>0</v>
      </c>
      <c r="BC28" s="2">
        <f t="shared" si="658"/>
        <v>0</v>
      </c>
      <c r="BD28" s="2">
        <f t="shared" si="592"/>
        <v>1</v>
      </c>
      <c r="BE28" s="2">
        <f t="shared" si="659"/>
        <v>4</v>
      </c>
      <c r="BF28" s="2">
        <f t="shared" si="660"/>
        <v>0</v>
      </c>
      <c r="BG28" s="2">
        <f t="shared" si="661"/>
        <v>1</v>
      </c>
      <c r="BH28" s="2">
        <f t="shared" si="593"/>
        <v>0</v>
      </c>
      <c r="BI28" s="2">
        <f t="shared" si="662"/>
        <v>2</v>
      </c>
      <c r="BJ28" s="2"/>
      <c r="BK28" s="2"/>
      <c r="BL28" s="2">
        <f t="shared" si="663"/>
        <v>0</v>
      </c>
      <c r="BM28" s="41">
        <f>AK28-'Zusammenfassung Tag1-4'!$C$2/18</f>
        <v>4.4444444444444446</v>
      </c>
      <c r="BN28" s="13">
        <f t="shared" si="664"/>
        <v>96.333333333333314</v>
      </c>
      <c r="BO28" s="53">
        <v>6</v>
      </c>
      <c r="BP28" s="2">
        <f t="shared" ref="BP28:BP34" si="811">BO28+BP27</f>
        <v>126</v>
      </c>
      <c r="BQ28" s="56">
        <v>2</v>
      </c>
      <c r="BR28" s="2">
        <f t="shared" si="665"/>
        <v>49</v>
      </c>
      <c r="BS28" s="2">
        <f t="shared" si="594"/>
        <v>0</v>
      </c>
      <c r="BT28" s="2">
        <f t="shared" si="666"/>
        <v>5</v>
      </c>
      <c r="BU28" s="2">
        <f t="shared" si="595"/>
        <v>0</v>
      </c>
      <c r="BV28" s="2">
        <f t="shared" si="667"/>
        <v>0</v>
      </c>
      <c r="BW28" s="2"/>
      <c r="BX28" s="2">
        <f t="shared" si="596"/>
        <v>0</v>
      </c>
      <c r="BY28" s="2">
        <f t="shared" si="668"/>
        <v>0</v>
      </c>
      <c r="BZ28" s="2">
        <f t="shared" si="669"/>
        <v>0</v>
      </c>
      <c r="CA28" s="2">
        <f t="shared" si="670"/>
        <v>0</v>
      </c>
      <c r="CB28" s="2">
        <f t="shared" si="671"/>
        <v>1</v>
      </c>
      <c r="CC28" s="2">
        <f t="shared" si="672"/>
        <v>2</v>
      </c>
      <c r="CD28" s="2">
        <f t="shared" si="673"/>
        <v>0</v>
      </c>
      <c r="CE28" s="2">
        <f t="shared" si="674"/>
        <v>1</v>
      </c>
      <c r="CF28" s="2">
        <f t="shared" si="675"/>
        <v>0</v>
      </c>
      <c r="CG28" s="2">
        <f t="shared" si="668"/>
        <v>0</v>
      </c>
      <c r="CH28" s="2">
        <f t="shared" si="597"/>
        <v>0</v>
      </c>
      <c r="CI28" s="2">
        <f t="shared" si="676"/>
        <v>1</v>
      </c>
      <c r="CJ28" s="2">
        <f t="shared" si="677"/>
        <v>1</v>
      </c>
      <c r="CK28" s="2">
        <f t="shared" si="678"/>
        <v>2</v>
      </c>
      <c r="CL28" s="2">
        <f t="shared" si="598"/>
        <v>0</v>
      </c>
      <c r="CM28" s="2">
        <f t="shared" si="679"/>
        <v>8</v>
      </c>
      <c r="CN28" s="2"/>
      <c r="CO28" s="2"/>
      <c r="CP28" s="2">
        <f t="shared" si="680"/>
        <v>1</v>
      </c>
      <c r="CQ28" s="41">
        <f>BO28-'Zusammenfassung Tag1-4'!$D$2/18</f>
        <v>4.9444444444444446</v>
      </c>
      <c r="CR28" s="13">
        <f t="shared" si="681"/>
        <v>103.83333333333331</v>
      </c>
      <c r="CS28" s="53">
        <v>6</v>
      </c>
      <c r="CT28" s="2">
        <f t="shared" ref="CT28:CT34" si="812">CS28+CT27</f>
        <v>120</v>
      </c>
      <c r="CU28" s="56">
        <v>3</v>
      </c>
      <c r="CV28" s="2">
        <f t="shared" si="682"/>
        <v>50</v>
      </c>
      <c r="CW28" s="2">
        <f t="shared" si="599"/>
        <v>1</v>
      </c>
      <c r="CX28" s="2">
        <f t="shared" si="683"/>
        <v>7</v>
      </c>
      <c r="CY28" s="2">
        <f t="shared" si="600"/>
        <v>0</v>
      </c>
      <c r="CZ28" s="2">
        <f t="shared" si="684"/>
        <v>0</v>
      </c>
      <c r="DA28" s="2"/>
      <c r="DB28" s="2">
        <f t="shared" si="601"/>
        <v>0</v>
      </c>
      <c r="DC28" s="2">
        <f t="shared" si="685"/>
        <v>0</v>
      </c>
      <c r="DD28" s="2">
        <f t="shared" si="686"/>
        <v>0</v>
      </c>
      <c r="DE28" s="2">
        <f t="shared" si="687"/>
        <v>0</v>
      </c>
      <c r="DF28" s="2">
        <f t="shared" si="688"/>
        <v>1</v>
      </c>
      <c r="DG28" s="2">
        <f t="shared" si="689"/>
        <v>2</v>
      </c>
      <c r="DH28" s="2">
        <f t="shared" si="690"/>
        <v>0</v>
      </c>
      <c r="DI28" s="2">
        <f t="shared" si="691"/>
        <v>1</v>
      </c>
      <c r="DJ28" s="2">
        <f t="shared" si="692"/>
        <v>0</v>
      </c>
      <c r="DK28" s="2">
        <f t="shared" si="693"/>
        <v>0</v>
      </c>
      <c r="DL28" s="2">
        <f t="shared" si="602"/>
        <v>0</v>
      </c>
      <c r="DM28" s="2">
        <f t="shared" si="694"/>
        <v>2</v>
      </c>
      <c r="DN28" s="2">
        <f t="shared" si="695"/>
        <v>0</v>
      </c>
      <c r="DO28" s="2">
        <f t="shared" si="696"/>
        <v>2</v>
      </c>
      <c r="DP28" s="2">
        <f t="shared" si="603"/>
        <v>1</v>
      </c>
      <c r="DQ28" s="2">
        <f t="shared" si="697"/>
        <v>9</v>
      </c>
      <c r="DR28" s="2"/>
      <c r="DS28" s="2"/>
      <c r="DT28" s="2">
        <f t="shared" si="698"/>
        <v>1</v>
      </c>
      <c r="DU28" s="41">
        <f>CS28-'Zusammenfassung Tag1-4'!$E$2/18</f>
        <v>5</v>
      </c>
      <c r="DV28" s="14">
        <f t="shared" si="699"/>
        <v>99</v>
      </c>
      <c r="DW28" s="53">
        <v>7</v>
      </c>
      <c r="DX28" s="2">
        <v>16</v>
      </c>
      <c r="DY28" s="56">
        <v>2</v>
      </c>
      <c r="DZ28" s="2">
        <f t="shared" si="700"/>
        <v>51</v>
      </c>
      <c r="EA28" s="2">
        <f t="shared" si="604"/>
        <v>0</v>
      </c>
      <c r="EB28" s="2">
        <f t="shared" si="701"/>
        <v>0</v>
      </c>
      <c r="EC28" s="2">
        <f t="shared" si="605"/>
        <v>0</v>
      </c>
      <c r="ED28" s="2">
        <f t="shared" si="702"/>
        <v>0</v>
      </c>
      <c r="EE28" s="2"/>
      <c r="EF28" s="2">
        <f t="shared" si="606"/>
        <v>0</v>
      </c>
      <c r="EG28" s="2">
        <f t="shared" si="703"/>
        <v>0</v>
      </c>
      <c r="EH28" s="2">
        <f t="shared" si="704"/>
        <v>0</v>
      </c>
      <c r="EI28" s="2">
        <f t="shared" si="705"/>
        <v>0</v>
      </c>
      <c r="EJ28" s="2">
        <f t="shared" si="706"/>
        <v>0</v>
      </c>
      <c r="EK28" s="2">
        <f t="shared" si="707"/>
        <v>1</v>
      </c>
      <c r="EL28" s="2">
        <f t="shared" si="708"/>
        <v>1</v>
      </c>
      <c r="EM28" s="2">
        <f t="shared" si="709"/>
        <v>2</v>
      </c>
      <c r="EN28" s="2">
        <f t="shared" si="710"/>
        <v>0</v>
      </c>
      <c r="EO28" s="2">
        <f t="shared" si="711"/>
        <v>0</v>
      </c>
      <c r="EP28" s="2">
        <f t="shared" si="607"/>
        <v>0</v>
      </c>
      <c r="EQ28" s="2">
        <f t="shared" si="712"/>
        <v>0</v>
      </c>
      <c r="ER28" s="2">
        <f t="shared" si="713"/>
        <v>1</v>
      </c>
      <c r="ES28" s="2">
        <f t="shared" si="714"/>
        <v>3</v>
      </c>
      <c r="ET28" s="2">
        <f t="shared" si="608"/>
        <v>0</v>
      </c>
      <c r="EU28" s="2">
        <f t="shared" si="715"/>
        <v>8</v>
      </c>
      <c r="EV28" s="2"/>
      <c r="EW28" s="2"/>
      <c r="EX28" s="2">
        <f t="shared" si="716"/>
        <v>2</v>
      </c>
      <c r="EY28" s="41">
        <f>DW28-'Zusammenfassung Tag1-4'!$F$2/18</f>
        <v>4.5</v>
      </c>
      <c r="EZ28" s="14">
        <f t="shared" si="717"/>
        <v>104.5</v>
      </c>
      <c r="FA28" s="53">
        <v>10</v>
      </c>
      <c r="FB28" s="2">
        <v>118</v>
      </c>
      <c r="FC28" s="56">
        <v>2</v>
      </c>
      <c r="FD28" s="2">
        <f t="shared" si="718"/>
        <v>43</v>
      </c>
      <c r="FE28" s="2">
        <f t="shared" si="609"/>
        <v>0</v>
      </c>
      <c r="FF28" s="2">
        <f t="shared" si="719"/>
        <v>4</v>
      </c>
      <c r="FG28" s="2">
        <f t="shared" si="610"/>
        <v>0</v>
      </c>
      <c r="FH28" s="2">
        <f t="shared" si="720"/>
        <v>1</v>
      </c>
      <c r="FI28" s="2"/>
      <c r="FJ28" s="2">
        <f t="shared" si="611"/>
        <v>0</v>
      </c>
      <c r="FK28" s="2">
        <f t="shared" si="721"/>
        <v>0</v>
      </c>
      <c r="FL28" s="2">
        <f t="shared" si="722"/>
        <v>0</v>
      </c>
      <c r="FM28" s="2">
        <f t="shared" si="723"/>
        <v>1</v>
      </c>
      <c r="FN28" s="2">
        <f t="shared" si="724"/>
        <v>0</v>
      </c>
      <c r="FO28" s="2">
        <f t="shared" si="725"/>
        <v>0</v>
      </c>
      <c r="FP28" s="2">
        <f t="shared" si="726"/>
        <v>1</v>
      </c>
      <c r="FQ28" s="2">
        <f t="shared" si="727"/>
        <v>2</v>
      </c>
      <c r="FR28" s="2">
        <f t="shared" si="728"/>
        <v>0</v>
      </c>
      <c r="FS28" s="2">
        <f t="shared" si="729"/>
        <v>0</v>
      </c>
      <c r="FT28" s="2">
        <f t="shared" si="612"/>
        <v>0</v>
      </c>
      <c r="FU28" s="2">
        <f t="shared" si="730"/>
        <v>4</v>
      </c>
      <c r="FV28" s="2">
        <f t="shared" si="731"/>
        <v>1</v>
      </c>
      <c r="FW28" s="2">
        <f t="shared" si="732"/>
        <v>2</v>
      </c>
      <c r="FX28" s="2">
        <f t="shared" si="613"/>
        <v>0</v>
      </c>
      <c r="FY28" s="2">
        <f t="shared" si="733"/>
        <v>5</v>
      </c>
      <c r="FZ28" s="2"/>
      <c r="GA28" s="2"/>
      <c r="GB28" s="2">
        <f t="shared" si="734"/>
        <v>5</v>
      </c>
      <c r="GC28" s="41">
        <f>FA28-'Zusammenfassung Tag1-4'!$G$2/18</f>
        <v>8.7222222222222214</v>
      </c>
      <c r="GD28" s="14">
        <f t="shared" si="735"/>
        <v>95.166666666666686</v>
      </c>
      <c r="GE28" s="53">
        <v>6</v>
      </c>
      <c r="GF28" s="2">
        <v>155</v>
      </c>
      <c r="GG28" s="56">
        <v>2</v>
      </c>
      <c r="GH28" s="2">
        <f t="shared" si="736"/>
        <v>41</v>
      </c>
      <c r="GI28" s="2">
        <f t="shared" si="614"/>
        <v>0</v>
      </c>
      <c r="GJ28" s="2">
        <f t="shared" si="737"/>
        <v>1</v>
      </c>
      <c r="GK28" s="2">
        <f t="shared" si="615"/>
        <v>0</v>
      </c>
      <c r="GL28" s="2">
        <f t="shared" si="738"/>
        <v>1</v>
      </c>
      <c r="GM28" s="2"/>
      <c r="GN28" s="2">
        <f t="shared" si="616"/>
        <v>0</v>
      </c>
      <c r="GO28" s="2">
        <f t="shared" si="739"/>
        <v>0</v>
      </c>
      <c r="GP28" s="2">
        <f t="shared" si="740"/>
        <v>0</v>
      </c>
      <c r="GQ28" s="2">
        <f t="shared" si="741"/>
        <v>0</v>
      </c>
      <c r="GR28" s="2">
        <f t="shared" si="742"/>
        <v>1</v>
      </c>
      <c r="GS28" s="2">
        <f t="shared" si="743"/>
        <v>1</v>
      </c>
      <c r="GT28" s="2">
        <f t="shared" si="744"/>
        <v>0</v>
      </c>
      <c r="GU28" s="2">
        <f t="shared" si="745"/>
        <v>2</v>
      </c>
      <c r="GV28" s="2">
        <f t="shared" si="746"/>
        <v>0</v>
      </c>
      <c r="GW28" s="2">
        <f t="shared" si="747"/>
        <v>0</v>
      </c>
      <c r="GX28" s="2">
        <f t="shared" si="617"/>
        <v>0</v>
      </c>
      <c r="GY28" s="2">
        <f t="shared" si="748"/>
        <v>4</v>
      </c>
      <c r="GZ28" s="2">
        <f t="shared" si="749"/>
        <v>1</v>
      </c>
      <c r="HA28" s="2">
        <f t="shared" si="750"/>
        <v>2</v>
      </c>
      <c r="HB28" s="2">
        <f t="shared" si="618"/>
        <v>0</v>
      </c>
      <c r="HC28" s="2">
        <f t="shared" si="751"/>
        <v>3</v>
      </c>
      <c r="HD28" s="2"/>
      <c r="HE28" s="2"/>
      <c r="HF28" s="2">
        <f t="shared" si="752"/>
        <v>1</v>
      </c>
      <c r="HG28" s="41">
        <f>GE28-'Zusammenfassung Tag1-4'!$H$2/18</f>
        <v>4.2222222222222223</v>
      </c>
      <c r="HH28" s="14">
        <f t="shared" si="753"/>
        <v>106.66666666666671</v>
      </c>
      <c r="HI28" s="53">
        <v>6</v>
      </c>
      <c r="HJ28" s="2">
        <v>113</v>
      </c>
      <c r="HK28" s="56">
        <v>1</v>
      </c>
      <c r="HL28" s="2">
        <f t="shared" si="754"/>
        <v>41</v>
      </c>
      <c r="HM28" s="2">
        <f t="shared" si="619"/>
        <v>0</v>
      </c>
      <c r="HN28" s="2">
        <f t="shared" si="755"/>
        <v>2</v>
      </c>
      <c r="HO28" s="2">
        <f t="shared" si="620"/>
        <v>0</v>
      </c>
      <c r="HP28" s="2">
        <f t="shared" si="756"/>
        <v>1</v>
      </c>
      <c r="HQ28" s="2"/>
      <c r="HR28" s="2">
        <f t="shared" si="621"/>
        <v>0</v>
      </c>
      <c r="HS28" s="2">
        <f t="shared" si="757"/>
        <v>0</v>
      </c>
      <c r="HT28" s="2">
        <f t="shared" si="758"/>
        <v>0</v>
      </c>
      <c r="HU28" s="2">
        <f t="shared" si="759"/>
        <v>0</v>
      </c>
      <c r="HV28" s="2">
        <f t="shared" si="760"/>
        <v>1</v>
      </c>
      <c r="HW28" s="2">
        <f t="shared" si="761"/>
        <v>3</v>
      </c>
      <c r="HX28" s="2">
        <f t="shared" si="762"/>
        <v>0</v>
      </c>
      <c r="HY28" s="2">
        <f t="shared" si="763"/>
        <v>0</v>
      </c>
      <c r="HZ28" s="2">
        <f t="shared" si="764"/>
        <v>0</v>
      </c>
      <c r="IA28" s="2">
        <f t="shared" si="765"/>
        <v>0</v>
      </c>
      <c r="IB28" s="2">
        <f t="shared" si="622"/>
        <v>1</v>
      </c>
      <c r="IC28" s="2">
        <f t="shared" si="766"/>
        <v>4</v>
      </c>
      <c r="ID28" s="2">
        <f t="shared" si="767"/>
        <v>0</v>
      </c>
      <c r="IE28" s="2">
        <f t="shared" si="768"/>
        <v>1</v>
      </c>
      <c r="IF28" s="2">
        <f t="shared" si="623"/>
        <v>0</v>
      </c>
      <c r="IG28" s="2">
        <f t="shared" si="769"/>
        <v>3</v>
      </c>
      <c r="IH28" s="2"/>
      <c r="II28" s="2"/>
      <c r="IJ28" s="2">
        <f t="shared" si="770"/>
        <v>1</v>
      </c>
      <c r="IK28" s="41">
        <f>HI28-'Zusammenfassung Tag1-4'!$I$2/18</f>
        <v>5.1111111111111107</v>
      </c>
      <c r="IL28" s="14">
        <f t="shared" si="771"/>
        <v>102.33333333333337</v>
      </c>
      <c r="IM28" s="53">
        <v>7</v>
      </c>
      <c r="IN28" s="2">
        <v>26</v>
      </c>
      <c r="IO28" s="56">
        <v>1</v>
      </c>
      <c r="IP28" s="2">
        <f t="shared" si="772"/>
        <v>54</v>
      </c>
      <c r="IQ28" s="2">
        <f t="shared" si="624"/>
        <v>0</v>
      </c>
      <c r="IR28" s="2">
        <f t="shared" si="773"/>
        <v>5</v>
      </c>
      <c r="IS28" s="2">
        <f t="shared" si="625"/>
        <v>0</v>
      </c>
      <c r="IT28" s="2">
        <f t="shared" si="774"/>
        <v>0</v>
      </c>
      <c r="IU28" s="2"/>
      <c r="IV28" s="2">
        <f t="shared" si="626"/>
        <v>0</v>
      </c>
      <c r="IW28" s="2">
        <f t="shared" si="775"/>
        <v>0</v>
      </c>
      <c r="IX28" s="2">
        <f t="shared" si="776"/>
        <v>0</v>
      </c>
      <c r="IY28" s="2">
        <f t="shared" si="777"/>
        <v>0</v>
      </c>
      <c r="IZ28" s="2">
        <f t="shared" si="778"/>
        <v>0</v>
      </c>
      <c r="JA28" s="2">
        <f t="shared" si="779"/>
        <v>0</v>
      </c>
      <c r="JB28" s="2">
        <f t="shared" si="780"/>
        <v>1</v>
      </c>
      <c r="JC28" s="2">
        <f t="shared" si="781"/>
        <v>3</v>
      </c>
      <c r="JD28" s="2">
        <f t="shared" si="782"/>
        <v>0</v>
      </c>
      <c r="JE28" s="2">
        <f t="shared" si="783"/>
        <v>0</v>
      </c>
      <c r="JF28" s="2">
        <f t="shared" si="627"/>
        <v>1</v>
      </c>
      <c r="JG28" s="2">
        <f t="shared" si="784"/>
        <v>1</v>
      </c>
      <c r="JH28" s="2">
        <f t="shared" si="785"/>
        <v>0</v>
      </c>
      <c r="JI28" s="2">
        <f t="shared" si="786"/>
        <v>1</v>
      </c>
      <c r="JJ28" s="2">
        <f t="shared" si="628"/>
        <v>0</v>
      </c>
      <c r="JK28" s="2">
        <f t="shared" si="787"/>
        <v>10</v>
      </c>
      <c r="JL28" s="2"/>
      <c r="JM28" s="2"/>
      <c r="JN28" s="2">
        <f t="shared" si="788"/>
        <v>2</v>
      </c>
      <c r="JO28" s="41">
        <f>IM28-'Zusammenfassung Tag1-4'!$J$2/18</f>
        <v>4.6666666666666661</v>
      </c>
      <c r="JP28" s="14">
        <f t="shared" si="789"/>
        <v>96.000000000000014</v>
      </c>
      <c r="JQ28" s="53"/>
      <c r="JR28" s="2"/>
      <c r="JS28" s="56"/>
      <c r="JT28" s="2">
        <f t="shared" si="790"/>
        <v>0</v>
      </c>
      <c r="JU28" s="2">
        <f t="shared" si="629"/>
        <v>1</v>
      </c>
      <c r="JV28" s="2">
        <f t="shared" si="791"/>
        <v>21</v>
      </c>
      <c r="JW28" s="2">
        <f t="shared" si="630"/>
        <v>0</v>
      </c>
      <c r="JX28" s="2">
        <f t="shared" si="792"/>
        <v>0</v>
      </c>
      <c r="JY28" s="2"/>
      <c r="JZ28" s="2">
        <f t="shared" si="631"/>
        <v>0</v>
      </c>
      <c r="KA28" s="2">
        <f t="shared" si="793"/>
        <v>0</v>
      </c>
      <c r="KB28" s="2">
        <f t="shared" si="794"/>
        <v>0</v>
      </c>
      <c r="KC28" s="2">
        <f t="shared" si="795"/>
        <v>0</v>
      </c>
      <c r="KD28" s="2">
        <f t="shared" si="796"/>
        <v>0</v>
      </c>
      <c r="KE28" s="2">
        <f t="shared" si="797"/>
        <v>0</v>
      </c>
      <c r="KF28" s="2">
        <f t="shared" si="798"/>
        <v>0</v>
      </c>
      <c r="KG28" s="2">
        <f t="shared" si="799"/>
        <v>0</v>
      </c>
      <c r="KH28" s="2">
        <f t="shared" si="800"/>
        <v>1</v>
      </c>
      <c r="KI28" s="2">
        <f t="shared" si="801"/>
        <v>3</v>
      </c>
      <c r="KJ28" s="2">
        <f t="shared" si="632"/>
        <v>0</v>
      </c>
      <c r="KK28" s="2">
        <f t="shared" si="802"/>
        <v>0</v>
      </c>
      <c r="KL28" s="2">
        <f t="shared" si="803"/>
        <v>0</v>
      </c>
      <c r="KM28" s="2">
        <f t="shared" si="804"/>
        <v>0</v>
      </c>
      <c r="KN28" s="2">
        <f t="shared" si="633"/>
        <v>0</v>
      </c>
      <c r="KO28" s="2">
        <f t="shared" si="805"/>
        <v>0</v>
      </c>
      <c r="KP28" s="2"/>
      <c r="KQ28" s="2"/>
      <c r="KR28" s="2">
        <f t="shared" si="806"/>
        <v>-5</v>
      </c>
      <c r="KS28" s="41" t="e">
        <f>JQ28-'Zusammenfassung Tag1-4'!#REF!/18</f>
        <v>#REF!</v>
      </c>
      <c r="KT28" s="14" t="e">
        <f t="shared" si="807"/>
        <v>#REF!</v>
      </c>
    </row>
    <row r="29" spans="1:306" ht="13.2" x14ac:dyDescent="0.25">
      <c r="A29" s="179"/>
      <c r="B29" s="176"/>
      <c r="C29" s="44">
        <v>4</v>
      </c>
      <c r="D29" s="2">
        <f t="shared" si="808"/>
        <v>22</v>
      </c>
      <c r="E29" s="44">
        <v>4</v>
      </c>
      <c r="F29" s="4">
        <f t="shared" si="634"/>
        <v>90</v>
      </c>
      <c r="G29" s="53">
        <v>5</v>
      </c>
      <c r="H29" s="2">
        <f t="shared" si="809"/>
        <v>108</v>
      </c>
      <c r="I29" s="56">
        <v>2</v>
      </c>
      <c r="J29" s="2">
        <f t="shared" si="635"/>
        <v>44</v>
      </c>
      <c r="K29" s="2">
        <f t="shared" si="579"/>
        <v>0</v>
      </c>
      <c r="L29" s="2">
        <f t="shared" si="636"/>
        <v>6</v>
      </c>
      <c r="M29" s="2">
        <f t="shared" si="580"/>
        <v>0</v>
      </c>
      <c r="N29" s="2">
        <f t="shared" si="637"/>
        <v>3</v>
      </c>
      <c r="O29" s="2"/>
      <c r="P29" s="2">
        <f t="shared" si="581"/>
        <v>0</v>
      </c>
      <c r="Q29" s="2">
        <f t="shared" si="638"/>
        <v>1</v>
      </c>
      <c r="R29" s="2">
        <f t="shared" si="582"/>
        <v>0</v>
      </c>
      <c r="S29" s="2">
        <f t="shared" si="639"/>
        <v>0</v>
      </c>
      <c r="T29" s="2">
        <f t="shared" si="583"/>
        <v>1</v>
      </c>
      <c r="U29" s="2">
        <f t="shared" si="640"/>
        <v>2</v>
      </c>
      <c r="V29" s="2">
        <f t="shared" si="584"/>
        <v>0</v>
      </c>
      <c r="W29" s="2">
        <f t="shared" si="641"/>
        <v>2</v>
      </c>
      <c r="X29" s="2">
        <f t="shared" si="585"/>
        <v>0</v>
      </c>
      <c r="Y29" s="2">
        <f t="shared" si="642"/>
        <v>0</v>
      </c>
      <c r="Z29" s="2">
        <f t="shared" si="586"/>
        <v>0</v>
      </c>
      <c r="AA29" s="2">
        <f t="shared" si="643"/>
        <v>4</v>
      </c>
      <c r="AB29" s="2">
        <f t="shared" si="587"/>
        <v>1</v>
      </c>
      <c r="AC29" s="2">
        <f t="shared" si="644"/>
        <v>2</v>
      </c>
      <c r="AD29" s="2">
        <f t="shared" si="588"/>
        <v>0</v>
      </c>
      <c r="AE29" s="2">
        <f t="shared" si="645"/>
        <v>3</v>
      </c>
      <c r="AF29" s="2"/>
      <c r="AG29" s="2">
        <f>IF($E29=4,G29-4,NA())</f>
        <v>1</v>
      </c>
      <c r="AH29" s="2"/>
      <c r="AI29" s="41">
        <f>G29-'Zusammenfassung Tag1-4'!$B$2/18</f>
        <v>4.166666666666667</v>
      </c>
      <c r="AJ29" s="13">
        <f t="shared" si="646"/>
        <v>89.666666666666671</v>
      </c>
      <c r="AK29" s="53">
        <v>4</v>
      </c>
      <c r="AL29" s="2">
        <f t="shared" si="810"/>
        <v>112</v>
      </c>
      <c r="AM29" s="56">
        <v>1</v>
      </c>
      <c r="AN29" s="2">
        <f t="shared" si="647"/>
        <v>41</v>
      </c>
      <c r="AO29" s="2">
        <f t="shared" si="589"/>
        <v>0</v>
      </c>
      <c r="AP29" s="2">
        <f t="shared" si="648"/>
        <v>9</v>
      </c>
      <c r="AQ29" s="2">
        <f t="shared" si="590"/>
        <v>1</v>
      </c>
      <c r="AR29" s="2">
        <f t="shared" si="649"/>
        <v>3</v>
      </c>
      <c r="AS29" s="2"/>
      <c r="AT29" s="2">
        <f t="shared" si="591"/>
        <v>0</v>
      </c>
      <c r="AU29" s="2">
        <f t="shared" si="650"/>
        <v>0</v>
      </c>
      <c r="AV29" s="2">
        <f t="shared" si="651"/>
        <v>1</v>
      </c>
      <c r="AW29" s="2">
        <f t="shared" si="652"/>
        <v>3</v>
      </c>
      <c r="AX29" s="2">
        <f t="shared" si="653"/>
        <v>0</v>
      </c>
      <c r="AY29" s="2">
        <f t="shared" si="654"/>
        <v>1</v>
      </c>
      <c r="AZ29" s="2">
        <f t="shared" si="655"/>
        <v>0</v>
      </c>
      <c r="BA29" s="2">
        <f t="shared" si="656"/>
        <v>0</v>
      </c>
      <c r="BB29" s="2">
        <f t="shared" si="657"/>
        <v>0</v>
      </c>
      <c r="BC29" s="2">
        <f t="shared" si="658"/>
        <v>0</v>
      </c>
      <c r="BD29" s="2">
        <f t="shared" si="592"/>
        <v>1</v>
      </c>
      <c r="BE29" s="2">
        <f t="shared" si="659"/>
        <v>5</v>
      </c>
      <c r="BF29" s="2">
        <f t="shared" si="660"/>
        <v>0</v>
      </c>
      <c r="BG29" s="2">
        <f t="shared" si="661"/>
        <v>1</v>
      </c>
      <c r="BH29" s="2">
        <f t="shared" si="593"/>
        <v>0</v>
      </c>
      <c r="BI29" s="2">
        <f t="shared" si="662"/>
        <v>2</v>
      </c>
      <c r="BJ29" s="2"/>
      <c r="BK29" s="2">
        <f t="shared" ref="BK29:BK30" si="813">IF($E29=4,AK29-4,NA())</f>
        <v>0</v>
      </c>
      <c r="BL29" s="2"/>
      <c r="BM29" s="41">
        <f>AK29-'Zusammenfassung Tag1-4'!$C$2/18</f>
        <v>3.4444444444444446</v>
      </c>
      <c r="BN29" s="13">
        <f t="shared" si="664"/>
        <v>99.777777777777757</v>
      </c>
      <c r="BO29" s="53">
        <v>8</v>
      </c>
      <c r="BP29" s="2">
        <f t="shared" si="811"/>
        <v>134</v>
      </c>
      <c r="BQ29" s="56">
        <v>2</v>
      </c>
      <c r="BR29" s="2">
        <f t="shared" si="665"/>
        <v>51</v>
      </c>
      <c r="BS29" s="2">
        <f t="shared" si="594"/>
        <v>0</v>
      </c>
      <c r="BT29" s="2">
        <f t="shared" si="666"/>
        <v>5</v>
      </c>
      <c r="BU29" s="2">
        <f t="shared" si="595"/>
        <v>0</v>
      </c>
      <c r="BV29" s="2">
        <f t="shared" si="667"/>
        <v>0</v>
      </c>
      <c r="BW29" s="2"/>
      <c r="BX29" s="2">
        <f t="shared" si="596"/>
        <v>0</v>
      </c>
      <c r="BY29" s="2">
        <f t="shared" si="668"/>
        <v>0</v>
      </c>
      <c r="BZ29" s="2">
        <f t="shared" si="669"/>
        <v>0</v>
      </c>
      <c r="CA29" s="2">
        <f t="shared" si="670"/>
        <v>0</v>
      </c>
      <c r="CB29" s="2">
        <f t="shared" si="671"/>
        <v>0</v>
      </c>
      <c r="CC29" s="2">
        <f t="shared" si="672"/>
        <v>2</v>
      </c>
      <c r="CD29" s="2">
        <f t="shared" si="673"/>
        <v>1</v>
      </c>
      <c r="CE29" s="2">
        <f t="shared" si="674"/>
        <v>2</v>
      </c>
      <c r="CF29" s="2">
        <f t="shared" si="675"/>
        <v>0</v>
      </c>
      <c r="CG29" s="2">
        <f t="shared" si="668"/>
        <v>0</v>
      </c>
      <c r="CH29" s="2">
        <f t="shared" si="597"/>
        <v>0</v>
      </c>
      <c r="CI29" s="2">
        <f t="shared" si="676"/>
        <v>1</v>
      </c>
      <c r="CJ29" s="2">
        <f t="shared" si="677"/>
        <v>1</v>
      </c>
      <c r="CK29" s="2">
        <f t="shared" si="678"/>
        <v>3</v>
      </c>
      <c r="CL29" s="2">
        <f t="shared" si="598"/>
        <v>0</v>
      </c>
      <c r="CM29" s="2">
        <f t="shared" si="679"/>
        <v>8</v>
      </c>
      <c r="CN29" s="2"/>
      <c r="CO29" s="2">
        <f t="shared" ref="CO29:CO30" si="814">IF($E29=4,BO29-4,NA())</f>
        <v>4</v>
      </c>
      <c r="CP29" s="2"/>
      <c r="CQ29" s="41">
        <f>BO29-'Zusammenfassung Tag1-4'!$D$2/18</f>
        <v>6.9444444444444446</v>
      </c>
      <c r="CR29" s="13">
        <f t="shared" si="681"/>
        <v>110.77777777777776</v>
      </c>
      <c r="CS29" s="53">
        <v>4</v>
      </c>
      <c r="CT29" s="2">
        <f t="shared" si="812"/>
        <v>124</v>
      </c>
      <c r="CU29" s="56">
        <v>2</v>
      </c>
      <c r="CV29" s="2">
        <f t="shared" si="682"/>
        <v>52</v>
      </c>
      <c r="CW29" s="2">
        <f t="shared" si="599"/>
        <v>1</v>
      </c>
      <c r="CX29" s="2">
        <f t="shared" si="683"/>
        <v>8</v>
      </c>
      <c r="CY29" s="2">
        <f t="shared" si="600"/>
        <v>0</v>
      </c>
      <c r="CZ29" s="2">
        <f t="shared" si="684"/>
        <v>0</v>
      </c>
      <c r="DA29" s="2"/>
      <c r="DB29" s="2">
        <f t="shared" si="601"/>
        <v>0</v>
      </c>
      <c r="DC29" s="2">
        <f t="shared" si="685"/>
        <v>0</v>
      </c>
      <c r="DD29" s="2">
        <f t="shared" si="686"/>
        <v>1</v>
      </c>
      <c r="DE29" s="2">
        <f t="shared" si="687"/>
        <v>1</v>
      </c>
      <c r="DF29" s="2">
        <f t="shared" si="688"/>
        <v>0</v>
      </c>
      <c r="DG29" s="2">
        <f t="shared" si="689"/>
        <v>2</v>
      </c>
      <c r="DH29" s="2">
        <f t="shared" si="690"/>
        <v>0</v>
      </c>
      <c r="DI29" s="2">
        <f t="shared" si="691"/>
        <v>1</v>
      </c>
      <c r="DJ29" s="2">
        <f t="shared" si="692"/>
        <v>0</v>
      </c>
      <c r="DK29" s="2">
        <f t="shared" si="693"/>
        <v>0</v>
      </c>
      <c r="DL29" s="2">
        <f t="shared" si="602"/>
        <v>0</v>
      </c>
      <c r="DM29" s="2">
        <f t="shared" si="694"/>
        <v>2</v>
      </c>
      <c r="DN29" s="2">
        <f t="shared" si="695"/>
        <v>1</v>
      </c>
      <c r="DO29" s="2">
        <f t="shared" si="696"/>
        <v>3</v>
      </c>
      <c r="DP29" s="2">
        <f t="shared" si="603"/>
        <v>0</v>
      </c>
      <c r="DQ29" s="2">
        <f t="shared" si="697"/>
        <v>9</v>
      </c>
      <c r="DR29" s="2"/>
      <c r="DS29" s="2">
        <f t="shared" ref="DS29:DS30" si="815">IF($E29=4,CS29-4,NA())</f>
        <v>0</v>
      </c>
      <c r="DT29" s="2"/>
      <c r="DU29" s="41">
        <f>CS29-'Zusammenfassung Tag1-4'!$E$2/18</f>
        <v>3</v>
      </c>
      <c r="DV29" s="14">
        <f t="shared" si="699"/>
        <v>102</v>
      </c>
      <c r="DW29" s="53">
        <v>8</v>
      </c>
      <c r="DX29" s="2">
        <v>23</v>
      </c>
      <c r="DY29" s="56">
        <v>3</v>
      </c>
      <c r="DZ29" s="2">
        <f t="shared" si="700"/>
        <v>54</v>
      </c>
      <c r="EA29" s="2">
        <f t="shared" si="604"/>
        <v>0</v>
      </c>
      <c r="EB29" s="2">
        <f t="shared" si="701"/>
        <v>0</v>
      </c>
      <c r="EC29" s="2">
        <f t="shared" si="605"/>
        <v>0</v>
      </c>
      <c r="ED29" s="2">
        <f t="shared" si="702"/>
        <v>0</v>
      </c>
      <c r="EE29" s="2"/>
      <c r="EF29" s="2">
        <f t="shared" si="606"/>
        <v>0</v>
      </c>
      <c r="EG29" s="2">
        <f t="shared" si="703"/>
        <v>0</v>
      </c>
      <c r="EH29" s="2">
        <f t="shared" si="704"/>
        <v>0</v>
      </c>
      <c r="EI29" s="2">
        <f t="shared" si="705"/>
        <v>0</v>
      </c>
      <c r="EJ29" s="2">
        <f t="shared" si="706"/>
        <v>0</v>
      </c>
      <c r="EK29" s="2">
        <f t="shared" si="707"/>
        <v>1</v>
      </c>
      <c r="EL29" s="2">
        <f t="shared" si="708"/>
        <v>1</v>
      </c>
      <c r="EM29" s="2">
        <f t="shared" si="709"/>
        <v>3</v>
      </c>
      <c r="EN29" s="2">
        <f t="shared" si="710"/>
        <v>0</v>
      </c>
      <c r="EO29" s="2">
        <f t="shared" si="711"/>
        <v>0</v>
      </c>
      <c r="EP29" s="2">
        <f t="shared" si="607"/>
        <v>0</v>
      </c>
      <c r="EQ29" s="2">
        <f t="shared" si="712"/>
        <v>0</v>
      </c>
      <c r="ER29" s="2">
        <f t="shared" si="713"/>
        <v>0</v>
      </c>
      <c r="ES29" s="2">
        <f t="shared" si="714"/>
        <v>3</v>
      </c>
      <c r="ET29" s="2">
        <f t="shared" si="608"/>
        <v>1</v>
      </c>
      <c r="EU29" s="2">
        <f t="shared" si="715"/>
        <v>9</v>
      </c>
      <c r="EV29" s="2"/>
      <c r="EW29" s="2">
        <f t="shared" ref="EW29:EW30" si="816">IF($E29=4,DW29-4,NA())</f>
        <v>4</v>
      </c>
      <c r="EX29" s="2"/>
      <c r="EY29" s="41">
        <f>DW29-'Zusammenfassung Tag1-4'!$F$2/18</f>
        <v>5.5</v>
      </c>
      <c r="EZ29" s="14">
        <f t="shared" si="717"/>
        <v>110</v>
      </c>
      <c r="FA29" s="53">
        <v>5</v>
      </c>
      <c r="FB29" s="2">
        <v>124</v>
      </c>
      <c r="FC29" s="56">
        <v>1</v>
      </c>
      <c r="FD29" s="2">
        <f t="shared" si="718"/>
        <v>44</v>
      </c>
      <c r="FE29" s="2">
        <f t="shared" si="609"/>
        <v>0</v>
      </c>
      <c r="FF29" s="2">
        <f t="shared" si="719"/>
        <v>4</v>
      </c>
      <c r="FG29" s="2">
        <f t="shared" si="610"/>
        <v>0</v>
      </c>
      <c r="FH29" s="2">
        <f t="shared" si="720"/>
        <v>1</v>
      </c>
      <c r="FI29" s="2"/>
      <c r="FJ29" s="2">
        <f t="shared" si="611"/>
        <v>0</v>
      </c>
      <c r="FK29" s="2">
        <f t="shared" si="721"/>
        <v>0</v>
      </c>
      <c r="FL29" s="2">
        <f t="shared" si="722"/>
        <v>0</v>
      </c>
      <c r="FM29" s="2">
        <f t="shared" si="723"/>
        <v>1</v>
      </c>
      <c r="FN29" s="2">
        <f t="shared" si="724"/>
        <v>1</v>
      </c>
      <c r="FO29" s="2">
        <f t="shared" si="725"/>
        <v>1</v>
      </c>
      <c r="FP29" s="2">
        <f t="shared" si="726"/>
        <v>0</v>
      </c>
      <c r="FQ29" s="2">
        <f t="shared" si="727"/>
        <v>2</v>
      </c>
      <c r="FR29" s="2">
        <f t="shared" si="728"/>
        <v>0</v>
      </c>
      <c r="FS29" s="2">
        <f t="shared" si="729"/>
        <v>0</v>
      </c>
      <c r="FT29" s="2">
        <f t="shared" si="612"/>
        <v>1</v>
      </c>
      <c r="FU29" s="2">
        <f t="shared" si="730"/>
        <v>5</v>
      </c>
      <c r="FV29" s="2">
        <f t="shared" si="731"/>
        <v>0</v>
      </c>
      <c r="FW29" s="2">
        <f t="shared" si="732"/>
        <v>2</v>
      </c>
      <c r="FX29" s="2">
        <f t="shared" si="613"/>
        <v>0</v>
      </c>
      <c r="FY29" s="2">
        <f t="shared" si="733"/>
        <v>5</v>
      </c>
      <c r="FZ29" s="2"/>
      <c r="GA29" s="2">
        <f t="shared" ref="GA29:GA30" si="817">IF($E29=4,FA29-4,NA())</f>
        <v>1</v>
      </c>
      <c r="GB29" s="2"/>
      <c r="GC29" s="41">
        <f>FA29-'Zusammenfassung Tag1-4'!$G$2/18</f>
        <v>3.7222222222222223</v>
      </c>
      <c r="GD29" s="14">
        <f t="shared" si="735"/>
        <v>98.888888888888914</v>
      </c>
      <c r="GE29" s="53">
        <v>7</v>
      </c>
      <c r="GF29" s="2">
        <v>160</v>
      </c>
      <c r="GG29" s="56">
        <v>1</v>
      </c>
      <c r="GH29" s="2">
        <f t="shared" si="736"/>
        <v>42</v>
      </c>
      <c r="GI29" s="2">
        <f t="shared" si="614"/>
        <v>0</v>
      </c>
      <c r="GJ29" s="2">
        <f t="shared" si="737"/>
        <v>1</v>
      </c>
      <c r="GK29" s="2">
        <f t="shared" si="615"/>
        <v>0</v>
      </c>
      <c r="GL29" s="2">
        <f t="shared" si="738"/>
        <v>1</v>
      </c>
      <c r="GM29" s="2"/>
      <c r="GN29" s="2">
        <f t="shared" si="616"/>
        <v>0</v>
      </c>
      <c r="GO29" s="2">
        <f t="shared" si="739"/>
        <v>0</v>
      </c>
      <c r="GP29" s="2">
        <f t="shared" si="740"/>
        <v>0</v>
      </c>
      <c r="GQ29" s="2">
        <f t="shared" si="741"/>
        <v>0</v>
      </c>
      <c r="GR29" s="2">
        <f t="shared" si="742"/>
        <v>0</v>
      </c>
      <c r="GS29" s="2">
        <f t="shared" si="743"/>
        <v>1</v>
      </c>
      <c r="GT29" s="2">
        <f t="shared" si="744"/>
        <v>1</v>
      </c>
      <c r="GU29" s="2">
        <f t="shared" si="745"/>
        <v>3</v>
      </c>
      <c r="GV29" s="2">
        <f t="shared" si="746"/>
        <v>0</v>
      </c>
      <c r="GW29" s="2">
        <f t="shared" si="747"/>
        <v>0</v>
      </c>
      <c r="GX29" s="2">
        <f t="shared" si="617"/>
        <v>1</v>
      </c>
      <c r="GY29" s="2">
        <f t="shared" si="748"/>
        <v>5</v>
      </c>
      <c r="GZ29" s="2">
        <f t="shared" si="749"/>
        <v>0</v>
      </c>
      <c r="HA29" s="2">
        <f t="shared" si="750"/>
        <v>2</v>
      </c>
      <c r="HB29" s="2">
        <f t="shared" si="618"/>
        <v>0</v>
      </c>
      <c r="HC29" s="2">
        <f t="shared" si="751"/>
        <v>3</v>
      </c>
      <c r="HD29" s="2"/>
      <c r="HE29" s="2">
        <f t="shared" ref="HE29:HE30" si="818">IF($E29=4,GE29-4,NA())</f>
        <v>3</v>
      </c>
      <c r="HF29" s="2"/>
      <c r="HG29" s="41">
        <f>GE29-'Zusammenfassung Tag1-4'!$H$2/18</f>
        <v>5.2222222222222223</v>
      </c>
      <c r="HH29" s="14">
        <f t="shared" si="753"/>
        <v>111.88888888888894</v>
      </c>
      <c r="HI29" s="53">
        <v>6</v>
      </c>
      <c r="HJ29" s="2">
        <v>118</v>
      </c>
      <c r="HK29" s="56">
        <v>3</v>
      </c>
      <c r="HL29" s="2">
        <f t="shared" si="754"/>
        <v>44</v>
      </c>
      <c r="HM29" s="2">
        <f t="shared" si="619"/>
        <v>0</v>
      </c>
      <c r="HN29" s="2">
        <f t="shared" si="755"/>
        <v>2</v>
      </c>
      <c r="HO29" s="2">
        <f t="shared" si="620"/>
        <v>0</v>
      </c>
      <c r="HP29" s="2">
        <f t="shared" si="756"/>
        <v>1</v>
      </c>
      <c r="HQ29" s="2"/>
      <c r="HR29" s="2">
        <f t="shared" si="621"/>
        <v>0</v>
      </c>
      <c r="HS29" s="2">
        <f t="shared" si="757"/>
        <v>0</v>
      </c>
      <c r="HT29" s="2">
        <f t="shared" si="758"/>
        <v>0</v>
      </c>
      <c r="HU29" s="2">
        <f t="shared" si="759"/>
        <v>0</v>
      </c>
      <c r="HV29" s="2">
        <f t="shared" si="760"/>
        <v>0</v>
      </c>
      <c r="HW29" s="2">
        <f t="shared" si="761"/>
        <v>3</v>
      </c>
      <c r="HX29" s="2">
        <f t="shared" si="762"/>
        <v>1</v>
      </c>
      <c r="HY29" s="2">
        <f t="shared" si="763"/>
        <v>1</v>
      </c>
      <c r="HZ29" s="2">
        <f t="shared" si="764"/>
        <v>0</v>
      </c>
      <c r="IA29" s="2">
        <f t="shared" si="765"/>
        <v>0</v>
      </c>
      <c r="IB29" s="2">
        <f t="shared" si="622"/>
        <v>0</v>
      </c>
      <c r="IC29" s="2">
        <f t="shared" si="766"/>
        <v>4</v>
      </c>
      <c r="ID29" s="2">
        <f t="shared" si="767"/>
        <v>0</v>
      </c>
      <c r="IE29" s="2">
        <f t="shared" si="768"/>
        <v>1</v>
      </c>
      <c r="IF29" s="2">
        <f t="shared" si="623"/>
        <v>1</v>
      </c>
      <c r="IG29" s="2">
        <f t="shared" si="769"/>
        <v>4</v>
      </c>
      <c r="IH29" s="2"/>
      <c r="II29" s="2">
        <f t="shared" ref="II29:II30" si="819">IF($E29=4,HI29-4,NA())</f>
        <v>2</v>
      </c>
      <c r="IJ29" s="2"/>
      <c r="IK29" s="41">
        <f>HI29-'Zusammenfassung Tag1-4'!$I$2/18</f>
        <v>5.1111111111111107</v>
      </c>
      <c r="IL29" s="14">
        <f t="shared" si="771"/>
        <v>107.44444444444449</v>
      </c>
      <c r="IM29" s="53">
        <v>5</v>
      </c>
      <c r="IN29" s="2">
        <v>36</v>
      </c>
      <c r="IO29" s="56">
        <v>2</v>
      </c>
      <c r="IP29" s="2">
        <f t="shared" si="772"/>
        <v>56</v>
      </c>
      <c r="IQ29" s="2">
        <f t="shared" si="624"/>
        <v>0</v>
      </c>
      <c r="IR29" s="2">
        <f t="shared" si="773"/>
        <v>5</v>
      </c>
      <c r="IS29" s="2">
        <f t="shared" si="625"/>
        <v>0</v>
      </c>
      <c r="IT29" s="2">
        <f t="shared" si="774"/>
        <v>0</v>
      </c>
      <c r="IU29" s="2"/>
      <c r="IV29" s="2">
        <f t="shared" si="626"/>
        <v>0</v>
      </c>
      <c r="IW29" s="2">
        <f t="shared" si="775"/>
        <v>0</v>
      </c>
      <c r="IX29" s="2">
        <f t="shared" si="776"/>
        <v>0</v>
      </c>
      <c r="IY29" s="2">
        <f t="shared" si="777"/>
        <v>0</v>
      </c>
      <c r="IZ29" s="2">
        <f t="shared" si="778"/>
        <v>1</v>
      </c>
      <c r="JA29" s="2">
        <f t="shared" si="779"/>
        <v>1</v>
      </c>
      <c r="JB29" s="2">
        <f t="shared" si="780"/>
        <v>0</v>
      </c>
      <c r="JC29" s="2">
        <f t="shared" si="781"/>
        <v>3</v>
      </c>
      <c r="JD29" s="2">
        <f t="shared" si="782"/>
        <v>0</v>
      </c>
      <c r="JE29" s="2">
        <f t="shared" si="783"/>
        <v>0</v>
      </c>
      <c r="JF29" s="2">
        <f t="shared" si="627"/>
        <v>0</v>
      </c>
      <c r="JG29" s="2">
        <f t="shared" si="784"/>
        <v>1</v>
      </c>
      <c r="JH29" s="2">
        <f t="shared" si="785"/>
        <v>1</v>
      </c>
      <c r="JI29" s="2">
        <f t="shared" si="786"/>
        <v>2</v>
      </c>
      <c r="JJ29" s="2">
        <f t="shared" si="628"/>
        <v>0</v>
      </c>
      <c r="JK29" s="2">
        <f t="shared" si="787"/>
        <v>10</v>
      </c>
      <c r="JL29" s="2"/>
      <c r="JM29" s="2">
        <f t="shared" ref="JM29:JM30" si="820">IF($E29=4,IM29-4,NA())</f>
        <v>1</v>
      </c>
      <c r="JN29" s="2"/>
      <c r="JO29" s="41">
        <f>IM29-'Zusammenfassung Tag1-4'!$J$2/18</f>
        <v>2.6666666666666665</v>
      </c>
      <c r="JP29" s="14">
        <f t="shared" si="789"/>
        <v>98.666666666666686</v>
      </c>
      <c r="JQ29" s="53"/>
      <c r="JR29" s="2"/>
      <c r="JS29" s="56"/>
      <c r="JT29" s="2">
        <f t="shared" si="790"/>
        <v>0</v>
      </c>
      <c r="JU29" s="2">
        <f t="shared" si="629"/>
        <v>1</v>
      </c>
      <c r="JV29" s="2">
        <f t="shared" si="791"/>
        <v>22</v>
      </c>
      <c r="JW29" s="2">
        <f t="shared" si="630"/>
        <v>0</v>
      </c>
      <c r="JX29" s="2">
        <f t="shared" si="792"/>
        <v>0</v>
      </c>
      <c r="JY29" s="2"/>
      <c r="JZ29" s="2">
        <f t="shared" si="631"/>
        <v>0</v>
      </c>
      <c r="KA29" s="2">
        <f t="shared" si="793"/>
        <v>0</v>
      </c>
      <c r="KB29" s="2">
        <f t="shared" si="794"/>
        <v>0</v>
      </c>
      <c r="KC29" s="2">
        <f t="shared" si="795"/>
        <v>0</v>
      </c>
      <c r="KD29" s="2">
        <f t="shared" si="796"/>
        <v>0</v>
      </c>
      <c r="KE29" s="2">
        <f t="shared" si="797"/>
        <v>0</v>
      </c>
      <c r="KF29" s="2">
        <f t="shared" si="798"/>
        <v>0</v>
      </c>
      <c r="KG29" s="2">
        <f t="shared" si="799"/>
        <v>0</v>
      </c>
      <c r="KH29" s="2">
        <f t="shared" si="800"/>
        <v>1</v>
      </c>
      <c r="KI29" s="2">
        <f t="shared" si="801"/>
        <v>4</v>
      </c>
      <c r="KJ29" s="2">
        <f t="shared" si="632"/>
        <v>0</v>
      </c>
      <c r="KK29" s="2">
        <f t="shared" si="802"/>
        <v>0</v>
      </c>
      <c r="KL29" s="2">
        <f t="shared" si="803"/>
        <v>0</v>
      </c>
      <c r="KM29" s="2">
        <f t="shared" si="804"/>
        <v>0</v>
      </c>
      <c r="KN29" s="2">
        <f t="shared" si="633"/>
        <v>0</v>
      </c>
      <c r="KO29" s="2">
        <f t="shared" si="805"/>
        <v>0</v>
      </c>
      <c r="KP29" s="2"/>
      <c r="KQ29" s="2">
        <f t="shared" ref="KQ29:KQ30" si="821">IF($E29=4,JQ29-4,NA())</f>
        <v>-4</v>
      </c>
      <c r="KR29" s="2"/>
      <c r="KS29" s="41" t="e">
        <f>JQ29-'Zusammenfassung Tag1-4'!#REF!/18</f>
        <v>#REF!</v>
      </c>
      <c r="KT29" s="14" t="e">
        <f t="shared" si="807"/>
        <v>#REF!</v>
      </c>
    </row>
    <row r="30" spans="1:306" ht="13.2" x14ac:dyDescent="0.25">
      <c r="A30" s="179"/>
      <c r="B30" s="176"/>
      <c r="C30" s="44">
        <v>5</v>
      </c>
      <c r="D30" s="2">
        <f t="shared" si="808"/>
        <v>23</v>
      </c>
      <c r="E30" s="44">
        <v>4</v>
      </c>
      <c r="F30" s="4">
        <f t="shared" si="634"/>
        <v>94</v>
      </c>
      <c r="G30" s="53">
        <v>5</v>
      </c>
      <c r="H30" s="2">
        <f t="shared" si="809"/>
        <v>113</v>
      </c>
      <c r="I30" s="56">
        <v>2</v>
      </c>
      <c r="J30" s="2">
        <f t="shared" si="635"/>
        <v>46</v>
      </c>
      <c r="K30" s="2">
        <f t="shared" si="579"/>
        <v>0</v>
      </c>
      <c r="L30" s="2">
        <f t="shared" si="636"/>
        <v>6</v>
      </c>
      <c r="M30" s="2">
        <f t="shared" si="580"/>
        <v>0</v>
      </c>
      <c r="N30" s="2">
        <f t="shared" si="637"/>
        <v>3</v>
      </c>
      <c r="O30" s="2"/>
      <c r="P30" s="2">
        <f t="shared" si="581"/>
        <v>0</v>
      </c>
      <c r="Q30" s="2">
        <f t="shared" si="638"/>
        <v>1</v>
      </c>
      <c r="R30" s="2">
        <f t="shared" si="582"/>
        <v>0</v>
      </c>
      <c r="S30" s="2">
        <f t="shared" si="639"/>
        <v>0</v>
      </c>
      <c r="T30" s="2">
        <f t="shared" si="583"/>
        <v>1</v>
      </c>
      <c r="U30" s="2">
        <f t="shared" si="640"/>
        <v>3</v>
      </c>
      <c r="V30" s="2">
        <f t="shared" si="584"/>
        <v>0</v>
      </c>
      <c r="W30" s="2">
        <f t="shared" si="641"/>
        <v>2</v>
      </c>
      <c r="X30" s="2">
        <f t="shared" si="585"/>
        <v>0</v>
      </c>
      <c r="Y30" s="2">
        <f t="shared" si="642"/>
        <v>0</v>
      </c>
      <c r="Z30" s="2">
        <f t="shared" si="586"/>
        <v>0</v>
      </c>
      <c r="AA30" s="2">
        <f t="shared" si="643"/>
        <v>4</v>
      </c>
      <c r="AB30" s="2">
        <f t="shared" si="587"/>
        <v>1</v>
      </c>
      <c r="AC30" s="2">
        <f t="shared" si="644"/>
        <v>3</v>
      </c>
      <c r="AD30" s="2">
        <f t="shared" si="588"/>
        <v>0</v>
      </c>
      <c r="AE30" s="2">
        <f t="shared" si="645"/>
        <v>3</v>
      </c>
      <c r="AF30" s="2"/>
      <c r="AG30" s="2">
        <f>IF($E30=4,G30-4,NA())</f>
        <v>1</v>
      </c>
      <c r="AH30" s="2"/>
      <c r="AI30" s="41">
        <f>G30-'Zusammenfassung Tag1-4'!$B$2/18</f>
        <v>4.166666666666667</v>
      </c>
      <c r="AJ30" s="13">
        <f t="shared" si="646"/>
        <v>93.833333333333343</v>
      </c>
      <c r="AK30" s="53">
        <v>4</v>
      </c>
      <c r="AL30" s="2">
        <f t="shared" si="810"/>
        <v>116</v>
      </c>
      <c r="AM30" s="56">
        <v>1</v>
      </c>
      <c r="AN30" s="2">
        <f t="shared" si="647"/>
        <v>42</v>
      </c>
      <c r="AO30" s="2">
        <f t="shared" si="589"/>
        <v>0</v>
      </c>
      <c r="AP30" s="2">
        <f t="shared" si="648"/>
        <v>9</v>
      </c>
      <c r="AQ30" s="2">
        <f t="shared" si="590"/>
        <v>1</v>
      </c>
      <c r="AR30" s="2">
        <f t="shared" si="649"/>
        <v>4</v>
      </c>
      <c r="AS30" s="2"/>
      <c r="AT30" s="2">
        <f t="shared" si="591"/>
        <v>0</v>
      </c>
      <c r="AU30" s="2">
        <f t="shared" si="650"/>
        <v>0</v>
      </c>
      <c r="AV30" s="2">
        <f t="shared" si="651"/>
        <v>1</v>
      </c>
      <c r="AW30" s="2">
        <f t="shared" si="652"/>
        <v>4</v>
      </c>
      <c r="AX30" s="2">
        <f t="shared" si="653"/>
        <v>0</v>
      </c>
      <c r="AY30" s="2">
        <f t="shared" si="654"/>
        <v>1</v>
      </c>
      <c r="AZ30" s="2">
        <f t="shared" si="655"/>
        <v>0</v>
      </c>
      <c r="BA30" s="2">
        <f t="shared" si="656"/>
        <v>0</v>
      </c>
      <c r="BB30" s="2">
        <f t="shared" si="657"/>
        <v>0</v>
      </c>
      <c r="BC30" s="2">
        <f t="shared" si="658"/>
        <v>0</v>
      </c>
      <c r="BD30" s="2">
        <f t="shared" si="592"/>
        <v>1</v>
      </c>
      <c r="BE30" s="2">
        <f t="shared" si="659"/>
        <v>6</v>
      </c>
      <c r="BF30" s="2">
        <f t="shared" si="660"/>
        <v>0</v>
      </c>
      <c r="BG30" s="2">
        <f t="shared" si="661"/>
        <v>1</v>
      </c>
      <c r="BH30" s="2">
        <f t="shared" si="593"/>
        <v>0</v>
      </c>
      <c r="BI30" s="2">
        <f t="shared" si="662"/>
        <v>2</v>
      </c>
      <c r="BJ30" s="2"/>
      <c r="BK30" s="2">
        <f t="shared" si="813"/>
        <v>0</v>
      </c>
      <c r="BL30" s="2"/>
      <c r="BM30" s="41">
        <f>AK30-'Zusammenfassung Tag1-4'!$C$2/18</f>
        <v>3.4444444444444446</v>
      </c>
      <c r="BN30" s="13">
        <f t="shared" si="664"/>
        <v>103.2222222222222</v>
      </c>
      <c r="BO30" s="53">
        <v>4</v>
      </c>
      <c r="BP30" s="2">
        <f t="shared" si="811"/>
        <v>138</v>
      </c>
      <c r="BQ30" s="56">
        <v>2</v>
      </c>
      <c r="BR30" s="2">
        <f t="shared" si="665"/>
        <v>53</v>
      </c>
      <c r="BS30" s="2">
        <f t="shared" si="594"/>
        <v>1</v>
      </c>
      <c r="BT30" s="2">
        <f t="shared" si="666"/>
        <v>6</v>
      </c>
      <c r="BU30" s="2">
        <f t="shared" si="595"/>
        <v>0</v>
      </c>
      <c r="BV30" s="2">
        <f t="shared" si="667"/>
        <v>0</v>
      </c>
      <c r="BW30" s="2"/>
      <c r="BX30" s="2">
        <f t="shared" si="596"/>
        <v>0</v>
      </c>
      <c r="BY30" s="2">
        <f t="shared" si="668"/>
        <v>0</v>
      </c>
      <c r="BZ30" s="2">
        <f t="shared" si="669"/>
        <v>1</v>
      </c>
      <c r="CA30" s="2">
        <f t="shared" si="670"/>
        <v>1</v>
      </c>
      <c r="CB30" s="2">
        <f t="shared" si="671"/>
        <v>0</v>
      </c>
      <c r="CC30" s="2">
        <f t="shared" si="672"/>
        <v>2</v>
      </c>
      <c r="CD30" s="2">
        <f t="shared" si="673"/>
        <v>0</v>
      </c>
      <c r="CE30" s="2">
        <f t="shared" si="674"/>
        <v>2</v>
      </c>
      <c r="CF30" s="2">
        <f t="shared" si="675"/>
        <v>0</v>
      </c>
      <c r="CG30" s="2">
        <f t="shared" si="668"/>
        <v>0</v>
      </c>
      <c r="CH30" s="2">
        <f t="shared" si="597"/>
        <v>0</v>
      </c>
      <c r="CI30" s="2">
        <f t="shared" si="676"/>
        <v>1</v>
      </c>
      <c r="CJ30" s="2">
        <f t="shared" si="677"/>
        <v>1</v>
      </c>
      <c r="CK30" s="2">
        <f t="shared" si="678"/>
        <v>4</v>
      </c>
      <c r="CL30" s="2">
        <f t="shared" si="598"/>
        <v>0</v>
      </c>
      <c r="CM30" s="2">
        <f t="shared" si="679"/>
        <v>8</v>
      </c>
      <c r="CN30" s="2"/>
      <c r="CO30" s="2">
        <f t="shared" si="814"/>
        <v>0</v>
      </c>
      <c r="CP30" s="2"/>
      <c r="CQ30" s="41">
        <f>BO30-'Zusammenfassung Tag1-4'!$D$2/18</f>
        <v>2.9444444444444446</v>
      </c>
      <c r="CR30" s="13">
        <f t="shared" si="681"/>
        <v>113.7222222222222</v>
      </c>
      <c r="CS30" s="53">
        <v>4</v>
      </c>
      <c r="CT30" s="2">
        <f t="shared" si="812"/>
        <v>128</v>
      </c>
      <c r="CU30" s="56">
        <v>2</v>
      </c>
      <c r="CV30" s="2">
        <f t="shared" si="682"/>
        <v>54</v>
      </c>
      <c r="CW30" s="2">
        <f t="shared" si="599"/>
        <v>1</v>
      </c>
      <c r="CX30" s="2">
        <f t="shared" si="683"/>
        <v>9</v>
      </c>
      <c r="CY30" s="2">
        <f t="shared" si="600"/>
        <v>0</v>
      </c>
      <c r="CZ30" s="2">
        <f t="shared" si="684"/>
        <v>0</v>
      </c>
      <c r="DA30" s="2"/>
      <c r="DB30" s="2">
        <f t="shared" si="601"/>
        <v>0</v>
      </c>
      <c r="DC30" s="2">
        <f t="shared" si="685"/>
        <v>0</v>
      </c>
      <c r="DD30" s="2">
        <f t="shared" si="686"/>
        <v>1</v>
      </c>
      <c r="DE30" s="2">
        <f t="shared" si="687"/>
        <v>2</v>
      </c>
      <c r="DF30" s="2">
        <f t="shared" si="688"/>
        <v>0</v>
      </c>
      <c r="DG30" s="2">
        <f t="shared" si="689"/>
        <v>2</v>
      </c>
      <c r="DH30" s="2">
        <f t="shared" si="690"/>
        <v>0</v>
      </c>
      <c r="DI30" s="2">
        <f t="shared" si="691"/>
        <v>1</v>
      </c>
      <c r="DJ30" s="2">
        <f t="shared" si="692"/>
        <v>0</v>
      </c>
      <c r="DK30" s="2">
        <f t="shared" si="693"/>
        <v>0</v>
      </c>
      <c r="DL30" s="2">
        <f t="shared" si="602"/>
        <v>0</v>
      </c>
      <c r="DM30" s="2">
        <f t="shared" si="694"/>
        <v>2</v>
      </c>
      <c r="DN30" s="2">
        <f t="shared" si="695"/>
        <v>1</v>
      </c>
      <c r="DO30" s="2">
        <f t="shared" si="696"/>
        <v>4</v>
      </c>
      <c r="DP30" s="2">
        <f t="shared" si="603"/>
        <v>0</v>
      </c>
      <c r="DQ30" s="2">
        <f t="shared" si="697"/>
        <v>9</v>
      </c>
      <c r="DR30" s="2"/>
      <c r="DS30" s="2">
        <f t="shared" si="815"/>
        <v>0</v>
      </c>
      <c r="DT30" s="2"/>
      <c r="DU30" s="41">
        <f>CS30-'Zusammenfassung Tag1-4'!$E$2/18</f>
        <v>3</v>
      </c>
      <c r="DV30" s="14">
        <f t="shared" si="699"/>
        <v>105</v>
      </c>
      <c r="DW30" s="53">
        <v>6</v>
      </c>
      <c r="DX30" s="2">
        <v>29</v>
      </c>
      <c r="DY30" s="56">
        <v>2</v>
      </c>
      <c r="DZ30" s="2">
        <f t="shared" si="700"/>
        <v>56</v>
      </c>
      <c r="EA30" s="2">
        <f t="shared" si="604"/>
        <v>0</v>
      </c>
      <c r="EB30" s="2">
        <f t="shared" si="701"/>
        <v>0</v>
      </c>
      <c r="EC30" s="2">
        <f t="shared" si="605"/>
        <v>0</v>
      </c>
      <c r="ED30" s="2">
        <f t="shared" si="702"/>
        <v>0</v>
      </c>
      <c r="EE30" s="2"/>
      <c r="EF30" s="2">
        <f t="shared" si="606"/>
        <v>0</v>
      </c>
      <c r="EG30" s="2">
        <f t="shared" si="703"/>
        <v>0</v>
      </c>
      <c r="EH30" s="2">
        <f t="shared" si="704"/>
        <v>0</v>
      </c>
      <c r="EI30" s="2">
        <f t="shared" si="705"/>
        <v>0</v>
      </c>
      <c r="EJ30" s="2">
        <f t="shared" si="706"/>
        <v>0</v>
      </c>
      <c r="EK30" s="2">
        <f t="shared" si="707"/>
        <v>1</v>
      </c>
      <c r="EL30" s="2">
        <f t="shared" si="708"/>
        <v>1</v>
      </c>
      <c r="EM30" s="2">
        <f t="shared" si="709"/>
        <v>4</v>
      </c>
      <c r="EN30" s="2">
        <f t="shared" si="710"/>
        <v>0</v>
      </c>
      <c r="EO30" s="2">
        <f t="shared" si="711"/>
        <v>0</v>
      </c>
      <c r="EP30" s="2">
        <f t="shared" si="607"/>
        <v>0</v>
      </c>
      <c r="EQ30" s="2">
        <f t="shared" si="712"/>
        <v>0</v>
      </c>
      <c r="ER30" s="2">
        <f t="shared" si="713"/>
        <v>1</v>
      </c>
      <c r="ES30" s="2">
        <f t="shared" si="714"/>
        <v>4</v>
      </c>
      <c r="ET30" s="2">
        <f t="shared" si="608"/>
        <v>0</v>
      </c>
      <c r="EU30" s="2">
        <f t="shared" si="715"/>
        <v>9</v>
      </c>
      <c r="EV30" s="2"/>
      <c r="EW30" s="2">
        <f t="shared" si="816"/>
        <v>2</v>
      </c>
      <c r="EX30" s="2"/>
      <c r="EY30" s="41">
        <f>DW30-'Zusammenfassung Tag1-4'!$F$2/18</f>
        <v>3.5</v>
      </c>
      <c r="EZ30" s="14">
        <f t="shared" si="717"/>
        <v>113.5</v>
      </c>
      <c r="FA30" s="53">
        <v>5</v>
      </c>
      <c r="FB30" s="2">
        <v>129</v>
      </c>
      <c r="FC30" s="56">
        <v>2</v>
      </c>
      <c r="FD30" s="2">
        <f t="shared" si="718"/>
        <v>46</v>
      </c>
      <c r="FE30" s="2">
        <f t="shared" si="609"/>
        <v>0</v>
      </c>
      <c r="FF30" s="2">
        <f t="shared" si="719"/>
        <v>4</v>
      </c>
      <c r="FG30" s="2">
        <f t="shared" si="610"/>
        <v>0</v>
      </c>
      <c r="FH30" s="2">
        <f t="shared" si="720"/>
        <v>1</v>
      </c>
      <c r="FI30" s="2"/>
      <c r="FJ30" s="2">
        <f t="shared" si="611"/>
        <v>0</v>
      </c>
      <c r="FK30" s="2">
        <f t="shared" si="721"/>
        <v>0</v>
      </c>
      <c r="FL30" s="2">
        <f t="shared" si="722"/>
        <v>0</v>
      </c>
      <c r="FM30" s="2">
        <f t="shared" si="723"/>
        <v>1</v>
      </c>
      <c r="FN30" s="2">
        <f t="shared" si="724"/>
        <v>1</v>
      </c>
      <c r="FO30" s="2">
        <f t="shared" si="725"/>
        <v>2</v>
      </c>
      <c r="FP30" s="2">
        <f t="shared" si="726"/>
        <v>0</v>
      </c>
      <c r="FQ30" s="2">
        <f t="shared" si="727"/>
        <v>2</v>
      </c>
      <c r="FR30" s="2">
        <f t="shared" si="728"/>
        <v>0</v>
      </c>
      <c r="FS30" s="2">
        <f t="shared" si="729"/>
        <v>0</v>
      </c>
      <c r="FT30" s="2">
        <f t="shared" si="612"/>
        <v>0</v>
      </c>
      <c r="FU30" s="2">
        <f t="shared" si="730"/>
        <v>5</v>
      </c>
      <c r="FV30" s="2">
        <f t="shared" si="731"/>
        <v>1</v>
      </c>
      <c r="FW30" s="2">
        <f t="shared" si="732"/>
        <v>3</v>
      </c>
      <c r="FX30" s="2">
        <f t="shared" si="613"/>
        <v>0</v>
      </c>
      <c r="FY30" s="2">
        <f t="shared" si="733"/>
        <v>5</v>
      </c>
      <c r="FZ30" s="2"/>
      <c r="GA30" s="2">
        <f t="shared" si="817"/>
        <v>1</v>
      </c>
      <c r="GB30" s="2"/>
      <c r="GC30" s="41">
        <f>FA30-'Zusammenfassung Tag1-4'!$G$2/18</f>
        <v>3.7222222222222223</v>
      </c>
      <c r="GD30" s="14">
        <f t="shared" si="735"/>
        <v>102.61111111111114</v>
      </c>
      <c r="GE30" s="53">
        <v>5</v>
      </c>
      <c r="GF30" s="2">
        <v>170</v>
      </c>
      <c r="GG30" s="56">
        <v>2</v>
      </c>
      <c r="GH30" s="2">
        <f t="shared" si="736"/>
        <v>44</v>
      </c>
      <c r="GI30" s="2">
        <f t="shared" si="614"/>
        <v>0</v>
      </c>
      <c r="GJ30" s="2">
        <f t="shared" si="737"/>
        <v>1</v>
      </c>
      <c r="GK30" s="2">
        <f t="shared" si="615"/>
        <v>0</v>
      </c>
      <c r="GL30" s="2">
        <f t="shared" si="738"/>
        <v>1</v>
      </c>
      <c r="GM30" s="2"/>
      <c r="GN30" s="2">
        <f t="shared" si="616"/>
        <v>0</v>
      </c>
      <c r="GO30" s="2">
        <f t="shared" si="739"/>
        <v>0</v>
      </c>
      <c r="GP30" s="2">
        <f t="shared" si="740"/>
        <v>0</v>
      </c>
      <c r="GQ30" s="2">
        <f t="shared" si="741"/>
        <v>0</v>
      </c>
      <c r="GR30" s="2">
        <f t="shared" si="742"/>
        <v>1</v>
      </c>
      <c r="GS30" s="2">
        <f t="shared" si="743"/>
        <v>2</v>
      </c>
      <c r="GT30" s="2">
        <f t="shared" si="744"/>
        <v>0</v>
      </c>
      <c r="GU30" s="2">
        <f t="shared" si="745"/>
        <v>3</v>
      </c>
      <c r="GV30" s="2">
        <f t="shared" si="746"/>
        <v>0</v>
      </c>
      <c r="GW30" s="2">
        <f t="shared" si="747"/>
        <v>0</v>
      </c>
      <c r="GX30" s="2">
        <f t="shared" si="617"/>
        <v>0</v>
      </c>
      <c r="GY30" s="2">
        <f t="shared" si="748"/>
        <v>5</v>
      </c>
      <c r="GZ30" s="2">
        <f t="shared" si="749"/>
        <v>1</v>
      </c>
      <c r="HA30" s="2">
        <f t="shared" si="750"/>
        <v>3</v>
      </c>
      <c r="HB30" s="2">
        <f t="shared" si="618"/>
        <v>0</v>
      </c>
      <c r="HC30" s="2">
        <f t="shared" si="751"/>
        <v>3</v>
      </c>
      <c r="HD30" s="2"/>
      <c r="HE30" s="2">
        <f t="shared" si="818"/>
        <v>1</v>
      </c>
      <c r="HF30" s="2"/>
      <c r="HG30" s="41">
        <f>GE30-'Zusammenfassung Tag1-4'!$H$2/18</f>
        <v>3.2222222222222223</v>
      </c>
      <c r="HH30" s="14">
        <f t="shared" si="753"/>
        <v>115.11111111111117</v>
      </c>
      <c r="HI30" s="53">
        <v>6</v>
      </c>
      <c r="HJ30" s="2">
        <v>123</v>
      </c>
      <c r="HK30" s="56">
        <v>3</v>
      </c>
      <c r="HL30" s="2">
        <f t="shared" si="754"/>
        <v>47</v>
      </c>
      <c r="HM30" s="2">
        <f t="shared" si="619"/>
        <v>0</v>
      </c>
      <c r="HN30" s="2">
        <f t="shared" si="755"/>
        <v>2</v>
      </c>
      <c r="HO30" s="2">
        <f t="shared" si="620"/>
        <v>0</v>
      </c>
      <c r="HP30" s="2">
        <f t="shared" si="756"/>
        <v>1</v>
      </c>
      <c r="HQ30" s="2"/>
      <c r="HR30" s="2">
        <f t="shared" si="621"/>
        <v>0</v>
      </c>
      <c r="HS30" s="2">
        <f t="shared" si="757"/>
        <v>0</v>
      </c>
      <c r="HT30" s="2">
        <f t="shared" si="758"/>
        <v>0</v>
      </c>
      <c r="HU30" s="2">
        <f t="shared" si="759"/>
        <v>0</v>
      </c>
      <c r="HV30" s="2">
        <f t="shared" si="760"/>
        <v>0</v>
      </c>
      <c r="HW30" s="2">
        <f t="shared" si="761"/>
        <v>3</v>
      </c>
      <c r="HX30" s="2">
        <f t="shared" si="762"/>
        <v>1</v>
      </c>
      <c r="HY30" s="2">
        <f t="shared" si="763"/>
        <v>2</v>
      </c>
      <c r="HZ30" s="2">
        <f t="shared" si="764"/>
        <v>0</v>
      </c>
      <c r="IA30" s="2">
        <f t="shared" si="765"/>
        <v>0</v>
      </c>
      <c r="IB30" s="2">
        <f t="shared" si="622"/>
        <v>0</v>
      </c>
      <c r="IC30" s="2">
        <f t="shared" si="766"/>
        <v>4</v>
      </c>
      <c r="ID30" s="2">
        <f t="shared" si="767"/>
        <v>0</v>
      </c>
      <c r="IE30" s="2">
        <f t="shared" si="768"/>
        <v>1</v>
      </c>
      <c r="IF30" s="2">
        <f t="shared" si="623"/>
        <v>1</v>
      </c>
      <c r="IG30" s="2">
        <f t="shared" si="769"/>
        <v>5</v>
      </c>
      <c r="IH30" s="2"/>
      <c r="II30" s="2">
        <f t="shared" si="819"/>
        <v>2</v>
      </c>
      <c r="IJ30" s="2"/>
      <c r="IK30" s="41">
        <f>HI30-'Zusammenfassung Tag1-4'!$I$2/18</f>
        <v>5.1111111111111107</v>
      </c>
      <c r="IL30" s="14">
        <f t="shared" si="771"/>
        <v>112.5555555555556</v>
      </c>
      <c r="IM30" s="53">
        <v>7</v>
      </c>
      <c r="IN30" s="2">
        <v>43</v>
      </c>
      <c r="IO30" s="56">
        <v>4</v>
      </c>
      <c r="IP30" s="2">
        <f t="shared" si="772"/>
        <v>60</v>
      </c>
      <c r="IQ30" s="2">
        <f t="shared" si="624"/>
        <v>0</v>
      </c>
      <c r="IR30" s="2">
        <f t="shared" si="773"/>
        <v>5</v>
      </c>
      <c r="IS30" s="2">
        <f t="shared" si="625"/>
        <v>0</v>
      </c>
      <c r="IT30" s="2">
        <f t="shared" si="774"/>
        <v>0</v>
      </c>
      <c r="IU30" s="2"/>
      <c r="IV30" s="2">
        <f t="shared" si="626"/>
        <v>0</v>
      </c>
      <c r="IW30" s="2">
        <f t="shared" si="775"/>
        <v>0</v>
      </c>
      <c r="IX30" s="2">
        <f t="shared" si="776"/>
        <v>0</v>
      </c>
      <c r="IY30" s="2">
        <f t="shared" si="777"/>
        <v>0</v>
      </c>
      <c r="IZ30" s="2">
        <f t="shared" si="778"/>
        <v>0</v>
      </c>
      <c r="JA30" s="2">
        <f t="shared" si="779"/>
        <v>1</v>
      </c>
      <c r="JB30" s="2">
        <f t="shared" si="780"/>
        <v>1</v>
      </c>
      <c r="JC30" s="2">
        <f t="shared" si="781"/>
        <v>4</v>
      </c>
      <c r="JD30" s="2">
        <f t="shared" si="782"/>
        <v>0</v>
      </c>
      <c r="JE30" s="2">
        <f t="shared" si="783"/>
        <v>0</v>
      </c>
      <c r="JF30" s="2">
        <f t="shared" si="627"/>
        <v>0</v>
      </c>
      <c r="JG30" s="2">
        <f t="shared" si="784"/>
        <v>1</v>
      </c>
      <c r="JH30" s="2">
        <f t="shared" si="785"/>
        <v>0</v>
      </c>
      <c r="JI30" s="2">
        <f t="shared" si="786"/>
        <v>2</v>
      </c>
      <c r="JJ30" s="2">
        <f t="shared" si="628"/>
        <v>1</v>
      </c>
      <c r="JK30" s="2">
        <f t="shared" si="787"/>
        <v>11</v>
      </c>
      <c r="JL30" s="2"/>
      <c r="JM30" s="2">
        <f t="shared" si="820"/>
        <v>3</v>
      </c>
      <c r="JN30" s="2"/>
      <c r="JO30" s="41">
        <f>IM30-'Zusammenfassung Tag1-4'!$J$2/18</f>
        <v>4.6666666666666661</v>
      </c>
      <c r="JP30" s="14">
        <f t="shared" si="789"/>
        <v>103.33333333333336</v>
      </c>
      <c r="JQ30" s="53"/>
      <c r="JR30" s="2"/>
      <c r="JS30" s="56"/>
      <c r="JT30" s="2">
        <f t="shared" si="790"/>
        <v>0</v>
      </c>
      <c r="JU30" s="2">
        <f t="shared" si="629"/>
        <v>1</v>
      </c>
      <c r="JV30" s="2">
        <f t="shared" si="791"/>
        <v>23</v>
      </c>
      <c r="JW30" s="2">
        <f t="shared" si="630"/>
        <v>0</v>
      </c>
      <c r="JX30" s="2">
        <f t="shared" si="792"/>
        <v>0</v>
      </c>
      <c r="JY30" s="2"/>
      <c r="JZ30" s="2">
        <f t="shared" si="631"/>
        <v>0</v>
      </c>
      <c r="KA30" s="2">
        <f t="shared" si="793"/>
        <v>0</v>
      </c>
      <c r="KB30" s="2">
        <f t="shared" si="794"/>
        <v>0</v>
      </c>
      <c r="KC30" s="2">
        <f t="shared" si="795"/>
        <v>0</v>
      </c>
      <c r="KD30" s="2">
        <f t="shared" si="796"/>
        <v>0</v>
      </c>
      <c r="KE30" s="2">
        <f t="shared" si="797"/>
        <v>0</v>
      </c>
      <c r="KF30" s="2">
        <f t="shared" si="798"/>
        <v>0</v>
      </c>
      <c r="KG30" s="2">
        <f t="shared" si="799"/>
        <v>0</v>
      </c>
      <c r="KH30" s="2">
        <f t="shared" si="800"/>
        <v>1</v>
      </c>
      <c r="KI30" s="2">
        <f t="shared" si="801"/>
        <v>5</v>
      </c>
      <c r="KJ30" s="2">
        <f t="shared" si="632"/>
        <v>0</v>
      </c>
      <c r="KK30" s="2">
        <f t="shared" si="802"/>
        <v>0</v>
      </c>
      <c r="KL30" s="2">
        <f t="shared" si="803"/>
        <v>0</v>
      </c>
      <c r="KM30" s="2">
        <f t="shared" si="804"/>
        <v>0</v>
      </c>
      <c r="KN30" s="2">
        <f t="shared" si="633"/>
        <v>0</v>
      </c>
      <c r="KO30" s="2">
        <f t="shared" si="805"/>
        <v>0</v>
      </c>
      <c r="KP30" s="2"/>
      <c r="KQ30" s="2">
        <f t="shared" si="821"/>
        <v>-4</v>
      </c>
      <c r="KR30" s="2"/>
      <c r="KS30" s="41" t="e">
        <f>JQ30-'Zusammenfassung Tag1-4'!#REF!/18</f>
        <v>#REF!</v>
      </c>
      <c r="KT30" s="14" t="e">
        <f t="shared" si="807"/>
        <v>#REF!</v>
      </c>
    </row>
    <row r="31" spans="1:306" ht="13.2" x14ac:dyDescent="0.25">
      <c r="A31" s="179"/>
      <c r="B31" s="176"/>
      <c r="C31" s="44">
        <v>6</v>
      </c>
      <c r="D31" s="2">
        <f t="shared" si="808"/>
        <v>24</v>
      </c>
      <c r="E31" s="44">
        <v>4</v>
      </c>
      <c r="F31" s="4">
        <f t="shared" si="634"/>
        <v>98</v>
      </c>
      <c r="G31" s="53">
        <v>4</v>
      </c>
      <c r="H31" s="2">
        <f t="shared" si="809"/>
        <v>117</v>
      </c>
      <c r="I31" s="56">
        <v>0</v>
      </c>
      <c r="J31" s="2">
        <f t="shared" si="635"/>
        <v>46</v>
      </c>
      <c r="K31" s="2">
        <f t="shared" si="579"/>
        <v>0</v>
      </c>
      <c r="L31" s="2">
        <f t="shared" si="636"/>
        <v>6</v>
      </c>
      <c r="M31" s="2">
        <f t="shared" si="580"/>
        <v>1</v>
      </c>
      <c r="N31" s="2">
        <f t="shared" si="637"/>
        <v>4</v>
      </c>
      <c r="O31" s="2"/>
      <c r="P31" s="2">
        <f t="shared" si="581"/>
        <v>0</v>
      </c>
      <c r="Q31" s="2">
        <f t="shared" si="638"/>
        <v>1</v>
      </c>
      <c r="R31" s="2">
        <f t="shared" si="582"/>
        <v>1</v>
      </c>
      <c r="S31" s="2">
        <f t="shared" si="639"/>
        <v>1</v>
      </c>
      <c r="T31" s="2">
        <f t="shared" si="583"/>
        <v>0</v>
      </c>
      <c r="U31" s="2">
        <f t="shared" si="640"/>
        <v>3</v>
      </c>
      <c r="V31" s="2">
        <f t="shared" si="584"/>
        <v>0</v>
      </c>
      <c r="W31" s="2">
        <f t="shared" si="641"/>
        <v>2</v>
      </c>
      <c r="X31" s="2">
        <f t="shared" si="585"/>
        <v>1</v>
      </c>
      <c r="Y31" s="2">
        <f t="shared" si="642"/>
        <v>1</v>
      </c>
      <c r="Z31" s="2">
        <f t="shared" si="586"/>
        <v>0</v>
      </c>
      <c r="AA31" s="2">
        <f t="shared" si="643"/>
        <v>4</v>
      </c>
      <c r="AB31" s="2">
        <f t="shared" si="587"/>
        <v>0</v>
      </c>
      <c r="AC31" s="2">
        <f t="shared" si="644"/>
        <v>3</v>
      </c>
      <c r="AD31" s="2">
        <f t="shared" si="588"/>
        <v>0</v>
      </c>
      <c r="AE31" s="2">
        <f t="shared" si="645"/>
        <v>3</v>
      </c>
      <c r="AF31" s="2"/>
      <c r="AG31" s="2">
        <f>IF($E31=4,G31-4,NA())</f>
        <v>0</v>
      </c>
      <c r="AH31" s="2"/>
      <c r="AI31" s="41">
        <f>G31-'Zusammenfassung Tag1-4'!$B$2/18</f>
        <v>3.1666666666666665</v>
      </c>
      <c r="AJ31" s="13">
        <f t="shared" si="646"/>
        <v>97.000000000000014</v>
      </c>
      <c r="AK31" s="53">
        <v>6</v>
      </c>
      <c r="AL31" s="2">
        <f t="shared" si="810"/>
        <v>122</v>
      </c>
      <c r="AM31" s="56">
        <v>3</v>
      </c>
      <c r="AN31" s="2">
        <f t="shared" si="647"/>
        <v>45</v>
      </c>
      <c r="AO31" s="2">
        <f t="shared" si="589"/>
        <v>0</v>
      </c>
      <c r="AP31" s="2">
        <f t="shared" si="648"/>
        <v>9</v>
      </c>
      <c r="AQ31" s="2">
        <f t="shared" si="590"/>
        <v>0</v>
      </c>
      <c r="AR31" s="2">
        <f t="shared" si="649"/>
        <v>4</v>
      </c>
      <c r="AS31" s="2"/>
      <c r="AT31" s="2">
        <f t="shared" si="591"/>
        <v>0</v>
      </c>
      <c r="AU31" s="2">
        <f t="shared" si="650"/>
        <v>0</v>
      </c>
      <c r="AV31" s="2">
        <f t="shared" si="651"/>
        <v>0</v>
      </c>
      <c r="AW31" s="2">
        <f t="shared" si="652"/>
        <v>4</v>
      </c>
      <c r="AX31" s="2">
        <f t="shared" si="653"/>
        <v>0</v>
      </c>
      <c r="AY31" s="2">
        <f t="shared" si="654"/>
        <v>1</v>
      </c>
      <c r="AZ31" s="2">
        <f t="shared" si="655"/>
        <v>1</v>
      </c>
      <c r="BA31" s="2">
        <f t="shared" si="656"/>
        <v>1</v>
      </c>
      <c r="BB31" s="2">
        <f t="shared" si="657"/>
        <v>0</v>
      </c>
      <c r="BC31" s="2">
        <f t="shared" si="658"/>
        <v>0</v>
      </c>
      <c r="BD31" s="2">
        <f t="shared" si="592"/>
        <v>0</v>
      </c>
      <c r="BE31" s="2">
        <f t="shared" si="659"/>
        <v>6</v>
      </c>
      <c r="BF31" s="2">
        <f t="shared" si="660"/>
        <v>0</v>
      </c>
      <c r="BG31" s="2">
        <f t="shared" si="661"/>
        <v>1</v>
      </c>
      <c r="BH31" s="2">
        <f t="shared" si="593"/>
        <v>1</v>
      </c>
      <c r="BI31" s="2">
        <f t="shared" si="662"/>
        <v>3</v>
      </c>
      <c r="BJ31" s="2"/>
      <c r="BK31" s="2">
        <f>IF($E31=4,AK31-4,NA())</f>
        <v>2</v>
      </c>
      <c r="BL31" s="2"/>
      <c r="BM31" s="41">
        <f>AK31-'Zusammenfassung Tag1-4'!$C$2/18</f>
        <v>5.4444444444444446</v>
      </c>
      <c r="BN31" s="13">
        <f t="shared" si="664"/>
        <v>108.66666666666664</v>
      </c>
      <c r="BO31" s="53">
        <v>5</v>
      </c>
      <c r="BP31" s="2">
        <f t="shared" si="811"/>
        <v>143</v>
      </c>
      <c r="BQ31" s="56">
        <v>2</v>
      </c>
      <c r="BR31" s="2">
        <f t="shared" si="665"/>
        <v>55</v>
      </c>
      <c r="BS31" s="2">
        <f t="shared" si="594"/>
        <v>0</v>
      </c>
      <c r="BT31" s="2">
        <f t="shared" si="666"/>
        <v>6</v>
      </c>
      <c r="BU31" s="2">
        <f t="shared" si="595"/>
        <v>0</v>
      </c>
      <c r="BV31" s="2">
        <f t="shared" si="667"/>
        <v>0</v>
      </c>
      <c r="BW31" s="2"/>
      <c r="BX31" s="2">
        <f t="shared" si="596"/>
        <v>0</v>
      </c>
      <c r="BY31" s="2">
        <f t="shared" si="668"/>
        <v>0</v>
      </c>
      <c r="BZ31" s="2">
        <f t="shared" si="669"/>
        <v>0</v>
      </c>
      <c r="CA31" s="2">
        <f t="shared" si="670"/>
        <v>1</v>
      </c>
      <c r="CB31" s="2">
        <f t="shared" si="671"/>
        <v>1</v>
      </c>
      <c r="CC31" s="2">
        <f t="shared" si="672"/>
        <v>3</v>
      </c>
      <c r="CD31" s="2">
        <f t="shared" si="673"/>
        <v>0</v>
      </c>
      <c r="CE31" s="2">
        <f t="shared" si="674"/>
        <v>2</v>
      </c>
      <c r="CF31" s="2">
        <f t="shared" si="675"/>
        <v>0</v>
      </c>
      <c r="CG31" s="2">
        <f t="shared" si="668"/>
        <v>0</v>
      </c>
      <c r="CH31" s="2">
        <f t="shared" si="597"/>
        <v>0</v>
      </c>
      <c r="CI31" s="2">
        <f t="shared" si="676"/>
        <v>1</v>
      </c>
      <c r="CJ31" s="2">
        <f t="shared" si="677"/>
        <v>1</v>
      </c>
      <c r="CK31" s="2">
        <f t="shared" si="678"/>
        <v>5</v>
      </c>
      <c r="CL31" s="2">
        <f t="shared" si="598"/>
        <v>0</v>
      </c>
      <c r="CM31" s="2">
        <f t="shared" si="679"/>
        <v>8</v>
      </c>
      <c r="CN31" s="2"/>
      <c r="CO31" s="2">
        <f>IF($E31=4,BO31-4,NA())</f>
        <v>1</v>
      </c>
      <c r="CP31" s="2"/>
      <c r="CQ31" s="41">
        <f>BO31-'Zusammenfassung Tag1-4'!$D$2/18</f>
        <v>3.9444444444444446</v>
      </c>
      <c r="CR31" s="13">
        <f t="shared" si="681"/>
        <v>117.66666666666664</v>
      </c>
      <c r="CS31" s="53">
        <v>7</v>
      </c>
      <c r="CT31" s="2">
        <f t="shared" si="812"/>
        <v>135</v>
      </c>
      <c r="CU31" s="56">
        <v>2</v>
      </c>
      <c r="CV31" s="2">
        <f t="shared" si="682"/>
        <v>56</v>
      </c>
      <c r="CW31" s="2">
        <f t="shared" si="599"/>
        <v>0</v>
      </c>
      <c r="CX31" s="2">
        <f t="shared" si="683"/>
        <v>9</v>
      </c>
      <c r="CY31" s="2">
        <f t="shared" si="600"/>
        <v>0</v>
      </c>
      <c r="CZ31" s="2">
        <f t="shared" si="684"/>
        <v>0</v>
      </c>
      <c r="DA31" s="2"/>
      <c r="DB31" s="2">
        <f t="shared" si="601"/>
        <v>0</v>
      </c>
      <c r="DC31" s="2">
        <f t="shared" si="685"/>
        <v>0</v>
      </c>
      <c r="DD31" s="2">
        <f t="shared" si="686"/>
        <v>0</v>
      </c>
      <c r="DE31" s="2">
        <f t="shared" si="687"/>
        <v>2</v>
      </c>
      <c r="DF31" s="2">
        <f t="shared" si="688"/>
        <v>0</v>
      </c>
      <c r="DG31" s="2">
        <f t="shared" si="689"/>
        <v>2</v>
      </c>
      <c r="DH31" s="2">
        <f t="shared" si="690"/>
        <v>1</v>
      </c>
      <c r="DI31" s="2">
        <f t="shared" si="691"/>
        <v>2</v>
      </c>
      <c r="DJ31" s="2">
        <f t="shared" si="692"/>
        <v>0</v>
      </c>
      <c r="DK31" s="2">
        <f t="shared" si="693"/>
        <v>0</v>
      </c>
      <c r="DL31" s="2">
        <f t="shared" si="602"/>
        <v>0</v>
      </c>
      <c r="DM31" s="2">
        <f t="shared" si="694"/>
        <v>2</v>
      </c>
      <c r="DN31" s="2">
        <f t="shared" si="695"/>
        <v>1</v>
      </c>
      <c r="DO31" s="2">
        <f t="shared" si="696"/>
        <v>5</v>
      </c>
      <c r="DP31" s="2">
        <f t="shared" si="603"/>
        <v>0</v>
      </c>
      <c r="DQ31" s="2">
        <f t="shared" si="697"/>
        <v>9</v>
      </c>
      <c r="DR31" s="2"/>
      <c r="DS31" s="2">
        <f>IF($E31=4,CS31-4,NA())</f>
        <v>3</v>
      </c>
      <c r="DT31" s="2"/>
      <c r="DU31" s="41">
        <f>CS31-'Zusammenfassung Tag1-4'!$E$2/18</f>
        <v>6</v>
      </c>
      <c r="DV31" s="14">
        <f t="shared" si="699"/>
        <v>111</v>
      </c>
      <c r="DW31" s="53">
        <v>5</v>
      </c>
      <c r="DX31" s="2">
        <v>35</v>
      </c>
      <c r="DY31" s="56">
        <v>2</v>
      </c>
      <c r="DZ31" s="2">
        <f t="shared" si="700"/>
        <v>58</v>
      </c>
      <c r="EA31" s="2">
        <f t="shared" si="604"/>
        <v>0</v>
      </c>
      <c r="EB31" s="2">
        <f t="shared" si="701"/>
        <v>0</v>
      </c>
      <c r="EC31" s="2">
        <f t="shared" si="605"/>
        <v>0</v>
      </c>
      <c r="ED31" s="2">
        <f t="shared" si="702"/>
        <v>0</v>
      </c>
      <c r="EE31" s="2"/>
      <c r="EF31" s="2">
        <f t="shared" si="606"/>
        <v>0</v>
      </c>
      <c r="EG31" s="2">
        <f t="shared" si="703"/>
        <v>0</v>
      </c>
      <c r="EH31" s="2">
        <f t="shared" si="704"/>
        <v>0</v>
      </c>
      <c r="EI31" s="2">
        <f t="shared" si="705"/>
        <v>0</v>
      </c>
      <c r="EJ31" s="2">
        <f t="shared" si="706"/>
        <v>1</v>
      </c>
      <c r="EK31" s="2">
        <f t="shared" si="707"/>
        <v>2</v>
      </c>
      <c r="EL31" s="2">
        <f t="shared" si="708"/>
        <v>0</v>
      </c>
      <c r="EM31" s="2">
        <f t="shared" si="709"/>
        <v>4</v>
      </c>
      <c r="EN31" s="2">
        <f t="shared" si="710"/>
        <v>0</v>
      </c>
      <c r="EO31" s="2">
        <f t="shared" si="711"/>
        <v>0</v>
      </c>
      <c r="EP31" s="2">
        <f t="shared" si="607"/>
        <v>0</v>
      </c>
      <c r="EQ31" s="2">
        <f t="shared" si="712"/>
        <v>0</v>
      </c>
      <c r="ER31" s="2">
        <f t="shared" si="713"/>
        <v>1</v>
      </c>
      <c r="ES31" s="2">
        <f t="shared" si="714"/>
        <v>5</v>
      </c>
      <c r="ET31" s="2">
        <f t="shared" si="608"/>
        <v>0</v>
      </c>
      <c r="EU31" s="2">
        <f t="shared" si="715"/>
        <v>9</v>
      </c>
      <c r="EV31" s="2"/>
      <c r="EW31" s="2">
        <f>IF($E31=4,DW31-4,NA())</f>
        <v>1</v>
      </c>
      <c r="EX31" s="2"/>
      <c r="EY31" s="41">
        <f>DW31-'Zusammenfassung Tag1-4'!$F$2/18</f>
        <v>2.5</v>
      </c>
      <c r="EZ31" s="14">
        <f t="shared" si="717"/>
        <v>116</v>
      </c>
      <c r="FA31" s="53">
        <v>5</v>
      </c>
      <c r="FB31" s="2">
        <v>135</v>
      </c>
      <c r="FC31" s="56">
        <v>2</v>
      </c>
      <c r="FD31" s="2">
        <f t="shared" si="718"/>
        <v>48</v>
      </c>
      <c r="FE31" s="2">
        <f t="shared" si="609"/>
        <v>0</v>
      </c>
      <c r="FF31" s="2">
        <f t="shared" si="719"/>
        <v>4</v>
      </c>
      <c r="FG31" s="2">
        <f t="shared" si="610"/>
        <v>0</v>
      </c>
      <c r="FH31" s="2">
        <f t="shared" si="720"/>
        <v>1</v>
      </c>
      <c r="FI31" s="2"/>
      <c r="FJ31" s="2">
        <f t="shared" si="611"/>
        <v>0</v>
      </c>
      <c r="FK31" s="2">
        <f t="shared" si="721"/>
        <v>0</v>
      </c>
      <c r="FL31" s="2">
        <f t="shared" si="722"/>
        <v>0</v>
      </c>
      <c r="FM31" s="2">
        <f t="shared" si="723"/>
        <v>1</v>
      </c>
      <c r="FN31" s="2">
        <f t="shared" si="724"/>
        <v>1</v>
      </c>
      <c r="FO31" s="2">
        <f t="shared" si="725"/>
        <v>3</v>
      </c>
      <c r="FP31" s="2">
        <f t="shared" si="726"/>
        <v>0</v>
      </c>
      <c r="FQ31" s="2">
        <f t="shared" si="727"/>
        <v>2</v>
      </c>
      <c r="FR31" s="2">
        <f t="shared" si="728"/>
        <v>0</v>
      </c>
      <c r="FS31" s="2">
        <f t="shared" si="729"/>
        <v>0</v>
      </c>
      <c r="FT31" s="2">
        <f t="shared" si="612"/>
        <v>0</v>
      </c>
      <c r="FU31" s="2">
        <f t="shared" si="730"/>
        <v>5</v>
      </c>
      <c r="FV31" s="2">
        <f t="shared" si="731"/>
        <v>1</v>
      </c>
      <c r="FW31" s="2">
        <f t="shared" si="732"/>
        <v>4</v>
      </c>
      <c r="FX31" s="2">
        <f t="shared" si="613"/>
        <v>0</v>
      </c>
      <c r="FY31" s="2">
        <f t="shared" si="733"/>
        <v>5</v>
      </c>
      <c r="FZ31" s="2"/>
      <c r="GA31" s="2">
        <f>IF($E31=4,FA31-4,NA())</f>
        <v>1</v>
      </c>
      <c r="GB31" s="2"/>
      <c r="GC31" s="41">
        <f>FA31-'Zusammenfassung Tag1-4'!$G$2/18</f>
        <v>3.7222222222222223</v>
      </c>
      <c r="GD31" s="14">
        <f t="shared" si="735"/>
        <v>106.33333333333337</v>
      </c>
      <c r="GE31" s="53">
        <v>5</v>
      </c>
      <c r="GF31" s="2">
        <v>179</v>
      </c>
      <c r="GG31" s="56">
        <v>2</v>
      </c>
      <c r="GH31" s="2">
        <f t="shared" si="736"/>
        <v>46</v>
      </c>
      <c r="GI31" s="2">
        <f t="shared" si="614"/>
        <v>0</v>
      </c>
      <c r="GJ31" s="2">
        <f t="shared" si="737"/>
        <v>1</v>
      </c>
      <c r="GK31" s="2">
        <f t="shared" si="615"/>
        <v>0</v>
      </c>
      <c r="GL31" s="2">
        <f t="shared" si="738"/>
        <v>1</v>
      </c>
      <c r="GM31" s="2"/>
      <c r="GN31" s="2">
        <f t="shared" si="616"/>
        <v>0</v>
      </c>
      <c r="GO31" s="2">
        <f t="shared" si="739"/>
        <v>0</v>
      </c>
      <c r="GP31" s="2">
        <f t="shared" si="740"/>
        <v>0</v>
      </c>
      <c r="GQ31" s="2">
        <f t="shared" si="741"/>
        <v>0</v>
      </c>
      <c r="GR31" s="2">
        <f t="shared" si="742"/>
        <v>1</v>
      </c>
      <c r="GS31" s="2">
        <f t="shared" si="743"/>
        <v>3</v>
      </c>
      <c r="GT31" s="2">
        <f t="shared" si="744"/>
        <v>0</v>
      </c>
      <c r="GU31" s="2">
        <f t="shared" si="745"/>
        <v>3</v>
      </c>
      <c r="GV31" s="2">
        <f t="shared" si="746"/>
        <v>0</v>
      </c>
      <c r="GW31" s="2">
        <f t="shared" si="747"/>
        <v>0</v>
      </c>
      <c r="GX31" s="2">
        <f t="shared" si="617"/>
        <v>0</v>
      </c>
      <c r="GY31" s="2">
        <f t="shared" si="748"/>
        <v>5</v>
      </c>
      <c r="GZ31" s="2">
        <f t="shared" si="749"/>
        <v>1</v>
      </c>
      <c r="HA31" s="2">
        <f t="shared" si="750"/>
        <v>4</v>
      </c>
      <c r="HB31" s="2">
        <f t="shared" si="618"/>
        <v>0</v>
      </c>
      <c r="HC31" s="2">
        <f t="shared" si="751"/>
        <v>3</v>
      </c>
      <c r="HD31" s="2"/>
      <c r="HE31" s="2">
        <f>IF($E31=4,GE31-4,NA())</f>
        <v>1</v>
      </c>
      <c r="HF31" s="2"/>
      <c r="HG31" s="41">
        <f>GE31-'Zusammenfassung Tag1-4'!$H$2/18</f>
        <v>3.2222222222222223</v>
      </c>
      <c r="HH31" s="14">
        <f t="shared" si="753"/>
        <v>118.3333333333334</v>
      </c>
      <c r="HI31" s="53">
        <v>5</v>
      </c>
      <c r="HJ31" s="2">
        <v>131</v>
      </c>
      <c r="HK31" s="56">
        <v>2</v>
      </c>
      <c r="HL31" s="2">
        <f t="shared" si="754"/>
        <v>49</v>
      </c>
      <c r="HM31" s="2">
        <f t="shared" si="619"/>
        <v>0</v>
      </c>
      <c r="HN31" s="2">
        <f t="shared" si="755"/>
        <v>2</v>
      </c>
      <c r="HO31" s="2">
        <f t="shared" si="620"/>
        <v>0</v>
      </c>
      <c r="HP31" s="2">
        <f t="shared" si="756"/>
        <v>1</v>
      </c>
      <c r="HQ31" s="2"/>
      <c r="HR31" s="2">
        <f t="shared" si="621"/>
        <v>0</v>
      </c>
      <c r="HS31" s="2">
        <f t="shared" si="757"/>
        <v>0</v>
      </c>
      <c r="HT31" s="2">
        <f t="shared" si="758"/>
        <v>0</v>
      </c>
      <c r="HU31" s="2">
        <f t="shared" si="759"/>
        <v>0</v>
      </c>
      <c r="HV31" s="2">
        <f t="shared" si="760"/>
        <v>1</v>
      </c>
      <c r="HW31" s="2">
        <f t="shared" si="761"/>
        <v>4</v>
      </c>
      <c r="HX31" s="2">
        <f t="shared" si="762"/>
        <v>0</v>
      </c>
      <c r="HY31" s="2">
        <f t="shared" si="763"/>
        <v>2</v>
      </c>
      <c r="HZ31" s="2">
        <f t="shared" si="764"/>
        <v>0</v>
      </c>
      <c r="IA31" s="2">
        <f t="shared" si="765"/>
        <v>0</v>
      </c>
      <c r="IB31" s="2">
        <f t="shared" si="622"/>
        <v>0</v>
      </c>
      <c r="IC31" s="2">
        <f t="shared" si="766"/>
        <v>4</v>
      </c>
      <c r="ID31" s="2">
        <f t="shared" si="767"/>
        <v>1</v>
      </c>
      <c r="IE31" s="2">
        <f t="shared" si="768"/>
        <v>2</v>
      </c>
      <c r="IF31" s="2">
        <f t="shared" si="623"/>
        <v>0</v>
      </c>
      <c r="IG31" s="2">
        <f t="shared" si="769"/>
        <v>5</v>
      </c>
      <c r="IH31" s="2"/>
      <c r="II31" s="2">
        <f>IF($E31=4,HI31-4,NA())</f>
        <v>1</v>
      </c>
      <c r="IJ31" s="2"/>
      <c r="IK31" s="41">
        <f>HI31-'Zusammenfassung Tag1-4'!$I$2/18</f>
        <v>4.1111111111111107</v>
      </c>
      <c r="IL31" s="14">
        <f t="shared" si="771"/>
        <v>116.66666666666671</v>
      </c>
      <c r="IM31" s="53">
        <v>6</v>
      </c>
      <c r="IN31" s="2">
        <v>52</v>
      </c>
      <c r="IO31" s="56">
        <v>3</v>
      </c>
      <c r="IP31" s="2">
        <f t="shared" si="772"/>
        <v>63</v>
      </c>
      <c r="IQ31" s="2">
        <f t="shared" si="624"/>
        <v>0</v>
      </c>
      <c r="IR31" s="2">
        <f t="shared" si="773"/>
        <v>5</v>
      </c>
      <c r="IS31" s="2">
        <f t="shared" si="625"/>
        <v>0</v>
      </c>
      <c r="IT31" s="2">
        <f t="shared" si="774"/>
        <v>0</v>
      </c>
      <c r="IU31" s="2"/>
      <c r="IV31" s="2">
        <f t="shared" si="626"/>
        <v>0</v>
      </c>
      <c r="IW31" s="2">
        <f t="shared" si="775"/>
        <v>0</v>
      </c>
      <c r="IX31" s="2">
        <f t="shared" si="776"/>
        <v>0</v>
      </c>
      <c r="IY31" s="2">
        <f t="shared" si="777"/>
        <v>0</v>
      </c>
      <c r="IZ31" s="2">
        <f t="shared" si="778"/>
        <v>0</v>
      </c>
      <c r="JA31" s="2">
        <f t="shared" si="779"/>
        <v>1</v>
      </c>
      <c r="JB31" s="2">
        <f t="shared" si="780"/>
        <v>1</v>
      </c>
      <c r="JC31" s="2">
        <f t="shared" si="781"/>
        <v>5</v>
      </c>
      <c r="JD31" s="2">
        <f t="shared" si="782"/>
        <v>0</v>
      </c>
      <c r="JE31" s="2">
        <f t="shared" si="783"/>
        <v>0</v>
      </c>
      <c r="JF31" s="2">
        <f t="shared" si="627"/>
        <v>0</v>
      </c>
      <c r="JG31" s="2">
        <f t="shared" si="784"/>
        <v>1</v>
      </c>
      <c r="JH31" s="2">
        <f t="shared" si="785"/>
        <v>0</v>
      </c>
      <c r="JI31" s="2">
        <f t="shared" si="786"/>
        <v>2</v>
      </c>
      <c r="JJ31" s="2">
        <f t="shared" si="628"/>
        <v>1</v>
      </c>
      <c r="JK31" s="2">
        <f t="shared" si="787"/>
        <v>12</v>
      </c>
      <c r="JL31" s="2"/>
      <c r="JM31" s="2">
        <f>IF($E31=4,IM31-4,NA())</f>
        <v>2</v>
      </c>
      <c r="JN31" s="2"/>
      <c r="JO31" s="41">
        <f>IM31-'Zusammenfassung Tag1-4'!$J$2/18</f>
        <v>3.6666666666666665</v>
      </c>
      <c r="JP31" s="14">
        <f t="shared" si="789"/>
        <v>107.00000000000003</v>
      </c>
      <c r="JQ31" s="53"/>
      <c r="JR31" s="2"/>
      <c r="JS31" s="56"/>
      <c r="JT31" s="2">
        <f t="shared" si="790"/>
        <v>0</v>
      </c>
      <c r="JU31" s="2">
        <f t="shared" si="629"/>
        <v>1</v>
      </c>
      <c r="JV31" s="2">
        <f t="shared" si="791"/>
        <v>24</v>
      </c>
      <c r="JW31" s="2">
        <f t="shared" si="630"/>
        <v>0</v>
      </c>
      <c r="JX31" s="2">
        <f t="shared" si="792"/>
        <v>0</v>
      </c>
      <c r="JY31" s="2"/>
      <c r="JZ31" s="2">
        <f t="shared" si="631"/>
        <v>0</v>
      </c>
      <c r="KA31" s="2">
        <f t="shared" si="793"/>
        <v>0</v>
      </c>
      <c r="KB31" s="2">
        <f t="shared" si="794"/>
        <v>0</v>
      </c>
      <c r="KC31" s="2">
        <f t="shared" si="795"/>
        <v>0</v>
      </c>
      <c r="KD31" s="2">
        <f t="shared" si="796"/>
        <v>0</v>
      </c>
      <c r="KE31" s="2">
        <f t="shared" si="797"/>
        <v>0</v>
      </c>
      <c r="KF31" s="2">
        <f t="shared" si="798"/>
        <v>0</v>
      </c>
      <c r="KG31" s="2">
        <f t="shared" si="799"/>
        <v>0</v>
      </c>
      <c r="KH31" s="2">
        <f t="shared" si="800"/>
        <v>1</v>
      </c>
      <c r="KI31" s="2">
        <f t="shared" si="801"/>
        <v>6</v>
      </c>
      <c r="KJ31" s="2">
        <f t="shared" si="632"/>
        <v>0</v>
      </c>
      <c r="KK31" s="2">
        <f t="shared" si="802"/>
        <v>0</v>
      </c>
      <c r="KL31" s="2">
        <f t="shared" si="803"/>
        <v>0</v>
      </c>
      <c r="KM31" s="2">
        <f t="shared" si="804"/>
        <v>0</v>
      </c>
      <c r="KN31" s="2">
        <f t="shared" si="633"/>
        <v>0</v>
      </c>
      <c r="KO31" s="2">
        <f t="shared" si="805"/>
        <v>0</v>
      </c>
      <c r="KP31" s="2"/>
      <c r="KQ31" s="2">
        <f>IF($E31=4,JQ31-4,NA())</f>
        <v>-4</v>
      </c>
      <c r="KR31" s="2"/>
      <c r="KS31" s="41" t="e">
        <f>JQ31-'Zusammenfassung Tag1-4'!#REF!/18</f>
        <v>#REF!</v>
      </c>
      <c r="KT31" s="14" t="e">
        <f t="shared" si="807"/>
        <v>#REF!</v>
      </c>
    </row>
    <row r="32" spans="1:306" ht="13.2" x14ac:dyDescent="0.25">
      <c r="A32" s="179"/>
      <c r="B32" s="176"/>
      <c r="C32" s="44">
        <v>7</v>
      </c>
      <c r="D32" s="2">
        <f t="shared" si="808"/>
        <v>25</v>
      </c>
      <c r="E32" s="44">
        <v>3</v>
      </c>
      <c r="F32" s="4">
        <f t="shared" si="634"/>
        <v>101</v>
      </c>
      <c r="G32" s="53">
        <v>4</v>
      </c>
      <c r="H32" s="2">
        <f t="shared" si="809"/>
        <v>121</v>
      </c>
      <c r="I32" s="56">
        <v>2</v>
      </c>
      <c r="J32" s="2">
        <f t="shared" si="635"/>
        <v>48</v>
      </c>
      <c r="K32" s="2">
        <f t="shared" si="579"/>
        <v>0</v>
      </c>
      <c r="L32" s="2">
        <f t="shared" si="636"/>
        <v>6</v>
      </c>
      <c r="M32" s="2">
        <f t="shared" si="580"/>
        <v>0</v>
      </c>
      <c r="N32" s="2">
        <f t="shared" si="637"/>
        <v>4</v>
      </c>
      <c r="O32" s="2"/>
      <c r="P32" s="2">
        <f t="shared" si="581"/>
        <v>0</v>
      </c>
      <c r="Q32" s="2">
        <f t="shared" si="638"/>
        <v>1</v>
      </c>
      <c r="R32" s="2">
        <f t="shared" si="582"/>
        <v>0</v>
      </c>
      <c r="S32" s="2">
        <f t="shared" si="639"/>
        <v>1</v>
      </c>
      <c r="T32" s="2">
        <f t="shared" si="583"/>
        <v>1</v>
      </c>
      <c r="U32" s="2">
        <f t="shared" si="640"/>
        <v>4</v>
      </c>
      <c r="V32" s="2">
        <f t="shared" si="584"/>
        <v>0</v>
      </c>
      <c r="W32" s="2">
        <f t="shared" si="641"/>
        <v>2</v>
      </c>
      <c r="X32" s="2">
        <f t="shared" si="585"/>
        <v>0</v>
      </c>
      <c r="Y32" s="2">
        <f t="shared" si="642"/>
        <v>1</v>
      </c>
      <c r="Z32" s="2">
        <f t="shared" si="586"/>
        <v>0</v>
      </c>
      <c r="AA32" s="2">
        <f t="shared" si="643"/>
        <v>4</v>
      </c>
      <c r="AB32" s="2">
        <f t="shared" si="587"/>
        <v>1</v>
      </c>
      <c r="AC32" s="2">
        <f t="shared" si="644"/>
        <v>4</v>
      </c>
      <c r="AD32" s="2">
        <f t="shared" si="588"/>
        <v>0</v>
      </c>
      <c r="AE32" s="2">
        <f t="shared" si="645"/>
        <v>3</v>
      </c>
      <c r="AF32" s="2">
        <f>IF($E32=3,G32-3,NA())</f>
        <v>1</v>
      </c>
      <c r="AG32" s="2"/>
      <c r="AH32" s="2"/>
      <c r="AI32" s="41">
        <f>G32-'Zusammenfassung Tag1-4'!$B$2/18</f>
        <v>3.1666666666666665</v>
      </c>
      <c r="AJ32" s="13">
        <f t="shared" si="646"/>
        <v>100.16666666666669</v>
      </c>
      <c r="AK32" s="53">
        <v>3</v>
      </c>
      <c r="AL32" s="2">
        <f t="shared" si="810"/>
        <v>125</v>
      </c>
      <c r="AM32" s="56">
        <v>2</v>
      </c>
      <c r="AN32" s="2">
        <f t="shared" si="647"/>
        <v>47</v>
      </c>
      <c r="AO32" s="2">
        <f t="shared" si="589"/>
        <v>1</v>
      </c>
      <c r="AP32" s="2">
        <f t="shared" si="648"/>
        <v>10</v>
      </c>
      <c r="AQ32" s="2">
        <f t="shared" si="590"/>
        <v>0</v>
      </c>
      <c r="AR32" s="2">
        <f t="shared" si="649"/>
        <v>4</v>
      </c>
      <c r="AS32" s="2"/>
      <c r="AT32" s="2">
        <f t="shared" si="591"/>
        <v>0</v>
      </c>
      <c r="AU32" s="2">
        <f t="shared" si="650"/>
        <v>0</v>
      </c>
      <c r="AV32" s="2">
        <f t="shared" si="651"/>
        <v>1</v>
      </c>
      <c r="AW32" s="2">
        <f t="shared" si="652"/>
        <v>5</v>
      </c>
      <c r="AX32" s="2">
        <f t="shared" si="653"/>
        <v>0</v>
      </c>
      <c r="AY32" s="2">
        <f t="shared" si="654"/>
        <v>1</v>
      </c>
      <c r="AZ32" s="2">
        <f t="shared" si="655"/>
        <v>0</v>
      </c>
      <c r="BA32" s="2">
        <f t="shared" si="656"/>
        <v>1</v>
      </c>
      <c r="BB32" s="2">
        <f t="shared" si="657"/>
        <v>0</v>
      </c>
      <c r="BC32" s="2">
        <f t="shared" si="658"/>
        <v>0</v>
      </c>
      <c r="BD32" s="2">
        <f t="shared" si="592"/>
        <v>0</v>
      </c>
      <c r="BE32" s="2">
        <f t="shared" si="659"/>
        <v>6</v>
      </c>
      <c r="BF32" s="2">
        <f t="shared" si="660"/>
        <v>1</v>
      </c>
      <c r="BG32" s="2">
        <f t="shared" si="661"/>
        <v>2</v>
      </c>
      <c r="BH32" s="2">
        <f t="shared" si="593"/>
        <v>0</v>
      </c>
      <c r="BI32" s="2">
        <f t="shared" si="662"/>
        <v>3</v>
      </c>
      <c r="BJ32" s="2">
        <f t="shared" ref="BJ32" si="822">IF($E32=3,AK32-3,NA())</f>
        <v>0</v>
      </c>
      <c r="BK32" s="2"/>
      <c r="BL32" s="2"/>
      <c r="BM32" s="41">
        <f>AK32-'Zusammenfassung Tag1-4'!$C$2/18</f>
        <v>2.4444444444444446</v>
      </c>
      <c r="BN32" s="13">
        <f t="shared" si="664"/>
        <v>111.11111111111109</v>
      </c>
      <c r="BO32" s="53">
        <v>4</v>
      </c>
      <c r="BP32" s="2">
        <f t="shared" si="811"/>
        <v>147</v>
      </c>
      <c r="BQ32" s="56">
        <v>2</v>
      </c>
      <c r="BR32" s="2">
        <f t="shared" si="665"/>
        <v>57</v>
      </c>
      <c r="BS32" s="2">
        <f t="shared" si="594"/>
        <v>0</v>
      </c>
      <c r="BT32" s="2">
        <f t="shared" si="666"/>
        <v>6</v>
      </c>
      <c r="BU32" s="2">
        <f t="shared" si="595"/>
        <v>0</v>
      </c>
      <c r="BV32" s="2">
        <f t="shared" si="667"/>
        <v>0</v>
      </c>
      <c r="BW32" s="2"/>
      <c r="BX32" s="2">
        <f t="shared" si="596"/>
        <v>0</v>
      </c>
      <c r="BY32" s="2">
        <f t="shared" si="668"/>
        <v>0</v>
      </c>
      <c r="BZ32" s="2">
        <f t="shared" si="669"/>
        <v>0</v>
      </c>
      <c r="CA32" s="2">
        <f t="shared" si="670"/>
        <v>1</v>
      </c>
      <c r="CB32" s="2">
        <f t="shared" si="671"/>
        <v>1</v>
      </c>
      <c r="CC32" s="2">
        <f t="shared" si="672"/>
        <v>4</v>
      </c>
      <c r="CD32" s="2">
        <f t="shared" si="673"/>
        <v>0</v>
      </c>
      <c r="CE32" s="2">
        <f t="shared" si="674"/>
        <v>2</v>
      </c>
      <c r="CF32" s="2">
        <f t="shared" si="675"/>
        <v>0</v>
      </c>
      <c r="CG32" s="2">
        <f t="shared" si="668"/>
        <v>0</v>
      </c>
      <c r="CH32" s="2">
        <f t="shared" si="597"/>
        <v>0</v>
      </c>
      <c r="CI32" s="2">
        <f t="shared" si="676"/>
        <v>1</v>
      </c>
      <c r="CJ32" s="2">
        <f t="shared" si="677"/>
        <v>1</v>
      </c>
      <c r="CK32" s="2">
        <f t="shared" si="678"/>
        <v>6</v>
      </c>
      <c r="CL32" s="2">
        <f t="shared" si="598"/>
        <v>0</v>
      </c>
      <c r="CM32" s="2">
        <f t="shared" si="679"/>
        <v>8</v>
      </c>
      <c r="CN32" s="2">
        <f t="shared" ref="CN32" si="823">IF($E32=3,BO32-3,NA())</f>
        <v>1</v>
      </c>
      <c r="CO32" s="2"/>
      <c r="CP32" s="2"/>
      <c r="CQ32" s="41">
        <f>BO32-'Zusammenfassung Tag1-4'!$D$2/18</f>
        <v>2.9444444444444446</v>
      </c>
      <c r="CR32" s="13">
        <f t="shared" si="681"/>
        <v>120.61111111111109</v>
      </c>
      <c r="CS32" s="53">
        <v>3</v>
      </c>
      <c r="CT32" s="2">
        <f t="shared" si="812"/>
        <v>138</v>
      </c>
      <c r="CU32" s="56">
        <v>2</v>
      </c>
      <c r="CV32" s="2">
        <f t="shared" si="682"/>
        <v>58</v>
      </c>
      <c r="CW32" s="2">
        <f t="shared" si="599"/>
        <v>1</v>
      </c>
      <c r="CX32" s="2">
        <f t="shared" si="683"/>
        <v>10</v>
      </c>
      <c r="CY32" s="2">
        <f t="shared" si="600"/>
        <v>0</v>
      </c>
      <c r="CZ32" s="2">
        <f t="shared" si="684"/>
        <v>0</v>
      </c>
      <c r="DA32" s="2"/>
      <c r="DB32" s="2">
        <f t="shared" si="601"/>
        <v>0</v>
      </c>
      <c r="DC32" s="2">
        <f t="shared" si="685"/>
        <v>0</v>
      </c>
      <c r="DD32" s="2">
        <f t="shared" si="686"/>
        <v>1</v>
      </c>
      <c r="DE32" s="2">
        <f t="shared" si="687"/>
        <v>3</v>
      </c>
      <c r="DF32" s="2">
        <f t="shared" si="688"/>
        <v>0</v>
      </c>
      <c r="DG32" s="2">
        <f t="shared" si="689"/>
        <v>2</v>
      </c>
      <c r="DH32" s="2">
        <f t="shared" si="690"/>
        <v>0</v>
      </c>
      <c r="DI32" s="2">
        <f t="shared" si="691"/>
        <v>2</v>
      </c>
      <c r="DJ32" s="2">
        <f t="shared" si="692"/>
        <v>0</v>
      </c>
      <c r="DK32" s="2">
        <f t="shared" si="693"/>
        <v>0</v>
      </c>
      <c r="DL32" s="2">
        <f t="shared" si="602"/>
        <v>0</v>
      </c>
      <c r="DM32" s="2">
        <f t="shared" si="694"/>
        <v>2</v>
      </c>
      <c r="DN32" s="2">
        <f t="shared" si="695"/>
        <v>1</v>
      </c>
      <c r="DO32" s="2">
        <f t="shared" si="696"/>
        <v>6</v>
      </c>
      <c r="DP32" s="2">
        <f t="shared" si="603"/>
        <v>0</v>
      </c>
      <c r="DQ32" s="2">
        <f t="shared" si="697"/>
        <v>9</v>
      </c>
      <c r="DR32" s="2">
        <f t="shared" ref="DR32" si="824">IF($E32=3,CS32-3,NA())</f>
        <v>0</v>
      </c>
      <c r="DS32" s="2"/>
      <c r="DT32" s="2"/>
      <c r="DU32" s="41">
        <f>CS32-'Zusammenfassung Tag1-4'!$E$2/18</f>
        <v>2</v>
      </c>
      <c r="DV32" s="14">
        <f t="shared" si="699"/>
        <v>113</v>
      </c>
      <c r="DW32" s="53">
        <v>4</v>
      </c>
      <c r="DX32" s="2">
        <v>38</v>
      </c>
      <c r="DY32" s="56">
        <v>2</v>
      </c>
      <c r="DZ32" s="2">
        <f t="shared" si="700"/>
        <v>60</v>
      </c>
      <c r="EA32" s="2">
        <f t="shared" si="604"/>
        <v>0</v>
      </c>
      <c r="EB32" s="2">
        <f t="shared" si="701"/>
        <v>0</v>
      </c>
      <c r="EC32" s="2">
        <f t="shared" si="605"/>
        <v>0</v>
      </c>
      <c r="ED32" s="2">
        <f t="shared" si="702"/>
        <v>0</v>
      </c>
      <c r="EE32" s="2"/>
      <c r="EF32" s="2">
        <f t="shared" si="606"/>
        <v>0</v>
      </c>
      <c r="EG32" s="2">
        <f t="shared" si="703"/>
        <v>0</v>
      </c>
      <c r="EH32" s="2">
        <f t="shared" si="704"/>
        <v>0</v>
      </c>
      <c r="EI32" s="2">
        <f t="shared" si="705"/>
        <v>0</v>
      </c>
      <c r="EJ32" s="2">
        <f t="shared" si="706"/>
        <v>1</v>
      </c>
      <c r="EK32" s="2">
        <f t="shared" si="707"/>
        <v>3</v>
      </c>
      <c r="EL32" s="2">
        <f t="shared" si="708"/>
        <v>0</v>
      </c>
      <c r="EM32" s="2">
        <f t="shared" si="709"/>
        <v>4</v>
      </c>
      <c r="EN32" s="2">
        <f t="shared" si="710"/>
        <v>0</v>
      </c>
      <c r="EO32" s="2">
        <f t="shared" si="711"/>
        <v>0</v>
      </c>
      <c r="EP32" s="2">
        <f t="shared" si="607"/>
        <v>0</v>
      </c>
      <c r="EQ32" s="2">
        <f t="shared" si="712"/>
        <v>0</v>
      </c>
      <c r="ER32" s="2">
        <f t="shared" si="713"/>
        <v>1</v>
      </c>
      <c r="ES32" s="2">
        <f t="shared" si="714"/>
        <v>6</v>
      </c>
      <c r="ET32" s="2">
        <f t="shared" si="608"/>
        <v>0</v>
      </c>
      <c r="EU32" s="2">
        <f t="shared" si="715"/>
        <v>9</v>
      </c>
      <c r="EV32" s="2">
        <f t="shared" ref="EV32" si="825">IF($E32=3,DW32-3,NA())</f>
        <v>1</v>
      </c>
      <c r="EW32" s="2"/>
      <c r="EX32" s="2"/>
      <c r="EY32" s="41">
        <f>DW32-'Zusammenfassung Tag1-4'!$F$2/18</f>
        <v>1.5</v>
      </c>
      <c r="EZ32" s="14">
        <f t="shared" si="717"/>
        <v>117.5</v>
      </c>
      <c r="FA32" s="53">
        <v>3</v>
      </c>
      <c r="FB32" s="2">
        <v>140</v>
      </c>
      <c r="FC32" s="56">
        <v>1</v>
      </c>
      <c r="FD32" s="2">
        <f t="shared" si="718"/>
        <v>49</v>
      </c>
      <c r="FE32" s="2">
        <f t="shared" si="609"/>
        <v>0</v>
      </c>
      <c r="FF32" s="2">
        <f t="shared" si="719"/>
        <v>4</v>
      </c>
      <c r="FG32" s="2">
        <f t="shared" si="610"/>
        <v>1</v>
      </c>
      <c r="FH32" s="2">
        <f t="shared" si="720"/>
        <v>2</v>
      </c>
      <c r="FI32" s="2"/>
      <c r="FJ32" s="2">
        <f t="shared" si="611"/>
        <v>0</v>
      </c>
      <c r="FK32" s="2">
        <f t="shared" si="721"/>
        <v>0</v>
      </c>
      <c r="FL32" s="2">
        <f t="shared" si="722"/>
        <v>1</v>
      </c>
      <c r="FM32" s="2">
        <f t="shared" si="723"/>
        <v>2</v>
      </c>
      <c r="FN32" s="2">
        <f t="shared" si="724"/>
        <v>0</v>
      </c>
      <c r="FO32" s="2">
        <f t="shared" si="725"/>
        <v>3</v>
      </c>
      <c r="FP32" s="2">
        <f t="shared" si="726"/>
        <v>0</v>
      </c>
      <c r="FQ32" s="2">
        <f t="shared" si="727"/>
        <v>2</v>
      </c>
      <c r="FR32" s="2">
        <f t="shared" si="728"/>
        <v>0</v>
      </c>
      <c r="FS32" s="2">
        <f t="shared" si="729"/>
        <v>0</v>
      </c>
      <c r="FT32" s="2">
        <f t="shared" si="612"/>
        <v>1</v>
      </c>
      <c r="FU32" s="2">
        <f t="shared" si="730"/>
        <v>6</v>
      </c>
      <c r="FV32" s="2">
        <f t="shared" si="731"/>
        <v>0</v>
      </c>
      <c r="FW32" s="2">
        <f t="shared" si="732"/>
        <v>4</v>
      </c>
      <c r="FX32" s="2">
        <f t="shared" si="613"/>
        <v>0</v>
      </c>
      <c r="FY32" s="2">
        <f t="shared" si="733"/>
        <v>5</v>
      </c>
      <c r="FZ32" s="2">
        <f t="shared" ref="FZ32" si="826">IF($E32=3,FA32-3,NA())</f>
        <v>0</v>
      </c>
      <c r="GA32" s="2"/>
      <c r="GB32" s="2"/>
      <c r="GC32" s="41">
        <f>FA32-'Zusammenfassung Tag1-4'!$G$2/18</f>
        <v>1.7222222222222223</v>
      </c>
      <c r="GD32" s="14">
        <f t="shared" si="735"/>
        <v>108.0555555555556</v>
      </c>
      <c r="GE32" s="53">
        <v>5</v>
      </c>
      <c r="GF32" s="2">
        <v>185</v>
      </c>
      <c r="GG32" s="56">
        <v>2</v>
      </c>
      <c r="GH32" s="2">
        <f t="shared" si="736"/>
        <v>48</v>
      </c>
      <c r="GI32" s="2">
        <f t="shared" si="614"/>
        <v>0</v>
      </c>
      <c r="GJ32" s="2">
        <f t="shared" si="737"/>
        <v>1</v>
      </c>
      <c r="GK32" s="2">
        <f t="shared" si="615"/>
        <v>0</v>
      </c>
      <c r="GL32" s="2">
        <f t="shared" si="738"/>
        <v>1</v>
      </c>
      <c r="GM32" s="2"/>
      <c r="GN32" s="2">
        <f t="shared" si="616"/>
        <v>0</v>
      </c>
      <c r="GO32" s="2">
        <f t="shared" si="739"/>
        <v>0</v>
      </c>
      <c r="GP32" s="2">
        <f t="shared" si="740"/>
        <v>0</v>
      </c>
      <c r="GQ32" s="2">
        <f t="shared" si="741"/>
        <v>0</v>
      </c>
      <c r="GR32" s="2">
        <f t="shared" si="742"/>
        <v>0</v>
      </c>
      <c r="GS32" s="2">
        <f t="shared" si="743"/>
        <v>3</v>
      </c>
      <c r="GT32" s="2">
        <f t="shared" si="744"/>
        <v>1</v>
      </c>
      <c r="GU32" s="2">
        <f t="shared" si="745"/>
        <v>4</v>
      </c>
      <c r="GV32" s="2">
        <f t="shared" si="746"/>
        <v>0</v>
      </c>
      <c r="GW32" s="2">
        <f t="shared" si="747"/>
        <v>0</v>
      </c>
      <c r="GX32" s="2">
        <f t="shared" si="617"/>
        <v>0</v>
      </c>
      <c r="GY32" s="2">
        <f t="shared" si="748"/>
        <v>5</v>
      </c>
      <c r="GZ32" s="2">
        <f t="shared" si="749"/>
        <v>1</v>
      </c>
      <c r="HA32" s="2">
        <f t="shared" si="750"/>
        <v>5</v>
      </c>
      <c r="HB32" s="2">
        <f t="shared" si="618"/>
        <v>0</v>
      </c>
      <c r="HC32" s="2">
        <f t="shared" si="751"/>
        <v>3</v>
      </c>
      <c r="HD32" s="2">
        <f t="shared" ref="HD32" si="827">IF($E32=3,GE32-3,NA())</f>
        <v>2</v>
      </c>
      <c r="HE32" s="2"/>
      <c r="HF32" s="2"/>
      <c r="HG32" s="41">
        <f>GE32-'Zusammenfassung Tag1-4'!$H$2/18</f>
        <v>3.2222222222222223</v>
      </c>
      <c r="HH32" s="14">
        <f t="shared" si="753"/>
        <v>121.55555555555563</v>
      </c>
      <c r="HI32" s="53">
        <v>4</v>
      </c>
      <c r="HJ32" s="2">
        <v>136</v>
      </c>
      <c r="HK32" s="56">
        <v>2</v>
      </c>
      <c r="HL32" s="2">
        <f t="shared" si="754"/>
        <v>51</v>
      </c>
      <c r="HM32" s="2">
        <f t="shared" si="619"/>
        <v>0</v>
      </c>
      <c r="HN32" s="2">
        <f t="shared" si="755"/>
        <v>2</v>
      </c>
      <c r="HO32" s="2">
        <f t="shared" si="620"/>
        <v>0</v>
      </c>
      <c r="HP32" s="2">
        <f t="shared" si="756"/>
        <v>1</v>
      </c>
      <c r="HQ32" s="2"/>
      <c r="HR32" s="2">
        <f t="shared" si="621"/>
        <v>0</v>
      </c>
      <c r="HS32" s="2">
        <f t="shared" si="757"/>
        <v>0</v>
      </c>
      <c r="HT32" s="2">
        <f t="shared" si="758"/>
        <v>0</v>
      </c>
      <c r="HU32" s="2">
        <f t="shared" si="759"/>
        <v>0</v>
      </c>
      <c r="HV32" s="2">
        <f t="shared" si="760"/>
        <v>1</v>
      </c>
      <c r="HW32" s="2">
        <f t="shared" si="761"/>
        <v>5</v>
      </c>
      <c r="HX32" s="2">
        <f t="shared" si="762"/>
        <v>0</v>
      </c>
      <c r="HY32" s="2">
        <f t="shared" si="763"/>
        <v>2</v>
      </c>
      <c r="HZ32" s="2">
        <f t="shared" si="764"/>
        <v>0</v>
      </c>
      <c r="IA32" s="2">
        <f t="shared" si="765"/>
        <v>0</v>
      </c>
      <c r="IB32" s="2">
        <f t="shared" si="622"/>
        <v>0</v>
      </c>
      <c r="IC32" s="2">
        <f t="shared" si="766"/>
        <v>4</v>
      </c>
      <c r="ID32" s="2">
        <f t="shared" si="767"/>
        <v>1</v>
      </c>
      <c r="IE32" s="2">
        <f t="shared" si="768"/>
        <v>3</v>
      </c>
      <c r="IF32" s="2">
        <f t="shared" si="623"/>
        <v>0</v>
      </c>
      <c r="IG32" s="2">
        <f t="shared" si="769"/>
        <v>5</v>
      </c>
      <c r="IH32" s="2">
        <f t="shared" ref="IH32" si="828">IF($E32=3,HI32-3,NA())</f>
        <v>1</v>
      </c>
      <c r="II32" s="2"/>
      <c r="IJ32" s="2"/>
      <c r="IK32" s="41">
        <f>HI32-'Zusammenfassung Tag1-4'!$I$2/18</f>
        <v>3.1111111111111112</v>
      </c>
      <c r="IL32" s="14">
        <f t="shared" si="771"/>
        <v>119.77777777777783</v>
      </c>
      <c r="IM32" s="53">
        <v>4</v>
      </c>
      <c r="IN32" s="2">
        <v>57</v>
      </c>
      <c r="IO32" s="56">
        <v>2</v>
      </c>
      <c r="IP32" s="2">
        <f t="shared" si="772"/>
        <v>65</v>
      </c>
      <c r="IQ32" s="2">
        <f t="shared" si="624"/>
        <v>0</v>
      </c>
      <c r="IR32" s="2">
        <f t="shared" si="773"/>
        <v>5</v>
      </c>
      <c r="IS32" s="2">
        <f t="shared" si="625"/>
        <v>0</v>
      </c>
      <c r="IT32" s="2">
        <f t="shared" si="774"/>
        <v>0</v>
      </c>
      <c r="IU32" s="2"/>
      <c r="IV32" s="2">
        <f t="shared" si="626"/>
        <v>0</v>
      </c>
      <c r="IW32" s="2">
        <f t="shared" si="775"/>
        <v>0</v>
      </c>
      <c r="IX32" s="2">
        <f t="shared" si="776"/>
        <v>0</v>
      </c>
      <c r="IY32" s="2">
        <f t="shared" si="777"/>
        <v>0</v>
      </c>
      <c r="IZ32" s="2">
        <f t="shared" si="778"/>
        <v>1</v>
      </c>
      <c r="JA32" s="2">
        <f t="shared" si="779"/>
        <v>2</v>
      </c>
      <c r="JB32" s="2">
        <f t="shared" si="780"/>
        <v>0</v>
      </c>
      <c r="JC32" s="2">
        <f t="shared" si="781"/>
        <v>5</v>
      </c>
      <c r="JD32" s="2">
        <f t="shared" si="782"/>
        <v>0</v>
      </c>
      <c r="JE32" s="2">
        <f t="shared" si="783"/>
        <v>0</v>
      </c>
      <c r="JF32" s="2">
        <f t="shared" si="627"/>
        <v>0</v>
      </c>
      <c r="JG32" s="2">
        <f t="shared" si="784"/>
        <v>1</v>
      </c>
      <c r="JH32" s="2">
        <f t="shared" si="785"/>
        <v>1</v>
      </c>
      <c r="JI32" s="2">
        <f t="shared" si="786"/>
        <v>3</v>
      </c>
      <c r="JJ32" s="2">
        <f t="shared" si="628"/>
        <v>0</v>
      </c>
      <c r="JK32" s="2">
        <f t="shared" si="787"/>
        <v>12</v>
      </c>
      <c r="JL32" s="2">
        <f t="shared" ref="JL32" si="829">IF($E32=3,IM32-3,NA())</f>
        <v>1</v>
      </c>
      <c r="JM32" s="2"/>
      <c r="JN32" s="2"/>
      <c r="JO32" s="41">
        <f>IM32-'Zusammenfassung Tag1-4'!$J$2/18</f>
        <v>1.6666666666666665</v>
      </c>
      <c r="JP32" s="14">
        <f t="shared" si="789"/>
        <v>108.6666666666667</v>
      </c>
      <c r="JQ32" s="53"/>
      <c r="JR32" s="2"/>
      <c r="JS32" s="56"/>
      <c r="JT32" s="2">
        <f t="shared" si="790"/>
        <v>0</v>
      </c>
      <c r="JU32" s="2">
        <f t="shared" si="629"/>
        <v>1</v>
      </c>
      <c r="JV32" s="2">
        <f t="shared" si="791"/>
        <v>25</v>
      </c>
      <c r="JW32" s="2">
        <f t="shared" si="630"/>
        <v>0</v>
      </c>
      <c r="JX32" s="2">
        <f t="shared" si="792"/>
        <v>0</v>
      </c>
      <c r="JY32" s="2"/>
      <c r="JZ32" s="2">
        <f t="shared" si="631"/>
        <v>0</v>
      </c>
      <c r="KA32" s="2">
        <f t="shared" si="793"/>
        <v>0</v>
      </c>
      <c r="KB32" s="2">
        <f t="shared" si="794"/>
        <v>0</v>
      </c>
      <c r="KC32" s="2">
        <f t="shared" si="795"/>
        <v>0</v>
      </c>
      <c r="KD32" s="2">
        <f t="shared" si="796"/>
        <v>0</v>
      </c>
      <c r="KE32" s="2">
        <f t="shared" si="797"/>
        <v>0</v>
      </c>
      <c r="KF32" s="2">
        <f t="shared" si="798"/>
        <v>0</v>
      </c>
      <c r="KG32" s="2">
        <f t="shared" si="799"/>
        <v>0</v>
      </c>
      <c r="KH32" s="2">
        <f t="shared" si="800"/>
        <v>1</v>
      </c>
      <c r="KI32" s="2">
        <f t="shared" si="801"/>
        <v>7</v>
      </c>
      <c r="KJ32" s="2">
        <f t="shared" si="632"/>
        <v>0</v>
      </c>
      <c r="KK32" s="2">
        <f t="shared" si="802"/>
        <v>0</v>
      </c>
      <c r="KL32" s="2">
        <f t="shared" si="803"/>
        <v>0</v>
      </c>
      <c r="KM32" s="2">
        <f t="shared" si="804"/>
        <v>0</v>
      </c>
      <c r="KN32" s="2">
        <f t="shared" si="633"/>
        <v>0</v>
      </c>
      <c r="KO32" s="2">
        <f t="shared" si="805"/>
        <v>0</v>
      </c>
      <c r="KP32" s="2">
        <f t="shared" ref="KP32" si="830">IF($E32=3,JQ32-3,NA())</f>
        <v>-3</v>
      </c>
      <c r="KQ32" s="2"/>
      <c r="KR32" s="2"/>
      <c r="KS32" s="41" t="e">
        <f>JQ32-'Zusammenfassung Tag1-4'!#REF!/18</f>
        <v>#REF!</v>
      </c>
      <c r="KT32" s="14" t="e">
        <f t="shared" si="807"/>
        <v>#REF!</v>
      </c>
    </row>
    <row r="33" spans="1:306" ht="13.2" x14ac:dyDescent="0.25">
      <c r="A33" s="179"/>
      <c r="B33" s="176"/>
      <c r="C33" s="44">
        <v>8</v>
      </c>
      <c r="D33" s="2">
        <f t="shared" si="808"/>
        <v>26</v>
      </c>
      <c r="E33" s="44">
        <v>4</v>
      </c>
      <c r="F33" s="4">
        <f t="shared" si="634"/>
        <v>105</v>
      </c>
      <c r="G33" s="53">
        <v>4</v>
      </c>
      <c r="H33" s="2">
        <f t="shared" si="809"/>
        <v>125</v>
      </c>
      <c r="I33" s="56">
        <v>2</v>
      </c>
      <c r="J33" s="2">
        <f t="shared" si="635"/>
        <v>50</v>
      </c>
      <c r="K33" s="2">
        <f t="shared" si="579"/>
        <v>1</v>
      </c>
      <c r="L33" s="2">
        <f t="shared" si="636"/>
        <v>7</v>
      </c>
      <c r="M33" s="2">
        <f t="shared" si="580"/>
        <v>0</v>
      </c>
      <c r="N33" s="2">
        <f t="shared" si="637"/>
        <v>4</v>
      </c>
      <c r="O33" s="2"/>
      <c r="P33" s="2">
        <f t="shared" si="581"/>
        <v>0</v>
      </c>
      <c r="Q33" s="2">
        <f t="shared" si="638"/>
        <v>1</v>
      </c>
      <c r="R33" s="2">
        <f t="shared" si="582"/>
        <v>1</v>
      </c>
      <c r="S33" s="2">
        <f t="shared" si="639"/>
        <v>2</v>
      </c>
      <c r="T33" s="2">
        <f t="shared" si="583"/>
        <v>0</v>
      </c>
      <c r="U33" s="2">
        <f t="shared" si="640"/>
        <v>4</v>
      </c>
      <c r="V33" s="2">
        <f t="shared" si="584"/>
        <v>0</v>
      </c>
      <c r="W33" s="2">
        <f t="shared" si="641"/>
        <v>2</v>
      </c>
      <c r="X33" s="2">
        <f t="shared" si="585"/>
        <v>0</v>
      </c>
      <c r="Y33" s="2">
        <f t="shared" si="642"/>
        <v>1</v>
      </c>
      <c r="Z33" s="2">
        <f t="shared" si="586"/>
        <v>0</v>
      </c>
      <c r="AA33" s="2">
        <f t="shared" si="643"/>
        <v>4</v>
      </c>
      <c r="AB33" s="2">
        <f t="shared" si="587"/>
        <v>1</v>
      </c>
      <c r="AC33" s="2">
        <f t="shared" si="644"/>
        <v>5</v>
      </c>
      <c r="AD33" s="2">
        <f t="shared" si="588"/>
        <v>0</v>
      </c>
      <c r="AE33" s="2">
        <f t="shared" si="645"/>
        <v>3</v>
      </c>
      <c r="AF33" s="2"/>
      <c r="AG33" s="2">
        <f>IF($E33=4,G33-4,NA())</f>
        <v>0</v>
      </c>
      <c r="AH33" s="2"/>
      <c r="AI33" s="41">
        <f>G33-'Zusammenfassung Tag1-4'!$B$2/18</f>
        <v>3.1666666666666665</v>
      </c>
      <c r="AJ33" s="13">
        <f t="shared" si="646"/>
        <v>103.33333333333336</v>
      </c>
      <c r="AK33" s="53">
        <v>5</v>
      </c>
      <c r="AL33" s="2">
        <f t="shared" si="810"/>
        <v>130</v>
      </c>
      <c r="AM33" s="56">
        <v>2</v>
      </c>
      <c r="AN33" s="2">
        <f t="shared" si="647"/>
        <v>49</v>
      </c>
      <c r="AO33" s="2">
        <f t="shared" si="589"/>
        <v>0</v>
      </c>
      <c r="AP33" s="2">
        <f t="shared" si="648"/>
        <v>10</v>
      </c>
      <c r="AQ33" s="2">
        <f t="shared" si="590"/>
        <v>0</v>
      </c>
      <c r="AR33" s="2">
        <f t="shared" si="649"/>
        <v>4</v>
      </c>
      <c r="AS33" s="2"/>
      <c r="AT33" s="2">
        <f t="shared" si="591"/>
        <v>0</v>
      </c>
      <c r="AU33" s="2">
        <f t="shared" si="650"/>
        <v>0</v>
      </c>
      <c r="AV33" s="2">
        <f t="shared" si="651"/>
        <v>0</v>
      </c>
      <c r="AW33" s="2">
        <f t="shared" si="652"/>
        <v>5</v>
      </c>
      <c r="AX33" s="2">
        <f t="shared" si="653"/>
        <v>1</v>
      </c>
      <c r="AY33" s="2">
        <f t="shared" si="654"/>
        <v>2</v>
      </c>
      <c r="AZ33" s="2">
        <f t="shared" si="655"/>
        <v>0</v>
      </c>
      <c r="BA33" s="2">
        <f t="shared" si="656"/>
        <v>1</v>
      </c>
      <c r="BB33" s="2">
        <f t="shared" si="657"/>
        <v>0</v>
      </c>
      <c r="BC33" s="2">
        <f t="shared" si="658"/>
        <v>0</v>
      </c>
      <c r="BD33" s="2">
        <f t="shared" si="592"/>
        <v>0</v>
      </c>
      <c r="BE33" s="2">
        <f t="shared" si="659"/>
        <v>6</v>
      </c>
      <c r="BF33" s="2">
        <f t="shared" si="660"/>
        <v>1</v>
      </c>
      <c r="BG33" s="2">
        <f t="shared" si="661"/>
        <v>3</v>
      </c>
      <c r="BH33" s="2">
        <f t="shared" si="593"/>
        <v>0</v>
      </c>
      <c r="BI33" s="2">
        <f t="shared" si="662"/>
        <v>3</v>
      </c>
      <c r="BJ33" s="2"/>
      <c r="BK33" s="2">
        <f t="shared" ref="BK33" si="831">IF($E33=4,AK33-4,NA())</f>
        <v>1</v>
      </c>
      <c r="BL33" s="2"/>
      <c r="BM33" s="41">
        <f>AK33-'Zusammenfassung Tag1-4'!$C$2/18</f>
        <v>4.4444444444444446</v>
      </c>
      <c r="BN33" s="13">
        <f t="shared" si="664"/>
        <v>115.55555555555553</v>
      </c>
      <c r="BO33" s="53">
        <v>6</v>
      </c>
      <c r="BP33" s="2">
        <f t="shared" si="811"/>
        <v>153</v>
      </c>
      <c r="BQ33" s="56">
        <v>3</v>
      </c>
      <c r="BR33" s="2">
        <f t="shared" si="665"/>
        <v>60</v>
      </c>
      <c r="BS33" s="2">
        <f t="shared" si="594"/>
        <v>0</v>
      </c>
      <c r="BT33" s="2">
        <f t="shared" si="666"/>
        <v>6</v>
      </c>
      <c r="BU33" s="2">
        <f t="shared" si="595"/>
        <v>0</v>
      </c>
      <c r="BV33" s="2">
        <f t="shared" si="667"/>
        <v>0</v>
      </c>
      <c r="BW33" s="2"/>
      <c r="BX33" s="2">
        <f t="shared" si="596"/>
        <v>0</v>
      </c>
      <c r="BY33" s="2">
        <f t="shared" si="668"/>
        <v>0</v>
      </c>
      <c r="BZ33" s="2">
        <f t="shared" si="669"/>
        <v>0</v>
      </c>
      <c r="CA33" s="2">
        <f t="shared" si="670"/>
        <v>1</v>
      </c>
      <c r="CB33" s="2">
        <f t="shared" si="671"/>
        <v>0</v>
      </c>
      <c r="CC33" s="2">
        <f t="shared" si="672"/>
        <v>4</v>
      </c>
      <c r="CD33" s="2">
        <f t="shared" si="673"/>
        <v>1</v>
      </c>
      <c r="CE33" s="2">
        <f t="shared" si="674"/>
        <v>3</v>
      </c>
      <c r="CF33" s="2">
        <f t="shared" si="675"/>
        <v>0</v>
      </c>
      <c r="CG33" s="2">
        <f t="shared" si="668"/>
        <v>0</v>
      </c>
      <c r="CH33" s="2">
        <f t="shared" si="597"/>
        <v>0</v>
      </c>
      <c r="CI33" s="2">
        <f t="shared" si="676"/>
        <v>1</v>
      </c>
      <c r="CJ33" s="2">
        <f t="shared" si="677"/>
        <v>0</v>
      </c>
      <c r="CK33" s="2">
        <f t="shared" si="678"/>
        <v>6</v>
      </c>
      <c r="CL33" s="2">
        <f t="shared" si="598"/>
        <v>1</v>
      </c>
      <c r="CM33" s="2">
        <f t="shared" si="679"/>
        <v>9</v>
      </c>
      <c r="CN33" s="2"/>
      <c r="CO33" s="2">
        <f t="shared" ref="CO33" si="832">IF($E33=4,BO33-4,NA())</f>
        <v>2</v>
      </c>
      <c r="CP33" s="2"/>
      <c r="CQ33" s="41">
        <f>BO33-'Zusammenfassung Tag1-4'!$D$2/18</f>
        <v>4.9444444444444446</v>
      </c>
      <c r="CR33" s="13">
        <f t="shared" si="681"/>
        <v>125.55555555555553</v>
      </c>
      <c r="CS33" s="53">
        <v>6</v>
      </c>
      <c r="CT33" s="2">
        <f t="shared" si="812"/>
        <v>144</v>
      </c>
      <c r="CU33" s="56">
        <v>3</v>
      </c>
      <c r="CV33" s="2">
        <f t="shared" si="682"/>
        <v>61</v>
      </c>
      <c r="CW33" s="2">
        <f t="shared" si="599"/>
        <v>0</v>
      </c>
      <c r="CX33" s="2">
        <f t="shared" si="683"/>
        <v>10</v>
      </c>
      <c r="CY33" s="2">
        <f t="shared" si="600"/>
        <v>0</v>
      </c>
      <c r="CZ33" s="2">
        <f t="shared" si="684"/>
        <v>0</v>
      </c>
      <c r="DA33" s="2"/>
      <c r="DB33" s="2">
        <f t="shared" si="601"/>
        <v>0</v>
      </c>
      <c r="DC33" s="2">
        <f t="shared" si="685"/>
        <v>0</v>
      </c>
      <c r="DD33" s="2">
        <f t="shared" si="686"/>
        <v>0</v>
      </c>
      <c r="DE33" s="2">
        <f t="shared" si="687"/>
        <v>3</v>
      </c>
      <c r="DF33" s="2">
        <f t="shared" si="688"/>
        <v>0</v>
      </c>
      <c r="DG33" s="2">
        <f t="shared" si="689"/>
        <v>2</v>
      </c>
      <c r="DH33" s="2">
        <f t="shared" si="690"/>
        <v>1</v>
      </c>
      <c r="DI33" s="2">
        <f t="shared" si="691"/>
        <v>3</v>
      </c>
      <c r="DJ33" s="2">
        <f t="shared" si="692"/>
        <v>0</v>
      </c>
      <c r="DK33" s="2">
        <f t="shared" si="693"/>
        <v>0</v>
      </c>
      <c r="DL33" s="2">
        <f t="shared" si="602"/>
        <v>0</v>
      </c>
      <c r="DM33" s="2">
        <f t="shared" si="694"/>
        <v>2</v>
      </c>
      <c r="DN33" s="2">
        <f t="shared" si="695"/>
        <v>0</v>
      </c>
      <c r="DO33" s="2">
        <f t="shared" si="696"/>
        <v>6</v>
      </c>
      <c r="DP33" s="2">
        <f t="shared" si="603"/>
        <v>1</v>
      </c>
      <c r="DQ33" s="2">
        <f t="shared" si="697"/>
        <v>10</v>
      </c>
      <c r="DR33" s="2"/>
      <c r="DS33" s="2">
        <f t="shared" ref="DS33" si="833">IF($E33=4,CS33-4,NA())</f>
        <v>2</v>
      </c>
      <c r="DT33" s="2"/>
      <c r="DU33" s="41">
        <f>CS33-'Zusammenfassung Tag1-4'!$E$2/18</f>
        <v>5</v>
      </c>
      <c r="DV33" s="14">
        <f t="shared" si="699"/>
        <v>118</v>
      </c>
      <c r="DW33" s="53">
        <v>7</v>
      </c>
      <c r="DX33" s="2">
        <v>42</v>
      </c>
      <c r="DY33" s="56">
        <v>2</v>
      </c>
      <c r="DZ33" s="2">
        <f t="shared" si="700"/>
        <v>62</v>
      </c>
      <c r="EA33" s="2">
        <f t="shared" si="604"/>
        <v>0</v>
      </c>
      <c r="EB33" s="2">
        <f t="shared" si="701"/>
        <v>0</v>
      </c>
      <c r="EC33" s="2">
        <f t="shared" si="605"/>
        <v>0</v>
      </c>
      <c r="ED33" s="2">
        <f t="shared" si="702"/>
        <v>0</v>
      </c>
      <c r="EE33" s="2"/>
      <c r="EF33" s="2">
        <f t="shared" si="606"/>
        <v>0</v>
      </c>
      <c r="EG33" s="2">
        <f t="shared" si="703"/>
        <v>0</v>
      </c>
      <c r="EH33" s="2">
        <f t="shared" si="704"/>
        <v>0</v>
      </c>
      <c r="EI33" s="2">
        <f t="shared" si="705"/>
        <v>0</v>
      </c>
      <c r="EJ33" s="2">
        <f t="shared" si="706"/>
        <v>0</v>
      </c>
      <c r="EK33" s="2">
        <f t="shared" si="707"/>
        <v>3</v>
      </c>
      <c r="EL33" s="2">
        <f t="shared" si="708"/>
        <v>1</v>
      </c>
      <c r="EM33" s="2">
        <f t="shared" si="709"/>
        <v>5</v>
      </c>
      <c r="EN33" s="2">
        <f t="shared" si="710"/>
        <v>0</v>
      </c>
      <c r="EO33" s="2">
        <f t="shared" si="711"/>
        <v>0</v>
      </c>
      <c r="EP33" s="2">
        <f t="shared" si="607"/>
        <v>0</v>
      </c>
      <c r="EQ33" s="2">
        <f t="shared" si="712"/>
        <v>0</v>
      </c>
      <c r="ER33" s="2">
        <f t="shared" si="713"/>
        <v>1</v>
      </c>
      <c r="ES33" s="2">
        <f t="shared" si="714"/>
        <v>7</v>
      </c>
      <c r="ET33" s="2">
        <f t="shared" si="608"/>
        <v>0</v>
      </c>
      <c r="EU33" s="2">
        <f t="shared" si="715"/>
        <v>9</v>
      </c>
      <c r="EV33" s="2"/>
      <c r="EW33" s="2">
        <f t="shared" ref="EW33" si="834">IF($E33=4,DW33-4,NA())</f>
        <v>3</v>
      </c>
      <c r="EX33" s="2"/>
      <c r="EY33" s="41">
        <f>DW33-'Zusammenfassung Tag1-4'!$F$2/18</f>
        <v>4.5</v>
      </c>
      <c r="EZ33" s="14">
        <f t="shared" si="717"/>
        <v>122</v>
      </c>
      <c r="FA33" s="53">
        <v>4</v>
      </c>
      <c r="FB33" s="2">
        <v>144</v>
      </c>
      <c r="FC33" s="56">
        <v>1</v>
      </c>
      <c r="FD33" s="2">
        <f t="shared" si="718"/>
        <v>50</v>
      </c>
      <c r="FE33" s="2">
        <f t="shared" si="609"/>
        <v>0</v>
      </c>
      <c r="FF33" s="2">
        <f t="shared" si="719"/>
        <v>4</v>
      </c>
      <c r="FG33" s="2">
        <f t="shared" si="610"/>
        <v>1</v>
      </c>
      <c r="FH33" s="2">
        <f t="shared" si="720"/>
        <v>3</v>
      </c>
      <c r="FI33" s="2"/>
      <c r="FJ33" s="2">
        <f t="shared" si="611"/>
        <v>0</v>
      </c>
      <c r="FK33" s="2">
        <f t="shared" si="721"/>
        <v>0</v>
      </c>
      <c r="FL33" s="2">
        <f t="shared" si="722"/>
        <v>1</v>
      </c>
      <c r="FM33" s="2">
        <f t="shared" si="723"/>
        <v>3</v>
      </c>
      <c r="FN33" s="2">
        <f t="shared" si="724"/>
        <v>0</v>
      </c>
      <c r="FO33" s="2">
        <f t="shared" si="725"/>
        <v>3</v>
      </c>
      <c r="FP33" s="2">
        <f t="shared" si="726"/>
        <v>0</v>
      </c>
      <c r="FQ33" s="2">
        <f t="shared" si="727"/>
        <v>2</v>
      </c>
      <c r="FR33" s="2">
        <f t="shared" si="728"/>
        <v>0</v>
      </c>
      <c r="FS33" s="2">
        <f t="shared" si="729"/>
        <v>0</v>
      </c>
      <c r="FT33" s="2">
        <f t="shared" si="612"/>
        <v>1</v>
      </c>
      <c r="FU33" s="2">
        <f t="shared" si="730"/>
        <v>7</v>
      </c>
      <c r="FV33" s="2">
        <f t="shared" si="731"/>
        <v>0</v>
      </c>
      <c r="FW33" s="2">
        <f t="shared" si="732"/>
        <v>4</v>
      </c>
      <c r="FX33" s="2">
        <f t="shared" si="613"/>
        <v>0</v>
      </c>
      <c r="FY33" s="2">
        <f t="shared" si="733"/>
        <v>5</v>
      </c>
      <c r="FZ33" s="2"/>
      <c r="GA33" s="2">
        <f t="shared" ref="GA33" si="835">IF($E33=4,FA33-4,NA())</f>
        <v>0</v>
      </c>
      <c r="GB33" s="2"/>
      <c r="GC33" s="41">
        <f>FA33-'Zusammenfassung Tag1-4'!$G$2/18</f>
        <v>2.7222222222222223</v>
      </c>
      <c r="GD33" s="14">
        <f t="shared" si="735"/>
        <v>110.77777777777783</v>
      </c>
      <c r="GE33" s="53">
        <v>5</v>
      </c>
      <c r="GF33" s="2">
        <v>194</v>
      </c>
      <c r="GG33" s="56">
        <v>1</v>
      </c>
      <c r="GH33" s="2">
        <f t="shared" si="736"/>
        <v>49</v>
      </c>
      <c r="GI33" s="2">
        <f t="shared" si="614"/>
        <v>0</v>
      </c>
      <c r="GJ33" s="2">
        <f t="shared" si="737"/>
        <v>1</v>
      </c>
      <c r="GK33" s="2">
        <f t="shared" si="615"/>
        <v>0</v>
      </c>
      <c r="GL33" s="2">
        <f t="shared" si="738"/>
        <v>1</v>
      </c>
      <c r="GM33" s="2"/>
      <c r="GN33" s="2">
        <f t="shared" si="616"/>
        <v>0</v>
      </c>
      <c r="GO33" s="2">
        <f t="shared" si="739"/>
        <v>0</v>
      </c>
      <c r="GP33" s="2">
        <f t="shared" si="740"/>
        <v>0</v>
      </c>
      <c r="GQ33" s="2">
        <f t="shared" si="741"/>
        <v>0</v>
      </c>
      <c r="GR33" s="2">
        <f t="shared" si="742"/>
        <v>1</v>
      </c>
      <c r="GS33" s="2">
        <f t="shared" si="743"/>
        <v>4</v>
      </c>
      <c r="GT33" s="2">
        <f t="shared" si="744"/>
        <v>0</v>
      </c>
      <c r="GU33" s="2">
        <f t="shared" si="745"/>
        <v>4</v>
      </c>
      <c r="GV33" s="2">
        <f t="shared" si="746"/>
        <v>0</v>
      </c>
      <c r="GW33" s="2">
        <f t="shared" si="747"/>
        <v>0</v>
      </c>
      <c r="GX33" s="2">
        <f t="shared" si="617"/>
        <v>1</v>
      </c>
      <c r="GY33" s="2">
        <f t="shared" si="748"/>
        <v>6</v>
      </c>
      <c r="GZ33" s="2">
        <f t="shared" si="749"/>
        <v>0</v>
      </c>
      <c r="HA33" s="2">
        <f t="shared" si="750"/>
        <v>5</v>
      </c>
      <c r="HB33" s="2">
        <f t="shared" si="618"/>
        <v>0</v>
      </c>
      <c r="HC33" s="2">
        <f t="shared" si="751"/>
        <v>3</v>
      </c>
      <c r="HD33" s="2"/>
      <c r="HE33" s="2">
        <f t="shared" ref="HE33" si="836">IF($E33=4,GE33-4,NA())</f>
        <v>1</v>
      </c>
      <c r="HF33" s="2"/>
      <c r="HG33" s="41">
        <f>GE33-'Zusammenfassung Tag1-4'!$H$2/18</f>
        <v>3.2222222222222223</v>
      </c>
      <c r="HH33" s="14">
        <f t="shared" si="753"/>
        <v>124.77777777777786</v>
      </c>
      <c r="HI33" s="53">
        <v>7</v>
      </c>
      <c r="HJ33" s="2">
        <v>141</v>
      </c>
      <c r="HK33" s="56">
        <v>2</v>
      </c>
      <c r="HL33" s="2">
        <f t="shared" si="754"/>
        <v>53</v>
      </c>
      <c r="HM33" s="2">
        <f t="shared" si="619"/>
        <v>0</v>
      </c>
      <c r="HN33" s="2">
        <f t="shared" si="755"/>
        <v>2</v>
      </c>
      <c r="HO33" s="2">
        <f t="shared" si="620"/>
        <v>0</v>
      </c>
      <c r="HP33" s="2">
        <f t="shared" si="756"/>
        <v>1</v>
      </c>
      <c r="HQ33" s="2"/>
      <c r="HR33" s="2">
        <f t="shared" si="621"/>
        <v>0</v>
      </c>
      <c r="HS33" s="2">
        <f t="shared" si="757"/>
        <v>0</v>
      </c>
      <c r="HT33" s="2">
        <f t="shared" si="758"/>
        <v>0</v>
      </c>
      <c r="HU33" s="2">
        <f t="shared" si="759"/>
        <v>0</v>
      </c>
      <c r="HV33" s="2">
        <f t="shared" si="760"/>
        <v>0</v>
      </c>
      <c r="HW33" s="2">
        <f t="shared" si="761"/>
        <v>5</v>
      </c>
      <c r="HX33" s="2">
        <f t="shared" si="762"/>
        <v>1</v>
      </c>
      <c r="HY33" s="2">
        <f t="shared" si="763"/>
        <v>3</v>
      </c>
      <c r="HZ33" s="2">
        <f t="shared" si="764"/>
        <v>0</v>
      </c>
      <c r="IA33" s="2">
        <f t="shared" si="765"/>
        <v>0</v>
      </c>
      <c r="IB33" s="2">
        <f t="shared" si="622"/>
        <v>0</v>
      </c>
      <c r="IC33" s="2">
        <f t="shared" si="766"/>
        <v>4</v>
      </c>
      <c r="ID33" s="2">
        <f t="shared" si="767"/>
        <v>1</v>
      </c>
      <c r="IE33" s="2">
        <f t="shared" si="768"/>
        <v>4</v>
      </c>
      <c r="IF33" s="2">
        <f t="shared" si="623"/>
        <v>0</v>
      </c>
      <c r="IG33" s="2">
        <f t="shared" si="769"/>
        <v>5</v>
      </c>
      <c r="IH33" s="2"/>
      <c r="II33" s="2">
        <f t="shared" ref="II33" si="837">IF($E33=4,HI33-4,NA())</f>
        <v>3</v>
      </c>
      <c r="IJ33" s="2"/>
      <c r="IK33" s="41">
        <f>HI33-'Zusammenfassung Tag1-4'!$I$2/18</f>
        <v>6.1111111111111107</v>
      </c>
      <c r="IL33" s="14">
        <f t="shared" si="771"/>
        <v>125.88888888888894</v>
      </c>
      <c r="IM33" s="53">
        <v>10</v>
      </c>
      <c r="IN33" s="2">
        <v>62</v>
      </c>
      <c r="IO33" s="56">
        <v>3</v>
      </c>
      <c r="IP33" s="2">
        <f t="shared" si="772"/>
        <v>68</v>
      </c>
      <c r="IQ33" s="2">
        <f t="shared" si="624"/>
        <v>0</v>
      </c>
      <c r="IR33" s="2">
        <f t="shared" si="773"/>
        <v>5</v>
      </c>
      <c r="IS33" s="2">
        <f t="shared" si="625"/>
        <v>0</v>
      </c>
      <c r="IT33" s="2">
        <f t="shared" si="774"/>
        <v>0</v>
      </c>
      <c r="IU33" s="2"/>
      <c r="IV33" s="2">
        <f t="shared" si="626"/>
        <v>0</v>
      </c>
      <c r="IW33" s="2">
        <f t="shared" si="775"/>
        <v>0</v>
      </c>
      <c r="IX33" s="2">
        <f t="shared" si="776"/>
        <v>0</v>
      </c>
      <c r="IY33" s="2">
        <f t="shared" si="777"/>
        <v>0</v>
      </c>
      <c r="IZ33" s="2">
        <f t="shared" si="778"/>
        <v>0</v>
      </c>
      <c r="JA33" s="2">
        <f t="shared" si="779"/>
        <v>2</v>
      </c>
      <c r="JB33" s="2">
        <f t="shared" si="780"/>
        <v>1</v>
      </c>
      <c r="JC33" s="2">
        <f t="shared" si="781"/>
        <v>6</v>
      </c>
      <c r="JD33" s="2">
        <f t="shared" si="782"/>
        <v>0</v>
      </c>
      <c r="JE33" s="2">
        <f t="shared" si="783"/>
        <v>0</v>
      </c>
      <c r="JF33" s="2">
        <f t="shared" si="627"/>
        <v>0</v>
      </c>
      <c r="JG33" s="2">
        <f t="shared" si="784"/>
        <v>1</v>
      </c>
      <c r="JH33" s="2">
        <f t="shared" si="785"/>
        <v>0</v>
      </c>
      <c r="JI33" s="2">
        <f t="shared" si="786"/>
        <v>3</v>
      </c>
      <c r="JJ33" s="2">
        <f t="shared" si="628"/>
        <v>1</v>
      </c>
      <c r="JK33" s="2">
        <f t="shared" si="787"/>
        <v>13</v>
      </c>
      <c r="JL33" s="2"/>
      <c r="JM33" s="2">
        <f t="shared" ref="JM33" si="838">IF($E33=4,IM33-4,NA())</f>
        <v>6</v>
      </c>
      <c r="JN33" s="2"/>
      <c r="JO33" s="41">
        <f>IM33-'Zusammenfassung Tag1-4'!$J$2/18</f>
        <v>7.6666666666666661</v>
      </c>
      <c r="JP33" s="14">
        <f t="shared" si="789"/>
        <v>116.33333333333337</v>
      </c>
      <c r="JQ33" s="53"/>
      <c r="JR33" s="2"/>
      <c r="JS33" s="56"/>
      <c r="JT33" s="2">
        <f t="shared" si="790"/>
        <v>0</v>
      </c>
      <c r="JU33" s="2">
        <f t="shared" si="629"/>
        <v>1</v>
      </c>
      <c r="JV33" s="2">
        <f t="shared" si="791"/>
        <v>26</v>
      </c>
      <c r="JW33" s="2">
        <f t="shared" si="630"/>
        <v>0</v>
      </c>
      <c r="JX33" s="2">
        <f t="shared" si="792"/>
        <v>0</v>
      </c>
      <c r="JY33" s="2"/>
      <c r="JZ33" s="2">
        <f t="shared" si="631"/>
        <v>0</v>
      </c>
      <c r="KA33" s="2">
        <f t="shared" si="793"/>
        <v>0</v>
      </c>
      <c r="KB33" s="2">
        <f t="shared" si="794"/>
        <v>0</v>
      </c>
      <c r="KC33" s="2">
        <f t="shared" si="795"/>
        <v>0</v>
      </c>
      <c r="KD33" s="2">
        <f t="shared" si="796"/>
        <v>0</v>
      </c>
      <c r="KE33" s="2">
        <f t="shared" si="797"/>
        <v>0</v>
      </c>
      <c r="KF33" s="2">
        <f t="shared" si="798"/>
        <v>0</v>
      </c>
      <c r="KG33" s="2">
        <f t="shared" si="799"/>
        <v>0</v>
      </c>
      <c r="KH33" s="2">
        <f t="shared" si="800"/>
        <v>1</v>
      </c>
      <c r="KI33" s="2">
        <f t="shared" si="801"/>
        <v>8</v>
      </c>
      <c r="KJ33" s="2">
        <f t="shared" si="632"/>
        <v>0</v>
      </c>
      <c r="KK33" s="2">
        <f t="shared" si="802"/>
        <v>0</v>
      </c>
      <c r="KL33" s="2">
        <f t="shared" si="803"/>
        <v>0</v>
      </c>
      <c r="KM33" s="2">
        <f t="shared" si="804"/>
        <v>0</v>
      </c>
      <c r="KN33" s="2">
        <f t="shared" si="633"/>
        <v>0</v>
      </c>
      <c r="KO33" s="2">
        <f t="shared" si="805"/>
        <v>0</v>
      </c>
      <c r="KP33" s="2"/>
      <c r="KQ33" s="2">
        <f t="shared" ref="KQ33" si="839">IF($E33=4,JQ33-4,NA())</f>
        <v>-4</v>
      </c>
      <c r="KR33" s="2"/>
      <c r="KS33" s="41" t="e">
        <f>JQ33-'Zusammenfassung Tag1-4'!#REF!/18</f>
        <v>#REF!</v>
      </c>
      <c r="KT33" s="14" t="e">
        <f t="shared" si="807"/>
        <v>#REF!</v>
      </c>
    </row>
    <row r="34" spans="1:306" ht="13.2" x14ac:dyDescent="0.25">
      <c r="A34" s="179"/>
      <c r="B34" s="176"/>
      <c r="C34" s="15">
        <v>9</v>
      </c>
      <c r="D34" s="3">
        <f t="shared" si="808"/>
        <v>27</v>
      </c>
      <c r="E34" s="15">
        <v>4</v>
      </c>
      <c r="F34" s="1">
        <f t="shared" si="634"/>
        <v>109</v>
      </c>
      <c r="G34" s="54">
        <v>4</v>
      </c>
      <c r="H34" s="3">
        <f t="shared" si="809"/>
        <v>129</v>
      </c>
      <c r="I34" s="57">
        <v>2</v>
      </c>
      <c r="J34" s="3">
        <f t="shared" si="635"/>
        <v>52</v>
      </c>
      <c r="K34" s="3">
        <f t="shared" si="579"/>
        <v>1</v>
      </c>
      <c r="L34" s="3">
        <f t="shared" si="636"/>
        <v>8</v>
      </c>
      <c r="M34" s="3">
        <f t="shared" si="580"/>
        <v>0</v>
      </c>
      <c r="N34" s="3">
        <f t="shared" si="637"/>
        <v>4</v>
      </c>
      <c r="O34" s="3"/>
      <c r="P34" s="3">
        <f t="shared" si="581"/>
        <v>0</v>
      </c>
      <c r="Q34" s="3">
        <f t="shared" si="638"/>
        <v>1</v>
      </c>
      <c r="R34" s="3">
        <f t="shared" si="582"/>
        <v>1</v>
      </c>
      <c r="S34" s="3">
        <f t="shared" si="639"/>
        <v>3</v>
      </c>
      <c r="T34" s="3">
        <f t="shared" si="583"/>
        <v>0</v>
      </c>
      <c r="U34" s="63">
        <f t="shared" si="640"/>
        <v>4</v>
      </c>
      <c r="V34" s="3">
        <f t="shared" si="584"/>
        <v>0</v>
      </c>
      <c r="W34" s="63">
        <f t="shared" si="641"/>
        <v>2</v>
      </c>
      <c r="X34" s="3">
        <f t="shared" si="585"/>
        <v>0</v>
      </c>
      <c r="Y34" s="3">
        <f t="shared" si="642"/>
        <v>1</v>
      </c>
      <c r="Z34" s="3">
        <f t="shared" si="586"/>
        <v>0</v>
      </c>
      <c r="AA34" s="3">
        <f t="shared" si="643"/>
        <v>4</v>
      </c>
      <c r="AB34" s="3">
        <f t="shared" si="587"/>
        <v>1</v>
      </c>
      <c r="AC34" s="3">
        <f t="shared" si="644"/>
        <v>6</v>
      </c>
      <c r="AD34" s="3">
        <f t="shared" si="588"/>
        <v>0</v>
      </c>
      <c r="AE34" s="3">
        <f t="shared" si="645"/>
        <v>3</v>
      </c>
      <c r="AF34" s="3"/>
      <c r="AG34" s="3">
        <f>IF($E34=4,G34-4,NA())</f>
        <v>0</v>
      </c>
      <c r="AH34" s="3"/>
      <c r="AI34" s="17">
        <f>G34-'Zusammenfassung Tag1-4'!$B$2/18</f>
        <v>3.1666666666666665</v>
      </c>
      <c r="AJ34" s="50">
        <f t="shared" si="646"/>
        <v>106.50000000000003</v>
      </c>
      <c r="AK34" s="54">
        <v>5</v>
      </c>
      <c r="AL34" s="3">
        <f t="shared" si="810"/>
        <v>135</v>
      </c>
      <c r="AM34" s="57">
        <v>2</v>
      </c>
      <c r="AN34" s="3">
        <f t="shared" si="647"/>
        <v>51</v>
      </c>
      <c r="AO34" s="3">
        <f t="shared" si="589"/>
        <v>0</v>
      </c>
      <c r="AP34" s="3">
        <f t="shared" si="648"/>
        <v>10</v>
      </c>
      <c r="AQ34" s="3">
        <f t="shared" si="590"/>
        <v>0</v>
      </c>
      <c r="AR34" s="3">
        <f t="shared" si="649"/>
        <v>4</v>
      </c>
      <c r="AS34" s="3"/>
      <c r="AT34" s="3">
        <f t="shared" si="591"/>
        <v>0</v>
      </c>
      <c r="AU34" s="3">
        <f t="shared" si="650"/>
        <v>0</v>
      </c>
      <c r="AV34" s="3">
        <f>IF(AK34=$E34,1,0)</f>
        <v>0</v>
      </c>
      <c r="AW34" s="3">
        <f t="shared" si="652"/>
        <v>5</v>
      </c>
      <c r="AX34" s="3">
        <f t="shared" si="653"/>
        <v>1</v>
      </c>
      <c r="AY34" s="63">
        <f t="shared" si="654"/>
        <v>3</v>
      </c>
      <c r="AZ34" s="3">
        <f t="shared" si="655"/>
        <v>0</v>
      </c>
      <c r="BA34" s="63">
        <f t="shared" si="656"/>
        <v>1</v>
      </c>
      <c r="BB34" s="3">
        <f t="shared" si="657"/>
        <v>0</v>
      </c>
      <c r="BC34" s="3">
        <f t="shared" si="658"/>
        <v>0</v>
      </c>
      <c r="BD34" s="3">
        <f t="shared" si="592"/>
        <v>0</v>
      </c>
      <c r="BE34" s="3">
        <f t="shared" si="659"/>
        <v>6</v>
      </c>
      <c r="BF34" s="3">
        <f t="shared" si="660"/>
        <v>1</v>
      </c>
      <c r="BG34" s="3">
        <f t="shared" si="661"/>
        <v>4</v>
      </c>
      <c r="BH34" s="3">
        <f t="shared" si="593"/>
        <v>0</v>
      </c>
      <c r="BI34" s="3">
        <f t="shared" si="662"/>
        <v>3</v>
      </c>
      <c r="BJ34" s="3"/>
      <c r="BK34" s="3">
        <f>IF($E34=4,AK34-4,NA())</f>
        <v>1</v>
      </c>
      <c r="BL34" s="3"/>
      <c r="BM34" s="17">
        <f>AK34-'Zusammenfassung Tag1-4'!$C$2/18</f>
        <v>4.4444444444444446</v>
      </c>
      <c r="BN34" s="50">
        <f t="shared" si="664"/>
        <v>119.99999999999997</v>
      </c>
      <c r="BO34" s="54">
        <v>4</v>
      </c>
      <c r="BP34" s="3">
        <f t="shared" si="811"/>
        <v>157</v>
      </c>
      <c r="BQ34" s="57">
        <v>2</v>
      </c>
      <c r="BR34" s="3">
        <f t="shared" si="665"/>
        <v>62</v>
      </c>
      <c r="BS34" s="3">
        <f t="shared" si="594"/>
        <v>1</v>
      </c>
      <c r="BT34" s="3">
        <f t="shared" si="666"/>
        <v>7</v>
      </c>
      <c r="BU34" s="3">
        <f t="shared" si="595"/>
        <v>0</v>
      </c>
      <c r="BV34" s="3">
        <f t="shared" si="667"/>
        <v>0</v>
      </c>
      <c r="BW34" s="3"/>
      <c r="BX34" s="3">
        <f t="shared" si="596"/>
        <v>0</v>
      </c>
      <c r="BY34" s="3">
        <f t="shared" si="668"/>
        <v>0</v>
      </c>
      <c r="BZ34" s="3">
        <f>IF(BO34=$E34,1,0)</f>
        <v>1</v>
      </c>
      <c r="CA34" s="3">
        <f t="shared" si="670"/>
        <v>2</v>
      </c>
      <c r="CB34" s="3">
        <f t="shared" si="671"/>
        <v>0</v>
      </c>
      <c r="CC34" s="63">
        <f t="shared" si="672"/>
        <v>4</v>
      </c>
      <c r="CD34" s="3">
        <f t="shared" si="673"/>
        <v>0</v>
      </c>
      <c r="CE34" s="63">
        <f t="shared" si="674"/>
        <v>3</v>
      </c>
      <c r="CF34" s="3">
        <f t="shared" si="675"/>
        <v>0</v>
      </c>
      <c r="CG34" s="3">
        <f t="shared" si="668"/>
        <v>0</v>
      </c>
      <c r="CH34" s="3">
        <f t="shared" si="597"/>
        <v>0</v>
      </c>
      <c r="CI34" s="3">
        <f t="shared" si="676"/>
        <v>1</v>
      </c>
      <c r="CJ34" s="3">
        <f t="shared" si="677"/>
        <v>1</v>
      </c>
      <c r="CK34" s="3">
        <f t="shared" si="678"/>
        <v>7</v>
      </c>
      <c r="CL34" s="3">
        <f t="shared" si="598"/>
        <v>0</v>
      </c>
      <c r="CM34" s="3">
        <f t="shared" si="679"/>
        <v>9</v>
      </c>
      <c r="CN34" s="3"/>
      <c r="CO34" s="3">
        <f>IF($E34=4,BO34-4,NA())</f>
        <v>0</v>
      </c>
      <c r="CP34" s="3"/>
      <c r="CQ34" s="17">
        <f>BO34-'Zusammenfassung Tag1-4'!$D$2/18</f>
        <v>2.9444444444444446</v>
      </c>
      <c r="CR34" s="50">
        <f t="shared" si="681"/>
        <v>128.49999999999997</v>
      </c>
      <c r="CS34" s="54">
        <v>5</v>
      </c>
      <c r="CT34" s="3">
        <f t="shared" si="812"/>
        <v>149</v>
      </c>
      <c r="CU34" s="57">
        <v>2</v>
      </c>
      <c r="CV34" s="3">
        <f t="shared" si="682"/>
        <v>63</v>
      </c>
      <c r="CW34" s="3">
        <f t="shared" si="599"/>
        <v>0</v>
      </c>
      <c r="CX34" s="3">
        <f t="shared" si="683"/>
        <v>10</v>
      </c>
      <c r="CY34" s="3">
        <f t="shared" si="600"/>
        <v>0</v>
      </c>
      <c r="CZ34" s="3">
        <f t="shared" si="684"/>
        <v>0</v>
      </c>
      <c r="DA34" s="3"/>
      <c r="DB34" s="3">
        <f t="shared" si="601"/>
        <v>0</v>
      </c>
      <c r="DC34" s="3">
        <f t="shared" si="685"/>
        <v>0</v>
      </c>
      <c r="DD34" s="3">
        <f>IF(CS34=$E34,1,0)</f>
        <v>0</v>
      </c>
      <c r="DE34" s="3">
        <f t="shared" si="687"/>
        <v>3</v>
      </c>
      <c r="DF34" s="3">
        <f t="shared" si="688"/>
        <v>1</v>
      </c>
      <c r="DG34" s="63">
        <f t="shared" si="689"/>
        <v>3</v>
      </c>
      <c r="DH34" s="3">
        <f t="shared" si="690"/>
        <v>0</v>
      </c>
      <c r="DI34" s="63">
        <f t="shared" si="691"/>
        <v>3</v>
      </c>
      <c r="DJ34" s="3">
        <f t="shared" si="692"/>
        <v>0</v>
      </c>
      <c r="DK34" s="3">
        <f t="shared" si="693"/>
        <v>0</v>
      </c>
      <c r="DL34" s="3">
        <f t="shared" si="602"/>
        <v>0</v>
      </c>
      <c r="DM34" s="3">
        <f t="shared" si="694"/>
        <v>2</v>
      </c>
      <c r="DN34" s="3">
        <f t="shared" si="695"/>
        <v>1</v>
      </c>
      <c r="DO34" s="3">
        <f t="shared" si="696"/>
        <v>7</v>
      </c>
      <c r="DP34" s="3">
        <f t="shared" si="603"/>
        <v>0</v>
      </c>
      <c r="DQ34" s="3">
        <f t="shared" si="697"/>
        <v>10</v>
      </c>
      <c r="DR34" s="3"/>
      <c r="DS34" s="3">
        <f>IF($E34=4,CS34-4,NA())</f>
        <v>1</v>
      </c>
      <c r="DT34" s="3"/>
      <c r="DU34" s="17">
        <f>CS34-'Zusammenfassung Tag1-4'!$E$2/18</f>
        <v>4</v>
      </c>
      <c r="DV34" s="51">
        <f t="shared" si="699"/>
        <v>122</v>
      </c>
      <c r="DW34" s="54">
        <v>5</v>
      </c>
      <c r="DX34" s="3">
        <v>46</v>
      </c>
      <c r="DY34" s="57">
        <v>2</v>
      </c>
      <c r="DZ34" s="3">
        <f t="shared" si="700"/>
        <v>64</v>
      </c>
      <c r="EA34" s="3">
        <f t="shared" si="604"/>
        <v>0</v>
      </c>
      <c r="EB34" s="3">
        <f t="shared" si="701"/>
        <v>0</v>
      </c>
      <c r="EC34" s="3">
        <f t="shared" si="605"/>
        <v>0</v>
      </c>
      <c r="ED34" s="3">
        <f t="shared" si="702"/>
        <v>0</v>
      </c>
      <c r="EE34" s="3"/>
      <c r="EF34" s="3">
        <f t="shared" si="606"/>
        <v>0</v>
      </c>
      <c r="EG34" s="3">
        <f t="shared" si="703"/>
        <v>0</v>
      </c>
      <c r="EH34" s="3">
        <f>IF(DW34=$E34,1,0)</f>
        <v>0</v>
      </c>
      <c r="EI34" s="3">
        <f t="shared" si="705"/>
        <v>0</v>
      </c>
      <c r="EJ34" s="3">
        <f t="shared" si="706"/>
        <v>1</v>
      </c>
      <c r="EK34" s="63">
        <f t="shared" si="707"/>
        <v>4</v>
      </c>
      <c r="EL34" s="3">
        <f t="shared" si="708"/>
        <v>0</v>
      </c>
      <c r="EM34" s="63">
        <f t="shared" si="709"/>
        <v>5</v>
      </c>
      <c r="EN34" s="3">
        <f t="shared" si="710"/>
        <v>0</v>
      </c>
      <c r="EO34" s="3">
        <f t="shared" si="711"/>
        <v>0</v>
      </c>
      <c r="EP34" s="3">
        <f t="shared" si="607"/>
        <v>0</v>
      </c>
      <c r="EQ34" s="3">
        <f t="shared" si="712"/>
        <v>0</v>
      </c>
      <c r="ER34" s="3">
        <f t="shared" si="713"/>
        <v>1</v>
      </c>
      <c r="ES34" s="3">
        <f t="shared" si="714"/>
        <v>8</v>
      </c>
      <c r="ET34" s="3">
        <f t="shared" si="608"/>
        <v>0</v>
      </c>
      <c r="EU34" s="3">
        <f t="shared" si="715"/>
        <v>9</v>
      </c>
      <c r="EV34" s="3"/>
      <c r="EW34" s="3">
        <f>IF($E34=4,DW34-4,NA())</f>
        <v>1</v>
      </c>
      <c r="EX34" s="3"/>
      <c r="EY34" s="17">
        <f>DW34-'Zusammenfassung Tag1-4'!$F$2/18</f>
        <v>2.5</v>
      </c>
      <c r="EZ34" s="51">
        <f t="shared" si="717"/>
        <v>124.5</v>
      </c>
      <c r="FA34" s="54">
        <v>7</v>
      </c>
      <c r="FB34" s="3">
        <v>151</v>
      </c>
      <c r="FC34" s="57">
        <v>1</v>
      </c>
      <c r="FD34" s="3">
        <f t="shared" si="718"/>
        <v>51</v>
      </c>
      <c r="FE34" s="3">
        <f t="shared" si="609"/>
        <v>0</v>
      </c>
      <c r="FF34" s="3">
        <f t="shared" si="719"/>
        <v>4</v>
      </c>
      <c r="FG34" s="3">
        <f t="shared" si="610"/>
        <v>0</v>
      </c>
      <c r="FH34" s="3">
        <f t="shared" si="720"/>
        <v>3</v>
      </c>
      <c r="FI34" s="3"/>
      <c r="FJ34" s="3">
        <f t="shared" si="611"/>
        <v>0</v>
      </c>
      <c r="FK34" s="3">
        <f t="shared" si="721"/>
        <v>0</v>
      </c>
      <c r="FL34" s="3">
        <f>IF(FA34=$E34,1,0)</f>
        <v>0</v>
      </c>
      <c r="FM34" s="3">
        <f t="shared" si="723"/>
        <v>3</v>
      </c>
      <c r="FN34" s="3">
        <f t="shared" si="724"/>
        <v>0</v>
      </c>
      <c r="FO34" s="63">
        <f t="shared" si="725"/>
        <v>3</v>
      </c>
      <c r="FP34" s="3">
        <f t="shared" si="726"/>
        <v>1</v>
      </c>
      <c r="FQ34" s="63">
        <f t="shared" si="727"/>
        <v>3</v>
      </c>
      <c r="FR34" s="3">
        <f t="shared" si="728"/>
        <v>0</v>
      </c>
      <c r="FS34" s="3">
        <f t="shared" si="729"/>
        <v>0</v>
      </c>
      <c r="FT34" s="3">
        <f t="shared" si="612"/>
        <v>1</v>
      </c>
      <c r="FU34" s="3">
        <f t="shared" si="730"/>
        <v>8</v>
      </c>
      <c r="FV34" s="3">
        <f t="shared" si="731"/>
        <v>0</v>
      </c>
      <c r="FW34" s="3">
        <f t="shared" si="732"/>
        <v>4</v>
      </c>
      <c r="FX34" s="3">
        <f t="shared" si="613"/>
        <v>0</v>
      </c>
      <c r="FY34" s="3">
        <f t="shared" si="733"/>
        <v>5</v>
      </c>
      <c r="FZ34" s="3"/>
      <c r="GA34" s="3">
        <f>IF($E34=4,FA34-4,NA())</f>
        <v>3</v>
      </c>
      <c r="GB34" s="3"/>
      <c r="GC34" s="17">
        <f>FA34-'Zusammenfassung Tag1-4'!$G$2/18</f>
        <v>5.7222222222222223</v>
      </c>
      <c r="GD34" s="51">
        <f t="shared" si="735"/>
        <v>116.50000000000006</v>
      </c>
      <c r="GE34" s="54">
        <v>7</v>
      </c>
      <c r="GF34" s="3">
        <v>201</v>
      </c>
      <c r="GG34" s="57">
        <v>2</v>
      </c>
      <c r="GH34" s="3">
        <f t="shared" si="736"/>
        <v>51</v>
      </c>
      <c r="GI34" s="3">
        <f t="shared" si="614"/>
        <v>0</v>
      </c>
      <c r="GJ34" s="3">
        <f t="shared" si="737"/>
        <v>1</v>
      </c>
      <c r="GK34" s="3">
        <f t="shared" si="615"/>
        <v>0</v>
      </c>
      <c r="GL34" s="3">
        <f t="shared" si="738"/>
        <v>1</v>
      </c>
      <c r="GM34" s="3"/>
      <c r="GN34" s="3">
        <f t="shared" si="616"/>
        <v>0</v>
      </c>
      <c r="GO34" s="3">
        <f t="shared" si="739"/>
        <v>0</v>
      </c>
      <c r="GP34" s="3">
        <f>IF(GE34=$E34,1,0)</f>
        <v>0</v>
      </c>
      <c r="GQ34" s="3">
        <f t="shared" si="741"/>
        <v>0</v>
      </c>
      <c r="GR34" s="3">
        <f t="shared" si="742"/>
        <v>0</v>
      </c>
      <c r="GS34" s="63">
        <f t="shared" si="743"/>
        <v>4</v>
      </c>
      <c r="GT34" s="3">
        <f t="shared" si="744"/>
        <v>1</v>
      </c>
      <c r="GU34" s="63">
        <f t="shared" si="745"/>
        <v>5</v>
      </c>
      <c r="GV34" s="3">
        <f t="shared" si="746"/>
        <v>0</v>
      </c>
      <c r="GW34" s="3">
        <f t="shared" si="747"/>
        <v>0</v>
      </c>
      <c r="GX34" s="3">
        <f t="shared" si="617"/>
        <v>0</v>
      </c>
      <c r="GY34" s="3">
        <f t="shared" si="748"/>
        <v>6</v>
      </c>
      <c r="GZ34" s="3">
        <f t="shared" si="749"/>
        <v>1</v>
      </c>
      <c r="HA34" s="3">
        <f t="shared" si="750"/>
        <v>6</v>
      </c>
      <c r="HB34" s="3">
        <f t="shared" si="618"/>
        <v>0</v>
      </c>
      <c r="HC34" s="3">
        <f t="shared" si="751"/>
        <v>3</v>
      </c>
      <c r="HD34" s="3"/>
      <c r="HE34" s="3">
        <f>IF($E34=4,GE34-4,NA())</f>
        <v>3</v>
      </c>
      <c r="HF34" s="3"/>
      <c r="HG34" s="17">
        <f>GE34-'Zusammenfassung Tag1-4'!$H$2/18</f>
        <v>5.2222222222222223</v>
      </c>
      <c r="HH34" s="51">
        <f t="shared" si="753"/>
        <v>130.00000000000009</v>
      </c>
      <c r="HI34" s="54">
        <v>4</v>
      </c>
      <c r="HJ34" s="3">
        <v>146</v>
      </c>
      <c r="HK34" s="57">
        <v>1</v>
      </c>
      <c r="HL34" s="3">
        <f t="shared" si="754"/>
        <v>54</v>
      </c>
      <c r="HM34" s="3">
        <f t="shared" si="619"/>
        <v>0</v>
      </c>
      <c r="HN34" s="3">
        <f t="shared" si="755"/>
        <v>2</v>
      </c>
      <c r="HO34" s="3">
        <f t="shared" si="620"/>
        <v>1</v>
      </c>
      <c r="HP34" s="3">
        <f t="shared" si="756"/>
        <v>2</v>
      </c>
      <c r="HQ34" s="3"/>
      <c r="HR34" s="3">
        <f t="shared" si="621"/>
        <v>0</v>
      </c>
      <c r="HS34" s="3">
        <f t="shared" si="757"/>
        <v>0</v>
      </c>
      <c r="HT34" s="3">
        <f>IF(HI34=$E34,1,0)</f>
        <v>1</v>
      </c>
      <c r="HU34" s="3">
        <f t="shared" si="759"/>
        <v>1</v>
      </c>
      <c r="HV34" s="3">
        <f t="shared" si="760"/>
        <v>0</v>
      </c>
      <c r="HW34" s="63">
        <f t="shared" si="761"/>
        <v>5</v>
      </c>
      <c r="HX34" s="3">
        <f t="shared" si="762"/>
        <v>0</v>
      </c>
      <c r="HY34" s="63">
        <f t="shared" si="763"/>
        <v>3</v>
      </c>
      <c r="HZ34" s="3">
        <f t="shared" si="764"/>
        <v>0</v>
      </c>
      <c r="IA34" s="3">
        <f t="shared" si="765"/>
        <v>0</v>
      </c>
      <c r="IB34" s="3">
        <f t="shared" si="622"/>
        <v>1</v>
      </c>
      <c r="IC34" s="3">
        <f t="shared" si="766"/>
        <v>5</v>
      </c>
      <c r="ID34" s="3">
        <f t="shared" si="767"/>
        <v>0</v>
      </c>
      <c r="IE34" s="3">
        <f t="shared" si="768"/>
        <v>4</v>
      </c>
      <c r="IF34" s="3">
        <f t="shared" si="623"/>
        <v>0</v>
      </c>
      <c r="IG34" s="3">
        <f t="shared" si="769"/>
        <v>5</v>
      </c>
      <c r="IH34" s="3"/>
      <c r="II34" s="3">
        <f>IF($E34=4,HI34-4,NA())</f>
        <v>0</v>
      </c>
      <c r="IJ34" s="3"/>
      <c r="IK34" s="17">
        <f>HI34-'Zusammenfassung Tag1-4'!$I$2/18</f>
        <v>3.1111111111111112</v>
      </c>
      <c r="IL34" s="51">
        <f t="shared" si="771"/>
        <v>129.00000000000006</v>
      </c>
      <c r="IM34" s="54">
        <v>7</v>
      </c>
      <c r="IN34" s="3">
        <v>69</v>
      </c>
      <c r="IO34" s="57">
        <v>2</v>
      </c>
      <c r="IP34" s="3">
        <f t="shared" si="772"/>
        <v>70</v>
      </c>
      <c r="IQ34" s="3">
        <f t="shared" si="624"/>
        <v>0</v>
      </c>
      <c r="IR34" s="3">
        <f t="shared" si="773"/>
        <v>5</v>
      </c>
      <c r="IS34" s="3">
        <f t="shared" si="625"/>
        <v>0</v>
      </c>
      <c r="IT34" s="3">
        <f t="shared" si="774"/>
        <v>0</v>
      </c>
      <c r="IU34" s="3"/>
      <c r="IV34" s="3">
        <f t="shared" si="626"/>
        <v>0</v>
      </c>
      <c r="IW34" s="3">
        <f t="shared" si="775"/>
        <v>0</v>
      </c>
      <c r="IX34" s="3">
        <f>IF(IM34=$E34,1,0)</f>
        <v>0</v>
      </c>
      <c r="IY34" s="3">
        <f t="shared" si="777"/>
        <v>0</v>
      </c>
      <c r="IZ34" s="3">
        <f t="shared" si="778"/>
        <v>0</v>
      </c>
      <c r="JA34" s="63">
        <f t="shared" si="779"/>
        <v>2</v>
      </c>
      <c r="JB34" s="3">
        <f t="shared" si="780"/>
        <v>1</v>
      </c>
      <c r="JC34" s="63">
        <f t="shared" si="781"/>
        <v>7</v>
      </c>
      <c r="JD34" s="3">
        <f t="shared" si="782"/>
        <v>0</v>
      </c>
      <c r="JE34" s="3">
        <f t="shared" si="783"/>
        <v>0</v>
      </c>
      <c r="JF34" s="3">
        <f t="shared" si="627"/>
        <v>0</v>
      </c>
      <c r="JG34" s="3">
        <f t="shared" si="784"/>
        <v>1</v>
      </c>
      <c r="JH34" s="3">
        <f t="shared" si="785"/>
        <v>1</v>
      </c>
      <c r="JI34" s="3">
        <f t="shared" si="786"/>
        <v>4</v>
      </c>
      <c r="JJ34" s="3">
        <f t="shared" si="628"/>
        <v>0</v>
      </c>
      <c r="JK34" s="3">
        <f t="shared" si="787"/>
        <v>13</v>
      </c>
      <c r="JL34" s="3"/>
      <c r="JM34" s="3">
        <f>IF($E34=4,IM34-4,NA())</f>
        <v>3</v>
      </c>
      <c r="JN34" s="3"/>
      <c r="JO34" s="17">
        <f>IM34-'Zusammenfassung Tag1-4'!$J$2/18</f>
        <v>4.6666666666666661</v>
      </c>
      <c r="JP34" s="51">
        <f t="shared" si="789"/>
        <v>121.00000000000004</v>
      </c>
      <c r="JQ34" s="54"/>
      <c r="JR34" s="3"/>
      <c r="JS34" s="57"/>
      <c r="JT34" s="3">
        <f t="shared" si="790"/>
        <v>0</v>
      </c>
      <c r="JU34" s="3">
        <f t="shared" si="629"/>
        <v>1</v>
      </c>
      <c r="JV34" s="3">
        <f t="shared" si="791"/>
        <v>27</v>
      </c>
      <c r="JW34" s="3">
        <f t="shared" si="630"/>
        <v>0</v>
      </c>
      <c r="JX34" s="3">
        <f t="shared" si="792"/>
        <v>0</v>
      </c>
      <c r="JY34" s="3"/>
      <c r="JZ34" s="3">
        <f t="shared" si="631"/>
        <v>0</v>
      </c>
      <c r="KA34" s="3">
        <f t="shared" si="793"/>
        <v>0</v>
      </c>
      <c r="KB34" s="3">
        <f>IF(JQ34=$E34,1,0)</f>
        <v>0</v>
      </c>
      <c r="KC34" s="3">
        <f t="shared" si="795"/>
        <v>0</v>
      </c>
      <c r="KD34" s="3">
        <f t="shared" si="796"/>
        <v>0</v>
      </c>
      <c r="KE34" s="63">
        <f t="shared" si="797"/>
        <v>0</v>
      </c>
      <c r="KF34" s="3">
        <f t="shared" si="798"/>
        <v>0</v>
      </c>
      <c r="KG34" s="63">
        <f t="shared" si="799"/>
        <v>0</v>
      </c>
      <c r="KH34" s="3">
        <f t="shared" si="800"/>
        <v>1</v>
      </c>
      <c r="KI34" s="3">
        <f t="shared" si="801"/>
        <v>9</v>
      </c>
      <c r="KJ34" s="3">
        <f t="shared" si="632"/>
        <v>0</v>
      </c>
      <c r="KK34" s="3">
        <f t="shared" si="802"/>
        <v>0</v>
      </c>
      <c r="KL34" s="3">
        <f t="shared" si="803"/>
        <v>0</v>
      </c>
      <c r="KM34" s="3">
        <f t="shared" si="804"/>
        <v>0</v>
      </c>
      <c r="KN34" s="3">
        <f t="shared" si="633"/>
        <v>0</v>
      </c>
      <c r="KO34" s="3">
        <f t="shared" si="805"/>
        <v>0</v>
      </c>
      <c r="KP34" s="3"/>
      <c r="KQ34" s="3">
        <f>IF($E34=4,JQ34-4,NA())</f>
        <v>-4</v>
      </c>
      <c r="KR34" s="3"/>
      <c r="KS34" s="17" t="e">
        <f>JQ34-'Zusammenfassung Tag1-4'!#REF!/18</f>
        <v>#REF!</v>
      </c>
      <c r="KT34" s="51" t="e">
        <f t="shared" si="807"/>
        <v>#REF!</v>
      </c>
    </row>
    <row r="35" spans="1:306" ht="13.2" x14ac:dyDescent="0.25">
      <c r="A35" s="179"/>
      <c r="B35" s="177"/>
      <c r="C35" s="15" t="s">
        <v>25</v>
      </c>
      <c r="D35" s="3"/>
      <c r="E35" s="15">
        <f>SUM(E26:E34)</f>
        <v>37</v>
      </c>
      <c r="F35" s="1"/>
      <c r="G35" s="16">
        <f>SUM(G26:G34)</f>
        <v>47</v>
      </c>
      <c r="H35" s="3"/>
      <c r="I35" s="3">
        <f>SUM(I26:I34)</f>
        <v>18</v>
      </c>
      <c r="J35" s="3"/>
      <c r="K35" s="3">
        <f>SUM(K26:K34)</f>
        <v>2</v>
      </c>
      <c r="L35" s="3"/>
      <c r="M35" s="3">
        <f>SUM(M26:M34)</f>
        <v>1</v>
      </c>
      <c r="N35" s="3"/>
      <c r="O35" s="3"/>
      <c r="P35" s="3">
        <f>SUM(P26:P34)</f>
        <v>0</v>
      </c>
      <c r="Q35" s="3"/>
      <c r="R35" s="3">
        <f>SUM(R26:R34)</f>
        <v>3</v>
      </c>
      <c r="S35" s="3"/>
      <c r="T35" s="3">
        <f>SUM(T26:T34)</f>
        <v>4</v>
      </c>
      <c r="U35" s="3"/>
      <c r="V35" s="3">
        <f>SUM(V26:V34)</f>
        <v>2</v>
      </c>
      <c r="W35" s="3"/>
      <c r="X35" s="3">
        <f>SUM(X26:X34)</f>
        <v>1</v>
      </c>
      <c r="Y35" s="3"/>
      <c r="Z35" s="3">
        <f>SUM(Z26:Z34)</f>
        <v>0</v>
      </c>
      <c r="AA35" s="3"/>
      <c r="AB35" s="3">
        <f>SUM(AB26:AB34)</f>
        <v>6</v>
      </c>
      <c r="AC35" s="3"/>
      <c r="AD35" s="3">
        <f>SUM(AD26:AD34)</f>
        <v>2</v>
      </c>
      <c r="AE35" s="3"/>
      <c r="AF35" s="3">
        <f t="shared" ref="AF35:AH35" si="840">AVERAGE(AF26:AF34)</f>
        <v>1</v>
      </c>
      <c r="AG35" s="17">
        <f t="shared" si="840"/>
        <v>0.5</v>
      </c>
      <c r="AH35" s="17">
        <f t="shared" si="840"/>
        <v>3</v>
      </c>
      <c r="AI35" s="17">
        <f>SUM(AI26:AI34)</f>
        <v>39.5</v>
      </c>
      <c r="AJ35" s="1"/>
      <c r="AK35" s="16">
        <f>SUM(AK26:AK34)</f>
        <v>42</v>
      </c>
      <c r="AL35" s="3"/>
      <c r="AM35" s="3">
        <f>SUM(AM26:AM34)</f>
        <v>17</v>
      </c>
      <c r="AN35" s="3"/>
      <c r="AO35" s="3">
        <f>SUM(AO26:AO34)</f>
        <v>3</v>
      </c>
      <c r="AP35" s="3"/>
      <c r="AQ35" s="3">
        <f>SUM(AQ26:AQ34)</f>
        <v>3</v>
      </c>
      <c r="AR35" s="3"/>
      <c r="AS35" s="3"/>
      <c r="AT35" s="3">
        <f>SUM(AT26:AT34)</f>
        <v>0</v>
      </c>
      <c r="AU35" s="3"/>
      <c r="AV35" s="3">
        <f>SUM(AV26:AV34)</f>
        <v>5</v>
      </c>
      <c r="AW35" s="3"/>
      <c r="AX35" s="3">
        <f>SUM(AX26:AX34)</f>
        <v>3</v>
      </c>
      <c r="AY35" s="3"/>
      <c r="AZ35" s="3">
        <f>SUM(AZ26:AZ34)</f>
        <v>1</v>
      </c>
      <c r="BA35" s="3"/>
      <c r="BB35" s="3">
        <f>SUM(BB26:BB34)</f>
        <v>0</v>
      </c>
      <c r="BC35" s="3"/>
      <c r="BD35" s="3">
        <f>SUM(BD26:BD34)</f>
        <v>3</v>
      </c>
      <c r="BE35" s="3"/>
      <c r="BF35" s="3">
        <f>SUM(BF26:BF34)</f>
        <v>4</v>
      </c>
      <c r="BG35" s="3"/>
      <c r="BH35" s="3">
        <f>SUM(BH26:BH34)</f>
        <v>2</v>
      </c>
      <c r="BI35" s="3"/>
      <c r="BJ35" s="3">
        <f t="shared" ref="BJ35:BL35" si="841">AVERAGE(BJ26:BJ34)</f>
        <v>0</v>
      </c>
      <c r="BK35" s="17">
        <f t="shared" si="841"/>
        <v>0.83333333333333337</v>
      </c>
      <c r="BL35" s="17">
        <f t="shared" si="841"/>
        <v>0</v>
      </c>
      <c r="BM35" s="17">
        <f>SUM(BM26:BM34)</f>
        <v>36.999999999999993</v>
      </c>
      <c r="BN35" s="1"/>
      <c r="BO35" s="16">
        <f>SUM(BO26:BO34)</f>
        <v>49</v>
      </c>
      <c r="BP35" s="3"/>
      <c r="BQ35" s="3">
        <f>SUM(BQ26:BQ34)</f>
        <v>18</v>
      </c>
      <c r="BR35" s="3"/>
      <c r="BS35" s="3">
        <f>SUM(BS26:BS34)</f>
        <v>2</v>
      </c>
      <c r="BT35" s="3"/>
      <c r="BU35" s="3">
        <f>SUM(BU26:BU34)</f>
        <v>0</v>
      </c>
      <c r="BV35" s="3"/>
      <c r="BW35" s="3"/>
      <c r="BX35" s="3">
        <f>SUM(BX26:BX34)</f>
        <v>0</v>
      </c>
      <c r="BY35" s="3"/>
      <c r="BZ35" s="3">
        <f>SUM(BZ26:BZ34)</f>
        <v>2</v>
      </c>
      <c r="CA35" s="3"/>
      <c r="CB35" s="3">
        <f>SUM(CB26:CB34)</f>
        <v>4</v>
      </c>
      <c r="CC35" s="3"/>
      <c r="CD35" s="3">
        <f>SUM(CD26:CD34)</f>
        <v>3</v>
      </c>
      <c r="CE35" s="3"/>
      <c r="CF35" s="3">
        <f>SUM(CF26:CF34)</f>
        <v>0</v>
      </c>
      <c r="CG35" s="3"/>
      <c r="CH35" s="3">
        <f>SUM(CH26:CH34)</f>
        <v>1</v>
      </c>
      <c r="CI35" s="3"/>
      <c r="CJ35" s="3">
        <f>SUM(CJ26:CJ34)</f>
        <v>7</v>
      </c>
      <c r="CK35" s="3"/>
      <c r="CL35" s="3">
        <f>SUM(CL26:CL34)</f>
        <v>1</v>
      </c>
      <c r="CM35" s="3"/>
      <c r="CN35" s="3">
        <f t="shared" ref="CN35:CP35" si="842">AVERAGE(CN26:CN34)</f>
        <v>1</v>
      </c>
      <c r="CO35" s="17">
        <f t="shared" si="842"/>
        <v>1.5</v>
      </c>
      <c r="CP35" s="17">
        <f t="shared" si="842"/>
        <v>1</v>
      </c>
      <c r="CQ35" s="17">
        <f>SUM(CQ26:CQ34)</f>
        <v>39.499999999999993</v>
      </c>
      <c r="CR35" s="1"/>
      <c r="CS35" s="16">
        <f>SUM(CS26:CS34)</f>
        <v>48</v>
      </c>
      <c r="CT35" s="3"/>
      <c r="CU35" s="3">
        <f>SUM(CU26:CU34)</f>
        <v>20</v>
      </c>
      <c r="CV35" s="3"/>
      <c r="CW35" s="3">
        <f>SUM(CW26:CW34)</f>
        <v>4</v>
      </c>
      <c r="CX35" s="3"/>
      <c r="CY35" s="3">
        <f>SUM(CY26:CY34)</f>
        <v>0</v>
      </c>
      <c r="CZ35" s="3"/>
      <c r="DA35" s="3"/>
      <c r="DB35" s="3">
        <f>SUM(DB26:DB34)</f>
        <v>0</v>
      </c>
      <c r="DC35" s="3"/>
      <c r="DD35" s="3">
        <f>SUM(DD26:DD34)</f>
        <v>3</v>
      </c>
      <c r="DE35" s="3"/>
      <c r="DF35" s="3">
        <f>SUM(DF26:DF34)</f>
        <v>3</v>
      </c>
      <c r="DG35" s="3"/>
      <c r="DH35" s="3">
        <f>SUM(DH26:DH34)</f>
        <v>3</v>
      </c>
      <c r="DI35" s="3"/>
      <c r="DJ35" s="3">
        <f>SUM(DJ26:DJ34)</f>
        <v>0</v>
      </c>
      <c r="DK35" s="3"/>
      <c r="DL35" s="3">
        <f>SUM(DL26:DL34)</f>
        <v>0</v>
      </c>
      <c r="DM35" s="3"/>
      <c r="DN35" s="3">
        <f>SUM(DN26:DN34)</f>
        <v>7</v>
      </c>
      <c r="DO35" s="3"/>
      <c r="DP35" s="3">
        <f>SUM(DP26:DP34)</f>
        <v>2</v>
      </c>
      <c r="DQ35" s="3"/>
      <c r="DR35" s="3">
        <f t="shared" ref="DR35:DT35" si="843">AVERAGE(DR26:DR34)</f>
        <v>0</v>
      </c>
      <c r="DS35" s="17">
        <f t="shared" si="843"/>
        <v>1.5</v>
      </c>
      <c r="DT35" s="17">
        <f t="shared" si="843"/>
        <v>1</v>
      </c>
      <c r="DU35" s="17">
        <f>SUM(DU26:DU34)</f>
        <v>39</v>
      </c>
      <c r="DV35" s="18"/>
      <c r="DW35" s="16">
        <f>SUM(DW26:DW34)</f>
        <v>56</v>
      </c>
      <c r="DX35" s="3"/>
      <c r="DY35" s="3">
        <f>SUM(DY26:DY34)</f>
        <v>19</v>
      </c>
      <c r="DZ35" s="3"/>
      <c r="EA35" s="3">
        <f>SUM(EA26:EA34)</f>
        <v>0</v>
      </c>
      <c r="EB35" s="3"/>
      <c r="EC35" s="3">
        <f>SUM(EC26:EC34)</f>
        <v>0</v>
      </c>
      <c r="ED35" s="3"/>
      <c r="EE35" s="3"/>
      <c r="EF35" s="3">
        <f>SUM(EF26:EF34)</f>
        <v>0</v>
      </c>
      <c r="EG35" s="3"/>
      <c r="EH35" s="3">
        <f>SUM(EH26:EH34)</f>
        <v>0</v>
      </c>
      <c r="EI35" s="3"/>
      <c r="EJ35" s="3">
        <f>SUM(EJ26:EJ34)</f>
        <v>4</v>
      </c>
      <c r="EK35" s="3"/>
      <c r="EL35" s="3">
        <f>SUM(EL26:EL34)</f>
        <v>5</v>
      </c>
      <c r="EM35" s="3"/>
      <c r="EN35" s="3">
        <f>SUM(EN26:EN34)</f>
        <v>0</v>
      </c>
      <c r="EO35" s="3"/>
      <c r="EP35" s="3">
        <f>SUM(EP26:EP34)</f>
        <v>0</v>
      </c>
      <c r="EQ35" s="3"/>
      <c r="ER35" s="3">
        <f>SUM(ER26:ER34)</f>
        <v>8</v>
      </c>
      <c r="ES35" s="3"/>
      <c r="ET35" s="3">
        <f>SUM(ET26:ET34)</f>
        <v>1</v>
      </c>
      <c r="EU35" s="3"/>
      <c r="EV35" s="3">
        <f t="shared" ref="EV35:EX35" si="844">AVERAGE(EV26:EV34)</f>
        <v>1</v>
      </c>
      <c r="EW35" s="17">
        <f t="shared" si="844"/>
        <v>2</v>
      </c>
      <c r="EX35" s="17">
        <f t="shared" si="844"/>
        <v>3</v>
      </c>
      <c r="EY35" s="17">
        <f>SUM(EY26:EY34)</f>
        <v>33.5</v>
      </c>
      <c r="EZ35" s="18"/>
      <c r="FA35" s="3">
        <f>SUM(FA26:FA34)</f>
        <v>50</v>
      </c>
      <c r="FB35" s="3"/>
      <c r="FC35" s="3">
        <f>SUM(FC26:FC34)</f>
        <v>13</v>
      </c>
      <c r="FD35" s="3"/>
      <c r="FE35" s="3">
        <f>SUM(FE26:FE34)</f>
        <v>1</v>
      </c>
      <c r="FF35" s="3"/>
      <c r="FG35" s="3">
        <f>SUM(FG26:FG34)</f>
        <v>2</v>
      </c>
      <c r="FH35" s="3"/>
      <c r="FI35" s="3"/>
      <c r="FJ35" s="3">
        <f>SUM(FJ26:FJ34)</f>
        <v>0</v>
      </c>
      <c r="FK35" s="3"/>
      <c r="FL35" s="3">
        <f>SUM(FL26:FL34)</f>
        <v>3</v>
      </c>
      <c r="FM35" s="3"/>
      <c r="FN35" s="3">
        <f>SUM(FN26:FN34)</f>
        <v>3</v>
      </c>
      <c r="FO35" s="3"/>
      <c r="FP35" s="3">
        <f>SUM(FP26:FP34)</f>
        <v>3</v>
      </c>
      <c r="FQ35" s="3"/>
      <c r="FR35" s="3">
        <f>SUM(FR26:FR34)</f>
        <v>0</v>
      </c>
      <c r="FS35" s="3"/>
      <c r="FT35" s="3">
        <f>SUM(FT26:FT34)</f>
        <v>5</v>
      </c>
      <c r="FU35" s="3"/>
      <c r="FV35" s="3">
        <f>SUM(FV26:FV34)</f>
        <v>4</v>
      </c>
      <c r="FW35" s="3"/>
      <c r="FX35" s="3">
        <f>SUM(FX26:FX34)</f>
        <v>0</v>
      </c>
      <c r="FY35" s="3"/>
      <c r="FZ35" s="3">
        <f t="shared" ref="FZ35:GB35" si="845">AVERAGE(FZ26:FZ34)</f>
        <v>0</v>
      </c>
      <c r="GA35" s="17">
        <f t="shared" si="845"/>
        <v>1</v>
      </c>
      <c r="GB35" s="17">
        <f t="shared" si="845"/>
        <v>3.5</v>
      </c>
      <c r="GC35" s="17">
        <f>SUM(GC26:GC34)</f>
        <v>38.499999999999993</v>
      </c>
      <c r="GD35" s="18"/>
      <c r="GE35" s="3">
        <f>SUM(GE26:GE34)</f>
        <v>55</v>
      </c>
      <c r="GF35" s="3"/>
      <c r="GG35" s="3">
        <f>SUM(GG26:GG34)</f>
        <v>15</v>
      </c>
      <c r="GH35" s="3"/>
      <c r="GI35" s="3">
        <f>SUM(GI26:GI34)</f>
        <v>0</v>
      </c>
      <c r="GJ35" s="3"/>
      <c r="GK35" s="3">
        <f>SUM(GK26:GK34)</f>
        <v>0</v>
      </c>
      <c r="GL35" s="3"/>
      <c r="GM35" s="3"/>
      <c r="GN35" s="3">
        <f>SUM(GN26:GN34)</f>
        <v>0</v>
      </c>
      <c r="GO35" s="3"/>
      <c r="GP35" s="3">
        <f>SUM(GP26:GP34)</f>
        <v>0</v>
      </c>
      <c r="GQ35" s="3"/>
      <c r="GR35" s="3">
        <f>SUM(GR26:GR34)</f>
        <v>4</v>
      </c>
      <c r="GS35" s="3"/>
      <c r="GT35" s="3">
        <f>SUM(GT26:GT34)</f>
        <v>5</v>
      </c>
      <c r="GU35" s="3"/>
      <c r="GV35" s="3">
        <f>SUM(GV26:GV34)</f>
        <v>0</v>
      </c>
      <c r="GW35" s="3"/>
      <c r="GX35" s="3">
        <f>SUM(GX26:GX34)</f>
        <v>3</v>
      </c>
      <c r="GY35" s="3"/>
      <c r="GZ35" s="3">
        <f>SUM(GZ26:GZ34)</f>
        <v>6</v>
      </c>
      <c r="HA35" s="3"/>
      <c r="HB35" s="3">
        <f>SUM(HB26:HB34)</f>
        <v>0</v>
      </c>
      <c r="HC35" s="3"/>
      <c r="HD35" s="3">
        <f t="shared" ref="HD35:HF35" si="846">AVERAGE(HD26:HD34)</f>
        <v>2</v>
      </c>
      <c r="HE35" s="17">
        <f t="shared" si="846"/>
        <v>2.1666666666666665</v>
      </c>
      <c r="HF35" s="17">
        <f t="shared" si="846"/>
        <v>1.5</v>
      </c>
      <c r="HG35" s="17">
        <f>SUM(HG26:HG34)</f>
        <v>39</v>
      </c>
      <c r="HH35" s="18"/>
      <c r="HI35" s="3">
        <f>SUM(HI26:HI34)</f>
        <v>49</v>
      </c>
      <c r="HJ35" s="3"/>
      <c r="HK35" s="3">
        <f>SUM(HK26:HK34)</f>
        <v>19</v>
      </c>
      <c r="HL35" s="3"/>
      <c r="HM35" s="3">
        <f>SUM(HM26:HM34)</f>
        <v>1</v>
      </c>
      <c r="HN35" s="3"/>
      <c r="HO35" s="3">
        <f>SUM(HO26:HO34)</f>
        <v>1</v>
      </c>
      <c r="HP35" s="3"/>
      <c r="HQ35" s="3"/>
      <c r="HR35" s="3">
        <f>SUM(HR26:HR34)</f>
        <v>0</v>
      </c>
      <c r="HS35" s="3"/>
      <c r="HT35" s="3">
        <f>SUM(HT26:HT34)</f>
        <v>1</v>
      </c>
      <c r="HU35" s="3"/>
      <c r="HV35" s="3">
        <f>SUM(HV26:HV34)</f>
        <v>5</v>
      </c>
      <c r="HW35" s="3"/>
      <c r="HX35" s="3">
        <f>SUM(HX26:HX34)</f>
        <v>3</v>
      </c>
      <c r="HY35" s="3"/>
      <c r="HZ35" s="3">
        <f>SUM(HZ26:HZ34)</f>
        <v>0</v>
      </c>
      <c r="IA35" s="3"/>
      <c r="IB35" s="3">
        <f>SUM(IB26:IB34)</f>
        <v>2</v>
      </c>
      <c r="IC35" s="3"/>
      <c r="ID35" s="3">
        <f>SUM(ID26:ID34)</f>
        <v>4</v>
      </c>
      <c r="IE35" s="3"/>
      <c r="IF35" s="3">
        <f>SUM(IF26:IF34)</f>
        <v>3</v>
      </c>
      <c r="IG35" s="3"/>
      <c r="IH35" s="3">
        <f t="shared" ref="IH35:IJ35" si="847">AVERAGE(IH26:IH34)</f>
        <v>1</v>
      </c>
      <c r="II35" s="17">
        <f t="shared" si="847"/>
        <v>1.5</v>
      </c>
      <c r="IJ35" s="17">
        <f t="shared" si="847"/>
        <v>1</v>
      </c>
      <c r="IK35" s="17">
        <f>SUM(IK26:IK34)</f>
        <v>41</v>
      </c>
      <c r="IL35" s="18"/>
      <c r="IM35" s="3">
        <f>SUM(IM26:IM34)</f>
        <v>63</v>
      </c>
      <c r="IN35" s="3"/>
      <c r="IO35" s="3">
        <f>SUM(IO26:IO34)</f>
        <v>22</v>
      </c>
      <c r="IP35" s="3"/>
      <c r="IQ35" s="3">
        <f>SUM(IQ26:IQ34)</f>
        <v>0</v>
      </c>
      <c r="IR35" s="3"/>
      <c r="IS35" s="3">
        <f>SUM(IS26:IS34)</f>
        <v>0</v>
      </c>
      <c r="IT35" s="3"/>
      <c r="IU35" s="3"/>
      <c r="IV35" s="3">
        <f>SUM(IV26:IV34)</f>
        <v>0</v>
      </c>
      <c r="IW35" s="3"/>
      <c r="IX35" s="3">
        <f>SUM(IX26:IX34)</f>
        <v>0</v>
      </c>
      <c r="IY35" s="3"/>
      <c r="IZ35" s="3">
        <f>SUM(IZ26:IZ34)</f>
        <v>2</v>
      </c>
      <c r="JA35" s="3"/>
      <c r="JB35" s="3">
        <f>SUM(JB26:JB34)</f>
        <v>7</v>
      </c>
      <c r="JC35" s="3"/>
      <c r="JD35" s="3">
        <f>SUM(JD26:JD34)</f>
        <v>0</v>
      </c>
      <c r="JE35" s="3"/>
      <c r="JF35" s="3">
        <f>SUM(JF26:JF34)</f>
        <v>1</v>
      </c>
      <c r="JG35" s="3"/>
      <c r="JH35" s="3">
        <f>SUM(JH26:JH34)</f>
        <v>4</v>
      </c>
      <c r="JI35" s="3"/>
      <c r="JJ35" s="3">
        <f>SUM(JJ26:JJ34)</f>
        <v>4</v>
      </c>
      <c r="JK35" s="3"/>
      <c r="JL35" s="3">
        <f t="shared" ref="JL35:JN35" si="848">AVERAGE(JL26:JL34)</f>
        <v>1</v>
      </c>
      <c r="JM35" s="17">
        <f t="shared" si="848"/>
        <v>3.3333333333333335</v>
      </c>
      <c r="JN35" s="17">
        <f t="shared" si="848"/>
        <v>2.5</v>
      </c>
      <c r="JO35" s="17">
        <f>SUM(JO26:JO34)</f>
        <v>42</v>
      </c>
      <c r="JP35" s="18"/>
      <c r="JQ35" s="16">
        <v>70</v>
      </c>
      <c r="JR35" s="3"/>
      <c r="JS35" s="3">
        <v>19</v>
      </c>
      <c r="JT35" s="3"/>
      <c r="JU35" s="3">
        <f>SUM(JU26:JU34)</f>
        <v>9</v>
      </c>
      <c r="JV35" s="3"/>
      <c r="JW35" s="3">
        <f>SUM(JW26:JW34)</f>
        <v>0</v>
      </c>
      <c r="JX35" s="3"/>
      <c r="JY35" s="3"/>
      <c r="JZ35" s="3">
        <f>SUM(JZ26:JZ34)</f>
        <v>0</v>
      </c>
      <c r="KA35" s="3"/>
      <c r="KB35" s="3">
        <f>SUM(KB26:KB34)</f>
        <v>0</v>
      </c>
      <c r="KC35" s="3"/>
      <c r="KD35" s="3">
        <f>SUM(KD26:KD34)</f>
        <v>0</v>
      </c>
      <c r="KE35" s="3"/>
      <c r="KF35" s="3">
        <f>SUM(KF26:KF34)</f>
        <v>0</v>
      </c>
      <c r="KG35" s="3"/>
      <c r="KH35" s="3">
        <f>SUM(KH26:KH34)</f>
        <v>9</v>
      </c>
      <c r="KI35" s="3"/>
      <c r="KJ35" s="3">
        <f>SUM(KJ26:KJ34)</f>
        <v>0</v>
      </c>
      <c r="KK35" s="3"/>
      <c r="KL35" s="3">
        <f>SUM(KL26:KL34)</f>
        <v>0</v>
      </c>
      <c r="KM35" s="3"/>
      <c r="KN35" s="3">
        <f>SUM(KN26:KN34)</f>
        <v>0</v>
      </c>
      <c r="KO35" s="3"/>
      <c r="KP35" s="3">
        <f t="shared" ref="KP35:KR35" si="849">AVERAGE(KP26:KP34)</f>
        <v>-3</v>
      </c>
      <c r="KQ35" s="17">
        <f t="shared" si="849"/>
        <v>-4</v>
      </c>
      <c r="KR35" s="17">
        <f t="shared" si="849"/>
        <v>-5</v>
      </c>
      <c r="KS35" s="17" t="e">
        <f>SUM(KS26:KS34)</f>
        <v>#REF!</v>
      </c>
      <c r="KT35" s="18"/>
    </row>
    <row r="36" spans="1:306" ht="13.2" x14ac:dyDescent="0.25">
      <c r="A36" s="179"/>
      <c r="B36" s="175" t="s">
        <v>26</v>
      </c>
      <c r="C36" s="7">
        <v>10</v>
      </c>
      <c r="D36" s="2">
        <f>D34+1</f>
        <v>28</v>
      </c>
      <c r="E36" s="7">
        <v>3</v>
      </c>
      <c r="F36" s="4">
        <f>E36+F34</f>
        <v>112</v>
      </c>
      <c r="G36" s="52">
        <v>6</v>
      </c>
      <c r="H36" s="9">
        <f>G36+H34</f>
        <v>135</v>
      </c>
      <c r="I36" s="55">
        <v>2</v>
      </c>
      <c r="J36" s="9">
        <f>I36+J34</f>
        <v>54</v>
      </c>
      <c r="K36" s="9">
        <f t="shared" ref="K36:K44" si="850">IF(G36-I36&lt;=$E36-2,1,0)</f>
        <v>0</v>
      </c>
      <c r="L36" s="9">
        <f>K36+L34</f>
        <v>8</v>
      </c>
      <c r="M36" s="9">
        <f t="shared" ref="M36:M44" si="851">IF(K36=0,IF(G36=$E36,1,0),0)</f>
        <v>0</v>
      </c>
      <c r="N36" s="9">
        <f>M36+N34</f>
        <v>4</v>
      </c>
      <c r="O36" s="9"/>
      <c r="P36" s="9">
        <f t="shared" ref="P36:P44" si="852">IF($E36-G36=1,1,0)</f>
        <v>0</v>
      </c>
      <c r="Q36" s="9">
        <f>P36+Q34</f>
        <v>1</v>
      </c>
      <c r="R36" s="9">
        <f t="shared" ref="R36:R44" si="853">IF(G36=$E36,1,0)</f>
        <v>0</v>
      </c>
      <c r="S36" s="9">
        <f>R36+S34</f>
        <v>3</v>
      </c>
      <c r="T36" s="9">
        <f t="shared" ref="T36:T44" si="854">IF(G36-$E36=1,1,0)</f>
        <v>0</v>
      </c>
      <c r="U36" s="9">
        <f>T36+U34</f>
        <v>4</v>
      </c>
      <c r="V36" s="9">
        <f t="shared" ref="V36:V44" si="855">IF(G36-$E36&gt;=2,1,0)</f>
        <v>1</v>
      </c>
      <c r="W36" s="9">
        <f>V36+W34</f>
        <v>3</v>
      </c>
      <c r="X36" s="9">
        <f t="shared" ref="X36:X44" si="856">IF(I36=0,1,0)</f>
        <v>0</v>
      </c>
      <c r="Y36" s="9">
        <f>X36+Y34</f>
        <v>1</v>
      </c>
      <c r="Z36" s="9">
        <f t="shared" ref="Z36:Z44" si="857">IF(I36=1,1,0)</f>
        <v>0</v>
      </c>
      <c r="AA36" s="9">
        <f>Z36+AA34</f>
        <v>4</v>
      </c>
      <c r="AB36" s="9">
        <f t="shared" ref="AB36:AB44" si="858">IF(I36=2,1,0)</f>
        <v>1</v>
      </c>
      <c r="AC36" s="9">
        <f>AB36+AC34</f>
        <v>7</v>
      </c>
      <c r="AD36" s="9">
        <f t="shared" ref="AD36:AD44" si="859">IF(I36&gt;=3,1,0)</f>
        <v>0</v>
      </c>
      <c r="AE36" s="9">
        <f>AD36+AE34</f>
        <v>3</v>
      </c>
      <c r="AF36" s="9">
        <f>IF($E36=3,G36-3,NA())</f>
        <v>3</v>
      </c>
      <c r="AG36" s="9"/>
      <c r="AH36" s="9"/>
      <c r="AI36" s="10">
        <f>G36-'Zusammenfassung Tag1-4'!$B$2/18</f>
        <v>5.166666666666667</v>
      </c>
      <c r="AJ36" s="11">
        <f>AI36+AJ34</f>
        <v>111.6666666666667</v>
      </c>
      <c r="AK36" s="52">
        <v>4</v>
      </c>
      <c r="AL36" s="9">
        <f>AK36+AL34</f>
        <v>139</v>
      </c>
      <c r="AM36" s="55">
        <v>2</v>
      </c>
      <c r="AN36" s="9">
        <f>AM36+AN34</f>
        <v>53</v>
      </c>
      <c r="AO36" s="9">
        <f t="shared" ref="AO36:AO44" si="860">IF(AK36-AM36&lt;=$E36-2,1,0)</f>
        <v>0</v>
      </c>
      <c r="AP36" s="9">
        <f>AO36+AP34</f>
        <v>10</v>
      </c>
      <c r="AQ36" s="9">
        <f t="shared" ref="AQ36:AQ44" si="861">IF(AO36=0,IF(AK36=$E36,1,0),0)</f>
        <v>0</v>
      </c>
      <c r="AR36" s="9">
        <f>AQ36+AR34</f>
        <v>4</v>
      </c>
      <c r="AS36" s="9"/>
      <c r="AT36" s="9">
        <f t="shared" ref="AT36:AT44" si="862">IF($E36-AK36=1,1,0)</f>
        <v>0</v>
      </c>
      <c r="AU36" s="9">
        <f>AT36+AU34</f>
        <v>0</v>
      </c>
      <c r="AV36" s="9">
        <f>IF(AK36=$E36,1,0)</f>
        <v>0</v>
      </c>
      <c r="AW36" s="9">
        <f>AV36+AW34</f>
        <v>5</v>
      </c>
      <c r="AX36" s="9">
        <f>IF(AK36-$E36=1,1,0)</f>
        <v>1</v>
      </c>
      <c r="AY36" s="9">
        <f>AX36+AY34</f>
        <v>4</v>
      </c>
      <c r="AZ36" s="9">
        <f>IF(AK36-$E36&gt;=2,1,0)</f>
        <v>0</v>
      </c>
      <c r="BA36" s="9">
        <f>AZ36+BA34</f>
        <v>1</v>
      </c>
      <c r="BB36" s="9">
        <f>IF(AM36=0,1,0)</f>
        <v>0</v>
      </c>
      <c r="BC36" s="9">
        <f>BB36+BC34</f>
        <v>0</v>
      </c>
      <c r="BD36" s="9">
        <f t="shared" ref="BD36:BD44" si="863">IF(AM36=1,1,0)</f>
        <v>0</v>
      </c>
      <c r="BE36" s="9">
        <f>BD36+BE34</f>
        <v>6</v>
      </c>
      <c r="BF36" s="9">
        <f>IF(AM36=2,1,0)</f>
        <v>1</v>
      </c>
      <c r="BG36" s="9">
        <f>BF36+BG34</f>
        <v>5</v>
      </c>
      <c r="BH36" s="9">
        <f t="shared" ref="BH36:BH44" si="864">IF(AM36&gt;=3,1,0)</f>
        <v>0</v>
      </c>
      <c r="BI36" s="9">
        <f>BH36+BI34</f>
        <v>3</v>
      </c>
      <c r="BJ36" s="9">
        <f t="shared" ref="BJ36" si="865">IF($E36=3,AK36-3,NA())</f>
        <v>1</v>
      </c>
      <c r="BK36" s="9"/>
      <c r="BL36" s="9"/>
      <c r="BM36" s="10">
        <f>AK36-'Zusammenfassung Tag1-4'!$C$2/18</f>
        <v>3.4444444444444446</v>
      </c>
      <c r="BN36" s="11">
        <f>BM36+BN34</f>
        <v>123.44444444444441</v>
      </c>
      <c r="BO36" s="52">
        <v>5</v>
      </c>
      <c r="BP36" s="9">
        <f>BO36+BP34</f>
        <v>162</v>
      </c>
      <c r="BQ36" s="55">
        <v>2</v>
      </c>
      <c r="BR36" s="9">
        <f>BQ36+BR34</f>
        <v>64</v>
      </c>
      <c r="BS36" s="9">
        <f t="shared" ref="BS36:BS44" si="866">IF(BO36-BQ36&lt;=$E36-2,1,0)</f>
        <v>0</v>
      </c>
      <c r="BT36" s="9">
        <f>BS36+BT34</f>
        <v>7</v>
      </c>
      <c r="BU36" s="9">
        <f t="shared" ref="BU36:BU44" si="867">IF(BS36=0,IF(BO36=$E36,1,0),0)</f>
        <v>0</v>
      </c>
      <c r="BV36" s="9">
        <f>BU36+BV34</f>
        <v>0</v>
      </c>
      <c r="BW36" s="9"/>
      <c r="BX36" s="9">
        <f t="shared" ref="BX36:BX44" si="868">IF($E36-BO36=1,1,0)</f>
        <v>0</v>
      </c>
      <c r="BY36" s="9">
        <f>BX36+BY34</f>
        <v>0</v>
      </c>
      <c r="BZ36" s="9">
        <f>IF(BO36=$E36,1,0)</f>
        <v>0</v>
      </c>
      <c r="CA36" s="9">
        <f>BZ36+CA34</f>
        <v>2</v>
      </c>
      <c r="CB36" s="9">
        <f>IF(BO36-$E36=1,1,0)</f>
        <v>0</v>
      </c>
      <c r="CC36" s="9">
        <f>CB36+CC34</f>
        <v>4</v>
      </c>
      <c r="CD36" s="9">
        <f>IF(BO36-$E36&gt;=2,1,0)</f>
        <v>1</v>
      </c>
      <c r="CE36" s="9">
        <f>CD36+CE34</f>
        <v>4</v>
      </c>
      <c r="CF36" s="9">
        <f>IF(BQ36=0,1,0)</f>
        <v>0</v>
      </c>
      <c r="CG36" s="9">
        <f>CF36+CG34</f>
        <v>0</v>
      </c>
      <c r="CH36" s="9">
        <f t="shared" ref="CH36:CH44" si="869">IF(BQ36=1,1,0)</f>
        <v>0</v>
      </c>
      <c r="CI36" s="9">
        <f>CH36+CI34</f>
        <v>1</v>
      </c>
      <c r="CJ36" s="9">
        <f>IF(BQ36=2,1,0)</f>
        <v>1</v>
      </c>
      <c r="CK36" s="9">
        <f>CJ36+CK34</f>
        <v>8</v>
      </c>
      <c r="CL36" s="9">
        <f t="shared" ref="CL36:CL44" si="870">IF(BQ36&gt;=3,1,0)</f>
        <v>0</v>
      </c>
      <c r="CM36" s="9">
        <f>CL36+CM34</f>
        <v>9</v>
      </c>
      <c r="CN36" s="9">
        <f t="shared" ref="CN36" si="871">IF($E36=3,BO36-3,NA())</f>
        <v>2</v>
      </c>
      <c r="CO36" s="9"/>
      <c r="CP36" s="9"/>
      <c r="CQ36" s="10">
        <f>BO36-'Zusammenfassung Tag1-4'!$D$2/18</f>
        <v>3.9444444444444446</v>
      </c>
      <c r="CR36" s="11">
        <f>CQ36+CR34</f>
        <v>132.44444444444443</v>
      </c>
      <c r="CS36" s="52">
        <v>3</v>
      </c>
      <c r="CT36" s="9">
        <f>CS36+CT34</f>
        <v>152</v>
      </c>
      <c r="CU36" s="55">
        <v>1</v>
      </c>
      <c r="CV36" s="9">
        <f>CU36+CV34</f>
        <v>64</v>
      </c>
      <c r="CW36" s="9">
        <f t="shared" ref="CW36:CW44" si="872">IF(CS36-CU36&lt;=$E36-2,1,0)</f>
        <v>0</v>
      </c>
      <c r="CX36" s="9">
        <f>CW36+CX34</f>
        <v>10</v>
      </c>
      <c r="CY36" s="9">
        <f t="shared" ref="CY36:CY44" si="873">IF(CW36=0,IF(CS36=$E36,1,0),0)</f>
        <v>1</v>
      </c>
      <c r="CZ36" s="9">
        <f>CY36+CZ34</f>
        <v>1</v>
      </c>
      <c r="DA36" s="9"/>
      <c r="DB36" s="9">
        <f t="shared" ref="DB36:DB44" si="874">IF($E36-CS36=1,1,0)</f>
        <v>0</v>
      </c>
      <c r="DC36" s="9">
        <f>DB36+DC34</f>
        <v>0</v>
      </c>
      <c r="DD36" s="9">
        <f>IF(CS36=$E36,1,0)</f>
        <v>1</v>
      </c>
      <c r="DE36" s="9">
        <f>DD36+DE34</f>
        <v>4</v>
      </c>
      <c r="DF36" s="9">
        <f>IF(CS36-$E36=1,1,0)</f>
        <v>0</v>
      </c>
      <c r="DG36" s="9">
        <f>DF36+DG34</f>
        <v>3</v>
      </c>
      <c r="DH36" s="9">
        <f>IF(CS36-$E36&gt;=2,1,0)</f>
        <v>0</v>
      </c>
      <c r="DI36" s="9">
        <f>DH36+DI34</f>
        <v>3</v>
      </c>
      <c r="DJ36" s="9">
        <f>IF(CU36=0,1,0)</f>
        <v>0</v>
      </c>
      <c r="DK36" s="9">
        <f>DJ36+DK34</f>
        <v>0</v>
      </c>
      <c r="DL36" s="9">
        <f t="shared" ref="DL36:DL44" si="875">IF(CU36=1,1,0)</f>
        <v>1</v>
      </c>
      <c r="DM36" s="9">
        <f>DL36+DM34</f>
        <v>3</v>
      </c>
      <c r="DN36" s="9">
        <f>IF(CU36=2,1,0)</f>
        <v>0</v>
      </c>
      <c r="DO36" s="9">
        <f>DN36+DO34</f>
        <v>7</v>
      </c>
      <c r="DP36" s="9">
        <f t="shared" ref="DP36:DP44" si="876">IF(CU36&gt;=3,1,0)</f>
        <v>0</v>
      </c>
      <c r="DQ36" s="9">
        <f>DP36+DQ34</f>
        <v>10</v>
      </c>
      <c r="DR36" s="9">
        <f t="shared" ref="DR36" si="877">IF($E36=3,CS36-3,NA())</f>
        <v>0</v>
      </c>
      <c r="DS36" s="9"/>
      <c r="DT36" s="9"/>
      <c r="DU36" s="10">
        <f>CS36-'Zusammenfassung Tag1-4'!$E$2/18</f>
        <v>2</v>
      </c>
      <c r="DV36" s="12">
        <f>DU36+DV34</f>
        <v>124</v>
      </c>
      <c r="DW36" s="52">
        <v>7</v>
      </c>
      <c r="DX36" s="9">
        <v>50</v>
      </c>
      <c r="DY36" s="55">
        <v>2</v>
      </c>
      <c r="DZ36" s="9">
        <f>DY36+DZ34</f>
        <v>66</v>
      </c>
      <c r="EA36" s="9">
        <f t="shared" ref="EA36:EA44" si="878">IF(DW36-DY36&lt;=$E36-2,1,0)</f>
        <v>0</v>
      </c>
      <c r="EB36" s="9">
        <f>EA36+EB34</f>
        <v>0</v>
      </c>
      <c r="EC36" s="9">
        <f t="shared" ref="EC36:EC44" si="879">IF(EA36=0,IF(DW36=$E36,1,0),0)</f>
        <v>0</v>
      </c>
      <c r="ED36" s="9">
        <f>EC36+ED34</f>
        <v>0</v>
      </c>
      <c r="EE36" s="9"/>
      <c r="EF36" s="9">
        <f t="shared" ref="EF36:EF44" si="880">IF($E36-DW36=1,1,0)</f>
        <v>0</v>
      </c>
      <c r="EG36" s="9">
        <f>EF36+EG34</f>
        <v>0</v>
      </c>
      <c r="EH36" s="9">
        <f>IF(DW36=$E36,1,0)</f>
        <v>0</v>
      </c>
      <c r="EI36" s="9">
        <f>EH36+EI34</f>
        <v>0</v>
      </c>
      <c r="EJ36" s="9">
        <f>IF(DW36-$E36=1,1,0)</f>
        <v>0</v>
      </c>
      <c r="EK36" s="9">
        <f>EJ36+EK34</f>
        <v>4</v>
      </c>
      <c r="EL36" s="9">
        <f>IF(DW36-$E36&gt;=2,1,0)</f>
        <v>1</v>
      </c>
      <c r="EM36" s="9">
        <f>EL36+EM34</f>
        <v>6</v>
      </c>
      <c r="EN36" s="9">
        <f>IF(DY36=0,1,0)</f>
        <v>0</v>
      </c>
      <c r="EO36" s="9">
        <f>EN36+EO34</f>
        <v>0</v>
      </c>
      <c r="EP36" s="9">
        <f t="shared" ref="EP36:EP44" si="881">IF(DY36=1,1,0)</f>
        <v>0</v>
      </c>
      <c r="EQ36" s="9">
        <f>EP36+EQ34</f>
        <v>0</v>
      </c>
      <c r="ER36" s="9">
        <f>IF(DY36=2,1,0)</f>
        <v>1</v>
      </c>
      <c r="ES36" s="9">
        <f>ER36+ES34</f>
        <v>9</v>
      </c>
      <c r="ET36" s="9">
        <f t="shared" ref="ET36:ET44" si="882">IF(DY36&gt;=3,1,0)</f>
        <v>0</v>
      </c>
      <c r="EU36" s="9">
        <f>ET36+EU34</f>
        <v>9</v>
      </c>
      <c r="EV36" s="9">
        <f t="shared" ref="EV36" si="883">IF($E36=3,DW36-3,NA())</f>
        <v>4</v>
      </c>
      <c r="EW36" s="9"/>
      <c r="EX36" s="9"/>
      <c r="EY36" s="10">
        <f>DW36-'Zusammenfassung Tag1-4'!$F$2/18</f>
        <v>4.5</v>
      </c>
      <c r="EZ36" s="12">
        <f>EY36+EZ34</f>
        <v>129</v>
      </c>
      <c r="FA36" s="52">
        <v>4</v>
      </c>
      <c r="FB36" s="9">
        <v>155</v>
      </c>
      <c r="FC36" s="55">
        <v>2</v>
      </c>
      <c r="FD36" s="9">
        <f>FC36+FD34</f>
        <v>53</v>
      </c>
      <c r="FE36" s="9">
        <f t="shared" ref="FE36:FE44" si="884">IF(FA36-FC36&lt;=$E36-2,1,0)</f>
        <v>0</v>
      </c>
      <c r="FF36" s="9">
        <f>FE36+FF34</f>
        <v>4</v>
      </c>
      <c r="FG36" s="9">
        <f t="shared" ref="FG36:FG44" si="885">IF(FE36=0,IF(FA36=$E36,1,0),0)</f>
        <v>0</v>
      </c>
      <c r="FH36" s="9">
        <f>FG36+FH34</f>
        <v>3</v>
      </c>
      <c r="FI36" s="9"/>
      <c r="FJ36" s="9">
        <f t="shared" ref="FJ36:FJ44" si="886">IF($E36-FA36=1,1,0)</f>
        <v>0</v>
      </c>
      <c r="FK36" s="9">
        <f>FJ36+FK34</f>
        <v>0</v>
      </c>
      <c r="FL36" s="9">
        <f>IF(FA36=$E36,1,0)</f>
        <v>0</v>
      </c>
      <c r="FM36" s="9">
        <f>FL36+FM34</f>
        <v>3</v>
      </c>
      <c r="FN36" s="9">
        <f>IF(FA36-$E36=1,1,0)</f>
        <v>1</v>
      </c>
      <c r="FO36" s="9">
        <f>FN36+FO34</f>
        <v>4</v>
      </c>
      <c r="FP36" s="9">
        <f>IF(FA36-$E36&gt;=2,1,0)</f>
        <v>0</v>
      </c>
      <c r="FQ36" s="9">
        <f>FP36+FQ34</f>
        <v>3</v>
      </c>
      <c r="FR36" s="9">
        <f>IF(FC36=0,1,0)</f>
        <v>0</v>
      </c>
      <c r="FS36" s="9">
        <f>FR36+FS34</f>
        <v>0</v>
      </c>
      <c r="FT36" s="9">
        <f t="shared" ref="FT36:FT44" si="887">IF(FC36=1,1,0)</f>
        <v>0</v>
      </c>
      <c r="FU36" s="9">
        <f>FT36+FU34</f>
        <v>8</v>
      </c>
      <c r="FV36" s="9">
        <f>IF(FC36=2,1,0)</f>
        <v>1</v>
      </c>
      <c r="FW36" s="9">
        <f>FV36+FW34</f>
        <v>5</v>
      </c>
      <c r="FX36" s="9">
        <f t="shared" ref="FX36:FX44" si="888">IF(FC36&gt;=3,1,0)</f>
        <v>0</v>
      </c>
      <c r="FY36" s="9">
        <f>FX36+FY34</f>
        <v>5</v>
      </c>
      <c r="FZ36" s="9">
        <f t="shared" ref="FZ36" si="889">IF($E36=3,FA36-3,NA())</f>
        <v>1</v>
      </c>
      <c r="GA36" s="9"/>
      <c r="GB36" s="9"/>
      <c r="GC36" s="10">
        <f>FA36-'Zusammenfassung Tag1-4'!$G$2/18</f>
        <v>2.7222222222222223</v>
      </c>
      <c r="GD36" s="12">
        <f>GC36+GD34</f>
        <v>119.22222222222229</v>
      </c>
      <c r="GE36" s="52">
        <v>5</v>
      </c>
      <c r="GF36" s="9">
        <v>208</v>
      </c>
      <c r="GG36" s="55">
        <v>2</v>
      </c>
      <c r="GH36" s="9">
        <f>GG36+GH34</f>
        <v>53</v>
      </c>
      <c r="GI36" s="9">
        <f t="shared" ref="GI36:GI44" si="890">IF(GE36-GG36&lt;=$E36-2,1,0)</f>
        <v>0</v>
      </c>
      <c r="GJ36" s="9">
        <f>GI36+GJ34</f>
        <v>1</v>
      </c>
      <c r="GK36" s="9">
        <f t="shared" ref="GK36:GK44" si="891">IF(GI36=0,IF(GE36=$E36,1,0),0)</f>
        <v>0</v>
      </c>
      <c r="GL36" s="9">
        <f>GK36+GL34</f>
        <v>1</v>
      </c>
      <c r="GM36" s="9"/>
      <c r="GN36" s="9">
        <f t="shared" ref="GN36:GN44" si="892">IF($E36-GE36=1,1,0)</f>
        <v>0</v>
      </c>
      <c r="GO36" s="9">
        <f>GN36+GO34</f>
        <v>0</v>
      </c>
      <c r="GP36" s="9">
        <f>IF(GE36=$E36,1,0)</f>
        <v>0</v>
      </c>
      <c r="GQ36" s="9">
        <f>GP36+GQ34</f>
        <v>0</v>
      </c>
      <c r="GR36" s="9">
        <f>IF(GE36-$E36=1,1,0)</f>
        <v>0</v>
      </c>
      <c r="GS36" s="9">
        <f>GR36+GS34</f>
        <v>4</v>
      </c>
      <c r="GT36" s="9">
        <f>IF(GE36-$E36&gt;=2,1,0)</f>
        <v>1</v>
      </c>
      <c r="GU36" s="9">
        <f>GT36+GU34</f>
        <v>6</v>
      </c>
      <c r="GV36" s="9">
        <f>IF(GG36=0,1,0)</f>
        <v>0</v>
      </c>
      <c r="GW36" s="9">
        <f>GV36+GW34</f>
        <v>0</v>
      </c>
      <c r="GX36" s="9">
        <f t="shared" ref="GX36:GX44" si="893">IF(GG36=1,1,0)</f>
        <v>0</v>
      </c>
      <c r="GY36" s="9">
        <f>GX36+GY34</f>
        <v>6</v>
      </c>
      <c r="GZ36" s="9">
        <f>IF(GG36=2,1,0)</f>
        <v>1</v>
      </c>
      <c r="HA36" s="9">
        <f>GZ36+HA34</f>
        <v>7</v>
      </c>
      <c r="HB36" s="9">
        <f t="shared" ref="HB36:HB44" si="894">IF(GG36&gt;=3,1,0)</f>
        <v>0</v>
      </c>
      <c r="HC36" s="9">
        <f>HB36+HC34</f>
        <v>3</v>
      </c>
      <c r="HD36" s="9">
        <f t="shared" ref="HD36" si="895">IF($E36=3,GE36-3,NA())</f>
        <v>2</v>
      </c>
      <c r="HE36" s="9"/>
      <c r="HF36" s="9"/>
      <c r="HG36" s="10">
        <f>GE36-'Zusammenfassung Tag1-4'!$H$2/18</f>
        <v>3.2222222222222223</v>
      </c>
      <c r="HH36" s="12">
        <f>HG36+HH34</f>
        <v>133.22222222222231</v>
      </c>
      <c r="HI36" s="52">
        <v>4</v>
      </c>
      <c r="HJ36" s="9">
        <v>150</v>
      </c>
      <c r="HK36" s="55">
        <v>2</v>
      </c>
      <c r="HL36" s="9">
        <f>HK36+HL34</f>
        <v>56</v>
      </c>
      <c r="HM36" s="9">
        <f t="shared" ref="HM36:HM44" si="896">IF(HI36-HK36&lt;=$E36-2,1,0)</f>
        <v>0</v>
      </c>
      <c r="HN36" s="9">
        <f>HM36+HN34</f>
        <v>2</v>
      </c>
      <c r="HO36" s="9">
        <f t="shared" ref="HO36:HO44" si="897">IF(HM36=0,IF(HI36=$E36,1,0),0)</f>
        <v>0</v>
      </c>
      <c r="HP36" s="9">
        <f>HO36+HP34</f>
        <v>2</v>
      </c>
      <c r="HQ36" s="9"/>
      <c r="HR36" s="9">
        <f t="shared" ref="HR36:HR44" si="898">IF($E36-HI36=1,1,0)</f>
        <v>0</v>
      </c>
      <c r="HS36" s="9">
        <f>HR36+HS34</f>
        <v>0</v>
      </c>
      <c r="HT36" s="9">
        <f>IF(HI36=$E36,1,0)</f>
        <v>0</v>
      </c>
      <c r="HU36" s="9">
        <f>HT36+HU34</f>
        <v>1</v>
      </c>
      <c r="HV36" s="9">
        <f>IF(HI36-$E36=1,1,0)</f>
        <v>1</v>
      </c>
      <c r="HW36" s="9">
        <f>HV36+HW34</f>
        <v>6</v>
      </c>
      <c r="HX36" s="9">
        <f>IF(HI36-$E36&gt;=2,1,0)</f>
        <v>0</v>
      </c>
      <c r="HY36" s="9">
        <f>HX36+HY34</f>
        <v>3</v>
      </c>
      <c r="HZ36" s="9">
        <f>IF(HK36=0,1,0)</f>
        <v>0</v>
      </c>
      <c r="IA36" s="9">
        <f>HZ36+IA34</f>
        <v>0</v>
      </c>
      <c r="IB36" s="9">
        <f t="shared" ref="IB36:IB44" si="899">IF(HK36=1,1,0)</f>
        <v>0</v>
      </c>
      <c r="IC36" s="9">
        <f>IB36+IC34</f>
        <v>5</v>
      </c>
      <c r="ID36" s="9">
        <f>IF(HK36=2,1,0)</f>
        <v>1</v>
      </c>
      <c r="IE36" s="9">
        <f>ID36+IE34</f>
        <v>5</v>
      </c>
      <c r="IF36" s="9">
        <f t="shared" ref="IF36:IF44" si="900">IF(HK36&gt;=3,1,0)</f>
        <v>0</v>
      </c>
      <c r="IG36" s="9">
        <f>IF36+IG34</f>
        <v>5</v>
      </c>
      <c r="IH36" s="9">
        <f t="shared" ref="IH36" si="901">IF($E36=3,HI36-3,NA())</f>
        <v>1</v>
      </c>
      <c r="II36" s="9"/>
      <c r="IJ36" s="9"/>
      <c r="IK36" s="10">
        <f>HI36-'Zusammenfassung Tag1-4'!$I$2/18</f>
        <v>3.1111111111111112</v>
      </c>
      <c r="IL36" s="12">
        <f>IK36+IL34</f>
        <v>132.11111111111117</v>
      </c>
      <c r="IM36" s="52">
        <v>5</v>
      </c>
      <c r="IN36" s="9">
        <v>73</v>
      </c>
      <c r="IO36" s="55">
        <v>2</v>
      </c>
      <c r="IP36" s="9">
        <f>IO36+IP34</f>
        <v>72</v>
      </c>
      <c r="IQ36" s="9">
        <f t="shared" ref="IQ36:IQ44" si="902">IF(IM36-IO36&lt;=$E36-2,1,0)</f>
        <v>0</v>
      </c>
      <c r="IR36" s="9">
        <f>IQ36+IR34</f>
        <v>5</v>
      </c>
      <c r="IS36" s="9">
        <f t="shared" ref="IS36:IS44" si="903">IF(IQ36=0,IF(IM36=$E36,1,0),0)</f>
        <v>0</v>
      </c>
      <c r="IT36" s="9">
        <f>IS36+IT34</f>
        <v>0</v>
      </c>
      <c r="IU36" s="9"/>
      <c r="IV36" s="9">
        <f t="shared" ref="IV36:IV44" si="904">IF($E36-IM36=1,1,0)</f>
        <v>0</v>
      </c>
      <c r="IW36" s="9">
        <f>IV36+IW34</f>
        <v>0</v>
      </c>
      <c r="IX36" s="9">
        <f>IF(IM36=$E36,1,0)</f>
        <v>0</v>
      </c>
      <c r="IY36" s="9">
        <f>IX36+IY34</f>
        <v>0</v>
      </c>
      <c r="IZ36" s="9">
        <f>IF(IM36-$E36=1,1,0)</f>
        <v>0</v>
      </c>
      <c r="JA36" s="9">
        <f>IZ36+JA34</f>
        <v>2</v>
      </c>
      <c r="JB36" s="9">
        <f>IF(IM36-$E36&gt;=2,1,0)</f>
        <v>1</v>
      </c>
      <c r="JC36" s="9">
        <f>JB36+JC34</f>
        <v>8</v>
      </c>
      <c r="JD36" s="9">
        <f>IF(IO36=0,1,0)</f>
        <v>0</v>
      </c>
      <c r="JE36" s="9">
        <f>JD36+JE34</f>
        <v>0</v>
      </c>
      <c r="JF36" s="9">
        <f t="shared" ref="JF36:JF44" si="905">IF(IO36=1,1,0)</f>
        <v>0</v>
      </c>
      <c r="JG36" s="9">
        <f>JF36+JG34</f>
        <v>1</v>
      </c>
      <c r="JH36" s="9">
        <f>IF(IO36=2,1,0)</f>
        <v>1</v>
      </c>
      <c r="JI36" s="9">
        <f>JH36+JI34</f>
        <v>5</v>
      </c>
      <c r="JJ36" s="9">
        <f t="shared" ref="JJ36:JJ44" si="906">IF(IO36&gt;=3,1,0)</f>
        <v>0</v>
      </c>
      <c r="JK36" s="9">
        <f>JJ36+JK34</f>
        <v>13</v>
      </c>
      <c r="JL36" s="9">
        <f t="shared" ref="JL36" si="907">IF($E36=3,IM36-3,NA())</f>
        <v>2</v>
      </c>
      <c r="JM36" s="9"/>
      <c r="JN36" s="9"/>
      <c r="JO36" s="10">
        <f>IM36-'Zusammenfassung Tag1-4'!$J$2/18</f>
        <v>2.6666666666666665</v>
      </c>
      <c r="JP36" s="12">
        <f>JO36+JP34</f>
        <v>123.66666666666671</v>
      </c>
      <c r="JQ36" s="52"/>
      <c r="JR36" s="9"/>
      <c r="JS36" s="55"/>
      <c r="JT36" s="9">
        <f>JS36+JT34</f>
        <v>0</v>
      </c>
      <c r="JU36" s="9">
        <f t="shared" ref="JU36:JU44" si="908">IF(JQ36-JS36&lt;=$E36-2,1,0)</f>
        <v>1</v>
      </c>
      <c r="JV36" s="9">
        <f>JU36+JV34</f>
        <v>28</v>
      </c>
      <c r="JW36" s="9">
        <f t="shared" ref="JW36:JW44" si="909">IF(JU36=0,IF(JQ36=$E36,1,0),0)</f>
        <v>0</v>
      </c>
      <c r="JX36" s="9">
        <f>JW36+JX34</f>
        <v>0</v>
      </c>
      <c r="JY36" s="9"/>
      <c r="JZ36" s="9">
        <f t="shared" ref="JZ36:JZ44" si="910">IF($E36-JQ36=1,1,0)</f>
        <v>0</v>
      </c>
      <c r="KA36" s="9">
        <f>JZ36+KA34</f>
        <v>0</v>
      </c>
      <c r="KB36" s="9">
        <f>IF(JQ36=$E36,1,0)</f>
        <v>0</v>
      </c>
      <c r="KC36" s="9">
        <f>KB36+KC34</f>
        <v>0</v>
      </c>
      <c r="KD36" s="9">
        <f>IF(JQ36-$E36=1,1,0)</f>
        <v>0</v>
      </c>
      <c r="KE36" s="9">
        <f>KD36+KE34</f>
        <v>0</v>
      </c>
      <c r="KF36" s="9">
        <f>IF(JQ36-$E36&gt;=2,1,0)</f>
        <v>0</v>
      </c>
      <c r="KG36" s="9">
        <f>KF36+KG34</f>
        <v>0</v>
      </c>
      <c r="KH36" s="9">
        <f>IF(JS36=0,1,0)</f>
        <v>1</v>
      </c>
      <c r="KI36" s="9">
        <f>KH36+KI34</f>
        <v>10</v>
      </c>
      <c r="KJ36" s="9">
        <f t="shared" ref="KJ36:KJ44" si="911">IF(JS36=1,1,0)</f>
        <v>0</v>
      </c>
      <c r="KK36" s="9">
        <f>KJ36+KK34</f>
        <v>0</v>
      </c>
      <c r="KL36" s="9">
        <f>IF(JS36=2,1,0)</f>
        <v>0</v>
      </c>
      <c r="KM36" s="9">
        <f>KL36+KM34</f>
        <v>0</v>
      </c>
      <c r="KN36" s="9">
        <f t="shared" ref="KN36:KN44" si="912">IF(JS36&gt;=3,1,0)</f>
        <v>0</v>
      </c>
      <c r="KO36" s="9">
        <f>KN36+KO34</f>
        <v>0</v>
      </c>
      <c r="KP36" s="9">
        <f t="shared" ref="KP36" si="913">IF($E36=3,JQ36-3,NA())</f>
        <v>-3</v>
      </c>
      <c r="KQ36" s="9"/>
      <c r="KR36" s="9"/>
      <c r="KS36" s="10" t="e">
        <f>JQ36-'Zusammenfassung Tag1-4'!#REF!/18</f>
        <v>#REF!</v>
      </c>
      <c r="KT36" s="12" t="e">
        <f>KS36+KT34</f>
        <v>#REF!</v>
      </c>
    </row>
    <row r="37" spans="1:306" ht="13.2" x14ac:dyDescent="0.25">
      <c r="A37" s="179"/>
      <c r="B37" s="176"/>
      <c r="C37" s="44">
        <v>11</v>
      </c>
      <c r="D37" s="2">
        <f t="shared" ref="D37:D44" si="914">D36+1</f>
        <v>29</v>
      </c>
      <c r="E37" s="44">
        <v>4</v>
      </c>
      <c r="F37" s="4">
        <f t="shared" ref="F37:F44" si="915">E37+F36</f>
        <v>116</v>
      </c>
      <c r="G37" s="53">
        <v>5</v>
      </c>
      <c r="H37" s="2">
        <f t="shared" ref="H37:H44" si="916">G37+H36</f>
        <v>140</v>
      </c>
      <c r="I37" s="56">
        <v>2</v>
      </c>
      <c r="J37" s="2">
        <f t="shared" ref="J37:J44" si="917">I37+J36</f>
        <v>56</v>
      </c>
      <c r="K37" s="2">
        <f t="shared" si="850"/>
        <v>0</v>
      </c>
      <c r="L37" s="2">
        <f t="shared" ref="L37:L44" si="918">K37+L36</f>
        <v>8</v>
      </c>
      <c r="M37" s="2">
        <f t="shared" si="851"/>
        <v>0</v>
      </c>
      <c r="N37" s="2">
        <f t="shared" ref="N37:N44" si="919">M37+N36</f>
        <v>4</v>
      </c>
      <c r="O37" s="2"/>
      <c r="P37" s="2">
        <f t="shared" si="852"/>
        <v>0</v>
      </c>
      <c r="Q37" s="2">
        <f t="shared" ref="Q37:Q44" si="920">P37+Q36</f>
        <v>1</v>
      </c>
      <c r="R37" s="2">
        <f t="shared" si="853"/>
        <v>0</v>
      </c>
      <c r="S37" s="2">
        <f t="shared" ref="S37:S44" si="921">R37+S36</f>
        <v>3</v>
      </c>
      <c r="T37" s="2">
        <f t="shared" si="854"/>
        <v>1</v>
      </c>
      <c r="U37" s="2">
        <f t="shared" ref="U37:U44" si="922">T37+U36</f>
        <v>5</v>
      </c>
      <c r="V37" s="2">
        <f t="shared" si="855"/>
        <v>0</v>
      </c>
      <c r="W37" s="2">
        <f t="shared" ref="W37:W44" si="923">V37+W36</f>
        <v>3</v>
      </c>
      <c r="X37" s="2">
        <f t="shared" si="856"/>
        <v>0</v>
      </c>
      <c r="Y37" s="2">
        <f t="shared" ref="Y37:Y44" si="924">X37+Y36</f>
        <v>1</v>
      </c>
      <c r="Z37" s="2">
        <f t="shared" si="857"/>
        <v>0</v>
      </c>
      <c r="AA37" s="2">
        <f t="shared" ref="AA37:AA44" si="925">Z37+AA36</f>
        <v>4</v>
      </c>
      <c r="AB37" s="2">
        <f t="shared" si="858"/>
        <v>1</v>
      </c>
      <c r="AC37" s="2">
        <f t="shared" ref="AC37:AC44" si="926">AB37+AC36</f>
        <v>8</v>
      </c>
      <c r="AD37" s="2">
        <f t="shared" si="859"/>
        <v>0</v>
      </c>
      <c r="AE37" s="2">
        <f t="shared" ref="AE37:AE44" si="927">AD37+AE36</f>
        <v>3</v>
      </c>
      <c r="AF37" s="2"/>
      <c r="AG37" s="2">
        <f>IF($E37=4,G37-4,NA())</f>
        <v>1</v>
      </c>
      <c r="AH37" s="2"/>
      <c r="AI37" s="41">
        <f>G37-'Zusammenfassung Tag1-4'!$B$2/18</f>
        <v>4.166666666666667</v>
      </c>
      <c r="AJ37" s="13">
        <f t="shared" ref="AJ37:AJ44" si="928">AI37+AJ36</f>
        <v>115.83333333333337</v>
      </c>
      <c r="AK37" s="53">
        <v>5</v>
      </c>
      <c r="AL37" s="2">
        <f t="shared" ref="AL37:AL44" si="929">AK37+AL36</f>
        <v>144</v>
      </c>
      <c r="AM37" s="56">
        <v>2</v>
      </c>
      <c r="AN37" s="2">
        <f t="shared" ref="AN37:AN44" si="930">AM37+AN36</f>
        <v>55</v>
      </c>
      <c r="AO37" s="2">
        <f t="shared" si="860"/>
        <v>0</v>
      </c>
      <c r="AP37" s="2">
        <f t="shared" ref="AP37:AP44" si="931">AO37+AP36</f>
        <v>10</v>
      </c>
      <c r="AQ37" s="2">
        <f t="shared" si="861"/>
        <v>0</v>
      </c>
      <c r="AR37" s="2">
        <f t="shared" ref="AR37:AR44" si="932">AQ37+AR36</f>
        <v>4</v>
      </c>
      <c r="AS37" s="2"/>
      <c r="AT37" s="2">
        <f t="shared" si="862"/>
        <v>0</v>
      </c>
      <c r="AU37" s="2">
        <f t="shared" ref="AU37:AU44" si="933">AT37+AU36</f>
        <v>0</v>
      </c>
      <c r="AV37" s="2">
        <f t="shared" ref="AV37:AV43" si="934">IF(AK37=$E37,1,0)</f>
        <v>0</v>
      </c>
      <c r="AW37" s="2">
        <f t="shared" ref="AW37:AW44" si="935">AV37+AW36</f>
        <v>5</v>
      </c>
      <c r="AX37" s="2">
        <f t="shared" ref="AX37:AX44" si="936">IF(AK37-$E37=1,1,0)</f>
        <v>1</v>
      </c>
      <c r="AY37" s="2">
        <f t="shared" ref="AY37:AY44" si="937">AX37+AY36</f>
        <v>5</v>
      </c>
      <c r="AZ37" s="2">
        <f t="shared" ref="AZ37:AZ44" si="938">IF(AK37-$E37&gt;=2,1,0)</f>
        <v>0</v>
      </c>
      <c r="BA37" s="2">
        <f t="shared" ref="BA37:BA44" si="939">AZ37+BA36</f>
        <v>1</v>
      </c>
      <c r="BB37" s="2">
        <f t="shared" ref="BB37:BB44" si="940">IF(AM37=0,1,0)</f>
        <v>0</v>
      </c>
      <c r="BC37" s="2">
        <f t="shared" ref="BC37:BC44" si="941">BB37+BC36</f>
        <v>0</v>
      </c>
      <c r="BD37" s="2">
        <f t="shared" si="863"/>
        <v>0</v>
      </c>
      <c r="BE37" s="2">
        <f t="shared" ref="BE37:BE44" si="942">BD37+BE36</f>
        <v>6</v>
      </c>
      <c r="BF37" s="2">
        <f t="shared" ref="BF37:BF44" si="943">IF(AM37=2,1,0)</f>
        <v>1</v>
      </c>
      <c r="BG37" s="2">
        <f t="shared" ref="BG37:BG44" si="944">BF37+BG36</f>
        <v>6</v>
      </c>
      <c r="BH37" s="2">
        <f t="shared" si="864"/>
        <v>0</v>
      </c>
      <c r="BI37" s="2">
        <f t="shared" ref="BI37:BI44" si="945">BH37+BI36</f>
        <v>3</v>
      </c>
      <c r="BJ37" s="2"/>
      <c r="BK37" s="2">
        <f>IF($E37=4,AK37-4,NA())</f>
        <v>1</v>
      </c>
      <c r="BL37" s="2"/>
      <c r="BM37" s="41">
        <f>AK37-'Zusammenfassung Tag1-4'!$C$2/18</f>
        <v>4.4444444444444446</v>
      </c>
      <c r="BN37" s="13">
        <f t="shared" ref="BN37:BN44" si="946">BM37+BN36</f>
        <v>127.88888888888886</v>
      </c>
      <c r="BO37" s="53">
        <v>6</v>
      </c>
      <c r="BP37" s="2">
        <f t="shared" ref="BP37:BP44" si="947">BO37+BP36</f>
        <v>168</v>
      </c>
      <c r="BQ37" s="56">
        <v>2</v>
      </c>
      <c r="BR37" s="2">
        <f t="shared" ref="BR37:BR44" si="948">BQ37+BR36</f>
        <v>66</v>
      </c>
      <c r="BS37" s="2">
        <f t="shared" si="866"/>
        <v>0</v>
      </c>
      <c r="BT37" s="2">
        <f t="shared" ref="BT37:BT44" si="949">BS37+BT36</f>
        <v>7</v>
      </c>
      <c r="BU37" s="2">
        <f t="shared" si="867"/>
        <v>0</v>
      </c>
      <c r="BV37" s="2">
        <f t="shared" ref="BV37:BV44" si="950">BU37+BV36</f>
        <v>0</v>
      </c>
      <c r="BW37" s="2"/>
      <c r="BX37" s="2">
        <f t="shared" si="868"/>
        <v>0</v>
      </c>
      <c r="BY37" s="2">
        <f t="shared" ref="BY37:CG44" si="951">BX37+BY36</f>
        <v>0</v>
      </c>
      <c r="BZ37" s="2">
        <f t="shared" ref="BZ37:BZ43" si="952">IF(BO37=$E37,1,0)</f>
        <v>0</v>
      </c>
      <c r="CA37" s="2">
        <f t="shared" ref="CA37:CA44" si="953">BZ37+CA36</f>
        <v>2</v>
      </c>
      <c r="CB37" s="2">
        <f t="shared" ref="CB37:CB44" si="954">IF(BO37-$E37=1,1,0)</f>
        <v>0</v>
      </c>
      <c r="CC37" s="2">
        <f t="shared" ref="CC37:CC44" si="955">CB37+CC36</f>
        <v>4</v>
      </c>
      <c r="CD37" s="2">
        <f t="shared" ref="CD37:CD44" si="956">IF(BO37-$E37&gt;=2,1,0)</f>
        <v>1</v>
      </c>
      <c r="CE37" s="2">
        <f t="shared" ref="CE37:CE44" si="957">CD37+CE36</f>
        <v>5</v>
      </c>
      <c r="CF37" s="2">
        <f t="shared" ref="CF37:CF44" si="958">IF(BQ37=0,1,0)</f>
        <v>0</v>
      </c>
      <c r="CG37" s="2">
        <f t="shared" si="951"/>
        <v>0</v>
      </c>
      <c r="CH37" s="2">
        <f t="shared" si="869"/>
        <v>0</v>
      </c>
      <c r="CI37" s="2">
        <f t="shared" ref="CI37:CI44" si="959">CH37+CI36</f>
        <v>1</v>
      </c>
      <c r="CJ37" s="2">
        <f t="shared" ref="CJ37:CJ44" si="960">IF(BQ37=2,1,0)</f>
        <v>1</v>
      </c>
      <c r="CK37" s="2">
        <f t="shared" ref="CK37:CK44" si="961">CJ37+CK36</f>
        <v>9</v>
      </c>
      <c r="CL37" s="2">
        <f t="shared" si="870"/>
        <v>0</v>
      </c>
      <c r="CM37" s="2">
        <f t="shared" ref="CM37:CM44" si="962">CL37+CM36</f>
        <v>9</v>
      </c>
      <c r="CN37" s="2"/>
      <c r="CO37" s="2">
        <f>IF($E37=4,BO37-4,NA())</f>
        <v>2</v>
      </c>
      <c r="CP37" s="2"/>
      <c r="CQ37" s="41">
        <f>BO37-'Zusammenfassung Tag1-4'!$D$2/18</f>
        <v>4.9444444444444446</v>
      </c>
      <c r="CR37" s="13">
        <f t="shared" ref="CR37:CR44" si="963">CQ37+CR36</f>
        <v>137.38888888888889</v>
      </c>
      <c r="CS37" s="53">
        <v>5</v>
      </c>
      <c r="CT37" s="2">
        <f t="shared" ref="CT37:CT44" si="964">CS37+CT36</f>
        <v>157</v>
      </c>
      <c r="CU37" s="56">
        <v>2</v>
      </c>
      <c r="CV37" s="2">
        <f t="shared" ref="CV37:CV44" si="965">CU37+CV36</f>
        <v>66</v>
      </c>
      <c r="CW37" s="2">
        <f t="shared" si="872"/>
        <v>0</v>
      </c>
      <c r="CX37" s="2">
        <f t="shared" ref="CX37:CX44" si="966">CW37+CX36</f>
        <v>10</v>
      </c>
      <c r="CY37" s="2">
        <f t="shared" si="873"/>
        <v>0</v>
      </c>
      <c r="CZ37" s="2">
        <f t="shared" ref="CZ37:CZ44" si="967">CY37+CZ36</f>
        <v>1</v>
      </c>
      <c r="DA37" s="2"/>
      <c r="DB37" s="2">
        <f t="shared" si="874"/>
        <v>0</v>
      </c>
      <c r="DC37" s="2">
        <f t="shared" ref="DC37:DC44" si="968">DB37+DC36</f>
        <v>0</v>
      </c>
      <c r="DD37" s="2">
        <f t="shared" ref="DD37:DD43" si="969">IF(CS37=$E37,1,0)</f>
        <v>0</v>
      </c>
      <c r="DE37" s="2">
        <f t="shared" ref="DE37:DE44" si="970">DD37+DE36</f>
        <v>4</v>
      </c>
      <c r="DF37" s="2">
        <f t="shared" ref="DF37:DF44" si="971">IF(CS37-$E37=1,1,0)</f>
        <v>1</v>
      </c>
      <c r="DG37" s="2">
        <f t="shared" ref="DG37:DG44" si="972">DF37+DG36</f>
        <v>4</v>
      </c>
      <c r="DH37" s="2">
        <f t="shared" ref="DH37:DH44" si="973">IF(CS37-$E37&gt;=2,1,0)</f>
        <v>0</v>
      </c>
      <c r="DI37" s="2">
        <f t="shared" ref="DI37:DI44" si="974">DH37+DI36</f>
        <v>3</v>
      </c>
      <c r="DJ37" s="2">
        <f t="shared" ref="DJ37:DJ44" si="975">IF(CU37=0,1,0)</f>
        <v>0</v>
      </c>
      <c r="DK37" s="2">
        <f t="shared" ref="DK37:DK44" si="976">DJ37+DK36</f>
        <v>0</v>
      </c>
      <c r="DL37" s="2">
        <f t="shared" si="875"/>
        <v>0</v>
      </c>
      <c r="DM37" s="2">
        <f t="shared" ref="DM37:DM44" si="977">DL37+DM36</f>
        <v>3</v>
      </c>
      <c r="DN37" s="2">
        <f t="shared" ref="DN37:DN44" si="978">IF(CU37=2,1,0)</f>
        <v>1</v>
      </c>
      <c r="DO37" s="2">
        <f t="shared" ref="DO37:DO44" si="979">DN37+DO36</f>
        <v>8</v>
      </c>
      <c r="DP37" s="2">
        <f t="shared" si="876"/>
        <v>0</v>
      </c>
      <c r="DQ37" s="2">
        <f t="shared" ref="DQ37:DQ44" si="980">DP37+DQ36</f>
        <v>10</v>
      </c>
      <c r="DR37" s="2"/>
      <c r="DS37" s="2">
        <f>IF($E37=4,CS37-4,NA())</f>
        <v>1</v>
      </c>
      <c r="DT37" s="2"/>
      <c r="DU37" s="41">
        <f>CS37-'Zusammenfassung Tag1-4'!$E$2/18</f>
        <v>4</v>
      </c>
      <c r="DV37" s="14">
        <f t="shared" ref="DV37:DV44" si="981">DU37+DV36</f>
        <v>128</v>
      </c>
      <c r="DW37" s="53">
        <v>10</v>
      </c>
      <c r="DX37" s="2">
        <v>56</v>
      </c>
      <c r="DY37" s="56">
        <v>3</v>
      </c>
      <c r="DZ37" s="2">
        <f t="shared" ref="DZ37:DZ44" si="982">DY37+DZ36</f>
        <v>69</v>
      </c>
      <c r="EA37" s="2">
        <f t="shared" si="878"/>
        <v>0</v>
      </c>
      <c r="EB37" s="2">
        <f t="shared" ref="EB37:EB44" si="983">EA37+EB36</f>
        <v>0</v>
      </c>
      <c r="EC37" s="2">
        <f t="shared" si="879"/>
        <v>0</v>
      </c>
      <c r="ED37" s="2">
        <f t="shared" ref="ED37:ED44" si="984">EC37+ED36</f>
        <v>0</v>
      </c>
      <c r="EE37" s="2"/>
      <c r="EF37" s="2">
        <f t="shared" si="880"/>
        <v>0</v>
      </c>
      <c r="EG37" s="2">
        <f t="shared" ref="EG37:EG44" si="985">EF37+EG36</f>
        <v>0</v>
      </c>
      <c r="EH37" s="2">
        <f t="shared" ref="EH37:EH43" si="986">IF(DW37=$E37,1,0)</f>
        <v>0</v>
      </c>
      <c r="EI37" s="2">
        <f t="shared" ref="EI37:EI44" si="987">EH37+EI36</f>
        <v>0</v>
      </c>
      <c r="EJ37" s="2">
        <f t="shared" ref="EJ37:EJ44" si="988">IF(DW37-$E37=1,1,0)</f>
        <v>0</v>
      </c>
      <c r="EK37" s="2">
        <f t="shared" ref="EK37:EK44" si="989">EJ37+EK36</f>
        <v>4</v>
      </c>
      <c r="EL37" s="2">
        <f t="shared" ref="EL37:EL44" si="990">IF(DW37-$E37&gt;=2,1,0)</f>
        <v>1</v>
      </c>
      <c r="EM37" s="2">
        <f t="shared" ref="EM37:EM44" si="991">EL37+EM36</f>
        <v>7</v>
      </c>
      <c r="EN37" s="2">
        <f t="shared" ref="EN37:EN44" si="992">IF(DY37=0,1,0)</f>
        <v>0</v>
      </c>
      <c r="EO37" s="2">
        <f t="shared" ref="EO37:EO44" si="993">EN37+EO36</f>
        <v>0</v>
      </c>
      <c r="EP37" s="2">
        <f t="shared" si="881"/>
        <v>0</v>
      </c>
      <c r="EQ37" s="2">
        <f t="shared" ref="EQ37:EQ44" si="994">EP37+EQ36</f>
        <v>0</v>
      </c>
      <c r="ER37" s="2">
        <f t="shared" ref="ER37:ER44" si="995">IF(DY37=2,1,0)</f>
        <v>0</v>
      </c>
      <c r="ES37" s="2">
        <f t="shared" ref="ES37:ES44" si="996">ER37+ES36</f>
        <v>9</v>
      </c>
      <c r="ET37" s="2">
        <f t="shared" si="882"/>
        <v>1</v>
      </c>
      <c r="EU37" s="2">
        <f t="shared" ref="EU37:EU44" si="997">ET37+EU36</f>
        <v>10</v>
      </c>
      <c r="EV37" s="2"/>
      <c r="EW37" s="2">
        <f>IF($E37=4,DW37-4,NA())</f>
        <v>6</v>
      </c>
      <c r="EX37" s="2"/>
      <c r="EY37" s="41">
        <f>DW37-'Zusammenfassung Tag1-4'!$F$2/18</f>
        <v>7.5</v>
      </c>
      <c r="EZ37" s="14">
        <f t="shared" ref="EZ37:EZ44" si="998">EY37+EZ36</f>
        <v>136.5</v>
      </c>
      <c r="FA37" s="53">
        <v>5</v>
      </c>
      <c r="FB37" s="2">
        <v>161</v>
      </c>
      <c r="FC37" s="56">
        <v>1</v>
      </c>
      <c r="FD37" s="2">
        <f t="shared" ref="FD37:FD44" si="999">FC37+FD36</f>
        <v>54</v>
      </c>
      <c r="FE37" s="2">
        <f t="shared" si="884"/>
        <v>0</v>
      </c>
      <c r="FF37" s="2">
        <f t="shared" ref="FF37:FF44" si="1000">FE37+FF36</f>
        <v>4</v>
      </c>
      <c r="FG37" s="2">
        <f t="shared" si="885"/>
        <v>0</v>
      </c>
      <c r="FH37" s="2">
        <f t="shared" ref="FH37:FH44" si="1001">FG37+FH36</f>
        <v>3</v>
      </c>
      <c r="FI37" s="2"/>
      <c r="FJ37" s="2">
        <f t="shared" si="886"/>
        <v>0</v>
      </c>
      <c r="FK37" s="2">
        <f t="shared" ref="FK37:FK44" si="1002">FJ37+FK36</f>
        <v>0</v>
      </c>
      <c r="FL37" s="2">
        <f t="shared" ref="FL37:FL43" si="1003">IF(FA37=$E37,1,0)</f>
        <v>0</v>
      </c>
      <c r="FM37" s="2">
        <f t="shared" ref="FM37:FM44" si="1004">FL37+FM36</f>
        <v>3</v>
      </c>
      <c r="FN37" s="2">
        <f t="shared" ref="FN37:FN44" si="1005">IF(FA37-$E37=1,1,0)</f>
        <v>1</v>
      </c>
      <c r="FO37" s="2">
        <f t="shared" ref="FO37:FO44" si="1006">FN37+FO36</f>
        <v>5</v>
      </c>
      <c r="FP37" s="2">
        <f t="shared" ref="FP37:FP44" si="1007">IF(FA37-$E37&gt;=2,1,0)</f>
        <v>0</v>
      </c>
      <c r="FQ37" s="2">
        <f t="shared" ref="FQ37:FQ44" si="1008">FP37+FQ36</f>
        <v>3</v>
      </c>
      <c r="FR37" s="2">
        <f t="shared" ref="FR37:FR44" si="1009">IF(FC37=0,1,0)</f>
        <v>0</v>
      </c>
      <c r="FS37" s="2">
        <f t="shared" ref="FS37:FS44" si="1010">FR37+FS36</f>
        <v>0</v>
      </c>
      <c r="FT37" s="2">
        <f t="shared" si="887"/>
        <v>1</v>
      </c>
      <c r="FU37" s="2">
        <f t="shared" ref="FU37:FU44" si="1011">FT37+FU36</f>
        <v>9</v>
      </c>
      <c r="FV37" s="2">
        <f t="shared" ref="FV37:FV44" si="1012">IF(FC37=2,1,0)</f>
        <v>0</v>
      </c>
      <c r="FW37" s="2">
        <f t="shared" ref="FW37:FW44" si="1013">FV37+FW36</f>
        <v>5</v>
      </c>
      <c r="FX37" s="2">
        <f t="shared" si="888"/>
        <v>0</v>
      </c>
      <c r="FY37" s="2">
        <f t="shared" ref="FY37:FY44" si="1014">FX37+FY36</f>
        <v>5</v>
      </c>
      <c r="FZ37" s="2"/>
      <c r="GA37" s="2">
        <f>IF($E37=4,FA37-4,NA())</f>
        <v>1</v>
      </c>
      <c r="GB37" s="2"/>
      <c r="GC37" s="41">
        <f>FA37-'Zusammenfassung Tag1-4'!$G$2/18</f>
        <v>3.7222222222222223</v>
      </c>
      <c r="GD37" s="14">
        <f t="shared" ref="GD37:GD44" si="1015">GC37+GD36</f>
        <v>122.94444444444451</v>
      </c>
      <c r="GE37" s="53">
        <v>8</v>
      </c>
      <c r="GF37" s="2">
        <v>216</v>
      </c>
      <c r="GG37" s="56">
        <v>2</v>
      </c>
      <c r="GH37" s="2">
        <f t="shared" ref="GH37:GH44" si="1016">GG37+GH36</f>
        <v>55</v>
      </c>
      <c r="GI37" s="2">
        <f t="shared" si="890"/>
        <v>0</v>
      </c>
      <c r="GJ37" s="2">
        <f t="shared" ref="GJ37:GJ44" si="1017">GI37+GJ36</f>
        <v>1</v>
      </c>
      <c r="GK37" s="2">
        <f t="shared" si="891"/>
        <v>0</v>
      </c>
      <c r="GL37" s="2">
        <f t="shared" ref="GL37:GL44" si="1018">GK37+GL36</f>
        <v>1</v>
      </c>
      <c r="GM37" s="2"/>
      <c r="GN37" s="2">
        <f t="shared" si="892"/>
        <v>0</v>
      </c>
      <c r="GO37" s="2">
        <f t="shared" ref="GO37:GO44" si="1019">GN37+GO36</f>
        <v>0</v>
      </c>
      <c r="GP37" s="2">
        <f t="shared" ref="GP37:GP43" si="1020">IF(GE37=$E37,1,0)</f>
        <v>0</v>
      </c>
      <c r="GQ37" s="2">
        <f t="shared" ref="GQ37:GQ44" si="1021">GP37+GQ36</f>
        <v>0</v>
      </c>
      <c r="GR37" s="2">
        <f t="shared" ref="GR37:GR44" si="1022">IF(GE37-$E37=1,1,0)</f>
        <v>0</v>
      </c>
      <c r="GS37" s="2">
        <f t="shared" ref="GS37:GS44" si="1023">GR37+GS36</f>
        <v>4</v>
      </c>
      <c r="GT37" s="2">
        <f t="shared" ref="GT37:GT44" si="1024">IF(GE37-$E37&gt;=2,1,0)</f>
        <v>1</v>
      </c>
      <c r="GU37" s="2">
        <f t="shared" ref="GU37:GU44" si="1025">GT37+GU36</f>
        <v>7</v>
      </c>
      <c r="GV37" s="2">
        <f t="shared" ref="GV37:GV44" si="1026">IF(GG37=0,1,0)</f>
        <v>0</v>
      </c>
      <c r="GW37" s="2">
        <f t="shared" ref="GW37:GW44" si="1027">GV37+GW36</f>
        <v>0</v>
      </c>
      <c r="GX37" s="2">
        <f t="shared" si="893"/>
        <v>0</v>
      </c>
      <c r="GY37" s="2">
        <f t="shared" ref="GY37:GY44" si="1028">GX37+GY36</f>
        <v>6</v>
      </c>
      <c r="GZ37" s="2">
        <f t="shared" ref="GZ37:GZ44" si="1029">IF(GG37=2,1,0)</f>
        <v>1</v>
      </c>
      <c r="HA37" s="2">
        <f t="shared" ref="HA37:HA44" si="1030">GZ37+HA36</f>
        <v>8</v>
      </c>
      <c r="HB37" s="2">
        <f t="shared" si="894"/>
        <v>0</v>
      </c>
      <c r="HC37" s="2">
        <f t="shared" ref="HC37:HC44" si="1031">HB37+HC36</f>
        <v>3</v>
      </c>
      <c r="HD37" s="2"/>
      <c r="HE37" s="2">
        <f>IF($E37=4,GE37-4,NA())</f>
        <v>4</v>
      </c>
      <c r="HF37" s="2"/>
      <c r="HG37" s="41">
        <f>GE37-'Zusammenfassung Tag1-4'!$H$2/18</f>
        <v>6.2222222222222223</v>
      </c>
      <c r="HH37" s="14">
        <f t="shared" ref="HH37:HH44" si="1032">HG37+HH36</f>
        <v>139.44444444444454</v>
      </c>
      <c r="HI37" s="53">
        <v>8</v>
      </c>
      <c r="HJ37" s="2">
        <v>154</v>
      </c>
      <c r="HK37" s="56">
        <v>2</v>
      </c>
      <c r="HL37" s="2">
        <f t="shared" ref="HL37:HL44" si="1033">HK37+HL36</f>
        <v>58</v>
      </c>
      <c r="HM37" s="2">
        <f t="shared" si="896"/>
        <v>0</v>
      </c>
      <c r="HN37" s="2">
        <f t="shared" ref="HN37:HN44" si="1034">HM37+HN36</f>
        <v>2</v>
      </c>
      <c r="HO37" s="2">
        <f t="shared" si="897"/>
        <v>0</v>
      </c>
      <c r="HP37" s="2">
        <f t="shared" ref="HP37:HP44" si="1035">HO37+HP36</f>
        <v>2</v>
      </c>
      <c r="HQ37" s="2"/>
      <c r="HR37" s="2">
        <f t="shared" si="898"/>
        <v>0</v>
      </c>
      <c r="HS37" s="2">
        <f t="shared" ref="HS37:HS44" si="1036">HR37+HS36</f>
        <v>0</v>
      </c>
      <c r="HT37" s="2">
        <f t="shared" ref="HT37:HT43" si="1037">IF(HI37=$E37,1,0)</f>
        <v>0</v>
      </c>
      <c r="HU37" s="2">
        <f t="shared" ref="HU37:HU44" si="1038">HT37+HU36</f>
        <v>1</v>
      </c>
      <c r="HV37" s="2">
        <f t="shared" ref="HV37:HV44" si="1039">IF(HI37-$E37=1,1,0)</f>
        <v>0</v>
      </c>
      <c r="HW37" s="2">
        <f t="shared" ref="HW37:HW44" si="1040">HV37+HW36</f>
        <v>6</v>
      </c>
      <c r="HX37" s="2">
        <f t="shared" ref="HX37:HX44" si="1041">IF(HI37-$E37&gt;=2,1,0)</f>
        <v>1</v>
      </c>
      <c r="HY37" s="2">
        <f t="shared" ref="HY37:HY44" si="1042">HX37+HY36</f>
        <v>4</v>
      </c>
      <c r="HZ37" s="2">
        <f t="shared" ref="HZ37:HZ44" si="1043">IF(HK37=0,1,0)</f>
        <v>0</v>
      </c>
      <c r="IA37" s="2">
        <f t="shared" ref="IA37:IA44" si="1044">HZ37+IA36</f>
        <v>0</v>
      </c>
      <c r="IB37" s="2">
        <f t="shared" si="899"/>
        <v>0</v>
      </c>
      <c r="IC37" s="2">
        <f t="shared" ref="IC37:IC44" si="1045">IB37+IC36</f>
        <v>5</v>
      </c>
      <c r="ID37" s="2">
        <f t="shared" ref="ID37:ID44" si="1046">IF(HK37=2,1,0)</f>
        <v>1</v>
      </c>
      <c r="IE37" s="2">
        <f t="shared" ref="IE37:IE44" si="1047">ID37+IE36</f>
        <v>6</v>
      </c>
      <c r="IF37" s="2">
        <f t="shared" si="900"/>
        <v>0</v>
      </c>
      <c r="IG37" s="2">
        <f t="shared" ref="IG37:IG44" si="1048">IF37+IG36</f>
        <v>5</v>
      </c>
      <c r="IH37" s="2"/>
      <c r="II37" s="2">
        <f>IF($E37=4,HI37-4,NA())</f>
        <v>4</v>
      </c>
      <c r="IJ37" s="2"/>
      <c r="IK37" s="41">
        <f>HI37-'Zusammenfassung Tag1-4'!$I$2/18</f>
        <v>7.1111111111111107</v>
      </c>
      <c r="IL37" s="14">
        <f t="shared" ref="IL37:IL44" si="1049">IK37+IL36</f>
        <v>139.22222222222229</v>
      </c>
      <c r="IM37" s="53">
        <v>7</v>
      </c>
      <c r="IN37" s="2">
        <v>79</v>
      </c>
      <c r="IO37" s="56">
        <v>2</v>
      </c>
      <c r="IP37" s="2">
        <f t="shared" ref="IP37:IP44" si="1050">IO37+IP36</f>
        <v>74</v>
      </c>
      <c r="IQ37" s="2">
        <f t="shared" si="902"/>
        <v>0</v>
      </c>
      <c r="IR37" s="2">
        <f t="shared" ref="IR37:IR44" si="1051">IQ37+IR36</f>
        <v>5</v>
      </c>
      <c r="IS37" s="2">
        <f t="shared" si="903"/>
        <v>0</v>
      </c>
      <c r="IT37" s="2">
        <f t="shared" ref="IT37:IT44" si="1052">IS37+IT36</f>
        <v>0</v>
      </c>
      <c r="IU37" s="2"/>
      <c r="IV37" s="2">
        <f t="shared" si="904"/>
        <v>0</v>
      </c>
      <c r="IW37" s="2">
        <f t="shared" ref="IW37:IW44" si="1053">IV37+IW36</f>
        <v>0</v>
      </c>
      <c r="IX37" s="2">
        <f t="shared" ref="IX37:IX43" si="1054">IF(IM37=$E37,1,0)</f>
        <v>0</v>
      </c>
      <c r="IY37" s="2">
        <f t="shared" ref="IY37:IY44" si="1055">IX37+IY36</f>
        <v>0</v>
      </c>
      <c r="IZ37" s="2">
        <f t="shared" ref="IZ37:IZ44" si="1056">IF(IM37-$E37=1,1,0)</f>
        <v>0</v>
      </c>
      <c r="JA37" s="2">
        <f t="shared" ref="JA37:JA44" si="1057">IZ37+JA36</f>
        <v>2</v>
      </c>
      <c r="JB37" s="2">
        <f t="shared" ref="JB37:JB44" si="1058">IF(IM37-$E37&gt;=2,1,0)</f>
        <v>1</v>
      </c>
      <c r="JC37" s="2">
        <f t="shared" ref="JC37:JC44" si="1059">JB37+JC36</f>
        <v>9</v>
      </c>
      <c r="JD37" s="2">
        <f t="shared" ref="JD37:JD44" si="1060">IF(IO37=0,1,0)</f>
        <v>0</v>
      </c>
      <c r="JE37" s="2">
        <f t="shared" ref="JE37:JE44" si="1061">JD37+JE36</f>
        <v>0</v>
      </c>
      <c r="JF37" s="2">
        <f t="shared" si="905"/>
        <v>0</v>
      </c>
      <c r="JG37" s="2">
        <f t="shared" ref="JG37:JG44" si="1062">JF37+JG36</f>
        <v>1</v>
      </c>
      <c r="JH37" s="2">
        <f t="shared" ref="JH37:JH44" si="1063">IF(IO37=2,1,0)</f>
        <v>1</v>
      </c>
      <c r="JI37" s="2">
        <f t="shared" ref="JI37:JI44" si="1064">JH37+JI36</f>
        <v>6</v>
      </c>
      <c r="JJ37" s="2">
        <f t="shared" si="906"/>
        <v>0</v>
      </c>
      <c r="JK37" s="2">
        <f t="shared" ref="JK37:JK44" si="1065">JJ37+JK36</f>
        <v>13</v>
      </c>
      <c r="JL37" s="2"/>
      <c r="JM37" s="2">
        <f>IF($E37=4,IM37-4,NA())</f>
        <v>3</v>
      </c>
      <c r="JN37" s="2"/>
      <c r="JO37" s="41">
        <f>IM37-'Zusammenfassung Tag1-4'!$J$2/18</f>
        <v>4.6666666666666661</v>
      </c>
      <c r="JP37" s="14">
        <f t="shared" ref="JP37:JP44" si="1066">JO37+JP36</f>
        <v>128.33333333333337</v>
      </c>
      <c r="JQ37" s="53"/>
      <c r="JR37" s="2"/>
      <c r="JS37" s="56"/>
      <c r="JT37" s="2">
        <f t="shared" ref="JT37:JT44" si="1067">JS37+JT36</f>
        <v>0</v>
      </c>
      <c r="JU37" s="2">
        <f t="shared" si="908"/>
        <v>1</v>
      </c>
      <c r="JV37" s="2">
        <f t="shared" ref="JV37:JV44" si="1068">JU37+JV36</f>
        <v>29</v>
      </c>
      <c r="JW37" s="2">
        <f t="shared" si="909"/>
        <v>0</v>
      </c>
      <c r="JX37" s="2">
        <f t="shared" ref="JX37:JX44" si="1069">JW37+JX36</f>
        <v>0</v>
      </c>
      <c r="JY37" s="2"/>
      <c r="JZ37" s="2">
        <f t="shared" si="910"/>
        <v>0</v>
      </c>
      <c r="KA37" s="2">
        <f t="shared" ref="KA37:KA44" si="1070">JZ37+KA36</f>
        <v>0</v>
      </c>
      <c r="KB37" s="2">
        <f t="shared" ref="KB37:KB43" si="1071">IF(JQ37=$E37,1,0)</f>
        <v>0</v>
      </c>
      <c r="KC37" s="2">
        <f t="shared" ref="KC37:KC44" si="1072">KB37+KC36</f>
        <v>0</v>
      </c>
      <c r="KD37" s="2">
        <f t="shared" ref="KD37:KD44" si="1073">IF(JQ37-$E37=1,1,0)</f>
        <v>0</v>
      </c>
      <c r="KE37" s="2">
        <f t="shared" ref="KE37:KE44" si="1074">KD37+KE36</f>
        <v>0</v>
      </c>
      <c r="KF37" s="2">
        <f t="shared" ref="KF37:KF44" si="1075">IF(JQ37-$E37&gt;=2,1,0)</f>
        <v>0</v>
      </c>
      <c r="KG37" s="2">
        <f t="shared" ref="KG37:KG44" si="1076">KF37+KG36</f>
        <v>0</v>
      </c>
      <c r="KH37" s="2">
        <f t="shared" ref="KH37:KH44" si="1077">IF(JS37=0,1,0)</f>
        <v>1</v>
      </c>
      <c r="KI37" s="2">
        <f t="shared" ref="KI37:KI44" si="1078">KH37+KI36</f>
        <v>11</v>
      </c>
      <c r="KJ37" s="2">
        <f t="shared" si="911"/>
        <v>0</v>
      </c>
      <c r="KK37" s="2">
        <f t="shared" ref="KK37:KK44" si="1079">KJ37+KK36</f>
        <v>0</v>
      </c>
      <c r="KL37" s="2">
        <f t="shared" ref="KL37:KL44" si="1080">IF(JS37=2,1,0)</f>
        <v>0</v>
      </c>
      <c r="KM37" s="2">
        <f t="shared" ref="KM37:KM44" si="1081">KL37+KM36</f>
        <v>0</v>
      </c>
      <c r="KN37" s="2">
        <f t="shared" si="912"/>
        <v>0</v>
      </c>
      <c r="KO37" s="2">
        <f t="shared" ref="KO37:KO44" si="1082">KN37+KO36</f>
        <v>0</v>
      </c>
      <c r="KP37" s="2"/>
      <c r="KQ37" s="2">
        <f>IF($E37=4,JQ37-4,NA())</f>
        <v>-4</v>
      </c>
      <c r="KR37" s="2"/>
      <c r="KS37" s="41" t="e">
        <f>JQ37-'Zusammenfassung Tag1-4'!#REF!/18</f>
        <v>#REF!</v>
      </c>
      <c r="KT37" s="14" t="e">
        <f t="shared" ref="KT37:KT44" si="1083">KS37+KT36</f>
        <v>#REF!</v>
      </c>
    </row>
    <row r="38" spans="1:306" ht="13.2" x14ac:dyDescent="0.25">
      <c r="A38" s="179"/>
      <c r="B38" s="176"/>
      <c r="C38" s="44">
        <v>12</v>
      </c>
      <c r="D38" s="2">
        <f t="shared" si="914"/>
        <v>30</v>
      </c>
      <c r="E38" s="44">
        <v>4</v>
      </c>
      <c r="F38" s="4">
        <f t="shared" si="915"/>
        <v>120</v>
      </c>
      <c r="G38" s="53">
        <v>4</v>
      </c>
      <c r="H38" s="2">
        <f t="shared" si="916"/>
        <v>144</v>
      </c>
      <c r="I38" s="56">
        <v>2</v>
      </c>
      <c r="J38" s="2">
        <f t="shared" si="917"/>
        <v>58</v>
      </c>
      <c r="K38" s="2">
        <f t="shared" si="850"/>
        <v>1</v>
      </c>
      <c r="L38" s="2">
        <f t="shared" si="918"/>
        <v>9</v>
      </c>
      <c r="M38" s="2">
        <f t="shared" si="851"/>
        <v>0</v>
      </c>
      <c r="N38" s="2">
        <f t="shared" si="919"/>
        <v>4</v>
      </c>
      <c r="O38" s="2"/>
      <c r="P38" s="2">
        <f t="shared" si="852"/>
        <v>0</v>
      </c>
      <c r="Q38" s="2">
        <f t="shared" si="920"/>
        <v>1</v>
      </c>
      <c r="R38" s="2">
        <f t="shared" si="853"/>
        <v>1</v>
      </c>
      <c r="S38" s="2">
        <f t="shared" si="921"/>
        <v>4</v>
      </c>
      <c r="T38" s="2">
        <f t="shared" si="854"/>
        <v>0</v>
      </c>
      <c r="U38" s="2">
        <f t="shared" si="922"/>
        <v>5</v>
      </c>
      <c r="V38" s="2">
        <f t="shared" si="855"/>
        <v>0</v>
      </c>
      <c r="W38" s="2">
        <f t="shared" si="923"/>
        <v>3</v>
      </c>
      <c r="X38" s="2">
        <f t="shared" si="856"/>
        <v>0</v>
      </c>
      <c r="Y38" s="2">
        <f t="shared" si="924"/>
        <v>1</v>
      </c>
      <c r="Z38" s="2">
        <f t="shared" si="857"/>
        <v>0</v>
      </c>
      <c r="AA38" s="2">
        <f t="shared" si="925"/>
        <v>4</v>
      </c>
      <c r="AB38" s="2">
        <f t="shared" si="858"/>
        <v>1</v>
      </c>
      <c r="AC38" s="2">
        <f t="shared" si="926"/>
        <v>9</v>
      </c>
      <c r="AD38" s="2">
        <f t="shared" si="859"/>
        <v>0</v>
      </c>
      <c r="AE38" s="2">
        <f t="shared" si="927"/>
        <v>3</v>
      </c>
      <c r="AF38" s="2"/>
      <c r="AG38" s="2">
        <f>IF($E38=4,G38-4,NA())</f>
        <v>0</v>
      </c>
      <c r="AH38" s="2"/>
      <c r="AI38" s="41">
        <f>G38-'Zusammenfassung Tag1-4'!$B$2/18</f>
        <v>3.1666666666666665</v>
      </c>
      <c r="AJ38" s="13">
        <f t="shared" si="928"/>
        <v>119.00000000000004</v>
      </c>
      <c r="AK38" s="53">
        <v>4</v>
      </c>
      <c r="AL38" s="2">
        <f t="shared" si="929"/>
        <v>148</v>
      </c>
      <c r="AM38" s="56">
        <v>2</v>
      </c>
      <c r="AN38" s="2">
        <f t="shared" si="930"/>
        <v>57</v>
      </c>
      <c r="AO38" s="2">
        <f t="shared" si="860"/>
        <v>1</v>
      </c>
      <c r="AP38" s="2">
        <f t="shared" si="931"/>
        <v>11</v>
      </c>
      <c r="AQ38" s="2">
        <f t="shared" si="861"/>
        <v>0</v>
      </c>
      <c r="AR38" s="2">
        <f t="shared" si="932"/>
        <v>4</v>
      </c>
      <c r="AS38" s="2"/>
      <c r="AT38" s="2">
        <f t="shared" si="862"/>
        <v>0</v>
      </c>
      <c r="AU38" s="2">
        <f t="shared" si="933"/>
        <v>0</v>
      </c>
      <c r="AV38" s="2">
        <f t="shared" si="934"/>
        <v>1</v>
      </c>
      <c r="AW38" s="2">
        <f t="shared" si="935"/>
        <v>6</v>
      </c>
      <c r="AX38" s="2">
        <f t="shared" si="936"/>
        <v>0</v>
      </c>
      <c r="AY38" s="2">
        <f t="shared" si="937"/>
        <v>5</v>
      </c>
      <c r="AZ38" s="2">
        <f t="shared" si="938"/>
        <v>0</v>
      </c>
      <c r="BA38" s="2">
        <f t="shared" si="939"/>
        <v>1</v>
      </c>
      <c r="BB38" s="2">
        <f t="shared" si="940"/>
        <v>0</v>
      </c>
      <c r="BC38" s="2">
        <f t="shared" si="941"/>
        <v>0</v>
      </c>
      <c r="BD38" s="2">
        <f t="shared" si="863"/>
        <v>0</v>
      </c>
      <c r="BE38" s="2">
        <f t="shared" si="942"/>
        <v>6</v>
      </c>
      <c r="BF38" s="2">
        <f t="shared" si="943"/>
        <v>1</v>
      </c>
      <c r="BG38" s="2">
        <f t="shared" si="944"/>
        <v>7</v>
      </c>
      <c r="BH38" s="2">
        <f t="shared" si="864"/>
        <v>0</v>
      </c>
      <c r="BI38" s="2">
        <f t="shared" si="945"/>
        <v>3</v>
      </c>
      <c r="BJ38" s="2"/>
      <c r="BK38" s="2">
        <f t="shared" ref="BK38" si="1084">IF($E38=4,AK38-4,NA())</f>
        <v>0</v>
      </c>
      <c r="BL38" s="2"/>
      <c r="BM38" s="41">
        <f>AK38-'Zusammenfassung Tag1-4'!$C$2/18</f>
        <v>3.4444444444444446</v>
      </c>
      <c r="BN38" s="13">
        <f t="shared" si="946"/>
        <v>131.33333333333331</v>
      </c>
      <c r="BO38" s="53">
        <v>5</v>
      </c>
      <c r="BP38" s="2">
        <f t="shared" si="947"/>
        <v>173</v>
      </c>
      <c r="BQ38" s="56">
        <v>2</v>
      </c>
      <c r="BR38" s="2">
        <f t="shared" si="948"/>
        <v>68</v>
      </c>
      <c r="BS38" s="2">
        <f t="shared" si="866"/>
        <v>0</v>
      </c>
      <c r="BT38" s="2">
        <f t="shared" si="949"/>
        <v>7</v>
      </c>
      <c r="BU38" s="2">
        <f t="shared" si="867"/>
        <v>0</v>
      </c>
      <c r="BV38" s="2">
        <f t="shared" si="950"/>
        <v>0</v>
      </c>
      <c r="BW38" s="2"/>
      <c r="BX38" s="2">
        <f t="shared" si="868"/>
        <v>0</v>
      </c>
      <c r="BY38" s="2">
        <f t="shared" si="951"/>
        <v>0</v>
      </c>
      <c r="BZ38" s="2">
        <f t="shared" si="952"/>
        <v>0</v>
      </c>
      <c r="CA38" s="2">
        <f t="shared" si="953"/>
        <v>2</v>
      </c>
      <c r="CB38" s="2">
        <f t="shared" si="954"/>
        <v>1</v>
      </c>
      <c r="CC38" s="2">
        <f t="shared" si="955"/>
        <v>5</v>
      </c>
      <c r="CD38" s="2">
        <f t="shared" si="956"/>
        <v>0</v>
      </c>
      <c r="CE38" s="2">
        <f t="shared" si="957"/>
        <v>5</v>
      </c>
      <c r="CF38" s="2">
        <f t="shared" si="958"/>
        <v>0</v>
      </c>
      <c r="CG38" s="2">
        <f t="shared" si="951"/>
        <v>0</v>
      </c>
      <c r="CH38" s="2">
        <f t="shared" si="869"/>
        <v>0</v>
      </c>
      <c r="CI38" s="2">
        <f t="shared" si="959"/>
        <v>1</v>
      </c>
      <c r="CJ38" s="2">
        <f t="shared" si="960"/>
        <v>1</v>
      </c>
      <c r="CK38" s="2">
        <f t="shared" si="961"/>
        <v>10</v>
      </c>
      <c r="CL38" s="2">
        <f t="shared" si="870"/>
        <v>0</v>
      </c>
      <c r="CM38" s="2">
        <f t="shared" si="962"/>
        <v>9</v>
      </c>
      <c r="CN38" s="2"/>
      <c r="CO38" s="2">
        <f t="shared" ref="CO38" si="1085">IF($E38=4,BO38-4,NA())</f>
        <v>1</v>
      </c>
      <c r="CP38" s="2"/>
      <c r="CQ38" s="41">
        <f>BO38-'Zusammenfassung Tag1-4'!$D$2/18</f>
        <v>3.9444444444444446</v>
      </c>
      <c r="CR38" s="13">
        <f t="shared" si="963"/>
        <v>141.33333333333334</v>
      </c>
      <c r="CS38" s="53">
        <v>5</v>
      </c>
      <c r="CT38" s="2">
        <f t="shared" si="964"/>
        <v>162</v>
      </c>
      <c r="CU38" s="56">
        <v>2</v>
      </c>
      <c r="CV38" s="2">
        <f t="shared" si="965"/>
        <v>68</v>
      </c>
      <c r="CW38" s="2">
        <f t="shared" si="872"/>
        <v>0</v>
      </c>
      <c r="CX38" s="2">
        <f t="shared" si="966"/>
        <v>10</v>
      </c>
      <c r="CY38" s="2">
        <f t="shared" si="873"/>
        <v>0</v>
      </c>
      <c r="CZ38" s="2">
        <f t="shared" si="967"/>
        <v>1</v>
      </c>
      <c r="DA38" s="2"/>
      <c r="DB38" s="2">
        <f t="shared" si="874"/>
        <v>0</v>
      </c>
      <c r="DC38" s="2">
        <f t="shared" si="968"/>
        <v>0</v>
      </c>
      <c r="DD38" s="2">
        <f t="shared" si="969"/>
        <v>0</v>
      </c>
      <c r="DE38" s="2">
        <f t="shared" si="970"/>
        <v>4</v>
      </c>
      <c r="DF38" s="2">
        <f t="shared" si="971"/>
        <v>1</v>
      </c>
      <c r="DG38" s="2">
        <f t="shared" si="972"/>
        <v>5</v>
      </c>
      <c r="DH38" s="2">
        <f t="shared" si="973"/>
        <v>0</v>
      </c>
      <c r="DI38" s="2">
        <f t="shared" si="974"/>
        <v>3</v>
      </c>
      <c r="DJ38" s="2">
        <f t="shared" si="975"/>
        <v>0</v>
      </c>
      <c r="DK38" s="2">
        <f t="shared" si="976"/>
        <v>0</v>
      </c>
      <c r="DL38" s="2">
        <f t="shared" si="875"/>
        <v>0</v>
      </c>
      <c r="DM38" s="2">
        <f t="shared" si="977"/>
        <v>3</v>
      </c>
      <c r="DN38" s="2">
        <f t="shared" si="978"/>
        <v>1</v>
      </c>
      <c r="DO38" s="2">
        <f t="shared" si="979"/>
        <v>9</v>
      </c>
      <c r="DP38" s="2">
        <f t="shared" si="876"/>
        <v>0</v>
      </c>
      <c r="DQ38" s="2">
        <f t="shared" si="980"/>
        <v>10</v>
      </c>
      <c r="DR38" s="2"/>
      <c r="DS38" s="2">
        <f t="shared" ref="DS38" si="1086">IF($E38=4,CS38-4,NA())</f>
        <v>1</v>
      </c>
      <c r="DT38" s="2"/>
      <c r="DU38" s="41">
        <f>CS38-'Zusammenfassung Tag1-4'!$E$2/18</f>
        <v>4</v>
      </c>
      <c r="DV38" s="14">
        <f t="shared" si="981"/>
        <v>132</v>
      </c>
      <c r="DW38" s="53">
        <v>9</v>
      </c>
      <c r="DX38" s="2">
        <v>60</v>
      </c>
      <c r="DY38" s="56">
        <v>3</v>
      </c>
      <c r="DZ38" s="2">
        <f t="shared" si="982"/>
        <v>72</v>
      </c>
      <c r="EA38" s="2">
        <f t="shared" si="878"/>
        <v>0</v>
      </c>
      <c r="EB38" s="2">
        <f t="shared" si="983"/>
        <v>0</v>
      </c>
      <c r="EC38" s="2">
        <f t="shared" si="879"/>
        <v>0</v>
      </c>
      <c r="ED38" s="2">
        <f t="shared" si="984"/>
        <v>0</v>
      </c>
      <c r="EE38" s="2"/>
      <c r="EF38" s="2">
        <f t="shared" si="880"/>
        <v>0</v>
      </c>
      <c r="EG38" s="2">
        <f t="shared" si="985"/>
        <v>0</v>
      </c>
      <c r="EH38" s="2">
        <f t="shared" si="986"/>
        <v>0</v>
      </c>
      <c r="EI38" s="2">
        <f t="shared" si="987"/>
        <v>0</v>
      </c>
      <c r="EJ38" s="2">
        <f t="shared" si="988"/>
        <v>0</v>
      </c>
      <c r="EK38" s="2">
        <f t="shared" si="989"/>
        <v>4</v>
      </c>
      <c r="EL38" s="2">
        <f t="shared" si="990"/>
        <v>1</v>
      </c>
      <c r="EM38" s="2">
        <f t="shared" si="991"/>
        <v>8</v>
      </c>
      <c r="EN38" s="2">
        <f t="shared" si="992"/>
        <v>0</v>
      </c>
      <c r="EO38" s="2">
        <f t="shared" si="993"/>
        <v>0</v>
      </c>
      <c r="EP38" s="2">
        <f t="shared" si="881"/>
        <v>0</v>
      </c>
      <c r="EQ38" s="2">
        <f t="shared" si="994"/>
        <v>0</v>
      </c>
      <c r="ER38" s="2">
        <f t="shared" si="995"/>
        <v>0</v>
      </c>
      <c r="ES38" s="2">
        <f t="shared" si="996"/>
        <v>9</v>
      </c>
      <c r="ET38" s="2">
        <f t="shared" si="882"/>
        <v>1</v>
      </c>
      <c r="EU38" s="2">
        <f t="shared" si="997"/>
        <v>11</v>
      </c>
      <c r="EV38" s="2"/>
      <c r="EW38" s="2">
        <f t="shared" ref="EW38" si="1087">IF($E38=4,DW38-4,NA())</f>
        <v>5</v>
      </c>
      <c r="EX38" s="2"/>
      <c r="EY38" s="41">
        <f>DW38-'Zusammenfassung Tag1-4'!$F$2/18</f>
        <v>6.5</v>
      </c>
      <c r="EZ38" s="14">
        <f t="shared" si="998"/>
        <v>143</v>
      </c>
      <c r="FA38" s="53">
        <v>4</v>
      </c>
      <c r="FB38" s="2">
        <v>164</v>
      </c>
      <c r="FC38" s="56">
        <v>1</v>
      </c>
      <c r="FD38" s="2">
        <f t="shared" si="999"/>
        <v>55</v>
      </c>
      <c r="FE38" s="2">
        <f t="shared" si="884"/>
        <v>0</v>
      </c>
      <c r="FF38" s="2">
        <f t="shared" si="1000"/>
        <v>4</v>
      </c>
      <c r="FG38" s="2">
        <f t="shared" si="885"/>
        <v>1</v>
      </c>
      <c r="FH38" s="2">
        <f t="shared" si="1001"/>
        <v>4</v>
      </c>
      <c r="FI38" s="2"/>
      <c r="FJ38" s="2">
        <f t="shared" si="886"/>
        <v>0</v>
      </c>
      <c r="FK38" s="2">
        <f t="shared" si="1002"/>
        <v>0</v>
      </c>
      <c r="FL38" s="2">
        <f t="shared" si="1003"/>
        <v>1</v>
      </c>
      <c r="FM38" s="2">
        <f t="shared" si="1004"/>
        <v>4</v>
      </c>
      <c r="FN38" s="2">
        <f t="shared" si="1005"/>
        <v>0</v>
      </c>
      <c r="FO38" s="2">
        <f t="shared" si="1006"/>
        <v>5</v>
      </c>
      <c r="FP38" s="2">
        <f t="shared" si="1007"/>
        <v>0</v>
      </c>
      <c r="FQ38" s="2">
        <f t="shared" si="1008"/>
        <v>3</v>
      </c>
      <c r="FR38" s="2">
        <f t="shared" si="1009"/>
        <v>0</v>
      </c>
      <c r="FS38" s="2">
        <f t="shared" si="1010"/>
        <v>0</v>
      </c>
      <c r="FT38" s="2">
        <f t="shared" si="887"/>
        <v>1</v>
      </c>
      <c r="FU38" s="2">
        <f t="shared" si="1011"/>
        <v>10</v>
      </c>
      <c r="FV38" s="2">
        <f t="shared" si="1012"/>
        <v>0</v>
      </c>
      <c r="FW38" s="2">
        <f t="shared" si="1013"/>
        <v>5</v>
      </c>
      <c r="FX38" s="2">
        <f t="shared" si="888"/>
        <v>0</v>
      </c>
      <c r="FY38" s="2">
        <f t="shared" si="1014"/>
        <v>5</v>
      </c>
      <c r="FZ38" s="2"/>
      <c r="GA38" s="2">
        <f t="shared" ref="GA38" si="1088">IF($E38=4,FA38-4,NA())</f>
        <v>0</v>
      </c>
      <c r="GB38" s="2"/>
      <c r="GC38" s="41">
        <f>FA38-'Zusammenfassung Tag1-4'!$G$2/18</f>
        <v>2.7222222222222223</v>
      </c>
      <c r="GD38" s="14">
        <f t="shared" si="1015"/>
        <v>125.66666666666674</v>
      </c>
      <c r="GE38" s="53">
        <v>6</v>
      </c>
      <c r="GF38" s="2">
        <v>226</v>
      </c>
      <c r="GG38" s="56">
        <v>2</v>
      </c>
      <c r="GH38" s="2">
        <f t="shared" si="1016"/>
        <v>57</v>
      </c>
      <c r="GI38" s="2">
        <f t="shared" si="890"/>
        <v>0</v>
      </c>
      <c r="GJ38" s="2">
        <f t="shared" si="1017"/>
        <v>1</v>
      </c>
      <c r="GK38" s="2">
        <f t="shared" si="891"/>
        <v>0</v>
      </c>
      <c r="GL38" s="2">
        <f t="shared" si="1018"/>
        <v>1</v>
      </c>
      <c r="GM38" s="2"/>
      <c r="GN38" s="2">
        <f t="shared" si="892"/>
        <v>0</v>
      </c>
      <c r="GO38" s="2">
        <f t="shared" si="1019"/>
        <v>0</v>
      </c>
      <c r="GP38" s="2">
        <f t="shared" si="1020"/>
        <v>0</v>
      </c>
      <c r="GQ38" s="2">
        <f t="shared" si="1021"/>
        <v>0</v>
      </c>
      <c r="GR38" s="2">
        <f t="shared" si="1022"/>
        <v>0</v>
      </c>
      <c r="GS38" s="2">
        <f t="shared" si="1023"/>
        <v>4</v>
      </c>
      <c r="GT38" s="2">
        <f t="shared" si="1024"/>
        <v>1</v>
      </c>
      <c r="GU38" s="2">
        <f t="shared" si="1025"/>
        <v>8</v>
      </c>
      <c r="GV38" s="2">
        <f t="shared" si="1026"/>
        <v>0</v>
      </c>
      <c r="GW38" s="2">
        <f t="shared" si="1027"/>
        <v>0</v>
      </c>
      <c r="GX38" s="2">
        <f t="shared" si="893"/>
        <v>0</v>
      </c>
      <c r="GY38" s="2">
        <f t="shared" si="1028"/>
        <v>6</v>
      </c>
      <c r="GZ38" s="2">
        <f t="shared" si="1029"/>
        <v>1</v>
      </c>
      <c r="HA38" s="2">
        <f t="shared" si="1030"/>
        <v>9</v>
      </c>
      <c r="HB38" s="2">
        <f t="shared" si="894"/>
        <v>0</v>
      </c>
      <c r="HC38" s="2">
        <f t="shared" si="1031"/>
        <v>3</v>
      </c>
      <c r="HD38" s="2"/>
      <c r="HE38" s="2">
        <f t="shared" ref="HE38" si="1089">IF($E38=4,GE38-4,NA())</f>
        <v>2</v>
      </c>
      <c r="HF38" s="2"/>
      <c r="HG38" s="41">
        <f>GE38-'Zusammenfassung Tag1-4'!$H$2/18</f>
        <v>4.2222222222222223</v>
      </c>
      <c r="HH38" s="14">
        <f t="shared" si="1032"/>
        <v>143.66666666666677</v>
      </c>
      <c r="HI38" s="53">
        <v>5</v>
      </c>
      <c r="HJ38" s="2">
        <v>162</v>
      </c>
      <c r="HK38" s="56">
        <v>2</v>
      </c>
      <c r="HL38" s="2">
        <f t="shared" si="1033"/>
        <v>60</v>
      </c>
      <c r="HM38" s="2">
        <f t="shared" si="896"/>
        <v>0</v>
      </c>
      <c r="HN38" s="2">
        <f t="shared" si="1034"/>
        <v>2</v>
      </c>
      <c r="HO38" s="2">
        <f t="shared" si="897"/>
        <v>0</v>
      </c>
      <c r="HP38" s="2">
        <f t="shared" si="1035"/>
        <v>2</v>
      </c>
      <c r="HQ38" s="2"/>
      <c r="HR38" s="2">
        <f t="shared" si="898"/>
        <v>0</v>
      </c>
      <c r="HS38" s="2">
        <f t="shared" si="1036"/>
        <v>0</v>
      </c>
      <c r="HT38" s="2">
        <f t="shared" si="1037"/>
        <v>0</v>
      </c>
      <c r="HU38" s="2">
        <f t="shared" si="1038"/>
        <v>1</v>
      </c>
      <c r="HV38" s="2">
        <f t="shared" si="1039"/>
        <v>1</v>
      </c>
      <c r="HW38" s="2">
        <f t="shared" si="1040"/>
        <v>7</v>
      </c>
      <c r="HX38" s="2">
        <f t="shared" si="1041"/>
        <v>0</v>
      </c>
      <c r="HY38" s="2">
        <f t="shared" si="1042"/>
        <v>4</v>
      </c>
      <c r="HZ38" s="2">
        <f t="shared" si="1043"/>
        <v>0</v>
      </c>
      <c r="IA38" s="2">
        <f t="shared" si="1044"/>
        <v>0</v>
      </c>
      <c r="IB38" s="2">
        <f t="shared" si="899"/>
        <v>0</v>
      </c>
      <c r="IC38" s="2">
        <f t="shared" si="1045"/>
        <v>5</v>
      </c>
      <c r="ID38" s="2">
        <f t="shared" si="1046"/>
        <v>1</v>
      </c>
      <c r="IE38" s="2">
        <f t="shared" si="1047"/>
        <v>7</v>
      </c>
      <c r="IF38" s="2">
        <f t="shared" si="900"/>
        <v>0</v>
      </c>
      <c r="IG38" s="2">
        <f t="shared" si="1048"/>
        <v>5</v>
      </c>
      <c r="IH38" s="2"/>
      <c r="II38" s="2">
        <f t="shared" ref="II38" si="1090">IF($E38=4,HI38-4,NA())</f>
        <v>1</v>
      </c>
      <c r="IJ38" s="2"/>
      <c r="IK38" s="41">
        <f>HI38-'Zusammenfassung Tag1-4'!$I$2/18</f>
        <v>4.1111111111111107</v>
      </c>
      <c r="IL38" s="14">
        <f t="shared" si="1049"/>
        <v>143.3333333333334</v>
      </c>
      <c r="IM38" s="53">
        <v>8</v>
      </c>
      <c r="IN38" s="2">
        <v>86</v>
      </c>
      <c r="IO38" s="56">
        <v>2</v>
      </c>
      <c r="IP38" s="2">
        <f t="shared" si="1050"/>
        <v>76</v>
      </c>
      <c r="IQ38" s="2">
        <f t="shared" si="902"/>
        <v>0</v>
      </c>
      <c r="IR38" s="2">
        <f t="shared" si="1051"/>
        <v>5</v>
      </c>
      <c r="IS38" s="2">
        <f t="shared" si="903"/>
        <v>0</v>
      </c>
      <c r="IT38" s="2">
        <f t="shared" si="1052"/>
        <v>0</v>
      </c>
      <c r="IU38" s="2"/>
      <c r="IV38" s="2">
        <f t="shared" si="904"/>
        <v>0</v>
      </c>
      <c r="IW38" s="2">
        <f t="shared" si="1053"/>
        <v>0</v>
      </c>
      <c r="IX38" s="2">
        <f t="shared" si="1054"/>
        <v>0</v>
      </c>
      <c r="IY38" s="2">
        <f t="shared" si="1055"/>
        <v>0</v>
      </c>
      <c r="IZ38" s="2">
        <f t="shared" si="1056"/>
        <v>0</v>
      </c>
      <c r="JA38" s="2">
        <f t="shared" si="1057"/>
        <v>2</v>
      </c>
      <c r="JB38" s="2">
        <f t="shared" si="1058"/>
        <v>1</v>
      </c>
      <c r="JC38" s="2">
        <f t="shared" si="1059"/>
        <v>10</v>
      </c>
      <c r="JD38" s="2">
        <f t="shared" si="1060"/>
        <v>0</v>
      </c>
      <c r="JE38" s="2">
        <f t="shared" si="1061"/>
        <v>0</v>
      </c>
      <c r="JF38" s="2">
        <f t="shared" si="905"/>
        <v>0</v>
      </c>
      <c r="JG38" s="2">
        <f t="shared" si="1062"/>
        <v>1</v>
      </c>
      <c r="JH38" s="2">
        <f t="shared" si="1063"/>
        <v>1</v>
      </c>
      <c r="JI38" s="2">
        <f t="shared" si="1064"/>
        <v>7</v>
      </c>
      <c r="JJ38" s="2">
        <f t="shared" si="906"/>
        <v>0</v>
      </c>
      <c r="JK38" s="2">
        <f t="shared" si="1065"/>
        <v>13</v>
      </c>
      <c r="JL38" s="2"/>
      <c r="JM38" s="2">
        <f t="shared" ref="JM38" si="1091">IF($E38=4,IM38-4,NA())</f>
        <v>4</v>
      </c>
      <c r="JN38" s="2"/>
      <c r="JO38" s="41">
        <f>IM38-'Zusammenfassung Tag1-4'!$J$2/18</f>
        <v>5.6666666666666661</v>
      </c>
      <c r="JP38" s="14">
        <f t="shared" si="1066"/>
        <v>134.00000000000003</v>
      </c>
      <c r="JQ38" s="53"/>
      <c r="JR38" s="2"/>
      <c r="JS38" s="56"/>
      <c r="JT38" s="2">
        <f t="shared" si="1067"/>
        <v>0</v>
      </c>
      <c r="JU38" s="2">
        <f t="shared" si="908"/>
        <v>1</v>
      </c>
      <c r="JV38" s="2">
        <f t="shared" si="1068"/>
        <v>30</v>
      </c>
      <c r="JW38" s="2">
        <f t="shared" si="909"/>
        <v>0</v>
      </c>
      <c r="JX38" s="2">
        <f t="shared" si="1069"/>
        <v>0</v>
      </c>
      <c r="JY38" s="2"/>
      <c r="JZ38" s="2">
        <f t="shared" si="910"/>
        <v>0</v>
      </c>
      <c r="KA38" s="2">
        <f t="shared" si="1070"/>
        <v>0</v>
      </c>
      <c r="KB38" s="2">
        <f t="shared" si="1071"/>
        <v>0</v>
      </c>
      <c r="KC38" s="2">
        <f t="shared" si="1072"/>
        <v>0</v>
      </c>
      <c r="KD38" s="2">
        <f t="shared" si="1073"/>
        <v>0</v>
      </c>
      <c r="KE38" s="2">
        <f t="shared" si="1074"/>
        <v>0</v>
      </c>
      <c r="KF38" s="2">
        <f t="shared" si="1075"/>
        <v>0</v>
      </c>
      <c r="KG38" s="2">
        <f t="shared" si="1076"/>
        <v>0</v>
      </c>
      <c r="KH38" s="2">
        <f t="shared" si="1077"/>
        <v>1</v>
      </c>
      <c r="KI38" s="2">
        <f t="shared" si="1078"/>
        <v>12</v>
      </c>
      <c r="KJ38" s="2">
        <f t="shared" si="911"/>
        <v>0</v>
      </c>
      <c r="KK38" s="2">
        <f t="shared" si="1079"/>
        <v>0</v>
      </c>
      <c r="KL38" s="2">
        <f t="shared" si="1080"/>
        <v>0</v>
      </c>
      <c r="KM38" s="2">
        <f t="shared" si="1081"/>
        <v>0</v>
      </c>
      <c r="KN38" s="2">
        <f t="shared" si="912"/>
        <v>0</v>
      </c>
      <c r="KO38" s="2">
        <f t="shared" si="1082"/>
        <v>0</v>
      </c>
      <c r="KP38" s="2"/>
      <c r="KQ38" s="2">
        <f t="shared" ref="KQ38" si="1092">IF($E38=4,JQ38-4,NA())</f>
        <v>-4</v>
      </c>
      <c r="KR38" s="2"/>
      <c r="KS38" s="41" t="e">
        <f>JQ38-'Zusammenfassung Tag1-4'!#REF!/18</f>
        <v>#REF!</v>
      </c>
      <c r="KT38" s="14" t="e">
        <f t="shared" si="1083"/>
        <v>#REF!</v>
      </c>
    </row>
    <row r="39" spans="1:306" ht="13.2" x14ac:dyDescent="0.25">
      <c r="A39" s="179"/>
      <c r="B39" s="176"/>
      <c r="C39" s="44">
        <v>13</v>
      </c>
      <c r="D39" s="2">
        <f t="shared" si="914"/>
        <v>31</v>
      </c>
      <c r="E39" s="44">
        <v>5</v>
      </c>
      <c r="F39" s="4">
        <f t="shared" si="915"/>
        <v>125</v>
      </c>
      <c r="G39" s="53">
        <v>7</v>
      </c>
      <c r="H39" s="2">
        <f t="shared" si="916"/>
        <v>151</v>
      </c>
      <c r="I39" s="56">
        <v>2</v>
      </c>
      <c r="J39" s="2">
        <f t="shared" si="917"/>
        <v>60</v>
      </c>
      <c r="K39" s="2">
        <f t="shared" si="850"/>
        <v>0</v>
      </c>
      <c r="L39" s="2">
        <f t="shared" si="918"/>
        <v>9</v>
      </c>
      <c r="M39" s="2">
        <f t="shared" si="851"/>
        <v>0</v>
      </c>
      <c r="N39" s="2">
        <f t="shared" si="919"/>
        <v>4</v>
      </c>
      <c r="O39" s="2"/>
      <c r="P39" s="2">
        <f t="shared" si="852"/>
        <v>0</v>
      </c>
      <c r="Q39" s="2">
        <f t="shared" si="920"/>
        <v>1</v>
      </c>
      <c r="R39" s="2">
        <f t="shared" si="853"/>
        <v>0</v>
      </c>
      <c r="S39" s="2">
        <f t="shared" si="921"/>
        <v>4</v>
      </c>
      <c r="T39" s="2">
        <f t="shared" si="854"/>
        <v>0</v>
      </c>
      <c r="U39" s="2">
        <f t="shared" si="922"/>
        <v>5</v>
      </c>
      <c r="V39" s="2">
        <f t="shared" si="855"/>
        <v>1</v>
      </c>
      <c r="W39" s="2">
        <f t="shared" si="923"/>
        <v>4</v>
      </c>
      <c r="X39" s="2">
        <f t="shared" si="856"/>
        <v>0</v>
      </c>
      <c r="Y39" s="2">
        <f t="shared" si="924"/>
        <v>1</v>
      </c>
      <c r="Z39" s="2">
        <f t="shared" si="857"/>
        <v>0</v>
      </c>
      <c r="AA39" s="2">
        <f t="shared" si="925"/>
        <v>4</v>
      </c>
      <c r="AB39" s="2">
        <f t="shared" si="858"/>
        <v>1</v>
      </c>
      <c r="AC39" s="2">
        <f t="shared" si="926"/>
        <v>10</v>
      </c>
      <c r="AD39" s="2">
        <f t="shared" si="859"/>
        <v>0</v>
      </c>
      <c r="AE39" s="2">
        <f t="shared" si="927"/>
        <v>3</v>
      </c>
      <c r="AF39" s="2"/>
      <c r="AG39" s="2"/>
      <c r="AH39" s="2">
        <f>IF($E39=5,G39-5,NA())</f>
        <v>2</v>
      </c>
      <c r="AI39" s="41">
        <f>G39-'Zusammenfassung Tag1-4'!$B$2/18</f>
        <v>6.166666666666667</v>
      </c>
      <c r="AJ39" s="13">
        <f t="shared" si="928"/>
        <v>125.16666666666671</v>
      </c>
      <c r="AK39" s="53">
        <v>6</v>
      </c>
      <c r="AL39" s="2">
        <f t="shared" si="929"/>
        <v>154</v>
      </c>
      <c r="AM39" s="56">
        <v>3</v>
      </c>
      <c r="AN39" s="2">
        <f t="shared" si="930"/>
        <v>60</v>
      </c>
      <c r="AO39" s="2">
        <f t="shared" si="860"/>
        <v>1</v>
      </c>
      <c r="AP39" s="2">
        <f t="shared" si="931"/>
        <v>12</v>
      </c>
      <c r="AQ39" s="2">
        <f t="shared" si="861"/>
        <v>0</v>
      </c>
      <c r="AR39" s="2">
        <f t="shared" si="932"/>
        <v>4</v>
      </c>
      <c r="AS39" s="2"/>
      <c r="AT39" s="2">
        <f t="shared" si="862"/>
        <v>0</v>
      </c>
      <c r="AU39" s="2">
        <f t="shared" si="933"/>
        <v>0</v>
      </c>
      <c r="AV39" s="2">
        <f t="shared" si="934"/>
        <v>0</v>
      </c>
      <c r="AW39" s="2">
        <f t="shared" si="935"/>
        <v>6</v>
      </c>
      <c r="AX39" s="2">
        <f t="shared" si="936"/>
        <v>1</v>
      </c>
      <c r="AY39" s="2">
        <f t="shared" si="937"/>
        <v>6</v>
      </c>
      <c r="AZ39" s="2">
        <f t="shared" si="938"/>
        <v>0</v>
      </c>
      <c r="BA39" s="2">
        <f t="shared" si="939"/>
        <v>1</v>
      </c>
      <c r="BB39" s="2">
        <f t="shared" si="940"/>
        <v>0</v>
      </c>
      <c r="BC39" s="2">
        <f t="shared" si="941"/>
        <v>0</v>
      </c>
      <c r="BD39" s="2">
        <f t="shared" si="863"/>
        <v>0</v>
      </c>
      <c r="BE39" s="2">
        <f t="shared" si="942"/>
        <v>6</v>
      </c>
      <c r="BF39" s="2">
        <f t="shared" si="943"/>
        <v>0</v>
      </c>
      <c r="BG39" s="2">
        <f t="shared" si="944"/>
        <v>7</v>
      </c>
      <c r="BH39" s="2">
        <f t="shared" si="864"/>
        <v>1</v>
      </c>
      <c r="BI39" s="2">
        <f t="shared" si="945"/>
        <v>4</v>
      </c>
      <c r="BJ39" s="2"/>
      <c r="BK39" s="2"/>
      <c r="BL39" s="2">
        <f t="shared" ref="BL39" si="1093">IF($E39=5,AK39-5,NA())</f>
        <v>1</v>
      </c>
      <c r="BM39" s="41">
        <f>AK39-'Zusammenfassung Tag1-4'!$C$2/18</f>
        <v>5.4444444444444446</v>
      </c>
      <c r="BN39" s="13">
        <f t="shared" si="946"/>
        <v>136.77777777777777</v>
      </c>
      <c r="BO39" s="53">
        <v>8</v>
      </c>
      <c r="BP39" s="2">
        <f t="shared" si="947"/>
        <v>181</v>
      </c>
      <c r="BQ39" s="56">
        <v>2</v>
      </c>
      <c r="BR39" s="2">
        <f t="shared" si="948"/>
        <v>70</v>
      </c>
      <c r="BS39" s="2">
        <f t="shared" si="866"/>
        <v>0</v>
      </c>
      <c r="BT39" s="2">
        <f t="shared" si="949"/>
        <v>7</v>
      </c>
      <c r="BU39" s="2">
        <f t="shared" si="867"/>
        <v>0</v>
      </c>
      <c r="BV39" s="2">
        <f t="shared" si="950"/>
        <v>0</v>
      </c>
      <c r="BW39" s="2"/>
      <c r="BX39" s="2">
        <f t="shared" si="868"/>
        <v>0</v>
      </c>
      <c r="BY39" s="2">
        <f t="shared" si="951"/>
        <v>0</v>
      </c>
      <c r="BZ39" s="2">
        <f t="shared" si="952"/>
        <v>0</v>
      </c>
      <c r="CA39" s="2">
        <f t="shared" si="953"/>
        <v>2</v>
      </c>
      <c r="CB39" s="2">
        <f t="shared" si="954"/>
        <v>0</v>
      </c>
      <c r="CC39" s="2">
        <f t="shared" si="955"/>
        <v>5</v>
      </c>
      <c r="CD39" s="2">
        <f t="shared" si="956"/>
        <v>1</v>
      </c>
      <c r="CE39" s="2">
        <f t="shared" si="957"/>
        <v>6</v>
      </c>
      <c r="CF39" s="2">
        <f t="shared" si="958"/>
        <v>0</v>
      </c>
      <c r="CG39" s="2">
        <f t="shared" si="951"/>
        <v>0</v>
      </c>
      <c r="CH39" s="2">
        <f t="shared" si="869"/>
        <v>0</v>
      </c>
      <c r="CI39" s="2">
        <f t="shared" si="959"/>
        <v>1</v>
      </c>
      <c r="CJ39" s="2">
        <f t="shared" si="960"/>
        <v>1</v>
      </c>
      <c r="CK39" s="2">
        <f t="shared" si="961"/>
        <v>11</v>
      </c>
      <c r="CL39" s="2">
        <f t="shared" si="870"/>
        <v>0</v>
      </c>
      <c r="CM39" s="2">
        <f t="shared" si="962"/>
        <v>9</v>
      </c>
      <c r="CN39" s="2"/>
      <c r="CO39" s="2"/>
      <c r="CP39" s="2">
        <f t="shared" ref="CP39" si="1094">IF($E39=5,BO39-5,NA())</f>
        <v>3</v>
      </c>
      <c r="CQ39" s="41">
        <f>BO39-'Zusammenfassung Tag1-4'!$D$2/18</f>
        <v>6.9444444444444446</v>
      </c>
      <c r="CR39" s="13">
        <f t="shared" si="963"/>
        <v>148.2777777777778</v>
      </c>
      <c r="CS39" s="53">
        <v>8</v>
      </c>
      <c r="CT39" s="2">
        <f t="shared" si="964"/>
        <v>170</v>
      </c>
      <c r="CU39" s="56">
        <v>2</v>
      </c>
      <c r="CV39" s="2">
        <f t="shared" si="965"/>
        <v>70</v>
      </c>
      <c r="CW39" s="2">
        <f t="shared" si="872"/>
        <v>0</v>
      </c>
      <c r="CX39" s="2">
        <f t="shared" si="966"/>
        <v>10</v>
      </c>
      <c r="CY39" s="2">
        <f t="shared" si="873"/>
        <v>0</v>
      </c>
      <c r="CZ39" s="2">
        <f t="shared" si="967"/>
        <v>1</v>
      </c>
      <c r="DA39" s="2"/>
      <c r="DB39" s="2">
        <f t="shared" si="874"/>
        <v>0</v>
      </c>
      <c r="DC39" s="2">
        <f t="shared" si="968"/>
        <v>0</v>
      </c>
      <c r="DD39" s="2">
        <f t="shared" si="969"/>
        <v>0</v>
      </c>
      <c r="DE39" s="2">
        <f t="shared" si="970"/>
        <v>4</v>
      </c>
      <c r="DF39" s="2">
        <f t="shared" si="971"/>
        <v>0</v>
      </c>
      <c r="DG39" s="2">
        <f t="shared" si="972"/>
        <v>5</v>
      </c>
      <c r="DH39" s="2">
        <f t="shared" si="973"/>
        <v>1</v>
      </c>
      <c r="DI39" s="2">
        <f t="shared" si="974"/>
        <v>4</v>
      </c>
      <c r="DJ39" s="2">
        <f t="shared" si="975"/>
        <v>0</v>
      </c>
      <c r="DK39" s="2">
        <f t="shared" si="976"/>
        <v>0</v>
      </c>
      <c r="DL39" s="2">
        <f t="shared" si="875"/>
        <v>0</v>
      </c>
      <c r="DM39" s="2">
        <f t="shared" si="977"/>
        <v>3</v>
      </c>
      <c r="DN39" s="2">
        <f t="shared" si="978"/>
        <v>1</v>
      </c>
      <c r="DO39" s="2">
        <f t="shared" si="979"/>
        <v>10</v>
      </c>
      <c r="DP39" s="2">
        <f t="shared" si="876"/>
        <v>0</v>
      </c>
      <c r="DQ39" s="2">
        <f t="shared" si="980"/>
        <v>10</v>
      </c>
      <c r="DR39" s="2"/>
      <c r="DS39" s="2"/>
      <c r="DT39" s="2">
        <f t="shared" ref="DT39" si="1095">IF($E39=5,CS39-5,NA())</f>
        <v>3</v>
      </c>
      <c r="DU39" s="41">
        <f>CS39-'Zusammenfassung Tag1-4'!$E$2/18</f>
        <v>7</v>
      </c>
      <c r="DV39" s="14">
        <f t="shared" si="981"/>
        <v>139</v>
      </c>
      <c r="DW39" s="53">
        <v>8</v>
      </c>
      <c r="DX39" s="2">
        <v>64</v>
      </c>
      <c r="DY39" s="56">
        <v>2</v>
      </c>
      <c r="DZ39" s="2">
        <f t="shared" si="982"/>
        <v>74</v>
      </c>
      <c r="EA39" s="2">
        <f t="shared" si="878"/>
        <v>0</v>
      </c>
      <c r="EB39" s="2">
        <f t="shared" si="983"/>
        <v>0</v>
      </c>
      <c r="EC39" s="2">
        <f t="shared" si="879"/>
        <v>0</v>
      </c>
      <c r="ED39" s="2">
        <f t="shared" si="984"/>
        <v>0</v>
      </c>
      <c r="EE39" s="2"/>
      <c r="EF39" s="2">
        <f t="shared" si="880"/>
        <v>0</v>
      </c>
      <c r="EG39" s="2">
        <f t="shared" si="985"/>
        <v>0</v>
      </c>
      <c r="EH39" s="2">
        <f t="shared" si="986"/>
        <v>0</v>
      </c>
      <c r="EI39" s="2">
        <f t="shared" si="987"/>
        <v>0</v>
      </c>
      <c r="EJ39" s="2">
        <f t="shared" si="988"/>
        <v>0</v>
      </c>
      <c r="EK39" s="2">
        <f t="shared" si="989"/>
        <v>4</v>
      </c>
      <c r="EL39" s="2">
        <f t="shared" si="990"/>
        <v>1</v>
      </c>
      <c r="EM39" s="2">
        <f t="shared" si="991"/>
        <v>9</v>
      </c>
      <c r="EN39" s="2">
        <f t="shared" si="992"/>
        <v>0</v>
      </c>
      <c r="EO39" s="2">
        <f t="shared" si="993"/>
        <v>0</v>
      </c>
      <c r="EP39" s="2">
        <f t="shared" si="881"/>
        <v>0</v>
      </c>
      <c r="EQ39" s="2">
        <f t="shared" si="994"/>
        <v>0</v>
      </c>
      <c r="ER39" s="2">
        <f t="shared" si="995"/>
        <v>1</v>
      </c>
      <c r="ES39" s="2">
        <f t="shared" si="996"/>
        <v>10</v>
      </c>
      <c r="ET39" s="2">
        <f t="shared" si="882"/>
        <v>0</v>
      </c>
      <c r="EU39" s="2">
        <f t="shared" si="997"/>
        <v>11</v>
      </c>
      <c r="EV39" s="2"/>
      <c r="EW39" s="2"/>
      <c r="EX39" s="2">
        <f t="shared" ref="EX39" si="1096">IF($E39=5,DW39-5,NA())</f>
        <v>3</v>
      </c>
      <c r="EY39" s="41">
        <f>DW39-'Zusammenfassung Tag1-4'!$F$2/18</f>
        <v>5.5</v>
      </c>
      <c r="EZ39" s="14">
        <f t="shared" si="998"/>
        <v>148.5</v>
      </c>
      <c r="FA39" s="53">
        <v>8</v>
      </c>
      <c r="FB39" s="2">
        <v>172</v>
      </c>
      <c r="FC39" s="56">
        <v>3</v>
      </c>
      <c r="FD39" s="2">
        <f t="shared" si="999"/>
        <v>58</v>
      </c>
      <c r="FE39" s="2">
        <f t="shared" si="884"/>
        <v>0</v>
      </c>
      <c r="FF39" s="2">
        <f t="shared" si="1000"/>
        <v>4</v>
      </c>
      <c r="FG39" s="2">
        <f t="shared" si="885"/>
        <v>0</v>
      </c>
      <c r="FH39" s="2">
        <f t="shared" si="1001"/>
        <v>4</v>
      </c>
      <c r="FI39" s="2"/>
      <c r="FJ39" s="2">
        <f t="shared" si="886"/>
        <v>0</v>
      </c>
      <c r="FK39" s="2">
        <f t="shared" si="1002"/>
        <v>0</v>
      </c>
      <c r="FL39" s="2">
        <f t="shared" si="1003"/>
        <v>0</v>
      </c>
      <c r="FM39" s="2">
        <f t="shared" si="1004"/>
        <v>4</v>
      </c>
      <c r="FN39" s="2">
        <f t="shared" si="1005"/>
        <v>0</v>
      </c>
      <c r="FO39" s="2">
        <f t="shared" si="1006"/>
        <v>5</v>
      </c>
      <c r="FP39" s="2">
        <f t="shared" si="1007"/>
        <v>1</v>
      </c>
      <c r="FQ39" s="2">
        <f t="shared" si="1008"/>
        <v>4</v>
      </c>
      <c r="FR39" s="2">
        <f t="shared" si="1009"/>
        <v>0</v>
      </c>
      <c r="FS39" s="2">
        <f t="shared" si="1010"/>
        <v>0</v>
      </c>
      <c r="FT39" s="2">
        <f t="shared" si="887"/>
        <v>0</v>
      </c>
      <c r="FU39" s="2">
        <f t="shared" si="1011"/>
        <v>10</v>
      </c>
      <c r="FV39" s="2">
        <f t="shared" si="1012"/>
        <v>0</v>
      </c>
      <c r="FW39" s="2">
        <f t="shared" si="1013"/>
        <v>5</v>
      </c>
      <c r="FX39" s="2">
        <f t="shared" si="888"/>
        <v>1</v>
      </c>
      <c r="FY39" s="2">
        <f t="shared" si="1014"/>
        <v>6</v>
      </c>
      <c r="FZ39" s="2"/>
      <c r="GA39" s="2"/>
      <c r="GB39" s="2">
        <f t="shared" ref="GB39" si="1097">IF($E39=5,FA39-5,NA())</f>
        <v>3</v>
      </c>
      <c r="GC39" s="41">
        <f>FA39-'Zusammenfassung Tag1-4'!$G$2/18</f>
        <v>6.7222222222222223</v>
      </c>
      <c r="GD39" s="14">
        <f t="shared" si="1015"/>
        <v>132.38888888888897</v>
      </c>
      <c r="GE39" s="53">
        <v>8</v>
      </c>
      <c r="GF39" s="2">
        <v>233</v>
      </c>
      <c r="GG39" s="56">
        <v>2</v>
      </c>
      <c r="GH39" s="2">
        <f t="shared" si="1016"/>
        <v>59</v>
      </c>
      <c r="GI39" s="2">
        <f t="shared" si="890"/>
        <v>0</v>
      </c>
      <c r="GJ39" s="2">
        <f t="shared" si="1017"/>
        <v>1</v>
      </c>
      <c r="GK39" s="2">
        <f t="shared" si="891"/>
        <v>0</v>
      </c>
      <c r="GL39" s="2">
        <f t="shared" si="1018"/>
        <v>1</v>
      </c>
      <c r="GM39" s="2"/>
      <c r="GN39" s="2">
        <f t="shared" si="892"/>
        <v>0</v>
      </c>
      <c r="GO39" s="2">
        <f t="shared" si="1019"/>
        <v>0</v>
      </c>
      <c r="GP39" s="2">
        <f t="shared" si="1020"/>
        <v>0</v>
      </c>
      <c r="GQ39" s="2">
        <f t="shared" si="1021"/>
        <v>0</v>
      </c>
      <c r="GR39" s="2">
        <f t="shared" si="1022"/>
        <v>0</v>
      </c>
      <c r="GS39" s="2">
        <f t="shared" si="1023"/>
        <v>4</v>
      </c>
      <c r="GT39" s="2">
        <f t="shared" si="1024"/>
        <v>1</v>
      </c>
      <c r="GU39" s="2">
        <f t="shared" si="1025"/>
        <v>9</v>
      </c>
      <c r="GV39" s="2">
        <f t="shared" si="1026"/>
        <v>0</v>
      </c>
      <c r="GW39" s="2">
        <f t="shared" si="1027"/>
        <v>0</v>
      </c>
      <c r="GX39" s="2">
        <f t="shared" si="893"/>
        <v>0</v>
      </c>
      <c r="GY39" s="2">
        <f t="shared" si="1028"/>
        <v>6</v>
      </c>
      <c r="GZ39" s="2">
        <f t="shared" si="1029"/>
        <v>1</v>
      </c>
      <c r="HA39" s="2">
        <f t="shared" si="1030"/>
        <v>10</v>
      </c>
      <c r="HB39" s="2">
        <f t="shared" si="894"/>
        <v>0</v>
      </c>
      <c r="HC39" s="2">
        <f t="shared" si="1031"/>
        <v>3</v>
      </c>
      <c r="HD39" s="2"/>
      <c r="HE39" s="2"/>
      <c r="HF39" s="2">
        <f t="shared" ref="HF39" si="1098">IF($E39=5,GE39-5,NA())</f>
        <v>3</v>
      </c>
      <c r="HG39" s="41">
        <f>GE39-'Zusammenfassung Tag1-4'!$H$2/18</f>
        <v>6.2222222222222223</v>
      </c>
      <c r="HH39" s="14">
        <f t="shared" si="1032"/>
        <v>149.888888888889</v>
      </c>
      <c r="HI39" s="53">
        <v>5</v>
      </c>
      <c r="HJ39" s="2">
        <v>168</v>
      </c>
      <c r="HK39" s="56">
        <v>1</v>
      </c>
      <c r="HL39" s="2">
        <f t="shared" si="1033"/>
        <v>61</v>
      </c>
      <c r="HM39" s="2">
        <f t="shared" si="896"/>
        <v>0</v>
      </c>
      <c r="HN39" s="2">
        <f t="shared" si="1034"/>
        <v>2</v>
      </c>
      <c r="HO39" s="2">
        <f t="shared" si="897"/>
        <v>1</v>
      </c>
      <c r="HP39" s="2">
        <f t="shared" si="1035"/>
        <v>3</v>
      </c>
      <c r="HQ39" s="2"/>
      <c r="HR39" s="2">
        <f t="shared" si="898"/>
        <v>0</v>
      </c>
      <c r="HS39" s="2">
        <f t="shared" si="1036"/>
        <v>0</v>
      </c>
      <c r="HT39" s="2">
        <f t="shared" si="1037"/>
        <v>1</v>
      </c>
      <c r="HU39" s="2">
        <f t="shared" si="1038"/>
        <v>2</v>
      </c>
      <c r="HV39" s="2">
        <f t="shared" si="1039"/>
        <v>0</v>
      </c>
      <c r="HW39" s="2">
        <f t="shared" si="1040"/>
        <v>7</v>
      </c>
      <c r="HX39" s="2">
        <f t="shared" si="1041"/>
        <v>0</v>
      </c>
      <c r="HY39" s="2">
        <f t="shared" si="1042"/>
        <v>4</v>
      </c>
      <c r="HZ39" s="2">
        <f t="shared" si="1043"/>
        <v>0</v>
      </c>
      <c r="IA39" s="2">
        <f t="shared" si="1044"/>
        <v>0</v>
      </c>
      <c r="IB39" s="2">
        <f t="shared" si="899"/>
        <v>1</v>
      </c>
      <c r="IC39" s="2">
        <f t="shared" si="1045"/>
        <v>6</v>
      </c>
      <c r="ID39" s="2">
        <f t="shared" si="1046"/>
        <v>0</v>
      </c>
      <c r="IE39" s="2">
        <f t="shared" si="1047"/>
        <v>7</v>
      </c>
      <c r="IF39" s="2">
        <f t="shared" si="900"/>
        <v>0</v>
      </c>
      <c r="IG39" s="2">
        <f t="shared" si="1048"/>
        <v>5</v>
      </c>
      <c r="IH39" s="2"/>
      <c r="II39" s="2"/>
      <c r="IJ39" s="2">
        <f t="shared" ref="IJ39" si="1099">IF($E39=5,HI39-5,NA())</f>
        <v>0</v>
      </c>
      <c r="IK39" s="41">
        <f>HI39-'Zusammenfassung Tag1-4'!$I$2/18</f>
        <v>4.1111111111111107</v>
      </c>
      <c r="IL39" s="14">
        <f t="shared" si="1049"/>
        <v>147.44444444444451</v>
      </c>
      <c r="IM39" s="53">
        <v>6</v>
      </c>
      <c r="IN39" s="2">
        <v>94</v>
      </c>
      <c r="IO39" s="56">
        <v>1</v>
      </c>
      <c r="IP39" s="2">
        <f t="shared" si="1050"/>
        <v>77</v>
      </c>
      <c r="IQ39" s="2">
        <f t="shared" si="902"/>
        <v>0</v>
      </c>
      <c r="IR39" s="2">
        <f t="shared" si="1051"/>
        <v>5</v>
      </c>
      <c r="IS39" s="2">
        <f t="shared" si="903"/>
        <v>0</v>
      </c>
      <c r="IT39" s="2">
        <f t="shared" si="1052"/>
        <v>0</v>
      </c>
      <c r="IU39" s="2"/>
      <c r="IV39" s="2">
        <f t="shared" si="904"/>
        <v>0</v>
      </c>
      <c r="IW39" s="2">
        <f t="shared" si="1053"/>
        <v>0</v>
      </c>
      <c r="IX39" s="2">
        <f t="shared" si="1054"/>
        <v>0</v>
      </c>
      <c r="IY39" s="2">
        <f t="shared" si="1055"/>
        <v>0</v>
      </c>
      <c r="IZ39" s="2">
        <f t="shared" si="1056"/>
        <v>1</v>
      </c>
      <c r="JA39" s="2">
        <f t="shared" si="1057"/>
        <v>3</v>
      </c>
      <c r="JB39" s="2">
        <f t="shared" si="1058"/>
        <v>0</v>
      </c>
      <c r="JC39" s="2">
        <f t="shared" si="1059"/>
        <v>10</v>
      </c>
      <c r="JD39" s="2">
        <f t="shared" si="1060"/>
        <v>0</v>
      </c>
      <c r="JE39" s="2">
        <f t="shared" si="1061"/>
        <v>0</v>
      </c>
      <c r="JF39" s="2">
        <f t="shared" si="905"/>
        <v>1</v>
      </c>
      <c r="JG39" s="2">
        <f t="shared" si="1062"/>
        <v>2</v>
      </c>
      <c r="JH39" s="2">
        <f t="shared" si="1063"/>
        <v>0</v>
      </c>
      <c r="JI39" s="2">
        <f t="shared" si="1064"/>
        <v>7</v>
      </c>
      <c r="JJ39" s="2">
        <f t="shared" si="906"/>
        <v>0</v>
      </c>
      <c r="JK39" s="2">
        <f t="shared" si="1065"/>
        <v>13</v>
      </c>
      <c r="JL39" s="2"/>
      <c r="JM39" s="2"/>
      <c r="JN39" s="2">
        <f t="shared" ref="JN39" si="1100">IF($E39=5,IM39-5,NA())</f>
        <v>1</v>
      </c>
      <c r="JO39" s="41">
        <f>IM39-'Zusammenfassung Tag1-4'!$J$2/18</f>
        <v>3.6666666666666665</v>
      </c>
      <c r="JP39" s="14">
        <f t="shared" si="1066"/>
        <v>137.66666666666669</v>
      </c>
      <c r="JQ39" s="53"/>
      <c r="JR39" s="2"/>
      <c r="JS39" s="56"/>
      <c r="JT39" s="2">
        <f t="shared" si="1067"/>
        <v>0</v>
      </c>
      <c r="JU39" s="2">
        <f t="shared" si="908"/>
        <v>1</v>
      </c>
      <c r="JV39" s="2">
        <f t="shared" si="1068"/>
        <v>31</v>
      </c>
      <c r="JW39" s="2">
        <f t="shared" si="909"/>
        <v>0</v>
      </c>
      <c r="JX39" s="2">
        <f t="shared" si="1069"/>
        <v>0</v>
      </c>
      <c r="JY39" s="2"/>
      <c r="JZ39" s="2">
        <f t="shared" si="910"/>
        <v>0</v>
      </c>
      <c r="KA39" s="2">
        <f t="shared" si="1070"/>
        <v>0</v>
      </c>
      <c r="KB39" s="2">
        <f t="shared" si="1071"/>
        <v>0</v>
      </c>
      <c r="KC39" s="2">
        <f t="shared" si="1072"/>
        <v>0</v>
      </c>
      <c r="KD39" s="2">
        <f t="shared" si="1073"/>
        <v>0</v>
      </c>
      <c r="KE39" s="2">
        <f t="shared" si="1074"/>
        <v>0</v>
      </c>
      <c r="KF39" s="2">
        <f t="shared" si="1075"/>
        <v>0</v>
      </c>
      <c r="KG39" s="2">
        <f t="shared" si="1076"/>
        <v>0</v>
      </c>
      <c r="KH39" s="2">
        <f t="shared" si="1077"/>
        <v>1</v>
      </c>
      <c r="KI39" s="2">
        <f t="shared" si="1078"/>
        <v>13</v>
      </c>
      <c r="KJ39" s="2">
        <f t="shared" si="911"/>
        <v>0</v>
      </c>
      <c r="KK39" s="2">
        <f t="shared" si="1079"/>
        <v>0</v>
      </c>
      <c r="KL39" s="2">
        <f t="shared" si="1080"/>
        <v>0</v>
      </c>
      <c r="KM39" s="2">
        <f t="shared" si="1081"/>
        <v>0</v>
      </c>
      <c r="KN39" s="2">
        <f t="shared" si="912"/>
        <v>0</v>
      </c>
      <c r="KO39" s="2">
        <f t="shared" si="1082"/>
        <v>0</v>
      </c>
      <c r="KP39" s="2"/>
      <c r="KQ39" s="2"/>
      <c r="KR39" s="2">
        <f t="shared" ref="KR39" si="1101">IF($E39=5,JQ39-5,NA())</f>
        <v>-5</v>
      </c>
      <c r="KS39" s="41" t="e">
        <f>JQ39-'Zusammenfassung Tag1-4'!#REF!/18</f>
        <v>#REF!</v>
      </c>
      <c r="KT39" s="14" t="e">
        <f t="shared" si="1083"/>
        <v>#REF!</v>
      </c>
    </row>
    <row r="40" spans="1:306" ht="13.2" x14ac:dyDescent="0.25">
      <c r="A40" s="179"/>
      <c r="B40" s="176"/>
      <c r="C40" s="44">
        <v>14</v>
      </c>
      <c r="D40" s="2">
        <f t="shared" si="914"/>
        <v>32</v>
      </c>
      <c r="E40" s="44">
        <v>4</v>
      </c>
      <c r="F40" s="4">
        <f t="shared" si="915"/>
        <v>129</v>
      </c>
      <c r="G40" s="53">
        <v>5</v>
      </c>
      <c r="H40" s="2">
        <f t="shared" si="916"/>
        <v>156</v>
      </c>
      <c r="I40" s="56">
        <v>2</v>
      </c>
      <c r="J40" s="2">
        <f t="shared" si="917"/>
        <v>62</v>
      </c>
      <c r="K40" s="2">
        <f t="shared" si="850"/>
        <v>0</v>
      </c>
      <c r="L40" s="2">
        <f t="shared" si="918"/>
        <v>9</v>
      </c>
      <c r="M40" s="2">
        <f t="shared" si="851"/>
        <v>0</v>
      </c>
      <c r="N40" s="2">
        <f t="shared" si="919"/>
        <v>4</v>
      </c>
      <c r="O40" s="2"/>
      <c r="P40" s="2">
        <f t="shared" si="852"/>
        <v>0</v>
      </c>
      <c r="Q40" s="2">
        <f t="shared" si="920"/>
        <v>1</v>
      </c>
      <c r="R40" s="2">
        <f t="shared" si="853"/>
        <v>0</v>
      </c>
      <c r="S40" s="2">
        <f t="shared" si="921"/>
        <v>4</v>
      </c>
      <c r="T40" s="2">
        <f t="shared" si="854"/>
        <v>1</v>
      </c>
      <c r="U40" s="2">
        <f t="shared" si="922"/>
        <v>6</v>
      </c>
      <c r="V40" s="2">
        <f t="shared" si="855"/>
        <v>0</v>
      </c>
      <c r="W40" s="2">
        <f t="shared" si="923"/>
        <v>4</v>
      </c>
      <c r="X40" s="2">
        <f t="shared" si="856"/>
        <v>0</v>
      </c>
      <c r="Y40" s="2">
        <f t="shared" si="924"/>
        <v>1</v>
      </c>
      <c r="Z40" s="2">
        <f t="shared" si="857"/>
        <v>0</v>
      </c>
      <c r="AA40" s="2">
        <f t="shared" si="925"/>
        <v>4</v>
      </c>
      <c r="AB40" s="2">
        <f t="shared" si="858"/>
        <v>1</v>
      </c>
      <c r="AC40" s="2">
        <f t="shared" si="926"/>
        <v>11</v>
      </c>
      <c r="AD40" s="2">
        <f t="shared" si="859"/>
        <v>0</v>
      </c>
      <c r="AE40" s="2">
        <f t="shared" si="927"/>
        <v>3</v>
      </c>
      <c r="AF40" s="2"/>
      <c r="AG40" s="2">
        <f>IF($E40=4,G40-4,NA())</f>
        <v>1</v>
      </c>
      <c r="AH40" s="2"/>
      <c r="AI40" s="41">
        <f>G40-'Zusammenfassung Tag1-4'!$B$2/18</f>
        <v>4.166666666666667</v>
      </c>
      <c r="AJ40" s="13">
        <f t="shared" si="928"/>
        <v>129.33333333333337</v>
      </c>
      <c r="AK40" s="53">
        <v>4</v>
      </c>
      <c r="AL40" s="2">
        <f t="shared" si="929"/>
        <v>158</v>
      </c>
      <c r="AM40" s="56">
        <v>2</v>
      </c>
      <c r="AN40" s="2">
        <f t="shared" si="930"/>
        <v>62</v>
      </c>
      <c r="AO40" s="2">
        <f t="shared" si="860"/>
        <v>1</v>
      </c>
      <c r="AP40" s="2">
        <f t="shared" si="931"/>
        <v>13</v>
      </c>
      <c r="AQ40" s="2">
        <f t="shared" si="861"/>
        <v>0</v>
      </c>
      <c r="AR40" s="2">
        <f t="shared" si="932"/>
        <v>4</v>
      </c>
      <c r="AS40" s="2"/>
      <c r="AT40" s="2">
        <f t="shared" si="862"/>
        <v>0</v>
      </c>
      <c r="AU40" s="2">
        <f t="shared" si="933"/>
        <v>0</v>
      </c>
      <c r="AV40" s="2">
        <f t="shared" si="934"/>
        <v>1</v>
      </c>
      <c r="AW40" s="2">
        <f t="shared" si="935"/>
        <v>7</v>
      </c>
      <c r="AX40" s="2">
        <f t="shared" si="936"/>
        <v>0</v>
      </c>
      <c r="AY40" s="2">
        <f t="shared" si="937"/>
        <v>6</v>
      </c>
      <c r="AZ40" s="2">
        <f t="shared" si="938"/>
        <v>0</v>
      </c>
      <c r="BA40" s="2">
        <f t="shared" si="939"/>
        <v>1</v>
      </c>
      <c r="BB40" s="2">
        <f t="shared" si="940"/>
        <v>0</v>
      </c>
      <c r="BC40" s="2">
        <f t="shared" si="941"/>
        <v>0</v>
      </c>
      <c r="BD40" s="2">
        <f t="shared" si="863"/>
        <v>0</v>
      </c>
      <c r="BE40" s="2">
        <f t="shared" si="942"/>
        <v>6</v>
      </c>
      <c r="BF40" s="2">
        <f t="shared" si="943"/>
        <v>1</v>
      </c>
      <c r="BG40" s="2">
        <f t="shared" si="944"/>
        <v>8</v>
      </c>
      <c r="BH40" s="2">
        <f t="shared" si="864"/>
        <v>0</v>
      </c>
      <c r="BI40" s="2">
        <f t="shared" si="945"/>
        <v>4</v>
      </c>
      <c r="BJ40" s="2"/>
      <c r="BK40" s="2">
        <f t="shared" ref="BK40" si="1102">IF($E40=4,AK40-4,NA())</f>
        <v>0</v>
      </c>
      <c r="BL40" s="2"/>
      <c r="BM40" s="41">
        <f>AK40-'Zusammenfassung Tag1-4'!$C$2/18</f>
        <v>3.4444444444444446</v>
      </c>
      <c r="BN40" s="13">
        <f t="shared" si="946"/>
        <v>140.22222222222223</v>
      </c>
      <c r="BO40" s="53">
        <v>6</v>
      </c>
      <c r="BP40" s="2">
        <f t="shared" si="947"/>
        <v>187</v>
      </c>
      <c r="BQ40" s="56">
        <v>3</v>
      </c>
      <c r="BR40" s="2">
        <f t="shared" si="948"/>
        <v>73</v>
      </c>
      <c r="BS40" s="2">
        <f t="shared" si="866"/>
        <v>0</v>
      </c>
      <c r="BT40" s="2">
        <f t="shared" si="949"/>
        <v>7</v>
      </c>
      <c r="BU40" s="2">
        <f t="shared" si="867"/>
        <v>0</v>
      </c>
      <c r="BV40" s="2">
        <f t="shared" si="950"/>
        <v>0</v>
      </c>
      <c r="BW40" s="2"/>
      <c r="BX40" s="2">
        <f t="shared" si="868"/>
        <v>0</v>
      </c>
      <c r="BY40" s="2">
        <f t="shared" si="951"/>
        <v>0</v>
      </c>
      <c r="BZ40" s="2">
        <f t="shared" si="952"/>
        <v>0</v>
      </c>
      <c r="CA40" s="2">
        <f t="shared" si="953"/>
        <v>2</v>
      </c>
      <c r="CB40" s="2">
        <f t="shared" si="954"/>
        <v>0</v>
      </c>
      <c r="CC40" s="2">
        <f t="shared" si="955"/>
        <v>5</v>
      </c>
      <c r="CD40" s="2">
        <f t="shared" si="956"/>
        <v>1</v>
      </c>
      <c r="CE40" s="2">
        <f t="shared" si="957"/>
        <v>7</v>
      </c>
      <c r="CF40" s="2">
        <f t="shared" si="958"/>
        <v>0</v>
      </c>
      <c r="CG40" s="2">
        <f t="shared" si="951"/>
        <v>0</v>
      </c>
      <c r="CH40" s="2">
        <f t="shared" si="869"/>
        <v>0</v>
      </c>
      <c r="CI40" s="2">
        <f t="shared" si="959"/>
        <v>1</v>
      </c>
      <c r="CJ40" s="2">
        <f t="shared" si="960"/>
        <v>0</v>
      </c>
      <c r="CK40" s="2">
        <f t="shared" si="961"/>
        <v>11</v>
      </c>
      <c r="CL40" s="2">
        <f t="shared" si="870"/>
        <v>1</v>
      </c>
      <c r="CM40" s="2">
        <f t="shared" si="962"/>
        <v>10</v>
      </c>
      <c r="CN40" s="2"/>
      <c r="CO40" s="2">
        <f t="shared" ref="CO40" si="1103">IF($E40=4,BO40-4,NA())</f>
        <v>2</v>
      </c>
      <c r="CP40" s="2"/>
      <c r="CQ40" s="41">
        <f>BO40-'Zusammenfassung Tag1-4'!$D$2/18</f>
        <v>4.9444444444444446</v>
      </c>
      <c r="CR40" s="13">
        <f t="shared" si="963"/>
        <v>153.22222222222226</v>
      </c>
      <c r="CS40" s="53">
        <v>5</v>
      </c>
      <c r="CT40" s="2">
        <f t="shared" si="964"/>
        <v>175</v>
      </c>
      <c r="CU40" s="56">
        <v>1</v>
      </c>
      <c r="CV40" s="2">
        <f t="shared" si="965"/>
        <v>71</v>
      </c>
      <c r="CW40" s="2">
        <f t="shared" si="872"/>
        <v>0</v>
      </c>
      <c r="CX40" s="2">
        <f t="shared" si="966"/>
        <v>10</v>
      </c>
      <c r="CY40" s="2">
        <f t="shared" si="873"/>
        <v>0</v>
      </c>
      <c r="CZ40" s="2">
        <f t="shared" si="967"/>
        <v>1</v>
      </c>
      <c r="DA40" s="2"/>
      <c r="DB40" s="2">
        <f t="shared" si="874"/>
        <v>0</v>
      </c>
      <c r="DC40" s="2">
        <f t="shared" si="968"/>
        <v>0</v>
      </c>
      <c r="DD40" s="2">
        <f t="shared" si="969"/>
        <v>0</v>
      </c>
      <c r="DE40" s="2">
        <f t="shared" si="970"/>
        <v>4</v>
      </c>
      <c r="DF40" s="2">
        <f t="shared" si="971"/>
        <v>1</v>
      </c>
      <c r="DG40" s="2">
        <f t="shared" si="972"/>
        <v>6</v>
      </c>
      <c r="DH40" s="2">
        <f t="shared" si="973"/>
        <v>0</v>
      </c>
      <c r="DI40" s="2">
        <f t="shared" si="974"/>
        <v>4</v>
      </c>
      <c r="DJ40" s="2">
        <f t="shared" si="975"/>
        <v>0</v>
      </c>
      <c r="DK40" s="2">
        <f t="shared" si="976"/>
        <v>0</v>
      </c>
      <c r="DL40" s="2">
        <f t="shared" si="875"/>
        <v>1</v>
      </c>
      <c r="DM40" s="2">
        <f t="shared" si="977"/>
        <v>4</v>
      </c>
      <c r="DN40" s="2">
        <f t="shared" si="978"/>
        <v>0</v>
      </c>
      <c r="DO40" s="2">
        <f t="shared" si="979"/>
        <v>10</v>
      </c>
      <c r="DP40" s="2">
        <f t="shared" si="876"/>
        <v>0</v>
      </c>
      <c r="DQ40" s="2">
        <f t="shared" si="980"/>
        <v>10</v>
      </c>
      <c r="DR40" s="2"/>
      <c r="DS40" s="2">
        <f t="shared" ref="DS40" si="1104">IF($E40=4,CS40-4,NA())</f>
        <v>1</v>
      </c>
      <c r="DT40" s="2"/>
      <c r="DU40" s="41">
        <f>CS40-'Zusammenfassung Tag1-4'!$E$2/18</f>
        <v>4</v>
      </c>
      <c r="DV40" s="14">
        <f t="shared" si="981"/>
        <v>143</v>
      </c>
      <c r="DW40" s="53">
        <v>5</v>
      </c>
      <c r="DX40" s="2">
        <v>67</v>
      </c>
      <c r="DY40" s="56">
        <v>1</v>
      </c>
      <c r="DZ40" s="2">
        <f t="shared" si="982"/>
        <v>75</v>
      </c>
      <c r="EA40" s="2">
        <f t="shared" si="878"/>
        <v>0</v>
      </c>
      <c r="EB40" s="2">
        <f t="shared" si="983"/>
        <v>0</v>
      </c>
      <c r="EC40" s="2">
        <f t="shared" si="879"/>
        <v>0</v>
      </c>
      <c r="ED40" s="2">
        <f t="shared" si="984"/>
        <v>0</v>
      </c>
      <c r="EE40" s="2"/>
      <c r="EF40" s="2">
        <f t="shared" si="880"/>
        <v>0</v>
      </c>
      <c r="EG40" s="2">
        <f t="shared" si="985"/>
        <v>0</v>
      </c>
      <c r="EH40" s="2">
        <f t="shared" si="986"/>
        <v>0</v>
      </c>
      <c r="EI40" s="2">
        <f t="shared" si="987"/>
        <v>0</v>
      </c>
      <c r="EJ40" s="2">
        <f t="shared" si="988"/>
        <v>1</v>
      </c>
      <c r="EK40" s="2">
        <f t="shared" si="989"/>
        <v>5</v>
      </c>
      <c r="EL40" s="2">
        <f t="shared" si="990"/>
        <v>0</v>
      </c>
      <c r="EM40" s="2">
        <f t="shared" si="991"/>
        <v>9</v>
      </c>
      <c r="EN40" s="2">
        <f t="shared" si="992"/>
        <v>0</v>
      </c>
      <c r="EO40" s="2">
        <f t="shared" si="993"/>
        <v>0</v>
      </c>
      <c r="EP40" s="2">
        <f t="shared" si="881"/>
        <v>1</v>
      </c>
      <c r="EQ40" s="2">
        <f t="shared" si="994"/>
        <v>1</v>
      </c>
      <c r="ER40" s="2">
        <f t="shared" si="995"/>
        <v>0</v>
      </c>
      <c r="ES40" s="2">
        <f t="shared" si="996"/>
        <v>10</v>
      </c>
      <c r="ET40" s="2">
        <f t="shared" si="882"/>
        <v>0</v>
      </c>
      <c r="EU40" s="2">
        <f t="shared" si="997"/>
        <v>11</v>
      </c>
      <c r="EV40" s="2"/>
      <c r="EW40" s="2">
        <f t="shared" ref="EW40" si="1105">IF($E40=4,DW40-4,NA())</f>
        <v>1</v>
      </c>
      <c r="EX40" s="2"/>
      <c r="EY40" s="41">
        <f>DW40-'Zusammenfassung Tag1-4'!$F$2/18</f>
        <v>2.5</v>
      </c>
      <c r="EZ40" s="14">
        <f t="shared" si="998"/>
        <v>151</v>
      </c>
      <c r="FA40" s="53">
        <v>5</v>
      </c>
      <c r="FB40" s="2">
        <v>178</v>
      </c>
      <c r="FC40" s="56">
        <v>2</v>
      </c>
      <c r="FD40" s="2">
        <f t="shared" si="999"/>
        <v>60</v>
      </c>
      <c r="FE40" s="2">
        <f t="shared" si="884"/>
        <v>0</v>
      </c>
      <c r="FF40" s="2">
        <f t="shared" si="1000"/>
        <v>4</v>
      </c>
      <c r="FG40" s="2">
        <f t="shared" si="885"/>
        <v>0</v>
      </c>
      <c r="FH40" s="2">
        <f t="shared" si="1001"/>
        <v>4</v>
      </c>
      <c r="FI40" s="2"/>
      <c r="FJ40" s="2">
        <f t="shared" si="886"/>
        <v>0</v>
      </c>
      <c r="FK40" s="2">
        <f t="shared" si="1002"/>
        <v>0</v>
      </c>
      <c r="FL40" s="2">
        <f t="shared" si="1003"/>
        <v>0</v>
      </c>
      <c r="FM40" s="2">
        <f t="shared" si="1004"/>
        <v>4</v>
      </c>
      <c r="FN40" s="2">
        <f t="shared" si="1005"/>
        <v>1</v>
      </c>
      <c r="FO40" s="2">
        <f t="shared" si="1006"/>
        <v>6</v>
      </c>
      <c r="FP40" s="2">
        <f t="shared" si="1007"/>
        <v>0</v>
      </c>
      <c r="FQ40" s="2">
        <f t="shared" si="1008"/>
        <v>4</v>
      </c>
      <c r="FR40" s="2">
        <f t="shared" si="1009"/>
        <v>0</v>
      </c>
      <c r="FS40" s="2">
        <f t="shared" si="1010"/>
        <v>0</v>
      </c>
      <c r="FT40" s="2">
        <f t="shared" si="887"/>
        <v>0</v>
      </c>
      <c r="FU40" s="2">
        <f t="shared" si="1011"/>
        <v>10</v>
      </c>
      <c r="FV40" s="2">
        <f t="shared" si="1012"/>
        <v>1</v>
      </c>
      <c r="FW40" s="2">
        <f t="shared" si="1013"/>
        <v>6</v>
      </c>
      <c r="FX40" s="2">
        <f t="shared" si="888"/>
        <v>0</v>
      </c>
      <c r="FY40" s="2">
        <f t="shared" si="1014"/>
        <v>6</v>
      </c>
      <c r="FZ40" s="2"/>
      <c r="GA40" s="2">
        <f t="shared" ref="GA40" si="1106">IF($E40=4,FA40-4,NA())</f>
        <v>1</v>
      </c>
      <c r="GB40" s="2"/>
      <c r="GC40" s="41">
        <f>FA40-'Zusammenfassung Tag1-4'!$G$2/18</f>
        <v>3.7222222222222223</v>
      </c>
      <c r="GD40" s="14">
        <f t="shared" si="1015"/>
        <v>136.1111111111112</v>
      </c>
      <c r="GE40" s="53">
        <v>8</v>
      </c>
      <c r="GF40" s="2">
        <v>239</v>
      </c>
      <c r="GG40" s="56">
        <v>3</v>
      </c>
      <c r="GH40" s="2">
        <f t="shared" si="1016"/>
        <v>62</v>
      </c>
      <c r="GI40" s="2">
        <f t="shared" si="890"/>
        <v>0</v>
      </c>
      <c r="GJ40" s="2">
        <f t="shared" si="1017"/>
        <v>1</v>
      </c>
      <c r="GK40" s="2">
        <f t="shared" si="891"/>
        <v>0</v>
      </c>
      <c r="GL40" s="2">
        <f t="shared" si="1018"/>
        <v>1</v>
      </c>
      <c r="GM40" s="2"/>
      <c r="GN40" s="2">
        <f t="shared" si="892"/>
        <v>0</v>
      </c>
      <c r="GO40" s="2">
        <f t="shared" si="1019"/>
        <v>0</v>
      </c>
      <c r="GP40" s="2">
        <f t="shared" si="1020"/>
        <v>0</v>
      </c>
      <c r="GQ40" s="2">
        <f t="shared" si="1021"/>
        <v>0</v>
      </c>
      <c r="GR40" s="2">
        <f t="shared" si="1022"/>
        <v>0</v>
      </c>
      <c r="GS40" s="2">
        <f t="shared" si="1023"/>
        <v>4</v>
      </c>
      <c r="GT40" s="2">
        <f t="shared" si="1024"/>
        <v>1</v>
      </c>
      <c r="GU40" s="2">
        <f t="shared" si="1025"/>
        <v>10</v>
      </c>
      <c r="GV40" s="2">
        <f t="shared" si="1026"/>
        <v>0</v>
      </c>
      <c r="GW40" s="2">
        <f t="shared" si="1027"/>
        <v>0</v>
      </c>
      <c r="GX40" s="2">
        <f t="shared" si="893"/>
        <v>0</v>
      </c>
      <c r="GY40" s="2">
        <f t="shared" si="1028"/>
        <v>6</v>
      </c>
      <c r="GZ40" s="2">
        <f t="shared" si="1029"/>
        <v>0</v>
      </c>
      <c r="HA40" s="2">
        <f t="shared" si="1030"/>
        <v>10</v>
      </c>
      <c r="HB40" s="2">
        <f t="shared" si="894"/>
        <v>1</v>
      </c>
      <c r="HC40" s="2">
        <f t="shared" si="1031"/>
        <v>4</v>
      </c>
      <c r="HD40" s="2"/>
      <c r="HE40" s="2">
        <f t="shared" ref="HE40" si="1107">IF($E40=4,GE40-4,NA())</f>
        <v>4</v>
      </c>
      <c r="HF40" s="2"/>
      <c r="HG40" s="41">
        <f>GE40-'Zusammenfassung Tag1-4'!$H$2/18</f>
        <v>6.2222222222222223</v>
      </c>
      <c r="HH40" s="14">
        <f t="shared" si="1032"/>
        <v>156.11111111111123</v>
      </c>
      <c r="HI40" s="53">
        <v>5</v>
      </c>
      <c r="HJ40" s="2">
        <v>173</v>
      </c>
      <c r="HK40" s="56">
        <v>3</v>
      </c>
      <c r="HL40" s="2">
        <f t="shared" si="1033"/>
        <v>64</v>
      </c>
      <c r="HM40" s="2">
        <f t="shared" si="896"/>
        <v>1</v>
      </c>
      <c r="HN40" s="2">
        <f t="shared" si="1034"/>
        <v>3</v>
      </c>
      <c r="HO40" s="2">
        <f t="shared" si="897"/>
        <v>0</v>
      </c>
      <c r="HP40" s="2">
        <f t="shared" si="1035"/>
        <v>3</v>
      </c>
      <c r="HQ40" s="2"/>
      <c r="HR40" s="2">
        <f t="shared" si="898"/>
        <v>0</v>
      </c>
      <c r="HS40" s="2">
        <f t="shared" si="1036"/>
        <v>0</v>
      </c>
      <c r="HT40" s="2">
        <f t="shared" si="1037"/>
        <v>0</v>
      </c>
      <c r="HU40" s="2">
        <f t="shared" si="1038"/>
        <v>2</v>
      </c>
      <c r="HV40" s="2">
        <f t="shared" si="1039"/>
        <v>1</v>
      </c>
      <c r="HW40" s="2">
        <f t="shared" si="1040"/>
        <v>8</v>
      </c>
      <c r="HX40" s="2">
        <f t="shared" si="1041"/>
        <v>0</v>
      </c>
      <c r="HY40" s="2">
        <f t="shared" si="1042"/>
        <v>4</v>
      </c>
      <c r="HZ40" s="2">
        <f t="shared" si="1043"/>
        <v>0</v>
      </c>
      <c r="IA40" s="2">
        <f t="shared" si="1044"/>
        <v>0</v>
      </c>
      <c r="IB40" s="2">
        <f t="shared" si="899"/>
        <v>0</v>
      </c>
      <c r="IC40" s="2">
        <f t="shared" si="1045"/>
        <v>6</v>
      </c>
      <c r="ID40" s="2">
        <f t="shared" si="1046"/>
        <v>0</v>
      </c>
      <c r="IE40" s="2">
        <f t="shared" si="1047"/>
        <v>7</v>
      </c>
      <c r="IF40" s="2">
        <f t="shared" si="900"/>
        <v>1</v>
      </c>
      <c r="IG40" s="2">
        <f t="shared" si="1048"/>
        <v>6</v>
      </c>
      <c r="IH40" s="2"/>
      <c r="II40" s="2">
        <f t="shared" ref="II40" si="1108">IF($E40=4,HI40-4,NA())</f>
        <v>1</v>
      </c>
      <c r="IJ40" s="2"/>
      <c r="IK40" s="41">
        <f>HI40-'Zusammenfassung Tag1-4'!$I$2/18</f>
        <v>4.1111111111111107</v>
      </c>
      <c r="IL40" s="14">
        <f t="shared" si="1049"/>
        <v>151.55555555555563</v>
      </c>
      <c r="IM40" s="53">
        <v>9</v>
      </c>
      <c r="IN40" s="2">
        <v>103</v>
      </c>
      <c r="IO40" s="56">
        <v>1</v>
      </c>
      <c r="IP40" s="2">
        <f t="shared" si="1050"/>
        <v>78</v>
      </c>
      <c r="IQ40" s="2">
        <f t="shared" si="902"/>
        <v>0</v>
      </c>
      <c r="IR40" s="2">
        <f t="shared" si="1051"/>
        <v>5</v>
      </c>
      <c r="IS40" s="2">
        <f t="shared" si="903"/>
        <v>0</v>
      </c>
      <c r="IT40" s="2">
        <f t="shared" si="1052"/>
        <v>0</v>
      </c>
      <c r="IU40" s="2"/>
      <c r="IV40" s="2">
        <f t="shared" si="904"/>
        <v>0</v>
      </c>
      <c r="IW40" s="2">
        <f t="shared" si="1053"/>
        <v>0</v>
      </c>
      <c r="IX40" s="2">
        <f t="shared" si="1054"/>
        <v>0</v>
      </c>
      <c r="IY40" s="2">
        <f t="shared" si="1055"/>
        <v>0</v>
      </c>
      <c r="IZ40" s="2">
        <f t="shared" si="1056"/>
        <v>0</v>
      </c>
      <c r="JA40" s="2">
        <f t="shared" si="1057"/>
        <v>3</v>
      </c>
      <c r="JB40" s="2">
        <f t="shared" si="1058"/>
        <v>1</v>
      </c>
      <c r="JC40" s="2">
        <f t="shared" si="1059"/>
        <v>11</v>
      </c>
      <c r="JD40" s="2">
        <f t="shared" si="1060"/>
        <v>0</v>
      </c>
      <c r="JE40" s="2">
        <f t="shared" si="1061"/>
        <v>0</v>
      </c>
      <c r="JF40" s="2">
        <f t="shared" si="905"/>
        <v>1</v>
      </c>
      <c r="JG40" s="2">
        <f t="shared" si="1062"/>
        <v>3</v>
      </c>
      <c r="JH40" s="2">
        <f t="shared" si="1063"/>
        <v>0</v>
      </c>
      <c r="JI40" s="2">
        <f t="shared" si="1064"/>
        <v>7</v>
      </c>
      <c r="JJ40" s="2">
        <f t="shared" si="906"/>
        <v>0</v>
      </c>
      <c r="JK40" s="2">
        <f t="shared" si="1065"/>
        <v>13</v>
      </c>
      <c r="JL40" s="2"/>
      <c r="JM40" s="2">
        <f t="shared" ref="JM40" si="1109">IF($E40=4,IM40-4,NA())</f>
        <v>5</v>
      </c>
      <c r="JN40" s="2"/>
      <c r="JO40" s="41">
        <f>IM40-'Zusammenfassung Tag1-4'!$J$2/18</f>
        <v>6.6666666666666661</v>
      </c>
      <c r="JP40" s="14">
        <f t="shared" si="1066"/>
        <v>144.33333333333334</v>
      </c>
      <c r="JQ40" s="53"/>
      <c r="JR40" s="2"/>
      <c r="JS40" s="56"/>
      <c r="JT40" s="2">
        <f t="shared" si="1067"/>
        <v>0</v>
      </c>
      <c r="JU40" s="2">
        <f t="shared" si="908"/>
        <v>1</v>
      </c>
      <c r="JV40" s="2">
        <f t="shared" si="1068"/>
        <v>32</v>
      </c>
      <c r="JW40" s="2">
        <f t="shared" si="909"/>
        <v>0</v>
      </c>
      <c r="JX40" s="2">
        <f t="shared" si="1069"/>
        <v>0</v>
      </c>
      <c r="JY40" s="2"/>
      <c r="JZ40" s="2">
        <f t="shared" si="910"/>
        <v>0</v>
      </c>
      <c r="KA40" s="2">
        <f t="shared" si="1070"/>
        <v>0</v>
      </c>
      <c r="KB40" s="2">
        <f t="shared" si="1071"/>
        <v>0</v>
      </c>
      <c r="KC40" s="2">
        <f t="shared" si="1072"/>
        <v>0</v>
      </c>
      <c r="KD40" s="2">
        <f t="shared" si="1073"/>
        <v>0</v>
      </c>
      <c r="KE40" s="2">
        <f t="shared" si="1074"/>
        <v>0</v>
      </c>
      <c r="KF40" s="2">
        <f t="shared" si="1075"/>
        <v>0</v>
      </c>
      <c r="KG40" s="2">
        <f t="shared" si="1076"/>
        <v>0</v>
      </c>
      <c r="KH40" s="2">
        <f t="shared" si="1077"/>
        <v>1</v>
      </c>
      <c r="KI40" s="2">
        <f t="shared" si="1078"/>
        <v>14</v>
      </c>
      <c r="KJ40" s="2">
        <f t="shared" si="911"/>
        <v>0</v>
      </c>
      <c r="KK40" s="2">
        <f t="shared" si="1079"/>
        <v>0</v>
      </c>
      <c r="KL40" s="2">
        <f t="shared" si="1080"/>
        <v>0</v>
      </c>
      <c r="KM40" s="2">
        <f t="shared" si="1081"/>
        <v>0</v>
      </c>
      <c r="KN40" s="2">
        <f t="shared" si="912"/>
        <v>0</v>
      </c>
      <c r="KO40" s="2">
        <f t="shared" si="1082"/>
        <v>0</v>
      </c>
      <c r="KP40" s="2"/>
      <c r="KQ40" s="2">
        <f t="shared" ref="KQ40" si="1110">IF($E40=4,JQ40-4,NA())</f>
        <v>-4</v>
      </c>
      <c r="KR40" s="2"/>
      <c r="KS40" s="41" t="e">
        <f>JQ40-'Zusammenfassung Tag1-4'!#REF!/18</f>
        <v>#REF!</v>
      </c>
      <c r="KT40" s="14" t="e">
        <f t="shared" si="1083"/>
        <v>#REF!</v>
      </c>
    </row>
    <row r="41" spans="1:306" ht="13.2" x14ac:dyDescent="0.25">
      <c r="A41" s="179"/>
      <c r="B41" s="176"/>
      <c r="C41" s="44">
        <v>15</v>
      </c>
      <c r="D41" s="2">
        <f t="shared" si="914"/>
        <v>33</v>
      </c>
      <c r="E41" s="44">
        <v>3</v>
      </c>
      <c r="F41" s="4">
        <f t="shared" si="915"/>
        <v>132</v>
      </c>
      <c r="G41" s="53">
        <v>3</v>
      </c>
      <c r="H41" s="2">
        <f t="shared" si="916"/>
        <v>159</v>
      </c>
      <c r="I41" s="56">
        <v>2</v>
      </c>
      <c r="J41" s="2">
        <f t="shared" si="917"/>
        <v>64</v>
      </c>
      <c r="K41" s="2">
        <f t="shared" si="850"/>
        <v>1</v>
      </c>
      <c r="L41" s="2">
        <f t="shared" si="918"/>
        <v>10</v>
      </c>
      <c r="M41" s="2">
        <f t="shared" si="851"/>
        <v>0</v>
      </c>
      <c r="N41" s="2">
        <f t="shared" si="919"/>
        <v>4</v>
      </c>
      <c r="O41" s="2"/>
      <c r="P41" s="2">
        <f t="shared" si="852"/>
        <v>0</v>
      </c>
      <c r="Q41" s="2">
        <f t="shared" si="920"/>
        <v>1</v>
      </c>
      <c r="R41" s="2">
        <f t="shared" si="853"/>
        <v>1</v>
      </c>
      <c r="S41" s="2">
        <f t="shared" si="921"/>
        <v>5</v>
      </c>
      <c r="T41" s="2">
        <f t="shared" si="854"/>
        <v>0</v>
      </c>
      <c r="U41" s="2">
        <f t="shared" si="922"/>
        <v>6</v>
      </c>
      <c r="V41" s="2">
        <f t="shared" si="855"/>
        <v>0</v>
      </c>
      <c r="W41" s="2">
        <f t="shared" si="923"/>
        <v>4</v>
      </c>
      <c r="X41" s="2">
        <f t="shared" si="856"/>
        <v>0</v>
      </c>
      <c r="Y41" s="2">
        <f t="shared" si="924"/>
        <v>1</v>
      </c>
      <c r="Z41" s="2">
        <f t="shared" si="857"/>
        <v>0</v>
      </c>
      <c r="AA41" s="2">
        <f t="shared" si="925"/>
        <v>4</v>
      </c>
      <c r="AB41" s="2">
        <f t="shared" si="858"/>
        <v>1</v>
      </c>
      <c r="AC41" s="2">
        <f t="shared" si="926"/>
        <v>12</v>
      </c>
      <c r="AD41" s="2">
        <f t="shared" si="859"/>
        <v>0</v>
      </c>
      <c r="AE41" s="2">
        <f t="shared" si="927"/>
        <v>3</v>
      </c>
      <c r="AF41" s="2">
        <f>IF($E41=3,G41-3,NA())</f>
        <v>0</v>
      </c>
      <c r="AG41" s="2"/>
      <c r="AH41" s="2"/>
      <c r="AI41" s="41">
        <f>G41-'Zusammenfassung Tag1-4'!$B$2/18</f>
        <v>2.1666666666666665</v>
      </c>
      <c r="AJ41" s="13">
        <f t="shared" si="928"/>
        <v>131.50000000000003</v>
      </c>
      <c r="AK41" s="53">
        <v>3</v>
      </c>
      <c r="AL41" s="2">
        <f t="shared" si="929"/>
        <v>161</v>
      </c>
      <c r="AM41" s="56">
        <v>2</v>
      </c>
      <c r="AN41" s="2">
        <f t="shared" si="930"/>
        <v>64</v>
      </c>
      <c r="AO41" s="2">
        <f t="shared" si="860"/>
        <v>1</v>
      </c>
      <c r="AP41" s="2">
        <f t="shared" si="931"/>
        <v>14</v>
      </c>
      <c r="AQ41" s="2">
        <f t="shared" si="861"/>
        <v>0</v>
      </c>
      <c r="AR41" s="2">
        <f t="shared" si="932"/>
        <v>4</v>
      </c>
      <c r="AS41" s="2"/>
      <c r="AT41" s="2">
        <f t="shared" si="862"/>
        <v>0</v>
      </c>
      <c r="AU41" s="2">
        <f t="shared" si="933"/>
        <v>0</v>
      </c>
      <c r="AV41" s="2">
        <f t="shared" si="934"/>
        <v>1</v>
      </c>
      <c r="AW41" s="2">
        <f t="shared" si="935"/>
        <v>8</v>
      </c>
      <c r="AX41" s="2">
        <f t="shared" si="936"/>
        <v>0</v>
      </c>
      <c r="AY41" s="2">
        <f t="shared" si="937"/>
        <v>6</v>
      </c>
      <c r="AZ41" s="2">
        <f t="shared" si="938"/>
        <v>0</v>
      </c>
      <c r="BA41" s="2">
        <f t="shared" si="939"/>
        <v>1</v>
      </c>
      <c r="BB41" s="2">
        <f t="shared" si="940"/>
        <v>0</v>
      </c>
      <c r="BC41" s="2">
        <f t="shared" si="941"/>
        <v>0</v>
      </c>
      <c r="BD41" s="2">
        <f t="shared" si="863"/>
        <v>0</v>
      </c>
      <c r="BE41" s="2">
        <f t="shared" si="942"/>
        <v>6</v>
      </c>
      <c r="BF41" s="2">
        <f t="shared" si="943"/>
        <v>1</v>
      </c>
      <c r="BG41" s="2">
        <f t="shared" si="944"/>
        <v>9</v>
      </c>
      <c r="BH41" s="2">
        <f t="shared" si="864"/>
        <v>0</v>
      </c>
      <c r="BI41" s="2">
        <f t="shared" si="945"/>
        <v>4</v>
      </c>
      <c r="BJ41" s="2">
        <f t="shared" ref="BJ41" si="1111">IF($E41=3,AK41-3,NA())</f>
        <v>0</v>
      </c>
      <c r="BK41" s="2"/>
      <c r="BL41" s="2"/>
      <c r="BM41" s="41">
        <f>AK41-'Zusammenfassung Tag1-4'!$C$2/18</f>
        <v>2.4444444444444446</v>
      </c>
      <c r="BN41" s="13">
        <f t="shared" si="946"/>
        <v>142.66666666666669</v>
      </c>
      <c r="BO41" s="53">
        <v>4</v>
      </c>
      <c r="BP41" s="2">
        <f t="shared" si="947"/>
        <v>191</v>
      </c>
      <c r="BQ41" s="56">
        <v>3</v>
      </c>
      <c r="BR41" s="2">
        <f t="shared" si="948"/>
        <v>76</v>
      </c>
      <c r="BS41" s="2">
        <f t="shared" si="866"/>
        <v>1</v>
      </c>
      <c r="BT41" s="2">
        <f t="shared" si="949"/>
        <v>8</v>
      </c>
      <c r="BU41" s="2">
        <f t="shared" si="867"/>
        <v>0</v>
      </c>
      <c r="BV41" s="2">
        <f t="shared" si="950"/>
        <v>0</v>
      </c>
      <c r="BW41" s="2"/>
      <c r="BX41" s="2">
        <f t="shared" si="868"/>
        <v>0</v>
      </c>
      <c r="BY41" s="2">
        <f t="shared" si="951"/>
        <v>0</v>
      </c>
      <c r="BZ41" s="2">
        <f t="shared" si="952"/>
        <v>0</v>
      </c>
      <c r="CA41" s="2">
        <f t="shared" si="953"/>
        <v>2</v>
      </c>
      <c r="CB41" s="2">
        <f t="shared" si="954"/>
        <v>1</v>
      </c>
      <c r="CC41" s="2">
        <f t="shared" si="955"/>
        <v>6</v>
      </c>
      <c r="CD41" s="2">
        <f t="shared" si="956"/>
        <v>0</v>
      </c>
      <c r="CE41" s="2">
        <f t="shared" si="957"/>
        <v>7</v>
      </c>
      <c r="CF41" s="2">
        <f t="shared" si="958"/>
        <v>0</v>
      </c>
      <c r="CG41" s="2">
        <f t="shared" si="951"/>
        <v>0</v>
      </c>
      <c r="CH41" s="2">
        <f t="shared" si="869"/>
        <v>0</v>
      </c>
      <c r="CI41" s="2">
        <f t="shared" si="959"/>
        <v>1</v>
      </c>
      <c r="CJ41" s="2">
        <f t="shared" si="960"/>
        <v>0</v>
      </c>
      <c r="CK41" s="2">
        <f t="shared" si="961"/>
        <v>11</v>
      </c>
      <c r="CL41" s="2">
        <f t="shared" si="870"/>
        <v>1</v>
      </c>
      <c r="CM41" s="2">
        <f t="shared" si="962"/>
        <v>11</v>
      </c>
      <c r="CN41" s="2">
        <f t="shared" ref="CN41" si="1112">IF($E41=3,BO41-3,NA())</f>
        <v>1</v>
      </c>
      <c r="CO41" s="2"/>
      <c r="CP41" s="2"/>
      <c r="CQ41" s="41">
        <f>BO41-'Zusammenfassung Tag1-4'!$D$2/18</f>
        <v>2.9444444444444446</v>
      </c>
      <c r="CR41" s="13">
        <f t="shared" si="963"/>
        <v>156.16666666666671</v>
      </c>
      <c r="CS41" s="53">
        <v>5</v>
      </c>
      <c r="CT41" s="2">
        <f t="shared" si="964"/>
        <v>180</v>
      </c>
      <c r="CU41" s="56">
        <v>3</v>
      </c>
      <c r="CV41" s="2">
        <f t="shared" si="965"/>
        <v>74</v>
      </c>
      <c r="CW41" s="2">
        <f t="shared" si="872"/>
        <v>0</v>
      </c>
      <c r="CX41" s="2">
        <f t="shared" si="966"/>
        <v>10</v>
      </c>
      <c r="CY41" s="2">
        <f t="shared" si="873"/>
        <v>0</v>
      </c>
      <c r="CZ41" s="2">
        <f t="shared" si="967"/>
        <v>1</v>
      </c>
      <c r="DA41" s="2"/>
      <c r="DB41" s="2">
        <f t="shared" si="874"/>
        <v>0</v>
      </c>
      <c r="DC41" s="2">
        <f t="shared" si="968"/>
        <v>0</v>
      </c>
      <c r="DD41" s="2">
        <f t="shared" si="969"/>
        <v>0</v>
      </c>
      <c r="DE41" s="2">
        <f t="shared" si="970"/>
        <v>4</v>
      </c>
      <c r="DF41" s="2">
        <f t="shared" si="971"/>
        <v>0</v>
      </c>
      <c r="DG41" s="2">
        <f t="shared" si="972"/>
        <v>6</v>
      </c>
      <c r="DH41" s="2">
        <f t="shared" si="973"/>
        <v>1</v>
      </c>
      <c r="DI41" s="2">
        <f t="shared" si="974"/>
        <v>5</v>
      </c>
      <c r="DJ41" s="2">
        <f t="shared" si="975"/>
        <v>0</v>
      </c>
      <c r="DK41" s="2">
        <f t="shared" si="976"/>
        <v>0</v>
      </c>
      <c r="DL41" s="2">
        <f t="shared" si="875"/>
        <v>0</v>
      </c>
      <c r="DM41" s="2">
        <f t="shared" si="977"/>
        <v>4</v>
      </c>
      <c r="DN41" s="2">
        <f t="shared" si="978"/>
        <v>0</v>
      </c>
      <c r="DO41" s="2">
        <f t="shared" si="979"/>
        <v>10</v>
      </c>
      <c r="DP41" s="2">
        <f t="shared" si="876"/>
        <v>1</v>
      </c>
      <c r="DQ41" s="2">
        <f t="shared" si="980"/>
        <v>11</v>
      </c>
      <c r="DR41" s="2">
        <f t="shared" ref="DR41" si="1113">IF($E41=3,CS41-3,NA())</f>
        <v>2</v>
      </c>
      <c r="DS41" s="2"/>
      <c r="DT41" s="2"/>
      <c r="DU41" s="41">
        <f>CS41-'Zusammenfassung Tag1-4'!$E$2/18</f>
        <v>4</v>
      </c>
      <c r="DV41" s="14">
        <f t="shared" si="981"/>
        <v>147</v>
      </c>
      <c r="DW41" s="53">
        <v>6</v>
      </c>
      <c r="DX41" s="2">
        <v>71</v>
      </c>
      <c r="DY41" s="56">
        <v>3</v>
      </c>
      <c r="DZ41" s="2">
        <f t="shared" si="982"/>
        <v>78</v>
      </c>
      <c r="EA41" s="2">
        <f t="shared" si="878"/>
        <v>0</v>
      </c>
      <c r="EB41" s="2">
        <f t="shared" si="983"/>
        <v>0</v>
      </c>
      <c r="EC41" s="2">
        <f t="shared" si="879"/>
        <v>0</v>
      </c>
      <c r="ED41" s="2">
        <f t="shared" si="984"/>
        <v>0</v>
      </c>
      <c r="EE41" s="2"/>
      <c r="EF41" s="2">
        <f t="shared" si="880"/>
        <v>0</v>
      </c>
      <c r="EG41" s="2">
        <f t="shared" si="985"/>
        <v>0</v>
      </c>
      <c r="EH41" s="2">
        <f t="shared" si="986"/>
        <v>0</v>
      </c>
      <c r="EI41" s="2">
        <f t="shared" si="987"/>
        <v>0</v>
      </c>
      <c r="EJ41" s="2">
        <f t="shared" si="988"/>
        <v>0</v>
      </c>
      <c r="EK41" s="2">
        <f t="shared" si="989"/>
        <v>5</v>
      </c>
      <c r="EL41" s="2">
        <f t="shared" si="990"/>
        <v>1</v>
      </c>
      <c r="EM41" s="2">
        <f t="shared" si="991"/>
        <v>10</v>
      </c>
      <c r="EN41" s="2">
        <f t="shared" si="992"/>
        <v>0</v>
      </c>
      <c r="EO41" s="2">
        <f t="shared" si="993"/>
        <v>0</v>
      </c>
      <c r="EP41" s="2">
        <f t="shared" si="881"/>
        <v>0</v>
      </c>
      <c r="EQ41" s="2">
        <f t="shared" si="994"/>
        <v>1</v>
      </c>
      <c r="ER41" s="2">
        <f t="shared" si="995"/>
        <v>0</v>
      </c>
      <c r="ES41" s="2">
        <f t="shared" si="996"/>
        <v>10</v>
      </c>
      <c r="ET41" s="2">
        <f t="shared" si="882"/>
        <v>1</v>
      </c>
      <c r="EU41" s="2">
        <f t="shared" si="997"/>
        <v>12</v>
      </c>
      <c r="EV41" s="2">
        <f t="shared" ref="EV41" si="1114">IF($E41=3,DW41-3,NA())</f>
        <v>3</v>
      </c>
      <c r="EW41" s="2"/>
      <c r="EX41" s="2"/>
      <c r="EY41" s="41">
        <f>DW41-'Zusammenfassung Tag1-4'!$F$2/18</f>
        <v>3.5</v>
      </c>
      <c r="EZ41" s="14">
        <f t="shared" si="998"/>
        <v>154.5</v>
      </c>
      <c r="FA41" s="53">
        <v>4</v>
      </c>
      <c r="FB41" s="2">
        <v>182</v>
      </c>
      <c r="FC41" s="56">
        <v>3</v>
      </c>
      <c r="FD41" s="2">
        <f t="shared" si="999"/>
        <v>63</v>
      </c>
      <c r="FE41" s="2">
        <f t="shared" si="884"/>
        <v>1</v>
      </c>
      <c r="FF41" s="2">
        <f t="shared" si="1000"/>
        <v>5</v>
      </c>
      <c r="FG41" s="2">
        <f t="shared" si="885"/>
        <v>0</v>
      </c>
      <c r="FH41" s="2">
        <f t="shared" si="1001"/>
        <v>4</v>
      </c>
      <c r="FI41" s="2"/>
      <c r="FJ41" s="2">
        <f t="shared" si="886"/>
        <v>0</v>
      </c>
      <c r="FK41" s="2">
        <f t="shared" si="1002"/>
        <v>0</v>
      </c>
      <c r="FL41" s="2">
        <f t="shared" si="1003"/>
        <v>0</v>
      </c>
      <c r="FM41" s="2">
        <f t="shared" si="1004"/>
        <v>4</v>
      </c>
      <c r="FN41" s="2">
        <f t="shared" si="1005"/>
        <v>1</v>
      </c>
      <c r="FO41" s="2">
        <f t="shared" si="1006"/>
        <v>7</v>
      </c>
      <c r="FP41" s="2">
        <f t="shared" si="1007"/>
        <v>0</v>
      </c>
      <c r="FQ41" s="2">
        <f t="shared" si="1008"/>
        <v>4</v>
      </c>
      <c r="FR41" s="2">
        <f t="shared" si="1009"/>
        <v>0</v>
      </c>
      <c r="FS41" s="2">
        <f t="shared" si="1010"/>
        <v>0</v>
      </c>
      <c r="FT41" s="2">
        <f t="shared" si="887"/>
        <v>0</v>
      </c>
      <c r="FU41" s="2">
        <f t="shared" si="1011"/>
        <v>10</v>
      </c>
      <c r="FV41" s="2">
        <f t="shared" si="1012"/>
        <v>0</v>
      </c>
      <c r="FW41" s="2">
        <f t="shared" si="1013"/>
        <v>6</v>
      </c>
      <c r="FX41" s="2">
        <f t="shared" si="888"/>
        <v>1</v>
      </c>
      <c r="FY41" s="2">
        <f t="shared" si="1014"/>
        <v>7</v>
      </c>
      <c r="FZ41" s="2">
        <f t="shared" ref="FZ41" si="1115">IF($E41=3,FA41-3,NA())</f>
        <v>1</v>
      </c>
      <c r="GA41" s="2"/>
      <c r="GB41" s="2"/>
      <c r="GC41" s="41">
        <f>FA41-'Zusammenfassung Tag1-4'!$G$2/18</f>
        <v>2.7222222222222223</v>
      </c>
      <c r="GD41" s="14">
        <f t="shared" si="1015"/>
        <v>138.83333333333343</v>
      </c>
      <c r="GE41" s="53">
        <v>5</v>
      </c>
      <c r="GF41" s="2">
        <v>243</v>
      </c>
      <c r="GG41" s="56">
        <v>2</v>
      </c>
      <c r="GH41" s="2">
        <f t="shared" si="1016"/>
        <v>64</v>
      </c>
      <c r="GI41" s="2">
        <f t="shared" si="890"/>
        <v>0</v>
      </c>
      <c r="GJ41" s="2">
        <f t="shared" si="1017"/>
        <v>1</v>
      </c>
      <c r="GK41" s="2">
        <f t="shared" si="891"/>
        <v>0</v>
      </c>
      <c r="GL41" s="2">
        <f t="shared" si="1018"/>
        <v>1</v>
      </c>
      <c r="GM41" s="2"/>
      <c r="GN41" s="2">
        <f t="shared" si="892"/>
        <v>0</v>
      </c>
      <c r="GO41" s="2">
        <f t="shared" si="1019"/>
        <v>0</v>
      </c>
      <c r="GP41" s="2">
        <f t="shared" si="1020"/>
        <v>0</v>
      </c>
      <c r="GQ41" s="2">
        <f t="shared" si="1021"/>
        <v>0</v>
      </c>
      <c r="GR41" s="2">
        <f t="shared" si="1022"/>
        <v>0</v>
      </c>
      <c r="GS41" s="2">
        <f t="shared" si="1023"/>
        <v>4</v>
      </c>
      <c r="GT41" s="2">
        <f t="shared" si="1024"/>
        <v>1</v>
      </c>
      <c r="GU41" s="2">
        <f t="shared" si="1025"/>
        <v>11</v>
      </c>
      <c r="GV41" s="2">
        <f t="shared" si="1026"/>
        <v>0</v>
      </c>
      <c r="GW41" s="2">
        <f t="shared" si="1027"/>
        <v>0</v>
      </c>
      <c r="GX41" s="2">
        <f t="shared" si="893"/>
        <v>0</v>
      </c>
      <c r="GY41" s="2">
        <f t="shared" si="1028"/>
        <v>6</v>
      </c>
      <c r="GZ41" s="2">
        <f t="shared" si="1029"/>
        <v>1</v>
      </c>
      <c r="HA41" s="2">
        <f t="shared" si="1030"/>
        <v>11</v>
      </c>
      <c r="HB41" s="2">
        <f t="shared" si="894"/>
        <v>0</v>
      </c>
      <c r="HC41" s="2">
        <f t="shared" si="1031"/>
        <v>4</v>
      </c>
      <c r="HD41" s="2">
        <f t="shared" ref="HD41" si="1116">IF($E41=3,GE41-3,NA())</f>
        <v>2</v>
      </c>
      <c r="HE41" s="2"/>
      <c r="HF41" s="2"/>
      <c r="HG41" s="41">
        <f>GE41-'Zusammenfassung Tag1-4'!$H$2/18</f>
        <v>3.2222222222222223</v>
      </c>
      <c r="HH41" s="14">
        <f t="shared" si="1032"/>
        <v>159.33333333333346</v>
      </c>
      <c r="HI41" s="53">
        <v>4</v>
      </c>
      <c r="HJ41" s="2">
        <v>178</v>
      </c>
      <c r="HK41" s="56">
        <v>3</v>
      </c>
      <c r="HL41" s="2">
        <f t="shared" si="1033"/>
        <v>67</v>
      </c>
      <c r="HM41" s="2">
        <f t="shared" si="896"/>
        <v>1</v>
      </c>
      <c r="HN41" s="2">
        <f t="shared" si="1034"/>
        <v>4</v>
      </c>
      <c r="HO41" s="2">
        <f t="shared" si="897"/>
        <v>0</v>
      </c>
      <c r="HP41" s="2">
        <f t="shared" si="1035"/>
        <v>3</v>
      </c>
      <c r="HQ41" s="2"/>
      <c r="HR41" s="2">
        <f t="shared" si="898"/>
        <v>0</v>
      </c>
      <c r="HS41" s="2">
        <f t="shared" si="1036"/>
        <v>0</v>
      </c>
      <c r="HT41" s="2">
        <f t="shared" si="1037"/>
        <v>0</v>
      </c>
      <c r="HU41" s="2">
        <f t="shared" si="1038"/>
        <v>2</v>
      </c>
      <c r="HV41" s="2">
        <f t="shared" si="1039"/>
        <v>1</v>
      </c>
      <c r="HW41" s="2">
        <f t="shared" si="1040"/>
        <v>9</v>
      </c>
      <c r="HX41" s="2">
        <f t="shared" si="1041"/>
        <v>0</v>
      </c>
      <c r="HY41" s="2">
        <f t="shared" si="1042"/>
        <v>4</v>
      </c>
      <c r="HZ41" s="2">
        <f t="shared" si="1043"/>
        <v>0</v>
      </c>
      <c r="IA41" s="2">
        <f t="shared" si="1044"/>
        <v>0</v>
      </c>
      <c r="IB41" s="2">
        <f t="shared" si="899"/>
        <v>0</v>
      </c>
      <c r="IC41" s="2">
        <f t="shared" si="1045"/>
        <v>6</v>
      </c>
      <c r="ID41" s="2">
        <f t="shared" si="1046"/>
        <v>0</v>
      </c>
      <c r="IE41" s="2">
        <f t="shared" si="1047"/>
        <v>7</v>
      </c>
      <c r="IF41" s="2">
        <f t="shared" si="900"/>
        <v>1</v>
      </c>
      <c r="IG41" s="2">
        <f t="shared" si="1048"/>
        <v>7</v>
      </c>
      <c r="IH41" s="2">
        <f t="shared" ref="IH41" si="1117">IF($E41=3,HI41-3,NA())</f>
        <v>1</v>
      </c>
      <c r="II41" s="2"/>
      <c r="IJ41" s="2"/>
      <c r="IK41" s="41">
        <f>HI41-'Zusammenfassung Tag1-4'!$I$2/18</f>
        <v>3.1111111111111112</v>
      </c>
      <c r="IL41" s="14">
        <f t="shared" si="1049"/>
        <v>154.66666666666674</v>
      </c>
      <c r="IM41" s="53">
        <v>2</v>
      </c>
      <c r="IN41" s="2">
        <v>111</v>
      </c>
      <c r="IO41" s="56">
        <v>1</v>
      </c>
      <c r="IP41" s="2">
        <f t="shared" si="1050"/>
        <v>79</v>
      </c>
      <c r="IQ41" s="2">
        <f t="shared" si="902"/>
        <v>1</v>
      </c>
      <c r="IR41" s="2">
        <f t="shared" si="1051"/>
        <v>6</v>
      </c>
      <c r="IS41" s="2">
        <f t="shared" si="903"/>
        <v>0</v>
      </c>
      <c r="IT41" s="2">
        <f t="shared" si="1052"/>
        <v>0</v>
      </c>
      <c r="IU41" s="2"/>
      <c r="IV41" s="2">
        <f t="shared" si="904"/>
        <v>1</v>
      </c>
      <c r="IW41" s="2">
        <f t="shared" si="1053"/>
        <v>1</v>
      </c>
      <c r="IX41" s="2">
        <f t="shared" si="1054"/>
        <v>0</v>
      </c>
      <c r="IY41" s="2">
        <f t="shared" si="1055"/>
        <v>0</v>
      </c>
      <c r="IZ41" s="2">
        <f t="shared" si="1056"/>
        <v>0</v>
      </c>
      <c r="JA41" s="2">
        <f t="shared" si="1057"/>
        <v>3</v>
      </c>
      <c r="JB41" s="2">
        <f t="shared" si="1058"/>
        <v>0</v>
      </c>
      <c r="JC41" s="2">
        <f t="shared" si="1059"/>
        <v>11</v>
      </c>
      <c r="JD41" s="2">
        <f t="shared" si="1060"/>
        <v>0</v>
      </c>
      <c r="JE41" s="2">
        <f t="shared" si="1061"/>
        <v>0</v>
      </c>
      <c r="JF41" s="2">
        <f t="shared" si="905"/>
        <v>1</v>
      </c>
      <c r="JG41" s="2">
        <f t="shared" si="1062"/>
        <v>4</v>
      </c>
      <c r="JH41" s="2">
        <f t="shared" si="1063"/>
        <v>0</v>
      </c>
      <c r="JI41" s="2">
        <f t="shared" si="1064"/>
        <v>7</v>
      </c>
      <c r="JJ41" s="2">
        <f t="shared" si="906"/>
        <v>0</v>
      </c>
      <c r="JK41" s="2">
        <f t="shared" si="1065"/>
        <v>13</v>
      </c>
      <c r="JL41" s="2">
        <f t="shared" ref="JL41" si="1118">IF($E41=3,IM41-3,NA())</f>
        <v>-1</v>
      </c>
      <c r="JM41" s="2"/>
      <c r="JN41" s="2"/>
      <c r="JO41" s="41">
        <f>IM41-'Zusammenfassung Tag1-4'!$J$2/18</f>
        <v>-0.33333333333333348</v>
      </c>
      <c r="JP41" s="14">
        <f t="shared" si="1066"/>
        <v>144</v>
      </c>
      <c r="JQ41" s="53"/>
      <c r="JR41" s="2"/>
      <c r="JS41" s="56"/>
      <c r="JT41" s="2">
        <f t="shared" si="1067"/>
        <v>0</v>
      </c>
      <c r="JU41" s="2">
        <f t="shared" si="908"/>
        <v>1</v>
      </c>
      <c r="JV41" s="2">
        <f t="shared" si="1068"/>
        <v>33</v>
      </c>
      <c r="JW41" s="2">
        <f t="shared" si="909"/>
        <v>0</v>
      </c>
      <c r="JX41" s="2">
        <f t="shared" si="1069"/>
        <v>0</v>
      </c>
      <c r="JY41" s="2"/>
      <c r="JZ41" s="2">
        <f t="shared" si="910"/>
        <v>0</v>
      </c>
      <c r="KA41" s="2">
        <f t="shared" si="1070"/>
        <v>0</v>
      </c>
      <c r="KB41" s="2">
        <f t="shared" si="1071"/>
        <v>0</v>
      </c>
      <c r="KC41" s="2">
        <f t="shared" si="1072"/>
        <v>0</v>
      </c>
      <c r="KD41" s="2">
        <f t="shared" si="1073"/>
        <v>0</v>
      </c>
      <c r="KE41" s="2">
        <f t="shared" si="1074"/>
        <v>0</v>
      </c>
      <c r="KF41" s="2">
        <f t="shared" si="1075"/>
        <v>0</v>
      </c>
      <c r="KG41" s="2">
        <f t="shared" si="1076"/>
        <v>0</v>
      </c>
      <c r="KH41" s="2">
        <f t="shared" si="1077"/>
        <v>1</v>
      </c>
      <c r="KI41" s="2">
        <f t="shared" si="1078"/>
        <v>15</v>
      </c>
      <c r="KJ41" s="2">
        <f t="shared" si="911"/>
        <v>0</v>
      </c>
      <c r="KK41" s="2">
        <f t="shared" si="1079"/>
        <v>0</v>
      </c>
      <c r="KL41" s="2">
        <f t="shared" si="1080"/>
        <v>0</v>
      </c>
      <c r="KM41" s="2">
        <f t="shared" si="1081"/>
        <v>0</v>
      </c>
      <c r="KN41" s="2">
        <f t="shared" si="912"/>
        <v>0</v>
      </c>
      <c r="KO41" s="2">
        <f t="shared" si="1082"/>
        <v>0</v>
      </c>
      <c r="KP41" s="2">
        <f t="shared" ref="KP41" si="1119">IF($E41=3,JQ41-3,NA())</f>
        <v>-3</v>
      </c>
      <c r="KQ41" s="2"/>
      <c r="KR41" s="2"/>
      <c r="KS41" s="41" t="e">
        <f>JQ41-'Zusammenfassung Tag1-4'!#REF!/18</f>
        <v>#REF!</v>
      </c>
      <c r="KT41" s="14" t="e">
        <f t="shared" si="1083"/>
        <v>#REF!</v>
      </c>
    </row>
    <row r="42" spans="1:306" ht="13.2" x14ac:dyDescent="0.25">
      <c r="A42" s="179"/>
      <c r="B42" s="176"/>
      <c r="C42" s="44">
        <v>16</v>
      </c>
      <c r="D42" s="2">
        <f t="shared" si="914"/>
        <v>34</v>
      </c>
      <c r="E42" s="44">
        <v>4</v>
      </c>
      <c r="F42" s="4">
        <f t="shared" si="915"/>
        <v>136</v>
      </c>
      <c r="G42" s="53">
        <v>6</v>
      </c>
      <c r="H42" s="2">
        <f t="shared" si="916"/>
        <v>165</v>
      </c>
      <c r="I42" s="56">
        <v>1</v>
      </c>
      <c r="J42" s="2">
        <f t="shared" si="917"/>
        <v>65</v>
      </c>
      <c r="K42" s="2">
        <f t="shared" si="850"/>
        <v>0</v>
      </c>
      <c r="L42" s="2">
        <f t="shared" si="918"/>
        <v>10</v>
      </c>
      <c r="M42" s="2">
        <f t="shared" si="851"/>
        <v>0</v>
      </c>
      <c r="N42" s="2">
        <f t="shared" si="919"/>
        <v>4</v>
      </c>
      <c r="O42" s="2"/>
      <c r="P42" s="2">
        <f t="shared" si="852"/>
        <v>0</v>
      </c>
      <c r="Q42" s="2">
        <f t="shared" si="920"/>
        <v>1</v>
      </c>
      <c r="R42" s="2">
        <f t="shared" si="853"/>
        <v>0</v>
      </c>
      <c r="S42" s="2">
        <f t="shared" si="921"/>
        <v>5</v>
      </c>
      <c r="T42" s="2">
        <f t="shared" si="854"/>
        <v>0</v>
      </c>
      <c r="U42" s="2">
        <f t="shared" si="922"/>
        <v>6</v>
      </c>
      <c r="V42" s="2">
        <f t="shared" si="855"/>
        <v>1</v>
      </c>
      <c r="W42" s="2">
        <f t="shared" si="923"/>
        <v>5</v>
      </c>
      <c r="X42" s="2">
        <f t="shared" si="856"/>
        <v>0</v>
      </c>
      <c r="Y42" s="2">
        <f t="shared" si="924"/>
        <v>1</v>
      </c>
      <c r="Z42" s="2">
        <f t="shared" si="857"/>
        <v>1</v>
      </c>
      <c r="AA42" s="2">
        <f t="shared" si="925"/>
        <v>5</v>
      </c>
      <c r="AB42" s="2">
        <f t="shared" si="858"/>
        <v>0</v>
      </c>
      <c r="AC42" s="2">
        <f t="shared" si="926"/>
        <v>12</v>
      </c>
      <c r="AD42" s="2">
        <f t="shared" si="859"/>
        <v>0</v>
      </c>
      <c r="AE42" s="2">
        <f t="shared" si="927"/>
        <v>3</v>
      </c>
      <c r="AF42" s="2"/>
      <c r="AG42" s="2">
        <f>IF($E42=4,G42-4,NA())</f>
        <v>2</v>
      </c>
      <c r="AH42" s="2"/>
      <c r="AI42" s="41">
        <f>G42-'Zusammenfassung Tag1-4'!$B$2/18</f>
        <v>5.166666666666667</v>
      </c>
      <c r="AJ42" s="13">
        <f t="shared" si="928"/>
        <v>136.66666666666669</v>
      </c>
      <c r="AK42" s="53">
        <v>4</v>
      </c>
      <c r="AL42" s="2">
        <f t="shared" si="929"/>
        <v>165</v>
      </c>
      <c r="AM42" s="56">
        <v>2</v>
      </c>
      <c r="AN42" s="2">
        <f t="shared" si="930"/>
        <v>66</v>
      </c>
      <c r="AO42" s="2">
        <f t="shared" si="860"/>
        <v>1</v>
      </c>
      <c r="AP42" s="2">
        <f t="shared" si="931"/>
        <v>15</v>
      </c>
      <c r="AQ42" s="2">
        <f t="shared" si="861"/>
        <v>0</v>
      </c>
      <c r="AR42" s="2">
        <f t="shared" si="932"/>
        <v>4</v>
      </c>
      <c r="AS42" s="2"/>
      <c r="AT42" s="2">
        <f t="shared" si="862"/>
        <v>0</v>
      </c>
      <c r="AU42" s="2">
        <f t="shared" si="933"/>
        <v>0</v>
      </c>
      <c r="AV42" s="2">
        <f t="shared" si="934"/>
        <v>1</v>
      </c>
      <c r="AW42" s="2">
        <f t="shared" si="935"/>
        <v>9</v>
      </c>
      <c r="AX42" s="2">
        <f t="shared" si="936"/>
        <v>0</v>
      </c>
      <c r="AY42" s="2">
        <f t="shared" si="937"/>
        <v>6</v>
      </c>
      <c r="AZ42" s="2">
        <f t="shared" si="938"/>
        <v>0</v>
      </c>
      <c r="BA42" s="2">
        <f t="shared" si="939"/>
        <v>1</v>
      </c>
      <c r="BB42" s="2">
        <f t="shared" si="940"/>
        <v>0</v>
      </c>
      <c r="BC42" s="2">
        <f t="shared" si="941"/>
        <v>0</v>
      </c>
      <c r="BD42" s="2">
        <f t="shared" si="863"/>
        <v>0</v>
      </c>
      <c r="BE42" s="2">
        <f t="shared" si="942"/>
        <v>6</v>
      </c>
      <c r="BF42" s="2">
        <f t="shared" si="943"/>
        <v>1</v>
      </c>
      <c r="BG42" s="2">
        <f t="shared" si="944"/>
        <v>10</v>
      </c>
      <c r="BH42" s="2">
        <f t="shared" si="864"/>
        <v>0</v>
      </c>
      <c r="BI42" s="2">
        <f t="shared" si="945"/>
        <v>4</v>
      </c>
      <c r="BJ42" s="2"/>
      <c r="BK42" s="2">
        <f t="shared" ref="BK42" si="1120">IF($E42=4,AK42-4,NA())</f>
        <v>0</v>
      </c>
      <c r="BL42" s="2"/>
      <c r="BM42" s="41">
        <f>AK42-'Zusammenfassung Tag1-4'!$C$2/18</f>
        <v>3.4444444444444446</v>
      </c>
      <c r="BN42" s="13">
        <f t="shared" si="946"/>
        <v>146.11111111111114</v>
      </c>
      <c r="BO42" s="53">
        <v>6</v>
      </c>
      <c r="BP42" s="2">
        <f t="shared" si="947"/>
        <v>197</v>
      </c>
      <c r="BQ42" s="56">
        <v>2</v>
      </c>
      <c r="BR42" s="2">
        <f t="shared" si="948"/>
        <v>78</v>
      </c>
      <c r="BS42" s="2">
        <f t="shared" si="866"/>
        <v>0</v>
      </c>
      <c r="BT42" s="2">
        <f t="shared" si="949"/>
        <v>8</v>
      </c>
      <c r="BU42" s="2">
        <f t="shared" si="867"/>
        <v>0</v>
      </c>
      <c r="BV42" s="2">
        <f t="shared" si="950"/>
        <v>0</v>
      </c>
      <c r="BW42" s="2"/>
      <c r="BX42" s="2">
        <f t="shared" si="868"/>
        <v>0</v>
      </c>
      <c r="BY42" s="2">
        <f t="shared" si="951"/>
        <v>0</v>
      </c>
      <c r="BZ42" s="2">
        <f t="shared" si="952"/>
        <v>0</v>
      </c>
      <c r="CA42" s="2">
        <f t="shared" si="953"/>
        <v>2</v>
      </c>
      <c r="CB42" s="2">
        <f t="shared" si="954"/>
        <v>0</v>
      </c>
      <c r="CC42" s="2">
        <f t="shared" si="955"/>
        <v>6</v>
      </c>
      <c r="CD42" s="2">
        <f t="shared" si="956"/>
        <v>1</v>
      </c>
      <c r="CE42" s="2">
        <f t="shared" si="957"/>
        <v>8</v>
      </c>
      <c r="CF42" s="2">
        <f t="shared" si="958"/>
        <v>0</v>
      </c>
      <c r="CG42" s="2">
        <f t="shared" si="951"/>
        <v>0</v>
      </c>
      <c r="CH42" s="2">
        <f t="shared" si="869"/>
        <v>0</v>
      </c>
      <c r="CI42" s="2">
        <f t="shared" si="959"/>
        <v>1</v>
      </c>
      <c r="CJ42" s="2">
        <f t="shared" si="960"/>
        <v>1</v>
      </c>
      <c r="CK42" s="2">
        <f t="shared" si="961"/>
        <v>12</v>
      </c>
      <c r="CL42" s="2">
        <f t="shared" si="870"/>
        <v>0</v>
      </c>
      <c r="CM42" s="2">
        <f t="shared" si="962"/>
        <v>11</v>
      </c>
      <c r="CN42" s="2"/>
      <c r="CO42" s="2">
        <f t="shared" ref="CO42" si="1121">IF($E42=4,BO42-4,NA())</f>
        <v>2</v>
      </c>
      <c r="CP42" s="2"/>
      <c r="CQ42" s="41">
        <f>BO42-'Zusammenfassung Tag1-4'!$D$2/18</f>
        <v>4.9444444444444446</v>
      </c>
      <c r="CR42" s="13">
        <f t="shared" si="963"/>
        <v>161.11111111111117</v>
      </c>
      <c r="CS42" s="53">
        <v>5</v>
      </c>
      <c r="CT42" s="2">
        <f t="shared" si="964"/>
        <v>185</v>
      </c>
      <c r="CU42" s="56">
        <v>2</v>
      </c>
      <c r="CV42" s="2">
        <f t="shared" si="965"/>
        <v>76</v>
      </c>
      <c r="CW42" s="2">
        <f t="shared" si="872"/>
        <v>0</v>
      </c>
      <c r="CX42" s="2">
        <f t="shared" si="966"/>
        <v>10</v>
      </c>
      <c r="CY42" s="2">
        <f t="shared" si="873"/>
        <v>0</v>
      </c>
      <c r="CZ42" s="2">
        <f t="shared" si="967"/>
        <v>1</v>
      </c>
      <c r="DA42" s="2"/>
      <c r="DB42" s="2">
        <f t="shared" si="874"/>
        <v>0</v>
      </c>
      <c r="DC42" s="2">
        <f t="shared" si="968"/>
        <v>0</v>
      </c>
      <c r="DD42" s="2">
        <f t="shared" si="969"/>
        <v>0</v>
      </c>
      <c r="DE42" s="2">
        <f t="shared" si="970"/>
        <v>4</v>
      </c>
      <c r="DF42" s="2">
        <f t="shared" si="971"/>
        <v>1</v>
      </c>
      <c r="DG42" s="2">
        <f t="shared" si="972"/>
        <v>7</v>
      </c>
      <c r="DH42" s="2">
        <f t="shared" si="973"/>
        <v>0</v>
      </c>
      <c r="DI42" s="2">
        <f t="shared" si="974"/>
        <v>5</v>
      </c>
      <c r="DJ42" s="2">
        <f t="shared" si="975"/>
        <v>0</v>
      </c>
      <c r="DK42" s="2">
        <f t="shared" si="976"/>
        <v>0</v>
      </c>
      <c r="DL42" s="2">
        <f t="shared" si="875"/>
        <v>0</v>
      </c>
      <c r="DM42" s="2">
        <f t="shared" si="977"/>
        <v>4</v>
      </c>
      <c r="DN42" s="2">
        <f t="shared" si="978"/>
        <v>1</v>
      </c>
      <c r="DO42" s="2">
        <f t="shared" si="979"/>
        <v>11</v>
      </c>
      <c r="DP42" s="2">
        <f t="shared" si="876"/>
        <v>0</v>
      </c>
      <c r="DQ42" s="2">
        <f t="shared" si="980"/>
        <v>11</v>
      </c>
      <c r="DR42" s="2"/>
      <c r="DS42" s="2">
        <f t="shared" ref="DS42" si="1122">IF($E42=4,CS42-4,NA())</f>
        <v>1</v>
      </c>
      <c r="DT42" s="2"/>
      <c r="DU42" s="41">
        <f>CS42-'Zusammenfassung Tag1-4'!$E$2/18</f>
        <v>4</v>
      </c>
      <c r="DV42" s="14">
        <f t="shared" si="981"/>
        <v>151</v>
      </c>
      <c r="DW42" s="53">
        <v>6</v>
      </c>
      <c r="DX42" s="2">
        <v>76</v>
      </c>
      <c r="DY42" s="56">
        <v>2</v>
      </c>
      <c r="DZ42" s="2">
        <f t="shared" si="982"/>
        <v>80</v>
      </c>
      <c r="EA42" s="2">
        <f t="shared" si="878"/>
        <v>0</v>
      </c>
      <c r="EB42" s="2">
        <f t="shared" si="983"/>
        <v>0</v>
      </c>
      <c r="EC42" s="2">
        <f t="shared" si="879"/>
        <v>0</v>
      </c>
      <c r="ED42" s="2">
        <f t="shared" si="984"/>
        <v>0</v>
      </c>
      <c r="EE42" s="2"/>
      <c r="EF42" s="2">
        <f t="shared" si="880"/>
        <v>0</v>
      </c>
      <c r="EG42" s="2">
        <f t="shared" si="985"/>
        <v>0</v>
      </c>
      <c r="EH42" s="2">
        <f t="shared" si="986"/>
        <v>0</v>
      </c>
      <c r="EI42" s="2">
        <f t="shared" si="987"/>
        <v>0</v>
      </c>
      <c r="EJ42" s="2">
        <f t="shared" si="988"/>
        <v>0</v>
      </c>
      <c r="EK42" s="2">
        <f t="shared" si="989"/>
        <v>5</v>
      </c>
      <c r="EL42" s="2">
        <f t="shared" si="990"/>
        <v>1</v>
      </c>
      <c r="EM42" s="2">
        <f t="shared" si="991"/>
        <v>11</v>
      </c>
      <c r="EN42" s="2">
        <f t="shared" si="992"/>
        <v>0</v>
      </c>
      <c r="EO42" s="2">
        <f t="shared" si="993"/>
        <v>0</v>
      </c>
      <c r="EP42" s="2">
        <f t="shared" si="881"/>
        <v>0</v>
      </c>
      <c r="EQ42" s="2">
        <f t="shared" si="994"/>
        <v>1</v>
      </c>
      <c r="ER42" s="2">
        <f t="shared" si="995"/>
        <v>1</v>
      </c>
      <c r="ES42" s="2">
        <f t="shared" si="996"/>
        <v>11</v>
      </c>
      <c r="ET42" s="2">
        <f t="shared" si="882"/>
        <v>0</v>
      </c>
      <c r="EU42" s="2">
        <f t="shared" si="997"/>
        <v>12</v>
      </c>
      <c r="EV42" s="2"/>
      <c r="EW42" s="2">
        <f t="shared" ref="EW42" si="1123">IF($E42=4,DW42-4,NA())</f>
        <v>2</v>
      </c>
      <c r="EX42" s="2"/>
      <c r="EY42" s="41">
        <f>DW42-'Zusammenfassung Tag1-4'!$F$2/18</f>
        <v>3.5</v>
      </c>
      <c r="EZ42" s="14">
        <f t="shared" si="998"/>
        <v>158</v>
      </c>
      <c r="FA42" s="53">
        <v>9</v>
      </c>
      <c r="FB42" s="2">
        <v>187</v>
      </c>
      <c r="FC42" s="56">
        <v>3</v>
      </c>
      <c r="FD42" s="2">
        <f t="shared" si="999"/>
        <v>66</v>
      </c>
      <c r="FE42" s="2">
        <f t="shared" si="884"/>
        <v>0</v>
      </c>
      <c r="FF42" s="2">
        <f t="shared" si="1000"/>
        <v>5</v>
      </c>
      <c r="FG42" s="2">
        <f t="shared" si="885"/>
        <v>0</v>
      </c>
      <c r="FH42" s="2">
        <f t="shared" si="1001"/>
        <v>4</v>
      </c>
      <c r="FI42" s="2"/>
      <c r="FJ42" s="2">
        <f t="shared" si="886"/>
        <v>0</v>
      </c>
      <c r="FK42" s="2">
        <f t="shared" si="1002"/>
        <v>0</v>
      </c>
      <c r="FL42" s="2">
        <f t="shared" si="1003"/>
        <v>0</v>
      </c>
      <c r="FM42" s="2">
        <f t="shared" si="1004"/>
        <v>4</v>
      </c>
      <c r="FN42" s="2">
        <f t="shared" si="1005"/>
        <v>0</v>
      </c>
      <c r="FO42" s="2">
        <f t="shared" si="1006"/>
        <v>7</v>
      </c>
      <c r="FP42" s="2">
        <f t="shared" si="1007"/>
        <v>1</v>
      </c>
      <c r="FQ42" s="2">
        <f t="shared" si="1008"/>
        <v>5</v>
      </c>
      <c r="FR42" s="2">
        <f t="shared" si="1009"/>
        <v>0</v>
      </c>
      <c r="FS42" s="2">
        <f t="shared" si="1010"/>
        <v>0</v>
      </c>
      <c r="FT42" s="2">
        <f t="shared" si="887"/>
        <v>0</v>
      </c>
      <c r="FU42" s="2">
        <f t="shared" si="1011"/>
        <v>10</v>
      </c>
      <c r="FV42" s="2">
        <f t="shared" si="1012"/>
        <v>0</v>
      </c>
      <c r="FW42" s="2">
        <f t="shared" si="1013"/>
        <v>6</v>
      </c>
      <c r="FX42" s="2">
        <f t="shared" si="888"/>
        <v>1</v>
      </c>
      <c r="FY42" s="2">
        <f t="shared" si="1014"/>
        <v>8</v>
      </c>
      <c r="FZ42" s="2"/>
      <c r="GA42" s="2">
        <f t="shared" ref="GA42" si="1124">IF($E42=4,FA42-4,NA())</f>
        <v>5</v>
      </c>
      <c r="GB42" s="2"/>
      <c r="GC42" s="41">
        <f>FA42-'Zusammenfassung Tag1-4'!$G$2/18</f>
        <v>7.7222222222222223</v>
      </c>
      <c r="GD42" s="14">
        <f t="shared" si="1015"/>
        <v>146.55555555555566</v>
      </c>
      <c r="GE42" s="53">
        <v>8</v>
      </c>
      <c r="GF42" s="2">
        <v>252</v>
      </c>
      <c r="GG42" s="56">
        <v>3</v>
      </c>
      <c r="GH42" s="2">
        <f t="shared" si="1016"/>
        <v>67</v>
      </c>
      <c r="GI42" s="2">
        <f t="shared" si="890"/>
        <v>0</v>
      </c>
      <c r="GJ42" s="2">
        <f t="shared" si="1017"/>
        <v>1</v>
      </c>
      <c r="GK42" s="2">
        <f t="shared" si="891"/>
        <v>0</v>
      </c>
      <c r="GL42" s="2">
        <f t="shared" si="1018"/>
        <v>1</v>
      </c>
      <c r="GM42" s="2"/>
      <c r="GN42" s="2">
        <f t="shared" si="892"/>
        <v>0</v>
      </c>
      <c r="GO42" s="2">
        <f t="shared" si="1019"/>
        <v>0</v>
      </c>
      <c r="GP42" s="2">
        <f t="shared" si="1020"/>
        <v>0</v>
      </c>
      <c r="GQ42" s="2">
        <f t="shared" si="1021"/>
        <v>0</v>
      </c>
      <c r="GR42" s="2">
        <f t="shared" si="1022"/>
        <v>0</v>
      </c>
      <c r="GS42" s="2">
        <f t="shared" si="1023"/>
        <v>4</v>
      </c>
      <c r="GT42" s="2">
        <f t="shared" si="1024"/>
        <v>1</v>
      </c>
      <c r="GU42" s="2">
        <f t="shared" si="1025"/>
        <v>12</v>
      </c>
      <c r="GV42" s="2">
        <f t="shared" si="1026"/>
        <v>0</v>
      </c>
      <c r="GW42" s="2">
        <f t="shared" si="1027"/>
        <v>0</v>
      </c>
      <c r="GX42" s="2">
        <f t="shared" si="893"/>
        <v>0</v>
      </c>
      <c r="GY42" s="2">
        <f t="shared" si="1028"/>
        <v>6</v>
      </c>
      <c r="GZ42" s="2">
        <f t="shared" si="1029"/>
        <v>0</v>
      </c>
      <c r="HA42" s="2">
        <f t="shared" si="1030"/>
        <v>11</v>
      </c>
      <c r="HB42" s="2">
        <f t="shared" si="894"/>
        <v>1</v>
      </c>
      <c r="HC42" s="2">
        <f t="shared" si="1031"/>
        <v>5</v>
      </c>
      <c r="HD42" s="2"/>
      <c r="HE42" s="2">
        <f t="shared" ref="HE42" si="1125">IF($E42=4,GE42-4,NA())</f>
        <v>4</v>
      </c>
      <c r="HF42" s="2"/>
      <c r="HG42" s="41">
        <f>GE42-'Zusammenfassung Tag1-4'!$H$2/18</f>
        <v>6.2222222222222223</v>
      </c>
      <c r="HH42" s="14">
        <f t="shared" si="1032"/>
        <v>165.55555555555569</v>
      </c>
      <c r="HI42" s="53">
        <v>4</v>
      </c>
      <c r="HJ42" s="2">
        <v>182</v>
      </c>
      <c r="HK42" s="56">
        <v>2</v>
      </c>
      <c r="HL42" s="2">
        <f t="shared" si="1033"/>
        <v>69</v>
      </c>
      <c r="HM42" s="2">
        <f t="shared" si="896"/>
        <v>1</v>
      </c>
      <c r="HN42" s="2">
        <f t="shared" si="1034"/>
        <v>5</v>
      </c>
      <c r="HO42" s="2">
        <f t="shared" si="897"/>
        <v>0</v>
      </c>
      <c r="HP42" s="2">
        <f t="shared" si="1035"/>
        <v>3</v>
      </c>
      <c r="HQ42" s="2"/>
      <c r="HR42" s="2">
        <f t="shared" si="898"/>
        <v>0</v>
      </c>
      <c r="HS42" s="2">
        <f t="shared" si="1036"/>
        <v>0</v>
      </c>
      <c r="HT42" s="2">
        <f t="shared" si="1037"/>
        <v>1</v>
      </c>
      <c r="HU42" s="2">
        <f t="shared" si="1038"/>
        <v>3</v>
      </c>
      <c r="HV42" s="2">
        <f t="shared" si="1039"/>
        <v>0</v>
      </c>
      <c r="HW42" s="2">
        <f t="shared" si="1040"/>
        <v>9</v>
      </c>
      <c r="HX42" s="2">
        <f t="shared" si="1041"/>
        <v>0</v>
      </c>
      <c r="HY42" s="2">
        <f t="shared" si="1042"/>
        <v>4</v>
      </c>
      <c r="HZ42" s="2">
        <f t="shared" si="1043"/>
        <v>0</v>
      </c>
      <c r="IA42" s="2">
        <f t="shared" si="1044"/>
        <v>0</v>
      </c>
      <c r="IB42" s="2">
        <f t="shared" si="899"/>
        <v>0</v>
      </c>
      <c r="IC42" s="2">
        <f t="shared" si="1045"/>
        <v>6</v>
      </c>
      <c r="ID42" s="2">
        <f t="shared" si="1046"/>
        <v>1</v>
      </c>
      <c r="IE42" s="2">
        <f t="shared" si="1047"/>
        <v>8</v>
      </c>
      <c r="IF42" s="2">
        <f t="shared" si="900"/>
        <v>0</v>
      </c>
      <c r="IG42" s="2">
        <f t="shared" si="1048"/>
        <v>7</v>
      </c>
      <c r="IH42" s="2"/>
      <c r="II42" s="2">
        <f t="shared" ref="II42" si="1126">IF($E42=4,HI42-4,NA())</f>
        <v>0</v>
      </c>
      <c r="IJ42" s="2"/>
      <c r="IK42" s="41">
        <f>HI42-'Zusammenfassung Tag1-4'!$I$2/18</f>
        <v>3.1111111111111112</v>
      </c>
      <c r="IL42" s="14">
        <f t="shared" si="1049"/>
        <v>157.77777777777786</v>
      </c>
      <c r="IM42" s="53">
        <v>8</v>
      </c>
      <c r="IN42" s="2">
        <v>118</v>
      </c>
      <c r="IO42" s="56">
        <v>2</v>
      </c>
      <c r="IP42" s="2">
        <f t="shared" si="1050"/>
        <v>81</v>
      </c>
      <c r="IQ42" s="2">
        <f t="shared" si="902"/>
        <v>0</v>
      </c>
      <c r="IR42" s="2">
        <f t="shared" si="1051"/>
        <v>6</v>
      </c>
      <c r="IS42" s="2">
        <f t="shared" si="903"/>
        <v>0</v>
      </c>
      <c r="IT42" s="2">
        <f t="shared" si="1052"/>
        <v>0</v>
      </c>
      <c r="IU42" s="2"/>
      <c r="IV42" s="2">
        <f t="shared" si="904"/>
        <v>0</v>
      </c>
      <c r="IW42" s="2">
        <f t="shared" si="1053"/>
        <v>1</v>
      </c>
      <c r="IX42" s="2">
        <f t="shared" si="1054"/>
        <v>0</v>
      </c>
      <c r="IY42" s="2">
        <f t="shared" si="1055"/>
        <v>0</v>
      </c>
      <c r="IZ42" s="2">
        <f t="shared" si="1056"/>
        <v>0</v>
      </c>
      <c r="JA42" s="2">
        <f t="shared" si="1057"/>
        <v>3</v>
      </c>
      <c r="JB42" s="2">
        <f t="shared" si="1058"/>
        <v>1</v>
      </c>
      <c r="JC42" s="2">
        <f t="shared" si="1059"/>
        <v>12</v>
      </c>
      <c r="JD42" s="2">
        <f t="shared" si="1060"/>
        <v>0</v>
      </c>
      <c r="JE42" s="2">
        <f t="shared" si="1061"/>
        <v>0</v>
      </c>
      <c r="JF42" s="2">
        <f t="shared" si="905"/>
        <v>0</v>
      </c>
      <c r="JG42" s="2">
        <f t="shared" si="1062"/>
        <v>4</v>
      </c>
      <c r="JH42" s="2">
        <f t="shared" si="1063"/>
        <v>1</v>
      </c>
      <c r="JI42" s="2">
        <f t="shared" si="1064"/>
        <v>8</v>
      </c>
      <c r="JJ42" s="2">
        <f t="shared" si="906"/>
        <v>0</v>
      </c>
      <c r="JK42" s="2">
        <f t="shared" si="1065"/>
        <v>13</v>
      </c>
      <c r="JL42" s="2"/>
      <c r="JM42" s="2">
        <f t="shared" ref="JM42" si="1127">IF($E42=4,IM42-4,NA())</f>
        <v>4</v>
      </c>
      <c r="JN42" s="2"/>
      <c r="JO42" s="41">
        <f>IM42-'Zusammenfassung Tag1-4'!$J$2/18</f>
        <v>5.6666666666666661</v>
      </c>
      <c r="JP42" s="14">
        <f t="shared" si="1066"/>
        <v>149.66666666666666</v>
      </c>
      <c r="JQ42" s="53"/>
      <c r="JR42" s="2"/>
      <c r="JS42" s="56"/>
      <c r="JT42" s="2">
        <f t="shared" si="1067"/>
        <v>0</v>
      </c>
      <c r="JU42" s="2">
        <f t="shared" si="908"/>
        <v>1</v>
      </c>
      <c r="JV42" s="2">
        <f t="shared" si="1068"/>
        <v>34</v>
      </c>
      <c r="JW42" s="2">
        <f t="shared" si="909"/>
        <v>0</v>
      </c>
      <c r="JX42" s="2">
        <f t="shared" si="1069"/>
        <v>0</v>
      </c>
      <c r="JY42" s="2"/>
      <c r="JZ42" s="2">
        <f t="shared" si="910"/>
        <v>0</v>
      </c>
      <c r="KA42" s="2">
        <f t="shared" si="1070"/>
        <v>0</v>
      </c>
      <c r="KB42" s="2">
        <f t="shared" si="1071"/>
        <v>0</v>
      </c>
      <c r="KC42" s="2">
        <f t="shared" si="1072"/>
        <v>0</v>
      </c>
      <c r="KD42" s="2">
        <f t="shared" si="1073"/>
        <v>0</v>
      </c>
      <c r="KE42" s="2">
        <f t="shared" si="1074"/>
        <v>0</v>
      </c>
      <c r="KF42" s="2">
        <f t="shared" si="1075"/>
        <v>0</v>
      </c>
      <c r="KG42" s="2">
        <f t="shared" si="1076"/>
        <v>0</v>
      </c>
      <c r="KH42" s="2">
        <f t="shared" si="1077"/>
        <v>1</v>
      </c>
      <c r="KI42" s="2">
        <f t="shared" si="1078"/>
        <v>16</v>
      </c>
      <c r="KJ42" s="2">
        <f t="shared" si="911"/>
        <v>0</v>
      </c>
      <c r="KK42" s="2">
        <f t="shared" si="1079"/>
        <v>0</v>
      </c>
      <c r="KL42" s="2">
        <f t="shared" si="1080"/>
        <v>0</v>
      </c>
      <c r="KM42" s="2">
        <f t="shared" si="1081"/>
        <v>0</v>
      </c>
      <c r="KN42" s="2">
        <f t="shared" si="912"/>
        <v>0</v>
      </c>
      <c r="KO42" s="2">
        <f t="shared" si="1082"/>
        <v>0</v>
      </c>
      <c r="KP42" s="2"/>
      <c r="KQ42" s="2">
        <f t="shared" ref="KQ42" si="1128">IF($E42=4,JQ42-4,NA())</f>
        <v>-4</v>
      </c>
      <c r="KR42" s="2"/>
      <c r="KS42" s="41" t="e">
        <f>JQ42-'Zusammenfassung Tag1-4'!#REF!/18</f>
        <v>#REF!</v>
      </c>
      <c r="KT42" s="14" t="e">
        <f t="shared" si="1083"/>
        <v>#REF!</v>
      </c>
    </row>
    <row r="43" spans="1:306" ht="13.2" x14ac:dyDescent="0.25">
      <c r="A43" s="179"/>
      <c r="B43" s="176"/>
      <c r="C43" s="44">
        <v>17</v>
      </c>
      <c r="D43" s="2">
        <f t="shared" si="914"/>
        <v>35</v>
      </c>
      <c r="E43" s="44">
        <v>3</v>
      </c>
      <c r="F43" s="4">
        <f t="shared" si="915"/>
        <v>139</v>
      </c>
      <c r="G43" s="53">
        <v>3</v>
      </c>
      <c r="H43" s="2">
        <f t="shared" si="916"/>
        <v>168</v>
      </c>
      <c r="I43" s="56">
        <v>1</v>
      </c>
      <c r="J43" s="2">
        <f t="shared" si="917"/>
        <v>66</v>
      </c>
      <c r="K43" s="2">
        <f t="shared" si="850"/>
        <v>0</v>
      </c>
      <c r="L43" s="2">
        <f t="shared" si="918"/>
        <v>10</v>
      </c>
      <c r="M43" s="2">
        <f t="shared" si="851"/>
        <v>1</v>
      </c>
      <c r="N43" s="2">
        <f t="shared" si="919"/>
        <v>5</v>
      </c>
      <c r="O43" s="2"/>
      <c r="P43" s="2">
        <f t="shared" si="852"/>
        <v>0</v>
      </c>
      <c r="Q43" s="2">
        <f t="shared" si="920"/>
        <v>1</v>
      </c>
      <c r="R43" s="2">
        <f t="shared" si="853"/>
        <v>1</v>
      </c>
      <c r="S43" s="2">
        <f t="shared" si="921"/>
        <v>6</v>
      </c>
      <c r="T43" s="2">
        <f t="shared" si="854"/>
        <v>0</v>
      </c>
      <c r="U43" s="2">
        <f t="shared" si="922"/>
        <v>6</v>
      </c>
      <c r="V43" s="2">
        <f t="shared" si="855"/>
        <v>0</v>
      </c>
      <c r="W43" s="2">
        <f t="shared" si="923"/>
        <v>5</v>
      </c>
      <c r="X43" s="2">
        <f t="shared" si="856"/>
        <v>0</v>
      </c>
      <c r="Y43" s="2">
        <f t="shared" si="924"/>
        <v>1</v>
      </c>
      <c r="Z43" s="2">
        <f t="shared" si="857"/>
        <v>1</v>
      </c>
      <c r="AA43" s="2">
        <f t="shared" si="925"/>
        <v>6</v>
      </c>
      <c r="AB43" s="2">
        <f t="shared" si="858"/>
        <v>0</v>
      </c>
      <c r="AC43" s="2">
        <f t="shared" si="926"/>
        <v>12</v>
      </c>
      <c r="AD43" s="2">
        <f t="shared" si="859"/>
        <v>0</v>
      </c>
      <c r="AE43" s="2">
        <f t="shared" si="927"/>
        <v>3</v>
      </c>
      <c r="AF43" s="2">
        <f>IF($E43=3,G43-3,NA())</f>
        <v>0</v>
      </c>
      <c r="AG43" s="2"/>
      <c r="AH43" s="2"/>
      <c r="AI43" s="41">
        <f>G43-'Zusammenfassung Tag1-4'!$B$2/18</f>
        <v>2.1666666666666665</v>
      </c>
      <c r="AJ43" s="13">
        <f t="shared" si="928"/>
        <v>138.83333333333334</v>
      </c>
      <c r="AK43" s="53">
        <v>3</v>
      </c>
      <c r="AL43" s="2">
        <f t="shared" si="929"/>
        <v>168</v>
      </c>
      <c r="AM43" s="56">
        <v>1</v>
      </c>
      <c r="AN43" s="2">
        <f t="shared" si="930"/>
        <v>67</v>
      </c>
      <c r="AO43" s="2">
        <f t="shared" si="860"/>
        <v>0</v>
      </c>
      <c r="AP43" s="2">
        <f t="shared" si="931"/>
        <v>15</v>
      </c>
      <c r="AQ43" s="2">
        <f t="shared" si="861"/>
        <v>1</v>
      </c>
      <c r="AR43" s="2">
        <f t="shared" si="932"/>
        <v>5</v>
      </c>
      <c r="AS43" s="2"/>
      <c r="AT43" s="2">
        <f t="shared" si="862"/>
        <v>0</v>
      </c>
      <c r="AU43" s="2">
        <f t="shared" si="933"/>
        <v>0</v>
      </c>
      <c r="AV43" s="2">
        <f t="shared" si="934"/>
        <v>1</v>
      </c>
      <c r="AW43" s="2">
        <f t="shared" si="935"/>
        <v>10</v>
      </c>
      <c r="AX43" s="2">
        <f t="shared" si="936"/>
        <v>0</v>
      </c>
      <c r="AY43" s="2">
        <f t="shared" si="937"/>
        <v>6</v>
      </c>
      <c r="AZ43" s="2">
        <f t="shared" si="938"/>
        <v>0</v>
      </c>
      <c r="BA43" s="2">
        <f t="shared" si="939"/>
        <v>1</v>
      </c>
      <c r="BB43" s="2">
        <f t="shared" si="940"/>
        <v>0</v>
      </c>
      <c r="BC43" s="2">
        <f t="shared" si="941"/>
        <v>0</v>
      </c>
      <c r="BD43" s="2">
        <f t="shared" si="863"/>
        <v>1</v>
      </c>
      <c r="BE43" s="2">
        <f t="shared" si="942"/>
        <v>7</v>
      </c>
      <c r="BF43" s="2">
        <f t="shared" si="943"/>
        <v>0</v>
      </c>
      <c r="BG43" s="2">
        <f t="shared" si="944"/>
        <v>10</v>
      </c>
      <c r="BH43" s="2">
        <f t="shared" si="864"/>
        <v>0</v>
      </c>
      <c r="BI43" s="2">
        <f t="shared" si="945"/>
        <v>4</v>
      </c>
      <c r="BJ43" s="2">
        <f t="shared" ref="BJ43" si="1129">IF($E43=3,AK43-3,NA())</f>
        <v>0</v>
      </c>
      <c r="BK43" s="2"/>
      <c r="BL43" s="2"/>
      <c r="BM43" s="41">
        <f>AK43-'Zusammenfassung Tag1-4'!$C$2/18</f>
        <v>2.4444444444444446</v>
      </c>
      <c r="BN43" s="13">
        <f t="shared" si="946"/>
        <v>148.5555555555556</v>
      </c>
      <c r="BO43" s="53">
        <v>4</v>
      </c>
      <c r="BP43" s="2">
        <f t="shared" si="947"/>
        <v>201</v>
      </c>
      <c r="BQ43" s="56">
        <v>2</v>
      </c>
      <c r="BR43" s="2">
        <f t="shared" si="948"/>
        <v>80</v>
      </c>
      <c r="BS43" s="2">
        <f t="shared" si="866"/>
        <v>0</v>
      </c>
      <c r="BT43" s="2">
        <f t="shared" si="949"/>
        <v>8</v>
      </c>
      <c r="BU43" s="2">
        <f t="shared" si="867"/>
        <v>0</v>
      </c>
      <c r="BV43" s="2">
        <f t="shared" si="950"/>
        <v>0</v>
      </c>
      <c r="BW43" s="2"/>
      <c r="BX43" s="2">
        <f t="shared" si="868"/>
        <v>0</v>
      </c>
      <c r="BY43" s="2">
        <f t="shared" si="951"/>
        <v>0</v>
      </c>
      <c r="BZ43" s="2">
        <f t="shared" si="952"/>
        <v>0</v>
      </c>
      <c r="CA43" s="2">
        <f t="shared" si="953"/>
        <v>2</v>
      </c>
      <c r="CB43" s="2">
        <f t="shared" si="954"/>
        <v>1</v>
      </c>
      <c r="CC43" s="2">
        <f t="shared" si="955"/>
        <v>7</v>
      </c>
      <c r="CD43" s="2">
        <f t="shared" si="956"/>
        <v>0</v>
      </c>
      <c r="CE43" s="2">
        <f t="shared" si="957"/>
        <v>8</v>
      </c>
      <c r="CF43" s="2">
        <f t="shared" si="958"/>
        <v>0</v>
      </c>
      <c r="CG43" s="2">
        <f t="shared" si="951"/>
        <v>0</v>
      </c>
      <c r="CH43" s="2">
        <f t="shared" si="869"/>
        <v>0</v>
      </c>
      <c r="CI43" s="2">
        <f t="shared" si="959"/>
        <v>1</v>
      </c>
      <c r="CJ43" s="2">
        <f t="shared" si="960"/>
        <v>1</v>
      </c>
      <c r="CK43" s="2">
        <f t="shared" si="961"/>
        <v>13</v>
      </c>
      <c r="CL43" s="2">
        <f t="shared" si="870"/>
        <v>0</v>
      </c>
      <c r="CM43" s="2">
        <f t="shared" si="962"/>
        <v>11</v>
      </c>
      <c r="CN43" s="2">
        <f t="shared" ref="CN43" si="1130">IF($E43=3,BO43-3,NA())</f>
        <v>1</v>
      </c>
      <c r="CO43" s="2"/>
      <c r="CP43" s="2"/>
      <c r="CQ43" s="41">
        <f>BO43-'Zusammenfassung Tag1-4'!$D$2/18</f>
        <v>2.9444444444444446</v>
      </c>
      <c r="CR43" s="13">
        <f t="shared" si="963"/>
        <v>164.05555555555563</v>
      </c>
      <c r="CS43" s="53">
        <v>4</v>
      </c>
      <c r="CT43" s="2">
        <f t="shared" si="964"/>
        <v>189</v>
      </c>
      <c r="CU43" s="56">
        <v>2</v>
      </c>
      <c r="CV43" s="2">
        <f t="shared" si="965"/>
        <v>78</v>
      </c>
      <c r="CW43" s="2">
        <f t="shared" si="872"/>
        <v>0</v>
      </c>
      <c r="CX43" s="2">
        <f t="shared" si="966"/>
        <v>10</v>
      </c>
      <c r="CY43" s="2">
        <f t="shared" si="873"/>
        <v>0</v>
      </c>
      <c r="CZ43" s="2">
        <f t="shared" si="967"/>
        <v>1</v>
      </c>
      <c r="DA43" s="2"/>
      <c r="DB43" s="2">
        <f t="shared" si="874"/>
        <v>0</v>
      </c>
      <c r="DC43" s="2">
        <f t="shared" si="968"/>
        <v>0</v>
      </c>
      <c r="DD43" s="2">
        <f t="shared" si="969"/>
        <v>0</v>
      </c>
      <c r="DE43" s="2">
        <f t="shared" si="970"/>
        <v>4</v>
      </c>
      <c r="DF43" s="2">
        <f t="shared" si="971"/>
        <v>1</v>
      </c>
      <c r="DG43" s="2">
        <f t="shared" si="972"/>
        <v>8</v>
      </c>
      <c r="DH43" s="2">
        <f t="shared" si="973"/>
        <v>0</v>
      </c>
      <c r="DI43" s="2">
        <f t="shared" si="974"/>
        <v>5</v>
      </c>
      <c r="DJ43" s="2">
        <f t="shared" si="975"/>
        <v>0</v>
      </c>
      <c r="DK43" s="2">
        <f t="shared" si="976"/>
        <v>0</v>
      </c>
      <c r="DL43" s="2">
        <f t="shared" si="875"/>
        <v>0</v>
      </c>
      <c r="DM43" s="2">
        <f t="shared" si="977"/>
        <v>4</v>
      </c>
      <c r="DN43" s="2">
        <f t="shared" si="978"/>
        <v>1</v>
      </c>
      <c r="DO43" s="2">
        <f t="shared" si="979"/>
        <v>12</v>
      </c>
      <c r="DP43" s="2">
        <f t="shared" si="876"/>
        <v>0</v>
      </c>
      <c r="DQ43" s="2">
        <f t="shared" si="980"/>
        <v>11</v>
      </c>
      <c r="DR43" s="2">
        <f t="shared" ref="DR43" si="1131">IF($E43=3,CS43-3,NA())</f>
        <v>1</v>
      </c>
      <c r="DS43" s="2"/>
      <c r="DT43" s="2"/>
      <c r="DU43" s="41">
        <f>CS43-'Zusammenfassung Tag1-4'!$E$2/18</f>
        <v>3</v>
      </c>
      <c r="DV43" s="14">
        <f t="shared" si="981"/>
        <v>154</v>
      </c>
      <c r="DW43" s="53">
        <v>5</v>
      </c>
      <c r="DX43" s="2">
        <v>79</v>
      </c>
      <c r="DY43" s="56">
        <v>2</v>
      </c>
      <c r="DZ43" s="2">
        <f t="shared" si="982"/>
        <v>82</v>
      </c>
      <c r="EA43" s="2">
        <f t="shared" si="878"/>
        <v>0</v>
      </c>
      <c r="EB43" s="2">
        <f t="shared" si="983"/>
        <v>0</v>
      </c>
      <c r="EC43" s="2">
        <f t="shared" si="879"/>
        <v>0</v>
      </c>
      <c r="ED43" s="2">
        <f t="shared" si="984"/>
        <v>0</v>
      </c>
      <c r="EE43" s="2"/>
      <c r="EF43" s="2">
        <f t="shared" si="880"/>
        <v>0</v>
      </c>
      <c r="EG43" s="2">
        <f t="shared" si="985"/>
        <v>0</v>
      </c>
      <c r="EH43" s="2">
        <f t="shared" si="986"/>
        <v>0</v>
      </c>
      <c r="EI43" s="2">
        <f t="shared" si="987"/>
        <v>0</v>
      </c>
      <c r="EJ43" s="2">
        <f t="shared" si="988"/>
        <v>0</v>
      </c>
      <c r="EK43" s="2">
        <f t="shared" si="989"/>
        <v>5</v>
      </c>
      <c r="EL43" s="2">
        <f t="shared" si="990"/>
        <v>1</v>
      </c>
      <c r="EM43" s="2">
        <f t="shared" si="991"/>
        <v>12</v>
      </c>
      <c r="EN43" s="2">
        <f t="shared" si="992"/>
        <v>0</v>
      </c>
      <c r="EO43" s="2">
        <f t="shared" si="993"/>
        <v>0</v>
      </c>
      <c r="EP43" s="2">
        <f t="shared" si="881"/>
        <v>0</v>
      </c>
      <c r="EQ43" s="2">
        <f t="shared" si="994"/>
        <v>1</v>
      </c>
      <c r="ER43" s="2">
        <f t="shared" si="995"/>
        <v>1</v>
      </c>
      <c r="ES43" s="2">
        <f t="shared" si="996"/>
        <v>12</v>
      </c>
      <c r="ET43" s="2">
        <f t="shared" si="882"/>
        <v>0</v>
      </c>
      <c r="EU43" s="2">
        <f t="shared" si="997"/>
        <v>12</v>
      </c>
      <c r="EV43" s="2">
        <f t="shared" ref="EV43" si="1132">IF($E43=3,DW43-3,NA())</f>
        <v>2</v>
      </c>
      <c r="EW43" s="2"/>
      <c r="EX43" s="2"/>
      <c r="EY43" s="41">
        <f>DW43-'Zusammenfassung Tag1-4'!$F$2/18</f>
        <v>2.5</v>
      </c>
      <c r="EZ43" s="14">
        <f t="shared" si="998"/>
        <v>160.5</v>
      </c>
      <c r="FA43" s="53">
        <v>3</v>
      </c>
      <c r="FB43" s="2">
        <v>196</v>
      </c>
      <c r="FC43" s="56">
        <v>2</v>
      </c>
      <c r="FD43" s="2">
        <f t="shared" si="999"/>
        <v>68</v>
      </c>
      <c r="FE43" s="2">
        <f t="shared" si="884"/>
        <v>1</v>
      </c>
      <c r="FF43" s="2">
        <f t="shared" si="1000"/>
        <v>6</v>
      </c>
      <c r="FG43" s="2">
        <f t="shared" si="885"/>
        <v>0</v>
      </c>
      <c r="FH43" s="2">
        <f t="shared" si="1001"/>
        <v>4</v>
      </c>
      <c r="FI43" s="2"/>
      <c r="FJ43" s="2">
        <f t="shared" si="886"/>
        <v>0</v>
      </c>
      <c r="FK43" s="2">
        <f t="shared" si="1002"/>
        <v>0</v>
      </c>
      <c r="FL43" s="2">
        <f t="shared" si="1003"/>
        <v>1</v>
      </c>
      <c r="FM43" s="2">
        <f t="shared" si="1004"/>
        <v>5</v>
      </c>
      <c r="FN43" s="2">
        <f t="shared" si="1005"/>
        <v>0</v>
      </c>
      <c r="FO43" s="2">
        <f t="shared" si="1006"/>
        <v>7</v>
      </c>
      <c r="FP43" s="2">
        <f t="shared" si="1007"/>
        <v>0</v>
      </c>
      <c r="FQ43" s="2">
        <f t="shared" si="1008"/>
        <v>5</v>
      </c>
      <c r="FR43" s="2">
        <f t="shared" si="1009"/>
        <v>0</v>
      </c>
      <c r="FS43" s="2">
        <f t="shared" si="1010"/>
        <v>0</v>
      </c>
      <c r="FT43" s="2">
        <f t="shared" si="887"/>
        <v>0</v>
      </c>
      <c r="FU43" s="2">
        <f t="shared" si="1011"/>
        <v>10</v>
      </c>
      <c r="FV43" s="2">
        <f t="shared" si="1012"/>
        <v>1</v>
      </c>
      <c r="FW43" s="2">
        <f t="shared" si="1013"/>
        <v>7</v>
      </c>
      <c r="FX43" s="2">
        <f t="shared" si="888"/>
        <v>0</v>
      </c>
      <c r="FY43" s="2">
        <f t="shared" si="1014"/>
        <v>8</v>
      </c>
      <c r="FZ43" s="2">
        <f t="shared" ref="FZ43" si="1133">IF($E43=3,FA43-3,NA())</f>
        <v>0</v>
      </c>
      <c r="GA43" s="2"/>
      <c r="GB43" s="2"/>
      <c r="GC43" s="41">
        <f>FA43-'Zusammenfassung Tag1-4'!$G$2/18</f>
        <v>1.7222222222222223</v>
      </c>
      <c r="GD43" s="14">
        <f t="shared" si="1015"/>
        <v>148.27777777777789</v>
      </c>
      <c r="GE43" s="53">
        <v>5</v>
      </c>
      <c r="GF43" s="2">
        <v>256</v>
      </c>
      <c r="GG43" s="56">
        <v>3</v>
      </c>
      <c r="GH43" s="2">
        <f t="shared" si="1016"/>
        <v>70</v>
      </c>
      <c r="GI43" s="2">
        <f t="shared" si="890"/>
        <v>0</v>
      </c>
      <c r="GJ43" s="2">
        <f t="shared" si="1017"/>
        <v>1</v>
      </c>
      <c r="GK43" s="2">
        <f t="shared" si="891"/>
        <v>0</v>
      </c>
      <c r="GL43" s="2">
        <f t="shared" si="1018"/>
        <v>1</v>
      </c>
      <c r="GM43" s="2"/>
      <c r="GN43" s="2">
        <f t="shared" si="892"/>
        <v>0</v>
      </c>
      <c r="GO43" s="2">
        <f t="shared" si="1019"/>
        <v>0</v>
      </c>
      <c r="GP43" s="2">
        <f t="shared" si="1020"/>
        <v>0</v>
      </c>
      <c r="GQ43" s="2">
        <f t="shared" si="1021"/>
        <v>0</v>
      </c>
      <c r="GR43" s="2">
        <f t="shared" si="1022"/>
        <v>0</v>
      </c>
      <c r="GS43" s="2">
        <f t="shared" si="1023"/>
        <v>4</v>
      </c>
      <c r="GT43" s="2">
        <f t="shared" si="1024"/>
        <v>1</v>
      </c>
      <c r="GU43" s="2">
        <f t="shared" si="1025"/>
        <v>13</v>
      </c>
      <c r="GV43" s="2">
        <f t="shared" si="1026"/>
        <v>0</v>
      </c>
      <c r="GW43" s="2">
        <f t="shared" si="1027"/>
        <v>0</v>
      </c>
      <c r="GX43" s="2">
        <f t="shared" si="893"/>
        <v>0</v>
      </c>
      <c r="GY43" s="2">
        <f t="shared" si="1028"/>
        <v>6</v>
      </c>
      <c r="GZ43" s="2">
        <f t="shared" si="1029"/>
        <v>0</v>
      </c>
      <c r="HA43" s="2">
        <f t="shared" si="1030"/>
        <v>11</v>
      </c>
      <c r="HB43" s="2">
        <f t="shared" si="894"/>
        <v>1</v>
      </c>
      <c r="HC43" s="2">
        <f t="shared" si="1031"/>
        <v>6</v>
      </c>
      <c r="HD43" s="2">
        <f t="shared" ref="HD43" si="1134">IF($E43=3,GE43-3,NA())</f>
        <v>2</v>
      </c>
      <c r="HE43" s="2"/>
      <c r="HF43" s="2"/>
      <c r="HG43" s="41">
        <f>GE43-'Zusammenfassung Tag1-4'!$H$2/18</f>
        <v>3.2222222222222223</v>
      </c>
      <c r="HH43" s="14">
        <f t="shared" si="1032"/>
        <v>168.77777777777791</v>
      </c>
      <c r="HI43" s="53">
        <v>4</v>
      </c>
      <c r="HJ43" s="2">
        <v>185</v>
      </c>
      <c r="HK43" s="56">
        <v>2</v>
      </c>
      <c r="HL43" s="2">
        <f t="shared" si="1033"/>
        <v>71</v>
      </c>
      <c r="HM43" s="2">
        <f t="shared" si="896"/>
        <v>0</v>
      </c>
      <c r="HN43" s="2">
        <f t="shared" si="1034"/>
        <v>5</v>
      </c>
      <c r="HO43" s="2">
        <f t="shared" si="897"/>
        <v>0</v>
      </c>
      <c r="HP43" s="2">
        <f t="shared" si="1035"/>
        <v>3</v>
      </c>
      <c r="HQ43" s="2"/>
      <c r="HR43" s="2">
        <f t="shared" si="898"/>
        <v>0</v>
      </c>
      <c r="HS43" s="2">
        <f t="shared" si="1036"/>
        <v>0</v>
      </c>
      <c r="HT43" s="2">
        <f t="shared" si="1037"/>
        <v>0</v>
      </c>
      <c r="HU43" s="2">
        <f t="shared" si="1038"/>
        <v>3</v>
      </c>
      <c r="HV43" s="2">
        <f t="shared" si="1039"/>
        <v>1</v>
      </c>
      <c r="HW43" s="2">
        <f t="shared" si="1040"/>
        <v>10</v>
      </c>
      <c r="HX43" s="2">
        <f t="shared" si="1041"/>
        <v>0</v>
      </c>
      <c r="HY43" s="2">
        <f t="shared" si="1042"/>
        <v>4</v>
      </c>
      <c r="HZ43" s="2">
        <f t="shared" si="1043"/>
        <v>0</v>
      </c>
      <c r="IA43" s="2">
        <f t="shared" si="1044"/>
        <v>0</v>
      </c>
      <c r="IB43" s="2">
        <f t="shared" si="899"/>
        <v>0</v>
      </c>
      <c r="IC43" s="2">
        <f t="shared" si="1045"/>
        <v>6</v>
      </c>
      <c r="ID43" s="2">
        <f t="shared" si="1046"/>
        <v>1</v>
      </c>
      <c r="IE43" s="2">
        <f t="shared" si="1047"/>
        <v>9</v>
      </c>
      <c r="IF43" s="2">
        <f t="shared" si="900"/>
        <v>0</v>
      </c>
      <c r="IG43" s="2">
        <f t="shared" si="1048"/>
        <v>7</v>
      </c>
      <c r="IH43" s="2">
        <f t="shared" ref="IH43" si="1135">IF($E43=3,HI43-3,NA())</f>
        <v>1</v>
      </c>
      <c r="II43" s="2"/>
      <c r="IJ43" s="2"/>
      <c r="IK43" s="41">
        <f>HI43-'Zusammenfassung Tag1-4'!$I$2/18</f>
        <v>3.1111111111111112</v>
      </c>
      <c r="IL43" s="14">
        <f t="shared" si="1049"/>
        <v>160.88888888888897</v>
      </c>
      <c r="IM43" s="53">
        <v>7</v>
      </c>
      <c r="IN43" s="2">
        <v>122</v>
      </c>
      <c r="IO43" s="56">
        <v>3</v>
      </c>
      <c r="IP43" s="2">
        <f t="shared" si="1050"/>
        <v>84</v>
      </c>
      <c r="IQ43" s="2">
        <f t="shared" si="902"/>
        <v>0</v>
      </c>
      <c r="IR43" s="2">
        <f t="shared" si="1051"/>
        <v>6</v>
      </c>
      <c r="IS43" s="2">
        <f t="shared" si="903"/>
        <v>0</v>
      </c>
      <c r="IT43" s="2">
        <f t="shared" si="1052"/>
        <v>0</v>
      </c>
      <c r="IU43" s="2"/>
      <c r="IV43" s="2">
        <f t="shared" si="904"/>
        <v>0</v>
      </c>
      <c r="IW43" s="2">
        <f t="shared" si="1053"/>
        <v>1</v>
      </c>
      <c r="IX43" s="2">
        <f t="shared" si="1054"/>
        <v>0</v>
      </c>
      <c r="IY43" s="2">
        <f t="shared" si="1055"/>
        <v>0</v>
      </c>
      <c r="IZ43" s="2">
        <f t="shared" si="1056"/>
        <v>0</v>
      </c>
      <c r="JA43" s="2">
        <f t="shared" si="1057"/>
        <v>3</v>
      </c>
      <c r="JB43" s="2">
        <f t="shared" si="1058"/>
        <v>1</v>
      </c>
      <c r="JC43" s="2">
        <f t="shared" si="1059"/>
        <v>13</v>
      </c>
      <c r="JD43" s="2">
        <f t="shared" si="1060"/>
        <v>0</v>
      </c>
      <c r="JE43" s="2">
        <f t="shared" si="1061"/>
        <v>0</v>
      </c>
      <c r="JF43" s="2">
        <f t="shared" si="905"/>
        <v>0</v>
      </c>
      <c r="JG43" s="2">
        <f t="shared" si="1062"/>
        <v>4</v>
      </c>
      <c r="JH43" s="2">
        <f t="shared" si="1063"/>
        <v>0</v>
      </c>
      <c r="JI43" s="2">
        <f t="shared" si="1064"/>
        <v>8</v>
      </c>
      <c r="JJ43" s="2">
        <f t="shared" si="906"/>
        <v>1</v>
      </c>
      <c r="JK43" s="2">
        <f t="shared" si="1065"/>
        <v>14</v>
      </c>
      <c r="JL43" s="2">
        <f t="shared" ref="JL43" si="1136">IF($E43=3,IM43-3,NA())</f>
        <v>4</v>
      </c>
      <c r="JM43" s="2"/>
      <c r="JN43" s="2"/>
      <c r="JO43" s="41">
        <f>IM43-'Zusammenfassung Tag1-4'!$J$2/18</f>
        <v>4.6666666666666661</v>
      </c>
      <c r="JP43" s="14">
        <f t="shared" si="1066"/>
        <v>154.33333333333331</v>
      </c>
      <c r="JQ43" s="53"/>
      <c r="JR43" s="2"/>
      <c r="JS43" s="56"/>
      <c r="JT43" s="2">
        <f t="shared" si="1067"/>
        <v>0</v>
      </c>
      <c r="JU43" s="2">
        <f t="shared" si="908"/>
        <v>1</v>
      </c>
      <c r="JV43" s="2">
        <f t="shared" si="1068"/>
        <v>35</v>
      </c>
      <c r="JW43" s="2">
        <f t="shared" si="909"/>
        <v>0</v>
      </c>
      <c r="JX43" s="2">
        <f t="shared" si="1069"/>
        <v>0</v>
      </c>
      <c r="JY43" s="2"/>
      <c r="JZ43" s="2">
        <f t="shared" si="910"/>
        <v>0</v>
      </c>
      <c r="KA43" s="2">
        <f t="shared" si="1070"/>
        <v>0</v>
      </c>
      <c r="KB43" s="2">
        <f t="shared" si="1071"/>
        <v>0</v>
      </c>
      <c r="KC43" s="2">
        <f t="shared" si="1072"/>
        <v>0</v>
      </c>
      <c r="KD43" s="2">
        <f t="shared" si="1073"/>
        <v>0</v>
      </c>
      <c r="KE43" s="2">
        <f t="shared" si="1074"/>
        <v>0</v>
      </c>
      <c r="KF43" s="2">
        <f t="shared" si="1075"/>
        <v>0</v>
      </c>
      <c r="KG43" s="2">
        <f t="shared" si="1076"/>
        <v>0</v>
      </c>
      <c r="KH43" s="2">
        <f t="shared" si="1077"/>
        <v>1</v>
      </c>
      <c r="KI43" s="2">
        <f t="shared" si="1078"/>
        <v>17</v>
      </c>
      <c r="KJ43" s="2">
        <f t="shared" si="911"/>
        <v>0</v>
      </c>
      <c r="KK43" s="2">
        <f t="shared" si="1079"/>
        <v>0</v>
      </c>
      <c r="KL43" s="2">
        <f t="shared" si="1080"/>
        <v>0</v>
      </c>
      <c r="KM43" s="2">
        <f t="shared" si="1081"/>
        <v>0</v>
      </c>
      <c r="KN43" s="2">
        <f t="shared" si="912"/>
        <v>0</v>
      </c>
      <c r="KO43" s="2">
        <f t="shared" si="1082"/>
        <v>0</v>
      </c>
      <c r="KP43" s="2">
        <f t="shared" ref="KP43" si="1137">IF($E43=3,JQ43-3,NA())</f>
        <v>-3</v>
      </c>
      <c r="KQ43" s="2"/>
      <c r="KR43" s="2"/>
      <c r="KS43" s="41" t="e">
        <f>JQ43-'Zusammenfassung Tag1-4'!#REF!/18</f>
        <v>#REF!</v>
      </c>
      <c r="KT43" s="14" t="e">
        <f t="shared" si="1083"/>
        <v>#REF!</v>
      </c>
    </row>
    <row r="44" spans="1:306" ht="13.2" x14ac:dyDescent="0.25">
      <c r="A44" s="179"/>
      <c r="B44" s="176"/>
      <c r="C44" s="15">
        <v>18</v>
      </c>
      <c r="D44" s="3">
        <f t="shared" si="914"/>
        <v>36</v>
      </c>
      <c r="E44" s="15">
        <v>5</v>
      </c>
      <c r="F44" s="1">
        <f t="shared" si="915"/>
        <v>144</v>
      </c>
      <c r="G44" s="54">
        <v>4</v>
      </c>
      <c r="H44" s="3">
        <f t="shared" si="916"/>
        <v>172</v>
      </c>
      <c r="I44" s="57">
        <v>1</v>
      </c>
      <c r="J44" s="3">
        <f t="shared" si="917"/>
        <v>67</v>
      </c>
      <c r="K44" s="3">
        <f t="shared" si="850"/>
        <v>1</v>
      </c>
      <c r="L44" s="3">
        <f t="shared" si="918"/>
        <v>11</v>
      </c>
      <c r="M44" s="3">
        <f t="shared" si="851"/>
        <v>0</v>
      </c>
      <c r="N44" s="3">
        <f t="shared" si="919"/>
        <v>5</v>
      </c>
      <c r="O44" s="3"/>
      <c r="P44" s="3">
        <f t="shared" si="852"/>
        <v>1</v>
      </c>
      <c r="Q44" s="3">
        <f t="shared" si="920"/>
        <v>2</v>
      </c>
      <c r="R44" s="3">
        <f t="shared" si="853"/>
        <v>0</v>
      </c>
      <c r="S44" s="3">
        <f t="shared" si="921"/>
        <v>6</v>
      </c>
      <c r="T44" s="3">
        <f t="shared" si="854"/>
        <v>0</v>
      </c>
      <c r="U44" s="3">
        <f t="shared" si="922"/>
        <v>6</v>
      </c>
      <c r="V44" s="3">
        <f t="shared" si="855"/>
        <v>0</v>
      </c>
      <c r="W44" s="3">
        <f t="shared" si="923"/>
        <v>5</v>
      </c>
      <c r="X44" s="3">
        <f t="shared" si="856"/>
        <v>0</v>
      </c>
      <c r="Y44" s="3">
        <f t="shared" si="924"/>
        <v>1</v>
      </c>
      <c r="Z44" s="3">
        <f t="shared" si="857"/>
        <v>1</v>
      </c>
      <c r="AA44" s="3">
        <f t="shared" si="925"/>
        <v>7</v>
      </c>
      <c r="AB44" s="3">
        <f t="shared" si="858"/>
        <v>0</v>
      </c>
      <c r="AC44" s="3">
        <f t="shared" si="926"/>
        <v>12</v>
      </c>
      <c r="AD44" s="3">
        <f t="shared" si="859"/>
        <v>0</v>
      </c>
      <c r="AE44" s="3">
        <f t="shared" si="927"/>
        <v>3</v>
      </c>
      <c r="AF44" s="3"/>
      <c r="AG44" s="3"/>
      <c r="AH44" s="3">
        <f>IF($E44=5,G44-5,NA())</f>
        <v>-1</v>
      </c>
      <c r="AI44" s="17">
        <f>G44-'Zusammenfassung Tag1-4'!$B$2/18</f>
        <v>3.1666666666666665</v>
      </c>
      <c r="AJ44" s="50">
        <f t="shared" si="928"/>
        <v>142</v>
      </c>
      <c r="AK44" s="54">
        <v>5</v>
      </c>
      <c r="AL44" s="3">
        <f t="shared" si="929"/>
        <v>173</v>
      </c>
      <c r="AM44" s="57">
        <v>2</v>
      </c>
      <c r="AN44" s="3">
        <f t="shared" si="930"/>
        <v>69</v>
      </c>
      <c r="AO44" s="3">
        <f t="shared" si="860"/>
        <v>1</v>
      </c>
      <c r="AP44" s="3">
        <f t="shared" si="931"/>
        <v>16</v>
      </c>
      <c r="AQ44" s="3">
        <f t="shared" si="861"/>
        <v>0</v>
      </c>
      <c r="AR44" s="3">
        <f t="shared" si="932"/>
        <v>5</v>
      </c>
      <c r="AS44" s="3"/>
      <c r="AT44" s="3">
        <f t="shared" si="862"/>
        <v>0</v>
      </c>
      <c r="AU44" s="3">
        <f t="shared" si="933"/>
        <v>0</v>
      </c>
      <c r="AV44" s="3">
        <f>IF(AK44=$E44,1,0)</f>
        <v>1</v>
      </c>
      <c r="AW44" s="3">
        <f t="shared" si="935"/>
        <v>11</v>
      </c>
      <c r="AX44" s="3">
        <f t="shared" si="936"/>
        <v>0</v>
      </c>
      <c r="AY44" s="3">
        <f t="shared" si="937"/>
        <v>6</v>
      </c>
      <c r="AZ44" s="3">
        <f t="shared" si="938"/>
        <v>0</v>
      </c>
      <c r="BA44" s="3">
        <f t="shared" si="939"/>
        <v>1</v>
      </c>
      <c r="BB44" s="3">
        <f t="shared" si="940"/>
        <v>0</v>
      </c>
      <c r="BC44" s="3">
        <f t="shared" si="941"/>
        <v>0</v>
      </c>
      <c r="BD44" s="3">
        <f t="shared" si="863"/>
        <v>0</v>
      </c>
      <c r="BE44" s="3">
        <f t="shared" si="942"/>
        <v>7</v>
      </c>
      <c r="BF44" s="3">
        <f t="shared" si="943"/>
        <v>1</v>
      </c>
      <c r="BG44" s="3">
        <f t="shared" si="944"/>
        <v>11</v>
      </c>
      <c r="BH44" s="3">
        <f t="shared" si="864"/>
        <v>0</v>
      </c>
      <c r="BI44" s="3">
        <f t="shared" si="945"/>
        <v>4</v>
      </c>
      <c r="BJ44" s="3"/>
      <c r="BK44" s="3"/>
      <c r="BL44" s="3">
        <f t="shared" ref="BL44" si="1138">IF($E44=5,AK44-5,NA())</f>
        <v>0</v>
      </c>
      <c r="BM44" s="17">
        <f>AK44-'Zusammenfassung Tag1-4'!$C$2/18</f>
        <v>4.4444444444444446</v>
      </c>
      <c r="BN44" s="50">
        <f t="shared" si="946"/>
        <v>153.00000000000006</v>
      </c>
      <c r="BO44" s="54">
        <v>7</v>
      </c>
      <c r="BP44" s="3">
        <f t="shared" si="947"/>
        <v>208</v>
      </c>
      <c r="BQ44" s="57">
        <v>2</v>
      </c>
      <c r="BR44" s="3">
        <f t="shared" si="948"/>
        <v>82</v>
      </c>
      <c r="BS44" s="3">
        <f t="shared" si="866"/>
        <v>0</v>
      </c>
      <c r="BT44" s="3">
        <f t="shared" si="949"/>
        <v>8</v>
      </c>
      <c r="BU44" s="3">
        <f t="shared" si="867"/>
        <v>0</v>
      </c>
      <c r="BV44" s="3">
        <f t="shared" si="950"/>
        <v>0</v>
      </c>
      <c r="BW44" s="3"/>
      <c r="BX44" s="3">
        <f t="shared" si="868"/>
        <v>0</v>
      </c>
      <c r="BY44" s="3">
        <f t="shared" si="951"/>
        <v>0</v>
      </c>
      <c r="BZ44" s="3">
        <f>IF(BO44=$E44,1,0)</f>
        <v>0</v>
      </c>
      <c r="CA44" s="3">
        <f t="shared" si="953"/>
        <v>2</v>
      </c>
      <c r="CB44" s="3">
        <f t="shared" si="954"/>
        <v>0</v>
      </c>
      <c r="CC44" s="3">
        <f t="shared" si="955"/>
        <v>7</v>
      </c>
      <c r="CD44" s="3">
        <f t="shared" si="956"/>
        <v>1</v>
      </c>
      <c r="CE44" s="3">
        <f t="shared" si="957"/>
        <v>9</v>
      </c>
      <c r="CF44" s="3">
        <f t="shared" si="958"/>
        <v>0</v>
      </c>
      <c r="CG44" s="3">
        <f t="shared" si="951"/>
        <v>0</v>
      </c>
      <c r="CH44" s="3">
        <f t="shared" si="869"/>
        <v>0</v>
      </c>
      <c r="CI44" s="3">
        <f t="shared" si="959"/>
        <v>1</v>
      </c>
      <c r="CJ44" s="3">
        <f t="shared" si="960"/>
        <v>1</v>
      </c>
      <c r="CK44" s="3">
        <f t="shared" si="961"/>
        <v>14</v>
      </c>
      <c r="CL44" s="3">
        <f t="shared" si="870"/>
        <v>0</v>
      </c>
      <c r="CM44" s="3">
        <f t="shared" si="962"/>
        <v>11</v>
      </c>
      <c r="CN44" s="3"/>
      <c r="CO44" s="3"/>
      <c r="CP44" s="3">
        <f t="shared" ref="CP44" si="1139">IF($E44=5,BO44-5,NA())</f>
        <v>2</v>
      </c>
      <c r="CQ44" s="17">
        <f>BO44-'Zusammenfassung Tag1-4'!$D$2/18</f>
        <v>5.9444444444444446</v>
      </c>
      <c r="CR44" s="50">
        <f t="shared" si="963"/>
        <v>170.00000000000009</v>
      </c>
      <c r="CS44" s="54">
        <v>5</v>
      </c>
      <c r="CT44" s="3">
        <f t="shared" si="964"/>
        <v>194</v>
      </c>
      <c r="CU44" s="57">
        <v>2</v>
      </c>
      <c r="CV44" s="3">
        <f t="shared" si="965"/>
        <v>80</v>
      </c>
      <c r="CW44" s="3">
        <f t="shared" si="872"/>
        <v>1</v>
      </c>
      <c r="CX44" s="3">
        <f t="shared" si="966"/>
        <v>11</v>
      </c>
      <c r="CY44" s="3">
        <f t="shared" si="873"/>
        <v>0</v>
      </c>
      <c r="CZ44" s="3">
        <f t="shared" si="967"/>
        <v>1</v>
      </c>
      <c r="DA44" s="3"/>
      <c r="DB44" s="3">
        <f t="shared" si="874"/>
        <v>0</v>
      </c>
      <c r="DC44" s="3">
        <f t="shared" si="968"/>
        <v>0</v>
      </c>
      <c r="DD44" s="3">
        <f>IF(CS44=$E44,1,0)</f>
        <v>1</v>
      </c>
      <c r="DE44" s="3">
        <f t="shared" si="970"/>
        <v>5</v>
      </c>
      <c r="DF44" s="3">
        <f t="shared" si="971"/>
        <v>0</v>
      </c>
      <c r="DG44" s="3">
        <f t="shared" si="972"/>
        <v>8</v>
      </c>
      <c r="DH44" s="3">
        <f t="shared" si="973"/>
        <v>0</v>
      </c>
      <c r="DI44" s="3">
        <f t="shared" si="974"/>
        <v>5</v>
      </c>
      <c r="DJ44" s="3">
        <f t="shared" si="975"/>
        <v>0</v>
      </c>
      <c r="DK44" s="3">
        <f t="shared" si="976"/>
        <v>0</v>
      </c>
      <c r="DL44" s="3">
        <f t="shared" si="875"/>
        <v>0</v>
      </c>
      <c r="DM44" s="3">
        <f t="shared" si="977"/>
        <v>4</v>
      </c>
      <c r="DN44" s="3">
        <f t="shared" si="978"/>
        <v>1</v>
      </c>
      <c r="DO44" s="3">
        <f t="shared" si="979"/>
        <v>13</v>
      </c>
      <c r="DP44" s="3">
        <f t="shared" si="876"/>
        <v>0</v>
      </c>
      <c r="DQ44" s="3">
        <f t="shared" si="980"/>
        <v>11</v>
      </c>
      <c r="DR44" s="3"/>
      <c r="DS44" s="3"/>
      <c r="DT44" s="3">
        <f t="shared" ref="DT44" si="1140">IF($E44=5,CS44-5,NA())</f>
        <v>0</v>
      </c>
      <c r="DU44" s="17">
        <f>CS44-'Zusammenfassung Tag1-4'!$E$2/18</f>
        <v>4</v>
      </c>
      <c r="DV44" s="51">
        <f t="shared" si="981"/>
        <v>158</v>
      </c>
      <c r="DW44" s="54">
        <v>7</v>
      </c>
      <c r="DX44" s="3">
        <v>85</v>
      </c>
      <c r="DY44" s="57">
        <v>3</v>
      </c>
      <c r="DZ44" s="3">
        <f t="shared" si="982"/>
        <v>85</v>
      </c>
      <c r="EA44" s="3">
        <f t="shared" si="878"/>
        <v>0</v>
      </c>
      <c r="EB44" s="3">
        <f t="shared" si="983"/>
        <v>0</v>
      </c>
      <c r="EC44" s="3">
        <f t="shared" si="879"/>
        <v>0</v>
      </c>
      <c r="ED44" s="3">
        <f t="shared" si="984"/>
        <v>0</v>
      </c>
      <c r="EE44" s="3"/>
      <c r="EF44" s="3">
        <f t="shared" si="880"/>
        <v>0</v>
      </c>
      <c r="EG44" s="3">
        <f t="shared" si="985"/>
        <v>0</v>
      </c>
      <c r="EH44" s="3">
        <f>IF(DW44=$E44,1,0)</f>
        <v>0</v>
      </c>
      <c r="EI44" s="3">
        <f t="shared" si="987"/>
        <v>0</v>
      </c>
      <c r="EJ44" s="3">
        <f t="shared" si="988"/>
        <v>0</v>
      </c>
      <c r="EK44" s="3">
        <f t="shared" si="989"/>
        <v>5</v>
      </c>
      <c r="EL44" s="3">
        <f t="shared" si="990"/>
        <v>1</v>
      </c>
      <c r="EM44" s="3">
        <f t="shared" si="991"/>
        <v>13</v>
      </c>
      <c r="EN44" s="3">
        <f t="shared" si="992"/>
        <v>0</v>
      </c>
      <c r="EO44" s="3">
        <f t="shared" si="993"/>
        <v>0</v>
      </c>
      <c r="EP44" s="3">
        <f t="shared" si="881"/>
        <v>0</v>
      </c>
      <c r="EQ44" s="3">
        <f t="shared" si="994"/>
        <v>1</v>
      </c>
      <c r="ER44" s="3">
        <f t="shared" si="995"/>
        <v>0</v>
      </c>
      <c r="ES44" s="3">
        <f t="shared" si="996"/>
        <v>12</v>
      </c>
      <c r="ET44" s="3">
        <f t="shared" si="882"/>
        <v>1</v>
      </c>
      <c r="EU44" s="3">
        <f t="shared" si="997"/>
        <v>13</v>
      </c>
      <c r="EV44" s="3"/>
      <c r="EW44" s="3"/>
      <c r="EX44" s="3">
        <f t="shared" ref="EX44" si="1141">IF($E44=5,DW44-5,NA())</f>
        <v>2</v>
      </c>
      <c r="EY44" s="17">
        <f>DW44-'Zusammenfassung Tag1-4'!$F$2/18</f>
        <v>4.5</v>
      </c>
      <c r="EZ44" s="51">
        <f t="shared" si="998"/>
        <v>165</v>
      </c>
      <c r="FA44" s="54">
        <v>7</v>
      </c>
      <c r="FB44" s="3">
        <v>201</v>
      </c>
      <c r="FC44" s="57">
        <v>1</v>
      </c>
      <c r="FD44" s="3">
        <f t="shared" si="999"/>
        <v>69</v>
      </c>
      <c r="FE44" s="3">
        <f t="shared" si="884"/>
        <v>0</v>
      </c>
      <c r="FF44" s="3">
        <f t="shared" si="1000"/>
        <v>6</v>
      </c>
      <c r="FG44" s="3">
        <f t="shared" si="885"/>
        <v>0</v>
      </c>
      <c r="FH44" s="3">
        <f t="shared" si="1001"/>
        <v>4</v>
      </c>
      <c r="FI44" s="3"/>
      <c r="FJ44" s="3">
        <f t="shared" si="886"/>
        <v>0</v>
      </c>
      <c r="FK44" s="3">
        <f t="shared" si="1002"/>
        <v>0</v>
      </c>
      <c r="FL44" s="3">
        <f>IF(FA44=$E44,1,0)</f>
        <v>0</v>
      </c>
      <c r="FM44" s="3">
        <f t="shared" si="1004"/>
        <v>5</v>
      </c>
      <c r="FN44" s="3">
        <f t="shared" si="1005"/>
        <v>0</v>
      </c>
      <c r="FO44" s="3">
        <f t="shared" si="1006"/>
        <v>7</v>
      </c>
      <c r="FP44" s="3">
        <f t="shared" si="1007"/>
        <v>1</v>
      </c>
      <c r="FQ44" s="3">
        <f t="shared" si="1008"/>
        <v>6</v>
      </c>
      <c r="FR44" s="3">
        <f t="shared" si="1009"/>
        <v>0</v>
      </c>
      <c r="FS44" s="3">
        <f t="shared" si="1010"/>
        <v>0</v>
      </c>
      <c r="FT44" s="3">
        <f t="shared" si="887"/>
        <v>1</v>
      </c>
      <c r="FU44" s="3">
        <f t="shared" si="1011"/>
        <v>11</v>
      </c>
      <c r="FV44" s="3">
        <f t="shared" si="1012"/>
        <v>0</v>
      </c>
      <c r="FW44" s="3">
        <f t="shared" si="1013"/>
        <v>7</v>
      </c>
      <c r="FX44" s="3">
        <f t="shared" si="888"/>
        <v>0</v>
      </c>
      <c r="FY44" s="3">
        <f t="shared" si="1014"/>
        <v>8</v>
      </c>
      <c r="FZ44" s="3"/>
      <c r="GA44" s="3"/>
      <c r="GB44" s="3">
        <f t="shared" ref="GB44" si="1142">IF($E44=5,FA44-5,NA())</f>
        <v>2</v>
      </c>
      <c r="GC44" s="17">
        <f>FA44-'Zusammenfassung Tag1-4'!$G$2/18</f>
        <v>5.7222222222222223</v>
      </c>
      <c r="GD44" s="51">
        <f t="shared" si="1015"/>
        <v>154.00000000000011</v>
      </c>
      <c r="GE44" s="54">
        <v>6</v>
      </c>
      <c r="GF44" s="3">
        <v>263</v>
      </c>
      <c r="GG44" s="57">
        <v>2</v>
      </c>
      <c r="GH44" s="3">
        <f t="shared" si="1016"/>
        <v>72</v>
      </c>
      <c r="GI44" s="3">
        <f t="shared" si="890"/>
        <v>0</v>
      </c>
      <c r="GJ44" s="3">
        <f t="shared" si="1017"/>
        <v>1</v>
      </c>
      <c r="GK44" s="3">
        <f t="shared" si="891"/>
        <v>0</v>
      </c>
      <c r="GL44" s="3">
        <f t="shared" si="1018"/>
        <v>1</v>
      </c>
      <c r="GM44" s="3"/>
      <c r="GN44" s="3">
        <f t="shared" si="892"/>
        <v>0</v>
      </c>
      <c r="GO44" s="3">
        <f t="shared" si="1019"/>
        <v>0</v>
      </c>
      <c r="GP44" s="3">
        <f>IF(GE44=$E44,1,0)</f>
        <v>0</v>
      </c>
      <c r="GQ44" s="3">
        <f t="shared" si="1021"/>
        <v>0</v>
      </c>
      <c r="GR44" s="3">
        <f t="shared" si="1022"/>
        <v>1</v>
      </c>
      <c r="GS44" s="3">
        <f t="shared" si="1023"/>
        <v>5</v>
      </c>
      <c r="GT44" s="3">
        <f t="shared" si="1024"/>
        <v>0</v>
      </c>
      <c r="GU44" s="3">
        <f t="shared" si="1025"/>
        <v>13</v>
      </c>
      <c r="GV44" s="3">
        <f t="shared" si="1026"/>
        <v>0</v>
      </c>
      <c r="GW44" s="3">
        <f t="shared" si="1027"/>
        <v>0</v>
      </c>
      <c r="GX44" s="3">
        <f t="shared" si="893"/>
        <v>0</v>
      </c>
      <c r="GY44" s="3">
        <f t="shared" si="1028"/>
        <v>6</v>
      </c>
      <c r="GZ44" s="3">
        <f t="shared" si="1029"/>
        <v>1</v>
      </c>
      <c r="HA44" s="3">
        <f t="shared" si="1030"/>
        <v>12</v>
      </c>
      <c r="HB44" s="3">
        <f t="shared" si="894"/>
        <v>0</v>
      </c>
      <c r="HC44" s="3">
        <f t="shared" si="1031"/>
        <v>6</v>
      </c>
      <c r="HD44" s="3"/>
      <c r="HE44" s="3"/>
      <c r="HF44" s="3">
        <f t="shared" ref="HF44" si="1143">IF($E44=5,GE44-5,NA())</f>
        <v>1</v>
      </c>
      <c r="HG44" s="17">
        <f>GE44-'Zusammenfassung Tag1-4'!$H$2/18</f>
        <v>4.2222222222222223</v>
      </c>
      <c r="HH44" s="51">
        <f t="shared" si="1032"/>
        <v>173.00000000000014</v>
      </c>
      <c r="HI44" s="54">
        <v>7</v>
      </c>
      <c r="HJ44" s="3">
        <v>191</v>
      </c>
      <c r="HK44" s="57">
        <v>2</v>
      </c>
      <c r="HL44" s="3">
        <f t="shared" si="1033"/>
        <v>73</v>
      </c>
      <c r="HM44" s="3">
        <f t="shared" si="896"/>
        <v>0</v>
      </c>
      <c r="HN44" s="3">
        <f t="shared" si="1034"/>
        <v>5</v>
      </c>
      <c r="HO44" s="3">
        <f t="shared" si="897"/>
        <v>0</v>
      </c>
      <c r="HP44" s="3">
        <f t="shared" si="1035"/>
        <v>3</v>
      </c>
      <c r="HQ44" s="3"/>
      <c r="HR44" s="3">
        <f t="shared" si="898"/>
        <v>0</v>
      </c>
      <c r="HS44" s="3">
        <f t="shared" si="1036"/>
        <v>0</v>
      </c>
      <c r="HT44" s="3">
        <f>IF(HI44=$E44,1,0)</f>
        <v>0</v>
      </c>
      <c r="HU44" s="3">
        <f t="shared" si="1038"/>
        <v>3</v>
      </c>
      <c r="HV44" s="3">
        <f t="shared" si="1039"/>
        <v>0</v>
      </c>
      <c r="HW44" s="3">
        <f t="shared" si="1040"/>
        <v>10</v>
      </c>
      <c r="HX44" s="3">
        <f t="shared" si="1041"/>
        <v>1</v>
      </c>
      <c r="HY44" s="3">
        <f t="shared" si="1042"/>
        <v>5</v>
      </c>
      <c r="HZ44" s="3">
        <f t="shared" si="1043"/>
        <v>0</v>
      </c>
      <c r="IA44" s="3">
        <f t="shared" si="1044"/>
        <v>0</v>
      </c>
      <c r="IB44" s="3">
        <f t="shared" si="899"/>
        <v>0</v>
      </c>
      <c r="IC44" s="3">
        <f t="shared" si="1045"/>
        <v>6</v>
      </c>
      <c r="ID44" s="3">
        <f t="shared" si="1046"/>
        <v>1</v>
      </c>
      <c r="IE44" s="3">
        <f t="shared" si="1047"/>
        <v>10</v>
      </c>
      <c r="IF44" s="3">
        <f t="shared" si="900"/>
        <v>0</v>
      </c>
      <c r="IG44" s="3">
        <f t="shared" si="1048"/>
        <v>7</v>
      </c>
      <c r="IH44" s="3"/>
      <c r="II44" s="3"/>
      <c r="IJ44" s="3">
        <f t="shared" ref="IJ44" si="1144">IF($E44=5,HI44-5,NA())</f>
        <v>2</v>
      </c>
      <c r="IK44" s="17">
        <f>HI44-'Zusammenfassung Tag1-4'!$I$2/18</f>
        <v>6.1111111111111107</v>
      </c>
      <c r="IL44" s="51">
        <f t="shared" si="1049"/>
        <v>167.00000000000009</v>
      </c>
      <c r="IM44" s="54">
        <v>9</v>
      </c>
      <c r="IN44" s="3">
        <v>131</v>
      </c>
      <c r="IO44" s="57">
        <v>4</v>
      </c>
      <c r="IP44" s="3">
        <f t="shared" si="1050"/>
        <v>88</v>
      </c>
      <c r="IQ44" s="3">
        <f t="shared" si="902"/>
        <v>0</v>
      </c>
      <c r="IR44" s="3">
        <f t="shared" si="1051"/>
        <v>6</v>
      </c>
      <c r="IS44" s="3">
        <f t="shared" si="903"/>
        <v>0</v>
      </c>
      <c r="IT44" s="3">
        <f t="shared" si="1052"/>
        <v>0</v>
      </c>
      <c r="IU44" s="3"/>
      <c r="IV44" s="3">
        <f t="shared" si="904"/>
        <v>0</v>
      </c>
      <c r="IW44" s="3">
        <f t="shared" si="1053"/>
        <v>1</v>
      </c>
      <c r="IX44" s="3">
        <f>IF(IM44=$E44,1,0)</f>
        <v>0</v>
      </c>
      <c r="IY44" s="3">
        <f t="shared" si="1055"/>
        <v>0</v>
      </c>
      <c r="IZ44" s="3">
        <f t="shared" si="1056"/>
        <v>0</v>
      </c>
      <c r="JA44" s="3">
        <f t="shared" si="1057"/>
        <v>3</v>
      </c>
      <c r="JB44" s="3">
        <f t="shared" si="1058"/>
        <v>1</v>
      </c>
      <c r="JC44" s="3">
        <f t="shared" si="1059"/>
        <v>14</v>
      </c>
      <c r="JD44" s="3">
        <f t="shared" si="1060"/>
        <v>0</v>
      </c>
      <c r="JE44" s="3">
        <f t="shared" si="1061"/>
        <v>0</v>
      </c>
      <c r="JF44" s="3">
        <f t="shared" si="905"/>
        <v>0</v>
      </c>
      <c r="JG44" s="3">
        <f t="shared" si="1062"/>
        <v>4</v>
      </c>
      <c r="JH44" s="3">
        <f t="shared" si="1063"/>
        <v>0</v>
      </c>
      <c r="JI44" s="3">
        <f t="shared" si="1064"/>
        <v>8</v>
      </c>
      <c r="JJ44" s="3">
        <f t="shared" si="906"/>
        <v>1</v>
      </c>
      <c r="JK44" s="3">
        <f t="shared" si="1065"/>
        <v>15</v>
      </c>
      <c r="JL44" s="3"/>
      <c r="JM44" s="3"/>
      <c r="JN44" s="3">
        <f t="shared" ref="JN44" si="1145">IF($E44=5,IM44-5,NA())</f>
        <v>4</v>
      </c>
      <c r="JO44" s="17">
        <f>IM44-'Zusammenfassung Tag1-4'!$J$2/18</f>
        <v>6.6666666666666661</v>
      </c>
      <c r="JP44" s="51">
        <f t="shared" si="1066"/>
        <v>160.99999999999997</v>
      </c>
      <c r="JQ44" s="54"/>
      <c r="JR44" s="3"/>
      <c r="JS44" s="57"/>
      <c r="JT44" s="3">
        <f t="shared" si="1067"/>
        <v>0</v>
      </c>
      <c r="JU44" s="3">
        <f t="shared" si="908"/>
        <v>1</v>
      </c>
      <c r="JV44" s="3">
        <f t="shared" si="1068"/>
        <v>36</v>
      </c>
      <c r="JW44" s="3">
        <f t="shared" si="909"/>
        <v>0</v>
      </c>
      <c r="JX44" s="3">
        <f t="shared" si="1069"/>
        <v>0</v>
      </c>
      <c r="JY44" s="3"/>
      <c r="JZ44" s="3">
        <f t="shared" si="910"/>
        <v>0</v>
      </c>
      <c r="KA44" s="3">
        <f t="shared" si="1070"/>
        <v>0</v>
      </c>
      <c r="KB44" s="3">
        <f>IF(JQ44=$E44,1,0)</f>
        <v>0</v>
      </c>
      <c r="KC44" s="3">
        <f t="shared" si="1072"/>
        <v>0</v>
      </c>
      <c r="KD44" s="3">
        <f t="shared" si="1073"/>
        <v>0</v>
      </c>
      <c r="KE44" s="3">
        <f t="shared" si="1074"/>
        <v>0</v>
      </c>
      <c r="KF44" s="3">
        <f t="shared" si="1075"/>
        <v>0</v>
      </c>
      <c r="KG44" s="3">
        <f t="shared" si="1076"/>
        <v>0</v>
      </c>
      <c r="KH44" s="3">
        <f t="shared" si="1077"/>
        <v>1</v>
      </c>
      <c r="KI44" s="3">
        <f t="shared" si="1078"/>
        <v>18</v>
      </c>
      <c r="KJ44" s="3">
        <f t="shared" si="911"/>
        <v>0</v>
      </c>
      <c r="KK44" s="3">
        <f t="shared" si="1079"/>
        <v>0</v>
      </c>
      <c r="KL44" s="3">
        <f t="shared" si="1080"/>
        <v>0</v>
      </c>
      <c r="KM44" s="3">
        <f t="shared" si="1081"/>
        <v>0</v>
      </c>
      <c r="KN44" s="3">
        <f t="shared" si="912"/>
        <v>0</v>
      </c>
      <c r="KO44" s="3">
        <f t="shared" si="1082"/>
        <v>0</v>
      </c>
      <c r="KP44" s="3"/>
      <c r="KQ44" s="3"/>
      <c r="KR44" s="3">
        <f t="shared" ref="KR44" si="1146">IF($E44=5,JQ44-5,NA())</f>
        <v>-5</v>
      </c>
      <c r="KS44" s="17" t="e">
        <f>JQ44-'Zusammenfassung Tag1-4'!#REF!/18</f>
        <v>#REF!</v>
      </c>
      <c r="KT44" s="51" t="e">
        <f t="shared" si="1083"/>
        <v>#REF!</v>
      </c>
    </row>
    <row r="45" spans="1:306" ht="13.2" x14ac:dyDescent="0.25">
      <c r="A45" s="179"/>
      <c r="B45" s="177"/>
      <c r="C45" s="3" t="s">
        <v>25</v>
      </c>
      <c r="D45" s="3"/>
      <c r="E45" s="83">
        <f>SUM(E36:E44)</f>
        <v>35</v>
      </c>
      <c r="F45" s="91"/>
      <c r="G45" s="3">
        <f>SUM(G36:G44)</f>
        <v>43</v>
      </c>
      <c r="H45" s="3"/>
      <c r="I45" s="3">
        <f>SUM(I36:I44)</f>
        <v>15</v>
      </c>
      <c r="J45" s="3"/>
      <c r="K45" s="3">
        <f>SUM(K36:K44)</f>
        <v>3</v>
      </c>
      <c r="L45" s="3"/>
      <c r="M45" s="3">
        <f>SUM(M36:M44)</f>
        <v>1</v>
      </c>
      <c r="N45" s="3"/>
      <c r="O45" s="3"/>
      <c r="P45" s="3">
        <f>SUM(P36:P44)</f>
        <v>1</v>
      </c>
      <c r="Q45" s="3"/>
      <c r="R45" s="3">
        <f>SUM(R36:R44)</f>
        <v>3</v>
      </c>
      <c r="S45" s="3"/>
      <c r="T45" s="3">
        <f>SUM(T36:T44)</f>
        <v>2</v>
      </c>
      <c r="U45" s="3"/>
      <c r="V45" s="3">
        <f>SUM(V36:V44)</f>
        <v>3</v>
      </c>
      <c r="W45" s="3"/>
      <c r="X45" s="3">
        <f>SUM(X36:X44)</f>
        <v>0</v>
      </c>
      <c r="Y45" s="3"/>
      <c r="Z45" s="3">
        <f>SUM(Z36:Z44)</f>
        <v>3</v>
      </c>
      <c r="AA45" s="3"/>
      <c r="AB45" s="3">
        <f>SUM(AB36:AB44)</f>
        <v>6</v>
      </c>
      <c r="AC45" s="3"/>
      <c r="AD45" s="3">
        <f>SUM(AD36:AD44)</f>
        <v>0</v>
      </c>
      <c r="AE45" s="3"/>
      <c r="AF45" s="17">
        <f t="shared" ref="AF45" si="1147">AVERAGE(AF36:AF44)</f>
        <v>1</v>
      </c>
      <c r="AG45" s="17">
        <f t="shared" ref="AG45:AH45" si="1148">AVERAGE(AG36:AG44)</f>
        <v>1</v>
      </c>
      <c r="AH45" s="17">
        <f t="shared" si="1148"/>
        <v>0.5</v>
      </c>
      <c r="AI45" s="17">
        <f>SUM(AI36:AI44)</f>
        <v>35.5</v>
      </c>
      <c r="AJ45" s="1"/>
      <c r="AK45" s="16">
        <f>SUM(AK36:AK44)</f>
        <v>38</v>
      </c>
      <c r="AL45" s="3"/>
      <c r="AM45" s="3">
        <f>SUM(AM36:AM44)</f>
        <v>18</v>
      </c>
      <c r="AN45" s="3"/>
      <c r="AO45" s="3">
        <f>SUM(AO36:AO44)</f>
        <v>6</v>
      </c>
      <c r="AP45" s="3"/>
      <c r="AQ45" s="3">
        <f>SUM(AQ36:AQ44)</f>
        <v>1</v>
      </c>
      <c r="AR45" s="3"/>
      <c r="AS45" s="3"/>
      <c r="AT45" s="3">
        <f>SUM(AT36:AT44)</f>
        <v>0</v>
      </c>
      <c r="AU45" s="3"/>
      <c r="AV45" s="3">
        <f>SUM(AV36:AV44)</f>
        <v>6</v>
      </c>
      <c r="AW45" s="3"/>
      <c r="AX45" s="3">
        <f>SUM(AX36:AX44)</f>
        <v>3</v>
      </c>
      <c r="AY45" s="3"/>
      <c r="AZ45" s="3">
        <f>SUM(AZ36:AZ44)</f>
        <v>0</v>
      </c>
      <c r="BA45" s="3"/>
      <c r="BB45" s="3">
        <f>SUM(BB36:BB44)</f>
        <v>0</v>
      </c>
      <c r="BC45" s="3"/>
      <c r="BD45" s="3">
        <f>SUM(BD36:BD44)</f>
        <v>1</v>
      </c>
      <c r="BE45" s="3"/>
      <c r="BF45" s="3">
        <f>SUM(BF36:BF44)</f>
        <v>7</v>
      </c>
      <c r="BG45" s="3"/>
      <c r="BH45" s="3">
        <f>SUM(BH36:BH44)</f>
        <v>1</v>
      </c>
      <c r="BI45" s="3"/>
      <c r="BJ45" s="17">
        <f t="shared" ref="BJ45:BL45" si="1149">AVERAGE(BJ36:BJ44)</f>
        <v>0.33333333333333331</v>
      </c>
      <c r="BK45" s="17">
        <f t="shared" si="1149"/>
        <v>0.25</v>
      </c>
      <c r="BL45" s="17">
        <f t="shared" si="1149"/>
        <v>0.5</v>
      </c>
      <c r="BM45" s="17">
        <f>SUM(BM36:BM44)</f>
        <v>32.999999999999993</v>
      </c>
      <c r="BN45" s="1"/>
      <c r="BO45" s="16">
        <f>SUM(BO36:BO44)</f>
        <v>51</v>
      </c>
      <c r="BP45" s="3"/>
      <c r="BQ45" s="3">
        <f>SUM(BQ36:BQ44)</f>
        <v>20</v>
      </c>
      <c r="BR45" s="3"/>
      <c r="BS45" s="3">
        <f>SUM(BS36:BS44)</f>
        <v>1</v>
      </c>
      <c r="BT45" s="3"/>
      <c r="BU45" s="3">
        <f>SUM(BU36:BU44)</f>
        <v>0</v>
      </c>
      <c r="BV45" s="3"/>
      <c r="BW45" s="3"/>
      <c r="BX45" s="3">
        <f>SUM(BX36:BX44)</f>
        <v>0</v>
      </c>
      <c r="BY45" s="3"/>
      <c r="BZ45" s="3">
        <f>SUM(BZ36:BZ44)</f>
        <v>0</v>
      </c>
      <c r="CA45" s="3"/>
      <c r="CB45" s="3">
        <f>SUM(CB36:CB44)</f>
        <v>3</v>
      </c>
      <c r="CC45" s="3"/>
      <c r="CD45" s="3">
        <f>SUM(CD36:CD44)</f>
        <v>6</v>
      </c>
      <c r="CE45" s="3"/>
      <c r="CF45" s="3">
        <f>SUM(CF36:CF44)</f>
        <v>0</v>
      </c>
      <c r="CG45" s="3"/>
      <c r="CH45" s="3">
        <f>SUM(CH36:CH44)</f>
        <v>0</v>
      </c>
      <c r="CI45" s="3"/>
      <c r="CJ45" s="3">
        <f>SUM(CJ36:CJ44)</f>
        <v>7</v>
      </c>
      <c r="CK45" s="3"/>
      <c r="CL45" s="3">
        <f>SUM(CL36:CL44)</f>
        <v>2</v>
      </c>
      <c r="CM45" s="3"/>
      <c r="CN45" s="17">
        <f t="shared" ref="CN45:CP45" si="1150">AVERAGE(CN36:CN44)</f>
        <v>1.3333333333333333</v>
      </c>
      <c r="CO45" s="17">
        <f t="shared" si="1150"/>
        <v>1.75</v>
      </c>
      <c r="CP45" s="17">
        <f t="shared" si="1150"/>
        <v>2.5</v>
      </c>
      <c r="CQ45" s="17">
        <f>SUM(CQ36:CQ44)</f>
        <v>41.499999999999993</v>
      </c>
      <c r="CR45" s="1"/>
      <c r="CS45" s="16">
        <f>SUM(CS36:CS44)</f>
        <v>45</v>
      </c>
      <c r="CT45" s="3"/>
      <c r="CU45" s="3">
        <f>SUM(CU36:CU44)</f>
        <v>17</v>
      </c>
      <c r="CV45" s="3"/>
      <c r="CW45" s="3">
        <f>SUM(CW36:CW44)</f>
        <v>1</v>
      </c>
      <c r="CX45" s="3"/>
      <c r="CY45" s="3">
        <f>SUM(CY36:CY44)</f>
        <v>1</v>
      </c>
      <c r="CZ45" s="3"/>
      <c r="DA45" s="3"/>
      <c r="DB45" s="3">
        <f>SUM(DB36:DB44)</f>
        <v>0</v>
      </c>
      <c r="DC45" s="3"/>
      <c r="DD45" s="3">
        <f>SUM(DD36:DD44)</f>
        <v>2</v>
      </c>
      <c r="DE45" s="3"/>
      <c r="DF45" s="3">
        <f>SUM(DF36:DF44)</f>
        <v>5</v>
      </c>
      <c r="DG45" s="3"/>
      <c r="DH45" s="3">
        <f>SUM(DH36:DH44)</f>
        <v>2</v>
      </c>
      <c r="DI45" s="3"/>
      <c r="DJ45" s="3">
        <f>SUM(DJ36:DJ44)</f>
        <v>0</v>
      </c>
      <c r="DK45" s="3"/>
      <c r="DL45" s="3">
        <f>SUM(DL36:DL44)</f>
        <v>2</v>
      </c>
      <c r="DM45" s="3"/>
      <c r="DN45" s="3">
        <f>SUM(DN36:DN44)</f>
        <v>6</v>
      </c>
      <c r="DO45" s="3"/>
      <c r="DP45" s="3">
        <f>SUM(DP36:DP44)</f>
        <v>1</v>
      </c>
      <c r="DQ45" s="3"/>
      <c r="DR45" s="17">
        <f t="shared" ref="DR45:DT45" si="1151">AVERAGE(DR36:DR44)</f>
        <v>1</v>
      </c>
      <c r="DS45" s="17">
        <f t="shared" si="1151"/>
        <v>1</v>
      </c>
      <c r="DT45" s="17">
        <f t="shared" si="1151"/>
        <v>1.5</v>
      </c>
      <c r="DU45" s="17">
        <f>SUM(DU36:DU44)</f>
        <v>36</v>
      </c>
      <c r="DV45" s="18"/>
      <c r="DW45" s="16">
        <f>SUM(DW36:DW44)</f>
        <v>63</v>
      </c>
      <c r="DX45" s="3"/>
      <c r="DY45" s="3">
        <f>SUM(DY36:DY44)</f>
        <v>21</v>
      </c>
      <c r="DZ45" s="3"/>
      <c r="EA45" s="3">
        <f>SUM(EA36:EA44)</f>
        <v>0</v>
      </c>
      <c r="EB45" s="3"/>
      <c r="EC45" s="3">
        <f>SUM(EC36:EC44)</f>
        <v>0</v>
      </c>
      <c r="ED45" s="3"/>
      <c r="EE45" s="3"/>
      <c r="EF45" s="3">
        <f>SUM(EF36:EF44)</f>
        <v>0</v>
      </c>
      <c r="EG45" s="3"/>
      <c r="EH45" s="3">
        <f>SUM(EH36:EH44)</f>
        <v>0</v>
      </c>
      <c r="EI45" s="3"/>
      <c r="EJ45" s="3">
        <f>SUM(EJ36:EJ44)</f>
        <v>1</v>
      </c>
      <c r="EK45" s="3"/>
      <c r="EL45" s="3">
        <f>SUM(EL36:EL44)</f>
        <v>8</v>
      </c>
      <c r="EM45" s="3"/>
      <c r="EN45" s="3">
        <f>SUM(EN36:EN44)</f>
        <v>0</v>
      </c>
      <c r="EO45" s="3"/>
      <c r="EP45" s="3">
        <f>SUM(EP36:EP44)</f>
        <v>1</v>
      </c>
      <c r="EQ45" s="3"/>
      <c r="ER45" s="3">
        <f>SUM(ER36:ER44)</f>
        <v>4</v>
      </c>
      <c r="ES45" s="3"/>
      <c r="ET45" s="3">
        <f>SUM(ET36:ET44)</f>
        <v>4</v>
      </c>
      <c r="EU45" s="3"/>
      <c r="EV45" s="17">
        <f t="shared" ref="EV45:EX45" si="1152">AVERAGE(EV36:EV44)</f>
        <v>3</v>
      </c>
      <c r="EW45" s="17">
        <f t="shared" si="1152"/>
        <v>3.5</v>
      </c>
      <c r="EX45" s="17">
        <f t="shared" si="1152"/>
        <v>2.5</v>
      </c>
      <c r="EY45" s="17">
        <f>SUM(EY36:EY44)</f>
        <v>40.5</v>
      </c>
      <c r="EZ45" s="18"/>
      <c r="FA45" s="16">
        <f>SUM(FA36:FA44)</f>
        <v>49</v>
      </c>
      <c r="FB45" s="3"/>
      <c r="FC45" s="3">
        <f>SUM(FC36:FC44)</f>
        <v>18</v>
      </c>
      <c r="FD45" s="3"/>
      <c r="FE45" s="3">
        <f>SUM(FE36:FE44)</f>
        <v>2</v>
      </c>
      <c r="FF45" s="3"/>
      <c r="FG45" s="3">
        <f>SUM(FG36:FG44)</f>
        <v>1</v>
      </c>
      <c r="FH45" s="3"/>
      <c r="FI45" s="3"/>
      <c r="FJ45" s="3">
        <f>SUM(FJ36:FJ44)</f>
        <v>0</v>
      </c>
      <c r="FK45" s="3"/>
      <c r="FL45" s="3">
        <f>SUM(FL36:FL44)</f>
        <v>2</v>
      </c>
      <c r="FM45" s="3"/>
      <c r="FN45" s="3">
        <f>SUM(FN36:FN44)</f>
        <v>4</v>
      </c>
      <c r="FO45" s="3"/>
      <c r="FP45" s="3">
        <f>SUM(FP36:FP44)</f>
        <v>3</v>
      </c>
      <c r="FQ45" s="3"/>
      <c r="FR45" s="3">
        <f>SUM(FR36:FR44)</f>
        <v>0</v>
      </c>
      <c r="FS45" s="3"/>
      <c r="FT45" s="3">
        <f>SUM(FT36:FT44)</f>
        <v>3</v>
      </c>
      <c r="FU45" s="3"/>
      <c r="FV45" s="3">
        <f>SUM(FV36:FV44)</f>
        <v>3</v>
      </c>
      <c r="FW45" s="3"/>
      <c r="FX45" s="3">
        <f>SUM(FX36:FX44)</f>
        <v>3</v>
      </c>
      <c r="FY45" s="3"/>
      <c r="FZ45" s="17">
        <f t="shared" ref="FZ45:GB45" si="1153">AVERAGE(FZ36:FZ44)</f>
        <v>0.66666666666666663</v>
      </c>
      <c r="GA45" s="17">
        <f t="shared" si="1153"/>
        <v>1.75</v>
      </c>
      <c r="GB45" s="17">
        <f t="shared" si="1153"/>
        <v>2.5</v>
      </c>
      <c r="GC45" s="17">
        <f>SUM(GC36:GC44)</f>
        <v>37.5</v>
      </c>
      <c r="GD45" s="18"/>
      <c r="GE45" s="16">
        <f>SUM(GE36:GE44)</f>
        <v>59</v>
      </c>
      <c r="GF45" s="3"/>
      <c r="GG45" s="3">
        <f>SUM(GG36:GG44)</f>
        <v>21</v>
      </c>
      <c r="GH45" s="3"/>
      <c r="GI45" s="3">
        <f>SUM(GI36:GI44)</f>
        <v>0</v>
      </c>
      <c r="GJ45" s="3"/>
      <c r="GK45" s="3">
        <f>SUM(GK36:GK44)</f>
        <v>0</v>
      </c>
      <c r="GL45" s="3"/>
      <c r="GM45" s="3"/>
      <c r="GN45" s="3">
        <f>SUM(GN36:GN44)</f>
        <v>0</v>
      </c>
      <c r="GO45" s="3"/>
      <c r="GP45" s="3">
        <f>SUM(GP36:GP44)</f>
        <v>0</v>
      </c>
      <c r="GQ45" s="3"/>
      <c r="GR45" s="3">
        <f>SUM(GR36:GR44)</f>
        <v>1</v>
      </c>
      <c r="GS45" s="3"/>
      <c r="GT45" s="3">
        <f>SUM(GT36:GT44)</f>
        <v>8</v>
      </c>
      <c r="GU45" s="3"/>
      <c r="GV45" s="3">
        <f>SUM(GV36:GV44)</f>
        <v>0</v>
      </c>
      <c r="GW45" s="3"/>
      <c r="GX45" s="3">
        <f>SUM(GX36:GX44)</f>
        <v>0</v>
      </c>
      <c r="GY45" s="3"/>
      <c r="GZ45" s="3">
        <f>SUM(GZ36:GZ44)</f>
        <v>6</v>
      </c>
      <c r="HA45" s="3"/>
      <c r="HB45" s="3">
        <f>SUM(HB36:HB44)</f>
        <v>3</v>
      </c>
      <c r="HC45" s="3"/>
      <c r="HD45" s="17">
        <f t="shared" ref="HD45:HF45" si="1154">AVERAGE(HD36:HD44)</f>
        <v>2</v>
      </c>
      <c r="HE45" s="17">
        <f t="shared" si="1154"/>
        <v>3.5</v>
      </c>
      <c r="HF45" s="17">
        <f t="shared" si="1154"/>
        <v>2</v>
      </c>
      <c r="HG45" s="17">
        <f>SUM(HG36:HG44)</f>
        <v>43</v>
      </c>
      <c r="HH45" s="18"/>
      <c r="HI45" s="16">
        <f>SUM(HI36:HI44)</f>
        <v>46</v>
      </c>
      <c r="HJ45" s="3"/>
      <c r="HK45" s="3">
        <f>SUM(HK36:HK44)</f>
        <v>19</v>
      </c>
      <c r="HL45" s="3"/>
      <c r="HM45" s="3">
        <f>SUM(HM36:HM44)</f>
        <v>3</v>
      </c>
      <c r="HN45" s="3"/>
      <c r="HO45" s="3">
        <f>SUM(HO36:HO44)</f>
        <v>1</v>
      </c>
      <c r="HP45" s="3"/>
      <c r="HQ45" s="3"/>
      <c r="HR45" s="3">
        <f>SUM(HR36:HR44)</f>
        <v>0</v>
      </c>
      <c r="HS45" s="3"/>
      <c r="HT45" s="3">
        <f>SUM(HT36:HT44)</f>
        <v>2</v>
      </c>
      <c r="HU45" s="3"/>
      <c r="HV45" s="3">
        <f>SUM(HV36:HV44)</f>
        <v>5</v>
      </c>
      <c r="HW45" s="3"/>
      <c r="HX45" s="3">
        <f>SUM(HX36:HX44)</f>
        <v>2</v>
      </c>
      <c r="HY45" s="3"/>
      <c r="HZ45" s="3">
        <f>SUM(HZ36:HZ44)</f>
        <v>0</v>
      </c>
      <c r="IA45" s="3"/>
      <c r="IB45" s="3">
        <f>SUM(IB36:IB44)</f>
        <v>1</v>
      </c>
      <c r="IC45" s="3"/>
      <c r="ID45" s="3">
        <f>SUM(ID36:ID44)</f>
        <v>6</v>
      </c>
      <c r="IE45" s="3"/>
      <c r="IF45" s="3">
        <f>SUM(IF36:IF44)</f>
        <v>2</v>
      </c>
      <c r="IG45" s="3"/>
      <c r="IH45" s="17">
        <f t="shared" ref="IH45:IJ45" si="1155">AVERAGE(IH36:IH44)</f>
        <v>1</v>
      </c>
      <c r="II45" s="17">
        <f t="shared" si="1155"/>
        <v>1.5</v>
      </c>
      <c r="IJ45" s="17">
        <f t="shared" si="1155"/>
        <v>1</v>
      </c>
      <c r="IK45" s="17">
        <f>SUM(IK36:IK44)</f>
        <v>38</v>
      </c>
      <c r="IL45" s="18"/>
      <c r="IM45" s="16">
        <f>SUM(IM36:IM44)</f>
        <v>61</v>
      </c>
      <c r="IN45" s="3"/>
      <c r="IO45" s="3">
        <f>SUM(IO36:IO44)</f>
        <v>18</v>
      </c>
      <c r="IP45" s="3"/>
      <c r="IQ45" s="3">
        <f>SUM(IQ36:IQ44)</f>
        <v>1</v>
      </c>
      <c r="IR45" s="3"/>
      <c r="IS45" s="3">
        <f>SUM(IS36:IS44)</f>
        <v>0</v>
      </c>
      <c r="IT45" s="3"/>
      <c r="IU45" s="3"/>
      <c r="IV45" s="3">
        <f>SUM(IV36:IV44)</f>
        <v>1</v>
      </c>
      <c r="IW45" s="3"/>
      <c r="IX45" s="3">
        <f>SUM(IX36:IX44)</f>
        <v>0</v>
      </c>
      <c r="IY45" s="3"/>
      <c r="IZ45" s="3">
        <f>SUM(IZ36:IZ44)</f>
        <v>1</v>
      </c>
      <c r="JA45" s="3"/>
      <c r="JB45" s="3">
        <f>SUM(JB36:JB44)</f>
        <v>7</v>
      </c>
      <c r="JC45" s="3"/>
      <c r="JD45" s="3">
        <f>SUM(JD36:JD44)</f>
        <v>0</v>
      </c>
      <c r="JE45" s="3"/>
      <c r="JF45" s="3">
        <f>SUM(JF36:JF44)</f>
        <v>3</v>
      </c>
      <c r="JG45" s="3"/>
      <c r="JH45" s="3">
        <f>SUM(JH36:JH44)</f>
        <v>4</v>
      </c>
      <c r="JI45" s="3"/>
      <c r="JJ45" s="3">
        <f>SUM(JJ36:JJ44)</f>
        <v>2</v>
      </c>
      <c r="JK45" s="3"/>
      <c r="JL45" s="17">
        <f t="shared" ref="JL45:JN45" si="1156">AVERAGE(JL36:JL44)</f>
        <v>1.6666666666666667</v>
      </c>
      <c r="JM45" s="17">
        <f t="shared" si="1156"/>
        <v>4</v>
      </c>
      <c r="JN45" s="17">
        <f t="shared" si="1156"/>
        <v>2.5</v>
      </c>
      <c r="JO45" s="17">
        <f>SUM(JO36:JO44)</f>
        <v>39.999999999999993</v>
      </c>
      <c r="JP45" s="18"/>
      <c r="JQ45" s="16">
        <f>SUM(JQ36:JQ44)</f>
        <v>0</v>
      </c>
      <c r="JR45" s="3"/>
      <c r="JS45" s="3">
        <f>SUM(JS36:JS44)</f>
        <v>0</v>
      </c>
      <c r="JT45" s="3"/>
      <c r="JU45" s="3">
        <f>SUM(JU36:JU44)</f>
        <v>9</v>
      </c>
      <c r="JV45" s="3"/>
      <c r="JW45" s="3">
        <f>SUM(JW36:JW44)</f>
        <v>0</v>
      </c>
      <c r="JX45" s="3"/>
      <c r="JY45" s="3"/>
      <c r="JZ45" s="3">
        <f>SUM(JZ36:JZ44)</f>
        <v>0</v>
      </c>
      <c r="KA45" s="3"/>
      <c r="KB45" s="3">
        <f>SUM(KB36:KB44)</f>
        <v>0</v>
      </c>
      <c r="KC45" s="3"/>
      <c r="KD45" s="3">
        <f>SUM(KD36:KD44)</f>
        <v>0</v>
      </c>
      <c r="KE45" s="3"/>
      <c r="KF45" s="3">
        <f>SUM(KF36:KF44)</f>
        <v>0</v>
      </c>
      <c r="KG45" s="3"/>
      <c r="KH45" s="3">
        <f>SUM(KH36:KH44)</f>
        <v>9</v>
      </c>
      <c r="KI45" s="3"/>
      <c r="KJ45" s="3">
        <f>SUM(KJ36:KJ44)</f>
        <v>0</v>
      </c>
      <c r="KK45" s="3"/>
      <c r="KL45" s="3">
        <f>SUM(KL36:KL44)</f>
        <v>0</v>
      </c>
      <c r="KM45" s="3"/>
      <c r="KN45" s="3">
        <f>SUM(KN36:KN44)</f>
        <v>0</v>
      </c>
      <c r="KO45" s="3"/>
      <c r="KP45" s="17">
        <f t="shared" ref="KP45:KR45" si="1157">AVERAGE(KP36:KP44)</f>
        <v>-3</v>
      </c>
      <c r="KQ45" s="17">
        <f t="shared" si="1157"/>
        <v>-4</v>
      </c>
      <c r="KR45" s="17">
        <f t="shared" si="1157"/>
        <v>-5</v>
      </c>
      <c r="KS45" s="17" t="e">
        <f>SUM(KS36:KS44)</f>
        <v>#REF!</v>
      </c>
      <c r="KT45" s="18"/>
    </row>
    <row r="46" spans="1:306" ht="13.8" thickBot="1" x14ac:dyDescent="0.3">
      <c r="A46" s="180"/>
      <c r="B46" s="26" t="s">
        <v>27</v>
      </c>
      <c r="C46" s="89" t="s">
        <v>25</v>
      </c>
      <c r="D46" s="89"/>
      <c r="E46" s="2">
        <f>E35+E45</f>
        <v>72</v>
      </c>
      <c r="F46" s="8"/>
      <c r="G46" s="22">
        <f>G35+G45</f>
        <v>90</v>
      </c>
      <c r="H46" s="22"/>
      <c r="I46" s="22">
        <f>I35+I45</f>
        <v>33</v>
      </c>
      <c r="J46" s="22"/>
      <c r="K46" s="22">
        <f>K35+K45</f>
        <v>5</v>
      </c>
      <c r="L46" s="22"/>
      <c r="M46" s="22">
        <f>M35+M45</f>
        <v>2</v>
      </c>
      <c r="N46" s="22"/>
      <c r="O46" s="22">
        <f>I46-(0.45*K46+22.5)</f>
        <v>8.25</v>
      </c>
      <c r="P46" s="22">
        <f>P35+P45</f>
        <v>1</v>
      </c>
      <c r="Q46" s="22"/>
      <c r="R46" s="22">
        <f>R35+R45</f>
        <v>6</v>
      </c>
      <c r="S46" s="22"/>
      <c r="T46" s="22">
        <f>T35+T45</f>
        <v>6</v>
      </c>
      <c r="U46" s="22"/>
      <c r="V46" s="22">
        <f>V35+V45</f>
        <v>5</v>
      </c>
      <c r="W46" s="22"/>
      <c r="X46" s="22">
        <f>X35+X45</f>
        <v>1</v>
      </c>
      <c r="Y46" s="22"/>
      <c r="Z46" s="22">
        <f>Z35+Z45</f>
        <v>3</v>
      </c>
      <c r="AA46" s="22"/>
      <c r="AB46" s="22">
        <f>AB35+AB45</f>
        <v>12</v>
      </c>
      <c r="AC46" s="22"/>
      <c r="AD46" s="22">
        <f>AD35+AD45</f>
        <v>2</v>
      </c>
      <c r="AE46" s="22"/>
      <c r="AF46" s="23">
        <f>AVERAGE(AF26:AF34,AF36:AF44)</f>
        <v>1</v>
      </c>
      <c r="AG46" s="23">
        <f>AVERAGE(AG26:AG34,AG36:AG44)</f>
        <v>0.7</v>
      </c>
      <c r="AH46" s="23">
        <f>AVERAGE(AH26:AH34,AH36:AH44)</f>
        <v>1.75</v>
      </c>
      <c r="AI46" s="23">
        <f>AI35+AI45</f>
        <v>75</v>
      </c>
      <c r="AJ46" s="21"/>
      <c r="AK46" s="24">
        <f>AK35+AK45</f>
        <v>80</v>
      </c>
      <c r="AL46" s="22"/>
      <c r="AM46" s="22">
        <f>AM35+AM45</f>
        <v>35</v>
      </c>
      <c r="AN46" s="22"/>
      <c r="AO46" s="22">
        <f>AO35+AO45</f>
        <v>9</v>
      </c>
      <c r="AP46" s="22"/>
      <c r="AQ46" s="22">
        <f>AQ35+AQ45</f>
        <v>4</v>
      </c>
      <c r="AR46" s="22"/>
      <c r="AS46" s="22">
        <f>AM46-(0.45*AO46+22.5)</f>
        <v>8.4499999999999993</v>
      </c>
      <c r="AT46" s="22">
        <f>AT35+AT45</f>
        <v>0</v>
      </c>
      <c r="AU46" s="22"/>
      <c r="AV46" s="22">
        <f>AV35+AV45</f>
        <v>11</v>
      </c>
      <c r="AW46" s="22"/>
      <c r="AX46" s="22">
        <f>AX35+AX45</f>
        <v>6</v>
      </c>
      <c r="AY46" s="22"/>
      <c r="AZ46" s="22">
        <f>AZ35+AZ45</f>
        <v>1</v>
      </c>
      <c r="BA46" s="22"/>
      <c r="BB46" s="22">
        <f>BB35+BB45</f>
        <v>0</v>
      </c>
      <c r="BC46" s="22"/>
      <c r="BD46" s="22">
        <f>BD35+BD45</f>
        <v>4</v>
      </c>
      <c r="BE46" s="22"/>
      <c r="BF46" s="22">
        <f>BF35+BF45</f>
        <v>11</v>
      </c>
      <c r="BG46" s="22"/>
      <c r="BH46" s="22">
        <f>BH35+BH45</f>
        <v>3</v>
      </c>
      <c r="BI46" s="22"/>
      <c r="BJ46" s="23">
        <f>AVERAGE(BJ26:BJ34,BJ36:BJ44)</f>
        <v>0.25</v>
      </c>
      <c r="BK46" s="23">
        <f>AVERAGE(BK26:BK34,BK36:BK44)</f>
        <v>0.6</v>
      </c>
      <c r="BL46" s="23">
        <f>AVERAGE(BL26:BL34,BL36:BL44)</f>
        <v>0.25</v>
      </c>
      <c r="BM46" s="23">
        <f>BM35+BM45</f>
        <v>69.999999999999986</v>
      </c>
      <c r="BN46" s="21"/>
      <c r="BO46" s="24">
        <f>BO35+BO45</f>
        <v>100</v>
      </c>
      <c r="BP46" s="22"/>
      <c r="BQ46" s="22">
        <f>BQ35+BQ45</f>
        <v>38</v>
      </c>
      <c r="BR46" s="22"/>
      <c r="BS46" s="22">
        <f>BS35+BS45</f>
        <v>3</v>
      </c>
      <c r="BT46" s="22"/>
      <c r="BU46" s="22">
        <f>BU35+BU45</f>
        <v>0</v>
      </c>
      <c r="BV46" s="22"/>
      <c r="BW46" s="22">
        <f>BQ46-(0.45*BS46+22.5)</f>
        <v>14.149999999999999</v>
      </c>
      <c r="BX46" s="22">
        <f>BX35+BX45</f>
        <v>0</v>
      </c>
      <c r="BY46" s="22"/>
      <c r="BZ46" s="22">
        <f>BZ35+BZ45</f>
        <v>2</v>
      </c>
      <c r="CA46" s="22"/>
      <c r="CB46" s="22">
        <f>CB35+CB45</f>
        <v>7</v>
      </c>
      <c r="CC46" s="22"/>
      <c r="CD46" s="22">
        <f>CD35+CD45</f>
        <v>9</v>
      </c>
      <c r="CE46" s="22"/>
      <c r="CF46" s="22">
        <f>CF35+CF45</f>
        <v>0</v>
      </c>
      <c r="CG46" s="22"/>
      <c r="CH46" s="22">
        <f>CH35+CH45</f>
        <v>1</v>
      </c>
      <c r="CI46" s="22"/>
      <c r="CJ46" s="22">
        <f>CJ35+CJ45</f>
        <v>14</v>
      </c>
      <c r="CK46" s="22"/>
      <c r="CL46" s="22">
        <f>CL35+CL45</f>
        <v>3</v>
      </c>
      <c r="CM46" s="22"/>
      <c r="CN46" s="23">
        <f>AVERAGE(CN26:CN34,CN36:CN44)</f>
        <v>1.25</v>
      </c>
      <c r="CO46" s="23">
        <f>AVERAGE(CO26:CO34,CO36:CO44)</f>
        <v>1.6</v>
      </c>
      <c r="CP46" s="23">
        <f>AVERAGE(CP26:CP34,CP36:CP44)</f>
        <v>1.75</v>
      </c>
      <c r="CQ46" s="23">
        <f>CQ35+CQ45</f>
        <v>80.999999999999986</v>
      </c>
      <c r="CR46" s="21"/>
      <c r="CS46" s="24">
        <f>CS35+CS45</f>
        <v>93</v>
      </c>
      <c r="CT46" s="22"/>
      <c r="CU46" s="22">
        <f>CU35+CU45</f>
        <v>37</v>
      </c>
      <c r="CV46" s="22"/>
      <c r="CW46" s="22">
        <f>CW35+CW45</f>
        <v>5</v>
      </c>
      <c r="CX46" s="22"/>
      <c r="CY46" s="22">
        <f>CY35+CY45</f>
        <v>1</v>
      </c>
      <c r="CZ46" s="22"/>
      <c r="DA46" s="22">
        <f>CU46-(0.45*CW46+22.5)</f>
        <v>12.25</v>
      </c>
      <c r="DB46" s="22">
        <f>DB35+DB45</f>
        <v>0</v>
      </c>
      <c r="DC46" s="22"/>
      <c r="DD46" s="22">
        <f>DD35+DD45</f>
        <v>5</v>
      </c>
      <c r="DE46" s="22"/>
      <c r="DF46" s="22">
        <f>DF35+DF45</f>
        <v>8</v>
      </c>
      <c r="DG46" s="22"/>
      <c r="DH46" s="22">
        <f>DH35+DH45</f>
        <v>5</v>
      </c>
      <c r="DI46" s="22"/>
      <c r="DJ46" s="22">
        <f>DJ35+DJ45</f>
        <v>0</v>
      </c>
      <c r="DK46" s="22"/>
      <c r="DL46" s="22">
        <f>DL35+DL45</f>
        <v>2</v>
      </c>
      <c r="DM46" s="22"/>
      <c r="DN46" s="22">
        <f>DN35+DN45</f>
        <v>13</v>
      </c>
      <c r="DO46" s="22"/>
      <c r="DP46" s="22">
        <f>DP35+DP45</f>
        <v>3</v>
      </c>
      <c r="DQ46" s="22"/>
      <c r="DR46" s="23">
        <f>AVERAGE(DR26:DR34,DR36:DR44)</f>
        <v>0.75</v>
      </c>
      <c r="DS46" s="23">
        <f>AVERAGE(DS26:DS34,DS36:DS44)</f>
        <v>1.3</v>
      </c>
      <c r="DT46" s="23">
        <f>AVERAGE(DT26:DT34,DT36:DT44)</f>
        <v>1.25</v>
      </c>
      <c r="DU46" s="23">
        <f>DU35+DU45</f>
        <v>75</v>
      </c>
      <c r="DV46" s="25"/>
      <c r="DW46" s="24">
        <f>DW35+DW45</f>
        <v>119</v>
      </c>
      <c r="DX46" s="22"/>
      <c r="DY46" s="22">
        <f>DY35+DY45</f>
        <v>40</v>
      </c>
      <c r="DZ46" s="22"/>
      <c r="EA46" s="22">
        <f>EA35+EA45</f>
        <v>0</v>
      </c>
      <c r="EB46" s="22"/>
      <c r="EC46" s="22">
        <f>EC35+EC45</f>
        <v>0</v>
      </c>
      <c r="ED46" s="22"/>
      <c r="EE46" s="22">
        <f>DY46-(0.45*EA46+22.5)</f>
        <v>17.5</v>
      </c>
      <c r="EF46" s="22">
        <f>EF35+EF45</f>
        <v>0</v>
      </c>
      <c r="EG46" s="22"/>
      <c r="EH46" s="22">
        <f>EH35+EH45</f>
        <v>0</v>
      </c>
      <c r="EI46" s="22"/>
      <c r="EJ46" s="22">
        <f>EJ35+EJ45</f>
        <v>5</v>
      </c>
      <c r="EK46" s="22"/>
      <c r="EL46" s="22">
        <f>EL35+EL45</f>
        <v>13</v>
      </c>
      <c r="EM46" s="22"/>
      <c r="EN46" s="22">
        <f>EN35+EN45</f>
        <v>0</v>
      </c>
      <c r="EO46" s="22"/>
      <c r="EP46" s="22">
        <f>EP35+EP45</f>
        <v>1</v>
      </c>
      <c r="EQ46" s="22"/>
      <c r="ER46" s="22">
        <f>ER35+ER45</f>
        <v>12</v>
      </c>
      <c r="ES46" s="22"/>
      <c r="ET46" s="22">
        <f>ET35+ET45</f>
        <v>5</v>
      </c>
      <c r="EU46" s="22"/>
      <c r="EV46" s="23">
        <f>AVERAGE(EV26:EV34,EV36:EV44)</f>
        <v>2.5</v>
      </c>
      <c r="EW46" s="23">
        <f>AVERAGE(EW26:EW34,EW36:EW44)</f>
        <v>2.6</v>
      </c>
      <c r="EX46" s="23">
        <f>AVERAGE(EX26:EX34,EX36:EX44)</f>
        <v>2.75</v>
      </c>
      <c r="EY46" s="23">
        <f>EY35+EY45</f>
        <v>74</v>
      </c>
      <c r="EZ46" s="25"/>
      <c r="FA46" s="24">
        <f>FA35+FA45</f>
        <v>99</v>
      </c>
      <c r="FB46" s="22"/>
      <c r="FC46" s="22">
        <f>FC35+FC45</f>
        <v>31</v>
      </c>
      <c r="FD46" s="22"/>
      <c r="FE46" s="22">
        <f>FE35+FE45</f>
        <v>3</v>
      </c>
      <c r="FF46" s="22"/>
      <c r="FG46" s="22">
        <f>FG35+FG45</f>
        <v>3</v>
      </c>
      <c r="FH46" s="22"/>
      <c r="FI46" s="22">
        <f>FC46-(0.45*FE46+22.5)</f>
        <v>7.1499999999999986</v>
      </c>
      <c r="FJ46" s="22">
        <f>FJ35+FJ45</f>
        <v>0</v>
      </c>
      <c r="FK46" s="22"/>
      <c r="FL46" s="22">
        <f>FL35+FL45</f>
        <v>5</v>
      </c>
      <c r="FM46" s="22"/>
      <c r="FN46" s="22">
        <f>FN35+FN45</f>
        <v>7</v>
      </c>
      <c r="FO46" s="22"/>
      <c r="FP46" s="22">
        <f>FP35+FP45</f>
        <v>6</v>
      </c>
      <c r="FQ46" s="22"/>
      <c r="FR46" s="22">
        <f>FR35+FR45</f>
        <v>0</v>
      </c>
      <c r="FS46" s="22"/>
      <c r="FT46" s="22">
        <f>FT35+FT45</f>
        <v>8</v>
      </c>
      <c r="FU46" s="22"/>
      <c r="FV46" s="22">
        <f>FV35+FV45</f>
        <v>7</v>
      </c>
      <c r="FW46" s="22"/>
      <c r="FX46" s="22">
        <f>FX35+FX45</f>
        <v>3</v>
      </c>
      <c r="FY46" s="22"/>
      <c r="FZ46" s="23">
        <f>AVERAGE(FZ26:FZ34,FZ36:FZ44)</f>
        <v>0.5</v>
      </c>
      <c r="GA46" s="23">
        <f>AVERAGE(GA26:GA34,GA36:GA44)</f>
        <v>1.3</v>
      </c>
      <c r="GB46" s="23">
        <f>AVERAGE(GB26:GB34,GB36:GB44)</f>
        <v>3</v>
      </c>
      <c r="GC46" s="23">
        <f>GC35+GC45</f>
        <v>76</v>
      </c>
      <c r="GD46" s="25"/>
      <c r="GE46" s="24">
        <f>GE35+GE45</f>
        <v>114</v>
      </c>
      <c r="GF46" s="22"/>
      <c r="GG46" s="22">
        <f>GG35+GG45</f>
        <v>36</v>
      </c>
      <c r="GH46" s="22"/>
      <c r="GI46" s="22">
        <f>GI35+GI45</f>
        <v>0</v>
      </c>
      <c r="GJ46" s="22"/>
      <c r="GK46" s="22">
        <f>GK35+GK45</f>
        <v>0</v>
      </c>
      <c r="GL46" s="22"/>
      <c r="GM46" s="22">
        <f>GG46-(0.45*GI46+22.5)</f>
        <v>13.5</v>
      </c>
      <c r="GN46" s="22">
        <f>GN35+GN45</f>
        <v>0</v>
      </c>
      <c r="GO46" s="22"/>
      <c r="GP46" s="22">
        <f>GP35+GP45</f>
        <v>0</v>
      </c>
      <c r="GQ46" s="22"/>
      <c r="GR46" s="22">
        <f>GR35+GR45</f>
        <v>5</v>
      </c>
      <c r="GS46" s="22"/>
      <c r="GT46" s="22">
        <f>GT35+GT45</f>
        <v>13</v>
      </c>
      <c r="GU46" s="22"/>
      <c r="GV46" s="22">
        <f>GV35+GV45</f>
        <v>0</v>
      </c>
      <c r="GW46" s="22"/>
      <c r="GX46" s="22">
        <f>GX35+GX45</f>
        <v>3</v>
      </c>
      <c r="GY46" s="22"/>
      <c r="GZ46" s="22">
        <f>GZ35+GZ45</f>
        <v>12</v>
      </c>
      <c r="HA46" s="22"/>
      <c r="HB46" s="22">
        <f>HB35+HB45</f>
        <v>3</v>
      </c>
      <c r="HC46" s="22"/>
      <c r="HD46" s="23">
        <f>AVERAGE(HD26:HD34,HD36:HD44)</f>
        <v>2</v>
      </c>
      <c r="HE46" s="23">
        <f>AVERAGE(HE26:HE34,HE36:HE44)</f>
        <v>2.7</v>
      </c>
      <c r="HF46" s="23">
        <f>AVERAGE(HF26:HF34,HF36:HF44)</f>
        <v>1.75</v>
      </c>
      <c r="HG46" s="23">
        <f>HG35+HG45</f>
        <v>82</v>
      </c>
      <c r="HH46" s="25"/>
      <c r="HI46" s="24">
        <f>HI35+HI45</f>
        <v>95</v>
      </c>
      <c r="HJ46" s="22"/>
      <c r="HK46" s="22">
        <f>HK35+HK45</f>
        <v>38</v>
      </c>
      <c r="HL46" s="22"/>
      <c r="HM46" s="22">
        <f>HM35+HM45</f>
        <v>4</v>
      </c>
      <c r="HN46" s="22"/>
      <c r="HO46" s="22">
        <f>HO35+HO45</f>
        <v>2</v>
      </c>
      <c r="HP46" s="22"/>
      <c r="HQ46" s="22">
        <f>HK46-(0.45*HM46+22.5)</f>
        <v>13.7</v>
      </c>
      <c r="HR46" s="22">
        <f>HR35+HR45</f>
        <v>0</v>
      </c>
      <c r="HS46" s="22"/>
      <c r="HT46" s="22">
        <f>HT35+HT45</f>
        <v>3</v>
      </c>
      <c r="HU46" s="22"/>
      <c r="HV46" s="22">
        <f>HV35+HV45</f>
        <v>10</v>
      </c>
      <c r="HW46" s="22"/>
      <c r="HX46" s="22">
        <f>HX35+HX45</f>
        <v>5</v>
      </c>
      <c r="HY46" s="22"/>
      <c r="HZ46" s="22">
        <f>HZ35+HZ45</f>
        <v>0</v>
      </c>
      <c r="IA46" s="22"/>
      <c r="IB46" s="22">
        <f>IB35+IB45</f>
        <v>3</v>
      </c>
      <c r="IC46" s="22"/>
      <c r="ID46" s="22">
        <f>ID35+ID45</f>
        <v>10</v>
      </c>
      <c r="IE46" s="22"/>
      <c r="IF46" s="22">
        <f>IF35+IF45</f>
        <v>5</v>
      </c>
      <c r="IG46" s="22"/>
      <c r="IH46" s="23">
        <f>AVERAGE(IH26:IH34,IH36:IH44)</f>
        <v>1</v>
      </c>
      <c r="II46" s="23">
        <f>AVERAGE(II26:II34,II36:II44)</f>
        <v>1.5</v>
      </c>
      <c r="IJ46" s="23">
        <f>AVERAGE(IJ26:IJ34,IJ36:IJ44)</f>
        <v>1</v>
      </c>
      <c r="IK46" s="23">
        <f>IK35+IK45</f>
        <v>79</v>
      </c>
      <c r="IL46" s="25"/>
      <c r="IM46" s="24">
        <f>IM35+IM45</f>
        <v>124</v>
      </c>
      <c r="IN46" s="22"/>
      <c r="IO46" s="22">
        <f>IO35+IO45</f>
        <v>40</v>
      </c>
      <c r="IP46" s="22"/>
      <c r="IQ46" s="22">
        <f>IQ35+IQ45</f>
        <v>1</v>
      </c>
      <c r="IR46" s="22"/>
      <c r="IS46" s="22">
        <f>IS35+IS45</f>
        <v>0</v>
      </c>
      <c r="IT46" s="22"/>
      <c r="IU46" s="22">
        <f>IO46-(0.45*IQ46+22.5)</f>
        <v>17.05</v>
      </c>
      <c r="IV46" s="22">
        <f>IV35+IV45</f>
        <v>1</v>
      </c>
      <c r="IW46" s="22"/>
      <c r="IX46" s="22">
        <f>IX35+IX45</f>
        <v>0</v>
      </c>
      <c r="IY46" s="22"/>
      <c r="IZ46" s="22">
        <f>IZ35+IZ45</f>
        <v>3</v>
      </c>
      <c r="JA46" s="22"/>
      <c r="JB46" s="22">
        <f>JB35+JB45</f>
        <v>14</v>
      </c>
      <c r="JC46" s="22"/>
      <c r="JD46" s="22">
        <f>JD35+JD45</f>
        <v>0</v>
      </c>
      <c r="JE46" s="22"/>
      <c r="JF46" s="22">
        <f>JF35+JF45</f>
        <v>4</v>
      </c>
      <c r="JG46" s="22"/>
      <c r="JH46" s="22">
        <f>JH35+JH45</f>
        <v>8</v>
      </c>
      <c r="JI46" s="22"/>
      <c r="JJ46" s="22">
        <f>JJ35+JJ45</f>
        <v>6</v>
      </c>
      <c r="JK46" s="22"/>
      <c r="JL46" s="23">
        <f>AVERAGE(JL26:JL34,JL36:JL44)</f>
        <v>1.5</v>
      </c>
      <c r="JM46" s="23">
        <f>AVERAGE(JM26:JM34,JM36:JM44)</f>
        <v>3.6</v>
      </c>
      <c r="JN46" s="23">
        <f>AVERAGE(JN26:JN34,JN36:JN44)</f>
        <v>2.5</v>
      </c>
      <c r="JO46" s="23">
        <f>JO35+JO45</f>
        <v>82</v>
      </c>
      <c r="JP46" s="25"/>
      <c r="JQ46" s="24">
        <f>JQ35+JQ45</f>
        <v>70</v>
      </c>
      <c r="JR46" s="22"/>
      <c r="JS46" s="22">
        <f>JS35+JS45</f>
        <v>19</v>
      </c>
      <c r="JT46" s="22"/>
      <c r="JU46" s="22">
        <f>JU35+JU45</f>
        <v>18</v>
      </c>
      <c r="JV46" s="22"/>
      <c r="JW46" s="22">
        <f>JW35+JW45</f>
        <v>0</v>
      </c>
      <c r="JX46" s="22"/>
      <c r="JY46" s="22">
        <f>JS46-(0.45*JU46+22.5)</f>
        <v>-11.600000000000001</v>
      </c>
      <c r="JZ46" s="22">
        <f>JZ35+JZ45</f>
        <v>0</v>
      </c>
      <c r="KA46" s="22"/>
      <c r="KB46" s="22">
        <f>KB35+KB45</f>
        <v>0</v>
      </c>
      <c r="KC46" s="22"/>
      <c r="KD46" s="22">
        <f>KD35+KD45</f>
        <v>0</v>
      </c>
      <c r="KE46" s="22"/>
      <c r="KF46" s="22">
        <f>KF35+KF45</f>
        <v>0</v>
      </c>
      <c r="KG46" s="22"/>
      <c r="KH46" s="22">
        <f>KH35+KH45</f>
        <v>18</v>
      </c>
      <c r="KI46" s="22"/>
      <c r="KJ46" s="22">
        <f>KJ35+KJ45</f>
        <v>0</v>
      </c>
      <c r="KK46" s="22"/>
      <c r="KL46" s="22">
        <f>KL35+KL45</f>
        <v>0</v>
      </c>
      <c r="KM46" s="22"/>
      <c r="KN46" s="22">
        <f>KN35+KN45</f>
        <v>0</v>
      </c>
      <c r="KO46" s="22"/>
      <c r="KP46" s="23">
        <f>AVERAGE(KP26:KP34,KP36:KP44)</f>
        <v>-3</v>
      </c>
      <c r="KQ46" s="23">
        <f>AVERAGE(KQ26:KQ34,KQ36:KQ44)</f>
        <v>-4</v>
      </c>
      <c r="KR46" s="23">
        <f>AVERAGE(KR26:KR34,KR36:KR44)</f>
        <v>-5</v>
      </c>
      <c r="KS46" s="23" t="e">
        <f>KS35+KS45</f>
        <v>#REF!</v>
      </c>
      <c r="KT46" s="25"/>
    </row>
    <row r="47" spans="1:306" ht="14.4" thickTop="1" thickBot="1" x14ac:dyDescent="0.3">
      <c r="A47" s="27" t="s">
        <v>28</v>
      </c>
      <c r="B47" s="28" t="s">
        <v>29</v>
      </c>
      <c r="C47" s="29" t="s">
        <v>30</v>
      </c>
      <c r="D47" s="29"/>
      <c r="E47" s="31">
        <f>E23+E46</f>
        <v>144</v>
      </c>
      <c r="F47" s="30"/>
      <c r="G47" s="31">
        <f>G23+G46</f>
        <v>172</v>
      </c>
      <c r="H47" s="31"/>
      <c r="I47" s="31">
        <f>I23+I46</f>
        <v>67</v>
      </c>
      <c r="J47" s="31"/>
      <c r="K47" s="31">
        <f>K23+K46</f>
        <v>11</v>
      </c>
      <c r="L47" s="31"/>
      <c r="M47" s="31">
        <f>M23+M46</f>
        <v>5</v>
      </c>
      <c r="N47" s="31"/>
      <c r="O47" s="31">
        <f>O23+O46</f>
        <v>17.05</v>
      </c>
      <c r="P47" s="31">
        <f>P23+P46</f>
        <v>2</v>
      </c>
      <c r="Q47" s="31"/>
      <c r="R47" s="31">
        <f>R23+R46</f>
        <v>13</v>
      </c>
      <c r="S47" s="31"/>
      <c r="T47" s="31">
        <f>T23+T46</f>
        <v>15</v>
      </c>
      <c r="U47" s="31"/>
      <c r="V47" s="31">
        <f>V23+V46</f>
        <v>6</v>
      </c>
      <c r="W47" s="31"/>
      <c r="X47" s="31">
        <f>X23+X46</f>
        <v>1</v>
      </c>
      <c r="Y47" s="31"/>
      <c r="Z47" s="31">
        <f>Z23+Z46</f>
        <v>7</v>
      </c>
      <c r="AA47" s="31"/>
      <c r="AB47" s="31">
        <f>AB23+AB46</f>
        <v>25</v>
      </c>
      <c r="AC47" s="31"/>
      <c r="AD47" s="31">
        <f>AD23+AD46</f>
        <v>3</v>
      </c>
      <c r="AE47" s="31"/>
      <c r="AF47" s="32">
        <f>AVERAGE(AF3:AF11,AF13:AF21,AF26:AF34,AF36:AF44)</f>
        <v>0.875</v>
      </c>
      <c r="AG47" s="32">
        <f>AVERAGE(AG3:AG11,AG13:AG21,AG26:AG34,AG36:AG44)</f>
        <v>0.55000000000000004</v>
      </c>
      <c r="AH47" s="32">
        <f>AVERAGE(AH3:AH11,AH13:AH21,AH26:AH34,AH36:AH44)</f>
        <v>1.25</v>
      </c>
      <c r="AI47" s="32">
        <f>AI23+AI46</f>
        <v>142</v>
      </c>
      <c r="AJ47" s="30"/>
      <c r="AK47" s="33">
        <f>AK23+AK46</f>
        <v>173</v>
      </c>
      <c r="AL47" s="31"/>
      <c r="AM47" s="31">
        <f>AM23+AM46</f>
        <v>69</v>
      </c>
      <c r="AN47" s="31"/>
      <c r="AO47" s="31">
        <f>AO23+AO46</f>
        <v>16</v>
      </c>
      <c r="AP47" s="31"/>
      <c r="AQ47" s="31">
        <f>AQ23+AQ46</f>
        <v>5</v>
      </c>
      <c r="AR47" s="31"/>
      <c r="AS47" s="31">
        <f>AS23+AS46</f>
        <v>16.8</v>
      </c>
      <c r="AT47" s="31">
        <f>AT23+AT46</f>
        <v>0</v>
      </c>
      <c r="AU47" s="31"/>
      <c r="AV47" s="31">
        <f>AV23+AV46</f>
        <v>18</v>
      </c>
      <c r="AW47" s="31"/>
      <c r="AX47" s="31">
        <f>AX23+AX46</f>
        <v>12</v>
      </c>
      <c r="AY47" s="31"/>
      <c r="AZ47" s="31">
        <f>AZ23+AZ46</f>
        <v>6</v>
      </c>
      <c r="BA47" s="31"/>
      <c r="BB47" s="31">
        <f>BB23+BB46</f>
        <v>0</v>
      </c>
      <c r="BC47" s="31"/>
      <c r="BD47" s="31">
        <f>BD23+BD46</f>
        <v>7</v>
      </c>
      <c r="BE47" s="31"/>
      <c r="BF47" s="31">
        <f>BF23+BF46</f>
        <v>25</v>
      </c>
      <c r="BG47" s="31"/>
      <c r="BH47" s="31">
        <f>BH23+BH46</f>
        <v>4</v>
      </c>
      <c r="BI47" s="31"/>
      <c r="BJ47" s="32">
        <f>AVERAGE(BJ3:BJ11,BJ13:BJ21,BJ26:BJ34,BJ36:BJ44)</f>
        <v>0.75</v>
      </c>
      <c r="BK47" s="32">
        <f>AVERAGE(BK3:BK11,BK13:BK21,BK26:BK34,BK36:BK44)</f>
        <v>0.8</v>
      </c>
      <c r="BL47" s="32">
        <f>AVERAGE(BL3:BL11,BL13:BL21,BL26:BL34,BL36:BL44)</f>
        <v>0.875</v>
      </c>
      <c r="BM47" s="32">
        <f>BM23+BM46</f>
        <v>152.99999999999997</v>
      </c>
      <c r="BN47" s="30"/>
      <c r="BO47" s="33">
        <f>BO23+BO46</f>
        <v>208</v>
      </c>
      <c r="BP47" s="31"/>
      <c r="BQ47" s="31">
        <f>BQ23+BQ46</f>
        <v>82</v>
      </c>
      <c r="BR47" s="31"/>
      <c r="BS47" s="31">
        <f>BS23+BS46</f>
        <v>8</v>
      </c>
      <c r="BT47" s="31"/>
      <c r="BU47" s="31">
        <f>BU23+BU46</f>
        <v>0</v>
      </c>
      <c r="BV47" s="31"/>
      <c r="BW47" s="31">
        <f>BW23+BW46</f>
        <v>33.4</v>
      </c>
      <c r="BX47" s="31">
        <f>BX23+BX46</f>
        <v>0</v>
      </c>
      <c r="BY47" s="31"/>
      <c r="BZ47" s="31">
        <f>BZ23+BZ46</f>
        <v>4</v>
      </c>
      <c r="CA47" s="31"/>
      <c r="CB47" s="31">
        <f>CB23+CB46</f>
        <v>14</v>
      </c>
      <c r="CC47" s="31"/>
      <c r="CD47" s="31">
        <f>CD23+CD46</f>
        <v>18</v>
      </c>
      <c r="CE47" s="31"/>
      <c r="CF47" s="31">
        <f>CF23+CF46</f>
        <v>0</v>
      </c>
      <c r="CG47" s="31"/>
      <c r="CH47" s="31">
        <f>CH23+CH46</f>
        <v>1</v>
      </c>
      <c r="CI47" s="31"/>
      <c r="CJ47" s="31">
        <f>CJ23+CJ46</f>
        <v>24</v>
      </c>
      <c r="CK47" s="31"/>
      <c r="CL47" s="31">
        <f>CL23+CL46</f>
        <v>11</v>
      </c>
      <c r="CM47" s="31"/>
      <c r="CN47" s="32">
        <f>AVERAGE(CN3:CN11,CN13:CN21,CN26:CN34,CN36:CN44)</f>
        <v>1.5</v>
      </c>
      <c r="CO47" s="32">
        <f>AVERAGE(CO3:CO11,CO13:CO21,CO26:CO34,CO36:CO44)</f>
        <v>1.95</v>
      </c>
      <c r="CP47" s="32">
        <f>AVERAGE(CP3:CP11,CP13:CP21,CP26:CP34,CP36:CP44)</f>
        <v>1.625</v>
      </c>
      <c r="CQ47" s="32">
        <f>CQ23+CQ46</f>
        <v>169.99999999999997</v>
      </c>
      <c r="CR47" s="30"/>
      <c r="CS47" s="33">
        <f>CS23+CS46</f>
        <v>194</v>
      </c>
      <c r="CT47" s="31"/>
      <c r="CU47" s="31">
        <f>CU23+CU46</f>
        <v>80</v>
      </c>
      <c r="CV47" s="31"/>
      <c r="CW47" s="31">
        <f>CW23+CW46</f>
        <v>11</v>
      </c>
      <c r="CX47" s="31"/>
      <c r="CY47" s="31">
        <f>CY23+CY46</f>
        <v>1</v>
      </c>
      <c r="CZ47" s="31"/>
      <c r="DA47" s="31">
        <f>DA23+DA46</f>
        <v>30.05</v>
      </c>
      <c r="DB47" s="31">
        <f>DB23+DB46</f>
        <v>0</v>
      </c>
      <c r="DC47" s="31"/>
      <c r="DD47" s="31">
        <f>DD23+DD46</f>
        <v>7</v>
      </c>
      <c r="DE47" s="31"/>
      <c r="DF47" s="31">
        <f>DF23+DF46</f>
        <v>17</v>
      </c>
      <c r="DG47" s="31"/>
      <c r="DH47" s="31">
        <f>DH23+DH46</f>
        <v>12</v>
      </c>
      <c r="DI47" s="31"/>
      <c r="DJ47" s="31">
        <f>DJ23+DJ46</f>
        <v>0</v>
      </c>
      <c r="DK47" s="31"/>
      <c r="DL47" s="31">
        <f>DL23+DL46</f>
        <v>4</v>
      </c>
      <c r="DM47" s="31"/>
      <c r="DN47" s="31">
        <f>DN23+DN46</f>
        <v>21</v>
      </c>
      <c r="DO47" s="31"/>
      <c r="DP47" s="31">
        <f>DP23+DP46</f>
        <v>11</v>
      </c>
      <c r="DQ47" s="31"/>
      <c r="DR47" s="32">
        <f>AVERAGE(DR3:DR11,DR13:DR21,DR26:DR34,DR36:DR44)</f>
        <v>1</v>
      </c>
      <c r="DS47" s="32">
        <f>AVERAGE(DS3:DS11,DS13:DS21,DS26:DS34,DS36:DS44)</f>
        <v>1.25</v>
      </c>
      <c r="DT47" s="32">
        <f>AVERAGE(DT3:DT11,DT13:DT21,DT26:DT34,DT36:DT44)</f>
        <v>2.125</v>
      </c>
      <c r="DU47" s="32">
        <f>DU23+DU46</f>
        <v>158</v>
      </c>
      <c r="DV47" s="34"/>
      <c r="DW47" s="33">
        <f>DW23+DW46</f>
        <v>255</v>
      </c>
      <c r="DX47" s="31"/>
      <c r="DY47" s="31">
        <f>DY23+DY46</f>
        <v>85</v>
      </c>
      <c r="DZ47" s="31"/>
      <c r="EA47" s="31">
        <f>EA23+EA46</f>
        <v>0</v>
      </c>
      <c r="EB47" s="31"/>
      <c r="EC47" s="31">
        <f>EC23+EC46</f>
        <v>0</v>
      </c>
      <c r="ED47" s="31"/>
      <c r="EE47" s="31">
        <f>EE23+EE46</f>
        <v>40</v>
      </c>
      <c r="EF47" s="31">
        <f>EF23+EF46</f>
        <v>0</v>
      </c>
      <c r="EG47" s="31"/>
      <c r="EH47" s="31">
        <f>EH23+EH46</f>
        <v>0</v>
      </c>
      <c r="EI47" s="31"/>
      <c r="EJ47" s="31">
        <f>EJ23+EJ46</f>
        <v>7</v>
      </c>
      <c r="EK47" s="31"/>
      <c r="EL47" s="31">
        <f>EL23+EL46</f>
        <v>29</v>
      </c>
      <c r="EM47" s="31"/>
      <c r="EN47" s="31">
        <f>EN23+EN46</f>
        <v>0</v>
      </c>
      <c r="EO47" s="31"/>
      <c r="EP47" s="31">
        <f>EP23+EP46</f>
        <v>1</v>
      </c>
      <c r="EQ47" s="31"/>
      <c r="ER47" s="31">
        <f>ER23+ER46</f>
        <v>22</v>
      </c>
      <c r="ES47" s="31"/>
      <c r="ET47" s="31">
        <f>ET23+ET46</f>
        <v>13</v>
      </c>
      <c r="EU47" s="31"/>
      <c r="EV47" s="32">
        <f>AVERAGE(EV3:EV11,EV13:EV21,EV26:EV34,EV36:EV44)</f>
        <v>2.625</v>
      </c>
      <c r="EW47" s="32">
        <f>AVERAGE(EW3:EW11,EW13:EW21,EW26:EW34,EW36:EW44)</f>
        <v>3.1</v>
      </c>
      <c r="EX47" s="32">
        <f>AVERAGE(EX3:EX11,EX13:EX21,EX26:EX34,EX36:EX44)</f>
        <v>3.5</v>
      </c>
      <c r="EY47" s="32">
        <f>EY23+EY46</f>
        <v>165</v>
      </c>
      <c r="EZ47" s="34"/>
      <c r="FA47" s="33">
        <f>FA23+FA46</f>
        <v>200</v>
      </c>
      <c r="FB47" s="31"/>
      <c r="FC47" s="31">
        <f>FC23+FC46</f>
        <v>69</v>
      </c>
      <c r="FD47" s="31"/>
      <c r="FE47" s="31">
        <f>FE23+FE46</f>
        <v>6</v>
      </c>
      <c r="FF47" s="31"/>
      <c r="FG47" s="31">
        <f>FG23+FG46</f>
        <v>4</v>
      </c>
      <c r="FH47" s="31"/>
      <c r="FI47" s="31">
        <f>FI23+FI46</f>
        <v>21.299999999999997</v>
      </c>
      <c r="FJ47" s="31">
        <f>FJ23+FJ46</f>
        <v>0</v>
      </c>
      <c r="FK47" s="31"/>
      <c r="FL47" s="31">
        <f>FL23+FL46</f>
        <v>7</v>
      </c>
      <c r="FM47" s="31"/>
      <c r="FN47" s="31">
        <f>FN23+FN46</f>
        <v>14</v>
      </c>
      <c r="FO47" s="31"/>
      <c r="FP47" s="31">
        <f>FP23+FP46</f>
        <v>15</v>
      </c>
      <c r="FQ47" s="31"/>
      <c r="FR47" s="31">
        <f>FR23+FR46</f>
        <v>0</v>
      </c>
      <c r="FS47" s="31"/>
      <c r="FT47" s="31">
        <f>FT23+FT46</f>
        <v>11</v>
      </c>
      <c r="FU47" s="31"/>
      <c r="FV47" s="31">
        <f>FV23+FV46</f>
        <v>17</v>
      </c>
      <c r="FW47" s="31"/>
      <c r="FX47" s="31">
        <f>FX23+FX46</f>
        <v>8</v>
      </c>
      <c r="FY47" s="31"/>
      <c r="FZ47" s="32">
        <f>AVERAGE(FZ3:FZ11,FZ13:FZ21,FZ26:FZ34,FZ36:FZ44)</f>
        <v>1</v>
      </c>
      <c r="GA47" s="32">
        <f>AVERAGE(GA3:GA11,GA13:GA21,GA26:GA34,GA36:GA44)</f>
        <v>1.45</v>
      </c>
      <c r="GB47" s="32">
        <f>AVERAGE(GB3:GB11,GB13:GB21,GB26:GB34,GB36:GB44)</f>
        <v>2.375</v>
      </c>
      <c r="GC47" s="32">
        <f>GC23+GC46</f>
        <v>154</v>
      </c>
      <c r="GD47" s="34"/>
      <c r="GE47" s="33">
        <f>GE23+GE46</f>
        <v>237</v>
      </c>
      <c r="GF47" s="31"/>
      <c r="GG47" s="31">
        <f>GG23+GG46</f>
        <v>72</v>
      </c>
      <c r="GH47" s="31"/>
      <c r="GI47" s="31">
        <f>GI23+GI46</f>
        <v>1</v>
      </c>
      <c r="GJ47" s="31"/>
      <c r="GK47" s="31">
        <f>GK23+GK46</f>
        <v>1</v>
      </c>
      <c r="GL47" s="31"/>
      <c r="GM47" s="31">
        <f>GM23+GM46</f>
        <v>26.55</v>
      </c>
      <c r="GN47" s="31">
        <f>GN23+GN46</f>
        <v>0</v>
      </c>
      <c r="GO47" s="31"/>
      <c r="GP47" s="31">
        <f>GP23+GP46</f>
        <v>2</v>
      </c>
      <c r="GQ47" s="31"/>
      <c r="GR47" s="31">
        <f>GR23+GR46</f>
        <v>9</v>
      </c>
      <c r="GS47" s="31"/>
      <c r="GT47" s="31">
        <f>GT23+GT46</f>
        <v>25</v>
      </c>
      <c r="GU47" s="31"/>
      <c r="GV47" s="31">
        <f>GV23+GV46</f>
        <v>0</v>
      </c>
      <c r="GW47" s="31"/>
      <c r="GX47" s="31">
        <f>GX23+GX46</f>
        <v>6</v>
      </c>
      <c r="GY47" s="31"/>
      <c r="GZ47" s="31">
        <f>GZ23+GZ46</f>
        <v>24</v>
      </c>
      <c r="HA47" s="31"/>
      <c r="HB47" s="31">
        <f>HB23+HB46</f>
        <v>6</v>
      </c>
      <c r="HC47" s="31"/>
      <c r="HD47" s="32">
        <f>AVERAGE(HD3:HD11,HD13:HD21,HD26:HD34,HD36:HD44)</f>
        <v>1.625</v>
      </c>
      <c r="HE47" s="32">
        <f>AVERAGE(HE3:HE11,HE13:HE21,HE26:HE34,HE36:HE44)</f>
        <v>2.8</v>
      </c>
      <c r="HF47" s="32">
        <f>AVERAGE(HF3:HF11,HF13:HF21,HF26:HF34,HF36:HF44)</f>
        <v>3</v>
      </c>
      <c r="HG47" s="32">
        <f>HG23+HG46</f>
        <v>173</v>
      </c>
      <c r="HH47" s="34"/>
      <c r="HI47" s="33">
        <f>HI23+HI46</f>
        <v>199</v>
      </c>
      <c r="HJ47" s="31"/>
      <c r="HK47" s="31">
        <f>HK23+HK46</f>
        <v>73</v>
      </c>
      <c r="HL47" s="31"/>
      <c r="HM47" s="31">
        <f>HM23+HM46</f>
        <v>5</v>
      </c>
      <c r="HN47" s="31"/>
      <c r="HO47" s="31">
        <f>HO23+HO46</f>
        <v>3</v>
      </c>
      <c r="HP47" s="31"/>
      <c r="HQ47" s="31">
        <f>HQ23+HQ46</f>
        <v>25.75</v>
      </c>
      <c r="HR47" s="31">
        <f>HR23+HR46</f>
        <v>0</v>
      </c>
      <c r="HS47" s="31"/>
      <c r="HT47" s="31">
        <f>HT23+HT46</f>
        <v>5</v>
      </c>
      <c r="HU47" s="31"/>
      <c r="HV47" s="31">
        <f>HV23+HV46</f>
        <v>14</v>
      </c>
      <c r="HW47" s="31"/>
      <c r="HX47" s="31">
        <f>HX23+HX46</f>
        <v>17</v>
      </c>
      <c r="HY47" s="31"/>
      <c r="HZ47" s="31">
        <f>HZ23+HZ46</f>
        <v>0</v>
      </c>
      <c r="IA47" s="31"/>
      <c r="IB47" s="31">
        <f>IB23+IB46</f>
        <v>6</v>
      </c>
      <c r="IC47" s="31"/>
      <c r="ID47" s="31">
        <f>ID23+ID46</f>
        <v>23</v>
      </c>
      <c r="IE47" s="31"/>
      <c r="IF47" s="31">
        <f>IF23+IF46</f>
        <v>7</v>
      </c>
      <c r="IG47" s="31"/>
      <c r="IH47" s="32">
        <f>AVERAGE(IH3:IH11,IH13:IH21,IH26:IH34,IH36:IH44)</f>
        <v>1.75</v>
      </c>
      <c r="II47" s="32">
        <f>AVERAGE(II3:II11,II13:II21,II26:II34,II36:II44)</f>
        <v>1.55</v>
      </c>
      <c r="IJ47" s="32">
        <f>AVERAGE(IJ3:IJ11,IJ13:IJ21,IJ26:IJ34,IJ36:IJ44)</f>
        <v>1.25</v>
      </c>
      <c r="IK47" s="32">
        <f>IK23+IK46</f>
        <v>167</v>
      </c>
      <c r="IL47" s="34"/>
      <c r="IM47" s="33">
        <f>IM23+IM46</f>
        <v>245</v>
      </c>
      <c r="IN47" s="31"/>
      <c r="IO47" s="31">
        <f>IO23+IO46</f>
        <v>88</v>
      </c>
      <c r="IP47" s="31"/>
      <c r="IQ47" s="31">
        <f>IQ23+IQ46</f>
        <v>6</v>
      </c>
      <c r="IR47" s="31"/>
      <c r="IS47" s="31">
        <f>IS23+IS46</f>
        <v>0</v>
      </c>
      <c r="IT47" s="31"/>
      <c r="IU47" s="31">
        <f>IU23+IU46</f>
        <v>40.299999999999997</v>
      </c>
      <c r="IV47" s="31">
        <f>IV23+IV46</f>
        <v>1</v>
      </c>
      <c r="IW47" s="31"/>
      <c r="IX47" s="31">
        <f>IX23+IX46</f>
        <v>1</v>
      </c>
      <c r="IY47" s="31"/>
      <c r="IZ47" s="31">
        <f>IZ23+IZ46</f>
        <v>7</v>
      </c>
      <c r="JA47" s="31"/>
      <c r="JB47" s="31">
        <f>JB23+JB46</f>
        <v>27</v>
      </c>
      <c r="JC47" s="31"/>
      <c r="JD47" s="31">
        <f>JD23+JD46</f>
        <v>0</v>
      </c>
      <c r="JE47" s="31"/>
      <c r="JF47" s="31">
        <f>JF23+JF46</f>
        <v>4</v>
      </c>
      <c r="JG47" s="31"/>
      <c r="JH47" s="31">
        <f>JH23+JH46</f>
        <v>17</v>
      </c>
      <c r="JI47" s="31"/>
      <c r="JJ47" s="31">
        <f>JJ23+JJ46</f>
        <v>15</v>
      </c>
      <c r="JK47" s="31"/>
      <c r="JL47" s="32">
        <f>AVERAGE(JL3:JL11,JL13:JL21,JL26:JL34,JL36:JL44)</f>
        <v>1.75</v>
      </c>
      <c r="JM47" s="32">
        <f>AVERAGE(JM3:JM11,JM13:JM21,JM26:JM34,JM36:JM44)</f>
        <v>3.3</v>
      </c>
      <c r="JN47" s="32">
        <f>AVERAGE(JN3:JN11,JN13:JN21,JN26:JN34,JN36:JN44)</f>
        <v>2.625</v>
      </c>
      <c r="JO47" s="32">
        <f>JO23+JO46</f>
        <v>160.99999999999997</v>
      </c>
      <c r="JP47" s="30"/>
      <c r="JQ47" s="33">
        <f>JQ23+JQ46</f>
        <v>137</v>
      </c>
      <c r="JR47" s="31"/>
      <c r="JS47" s="31">
        <f>JS23+JS46</f>
        <v>42</v>
      </c>
      <c r="JT47" s="31"/>
      <c r="JU47" s="31">
        <f>JU23+JU46</f>
        <v>36</v>
      </c>
      <c r="JV47" s="31"/>
      <c r="JW47" s="31">
        <f>JW23+JW46</f>
        <v>0</v>
      </c>
      <c r="JX47" s="31"/>
      <c r="JY47" s="31">
        <f>JY23+JY46</f>
        <v>-19.200000000000003</v>
      </c>
      <c r="JZ47" s="31">
        <f>JZ23+JZ46</f>
        <v>0</v>
      </c>
      <c r="KA47" s="31"/>
      <c r="KB47" s="31">
        <f>KB23+KB46</f>
        <v>0</v>
      </c>
      <c r="KC47" s="31"/>
      <c r="KD47" s="31">
        <f>KD23+KD46</f>
        <v>0</v>
      </c>
      <c r="KE47" s="31"/>
      <c r="KF47" s="31">
        <f>KF23+KF46</f>
        <v>0</v>
      </c>
      <c r="KG47" s="31"/>
      <c r="KH47" s="31">
        <f>KH23+KH46</f>
        <v>36</v>
      </c>
      <c r="KI47" s="31"/>
      <c r="KJ47" s="31">
        <f>KJ23+KJ46</f>
        <v>0</v>
      </c>
      <c r="KK47" s="31"/>
      <c r="KL47" s="31">
        <f>KL23+KL46</f>
        <v>0</v>
      </c>
      <c r="KM47" s="31"/>
      <c r="KN47" s="31">
        <f>KN23+KN46</f>
        <v>0</v>
      </c>
      <c r="KO47" s="31"/>
      <c r="KP47" s="32">
        <f>AVERAGE(KP3:KP11,KP13:KP21,KP26:KP34,KP36:KP44)</f>
        <v>-3</v>
      </c>
      <c r="KQ47" s="32">
        <f>AVERAGE(KQ3:KQ11,KQ13:KQ21,KQ26:KQ34,KQ36:KQ44)</f>
        <v>-4</v>
      </c>
      <c r="KR47" s="32">
        <f>AVERAGE(KR3:KR11,KR13:KR21,KR26:KR34,KR36:KR44)</f>
        <v>-5</v>
      </c>
      <c r="KS47" s="32" t="e">
        <f>KS23+KS46</f>
        <v>#REF!</v>
      </c>
      <c r="KT47" s="30"/>
    </row>
    <row r="48" spans="1:306" s="92" customFormat="1" ht="15.75" customHeight="1" thickTop="1" x14ac:dyDescent="0.25">
      <c r="A48" s="183" t="s">
        <v>66</v>
      </c>
      <c r="B48" s="184" t="s">
        <v>0</v>
      </c>
      <c r="C48" s="185"/>
      <c r="D48" s="185"/>
      <c r="E48" s="185"/>
      <c r="F48" s="186"/>
      <c r="G48" s="171" t="s">
        <v>40</v>
      </c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4"/>
      <c r="AK48" s="171" t="s">
        <v>41</v>
      </c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4"/>
      <c r="BO48" s="171" t="s">
        <v>42</v>
      </c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4"/>
      <c r="CS48" s="171" t="s">
        <v>43</v>
      </c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2"/>
      <c r="DE48" s="172"/>
      <c r="DF48" s="172"/>
      <c r="DG48" s="172"/>
      <c r="DH48" s="172"/>
      <c r="DI48" s="172"/>
      <c r="DJ48" s="172"/>
      <c r="DK48" s="172"/>
      <c r="DL48" s="172"/>
      <c r="DM48" s="172"/>
      <c r="DN48" s="172"/>
      <c r="DO48" s="172"/>
      <c r="DP48" s="172"/>
      <c r="DQ48" s="172"/>
      <c r="DR48" s="172"/>
      <c r="DS48" s="172"/>
      <c r="DT48" s="172"/>
      <c r="DU48" s="172"/>
      <c r="DV48" s="173"/>
      <c r="DW48" s="171" t="s">
        <v>107</v>
      </c>
      <c r="DX48" s="172"/>
      <c r="DY48" s="172"/>
      <c r="DZ48" s="172"/>
      <c r="EA48" s="172"/>
      <c r="EB48" s="172"/>
      <c r="EC48" s="172"/>
      <c r="ED48" s="172"/>
      <c r="EE48" s="172"/>
      <c r="EF48" s="172"/>
      <c r="EG48" s="172"/>
      <c r="EH48" s="172"/>
      <c r="EI48" s="172"/>
      <c r="EJ48" s="172"/>
      <c r="EK48" s="172"/>
      <c r="EL48" s="172"/>
      <c r="EM48" s="172"/>
      <c r="EN48" s="172"/>
      <c r="EO48" s="172"/>
      <c r="EP48" s="172"/>
      <c r="EQ48" s="172"/>
      <c r="ER48" s="172"/>
      <c r="ES48" s="172"/>
      <c r="ET48" s="172"/>
      <c r="EU48" s="172"/>
      <c r="EV48" s="172"/>
      <c r="EW48" s="172"/>
      <c r="EX48" s="172"/>
      <c r="EY48" s="172"/>
      <c r="EZ48" s="173"/>
      <c r="FA48" s="171" t="s">
        <v>69</v>
      </c>
      <c r="FB48" s="172"/>
      <c r="FC48" s="172"/>
      <c r="FD48" s="172"/>
      <c r="FE48" s="172"/>
      <c r="FF48" s="172"/>
      <c r="FG48" s="172"/>
      <c r="FH48" s="172"/>
      <c r="FI48" s="172"/>
      <c r="FJ48" s="172"/>
      <c r="FK48" s="172"/>
      <c r="FL48" s="172"/>
      <c r="FM48" s="172"/>
      <c r="FN48" s="172"/>
      <c r="FO48" s="172"/>
      <c r="FP48" s="172"/>
      <c r="FQ48" s="172"/>
      <c r="FR48" s="172"/>
      <c r="FS48" s="172"/>
      <c r="FT48" s="172"/>
      <c r="FU48" s="172"/>
      <c r="FV48" s="172"/>
      <c r="FW48" s="172"/>
      <c r="FX48" s="172"/>
      <c r="FY48" s="172"/>
      <c r="FZ48" s="172"/>
      <c r="GA48" s="172"/>
      <c r="GB48" s="172"/>
      <c r="GC48" s="172"/>
      <c r="GD48" s="173"/>
      <c r="GE48" s="171" t="s">
        <v>70</v>
      </c>
      <c r="GF48" s="172"/>
      <c r="GG48" s="172"/>
      <c r="GH48" s="172"/>
      <c r="GI48" s="172"/>
      <c r="GJ48" s="172"/>
      <c r="GK48" s="172"/>
      <c r="GL48" s="172"/>
      <c r="GM48" s="172"/>
      <c r="GN48" s="172"/>
      <c r="GO48" s="172"/>
      <c r="GP48" s="172"/>
      <c r="GQ48" s="172"/>
      <c r="GR48" s="172"/>
      <c r="GS48" s="172"/>
      <c r="GT48" s="172"/>
      <c r="GU48" s="172"/>
      <c r="GV48" s="172"/>
      <c r="GW48" s="172"/>
      <c r="GX48" s="172"/>
      <c r="GY48" s="172"/>
      <c r="GZ48" s="172"/>
      <c r="HA48" s="172"/>
      <c r="HB48" s="172"/>
      <c r="HC48" s="172"/>
      <c r="HD48" s="172"/>
      <c r="HE48" s="172"/>
      <c r="HF48" s="172"/>
      <c r="HG48" s="172"/>
      <c r="HH48" s="173"/>
      <c r="HI48" s="171" t="s">
        <v>71</v>
      </c>
      <c r="HJ48" s="172"/>
      <c r="HK48" s="172"/>
      <c r="HL48" s="172"/>
      <c r="HM48" s="172"/>
      <c r="HN48" s="172"/>
      <c r="HO48" s="172"/>
      <c r="HP48" s="172"/>
      <c r="HQ48" s="172"/>
      <c r="HR48" s="172"/>
      <c r="HS48" s="172"/>
      <c r="HT48" s="172"/>
      <c r="HU48" s="172"/>
      <c r="HV48" s="172"/>
      <c r="HW48" s="172"/>
      <c r="HX48" s="172"/>
      <c r="HY48" s="172"/>
      <c r="HZ48" s="172"/>
      <c r="IA48" s="172"/>
      <c r="IB48" s="172"/>
      <c r="IC48" s="172"/>
      <c r="ID48" s="172"/>
      <c r="IE48" s="172"/>
      <c r="IF48" s="172"/>
      <c r="IG48" s="172"/>
      <c r="IH48" s="172"/>
      <c r="II48" s="172"/>
      <c r="IJ48" s="172"/>
      <c r="IK48" s="172"/>
      <c r="IL48" s="173"/>
      <c r="IM48" s="171" t="s">
        <v>108</v>
      </c>
      <c r="IN48" s="172"/>
      <c r="IO48" s="172"/>
      <c r="IP48" s="172"/>
      <c r="IQ48" s="172"/>
      <c r="IR48" s="172"/>
      <c r="IS48" s="172"/>
      <c r="IT48" s="172"/>
      <c r="IU48" s="172"/>
      <c r="IV48" s="172"/>
      <c r="IW48" s="172"/>
      <c r="IX48" s="172"/>
      <c r="IY48" s="172"/>
      <c r="IZ48" s="172"/>
      <c r="JA48" s="172"/>
      <c r="JB48" s="172"/>
      <c r="JC48" s="172"/>
      <c r="JD48" s="172"/>
      <c r="JE48" s="172"/>
      <c r="JF48" s="172"/>
      <c r="JG48" s="172"/>
      <c r="JH48" s="172"/>
      <c r="JI48" s="172"/>
      <c r="JJ48" s="172"/>
      <c r="JK48" s="172"/>
      <c r="JL48" s="172"/>
      <c r="JM48" s="172"/>
      <c r="JN48" s="172"/>
      <c r="JO48" s="172"/>
      <c r="JP48" s="173"/>
      <c r="JQ48" s="171" t="s">
        <v>68</v>
      </c>
      <c r="JR48" s="172"/>
      <c r="JS48" s="172"/>
      <c r="JT48" s="172"/>
      <c r="JU48" s="172"/>
      <c r="JV48" s="172"/>
      <c r="JW48" s="172"/>
      <c r="JX48" s="172"/>
      <c r="JY48" s="172"/>
      <c r="JZ48" s="172"/>
      <c r="KA48" s="172"/>
      <c r="KB48" s="172"/>
      <c r="KC48" s="172"/>
      <c r="KD48" s="172"/>
      <c r="KE48" s="172"/>
      <c r="KF48" s="172"/>
      <c r="KG48" s="172"/>
      <c r="KH48" s="172"/>
      <c r="KI48" s="172"/>
      <c r="KJ48" s="172"/>
      <c r="KK48" s="172"/>
      <c r="KL48" s="172"/>
      <c r="KM48" s="172"/>
      <c r="KN48" s="172"/>
      <c r="KO48" s="172"/>
      <c r="KP48" s="172"/>
      <c r="KQ48" s="172"/>
      <c r="KR48" s="172"/>
      <c r="KS48" s="172"/>
      <c r="KT48" s="173"/>
    </row>
    <row r="49" spans="1:306" ht="13.2" x14ac:dyDescent="0.25">
      <c r="A49" s="179"/>
      <c r="B49" s="82" t="s">
        <v>1</v>
      </c>
      <c r="C49" s="3" t="s">
        <v>2</v>
      </c>
      <c r="D49" s="3"/>
      <c r="E49" s="3" t="s">
        <v>3</v>
      </c>
      <c r="F49" s="1"/>
      <c r="G49" s="16" t="s">
        <v>5</v>
      </c>
      <c r="H49" s="3" t="s">
        <v>6</v>
      </c>
      <c r="I49" s="3" t="s">
        <v>7</v>
      </c>
      <c r="J49" s="3" t="s">
        <v>8</v>
      </c>
      <c r="K49" s="3" t="s">
        <v>9</v>
      </c>
      <c r="L49" s="3" t="s">
        <v>10</v>
      </c>
      <c r="M49" s="3" t="s">
        <v>11</v>
      </c>
      <c r="N49" s="3" t="s">
        <v>12</v>
      </c>
      <c r="O49" s="2" t="s">
        <v>93</v>
      </c>
      <c r="P49" s="3" t="s">
        <v>13</v>
      </c>
      <c r="Q49" s="3" t="s">
        <v>14</v>
      </c>
      <c r="R49" s="2" t="s">
        <v>50</v>
      </c>
      <c r="S49" s="2" t="s">
        <v>56</v>
      </c>
      <c r="T49" s="2" t="s">
        <v>51</v>
      </c>
      <c r="U49" s="2" t="s">
        <v>57</v>
      </c>
      <c r="V49" s="2" t="s">
        <v>58</v>
      </c>
      <c r="W49" s="2" t="s">
        <v>59</v>
      </c>
      <c r="X49" s="2" t="s">
        <v>38</v>
      </c>
      <c r="Y49" s="2" t="s">
        <v>39</v>
      </c>
      <c r="Z49" s="3" t="s">
        <v>15</v>
      </c>
      <c r="AA49" s="3" t="s">
        <v>16</v>
      </c>
      <c r="AB49" s="2" t="s">
        <v>73</v>
      </c>
      <c r="AC49" s="2" t="s">
        <v>75</v>
      </c>
      <c r="AD49" s="3" t="s">
        <v>17</v>
      </c>
      <c r="AE49" s="3" t="s">
        <v>18</v>
      </c>
      <c r="AF49" s="3" t="s">
        <v>19</v>
      </c>
      <c r="AG49" s="3" t="s">
        <v>20</v>
      </c>
      <c r="AH49" s="3" t="s">
        <v>21</v>
      </c>
      <c r="AI49" s="3" t="s">
        <v>22</v>
      </c>
      <c r="AJ49" s="1" t="s">
        <v>23</v>
      </c>
      <c r="AK49" s="16" t="s">
        <v>5</v>
      </c>
      <c r="AL49" s="3" t="s">
        <v>6</v>
      </c>
      <c r="AM49" s="3" t="s">
        <v>7</v>
      </c>
      <c r="AN49" s="3" t="s">
        <v>8</v>
      </c>
      <c r="AO49" s="3" t="s">
        <v>9</v>
      </c>
      <c r="AP49" s="3" t="s">
        <v>10</v>
      </c>
      <c r="AQ49" s="3" t="s">
        <v>11</v>
      </c>
      <c r="AR49" s="3" t="s">
        <v>12</v>
      </c>
      <c r="AS49" s="2" t="s">
        <v>93</v>
      </c>
      <c r="AT49" s="3" t="s">
        <v>13</v>
      </c>
      <c r="AU49" s="3" t="s">
        <v>14</v>
      </c>
      <c r="AV49" s="2" t="s">
        <v>50</v>
      </c>
      <c r="AW49" s="2" t="s">
        <v>56</v>
      </c>
      <c r="AX49" s="2" t="s">
        <v>51</v>
      </c>
      <c r="AY49" s="2" t="s">
        <v>57</v>
      </c>
      <c r="AZ49" s="2" t="s">
        <v>58</v>
      </c>
      <c r="BA49" s="2" t="s">
        <v>59</v>
      </c>
      <c r="BB49" s="2" t="s">
        <v>38</v>
      </c>
      <c r="BC49" s="2" t="s">
        <v>39</v>
      </c>
      <c r="BD49" s="3" t="s">
        <v>15</v>
      </c>
      <c r="BE49" s="3" t="s">
        <v>16</v>
      </c>
      <c r="BF49" s="2" t="s">
        <v>73</v>
      </c>
      <c r="BG49" s="2" t="s">
        <v>75</v>
      </c>
      <c r="BH49" s="3" t="s">
        <v>17</v>
      </c>
      <c r="BI49" s="3" t="s">
        <v>18</v>
      </c>
      <c r="BJ49" s="3" t="s">
        <v>19</v>
      </c>
      <c r="BK49" s="3" t="s">
        <v>20</v>
      </c>
      <c r="BL49" s="3" t="s">
        <v>21</v>
      </c>
      <c r="BM49" s="3" t="s">
        <v>22</v>
      </c>
      <c r="BN49" s="1" t="s">
        <v>23</v>
      </c>
      <c r="BO49" s="16" t="s">
        <v>5</v>
      </c>
      <c r="BP49" s="3" t="s">
        <v>6</v>
      </c>
      <c r="BQ49" s="3" t="s">
        <v>7</v>
      </c>
      <c r="BR49" s="3" t="s">
        <v>8</v>
      </c>
      <c r="BS49" s="3" t="s">
        <v>9</v>
      </c>
      <c r="BT49" s="3" t="s">
        <v>10</v>
      </c>
      <c r="BU49" s="3" t="s">
        <v>11</v>
      </c>
      <c r="BV49" s="3" t="s">
        <v>12</v>
      </c>
      <c r="BW49" s="2" t="s">
        <v>93</v>
      </c>
      <c r="BX49" s="3" t="s">
        <v>13</v>
      </c>
      <c r="BY49" s="3" t="s">
        <v>14</v>
      </c>
      <c r="BZ49" s="2" t="s">
        <v>50</v>
      </c>
      <c r="CA49" s="2" t="s">
        <v>56</v>
      </c>
      <c r="CB49" s="2" t="s">
        <v>51</v>
      </c>
      <c r="CC49" s="2" t="s">
        <v>57</v>
      </c>
      <c r="CD49" s="2" t="s">
        <v>58</v>
      </c>
      <c r="CE49" s="2" t="s">
        <v>59</v>
      </c>
      <c r="CF49" s="2" t="s">
        <v>38</v>
      </c>
      <c r="CG49" s="2" t="s">
        <v>39</v>
      </c>
      <c r="CH49" s="3" t="s">
        <v>15</v>
      </c>
      <c r="CI49" s="3" t="s">
        <v>16</v>
      </c>
      <c r="CJ49" s="2" t="s">
        <v>73</v>
      </c>
      <c r="CK49" s="2" t="s">
        <v>75</v>
      </c>
      <c r="CL49" s="3" t="s">
        <v>17</v>
      </c>
      <c r="CM49" s="3" t="s">
        <v>18</v>
      </c>
      <c r="CN49" s="3" t="s">
        <v>19</v>
      </c>
      <c r="CO49" s="3" t="s">
        <v>20</v>
      </c>
      <c r="CP49" s="3" t="s">
        <v>21</v>
      </c>
      <c r="CQ49" s="3" t="s">
        <v>22</v>
      </c>
      <c r="CR49" s="1" t="s">
        <v>23</v>
      </c>
      <c r="CS49" s="16" t="s">
        <v>5</v>
      </c>
      <c r="CT49" s="3" t="s">
        <v>6</v>
      </c>
      <c r="CU49" s="3" t="s">
        <v>7</v>
      </c>
      <c r="CV49" s="3" t="s">
        <v>8</v>
      </c>
      <c r="CW49" s="3" t="s">
        <v>9</v>
      </c>
      <c r="CX49" s="3" t="s">
        <v>10</v>
      </c>
      <c r="CY49" s="3" t="s">
        <v>11</v>
      </c>
      <c r="CZ49" s="3" t="s">
        <v>12</v>
      </c>
      <c r="DA49" s="2" t="s">
        <v>93</v>
      </c>
      <c r="DB49" s="3" t="s">
        <v>13</v>
      </c>
      <c r="DC49" s="3" t="s">
        <v>14</v>
      </c>
      <c r="DD49" s="2" t="s">
        <v>50</v>
      </c>
      <c r="DE49" s="2" t="s">
        <v>56</v>
      </c>
      <c r="DF49" s="2" t="s">
        <v>51</v>
      </c>
      <c r="DG49" s="2" t="s">
        <v>57</v>
      </c>
      <c r="DH49" s="2" t="s">
        <v>58</v>
      </c>
      <c r="DI49" s="2" t="s">
        <v>59</v>
      </c>
      <c r="DJ49" s="2" t="s">
        <v>38</v>
      </c>
      <c r="DK49" s="2" t="s">
        <v>39</v>
      </c>
      <c r="DL49" s="3" t="s">
        <v>15</v>
      </c>
      <c r="DM49" s="3" t="s">
        <v>16</v>
      </c>
      <c r="DN49" s="2" t="s">
        <v>73</v>
      </c>
      <c r="DO49" s="2" t="s">
        <v>75</v>
      </c>
      <c r="DP49" s="3" t="s">
        <v>17</v>
      </c>
      <c r="DQ49" s="3" t="s">
        <v>18</v>
      </c>
      <c r="DR49" s="3" t="s">
        <v>19</v>
      </c>
      <c r="DS49" s="3" t="s">
        <v>20</v>
      </c>
      <c r="DT49" s="3" t="s">
        <v>21</v>
      </c>
      <c r="DU49" s="3" t="s">
        <v>22</v>
      </c>
      <c r="DV49" s="18" t="s">
        <v>23</v>
      </c>
      <c r="DW49" s="16" t="s">
        <v>5</v>
      </c>
      <c r="DX49" s="3" t="s">
        <v>6</v>
      </c>
      <c r="DY49" s="3" t="s">
        <v>7</v>
      </c>
      <c r="DZ49" s="3" t="s">
        <v>8</v>
      </c>
      <c r="EA49" s="3" t="s">
        <v>9</v>
      </c>
      <c r="EB49" s="3" t="s">
        <v>10</v>
      </c>
      <c r="EC49" s="3" t="s">
        <v>11</v>
      </c>
      <c r="ED49" s="3" t="s">
        <v>12</v>
      </c>
      <c r="EE49" s="2" t="s">
        <v>93</v>
      </c>
      <c r="EF49" s="3" t="s">
        <v>13</v>
      </c>
      <c r="EG49" s="3" t="s">
        <v>14</v>
      </c>
      <c r="EH49" s="2" t="s">
        <v>50</v>
      </c>
      <c r="EI49" s="2" t="s">
        <v>56</v>
      </c>
      <c r="EJ49" s="2" t="s">
        <v>51</v>
      </c>
      <c r="EK49" s="2" t="s">
        <v>57</v>
      </c>
      <c r="EL49" s="2" t="s">
        <v>58</v>
      </c>
      <c r="EM49" s="2" t="s">
        <v>59</v>
      </c>
      <c r="EN49" s="2" t="s">
        <v>38</v>
      </c>
      <c r="EO49" s="2" t="s">
        <v>39</v>
      </c>
      <c r="EP49" s="3" t="s">
        <v>15</v>
      </c>
      <c r="EQ49" s="3" t="s">
        <v>16</v>
      </c>
      <c r="ER49" s="2" t="s">
        <v>73</v>
      </c>
      <c r="ES49" s="2" t="s">
        <v>75</v>
      </c>
      <c r="ET49" s="3" t="s">
        <v>17</v>
      </c>
      <c r="EU49" s="3" t="s">
        <v>18</v>
      </c>
      <c r="EV49" s="3" t="s">
        <v>19</v>
      </c>
      <c r="EW49" s="3" t="s">
        <v>20</v>
      </c>
      <c r="EX49" s="3" t="s">
        <v>21</v>
      </c>
      <c r="EY49" s="3" t="s">
        <v>22</v>
      </c>
      <c r="EZ49" s="18" t="s">
        <v>23</v>
      </c>
      <c r="FA49" s="16" t="s">
        <v>5</v>
      </c>
      <c r="FB49" s="3" t="s">
        <v>6</v>
      </c>
      <c r="FC49" s="3" t="s">
        <v>7</v>
      </c>
      <c r="FD49" s="3" t="s">
        <v>8</v>
      </c>
      <c r="FE49" s="3" t="s">
        <v>9</v>
      </c>
      <c r="FF49" s="3" t="s">
        <v>10</v>
      </c>
      <c r="FG49" s="3" t="s">
        <v>11</v>
      </c>
      <c r="FH49" s="3" t="s">
        <v>12</v>
      </c>
      <c r="FI49" s="2" t="s">
        <v>93</v>
      </c>
      <c r="FJ49" s="3" t="s">
        <v>13</v>
      </c>
      <c r="FK49" s="3" t="s">
        <v>14</v>
      </c>
      <c r="FL49" s="2" t="s">
        <v>50</v>
      </c>
      <c r="FM49" s="2" t="s">
        <v>56</v>
      </c>
      <c r="FN49" s="2" t="s">
        <v>51</v>
      </c>
      <c r="FO49" s="2" t="s">
        <v>57</v>
      </c>
      <c r="FP49" s="2" t="s">
        <v>58</v>
      </c>
      <c r="FQ49" s="2" t="s">
        <v>59</v>
      </c>
      <c r="FR49" s="2" t="s">
        <v>38</v>
      </c>
      <c r="FS49" s="2" t="s">
        <v>39</v>
      </c>
      <c r="FT49" s="3" t="s">
        <v>15</v>
      </c>
      <c r="FU49" s="3" t="s">
        <v>16</v>
      </c>
      <c r="FV49" s="2" t="s">
        <v>73</v>
      </c>
      <c r="FW49" s="2" t="s">
        <v>75</v>
      </c>
      <c r="FX49" s="3" t="s">
        <v>17</v>
      </c>
      <c r="FY49" s="3" t="s">
        <v>18</v>
      </c>
      <c r="FZ49" s="3" t="s">
        <v>19</v>
      </c>
      <c r="GA49" s="3" t="s">
        <v>20</v>
      </c>
      <c r="GB49" s="3" t="s">
        <v>21</v>
      </c>
      <c r="GC49" s="3" t="s">
        <v>22</v>
      </c>
      <c r="GD49" s="18" t="s">
        <v>23</v>
      </c>
      <c r="GE49" s="16" t="s">
        <v>5</v>
      </c>
      <c r="GF49" s="3" t="s">
        <v>6</v>
      </c>
      <c r="GG49" s="3" t="s">
        <v>7</v>
      </c>
      <c r="GH49" s="3" t="s">
        <v>8</v>
      </c>
      <c r="GI49" s="3" t="s">
        <v>9</v>
      </c>
      <c r="GJ49" s="3" t="s">
        <v>10</v>
      </c>
      <c r="GK49" s="3" t="s">
        <v>11</v>
      </c>
      <c r="GL49" s="3" t="s">
        <v>12</v>
      </c>
      <c r="GM49" s="2" t="s">
        <v>93</v>
      </c>
      <c r="GN49" s="3" t="s">
        <v>13</v>
      </c>
      <c r="GO49" s="3" t="s">
        <v>14</v>
      </c>
      <c r="GP49" s="2" t="s">
        <v>50</v>
      </c>
      <c r="GQ49" s="2" t="s">
        <v>56</v>
      </c>
      <c r="GR49" s="2" t="s">
        <v>51</v>
      </c>
      <c r="GS49" s="2" t="s">
        <v>57</v>
      </c>
      <c r="GT49" s="2" t="s">
        <v>58</v>
      </c>
      <c r="GU49" s="2" t="s">
        <v>59</v>
      </c>
      <c r="GV49" s="2" t="s">
        <v>38</v>
      </c>
      <c r="GW49" s="2" t="s">
        <v>39</v>
      </c>
      <c r="GX49" s="3" t="s">
        <v>15</v>
      </c>
      <c r="GY49" s="3" t="s">
        <v>16</v>
      </c>
      <c r="GZ49" s="2" t="s">
        <v>73</v>
      </c>
      <c r="HA49" s="2" t="s">
        <v>75</v>
      </c>
      <c r="HB49" s="3" t="s">
        <v>17</v>
      </c>
      <c r="HC49" s="3" t="s">
        <v>18</v>
      </c>
      <c r="HD49" s="3" t="s">
        <v>19</v>
      </c>
      <c r="HE49" s="3" t="s">
        <v>20</v>
      </c>
      <c r="HF49" s="3" t="s">
        <v>21</v>
      </c>
      <c r="HG49" s="3" t="s">
        <v>22</v>
      </c>
      <c r="HH49" s="18" t="s">
        <v>23</v>
      </c>
      <c r="HI49" s="16" t="s">
        <v>5</v>
      </c>
      <c r="HJ49" s="3" t="s">
        <v>6</v>
      </c>
      <c r="HK49" s="3" t="s">
        <v>7</v>
      </c>
      <c r="HL49" s="3" t="s">
        <v>8</v>
      </c>
      <c r="HM49" s="3" t="s">
        <v>9</v>
      </c>
      <c r="HN49" s="3" t="s">
        <v>10</v>
      </c>
      <c r="HO49" s="3" t="s">
        <v>11</v>
      </c>
      <c r="HP49" s="3" t="s">
        <v>12</v>
      </c>
      <c r="HQ49" s="2" t="s">
        <v>93</v>
      </c>
      <c r="HR49" s="3" t="s">
        <v>13</v>
      </c>
      <c r="HS49" s="3" t="s">
        <v>14</v>
      </c>
      <c r="HT49" s="2" t="s">
        <v>50</v>
      </c>
      <c r="HU49" s="2" t="s">
        <v>56</v>
      </c>
      <c r="HV49" s="2" t="s">
        <v>51</v>
      </c>
      <c r="HW49" s="2" t="s">
        <v>57</v>
      </c>
      <c r="HX49" s="2" t="s">
        <v>58</v>
      </c>
      <c r="HY49" s="2" t="s">
        <v>59</v>
      </c>
      <c r="HZ49" s="2" t="s">
        <v>38</v>
      </c>
      <c r="IA49" s="2" t="s">
        <v>39</v>
      </c>
      <c r="IB49" s="3" t="s">
        <v>15</v>
      </c>
      <c r="IC49" s="3" t="s">
        <v>16</v>
      </c>
      <c r="ID49" s="2" t="s">
        <v>73</v>
      </c>
      <c r="IE49" s="2" t="s">
        <v>75</v>
      </c>
      <c r="IF49" s="3" t="s">
        <v>17</v>
      </c>
      <c r="IG49" s="3" t="s">
        <v>18</v>
      </c>
      <c r="IH49" s="3" t="s">
        <v>19</v>
      </c>
      <c r="II49" s="3" t="s">
        <v>20</v>
      </c>
      <c r="IJ49" s="3" t="s">
        <v>21</v>
      </c>
      <c r="IK49" s="3" t="s">
        <v>22</v>
      </c>
      <c r="IL49" s="18" t="s">
        <v>23</v>
      </c>
      <c r="IM49" s="16" t="s">
        <v>5</v>
      </c>
      <c r="IN49" s="3" t="s">
        <v>6</v>
      </c>
      <c r="IO49" s="3" t="s">
        <v>7</v>
      </c>
      <c r="IP49" s="3" t="s">
        <v>8</v>
      </c>
      <c r="IQ49" s="3" t="s">
        <v>9</v>
      </c>
      <c r="IR49" s="3" t="s">
        <v>10</v>
      </c>
      <c r="IS49" s="3" t="s">
        <v>11</v>
      </c>
      <c r="IT49" s="3" t="s">
        <v>12</v>
      </c>
      <c r="IU49" s="2" t="s">
        <v>93</v>
      </c>
      <c r="IV49" s="3" t="s">
        <v>13</v>
      </c>
      <c r="IW49" s="3" t="s">
        <v>14</v>
      </c>
      <c r="IX49" s="2" t="s">
        <v>50</v>
      </c>
      <c r="IY49" s="2" t="s">
        <v>56</v>
      </c>
      <c r="IZ49" s="2" t="s">
        <v>51</v>
      </c>
      <c r="JA49" s="2" t="s">
        <v>57</v>
      </c>
      <c r="JB49" s="2" t="s">
        <v>58</v>
      </c>
      <c r="JC49" s="2" t="s">
        <v>59</v>
      </c>
      <c r="JD49" s="2" t="s">
        <v>38</v>
      </c>
      <c r="JE49" s="2" t="s">
        <v>39</v>
      </c>
      <c r="JF49" s="3" t="s">
        <v>15</v>
      </c>
      <c r="JG49" s="3" t="s">
        <v>16</v>
      </c>
      <c r="JH49" s="2" t="s">
        <v>73</v>
      </c>
      <c r="JI49" s="2" t="s">
        <v>75</v>
      </c>
      <c r="JJ49" s="3" t="s">
        <v>17</v>
      </c>
      <c r="JK49" s="3" t="s">
        <v>18</v>
      </c>
      <c r="JL49" s="3" t="s">
        <v>19</v>
      </c>
      <c r="JM49" s="3" t="s">
        <v>20</v>
      </c>
      <c r="JN49" s="3" t="s">
        <v>21</v>
      </c>
      <c r="JO49" s="3" t="s">
        <v>22</v>
      </c>
      <c r="JP49" s="18" t="s">
        <v>23</v>
      </c>
      <c r="JQ49" s="16" t="s">
        <v>5</v>
      </c>
      <c r="JR49" s="3" t="s">
        <v>6</v>
      </c>
      <c r="JS49" s="3" t="s">
        <v>7</v>
      </c>
      <c r="JT49" s="3" t="s">
        <v>8</v>
      </c>
      <c r="JU49" s="3" t="s">
        <v>9</v>
      </c>
      <c r="JV49" s="3" t="s">
        <v>10</v>
      </c>
      <c r="JW49" s="3" t="s">
        <v>11</v>
      </c>
      <c r="JX49" s="3" t="s">
        <v>12</v>
      </c>
      <c r="JY49" s="2" t="s">
        <v>93</v>
      </c>
      <c r="JZ49" s="3" t="s">
        <v>13</v>
      </c>
      <c r="KA49" s="3" t="s">
        <v>14</v>
      </c>
      <c r="KB49" s="2" t="s">
        <v>50</v>
      </c>
      <c r="KC49" s="2" t="s">
        <v>56</v>
      </c>
      <c r="KD49" s="2" t="s">
        <v>51</v>
      </c>
      <c r="KE49" s="2" t="s">
        <v>57</v>
      </c>
      <c r="KF49" s="2" t="s">
        <v>58</v>
      </c>
      <c r="KG49" s="2" t="s">
        <v>59</v>
      </c>
      <c r="KH49" s="2" t="s">
        <v>38</v>
      </c>
      <c r="KI49" s="2" t="s">
        <v>39</v>
      </c>
      <c r="KJ49" s="3" t="s">
        <v>15</v>
      </c>
      <c r="KK49" s="3" t="s">
        <v>16</v>
      </c>
      <c r="KL49" s="2" t="s">
        <v>73</v>
      </c>
      <c r="KM49" s="2" t="s">
        <v>75</v>
      </c>
      <c r="KN49" s="3" t="s">
        <v>17</v>
      </c>
      <c r="KO49" s="3" t="s">
        <v>18</v>
      </c>
      <c r="KP49" s="3" t="s">
        <v>19</v>
      </c>
      <c r="KQ49" s="3" t="s">
        <v>20</v>
      </c>
      <c r="KR49" s="3" t="s">
        <v>21</v>
      </c>
      <c r="KS49" s="3" t="s">
        <v>22</v>
      </c>
      <c r="KT49" s="18" t="s">
        <v>23</v>
      </c>
    </row>
    <row r="50" spans="1:306" ht="13.2" x14ac:dyDescent="0.25">
      <c r="A50" s="179"/>
      <c r="B50" s="175" t="s">
        <v>24</v>
      </c>
      <c r="C50" s="7">
        <v>1</v>
      </c>
      <c r="D50" s="7">
        <f>D44+1</f>
        <v>37</v>
      </c>
      <c r="E50" s="7">
        <v>4</v>
      </c>
      <c r="F50" s="8">
        <f>E50+F44</f>
        <v>148</v>
      </c>
      <c r="G50" s="52">
        <v>5</v>
      </c>
      <c r="H50" s="9">
        <f>G50+H44</f>
        <v>177</v>
      </c>
      <c r="I50" s="55">
        <v>3</v>
      </c>
      <c r="J50" s="9">
        <f>I50+J44</f>
        <v>70</v>
      </c>
      <c r="K50" s="9">
        <f t="shared" ref="K50:K58" si="1158">IF(G50-I50&lt;=$E50-2,1,0)</f>
        <v>1</v>
      </c>
      <c r="L50" s="9">
        <f>K50+L44</f>
        <v>12</v>
      </c>
      <c r="M50" s="9">
        <f t="shared" ref="M50:M58" si="1159">IF(K50=0,IF(G50=$E50,1,0),0)</f>
        <v>0</v>
      </c>
      <c r="N50" s="9">
        <f>M50+N44</f>
        <v>5</v>
      </c>
      <c r="O50" s="9"/>
      <c r="P50" s="9">
        <f t="shared" ref="P50:P58" si="1160">IF($E50-G50=1,1,0)</f>
        <v>0</v>
      </c>
      <c r="Q50" s="9">
        <f>P50+Q44</f>
        <v>2</v>
      </c>
      <c r="R50" s="9">
        <f t="shared" ref="R50:R58" si="1161">IF(G50=$E50,1,0)</f>
        <v>0</v>
      </c>
      <c r="S50" s="9">
        <f>R50</f>
        <v>0</v>
      </c>
      <c r="T50" s="9">
        <f t="shared" ref="T50:T58" si="1162">IF(G50-$E50=1,1,0)</f>
        <v>1</v>
      </c>
      <c r="U50" s="9">
        <f>T50</f>
        <v>1</v>
      </c>
      <c r="V50" s="9">
        <f t="shared" ref="V50:V58" si="1163">IF(G50-$E50&gt;=2,1,0)</f>
        <v>0</v>
      </c>
      <c r="W50" s="9">
        <f>V50</f>
        <v>0</v>
      </c>
      <c r="X50" s="9">
        <f t="shared" ref="X50:X58" si="1164">IF(I50=0,1,0)</f>
        <v>0</v>
      </c>
      <c r="Y50" s="9">
        <f>X50</f>
        <v>0</v>
      </c>
      <c r="Z50" s="9">
        <f t="shared" ref="Z50:Z58" si="1165">IF(I50=1,1,0)</f>
        <v>0</v>
      </c>
      <c r="AA50" s="9">
        <f>Z50+AA44</f>
        <v>7</v>
      </c>
      <c r="AB50" s="9">
        <f t="shared" ref="AB50:AB58" si="1166">IF(I50=2,1,0)</f>
        <v>0</v>
      </c>
      <c r="AC50" s="9">
        <f>AB50</f>
        <v>0</v>
      </c>
      <c r="AD50" s="9">
        <f t="shared" ref="AD50:AD58" si="1167">IF(I50&gt;=3,1,0)</f>
        <v>1</v>
      </c>
      <c r="AE50" s="9">
        <f>AD50+AE44</f>
        <v>4</v>
      </c>
      <c r="AF50" s="9"/>
      <c r="AG50" s="9">
        <f>IF($E50=4,G50-4,NA())</f>
        <v>1</v>
      </c>
      <c r="AH50" s="9"/>
      <c r="AI50" s="10">
        <f>G50-'Zusammenfassung Tag1-4'!$B$2/18</f>
        <v>4.166666666666667</v>
      </c>
      <c r="AJ50" s="11">
        <f>AI50+AJ44</f>
        <v>146.16666666666666</v>
      </c>
      <c r="AK50" s="52">
        <v>5</v>
      </c>
      <c r="AL50" s="9">
        <f>AK50+AL44</f>
        <v>178</v>
      </c>
      <c r="AM50" s="55">
        <v>2</v>
      </c>
      <c r="AN50" s="9">
        <f>AM50+AN44</f>
        <v>71</v>
      </c>
      <c r="AO50" s="9">
        <f t="shared" ref="AO50:AO58" si="1168">IF(AK50-AM50&lt;=$E50-2,1,0)</f>
        <v>0</v>
      </c>
      <c r="AP50" s="9">
        <f>AO50+AP44</f>
        <v>16</v>
      </c>
      <c r="AQ50" s="9">
        <f t="shared" ref="AQ50:AQ58" si="1169">IF(AO50=0,IF(AK50=$E50,1,0),0)</f>
        <v>0</v>
      </c>
      <c r="AR50" s="9">
        <f>AQ50+AR44</f>
        <v>5</v>
      </c>
      <c r="AS50" s="9"/>
      <c r="AT50" s="9">
        <f t="shared" ref="AT50:AT58" si="1170">IF($E50-AK50=1,1,0)</f>
        <v>0</v>
      </c>
      <c r="AU50" s="9">
        <f>AT50+AU44</f>
        <v>0</v>
      </c>
      <c r="AV50" s="9">
        <f>IF(AK50=$E50,1,0)</f>
        <v>0</v>
      </c>
      <c r="AW50" s="9">
        <f>AV50</f>
        <v>0</v>
      </c>
      <c r="AX50" s="9">
        <f>IF(AK50-$E50=1,1,0)</f>
        <v>1</v>
      </c>
      <c r="AY50" s="9">
        <f>AX50</f>
        <v>1</v>
      </c>
      <c r="AZ50" s="9">
        <f>IF(AK50-$E50&gt;=2,1,0)</f>
        <v>0</v>
      </c>
      <c r="BA50" s="9">
        <f>AZ50</f>
        <v>0</v>
      </c>
      <c r="BB50" s="9">
        <f>IF(AM50=0,1,0)</f>
        <v>0</v>
      </c>
      <c r="BC50" s="9">
        <f>BB50</f>
        <v>0</v>
      </c>
      <c r="BD50" s="9">
        <f t="shared" ref="BD50:BD58" si="1171">IF(AM50=1,1,0)</f>
        <v>0</v>
      </c>
      <c r="BE50" s="9">
        <f>BD50+BE44</f>
        <v>7</v>
      </c>
      <c r="BF50" s="9">
        <f>IF(AM50=2,1,0)</f>
        <v>1</v>
      </c>
      <c r="BG50" s="9">
        <f>BF50</f>
        <v>1</v>
      </c>
      <c r="BH50" s="9">
        <f t="shared" ref="BH50:BH58" si="1172">IF(AM50&gt;=3,1,0)</f>
        <v>0</v>
      </c>
      <c r="BI50" s="9">
        <f>BH50+BI44</f>
        <v>4</v>
      </c>
      <c r="BJ50" s="9"/>
      <c r="BK50" s="9">
        <f>IF($E50=4,AK50-4,NA())</f>
        <v>1</v>
      </c>
      <c r="BL50" s="9"/>
      <c r="BM50" s="10">
        <f>AK50-'Zusammenfassung Tag1-4'!$C$2/18</f>
        <v>4.4444444444444446</v>
      </c>
      <c r="BN50" s="11">
        <f>BM50+BN44</f>
        <v>157.44444444444451</v>
      </c>
      <c r="BO50" s="52">
        <v>6</v>
      </c>
      <c r="BP50" s="9">
        <f>BO50+BP44</f>
        <v>214</v>
      </c>
      <c r="BQ50" s="55">
        <v>3</v>
      </c>
      <c r="BR50" s="9">
        <f>BQ50+BR44</f>
        <v>85</v>
      </c>
      <c r="BS50" s="9">
        <f t="shared" ref="BS50:BS58" si="1173">IF(BO50-BQ50&lt;=$E50-2,1,0)</f>
        <v>0</v>
      </c>
      <c r="BT50" s="9">
        <f>BS50+BT44</f>
        <v>8</v>
      </c>
      <c r="BU50" s="9">
        <f t="shared" ref="BU50:BU58" si="1174">IF(BS50=0,IF(BO50=$E50,1,0),0)</f>
        <v>0</v>
      </c>
      <c r="BV50" s="9">
        <f>BU50+BV44</f>
        <v>0</v>
      </c>
      <c r="BW50" s="9"/>
      <c r="BX50" s="9">
        <f t="shared" ref="BX50:BX58" si="1175">IF($E50-BO50=1,1,0)</f>
        <v>0</v>
      </c>
      <c r="BY50" s="9">
        <f>BX50</f>
        <v>0</v>
      </c>
      <c r="BZ50" s="9">
        <f>IF(BO50=$E50,1,0)</f>
        <v>0</v>
      </c>
      <c r="CA50" s="9">
        <f>BZ50</f>
        <v>0</v>
      </c>
      <c r="CB50" s="9">
        <f>IF(BO50-$E50=1,1,0)</f>
        <v>0</v>
      </c>
      <c r="CC50" s="9">
        <f>CB50</f>
        <v>0</v>
      </c>
      <c r="CD50" s="9">
        <f>IF(BO50-$E50&gt;=2,1,0)</f>
        <v>1</v>
      </c>
      <c r="CE50" s="9">
        <f>CD50</f>
        <v>1</v>
      </c>
      <c r="CF50" s="9">
        <f>IF(BQ50=0,1,0)</f>
        <v>0</v>
      </c>
      <c r="CG50" s="9">
        <f>CF50</f>
        <v>0</v>
      </c>
      <c r="CH50" s="9">
        <f t="shared" ref="CH50:CH58" si="1176">IF(BQ50=1,1,0)</f>
        <v>0</v>
      </c>
      <c r="CI50" s="9">
        <f>CH50+CI44</f>
        <v>1</v>
      </c>
      <c r="CJ50" s="9">
        <f>IF(BQ50=2,1,0)</f>
        <v>0</v>
      </c>
      <c r="CK50" s="9">
        <f>CJ50</f>
        <v>0</v>
      </c>
      <c r="CL50" s="9">
        <f t="shared" ref="CL50:CL58" si="1177">IF(BQ50&gt;=3,1,0)</f>
        <v>1</v>
      </c>
      <c r="CM50" s="9">
        <f>CL50+CM44</f>
        <v>12</v>
      </c>
      <c r="CN50" s="9"/>
      <c r="CO50" s="9">
        <f>IF($E50=4,BO50-4,NA())</f>
        <v>2</v>
      </c>
      <c r="CP50" s="9"/>
      <c r="CQ50" s="10">
        <f>BO50-'Zusammenfassung Tag1-4'!$D$2/18</f>
        <v>4.9444444444444446</v>
      </c>
      <c r="CR50" s="11">
        <f>CQ50+CR44</f>
        <v>174.94444444444454</v>
      </c>
      <c r="CS50" s="52">
        <v>4</v>
      </c>
      <c r="CT50" s="9">
        <f>CS50+CT44</f>
        <v>198</v>
      </c>
      <c r="CU50" s="55">
        <v>2</v>
      </c>
      <c r="CV50" s="9">
        <f>CU50+CV44</f>
        <v>82</v>
      </c>
      <c r="CW50" s="9">
        <f t="shared" ref="CW50:CW58" si="1178">IF(CS50-CU50&lt;=$E50-2,1,0)</f>
        <v>1</v>
      </c>
      <c r="CX50" s="9">
        <f>CW50+CX44</f>
        <v>12</v>
      </c>
      <c r="CY50" s="9">
        <f t="shared" ref="CY50:CY58" si="1179">IF(CW50=0,IF(CS50=$E50,1,0),0)</f>
        <v>0</v>
      </c>
      <c r="CZ50" s="9">
        <f>CY50+CZ44</f>
        <v>1</v>
      </c>
      <c r="DA50" s="9"/>
      <c r="DB50" s="9">
        <f t="shared" ref="DB50:DB58" si="1180">IF($E50-CS50=1,1,0)</f>
        <v>0</v>
      </c>
      <c r="DC50" s="9">
        <f>DB50</f>
        <v>0</v>
      </c>
      <c r="DD50" s="9">
        <f>IF(CS50=$E50,1,0)</f>
        <v>1</v>
      </c>
      <c r="DE50" s="9">
        <f>DD50</f>
        <v>1</v>
      </c>
      <c r="DF50" s="9">
        <f>IF(CS50-$E50=1,1,0)</f>
        <v>0</v>
      </c>
      <c r="DG50" s="9">
        <f>DF50</f>
        <v>0</v>
      </c>
      <c r="DH50" s="9">
        <f>IF(CS50-$E50&gt;=2,1,0)</f>
        <v>0</v>
      </c>
      <c r="DI50" s="9">
        <f>DH50</f>
        <v>0</v>
      </c>
      <c r="DJ50" s="9">
        <f>IF(CU50=0,1,0)</f>
        <v>0</v>
      </c>
      <c r="DK50" s="9">
        <f>DJ50</f>
        <v>0</v>
      </c>
      <c r="DL50" s="9">
        <f t="shared" ref="DL50:DL58" si="1181">IF(CU50=1,1,0)</f>
        <v>0</v>
      </c>
      <c r="DM50" s="9">
        <f>DL50+DM44</f>
        <v>4</v>
      </c>
      <c r="DN50" s="9">
        <f>IF(CU50=2,1,0)</f>
        <v>1</v>
      </c>
      <c r="DO50" s="9">
        <f>DN50</f>
        <v>1</v>
      </c>
      <c r="DP50" s="9">
        <f t="shared" ref="DP50:DP58" si="1182">IF(CU50&gt;=3,1,0)</f>
        <v>0</v>
      </c>
      <c r="DQ50" s="9">
        <f>DP50+DQ44</f>
        <v>11</v>
      </c>
      <c r="DR50" s="9"/>
      <c r="DS50" s="9">
        <f>IF($E50=4,CS50-4,NA())</f>
        <v>0</v>
      </c>
      <c r="DT50" s="9"/>
      <c r="DU50" s="10">
        <f>CS50-'Zusammenfassung Tag1-4'!$E$2/18</f>
        <v>3</v>
      </c>
      <c r="DV50" s="12">
        <f>DU50+DV44</f>
        <v>161</v>
      </c>
      <c r="DW50" s="52">
        <v>7</v>
      </c>
      <c r="DX50" s="9">
        <v>4</v>
      </c>
      <c r="DY50" s="55">
        <v>1</v>
      </c>
      <c r="DZ50" s="9">
        <f>DY50+DZ44</f>
        <v>86</v>
      </c>
      <c r="EA50" s="9">
        <f t="shared" ref="EA50:EA58" si="1183">IF(DW50-DY50&lt;=$E50-2,1,0)</f>
        <v>0</v>
      </c>
      <c r="EB50" s="9">
        <f>EA50+EB44</f>
        <v>0</v>
      </c>
      <c r="EC50" s="9">
        <f t="shared" ref="EC50:EC58" si="1184">IF(EA50=0,IF(DW50=$E50,1,0),0)</f>
        <v>0</v>
      </c>
      <c r="ED50" s="9">
        <f>EC50+ED44</f>
        <v>0</v>
      </c>
      <c r="EE50" s="9"/>
      <c r="EF50" s="9">
        <f t="shared" ref="EF50:EF58" si="1185">IF($E50-DW50=1,1,0)</f>
        <v>0</v>
      </c>
      <c r="EG50" s="9">
        <f>EF50</f>
        <v>0</v>
      </c>
      <c r="EH50" s="9">
        <f>IF(DW50=$E50,1,0)</f>
        <v>0</v>
      </c>
      <c r="EI50" s="9">
        <f>EH50</f>
        <v>0</v>
      </c>
      <c r="EJ50" s="9">
        <f>IF(DW50-$E50=1,1,0)</f>
        <v>0</v>
      </c>
      <c r="EK50" s="9">
        <f>EJ50</f>
        <v>0</v>
      </c>
      <c r="EL50" s="9">
        <f>IF(DW50-$E50&gt;=2,1,0)</f>
        <v>1</v>
      </c>
      <c r="EM50" s="9">
        <f>EL50</f>
        <v>1</v>
      </c>
      <c r="EN50" s="9">
        <f>IF(DY50=0,1,0)</f>
        <v>0</v>
      </c>
      <c r="EO50" s="9">
        <f>EN50</f>
        <v>0</v>
      </c>
      <c r="EP50" s="9">
        <f t="shared" ref="EP50:EP58" si="1186">IF(DY50=1,1,0)</f>
        <v>1</v>
      </c>
      <c r="EQ50" s="9">
        <f>EP50+EQ44</f>
        <v>2</v>
      </c>
      <c r="ER50" s="9">
        <f>IF(DY50=2,1,0)</f>
        <v>0</v>
      </c>
      <c r="ES50" s="9">
        <f>ER50</f>
        <v>0</v>
      </c>
      <c r="ET50" s="9">
        <f t="shared" ref="ET50:ET58" si="1187">IF(DY50&gt;=3,1,0)</f>
        <v>0</v>
      </c>
      <c r="EU50" s="9">
        <f>ET50+EU44</f>
        <v>13</v>
      </c>
      <c r="EV50" s="9"/>
      <c r="EW50" s="9">
        <f>IF($E50=4,DW50-4,NA())</f>
        <v>3</v>
      </c>
      <c r="EX50" s="9"/>
      <c r="EY50" s="10">
        <f>DW50-'Zusammenfassung Tag1-4'!$F$2/18</f>
        <v>4.5</v>
      </c>
      <c r="EZ50" s="12">
        <f>EY50+EZ44</f>
        <v>169.5</v>
      </c>
      <c r="FA50" s="52">
        <v>5</v>
      </c>
      <c r="FB50" s="9">
        <v>209</v>
      </c>
      <c r="FC50" s="55">
        <v>2</v>
      </c>
      <c r="FD50" s="9">
        <f>FC50+FD44</f>
        <v>71</v>
      </c>
      <c r="FE50" s="9">
        <f t="shared" ref="FE50:FE58" si="1188">IF(FA50-FC50&lt;=$E50-2,1,0)</f>
        <v>0</v>
      </c>
      <c r="FF50" s="9">
        <f>FE50+FF44</f>
        <v>6</v>
      </c>
      <c r="FG50" s="9">
        <f t="shared" ref="FG50:FG58" si="1189">IF(FE50=0,IF(FA50=$E50,1,0),0)</f>
        <v>0</v>
      </c>
      <c r="FH50" s="9">
        <f>FG50+FH44</f>
        <v>4</v>
      </c>
      <c r="FI50" s="9"/>
      <c r="FJ50" s="9">
        <f t="shared" ref="FJ50:FJ58" si="1190">IF($E50-FA50=1,1,0)</f>
        <v>0</v>
      </c>
      <c r="FK50" s="9">
        <f>FJ50</f>
        <v>0</v>
      </c>
      <c r="FL50" s="9">
        <f>IF(FA50=$E50,1,0)</f>
        <v>0</v>
      </c>
      <c r="FM50" s="9">
        <f>FL50</f>
        <v>0</v>
      </c>
      <c r="FN50" s="9">
        <f>IF(FA50-$E50=1,1,0)</f>
        <v>1</v>
      </c>
      <c r="FO50" s="9">
        <f>FN50</f>
        <v>1</v>
      </c>
      <c r="FP50" s="9">
        <f>IF(FA50-$E50&gt;=2,1,0)</f>
        <v>0</v>
      </c>
      <c r="FQ50" s="9">
        <f>FP50</f>
        <v>0</v>
      </c>
      <c r="FR50" s="9">
        <f>IF(FC50=0,1,0)</f>
        <v>0</v>
      </c>
      <c r="FS50" s="9">
        <f>FR50</f>
        <v>0</v>
      </c>
      <c r="FT50" s="9">
        <f t="shared" ref="FT50:FT58" si="1191">IF(FC50=1,1,0)</f>
        <v>0</v>
      </c>
      <c r="FU50" s="9">
        <f>FT50+FU44</f>
        <v>11</v>
      </c>
      <c r="FV50" s="9">
        <f>IF(FC50=2,1,0)</f>
        <v>1</v>
      </c>
      <c r="FW50" s="9">
        <f>FV50</f>
        <v>1</v>
      </c>
      <c r="FX50" s="9">
        <f t="shared" ref="FX50:FX58" si="1192">IF(FC50&gt;=3,1,0)</f>
        <v>0</v>
      </c>
      <c r="FY50" s="9">
        <f>FX50+FY44</f>
        <v>8</v>
      </c>
      <c r="FZ50" s="9"/>
      <c r="GA50" s="9">
        <f>IF($E50=4,FA50-4,NA())</f>
        <v>1</v>
      </c>
      <c r="GB50" s="9"/>
      <c r="GC50" s="10">
        <f>FA50-'Zusammenfassung Tag1-4'!$G$2/18</f>
        <v>3.7222222222222223</v>
      </c>
      <c r="GD50" s="12">
        <f>GC50+GD44</f>
        <v>157.72222222222234</v>
      </c>
      <c r="GE50" s="52">
        <v>5</v>
      </c>
      <c r="GF50" s="9">
        <v>269</v>
      </c>
      <c r="GG50" s="55">
        <v>2</v>
      </c>
      <c r="GH50" s="9">
        <f>GG50+GH44</f>
        <v>74</v>
      </c>
      <c r="GI50" s="9">
        <f t="shared" ref="GI50:GI58" si="1193">IF(GE50-GG50&lt;=$E50-2,1,0)</f>
        <v>0</v>
      </c>
      <c r="GJ50" s="9">
        <f>GI50+GJ44</f>
        <v>1</v>
      </c>
      <c r="GK50" s="9">
        <f t="shared" ref="GK50:GK58" si="1194">IF(GI50=0,IF(GE50=$E50,1,0),0)</f>
        <v>0</v>
      </c>
      <c r="GL50" s="9">
        <f>GK50+GL44</f>
        <v>1</v>
      </c>
      <c r="GM50" s="9"/>
      <c r="GN50" s="9">
        <f t="shared" ref="GN50:GN58" si="1195">IF($E50-GE50=1,1,0)</f>
        <v>0</v>
      </c>
      <c r="GO50" s="9">
        <f>GN50</f>
        <v>0</v>
      </c>
      <c r="GP50" s="9">
        <f>IF(GE50=$E50,1,0)</f>
        <v>0</v>
      </c>
      <c r="GQ50" s="9">
        <f>GP50</f>
        <v>0</v>
      </c>
      <c r="GR50" s="9">
        <f>IF(GE50-$E50=1,1,0)</f>
        <v>1</v>
      </c>
      <c r="GS50" s="9">
        <f>GR50</f>
        <v>1</v>
      </c>
      <c r="GT50" s="9">
        <f>IF(GE50-$E50&gt;=2,1,0)</f>
        <v>0</v>
      </c>
      <c r="GU50" s="9">
        <f>GT50</f>
        <v>0</v>
      </c>
      <c r="GV50" s="9">
        <f>IF(GG50=0,1,0)</f>
        <v>0</v>
      </c>
      <c r="GW50" s="9">
        <f>GV50</f>
        <v>0</v>
      </c>
      <c r="GX50" s="9">
        <f t="shared" ref="GX50:GX58" si="1196">IF(GG50=1,1,0)</f>
        <v>0</v>
      </c>
      <c r="GY50" s="9">
        <f>GX50+GY44</f>
        <v>6</v>
      </c>
      <c r="GZ50" s="9">
        <f>IF(GG50=2,1,0)</f>
        <v>1</v>
      </c>
      <c r="HA50" s="9">
        <f>GZ50</f>
        <v>1</v>
      </c>
      <c r="HB50" s="9">
        <f t="shared" ref="HB50:HB58" si="1197">IF(GG50&gt;=3,1,0)</f>
        <v>0</v>
      </c>
      <c r="HC50" s="9">
        <f>HB50+HC44</f>
        <v>6</v>
      </c>
      <c r="HD50" s="9"/>
      <c r="HE50" s="9">
        <f>IF($E50=4,GE50-4,NA())</f>
        <v>1</v>
      </c>
      <c r="HF50" s="9"/>
      <c r="HG50" s="10">
        <f>GE50-'Zusammenfassung Tag1-4'!$H$2/18</f>
        <v>3.2222222222222223</v>
      </c>
      <c r="HH50" s="12">
        <f>HG50+HH44</f>
        <v>176.22222222222237</v>
      </c>
      <c r="HI50" s="52">
        <v>5</v>
      </c>
      <c r="HJ50" s="9">
        <v>195</v>
      </c>
      <c r="HK50" s="55">
        <v>2</v>
      </c>
      <c r="HL50" s="9">
        <f>HK50+HL44</f>
        <v>75</v>
      </c>
      <c r="HM50" s="9">
        <f t="shared" ref="HM50:HM58" si="1198">IF(HI50-HK50&lt;=$E50-2,1,0)</f>
        <v>0</v>
      </c>
      <c r="HN50" s="9">
        <f>HM50+HN44</f>
        <v>5</v>
      </c>
      <c r="HO50" s="9">
        <f t="shared" ref="HO50:HO58" si="1199">IF(HM50=0,IF(HI50=$E50,1,0),0)</f>
        <v>0</v>
      </c>
      <c r="HP50" s="9">
        <f>HO50+HP44</f>
        <v>3</v>
      </c>
      <c r="HQ50" s="9"/>
      <c r="HR50" s="9">
        <f t="shared" ref="HR50:HR58" si="1200">IF($E50-HI50=1,1,0)</f>
        <v>0</v>
      </c>
      <c r="HS50" s="9">
        <f>HR50</f>
        <v>0</v>
      </c>
      <c r="HT50" s="9">
        <f>IF(HI50=$E50,1,0)</f>
        <v>0</v>
      </c>
      <c r="HU50" s="9">
        <f>HT50</f>
        <v>0</v>
      </c>
      <c r="HV50" s="9">
        <f>IF(HI50-$E50=1,1,0)</f>
        <v>1</v>
      </c>
      <c r="HW50" s="9">
        <f>HV50</f>
        <v>1</v>
      </c>
      <c r="HX50" s="9">
        <f>IF(HI50-$E50&gt;=2,1,0)</f>
        <v>0</v>
      </c>
      <c r="HY50" s="9">
        <f>HX50</f>
        <v>0</v>
      </c>
      <c r="HZ50" s="9">
        <f>IF(HK50=0,1,0)</f>
        <v>0</v>
      </c>
      <c r="IA50" s="9">
        <f>HZ50</f>
        <v>0</v>
      </c>
      <c r="IB50" s="9">
        <f t="shared" ref="IB50:IB58" si="1201">IF(HK50=1,1,0)</f>
        <v>0</v>
      </c>
      <c r="IC50" s="9">
        <f>IB50+IC44</f>
        <v>6</v>
      </c>
      <c r="ID50" s="9">
        <f>IF(HK50=2,1,0)</f>
        <v>1</v>
      </c>
      <c r="IE50" s="9">
        <f>ID50</f>
        <v>1</v>
      </c>
      <c r="IF50" s="9">
        <f t="shared" ref="IF50:IF58" si="1202">IF(HK50&gt;=3,1,0)</f>
        <v>0</v>
      </c>
      <c r="IG50" s="9">
        <f>IF50+IG44</f>
        <v>7</v>
      </c>
      <c r="IH50" s="9"/>
      <c r="II50" s="9">
        <f>IF($E50=4,HI50-4,NA())</f>
        <v>1</v>
      </c>
      <c r="IJ50" s="9"/>
      <c r="IK50" s="10">
        <f>HI50-'Zusammenfassung Tag1-4'!$I$2/18</f>
        <v>4.1111111111111107</v>
      </c>
      <c r="IL50" s="12">
        <f>IK50+IL44</f>
        <v>171.1111111111112</v>
      </c>
      <c r="IM50" s="52">
        <v>9</v>
      </c>
      <c r="IN50" s="9">
        <v>9</v>
      </c>
      <c r="IO50" s="55">
        <v>2</v>
      </c>
      <c r="IP50" s="9">
        <f>IO50+IP44</f>
        <v>90</v>
      </c>
      <c r="IQ50" s="9">
        <f t="shared" ref="IQ50:IQ58" si="1203">IF(IM50-IO50&lt;=$E50-2,1,0)</f>
        <v>0</v>
      </c>
      <c r="IR50" s="9">
        <f>IQ50+IR44</f>
        <v>6</v>
      </c>
      <c r="IS50" s="9">
        <f t="shared" ref="IS50:IS58" si="1204">IF(IQ50=0,IF(IM50=$E50,1,0),0)</f>
        <v>0</v>
      </c>
      <c r="IT50" s="9">
        <f>IS50+IT44</f>
        <v>0</v>
      </c>
      <c r="IU50" s="9"/>
      <c r="IV50" s="9">
        <f t="shared" ref="IV50:IV58" si="1205">IF($E50-IM50=1,1,0)</f>
        <v>0</v>
      </c>
      <c r="IW50" s="9">
        <f>IV50</f>
        <v>0</v>
      </c>
      <c r="IX50" s="9">
        <f>IF(IM50=$E50,1,0)</f>
        <v>0</v>
      </c>
      <c r="IY50" s="9">
        <f>IX50</f>
        <v>0</v>
      </c>
      <c r="IZ50" s="9">
        <f>IF(IM50-$E50=1,1,0)</f>
        <v>0</v>
      </c>
      <c r="JA50" s="9">
        <f>IZ50</f>
        <v>0</v>
      </c>
      <c r="JB50" s="9">
        <f>IF(IM50-$E50&gt;=2,1,0)</f>
        <v>1</v>
      </c>
      <c r="JC50" s="9">
        <f>JB50</f>
        <v>1</v>
      </c>
      <c r="JD50" s="9">
        <f>IF(IO50=0,1,0)</f>
        <v>0</v>
      </c>
      <c r="JE50" s="9">
        <f>JD50</f>
        <v>0</v>
      </c>
      <c r="JF50" s="9">
        <f t="shared" ref="JF50:JF58" si="1206">IF(IO50=1,1,0)</f>
        <v>0</v>
      </c>
      <c r="JG50" s="9">
        <f>JF50+JG44</f>
        <v>4</v>
      </c>
      <c r="JH50" s="9">
        <f>IF(IO50=2,1,0)</f>
        <v>1</v>
      </c>
      <c r="JI50" s="9">
        <f>JH50</f>
        <v>1</v>
      </c>
      <c r="JJ50" s="9">
        <f t="shared" ref="JJ50:JJ58" si="1207">IF(IO50&gt;=3,1,0)</f>
        <v>0</v>
      </c>
      <c r="JK50" s="9">
        <f>JJ50+JK44</f>
        <v>15</v>
      </c>
      <c r="JL50" s="9"/>
      <c r="JM50" s="9">
        <f>IF($E50=4,IM50-4,NA())</f>
        <v>5</v>
      </c>
      <c r="JN50" s="9"/>
      <c r="JO50" s="10">
        <f>IM50-'Zusammenfassung Tag1-4'!$J$2/18</f>
        <v>6.6666666666666661</v>
      </c>
      <c r="JP50" s="12">
        <f>JO50+JP44</f>
        <v>167.66666666666663</v>
      </c>
      <c r="JQ50" s="52"/>
      <c r="JR50" s="9"/>
      <c r="JS50" s="55"/>
      <c r="JT50" s="9">
        <f>JS50+JT44</f>
        <v>0</v>
      </c>
      <c r="JU50" s="9">
        <f t="shared" ref="JU50:JU58" si="1208">IF(JQ50-JS50&lt;=$E50-2,1,0)</f>
        <v>1</v>
      </c>
      <c r="JV50" s="9">
        <f>JU50+JV44</f>
        <v>37</v>
      </c>
      <c r="JW50" s="9">
        <f t="shared" ref="JW50:JW58" si="1209">IF(JU50=0,IF(JQ50=$E50,1,0),0)</f>
        <v>0</v>
      </c>
      <c r="JX50" s="9">
        <f>JW50+JX44</f>
        <v>0</v>
      </c>
      <c r="JY50" s="9"/>
      <c r="JZ50" s="9">
        <f t="shared" ref="JZ50:JZ58" si="1210">IF($E50-JQ50=1,1,0)</f>
        <v>0</v>
      </c>
      <c r="KA50" s="9">
        <f>JZ50</f>
        <v>0</v>
      </c>
      <c r="KB50" s="9">
        <f>IF(JQ50=$E50,1,0)</f>
        <v>0</v>
      </c>
      <c r="KC50" s="9">
        <f>KB50</f>
        <v>0</v>
      </c>
      <c r="KD50" s="9">
        <f>IF(JQ50-$E50=1,1,0)</f>
        <v>0</v>
      </c>
      <c r="KE50" s="9">
        <f>KD50</f>
        <v>0</v>
      </c>
      <c r="KF50" s="9">
        <f>IF(JQ50-$E50&gt;=2,1,0)</f>
        <v>0</v>
      </c>
      <c r="KG50" s="9">
        <f>KF50</f>
        <v>0</v>
      </c>
      <c r="KH50" s="9">
        <f>IF(JS50=0,1,0)</f>
        <v>1</v>
      </c>
      <c r="KI50" s="9">
        <f>KH50</f>
        <v>1</v>
      </c>
      <c r="KJ50" s="9">
        <f t="shared" ref="KJ50:KJ58" si="1211">IF(JS50=1,1,0)</f>
        <v>0</v>
      </c>
      <c r="KK50" s="9">
        <f>KJ50+KK44</f>
        <v>0</v>
      </c>
      <c r="KL50" s="9">
        <f>IF(JS50=2,1,0)</f>
        <v>0</v>
      </c>
      <c r="KM50" s="9">
        <f>KL50</f>
        <v>0</v>
      </c>
      <c r="KN50" s="9">
        <f t="shared" ref="KN50:KN58" si="1212">IF(JS50&gt;=3,1,0)</f>
        <v>0</v>
      </c>
      <c r="KO50" s="9">
        <f>KN50+KO44</f>
        <v>0</v>
      </c>
      <c r="KP50" s="9"/>
      <c r="KQ50" s="9">
        <f>IF($E50=4,JQ50-4,NA())</f>
        <v>-4</v>
      </c>
      <c r="KR50" s="9"/>
      <c r="KS50" s="10" t="e">
        <f>JQ50-'Zusammenfassung Tag1-4'!#REF!/18</f>
        <v>#REF!</v>
      </c>
      <c r="KT50" s="12" t="e">
        <f>KS50+KT44</f>
        <v>#REF!</v>
      </c>
    </row>
    <row r="51" spans="1:306" ht="13.2" x14ac:dyDescent="0.25">
      <c r="A51" s="179"/>
      <c r="B51" s="176"/>
      <c r="C51" s="44">
        <v>2</v>
      </c>
      <c r="D51" s="2">
        <f>D50+1</f>
        <v>38</v>
      </c>
      <c r="E51" s="44">
        <v>5</v>
      </c>
      <c r="F51" s="4">
        <f t="shared" ref="F51:F58" si="1213">E51+F50</f>
        <v>153</v>
      </c>
      <c r="G51" s="53">
        <v>6</v>
      </c>
      <c r="H51" s="2">
        <f>G51+H50</f>
        <v>183</v>
      </c>
      <c r="I51" s="56">
        <v>2</v>
      </c>
      <c r="J51" s="2">
        <f t="shared" ref="J51:J58" si="1214">I51+J50</f>
        <v>72</v>
      </c>
      <c r="K51" s="2">
        <f t="shared" si="1158"/>
        <v>0</v>
      </c>
      <c r="L51" s="2">
        <f t="shared" ref="L51:L58" si="1215">K51+L50</f>
        <v>12</v>
      </c>
      <c r="M51" s="2">
        <f t="shared" si="1159"/>
        <v>0</v>
      </c>
      <c r="N51" s="2">
        <f t="shared" ref="N51:N58" si="1216">M51+N50</f>
        <v>5</v>
      </c>
      <c r="O51" s="2"/>
      <c r="P51" s="2">
        <f t="shared" si="1160"/>
        <v>0</v>
      </c>
      <c r="Q51" s="2">
        <f t="shared" ref="Q51:Q58" si="1217">P51+Q50</f>
        <v>2</v>
      </c>
      <c r="R51" s="2">
        <f t="shared" si="1161"/>
        <v>0</v>
      </c>
      <c r="S51" s="2">
        <f t="shared" ref="S51:S58" si="1218">R51+S50</f>
        <v>0</v>
      </c>
      <c r="T51" s="2">
        <f t="shared" si="1162"/>
        <v>1</v>
      </c>
      <c r="U51" s="2">
        <f t="shared" ref="U51:U58" si="1219">T51+U50</f>
        <v>2</v>
      </c>
      <c r="V51" s="2">
        <f t="shared" si="1163"/>
        <v>0</v>
      </c>
      <c r="W51" s="2">
        <f t="shared" ref="W51:W58" si="1220">V51+W50</f>
        <v>0</v>
      </c>
      <c r="X51" s="2">
        <f t="shared" si="1164"/>
        <v>0</v>
      </c>
      <c r="Y51" s="2">
        <f t="shared" ref="Y51:Y58" si="1221">X51+Y50</f>
        <v>0</v>
      </c>
      <c r="Z51" s="2">
        <f t="shared" si="1165"/>
        <v>0</v>
      </c>
      <c r="AA51" s="2">
        <f t="shared" ref="AA51:AA58" si="1222">Z51+AA50</f>
        <v>7</v>
      </c>
      <c r="AB51" s="2">
        <f t="shared" si="1166"/>
        <v>1</v>
      </c>
      <c r="AC51" s="2">
        <f t="shared" ref="AC51:AC58" si="1223">AB51+AC50</f>
        <v>1</v>
      </c>
      <c r="AD51" s="2">
        <f t="shared" si="1167"/>
        <v>0</v>
      </c>
      <c r="AE51" s="2">
        <f t="shared" ref="AE51:AE58" si="1224">AD51+AE50</f>
        <v>4</v>
      </c>
      <c r="AF51" s="2"/>
      <c r="AG51" s="2"/>
      <c r="AH51" s="2">
        <f>IF($E51=5,G51-5,NA())</f>
        <v>1</v>
      </c>
      <c r="AI51" s="41">
        <f>G51-'Zusammenfassung Tag1-4'!$B$2/18</f>
        <v>5.166666666666667</v>
      </c>
      <c r="AJ51" s="13">
        <f t="shared" ref="AJ51:AJ58" si="1225">AI51+AJ50</f>
        <v>151.33333333333331</v>
      </c>
      <c r="AK51" s="53">
        <v>9</v>
      </c>
      <c r="AL51" s="2">
        <f>AK51+AL50</f>
        <v>187</v>
      </c>
      <c r="AM51" s="56">
        <v>1</v>
      </c>
      <c r="AN51" s="2">
        <f t="shared" ref="AN51:AN58" si="1226">AM51+AN50</f>
        <v>72</v>
      </c>
      <c r="AO51" s="2">
        <f t="shared" si="1168"/>
        <v>0</v>
      </c>
      <c r="AP51" s="2">
        <f t="shared" ref="AP51:AP58" si="1227">AO51+AP50</f>
        <v>16</v>
      </c>
      <c r="AQ51" s="2">
        <f t="shared" si="1169"/>
        <v>0</v>
      </c>
      <c r="AR51" s="2">
        <f t="shared" ref="AR51:AR58" si="1228">AQ51+AR50</f>
        <v>5</v>
      </c>
      <c r="AS51" s="2"/>
      <c r="AT51" s="2">
        <f t="shared" si="1170"/>
        <v>0</v>
      </c>
      <c r="AU51" s="2">
        <f t="shared" ref="AU51:AU58" si="1229">AT51+AU50</f>
        <v>0</v>
      </c>
      <c r="AV51" s="2">
        <f t="shared" ref="AV51:AV57" si="1230">IF(AK51=$E51,1,0)</f>
        <v>0</v>
      </c>
      <c r="AW51" s="2">
        <f t="shared" ref="AW51:AW58" si="1231">AV51+AW50</f>
        <v>0</v>
      </c>
      <c r="AX51" s="2">
        <f t="shared" ref="AX51:AX58" si="1232">IF(AK51-$E51=1,1,0)</f>
        <v>0</v>
      </c>
      <c r="AY51" s="2">
        <f t="shared" ref="AY51:AY58" si="1233">AX51+AY50</f>
        <v>1</v>
      </c>
      <c r="AZ51" s="2">
        <f t="shared" ref="AZ51:AZ58" si="1234">IF(AK51-$E51&gt;=2,1,0)</f>
        <v>1</v>
      </c>
      <c r="BA51" s="2">
        <f t="shared" ref="BA51:BA58" si="1235">AZ51+BA50</f>
        <v>1</v>
      </c>
      <c r="BB51" s="2">
        <f t="shared" ref="BB51:BB58" si="1236">IF(AM51=0,1,0)</f>
        <v>0</v>
      </c>
      <c r="BC51" s="2">
        <f t="shared" ref="BC51:BC58" si="1237">BB51+BC50</f>
        <v>0</v>
      </c>
      <c r="BD51" s="2">
        <f t="shared" si="1171"/>
        <v>1</v>
      </c>
      <c r="BE51" s="2">
        <f t="shared" ref="BE51:BE58" si="1238">BD51+BE50</f>
        <v>8</v>
      </c>
      <c r="BF51" s="2">
        <f t="shared" ref="BF51:BF58" si="1239">IF(AM51=2,1,0)</f>
        <v>0</v>
      </c>
      <c r="BG51" s="2">
        <f t="shared" ref="BG51:BG58" si="1240">BF51+BG50</f>
        <v>1</v>
      </c>
      <c r="BH51" s="2">
        <f t="shared" si="1172"/>
        <v>0</v>
      </c>
      <c r="BI51" s="2">
        <f t="shared" ref="BI51:BI58" si="1241">BH51+BI50</f>
        <v>4</v>
      </c>
      <c r="BJ51" s="2"/>
      <c r="BK51" s="2"/>
      <c r="BL51" s="2">
        <f t="shared" ref="BL51:BL52" si="1242">IF($E51=5,AK51-5,NA())</f>
        <v>4</v>
      </c>
      <c r="BM51" s="41">
        <f>AK51-'Zusammenfassung Tag1-4'!$C$2/18</f>
        <v>8.4444444444444446</v>
      </c>
      <c r="BN51" s="13">
        <f t="shared" ref="BN51:BN58" si="1243">BM51+BN50</f>
        <v>165.88888888888897</v>
      </c>
      <c r="BO51" s="53">
        <v>8</v>
      </c>
      <c r="BP51" s="2">
        <f>BO51+BP50</f>
        <v>222</v>
      </c>
      <c r="BQ51" s="56">
        <v>2</v>
      </c>
      <c r="BR51" s="2">
        <f t="shared" ref="BR51:BR58" si="1244">BQ51+BR50</f>
        <v>87</v>
      </c>
      <c r="BS51" s="2">
        <f t="shared" si="1173"/>
        <v>0</v>
      </c>
      <c r="BT51" s="2">
        <f t="shared" ref="BT51:BT58" si="1245">BS51+BT50</f>
        <v>8</v>
      </c>
      <c r="BU51" s="2">
        <f t="shared" si="1174"/>
        <v>0</v>
      </c>
      <c r="BV51" s="2">
        <f t="shared" ref="BV51:BV58" si="1246">BU51+BV50</f>
        <v>0</v>
      </c>
      <c r="BW51" s="2"/>
      <c r="BX51" s="2">
        <f t="shared" si="1175"/>
        <v>0</v>
      </c>
      <c r="BY51" s="2">
        <f t="shared" ref="BY51:CG58" si="1247">BX51+BY50</f>
        <v>0</v>
      </c>
      <c r="BZ51" s="2">
        <f t="shared" ref="BZ51:BZ57" si="1248">IF(BO51=$E51,1,0)</f>
        <v>0</v>
      </c>
      <c r="CA51" s="2">
        <f t="shared" ref="CA51:CA58" si="1249">BZ51+CA50</f>
        <v>0</v>
      </c>
      <c r="CB51" s="2">
        <f t="shared" ref="CB51:CB58" si="1250">IF(BO51-$E51=1,1,0)</f>
        <v>0</v>
      </c>
      <c r="CC51" s="2">
        <f t="shared" ref="CC51:CC58" si="1251">CB51+CC50</f>
        <v>0</v>
      </c>
      <c r="CD51" s="2">
        <f t="shared" ref="CD51:CD58" si="1252">IF(BO51-$E51&gt;=2,1,0)</f>
        <v>1</v>
      </c>
      <c r="CE51" s="2">
        <f t="shared" ref="CE51:CE58" si="1253">CD51+CE50</f>
        <v>2</v>
      </c>
      <c r="CF51" s="2">
        <f t="shared" ref="CF51:CF58" si="1254">IF(BQ51=0,1,0)</f>
        <v>0</v>
      </c>
      <c r="CG51" s="2">
        <f t="shared" si="1247"/>
        <v>0</v>
      </c>
      <c r="CH51" s="2">
        <f t="shared" si="1176"/>
        <v>0</v>
      </c>
      <c r="CI51" s="2">
        <f t="shared" ref="CI51:CI58" si="1255">CH51+CI50</f>
        <v>1</v>
      </c>
      <c r="CJ51" s="2">
        <f t="shared" ref="CJ51:CJ58" si="1256">IF(BQ51=2,1,0)</f>
        <v>1</v>
      </c>
      <c r="CK51" s="2">
        <f t="shared" ref="CK51:CK58" si="1257">CJ51+CK50</f>
        <v>1</v>
      </c>
      <c r="CL51" s="2">
        <f t="shared" si="1177"/>
        <v>0</v>
      </c>
      <c r="CM51" s="2">
        <f t="shared" ref="CM51:CM58" si="1258">CL51+CM50</f>
        <v>12</v>
      </c>
      <c r="CN51" s="2"/>
      <c r="CO51" s="2"/>
      <c r="CP51" s="2">
        <f t="shared" ref="CP51:CP52" si="1259">IF($E51=5,BO51-5,NA())</f>
        <v>3</v>
      </c>
      <c r="CQ51" s="41">
        <f>BO51-'Zusammenfassung Tag1-4'!$D$2/18</f>
        <v>6.9444444444444446</v>
      </c>
      <c r="CR51" s="13">
        <f t="shared" ref="CR51:CR58" si="1260">CQ51+CR50</f>
        <v>181.888888888889</v>
      </c>
      <c r="CS51" s="53">
        <v>6</v>
      </c>
      <c r="CT51" s="2">
        <f>CS51+CT50</f>
        <v>204</v>
      </c>
      <c r="CU51" s="56">
        <v>2</v>
      </c>
      <c r="CV51" s="2">
        <f t="shared" ref="CV51:CV58" si="1261">CU51+CV50</f>
        <v>84</v>
      </c>
      <c r="CW51" s="2">
        <f t="shared" si="1178"/>
        <v>0</v>
      </c>
      <c r="CX51" s="2">
        <f t="shared" ref="CX51:CX58" si="1262">CW51+CX50</f>
        <v>12</v>
      </c>
      <c r="CY51" s="2">
        <f t="shared" si="1179"/>
        <v>0</v>
      </c>
      <c r="CZ51" s="2">
        <f t="shared" ref="CZ51:CZ58" si="1263">CY51+CZ50</f>
        <v>1</v>
      </c>
      <c r="DA51" s="2"/>
      <c r="DB51" s="2">
        <f t="shared" si="1180"/>
        <v>0</v>
      </c>
      <c r="DC51" s="2">
        <f t="shared" ref="DC51:DC58" si="1264">DB51+DC50</f>
        <v>0</v>
      </c>
      <c r="DD51" s="2">
        <f t="shared" ref="DD51:DD57" si="1265">IF(CS51=$E51,1,0)</f>
        <v>0</v>
      </c>
      <c r="DE51" s="2">
        <f t="shared" ref="DE51:DE58" si="1266">DD51+DE50</f>
        <v>1</v>
      </c>
      <c r="DF51" s="2">
        <f t="shared" ref="DF51:DF58" si="1267">IF(CS51-$E51=1,1,0)</f>
        <v>1</v>
      </c>
      <c r="DG51" s="2">
        <f t="shared" ref="DG51:DG58" si="1268">DF51+DG50</f>
        <v>1</v>
      </c>
      <c r="DH51" s="2">
        <f t="shared" ref="DH51:DH58" si="1269">IF(CS51-$E51&gt;=2,1,0)</f>
        <v>0</v>
      </c>
      <c r="DI51" s="2">
        <f t="shared" ref="DI51:DI58" si="1270">DH51+DI50</f>
        <v>0</v>
      </c>
      <c r="DJ51" s="2">
        <f t="shared" ref="DJ51:DJ58" si="1271">IF(CU51=0,1,0)</f>
        <v>0</v>
      </c>
      <c r="DK51" s="2">
        <f t="shared" ref="DK51:DK58" si="1272">DJ51+DK50</f>
        <v>0</v>
      </c>
      <c r="DL51" s="2">
        <f t="shared" si="1181"/>
        <v>0</v>
      </c>
      <c r="DM51" s="2">
        <f t="shared" ref="DM51:DM58" si="1273">DL51+DM50</f>
        <v>4</v>
      </c>
      <c r="DN51" s="2">
        <f t="shared" ref="DN51:DN58" si="1274">IF(CU51=2,1,0)</f>
        <v>1</v>
      </c>
      <c r="DO51" s="2">
        <f t="shared" ref="DO51:DO58" si="1275">DN51+DO50</f>
        <v>2</v>
      </c>
      <c r="DP51" s="2">
        <f t="shared" si="1182"/>
        <v>0</v>
      </c>
      <c r="DQ51" s="2">
        <f t="shared" ref="DQ51:DQ58" si="1276">DP51+DQ50</f>
        <v>11</v>
      </c>
      <c r="DR51" s="2"/>
      <c r="DS51" s="2"/>
      <c r="DT51" s="2">
        <f t="shared" ref="DT51:DT52" si="1277">IF($E51=5,CS51-5,NA())</f>
        <v>1</v>
      </c>
      <c r="DU51" s="41">
        <f>CS51-'Zusammenfassung Tag1-4'!$E$2/18</f>
        <v>5</v>
      </c>
      <c r="DV51" s="14">
        <f t="shared" ref="DV51:DV58" si="1278">DU51+DV50</f>
        <v>166</v>
      </c>
      <c r="DW51" s="53">
        <v>7</v>
      </c>
      <c r="DX51" s="2">
        <v>9</v>
      </c>
      <c r="DY51" s="56">
        <v>2</v>
      </c>
      <c r="DZ51" s="2">
        <f t="shared" ref="DZ51:DZ58" si="1279">DY51+DZ50</f>
        <v>88</v>
      </c>
      <c r="EA51" s="2">
        <f t="shared" si="1183"/>
        <v>0</v>
      </c>
      <c r="EB51" s="2">
        <f t="shared" ref="EB51:EB58" si="1280">EA51+EB50</f>
        <v>0</v>
      </c>
      <c r="EC51" s="2">
        <f t="shared" si="1184"/>
        <v>0</v>
      </c>
      <c r="ED51" s="2">
        <f t="shared" ref="ED51:ED58" si="1281">EC51+ED50</f>
        <v>0</v>
      </c>
      <c r="EE51" s="2"/>
      <c r="EF51" s="2">
        <f t="shared" si="1185"/>
        <v>0</v>
      </c>
      <c r="EG51" s="2">
        <f t="shared" ref="EG51:EG58" si="1282">EF51+EG50</f>
        <v>0</v>
      </c>
      <c r="EH51" s="2">
        <f t="shared" ref="EH51:EH57" si="1283">IF(DW51=$E51,1,0)</f>
        <v>0</v>
      </c>
      <c r="EI51" s="2">
        <f t="shared" ref="EI51:EI58" si="1284">EH51+EI50</f>
        <v>0</v>
      </c>
      <c r="EJ51" s="2">
        <f t="shared" ref="EJ51:EJ58" si="1285">IF(DW51-$E51=1,1,0)</f>
        <v>0</v>
      </c>
      <c r="EK51" s="2">
        <f t="shared" ref="EK51:EK58" si="1286">EJ51+EK50</f>
        <v>0</v>
      </c>
      <c r="EL51" s="2">
        <f t="shared" ref="EL51:EL58" si="1287">IF(DW51-$E51&gt;=2,1,0)</f>
        <v>1</v>
      </c>
      <c r="EM51" s="2">
        <f t="shared" ref="EM51:EM58" si="1288">EL51+EM50</f>
        <v>2</v>
      </c>
      <c r="EN51" s="2">
        <f t="shared" ref="EN51:EN58" si="1289">IF(DY51=0,1,0)</f>
        <v>0</v>
      </c>
      <c r="EO51" s="2">
        <f t="shared" ref="EO51:EO58" si="1290">EN51+EO50</f>
        <v>0</v>
      </c>
      <c r="EP51" s="2">
        <f t="shared" si="1186"/>
        <v>0</v>
      </c>
      <c r="EQ51" s="2">
        <f t="shared" ref="EQ51:EQ58" si="1291">EP51+EQ50</f>
        <v>2</v>
      </c>
      <c r="ER51" s="2">
        <f t="shared" ref="ER51:ER58" si="1292">IF(DY51=2,1,0)</f>
        <v>1</v>
      </c>
      <c r="ES51" s="2">
        <f t="shared" ref="ES51:ES58" si="1293">ER51+ES50</f>
        <v>1</v>
      </c>
      <c r="ET51" s="2">
        <f t="shared" si="1187"/>
        <v>0</v>
      </c>
      <c r="EU51" s="2">
        <f t="shared" ref="EU51:EU58" si="1294">ET51+EU50</f>
        <v>13</v>
      </c>
      <c r="EV51" s="2"/>
      <c r="EW51" s="2"/>
      <c r="EX51" s="2">
        <f t="shared" ref="EX51:EX52" si="1295">IF($E51=5,DW51-5,NA())</f>
        <v>2</v>
      </c>
      <c r="EY51" s="41">
        <f>DW51-'Zusammenfassung Tag1-4'!$F$2/18</f>
        <v>4.5</v>
      </c>
      <c r="EZ51" s="14">
        <f t="shared" ref="EZ51:EZ58" si="1296">EY51+EZ50</f>
        <v>174</v>
      </c>
      <c r="FA51" s="53">
        <v>6</v>
      </c>
      <c r="FB51" s="2">
        <v>215</v>
      </c>
      <c r="FC51" s="56">
        <v>2</v>
      </c>
      <c r="FD51" s="2">
        <f t="shared" ref="FD51:FD58" si="1297">FC51+FD50</f>
        <v>73</v>
      </c>
      <c r="FE51" s="2">
        <f t="shared" si="1188"/>
        <v>0</v>
      </c>
      <c r="FF51" s="2">
        <f t="shared" ref="FF51:FF58" si="1298">FE51+FF50</f>
        <v>6</v>
      </c>
      <c r="FG51" s="2">
        <f t="shared" si="1189"/>
        <v>0</v>
      </c>
      <c r="FH51" s="2">
        <f t="shared" ref="FH51:FH58" si="1299">FG51+FH50</f>
        <v>4</v>
      </c>
      <c r="FI51" s="2"/>
      <c r="FJ51" s="2">
        <f t="shared" si="1190"/>
        <v>0</v>
      </c>
      <c r="FK51" s="2">
        <f t="shared" ref="FK51:FK58" si="1300">FJ51+FK50</f>
        <v>0</v>
      </c>
      <c r="FL51" s="2">
        <f t="shared" ref="FL51:FL57" si="1301">IF(FA51=$E51,1,0)</f>
        <v>0</v>
      </c>
      <c r="FM51" s="2">
        <f t="shared" ref="FM51:FM58" si="1302">FL51+FM50</f>
        <v>0</v>
      </c>
      <c r="FN51" s="2">
        <f t="shared" ref="FN51:FN58" si="1303">IF(FA51-$E51=1,1,0)</f>
        <v>1</v>
      </c>
      <c r="FO51" s="2">
        <f t="shared" ref="FO51:FO58" si="1304">FN51+FO50</f>
        <v>2</v>
      </c>
      <c r="FP51" s="2">
        <f t="shared" ref="FP51:FP58" si="1305">IF(FA51-$E51&gt;=2,1,0)</f>
        <v>0</v>
      </c>
      <c r="FQ51" s="2">
        <f t="shared" ref="FQ51:FQ58" si="1306">FP51+FQ50</f>
        <v>0</v>
      </c>
      <c r="FR51" s="2">
        <f t="shared" ref="FR51:FR58" si="1307">IF(FC51=0,1,0)</f>
        <v>0</v>
      </c>
      <c r="FS51" s="2">
        <f t="shared" ref="FS51:FS58" si="1308">FR51+FS50</f>
        <v>0</v>
      </c>
      <c r="FT51" s="2">
        <f t="shared" si="1191"/>
        <v>0</v>
      </c>
      <c r="FU51" s="2">
        <f t="shared" ref="FU51:FU58" si="1309">FT51+FU50</f>
        <v>11</v>
      </c>
      <c r="FV51" s="2">
        <f t="shared" ref="FV51:FV58" si="1310">IF(FC51=2,1,0)</f>
        <v>1</v>
      </c>
      <c r="FW51" s="2">
        <f t="shared" ref="FW51:FW58" si="1311">FV51+FW50</f>
        <v>2</v>
      </c>
      <c r="FX51" s="2">
        <f t="shared" si="1192"/>
        <v>0</v>
      </c>
      <c r="FY51" s="2">
        <f t="shared" ref="FY51:FY58" si="1312">FX51+FY50</f>
        <v>8</v>
      </c>
      <c r="FZ51" s="2"/>
      <c r="GA51" s="2"/>
      <c r="GB51" s="2">
        <f t="shared" ref="GB51:GB52" si="1313">IF($E51=5,FA51-5,NA())</f>
        <v>1</v>
      </c>
      <c r="GC51" s="41">
        <f>FA51-'Zusammenfassung Tag1-4'!$G$2/18</f>
        <v>4.7222222222222223</v>
      </c>
      <c r="GD51" s="14">
        <f t="shared" ref="GD51:GD58" si="1314">GC51+GD50</f>
        <v>162.44444444444457</v>
      </c>
      <c r="GE51" s="53">
        <v>7</v>
      </c>
      <c r="GF51" s="2">
        <v>277</v>
      </c>
      <c r="GG51" s="56">
        <v>2</v>
      </c>
      <c r="GH51" s="2">
        <f t="shared" ref="GH51:GH58" si="1315">GG51+GH50</f>
        <v>76</v>
      </c>
      <c r="GI51" s="2">
        <f t="shared" si="1193"/>
        <v>0</v>
      </c>
      <c r="GJ51" s="2">
        <f t="shared" ref="GJ51:GJ58" si="1316">GI51+GJ50</f>
        <v>1</v>
      </c>
      <c r="GK51" s="2">
        <f t="shared" si="1194"/>
        <v>0</v>
      </c>
      <c r="GL51" s="2">
        <f t="shared" ref="GL51:GL58" si="1317">GK51+GL50</f>
        <v>1</v>
      </c>
      <c r="GM51" s="2"/>
      <c r="GN51" s="2">
        <f t="shared" si="1195"/>
        <v>0</v>
      </c>
      <c r="GO51" s="2">
        <f t="shared" ref="GO51:GO58" si="1318">GN51+GO50</f>
        <v>0</v>
      </c>
      <c r="GP51" s="2">
        <f t="shared" ref="GP51:GP57" si="1319">IF(GE51=$E51,1,0)</f>
        <v>0</v>
      </c>
      <c r="GQ51" s="2">
        <f t="shared" ref="GQ51:GQ58" si="1320">GP51+GQ50</f>
        <v>0</v>
      </c>
      <c r="GR51" s="2">
        <f t="shared" ref="GR51:GR58" si="1321">IF(GE51-$E51=1,1,0)</f>
        <v>0</v>
      </c>
      <c r="GS51" s="2">
        <f t="shared" ref="GS51:GS58" si="1322">GR51+GS50</f>
        <v>1</v>
      </c>
      <c r="GT51" s="2">
        <f t="shared" ref="GT51:GT58" si="1323">IF(GE51-$E51&gt;=2,1,0)</f>
        <v>1</v>
      </c>
      <c r="GU51" s="2">
        <f t="shared" ref="GU51:GU58" si="1324">GT51+GU50</f>
        <v>1</v>
      </c>
      <c r="GV51" s="2">
        <f t="shared" ref="GV51:GV58" si="1325">IF(GG51=0,1,0)</f>
        <v>0</v>
      </c>
      <c r="GW51" s="2">
        <f t="shared" ref="GW51:GW58" si="1326">GV51+GW50</f>
        <v>0</v>
      </c>
      <c r="GX51" s="2">
        <f t="shared" si="1196"/>
        <v>0</v>
      </c>
      <c r="GY51" s="2">
        <f t="shared" ref="GY51:GY58" si="1327">GX51+GY50</f>
        <v>6</v>
      </c>
      <c r="GZ51" s="2">
        <f t="shared" ref="GZ51:GZ58" si="1328">IF(GG51=2,1,0)</f>
        <v>1</v>
      </c>
      <c r="HA51" s="2">
        <f t="shared" ref="HA51:HA58" si="1329">GZ51+HA50</f>
        <v>2</v>
      </c>
      <c r="HB51" s="2">
        <f t="shared" si="1197"/>
        <v>0</v>
      </c>
      <c r="HC51" s="2">
        <f t="shared" ref="HC51:HC58" si="1330">HB51+HC50</f>
        <v>6</v>
      </c>
      <c r="HD51" s="2"/>
      <c r="HE51" s="2"/>
      <c r="HF51" s="2">
        <f t="shared" ref="HF51:HF52" si="1331">IF($E51=5,GE51-5,NA())</f>
        <v>2</v>
      </c>
      <c r="HG51" s="41">
        <f>GE51-'Zusammenfassung Tag1-4'!$H$2/18</f>
        <v>5.2222222222222223</v>
      </c>
      <c r="HH51" s="14">
        <f t="shared" ref="HH51:HH58" si="1332">HG51+HH50</f>
        <v>181.4444444444446</v>
      </c>
      <c r="HI51" s="53">
        <v>5</v>
      </c>
      <c r="HJ51" s="2">
        <v>201</v>
      </c>
      <c r="HK51" s="56">
        <v>2</v>
      </c>
      <c r="HL51" s="2">
        <f t="shared" ref="HL51:HL58" si="1333">HK51+HL50</f>
        <v>77</v>
      </c>
      <c r="HM51" s="2">
        <f t="shared" si="1198"/>
        <v>1</v>
      </c>
      <c r="HN51" s="2">
        <f t="shared" ref="HN51:HN58" si="1334">HM51+HN50</f>
        <v>6</v>
      </c>
      <c r="HO51" s="2">
        <f t="shared" si="1199"/>
        <v>0</v>
      </c>
      <c r="HP51" s="2">
        <f t="shared" ref="HP51:HP58" si="1335">HO51+HP50</f>
        <v>3</v>
      </c>
      <c r="HQ51" s="2"/>
      <c r="HR51" s="2">
        <f t="shared" si="1200"/>
        <v>0</v>
      </c>
      <c r="HS51" s="2">
        <f t="shared" ref="HS51:HS58" si="1336">HR51+HS50</f>
        <v>0</v>
      </c>
      <c r="HT51" s="2">
        <f t="shared" ref="HT51:HT57" si="1337">IF(HI51=$E51,1,0)</f>
        <v>1</v>
      </c>
      <c r="HU51" s="2">
        <f t="shared" ref="HU51:HU58" si="1338">HT51+HU50</f>
        <v>1</v>
      </c>
      <c r="HV51" s="2">
        <f t="shared" ref="HV51:HV58" si="1339">IF(HI51-$E51=1,1,0)</f>
        <v>0</v>
      </c>
      <c r="HW51" s="2">
        <f t="shared" ref="HW51:HW58" si="1340">HV51+HW50</f>
        <v>1</v>
      </c>
      <c r="HX51" s="2">
        <f t="shared" ref="HX51:HX58" si="1341">IF(HI51-$E51&gt;=2,1,0)</f>
        <v>0</v>
      </c>
      <c r="HY51" s="2">
        <f t="shared" ref="HY51:HY58" si="1342">HX51+HY50</f>
        <v>0</v>
      </c>
      <c r="HZ51" s="2">
        <f t="shared" ref="HZ51:HZ58" si="1343">IF(HK51=0,1,0)</f>
        <v>0</v>
      </c>
      <c r="IA51" s="2">
        <f t="shared" ref="IA51:IA58" si="1344">HZ51+IA50</f>
        <v>0</v>
      </c>
      <c r="IB51" s="2">
        <f t="shared" si="1201"/>
        <v>0</v>
      </c>
      <c r="IC51" s="2">
        <f t="shared" ref="IC51:IC58" si="1345">IB51+IC50</f>
        <v>6</v>
      </c>
      <c r="ID51" s="2">
        <f t="shared" ref="ID51:ID58" si="1346">IF(HK51=2,1,0)</f>
        <v>1</v>
      </c>
      <c r="IE51" s="2">
        <f t="shared" ref="IE51:IE58" si="1347">ID51+IE50</f>
        <v>2</v>
      </c>
      <c r="IF51" s="2">
        <f t="shared" si="1202"/>
        <v>0</v>
      </c>
      <c r="IG51" s="2">
        <f t="shared" ref="IG51:IG58" si="1348">IF51+IG50</f>
        <v>7</v>
      </c>
      <c r="IH51" s="2"/>
      <c r="II51" s="2"/>
      <c r="IJ51" s="2">
        <f t="shared" ref="IJ51:IJ52" si="1349">IF($E51=5,HI51-5,NA())</f>
        <v>0</v>
      </c>
      <c r="IK51" s="41">
        <f>HI51-'Zusammenfassung Tag1-4'!$I$2/18</f>
        <v>4.1111111111111107</v>
      </c>
      <c r="IL51" s="14">
        <f t="shared" ref="IL51:IL58" si="1350">IK51+IL50</f>
        <v>175.22222222222231</v>
      </c>
      <c r="IM51" s="53">
        <v>9</v>
      </c>
      <c r="IN51" s="2">
        <v>17</v>
      </c>
      <c r="IO51" s="56">
        <v>3</v>
      </c>
      <c r="IP51" s="2">
        <f t="shared" ref="IP51:IP58" si="1351">IO51+IP50</f>
        <v>93</v>
      </c>
      <c r="IQ51" s="2">
        <f t="shared" si="1203"/>
        <v>0</v>
      </c>
      <c r="IR51" s="2">
        <f t="shared" ref="IR51:IR58" si="1352">IQ51+IR50</f>
        <v>6</v>
      </c>
      <c r="IS51" s="2">
        <f t="shared" si="1204"/>
        <v>0</v>
      </c>
      <c r="IT51" s="2">
        <f t="shared" ref="IT51:IT58" si="1353">IS51+IT50</f>
        <v>0</v>
      </c>
      <c r="IU51" s="2"/>
      <c r="IV51" s="2">
        <f t="shared" si="1205"/>
        <v>0</v>
      </c>
      <c r="IW51" s="2">
        <f t="shared" ref="IW51:IW58" si="1354">IV51+IW50</f>
        <v>0</v>
      </c>
      <c r="IX51" s="2">
        <f t="shared" ref="IX51:IX57" si="1355">IF(IM51=$E51,1,0)</f>
        <v>0</v>
      </c>
      <c r="IY51" s="2">
        <f t="shared" ref="IY51:IY58" si="1356">IX51+IY50</f>
        <v>0</v>
      </c>
      <c r="IZ51" s="2">
        <f t="shared" ref="IZ51:IZ58" si="1357">IF(IM51-$E51=1,1,0)</f>
        <v>0</v>
      </c>
      <c r="JA51" s="2">
        <f t="shared" ref="JA51:JA58" si="1358">IZ51+JA50</f>
        <v>0</v>
      </c>
      <c r="JB51" s="2">
        <f t="shared" ref="JB51:JB58" si="1359">IF(IM51-$E51&gt;=2,1,0)</f>
        <v>1</v>
      </c>
      <c r="JC51" s="2">
        <f t="shared" ref="JC51:JC58" si="1360">JB51+JC50</f>
        <v>2</v>
      </c>
      <c r="JD51" s="2">
        <f t="shared" ref="JD51:JD58" si="1361">IF(IO51=0,1,0)</f>
        <v>0</v>
      </c>
      <c r="JE51" s="2">
        <f t="shared" ref="JE51:JE58" si="1362">JD51+JE50</f>
        <v>0</v>
      </c>
      <c r="JF51" s="2">
        <f t="shared" si="1206"/>
        <v>0</v>
      </c>
      <c r="JG51" s="2">
        <f t="shared" ref="JG51:JG58" si="1363">JF51+JG50</f>
        <v>4</v>
      </c>
      <c r="JH51" s="2">
        <f t="shared" ref="JH51:JH58" si="1364">IF(IO51=2,1,0)</f>
        <v>0</v>
      </c>
      <c r="JI51" s="2">
        <f t="shared" ref="JI51:JI58" si="1365">JH51+JI50</f>
        <v>1</v>
      </c>
      <c r="JJ51" s="2">
        <f t="shared" si="1207"/>
        <v>1</v>
      </c>
      <c r="JK51" s="2">
        <f t="shared" ref="JK51:JK58" si="1366">JJ51+JK50</f>
        <v>16</v>
      </c>
      <c r="JL51" s="2"/>
      <c r="JM51" s="2"/>
      <c r="JN51" s="2">
        <f t="shared" ref="JN51:JN52" si="1367">IF($E51=5,IM51-5,NA())</f>
        <v>4</v>
      </c>
      <c r="JO51" s="41">
        <f>IM51-'Zusammenfassung Tag1-4'!$J$2/18</f>
        <v>6.6666666666666661</v>
      </c>
      <c r="JP51" s="14">
        <f t="shared" ref="JP51:JP58" si="1368">JO51+JP50</f>
        <v>174.33333333333329</v>
      </c>
      <c r="JQ51" s="53"/>
      <c r="JR51" s="2"/>
      <c r="JS51" s="56"/>
      <c r="JT51" s="2">
        <f t="shared" ref="JT51:JT58" si="1369">JS51+JT50</f>
        <v>0</v>
      </c>
      <c r="JU51" s="2">
        <f t="shared" si="1208"/>
        <v>1</v>
      </c>
      <c r="JV51" s="2">
        <f t="shared" ref="JV51:JV58" si="1370">JU51+JV50</f>
        <v>38</v>
      </c>
      <c r="JW51" s="2">
        <f t="shared" si="1209"/>
        <v>0</v>
      </c>
      <c r="JX51" s="2">
        <f t="shared" ref="JX51:JX58" si="1371">JW51+JX50</f>
        <v>0</v>
      </c>
      <c r="JY51" s="2"/>
      <c r="JZ51" s="2">
        <f t="shared" si="1210"/>
        <v>0</v>
      </c>
      <c r="KA51" s="2">
        <f t="shared" ref="KA51:KA58" si="1372">JZ51+KA50</f>
        <v>0</v>
      </c>
      <c r="KB51" s="2">
        <f t="shared" ref="KB51:KB57" si="1373">IF(JQ51=$E51,1,0)</f>
        <v>0</v>
      </c>
      <c r="KC51" s="2">
        <f t="shared" ref="KC51:KC58" si="1374">KB51+KC50</f>
        <v>0</v>
      </c>
      <c r="KD51" s="2">
        <f t="shared" ref="KD51:KD58" si="1375">IF(JQ51-$E51=1,1,0)</f>
        <v>0</v>
      </c>
      <c r="KE51" s="2">
        <f t="shared" ref="KE51:KE58" si="1376">KD51+KE50</f>
        <v>0</v>
      </c>
      <c r="KF51" s="2">
        <f t="shared" ref="KF51:KF58" si="1377">IF(JQ51-$E51&gt;=2,1,0)</f>
        <v>0</v>
      </c>
      <c r="KG51" s="2">
        <f t="shared" ref="KG51:KG58" si="1378">KF51+KG50</f>
        <v>0</v>
      </c>
      <c r="KH51" s="2">
        <f t="shared" ref="KH51:KH58" si="1379">IF(JS51=0,1,0)</f>
        <v>1</v>
      </c>
      <c r="KI51" s="2">
        <f t="shared" ref="KI51:KI58" si="1380">KH51+KI50</f>
        <v>2</v>
      </c>
      <c r="KJ51" s="2">
        <f t="shared" si="1211"/>
        <v>0</v>
      </c>
      <c r="KK51" s="2">
        <f t="shared" ref="KK51:KK58" si="1381">KJ51+KK50</f>
        <v>0</v>
      </c>
      <c r="KL51" s="2">
        <f t="shared" ref="KL51:KL58" si="1382">IF(JS51=2,1,0)</f>
        <v>0</v>
      </c>
      <c r="KM51" s="2">
        <f t="shared" ref="KM51:KM58" si="1383">KL51+KM50</f>
        <v>0</v>
      </c>
      <c r="KN51" s="2">
        <f t="shared" si="1212"/>
        <v>0</v>
      </c>
      <c r="KO51" s="2">
        <f t="shared" ref="KO51:KO58" si="1384">KN51+KO50</f>
        <v>0</v>
      </c>
      <c r="KP51" s="2"/>
      <c r="KQ51" s="2"/>
      <c r="KR51" s="2">
        <f t="shared" ref="KR51:KR52" si="1385">IF($E51=5,JQ51-5,NA())</f>
        <v>-5</v>
      </c>
      <c r="KS51" s="41" t="e">
        <f>JQ51-'Zusammenfassung Tag1-4'!#REF!/18</f>
        <v>#REF!</v>
      </c>
      <c r="KT51" s="14" t="e">
        <f t="shared" ref="KT51:KT58" si="1386">KS51+KT50</f>
        <v>#REF!</v>
      </c>
    </row>
    <row r="52" spans="1:306" ht="13.2" x14ac:dyDescent="0.25">
      <c r="A52" s="179"/>
      <c r="B52" s="176"/>
      <c r="C52" s="44">
        <v>3</v>
      </c>
      <c r="D52" s="2">
        <f t="shared" ref="D52:D58" si="1387">D51+1</f>
        <v>39</v>
      </c>
      <c r="E52" s="44">
        <v>5</v>
      </c>
      <c r="F52" s="4">
        <f t="shared" si="1213"/>
        <v>158</v>
      </c>
      <c r="G52" s="53">
        <v>8</v>
      </c>
      <c r="H52" s="2">
        <f t="shared" ref="H52:H58" si="1388">G52+H51</f>
        <v>191</v>
      </c>
      <c r="I52" s="56">
        <v>3</v>
      </c>
      <c r="J52" s="2">
        <f t="shared" si="1214"/>
        <v>75</v>
      </c>
      <c r="K52" s="2">
        <f t="shared" si="1158"/>
        <v>0</v>
      </c>
      <c r="L52" s="2">
        <f t="shared" si="1215"/>
        <v>12</v>
      </c>
      <c r="M52" s="2">
        <f t="shared" si="1159"/>
        <v>0</v>
      </c>
      <c r="N52" s="2">
        <f t="shared" si="1216"/>
        <v>5</v>
      </c>
      <c r="O52" s="2"/>
      <c r="P52" s="2">
        <f t="shared" si="1160"/>
        <v>0</v>
      </c>
      <c r="Q52" s="2">
        <f t="shared" si="1217"/>
        <v>2</v>
      </c>
      <c r="R52" s="2">
        <f t="shared" si="1161"/>
        <v>0</v>
      </c>
      <c r="S52" s="2">
        <f t="shared" si="1218"/>
        <v>0</v>
      </c>
      <c r="T52" s="2">
        <f t="shared" si="1162"/>
        <v>0</v>
      </c>
      <c r="U52" s="2">
        <f t="shared" si="1219"/>
        <v>2</v>
      </c>
      <c r="V52" s="2">
        <f t="shared" si="1163"/>
        <v>1</v>
      </c>
      <c r="W52" s="2">
        <f t="shared" si="1220"/>
        <v>1</v>
      </c>
      <c r="X52" s="2">
        <f t="shared" si="1164"/>
        <v>0</v>
      </c>
      <c r="Y52" s="2">
        <f t="shared" si="1221"/>
        <v>0</v>
      </c>
      <c r="Z52" s="2">
        <f t="shared" si="1165"/>
        <v>0</v>
      </c>
      <c r="AA52" s="2">
        <f t="shared" si="1222"/>
        <v>7</v>
      </c>
      <c r="AB52" s="2">
        <f t="shared" si="1166"/>
        <v>0</v>
      </c>
      <c r="AC52" s="2">
        <f t="shared" si="1223"/>
        <v>1</v>
      </c>
      <c r="AD52" s="2">
        <f t="shared" si="1167"/>
        <v>1</v>
      </c>
      <c r="AE52" s="2">
        <f t="shared" si="1224"/>
        <v>5</v>
      </c>
      <c r="AF52" s="2"/>
      <c r="AG52" s="2"/>
      <c r="AH52" s="2">
        <f>IF($E52=5,G52-5,NA())</f>
        <v>3</v>
      </c>
      <c r="AI52" s="41">
        <f>G52-'Zusammenfassung Tag1-4'!$B$2/18</f>
        <v>7.166666666666667</v>
      </c>
      <c r="AJ52" s="13">
        <f t="shared" si="1225"/>
        <v>158.49999999999997</v>
      </c>
      <c r="AK52" s="53">
        <v>6</v>
      </c>
      <c r="AL52" s="2">
        <f t="shared" ref="AL52:AL58" si="1389">AK52+AL51</f>
        <v>193</v>
      </c>
      <c r="AM52" s="56">
        <v>1</v>
      </c>
      <c r="AN52" s="2">
        <f t="shared" si="1226"/>
        <v>73</v>
      </c>
      <c r="AO52" s="2">
        <f t="shared" si="1168"/>
        <v>0</v>
      </c>
      <c r="AP52" s="2">
        <f t="shared" si="1227"/>
        <v>16</v>
      </c>
      <c r="AQ52" s="2">
        <f t="shared" si="1169"/>
        <v>0</v>
      </c>
      <c r="AR52" s="2">
        <f t="shared" si="1228"/>
        <v>5</v>
      </c>
      <c r="AS52" s="2"/>
      <c r="AT52" s="2">
        <f t="shared" si="1170"/>
        <v>0</v>
      </c>
      <c r="AU52" s="2">
        <f t="shared" si="1229"/>
        <v>0</v>
      </c>
      <c r="AV52" s="2">
        <f t="shared" si="1230"/>
        <v>0</v>
      </c>
      <c r="AW52" s="2">
        <f t="shared" si="1231"/>
        <v>0</v>
      </c>
      <c r="AX52" s="2">
        <f t="shared" si="1232"/>
        <v>1</v>
      </c>
      <c r="AY52" s="2">
        <f t="shared" si="1233"/>
        <v>2</v>
      </c>
      <c r="AZ52" s="2">
        <f t="shared" si="1234"/>
        <v>0</v>
      </c>
      <c r="BA52" s="2">
        <f t="shared" si="1235"/>
        <v>1</v>
      </c>
      <c r="BB52" s="2">
        <f t="shared" si="1236"/>
        <v>0</v>
      </c>
      <c r="BC52" s="2">
        <f t="shared" si="1237"/>
        <v>0</v>
      </c>
      <c r="BD52" s="2">
        <f t="shared" si="1171"/>
        <v>1</v>
      </c>
      <c r="BE52" s="2">
        <f t="shared" si="1238"/>
        <v>9</v>
      </c>
      <c r="BF52" s="2">
        <f t="shared" si="1239"/>
        <v>0</v>
      </c>
      <c r="BG52" s="2">
        <f t="shared" si="1240"/>
        <v>1</v>
      </c>
      <c r="BH52" s="2">
        <f t="shared" si="1172"/>
        <v>0</v>
      </c>
      <c r="BI52" s="2">
        <f t="shared" si="1241"/>
        <v>4</v>
      </c>
      <c r="BJ52" s="2"/>
      <c r="BK52" s="2"/>
      <c r="BL52" s="2">
        <f t="shared" si="1242"/>
        <v>1</v>
      </c>
      <c r="BM52" s="41">
        <f>AK52-'Zusammenfassung Tag1-4'!$C$2/18</f>
        <v>5.4444444444444446</v>
      </c>
      <c r="BN52" s="13">
        <f t="shared" si="1243"/>
        <v>171.33333333333343</v>
      </c>
      <c r="BO52" s="53">
        <v>6</v>
      </c>
      <c r="BP52" s="2">
        <f t="shared" ref="BP52:BP58" si="1390">BO52+BP51</f>
        <v>228</v>
      </c>
      <c r="BQ52" s="56">
        <v>2</v>
      </c>
      <c r="BR52" s="2">
        <f t="shared" si="1244"/>
        <v>89</v>
      </c>
      <c r="BS52" s="2">
        <f t="shared" si="1173"/>
        <v>0</v>
      </c>
      <c r="BT52" s="2">
        <f t="shared" si="1245"/>
        <v>8</v>
      </c>
      <c r="BU52" s="2">
        <f t="shared" si="1174"/>
        <v>0</v>
      </c>
      <c r="BV52" s="2">
        <f t="shared" si="1246"/>
        <v>0</v>
      </c>
      <c r="BW52" s="2"/>
      <c r="BX52" s="2">
        <f t="shared" si="1175"/>
        <v>0</v>
      </c>
      <c r="BY52" s="2">
        <f t="shared" si="1247"/>
        <v>0</v>
      </c>
      <c r="BZ52" s="2">
        <f t="shared" si="1248"/>
        <v>0</v>
      </c>
      <c r="CA52" s="2">
        <f t="shared" si="1249"/>
        <v>0</v>
      </c>
      <c r="CB52" s="2">
        <f t="shared" si="1250"/>
        <v>1</v>
      </c>
      <c r="CC52" s="2">
        <f t="shared" si="1251"/>
        <v>1</v>
      </c>
      <c r="CD52" s="2">
        <f t="shared" si="1252"/>
        <v>0</v>
      </c>
      <c r="CE52" s="2">
        <f t="shared" si="1253"/>
        <v>2</v>
      </c>
      <c r="CF52" s="2">
        <f t="shared" si="1254"/>
        <v>0</v>
      </c>
      <c r="CG52" s="2">
        <f t="shared" si="1247"/>
        <v>0</v>
      </c>
      <c r="CH52" s="2">
        <f t="shared" si="1176"/>
        <v>0</v>
      </c>
      <c r="CI52" s="2">
        <f t="shared" si="1255"/>
        <v>1</v>
      </c>
      <c r="CJ52" s="2">
        <f t="shared" si="1256"/>
        <v>1</v>
      </c>
      <c r="CK52" s="2">
        <f t="shared" si="1257"/>
        <v>2</v>
      </c>
      <c r="CL52" s="2">
        <f t="shared" si="1177"/>
        <v>0</v>
      </c>
      <c r="CM52" s="2">
        <f t="shared" si="1258"/>
        <v>12</v>
      </c>
      <c r="CN52" s="2"/>
      <c r="CO52" s="2"/>
      <c r="CP52" s="2">
        <f t="shared" si="1259"/>
        <v>1</v>
      </c>
      <c r="CQ52" s="41">
        <f>BO52-'Zusammenfassung Tag1-4'!$D$2/18</f>
        <v>4.9444444444444446</v>
      </c>
      <c r="CR52" s="13">
        <f t="shared" si="1260"/>
        <v>186.83333333333346</v>
      </c>
      <c r="CS52" s="53">
        <v>5</v>
      </c>
      <c r="CT52" s="2">
        <f t="shared" ref="CT52:CT58" si="1391">CS52+CT51</f>
        <v>209</v>
      </c>
      <c r="CU52" s="56">
        <v>1</v>
      </c>
      <c r="CV52" s="2">
        <f t="shared" si="1261"/>
        <v>85</v>
      </c>
      <c r="CW52" s="2">
        <f t="shared" si="1178"/>
        <v>0</v>
      </c>
      <c r="CX52" s="2">
        <f t="shared" si="1262"/>
        <v>12</v>
      </c>
      <c r="CY52" s="2">
        <f t="shared" si="1179"/>
        <v>1</v>
      </c>
      <c r="CZ52" s="2">
        <f t="shared" si="1263"/>
        <v>2</v>
      </c>
      <c r="DA52" s="2"/>
      <c r="DB52" s="2">
        <f t="shared" si="1180"/>
        <v>0</v>
      </c>
      <c r="DC52" s="2">
        <f t="shared" si="1264"/>
        <v>0</v>
      </c>
      <c r="DD52" s="2">
        <f t="shared" si="1265"/>
        <v>1</v>
      </c>
      <c r="DE52" s="2">
        <f t="shared" si="1266"/>
        <v>2</v>
      </c>
      <c r="DF52" s="2">
        <f t="shared" si="1267"/>
        <v>0</v>
      </c>
      <c r="DG52" s="2">
        <f t="shared" si="1268"/>
        <v>1</v>
      </c>
      <c r="DH52" s="2">
        <f t="shared" si="1269"/>
        <v>0</v>
      </c>
      <c r="DI52" s="2">
        <f t="shared" si="1270"/>
        <v>0</v>
      </c>
      <c r="DJ52" s="2">
        <f t="shared" si="1271"/>
        <v>0</v>
      </c>
      <c r="DK52" s="2">
        <f t="shared" si="1272"/>
        <v>0</v>
      </c>
      <c r="DL52" s="2">
        <f t="shared" si="1181"/>
        <v>1</v>
      </c>
      <c r="DM52" s="2">
        <f t="shared" si="1273"/>
        <v>5</v>
      </c>
      <c r="DN52" s="2">
        <f t="shared" si="1274"/>
        <v>0</v>
      </c>
      <c r="DO52" s="2">
        <f t="shared" si="1275"/>
        <v>2</v>
      </c>
      <c r="DP52" s="2">
        <f t="shared" si="1182"/>
        <v>0</v>
      </c>
      <c r="DQ52" s="2">
        <f t="shared" si="1276"/>
        <v>11</v>
      </c>
      <c r="DR52" s="2"/>
      <c r="DS52" s="2"/>
      <c r="DT52" s="2">
        <f t="shared" si="1277"/>
        <v>0</v>
      </c>
      <c r="DU52" s="41">
        <f>CS52-'Zusammenfassung Tag1-4'!$E$2/18</f>
        <v>4</v>
      </c>
      <c r="DV52" s="14">
        <f t="shared" si="1278"/>
        <v>170</v>
      </c>
      <c r="DW52" s="53">
        <v>10</v>
      </c>
      <c r="DX52" s="2">
        <v>16</v>
      </c>
      <c r="DY52" s="56">
        <v>1</v>
      </c>
      <c r="DZ52" s="2">
        <f t="shared" si="1279"/>
        <v>89</v>
      </c>
      <c r="EA52" s="2">
        <f t="shared" si="1183"/>
        <v>0</v>
      </c>
      <c r="EB52" s="2">
        <f t="shared" si="1280"/>
        <v>0</v>
      </c>
      <c r="EC52" s="2">
        <f t="shared" si="1184"/>
        <v>0</v>
      </c>
      <c r="ED52" s="2">
        <f t="shared" si="1281"/>
        <v>0</v>
      </c>
      <c r="EE52" s="2"/>
      <c r="EF52" s="2">
        <f t="shared" si="1185"/>
        <v>0</v>
      </c>
      <c r="EG52" s="2">
        <f t="shared" si="1282"/>
        <v>0</v>
      </c>
      <c r="EH52" s="2">
        <f t="shared" si="1283"/>
        <v>0</v>
      </c>
      <c r="EI52" s="2">
        <f t="shared" si="1284"/>
        <v>0</v>
      </c>
      <c r="EJ52" s="2">
        <f t="shared" si="1285"/>
        <v>0</v>
      </c>
      <c r="EK52" s="2">
        <f t="shared" si="1286"/>
        <v>0</v>
      </c>
      <c r="EL52" s="2">
        <f t="shared" si="1287"/>
        <v>1</v>
      </c>
      <c r="EM52" s="2">
        <f t="shared" si="1288"/>
        <v>3</v>
      </c>
      <c r="EN52" s="2">
        <f t="shared" si="1289"/>
        <v>0</v>
      </c>
      <c r="EO52" s="2">
        <f t="shared" si="1290"/>
        <v>0</v>
      </c>
      <c r="EP52" s="2">
        <f t="shared" si="1186"/>
        <v>1</v>
      </c>
      <c r="EQ52" s="2">
        <f t="shared" si="1291"/>
        <v>3</v>
      </c>
      <c r="ER52" s="2">
        <f t="shared" si="1292"/>
        <v>0</v>
      </c>
      <c r="ES52" s="2">
        <f t="shared" si="1293"/>
        <v>1</v>
      </c>
      <c r="ET52" s="2">
        <f t="shared" si="1187"/>
        <v>0</v>
      </c>
      <c r="EU52" s="2">
        <f t="shared" si="1294"/>
        <v>13</v>
      </c>
      <c r="EV52" s="2"/>
      <c r="EW52" s="2"/>
      <c r="EX52" s="2">
        <f t="shared" si="1295"/>
        <v>5</v>
      </c>
      <c r="EY52" s="41">
        <f>DW52-'Zusammenfassung Tag1-4'!$F$2/18</f>
        <v>7.5</v>
      </c>
      <c r="EZ52" s="14">
        <f t="shared" si="1296"/>
        <v>181.5</v>
      </c>
      <c r="FA52" s="53">
        <v>7</v>
      </c>
      <c r="FB52" s="2">
        <v>222</v>
      </c>
      <c r="FC52" s="56">
        <v>3</v>
      </c>
      <c r="FD52" s="2">
        <f t="shared" si="1297"/>
        <v>76</v>
      </c>
      <c r="FE52" s="2">
        <f t="shared" si="1188"/>
        <v>0</v>
      </c>
      <c r="FF52" s="2">
        <f t="shared" si="1298"/>
        <v>6</v>
      </c>
      <c r="FG52" s="2">
        <f t="shared" si="1189"/>
        <v>0</v>
      </c>
      <c r="FH52" s="2">
        <f t="shared" si="1299"/>
        <v>4</v>
      </c>
      <c r="FI52" s="2"/>
      <c r="FJ52" s="2">
        <f t="shared" si="1190"/>
        <v>0</v>
      </c>
      <c r="FK52" s="2">
        <f t="shared" si="1300"/>
        <v>0</v>
      </c>
      <c r="FL52" s="2">
        <f t="shared" si="1301"/>
        <v>0</v>
      </c>
      <c r="FM52" s="2">
        <f t="shared" si="1302"/>
        <v>0</v>
      </c>
      <c r="FN52" s="2">
        <f t="shared" si="1303"/>
        <v>0</v>
      </c>
      <c r="FO52" s="2">
        <f t="shared" si="1304"/>
        <v>2</v>
      </c>
      <c r="FP52" s="2">
        <f t="shared" si="1305"/>
        <v>1</v>
      </c>
      <c r="FQ52" s="2">
        <f t="shared" si="1306"/>
        <v>1</v>
      </c>
      <c r="FR52" s="2">
        <f t="shared" si="1307"/>
        <v>0</v>
      </c>
      <c r="FS52" s="2">
        <f t="shared" si="1308"/>
        <v>0</v>
      </c>
      <c r="FT52" s="2">
        <f t="shared" si="1191"/>
        <v>0</v>
      </c>
      <c r="FU52" s="2">
        <f t="shared" si="1309"/>
        <v>11</v>
      </c>
      <c r="FV52" s="2">
        <f t="shared" si="1310"/>
        <v>0</v>
      </c>
      <c r="FW52" s="2">
        <f t="shared" si="1311"/>
        <v>2</v>
      </c>
      <c r="FX52" s="2">
        <f t="shared" si="1192"/>
        <v>1</v>
      </c>
      <c r="FY52" s="2">
        <f t="shared" si="1312"/>
        <v>9</v>
      </c>
      <c r="FZ52" s="2"/>
      <c r="GA52" s="2"/>
      <c r="GB52" s="2">
        <f t="shared" si="1313"/>
        <v>2</v>
      </c>
      <c r="GC52" s="41">
        <f>FA52-'Zusammenfassung Tag1-4'!$G$2/18</f>
        <v>5.7222222222222223</v>
      </c>
      <c r="GD52" s="14">
        <f t="shared" si="1314"/>
        <v>168.1666666666668</v>
      </c>
      <c r="GE52" s="53">
        <v>8</v>
      </c>
      <c r="GF52" s="2">
        <v>286</v>
      </c>
      <c r="GG52" s="56">
        <v>2</v>
      </c>
      <c r="GH52" s="2">
        <f t="shared" si="1315"/>
        <v>78</v>
      </c>
      <c r="GI52" s="2">
        <f t="shared" si="1193"/>
        <v>0</v>
      </c>
      <c r="GJ52" s="2">
        <f t="shared" si="1316"/>
        <v>1</v>
      </c>
      <c r="GK52" s="2">
        <f t="shared" si="1194"/>
        <v>0</v>
      </c>
      <c r="GL52" s="2">
        <f t="shared" si="1317"/>
        <v>1</v>
      </c>
      <c r="GM52" s="2"/>
      <c r="GN52" s="2">
        <f t="shared" si="1195"/>
        <v>0</v>
      </c>
      <c r="GO52" s="2">
        <f t="shared" si="1318"/>
        <v>0</v>
      </c>
      <c r="GP52" s="2">
        <f t="shared" si="1319"/>
        <v>0</v>
      </c>
      <c r="GQ52" s="2">
        <f t="shared" si="1320"/>
        <v>0</v>
      </c>
      <c r="GR52" s="2">
        <f t="shared" si="1321"/>
        <v>0</v>
      </c>
      <c r="GS52" s="2">
        <f t="shared" si="1322"/>
        <v>1</v>
      </c>
      <c r="GT52" s="2">
        <f t="shared" si="1323"/>
        <v>1</v>
      </c>
      <c r="GU52" s="2">
        <f t="shared" si="1324"/>
        <v>2</v>
      </c>
      <c r="GV52" s="2">
        <f t="shared" si="1325"/>
        <v>0</v>
      </c>
      <c r="GW52" s="2">
        <f t="shared" si="1326"/>
        <v>0</v>
      </c>
      <c r="GX52" s="2">
        <f t="shared" si="1196"/>
        <v>0</v>
      </c>
      <c r="GY52" s="2">
        <f t="shared" si="1327"/>
        <v>6</v>
      </c>
      <c r="GZ52" s="2">
        <f t="shared" si="1328"/>
        <v>1</v>
      </c>
      <c r="HA52" s="2">
        <f t="shared" si="1329"/>
        <v>3</v>
      </c>
      <c r="HB52" s="2">
        <f t="shared" si="1197"/>
        <v>0</v>
      </c>
      <c r="HC52" s="2">
        <f t="shared" si="1330"/>
        <v>6</v>
      </c>
      <c r="HD52" s="2"/>
      <c r="HE52" s="2"/>
      <c r="HF52" s="2">
        <f t="shared" si="1331"/>
        <v>3</v>
      </c>
      <c r="HG52" s="41">
        <f>GE52-'Zusammenfassung Tag1-4'!$H$2/18</f>
        <v>6.2222222222222223</v>
      </c>
      <c r="HH52" s="14">
        <f t="shared" si="1332"/>
        <v>187.66666666666683</v>
      </c>
      <c r="HI52" s="53">
        <v>5</v>
      </c>
      <c r="HJ52" s="2">
        <v>207</v>
      </c>
      <c r="HK52" s="56">
        <v>2</v>
      </c>
      <c r="HL52" s="2">
        <f t="shared" si="1333"/>
        <v>79</v>
      </c>
      <c r="HM52" s="2">
        <f t="shared" si="1198"/>
        <v>1</v>
      </c>
      <c r="HN52" s="2">
        <f t="shared" si="1334"/>
        <v>7</v>
      </c>
      <c r="HO52" s="2">
        <f t="shared" si="1199"/>
        <v>0</v>
      </c>
      <c r="HP52" s="2">
        <f t="shared" si="1335"/>
        <v>3</v>
      </c>
      <c r="HQ52" s="2"/>
      <c r="HR52" s="2">
        <f t="shared" si="1200"/>
        <v>0</v>
      </c>
      <c r="HS52" s="2">
        <f t="shared" si="1336"/>
        <v>0</v>
      </c>
      <c r="HT52" s="2">
        <f t="shared" si="1337"/>
        <v>1</v>
      </c>
      <c r="HU52" s="2">
        <f t="shared" si="1338"/>
        <v>2</v>
      </c>
      <c r="HV52" s="2">
        <f t="shared" si="1339"/>
        <v>0</v>
      </c>
      <c r="HW52" s="2">
        <f t="shared" si="1340"/>
        <v>1</v>
      </c>
      <c r="HX52" s="2">
        <f t="shared" si="1341"/>
        <v>0</v>
      </c>
      <c r="HY52" s="2">
        <f t="shared" si="1342"/>
        <v>0</v>
      </c>
      <c r="HZ52" s="2">
        <f t="shared" si="1343"/>
        <v>0</v>
      </c>
      <c r="IA52" s="2">
        <f t="shared" si="1344"/>
        <v>0</v>
      </c>
      <c r="IB52" s="2">
        <f t="shared" si="1201"/>
        <v>0</v>
      </c>
      <c r="IC52" s="2">
        <f t="shared" si="1345"/>
        <v>6</v>
      </c>
      <c r="ID52" s="2">
        <f t="shared" si="1346"/>
        <v>1</v>
      </c>
      <c r="IE52" s="2">
        <f t="shared" si="1347"/>
        <v>3</v>
      </c>
      <c r="IF52" s="2">
        <f t="shared" si="1202"/>
        <v>0</v>
      </c>
      <c r="IG52" s="2">
        <f t="shared" si="1348"/>
        <v>7</v>
      </c>
      <c r="IH52" s="2"/>
      <c r="II52" s="2"/>
      <c r="IJ52" s="2">
        <f t="shared" si="1349"/>
        <v>0</v>
      </c>
      <c r="IK52" s="41">
        <f>HI52-'Zusammenfassung Tag1-4'!$I$2/18</f>
        <v>4.1111111111111107</v>
      </c>
      <c r="IL52" s="14">
        <f t="shared" si="1350"/>
        <v>179.33333333333343</v>
      </c>
      <c r="IM52" s="53">
        <v>9</v>
      </c>
      <c r="IN52" s="2">
        <v>26</v>
      </c>
      <c r="IO52" s="56">
        <v>3</v>
      </c>
      <c r="IP52" s="2">
        <f t="shared" si="1351"/>
        <v>96</v>
      </c>
      <c r="IQ52" s="2">
        <f t="shared" si="1203"/>
        <v>0</v>
      </c>
      <c r="IR52" s="2">
        <f t="shared" si="1352"/>
        <v>6</v>
      </c>
      <c r="IS52" s="2">
        <f t="shared" si="1204"/>
        <v>0</v>
      </c>
      <c r="IT52" s="2">
        <f t="shared" si="1353"/>
        <v>0</v>
      </c>
      <c r="IU52" s="2"/>
      <c r="IV52" s="2">
        <f t="shared" si="1205"/>
        <v>0</v>
      </c>
      <c r="IW52" s="2">
        <f t="shared" si="1354"/>
        <v>0</v>
      </c>
      <c r="IX52" s="2">
        <f t="shared" si="1355"/>
        <v>0</v>
      </c>
      <c r="IY52" s="2">
        <f t="shared" si="1356"/>
        <v>0</v>
      </c>
      <c r="IZ52" s="2">
        <f t="shared" si="1357"/>
        <v>0</v>
      </c>
      <c r="JA52" s="2">
        <f t="shared" si="1358"/>
        <v>0</v>
      </c>
      <c r="JB52" s="2">
        <f t="shared" si="1359"/>
        <v>1</v>
      </c>
      <c r="JC52" s="2">
        <f t="shared" si="1360"/>
        <v>3</v>
      </c>
      <c r="JD52" s="2">
        <f t="shared" si="1361"/>
        <v>0</v>
      </c>
      <c r="JE52" s="2">
        <f t="shared" si="1362"/>
        <v>0</v>
      </c>
      <c r="JF52" s="2">
        <f t="shared" si="1206"/>
        <v>0</v>
      </c>
      <c r="JG52" s="2">
        <f t="shared" si="1363"/>
        <v>4</v>
      </c>
      <c r="JH52" s="2">
        <f t="shared" si="1364"/>
        <v>0</v>
      </c>
      <c r="JI52" s="2">
        <f t="shared" si="1365"/>
        <v>1</v>
      </c>
      <c r="JJ52" s="2">
        <f t="shared" si="1207"/>
        <v>1</v>
      </c>
      <c r="JK52" s="2">
        <f t="shared" si="1366"/>
        <v>17</v>
      </c>
      <c r="JL52" s="2"/>
      <c r="JM52" s="2"/>
      <c r="JN52" s="2">
        <f t="shared" si="1367"/>
        <v>4</v>
      </c>
      <c r="JO52" s="41">
        <f>IM52-'Zusammenfassung Tag1-4'!$J$2/18</f>
        <v>6.6666666666666661</v>
      </c>
      <c r="JP52" s="14">
        <f t="shared" si="1368"/>
        <v>180.99999999999994</v>
      </c>
      <c r="JQ52" s="53"/>
      <c r="JR52" s="2"/>
      <c r="JS52" s="56"/>
      <c r="JT52" s="2">
        <f t="shared" si="1369"/>
        <v>0</v>
      </c>
      <c r="JU52" s="2">
        <f t="shared" si="1208"/>
        <v>1</v>
      </c>
      <c r="JV52" s="2">
        <f t="shared" si="1370"/>
        <v>39</v>
      </c>
      <c r="JW52" s="2">
        <f t="shared" si="1209"/>
        <v>0</v>
      </c>
      <c r="JX52" s="2">
        <f t="shared" si="1371"/>
        <v>0</v>
      </c>
      <c r="JY52" s="2"/>
      <c r="JZ52" s="2">
        <f t="shared" si="1210"/>
        <v>0</v>
      </c>
      <c r="KA52" s="2">
        <f t="shared" si="1372"/>
        <v>0</v>
      </c>
      <c r="KB52" s="2">
        <f t="shared" si="1373"/>
        <v>0</v>
      </c>
      <c r="KC52" s="2">
        <f t="shared" si="1374"/>
        <v>0</v>
      </c>
      <c r="KD52" s="2">
        <f t="shared" si="1375"/>
        <v>0</v>
      </c>
      <c r="KE52" s="2">
        <f t="shared" si="1376"/>
        <v>0</v>
      </c>
      <c r="KF52" s="2">
        <f t="shared" si="1377"/>
        <v>0</v>
      </c>
      <c r="KG52" s="2">
        <f t="shared" si="1378"/>
        <v>0</v>
      </c>
      <c r="KH52" s="2">
        <f t="shared" si="1379"/>
        <v>1</v>
      </c>
      <c r="KI52" s="2">
        <f t="shared" si="1380"/>
        <v>3</v>
      </c>
      <c r="KJ52" s="2">
        <f t="shared" si="1211"/>
        <v>0</v>
      </c>
      <c r="KK52" s="2">
        <f t="shared" si="1381"/>
        <v>0</v>
      </c>
      <c r="KL52" s="2">
        <f t="shared" si="1382"/>
        <v>0</v>
      </c>
      <c r="KM52" s="2">
        <f t="shared" si="1383"/>
        <v>0</v>
      </c>
      <c r="KN52" s="2">
        <f t="shared" si="1212"/>
        <v>0</v>
      </c>
      <c r="KO52" s="2">
        <f t="shared" si="1384"/>
        <v>0</v>
      </c>
      <c r="KP52" s="2"/>
      <c r="KQ52" s="2"/>
      <c r="KR52" s="2">
        <f t="shared" si="1385"/>
        <v>-5</v>
      </c>
      <c r="KS52" s="41" t="e">
        <f>JQ52-'Zusammenfassung Tag1-4'!#REF!/18</f>
        <v>#REF!</v>
      </c>
      <c r="KT52" s="14" t="e">
        <f t="shared" si="1386"/>
        <v>#REF!</v>
      </c>
    </row>
    <row r="53" spans="1:306" ht="13.2" x14ac:dyDescent="0.25">
      <c r="A53" s="179"/>
      <c r="B53" s="176"/>
      <c r="C53" s="44">
        <v>4</v>
      </c>
      <c r="D53" s="2">
        <f t="shared" si="1387"/>
        <v>40</v>
      </c>
      <c r="E53" s="44">
        <v>4</v>
      </c>
      <c r="F53" s="4">
        <f t="shared" si="1213"/>
        <v>162</v>
      </c>
      <c r="G53" s="53">
        <v>4</v>
      </c>
      <c r="H53" s="2">
        <f t="shared" si="1388"/>
        <v>195</v>
      </c>
      <c r="I53" s="56">
        <v>1</v>
      </c>
      <c r="J53" s="2">
        <f t="shared" si="1214"/>
        <v>76</v>
      </c>
      <c r="K53" s="2">
        <f t="shared" si="1158"/>
        <v>0</v>
      </c>
      <c r="L53" s="2">
        <f t="shared" si="1215"/>
        <v>12</v>
      </c>
      <c r="M53" s="2">
        <f t="shared" si="1159"/>
        <v>1</v>
      </c>
      <c r="N53" s="2">
        <f t="shared" si="1216"/>
        <v>6</v>
      </c>
      <c r="O53" s="2"/>
      <c r="P53" s="2">
        <f t="shared" si="1160"/>
        <v>0</v>
      </c>
      <c r="Q53" s="2">
        <f t="shared" si="1217"/>
        <v>2</v>
      </c>
      <c r="R53" s="2">
        <f t="shared" si="1161"/>
        <v>1</v>
      </c>
      <c r="S53" s="2">
        <f t="shared" si="1218"/>
        <v>1</v>
      </c>
      <c r="T53" s="2">
        <f t="shared" si="1162"/>
        <v>0</v>
      </c>
      <c r="U53" s="2">
        <f t="shared" si="1219"/>
        <v>2</v>
      </c>
      <c r="V53" s="2">
        <f t="shared" si="1163"/>
        <v>0</v>
      </c>
      <c r="W53" s="2">
        <f t="shared" si="1220"/>
        <v>1</v>
      </c>
      <c r="X53" s="2">
        <f t="shared" si="1164"/>
        <v>0</v>
      </c>
      <c r="Y53" s="2">
        <f t="shared" si="1221"/>
        <v>0</v>
      </c>
      <c r="Z53" s="2">
        <f t="shared" si="1165"/>
        <v>1</v>
      </c>
      <c r="AA53" s="2">
        <f t="shared" si="1222"/>
        <v>8</v>
      </c>
      <c r="AB53" s="2">
        <f t="shared" si="1166"/>
        <v>0</v>
      </c>
      <c r="AC53" s="2">
        <f t="shared" si="1223"/>
        <v>1</v>
      </c>
      <c r="AD53" s="2">
        <f t="shared" si="1167"/>
        <v>0</v>
      </c>
      <c r="AE53" s="2">
        <f t="shared" si="1224"/>
        <v>5</v>
      </c>
      <c r="AF53" s="2"/>
      <c r="AG53" s="2">
        <f>IF($E53=4,G53-4,NA())</f>
        <v>0</v>
      </c>
      <c r="AH53" s="2"/>
      <c r="AI53" s="41">
        <f>G53-'Zusammenfassung Tag1-4'!$B$2/18</f>
        <v>3.1666666666666665</v>
      </c>
      <c r="AJ53" s="13">
        <f t="shared" si="1225"/>
        <v>161.66666666666663</v>
      </c>
      <c r="AK53" s="53">
        <v>4</v>
      </c>
      <c r="AL53" s="2">
        <f t="shared" si="1389"/>
        <v>197</v>
      </c>
      <c r="AM53" s="56">
        <v>2</v>
      </c>
      <c r="AN53" s="2">
        <f t="shared" si="1226"/>
        <v>75</v>
      </c>
      <c r="AO53" s="2">
        <f t="shared" si="1168"/>
        <v>1</v>
      </c>
      <c r="AP53" s="2">
        <f t="shared" si="1227"/>
        <v>17</v>
      </c>
      <c r="AQ53" s="2">
        <f t="shared" si="1169"/>
        <v>0</v>
      </c>
      <c r="AR53" s="2">
        <f t="shared" si="1228"/>
        <v>5</v>
      </c>
      <c r="AS53" s="2"/>
      <c r="AT53" s="2">
        <f t="shared" si="1170"/>
        <v>0</v>
      </c>
      <c r="AU53" s="2">
        <f t="shared" si="1229"/>
        <v>0</v>
      </c>
      <c r="AV53" s="2">
        <f t="shared" si="1230"/>
        <v>1</v>
      </c>
      <c r="AW53" s="2">
        <f t="shared" si="1231"/>
        <v>1</v>
      </c>
      <c r="AX53" s="2">
        <f t="shared" si="1232"/>
        <v>0</v>
      </c>
      <c r="AY53" s="2">
        <f t="shared" si="1233"/>
        <v>2</v>
      </c>
      <c r="AZ53" s="2">
        <f t="shared" si="1234"/>
        <v>0</v>
      </c>
      <c r="BA53" s="2">
        <f t="shared" si="1235"/>
        <v>1</v>
      </c>
      <c r="BB53" s="2">
        <f t="shared" si="1236"/>
        <v>0</v>
      </c>
      <c r="BC53" s="2">
        <f t="shared" si="1237"/>
        <v>0</v>
      </c>
      <c r="BD53" s="2">
        <f t="shared" si="1171"/>
        <v>0</v>
      </c>
      <c r="BE53" s="2">
        <f t="shared" si="1238"/>
        <v>9</v>
      </c>
      <c r="BF53" s="2">
        <f t="shared" si="1239"/>
        <v>1</v>
      </c>
      <c r="BG53" s="2">
        <f t="shared" si="1240"/>
        <v>2</v>
      </c>
      <c r="BH53" s="2">
        <f t="shared" si="1172"/>
        <v>0</v>
      </c>
      <c r="BI53" s="2">
        <f t="shared" si="1241"/>
        <v>4</v>
      </c>
      <c r="BJ53" s="2"/>
      <c r="BK53" s="2">
        <f t="shared" ref="BK53:BK54" si="1392">IF($E53=4,AK53-4,NA())</f>
        <v>0</v>
      </c>
      <c r="BL53" s="2"/>
      <c r="BM53" s="41">
        <f>AK53-'Zusammenfassung Tag1-4'!$C$2/18</f>
        <v>3.4444444444444446</v>
      </c>
      <c r="BN53" s="13">
        <f t="shared" si="1243"/>
        <v>174.77777777777789</v>
      </c>
      <c r="BO53" s="53">
        <v>5</v>
      </c>
      <c r="BP53" s="2">
        <f t="shared" si="1390"/>
        <v>233</v>
      </c>
      <c r="BQ53" s="56">
        <v>3</v>
      </c>
      <c r="BR53" s="2">
        <f t="shared" si="1244"/>
        <v>92</v>
      </c>
      <c r="BS53" s="2">
        <f t="shared" si="1173"/>
        <v>1</v>
      </c>
      <c r="BT53" s="2">
        <f t="shared" si="1245"/>
        <v>9</v>
      </c>
      <c r="BU53" s="2">
        <f t="shared" si="1174"/>
        <v>0</v>
      </c>
      <c r="BV53" s="2">
        <f t="shared" si="1246"/>
        <v>0</v>
      </c>
      <c r="BW53" s="2"/>
      <c r="BX53" s="2">
        <f t="shared" si="1175"/>
        <v>0</v>
      </c>
      <c r="BY53" s="2">
        <f t="shared" si="1247"/>
        <v>0</v>
      </c>
      <c r="BZ53" s="2">
        <f t="shared" si="1248"/>
        <v>0</v>
      </c>
      <c r="CA53" s="2">
        <f t="shared" si="1249"/>
        <v>0</v>
      </c>
      <c r="CB53" s="2">
        <f t="shared" si="1250"/>
        <v>1</v>
      </c>
      <c r="CC53" s="2">
        <f t="shared" si="1251"/>
        <v>2</v>
      </c>
      <c r="CD53" s="2">
        <f t="shared" si="1252"/>
        <v>0</v>
      </c>
      <c r="CE53" s="2">
        <f t="shared" si="1253"/>
        <v>2</v>
      </c>
      <c r="CF53" s="2">
        <f t="shared" si="1254"/>
        <v>0</v>
      </c>
      <c r="CG53" s="2">
        <f t="shared" si="1247"/>
        <v>0</v>
      </c>
      <c r="CH53" s="2">
        <f t="shared" si="1176"/>
        <v>0</v>
      </c>
      <c r="CI53" s="2">
        <f t="shared" si="1255"/>
        <v>1</v>
      </c>
      <c r="CJ53" s="2">
        <f t="shared" si="1256"/>
        <v>0</v>
      </c>
      <c r="CK53" s="2">
        <f t="shared" si="1257"/>
        <v>2</v>
      </c>
      <c r="CL53" s="2">
        <f t="shared" si="1177"/>
        <v>1</v>
      </c>
      <c r="CM53" s="2">
        <f t="shared" si="1258"/>
        <v>13</v>
      </c>
      <c r="CN53" s="2"/>
      <c r="CO53" s="2">
        <f t="shared" ref="CO53:CO54" si="1393">IF($E53=4,BO53-4,NA())</f>
        <v>1</v>
      </c>
      <c r="CP53" s="2"/>
      <c r="CQ53" s="41">
        <f>BO53-'Zusammenfassung Tag1-4'!$D$2/18</f>
        <v>3.9444444444444446</v>
      </c>
      <c r="CR53" s="13">
        <f t="shared" si="1260"/>
        <v>190.77777777777791</v>
      </c>
      <c r="CS53" s="53">
        <v>4</v>
      </c>
      <c r="CT53" s="2">
        <f t="shared" si="1391"/>
        <v>213</v>
      </c>
      <c r="CU53" s="56">
        <v>2</v>
      </c>
      <c r="CV53" s="2">
        <f t="shared" si="1261"/>
        <v>87</v>
      </c>
      <c r="CW53" s="2">
        <f t="shared" si="1178"/>
        <v>1</v>
      </c>
      <c r="CX53" s="2">
        <f t="shared" si="1262"/>
        <v>13</v>
      </c>
      <c r="CY53" s="2">
        <f t="shared" si="1179"/>
        <v>0</v>
      </c>
      <c r="CZ53" s="2">
        <f t="shared" si="1263"/>
        <v>2</v>
      </c>
      <c r="DA53" s="2"/>
      <c r="DB53" s="2">
        <f t="shared" si="1180"/>
        <v>0</v>
      </c>
      <c r="DC53" s="2">
        <f t="shared" si="1264"/>
        <v>0</v>
      </c>
      <c r="DD53" s="2">
        <f t="shared" si="1265"/>
        <v>1</v>
      </c>
      <c r="DE53" s="2">
        <f t="shared" si="1266"/>
        <v>3</v>
      </c>
      <c r="DF53" s="2">
        <f t="shared" si="1267"/>
        <v>0</v>
      </c>
      <c r="DG53" s="2">
        <f t="shared" si="1268"/>
        <v>1</v>
      </c>
      <c r="DH53" s="2">
        <f t="shared" si="1269"/>
        <v>0</v>
      </c>
      <c r="DI53" s="2">
        <f t="shared" si="1270"/>
        <v>0</v>
      </c>
      <c r="DJ53" s="2">
        <f t="shared" si="1271"/>
        <v>0</v>
      </c>
      <c r="DK53" s="2">
        <f t="shared" si="1272"/>
        <v>0</v>
      </c>
      <c r="DL53" s="2">
        <f t="shared" si="1181"/>
        <v>0</v>
      </c>
      <c r="DM53" s="2">
        <f t="shared" si="1273"/>
        <v>5</v>
      </c>
      <c r="DN53" s="2">
        <f t="shared" si="1274"/>
        <v>1</v>
      </c>
      <c r="DO53" s="2">
        <f t="shared" si="1275"/>
        <v>3</v>
      </c>
      <c r="DP53" s="2">
        <f t="shared" si="1182"/>
        <v>0</v>
      </c>
      <c r="DQ53" s="2">
        <f t="shared" si="1276"/>
        <v>11</v>
      </c>
      <c r="DR53" s="2"/>
      <c r="DS53" s="2">
        <f t="shared" ref="DS53:DS54" si="1394">IF($E53=4,CS53-4,NA())</f>
        <v>0</v>
      </c>
      <c r="DT53" s="2"/>
      <c r="DU53" s="41">
        <f>CS53-'Zusammenfassung Tag1-4'!$E$2/18</f>
        <v>3</v>
      </c>
      <c r="DV53" s="14">
        <f t="shared" si="1278"/>
        <v>173</v>
      </c>
      <c r="DW53" s="53">
        <v>9</v>
      </c>
      <c r="DX53" s="2">
        <v>23</v>
      </c>
      <c r="DY53" s="56">
        <v>1</v>
      </c>
      <c r="DZ53" s="2">
        <f t="shared" si="1279"/>
        <v>90</v>
      </c>
      <c r="EA53" s="2">
        <f t="shared" si="1183"/>
        <v>0</v>
      </c>
      <c r="EB53" s="2">
        <f t="shared" si="1280"/>
        <v>0</v>
      </c>
      <c r="EC53" s="2">
        <f t="shared" si="1184"/>
        <v>0</v>
      </c>
      <c r="ED53" s="2">
        <f t="shared" si="1281"/>
        <v>0</v>
      </c>
      <c r="EE53" s="2"/>
      <c r="EF53" s="2">
        <f t="shared" si="1185"/>
        <v>0</v>
      </c>
      <c r="EG53" s="2">
        <f t="shared" si="1282"/>
        <v>0</v>
      </c>
      <c r="EH53" s="2">
        <f t="shared" si="1283"/>
        <v>0</v>
      </c>
      <c r="EI53" s="2">
        <f t="shared" si="1284"/>
        <v>0</v>
      </c>
      <c r="EJ53" s="2">
        <f t="shared" si="1285"/>
        <v>0</v>
      </c>
      <c r="EK53" s="2">
        <f t="shared" si="1286"/>
        <v>0</v>
      </c>
      <c r="EL53" s="2">
        <f t="shared" si="1287"/>
        <v>1</v>
      </c>
      <c r="EM53" s="2">
        <f t="shared" si="1288"/>
        <v>4</v>
      </c>
      <c r="EN53" s="2">
        <f t="shared" si="1289"/>
        <v>0</v>
      </c>
      <c r="EO53" s="2">
        <f t="shared" si="1290"/>
        <v>0</v>
      </c>
      <c r="EP53" s="2">
        <f t="shared" si="1186"/>
        <v>1</v>
      </c>
      <c r="EQ53" s="2">
        <f t="shared" si="1291"/>
        <v>4</v>
      </c>
      <c r="ER53" s="2">
        <f t="shared" si="1292"/>
        <v>0</v>
      </c>
      <c r="ES53" s="2">
        <f t="shared" si="1293"/>
        <v>1</v>
      </c>
      <c r="ET53" s="2">
        <f t="shared" si="1187"/>
        <v>0</v>
      </c>
      <c r="EU53" s="2">
        <f t="shared" si="1294"/>
        <v>13</v>
      </c>
      <c r="EV53" s="2"/>
      <c r="EW53" s="2">
        <f t="shared" ref="EW53:EW54" si="1395">IF($E53=4,DW53-4,NA())</f>
        <v>5</v>
      </c>
      <c r="EX53" s="2"/>
      <c r="EY53" s="41">
        <f>DW53-'Zusammenfassung Tag1-4'!$F$2/18</f>
        <v>6.5</v>
      </c>
      <c r="EZ53" s="14">
        <f t="shared" si="1296"/>
        <v>188</v>
      </c>
      <c r="FA53" s="53">
        <v>6</v>
      </c>
      <c r="FB53" s="2">
        <v>227</v>
      </c>
      <c r="FC53" s="56">
        <v>2</v>
      </c>
      <c r="FD53" s="2">
        <f t="shared" si="1297"/>
        <v>78</v>
      </c>
      <c r="FE53" s="2">
        <f t="shared" si="1188"/>
        <v>0</v>
      </c>
      <c r="FF53" s="2">
        <f t="shared" si="1298"/>
        <v>6</v>
      </c>
      <c r="FG53" s="2">
        <f t="shared" si="1189"/>
        <v>0</v>
      </c>
      <c r="FH53" s="2">
        <f t="shared" si="1299"/>
        <v>4</v>
      </c>
      <c r="FI53" s="2"/>
      <c r="FJ53" s="2">
        <f t="shared" si="1190"/>
        <v>0</v>
      </c>
      <c r="FK53" s="2">
        <f t="shared" si="1300"/>
        <v>0</v>
      </c>
      <c r="FL53" s="2">
        <f t="shared" si="1301"/>
        <v>0</v>
      </c>
      <c r="FM53" s="2">
        <f t="shared" si="1302"/>
        <v>0</v>
      </c>
      <c r="FN53" s="2">
        <f t="shared" si="1303"/>
        <v>0</v>
      </c>
      <c r="FO53" s="2">
        <f t="shared" si="1304"/>
        <v>2</v>
      </c>
      <c r="FP53" s="2">
        <f t="shared" si="1305"/>
        <v>1</v>
      </c>
      <c r="FQ53" s="2">
        <f t="shared" si="1306"/>
        <v>2</v>
      </c>
      <c r="FR53" s="2">
        <f t="shared" si="1307"/>
        <v>0</v>
      </c>
      <c r="FS53" s="2">
        <f t="shared" si="1308"/>
        <v>0</v>
      </c>
      <c r="FT53" s="2">
        <f t="shared" si="1191"/>
        <v>0</v>
      </c>
      <c r="FU53" s="2">
        <f t="shared" si="1309"/>
        <v>11</v>
      </c>
      <c r="FV53" s="2">
        <f t="shared" si="1310"/>
        <v>1</v>
      </c>
      <c r="FW53" s="2">
        <f t="shared" si="1311"/>
        <v>3</v>
      </c>
      <c r="FX53" s="2">
        <f t="shared" si="1192"/>
        <v>0</v>
      </c>
      <c r="FY53" s="2">
        <f t="shared" si="1312"/>
        <v>9</v>
      </c>
      <c r="FZ53" s="2"/>
      <c r="GA53" s="2">
        <f t="shared" ref="GA53:GA54" si="1396">IF($E53=4,FA53-4,NA())</f>
        <v>2</v>
      </c>
      <c r="GB53" s="2"/>
      <c r="GC53" s="41">
        <f>FA53-'Zusammenfassung Tag1-4'!$G$2/18</f>
        <v>4.7222222222222223</v>
      </c>
      <c r="GD53" s="14">
        <f t="shared" si="1314"/>
        <v>172.88888888888903</v>
      </c>
      <c r="GE53" s="53">
        <v>8</v>
      </c>
      <c r="GF53" s="2">
        <v>293</v>
      </c>
      <c r="GG53" s="56">
        <v>2</v>
      </c>
      <c r="GH53" s="2">
        <f t="shared" si="1315"/>
        <v>80</v>
      </c>
      <c r="GI53" s="2">
        <f t="shared" si="1193"/>
        <v>0</v>
      </c>
      <c r="GJ53" s="2">
        <f t="shared" si="1316"/>
        <v>1</v>
      </c>
      <c r="GK53" s="2">
        <f t="shared" si="1194"/>
        <v>0</v>
      </c>
      <c r="GL53" s="2">
        <f t="shared" si="1317"/>
        <v>1</v>
      </c>
      <c r="GM53" s="2"/>
      <c r="GN53" s="2">
        <f t="shared" si="1195"/>
        <v>0</v>
      </c>
      <c r="GO53" s="2">
        <f t="shared" si="1318"/>
        <v>0</v>
      </c>
      <c r="GP53" s="2">
        <f t="shared" si="1319"/>
        <v>0</v>
      </c>
      <c r="GQ53" s="2">
        <f t="shared" si="1320"/>
        <v>0</v>
      </c>
      <c r="GR53" s="2">
        <f t="shared" si="1321"/>
        <v>0</v>
      </c>
      <c r="GS53" s="2">
        <f t="shared" si="1322"/>
        <v>1</v>
      </c>
      <c r="GT53" s="2">
        <f t="shared" si="1323"/>
        <v>1</v>
      </c>
      <c r="GU53" s="2">
        <f t="shared" si="1324"/>
        <v>3</v>
      </c>
      <c r="GV53" s="2">
        <f t="shared" si="1325"/>
        <v>0</v>
      </c>
      <c r="GW53" s="2">
        <f t="shared" si="1326"/>
        <v>0</v>
      </c>
      <c r="GX53" s="2">
        <f t="shared" si="1196"/>
        <v>0</v>
      </c>
      <c r="GY53" s="2">
        <f t="shared" si="1327"/>
        <v>6</v>
      </c>
      <c r="GZ53" s="2">
        <f t="shared" si="1328"/>
        <v>1</v>
      </c>
      <c r="HA53" s="2">
        <f t="shared" si="1329"/>
        <v>4</v>
      </c>
      <c r="HB53" s="2">
        <f t="shared" si="1197"/>
        <v>0</v>
      </c>
      <c r="HC53" s="2">
        <f t="shared" si="1330"/>
        <v>6</v>
      </c>
      <c r="HD53" s="2"/>
      <c r="HE53" s="2">
        <f t="shared" ref="HE53:HE54" si="1397">IF($E53=4,GE53-4,NA())</f>
        <v>4</v>
      </c>
      <c r="HF53" s="2"/>
      <c r="HG53" s="41">
        <f>GE53-'Zusammenfassung Tag1-4'!$H$2/18</f>
        <v>6.2222222222222223</v>
      </c>
      <c r="HH53" s="14">
        <f t="shared" si="1332"/>
        <v>193.88888888888906</v>
      </c>
      <c r="HI53" s="53">
        <v>4</v>
      </c>
      <c r="HJ53" s="2">
        <v>212</v>
      </c>
      <c r="HK53" s="56">
        <v>1</v>
      </c>
      <c r="HL53" s="2">
        <f t="shared" si="1333"/>
        <v>80</v>
      </c>
      <c r="HM53" s="2">
        <f t="shared" si="1198"/>
        <v>0</v>
      </c>
      <c r="HN53" s="2">
        <f t="shared" si="1334"/>
        <v>7</v>
      </c>
      <c r="HO53" s="2">
        <f t="shared" si="1199"/>
        <v>1</v>
      </c>
      <c r="HP53" s="2">
        <f t="shared" si="1335"/>
        <v>4</v>
      </c>
      <c r="HQ53" s="2"/>
      <c r="HR53" s="2">
        <f t="shared" si="1200"/>
        <v>0</v>
      </c>
      <c r="HS53" s="2">
        <f t="shared" si="1336"/>
        <v>0</v>
      </c>
      <c r="HT53" s="2">
        <f t="shared" si="1337"/>
        <v>1</v>
      </c>
      <c r="HU53" s="2">
        <f t="shared" si="1338"/>
        <v>3</v>
      </c>
      <c r="HV53" s="2">
        <f t="shared" si="1339"/>
        <v>0</v>
      </c>
      <c r="HW53" s="2">
        <f t="shared" si="1340"/>
        <v>1</v>
      </c>
      <c r="HX53" s="2">
        <f t="shared" si="1341"/>
        <v>0</v>
      </c>
      <c r="HY53" s="2">
        <f t="shared" si="1342"/>
        <v>0</v>
      </c>
      <c r="HZ53" s="2">
        <f t="shared" si="1343"/>
        <v>0</v>
      </c>
      <c r="IA53" s="2">
        <f t="shared" si="1344"/>
        <v>0</v>
      </c>
      <c r="IB53" s="2">
        <f t="shared" si="1201"/>
        <v>1</v>
      </c>
      <c r="IC53" s="2">
        <f t="shared" si="1345"/>
        <v>7</v>
      </c>
      <c r="ID53" s="2">
        <f t="shared" si="1346"/>
        <v>0</v>
      </c>
      <c r="IE53" s="2">
        <f t="shared" si="1347"/>
        <v>3</v>
      </c>
      <c r="IF53" s="2">
        <f t="shared" si="1202"/>
        <v>0</v>
      </c>
      <c r="IG53" s="2">
        <f t="shared" si="1348"/>
        <v>7</v>
      </c>
      <c r="IH53" s="2"/>
      <c r="II53" s="2">
        <f t="shared" ref="II53:II54" si="1398">IF($E53=4,HI53-4,NA())</f>
        <v>0</v>
      </c>
      <c r="IJ53" s="2"/>
      <c r="IK53" s="41">
        <f>HI53-'Zusammenfassung Tag1-4'!$I$2/18</f>
        <v>3.1111111111111112</v>
      </c>
      <c r="IL53" s="14">
        <f t="shared" si="1350"/>
        <v>182.44444444444454</v>
      </c>
      <c r="IM53" s="53">
        <v>5</v>
      </c>
      <c r="IN53" s="2">
        <v>36</v>
      </c>
      <c r="IO53" s="56">
        <v>3</v>
      </c>
      <c r="IP53" s="2">
        <f t="shared" si="1351"/>
        <v>99</v>
      </c>
      <c r="IQ53" s="2">
        <f t="shared" si="1203"/>
        <v>1</v>
      </c>
      <c r="IR53" s="2">
        <f t="shared" si="1352"/>
        <v>7</v>
      </c>
      <c r="IS53" s="2">
        <f t="shared" si="1204"/>
        <v>0</v>
      </c>
      <c r="IT53" s="2">
        <f t="shared" si="1353"/>
        <v>0</v>
      </c>
      <c r="IU53" s="2"/>
      <c r="IV53" s="2">
        <f t="shared" si="1205"/>
        <v>0</v>
      </c>
      <c r="IW53" s="2">
        <f t="shared" si="1354"/>
        <v>0</v>
      </c>
      <c r="IX53" s="2">
        <f t="shared" si="1355"/>
        <v>0</v>
      </c>
      <c r="IY53" s="2">
        <f t="shared" si="1356"/>
        <v>0</v>
      </c>
      <c r="IZ53" s="2">
        <f t="shared" si="1357"/>
        <v>1</v>
      </c>
      <c r="JA53" s="2">
        <f t="shared" si="1358"/>
        <v>1</v>
      </c>
      <c r="JB53" s="2">
        <f t="shared" si="1359"/>
        <v>0</v>
      </c>
      <c r="JC53" s="2">
        <f t="shared" si="1360"/>
        <v>3</v>
      </c>
      <c r="JD53" s="2">
        <f t="shared" si="1361"/>
        <v>0</v>
      </c>
      <c r="JE53" s="2">
        <f t="shared" si="1362"/>
        <v>0</v>
      </c>
      <c r="JF53" s="2">
        <f t="shared" si="1206"/>
        <v>0</v>
      </c>
      <c r="JG53" s="2">
        <f t="shared" si="1363"/>
        <v>4</v>
      </c>
      <c r="JH53" s="2">
        <f t="shared" si="1364"/>
        <v>0</v>
      </c>
      <c r="JI53" s="2">
        <f t="shared" si="1365"/>
        <v>1</v>
      </c>
      <c r="JJ53" s="2">
        <f t="shared" si="1207"/>
        <v>1</v>
      </c>
      <c r="JK53" s="2">
        <f t="shared" si="1366"/>
        <v>18</v>
      </c>
      <c r="JL53" s="2"/>
      <c r="JM53" s="2">
        <f t="shared" ref="JM53:JM54" si="1399">IF($E53=4,IM53-4,NA())</f>
        <v>1</v>
      </c>
      <c r="JN53" s="2"/>
      <c r="JO53" s="41">
        <f>IM53-'Zusammenfassung Tag1-4'!$J$2/18</f>
        <v>2.6666666666666665</v>
      </c>
      <c r="JP53" s="14">
        <f t="shared" si="1368"/>
        <v>183.6666666666666</v>
      </c>
      <c r="JQ53" s="53"/>
      <c r="JR53" s="2"/>
      <c r="JS53" s="56"/>
      <c r="JT53" s="2">
        <f t="shared" si="1369"/>
        <v>0</v>
      </c>
      <c r="JU53" s="2">
        <f t="shared" si="1208"/>
        <v>1</v>
      </c>
      <c r="JV53" s="2">
        <f t="shared" si="1370"/>
        <v>40</v>
      </c>
      <c r="JW53" s="2">
        <f t="shared" si="1209"/>
        <v>0</v>
      </c>
      <c r="JX53" s="2">
        <f t="shared" si="1371"/>
        <v>0</v>
      </c>
      <c r="JY53" s="2"/>
      <c r="JZ53" s="2">
        <f t="shared" si="1210"/>
        <v>0</v>
      </c>
      <c r="KA53" s="2">
        <f t="shared" si="1372"/>
        <v>0</v>
      </c>
      <c r="KB53" s="2">
        <f t="shared" si="1373"/>
        <v>0</v>
      </c>
      <c r="KC53" s="2">
        <f t="shared" si="1374"/>
        <v>0</v>
      </c>
      <c r="KD53" s="2">
        <f t="shared" si="1375"/>
        <v>0</v>
      </c>
      <c r="KE53" s="2">
        <f t="shared" si="1376"/>
        <v>0</v>
      </c>
      <c r="KF53" s="2">
        <f t="shared" si="1377"/>
        <v>0</v>
      </c>
      <c r="KG53" s="2">
        <f t="shared" si="1378"/>
        <v>0</v>
      </c>
      <c r="KH53" s="2">
        <f t="shared" si="1379"/>
        <v>1</v>
      </c>
      <c r="KI53" s="2">
        <f t="shared" si="1380"/>
        <v>4</v>
      </c>
      <c r="KJ53" s="2">
        <f t="shared" si="1211"/>
        <v>0</v>
      </c>
      <c r="KK53" s="2">
        <f t="shared" si="1381"/>
        <v>0</v>
      </c>
      <c r="KL53" s="2">
        <f t="shared" si="1382"/>
        <v>0</v>
      </c>
      <c r="KM53" s="2">
        <f t="shared" si="1383"/>
        <v>0</v>
      </c>
      <c r="KN53" s="2">
        <f t="shared" si="1212"/>
        <v>0</v>
      </c>
      <c r="KO53" s="2">
        <f t="shared" si="1384"/>
        <v>0</v>
      </c>
      <c r="KP53" s="2"/>
      <c r="KQ53" s="2">
        <f t="shared" ref="KQ53:KQ54" si="1400">IF($E53=4,JQ53-4,NA())</f>
        <v>-4</v>
      </c>
      <c r="KR53" s="2"/>
      <c r="KS53" s="41" t="e">
        <f>JQ53-'Zusammenfassung Tag1-4'!#REF!/18</f>
        <v>#REF!</v>
      </c>
      <c r="KT53" s="14" t="e">
        <f t="shared" si="1386"/>
        <v>#REF!</v>
      </c>
    </row>
    <row r="54" spans="1:306" ht="13.2" x14ac:dyDescent="0.25">
      <c r="A54" s="179"/>
      <c r="B54" s="176"/>
      <c r="C54" s="44">
        <v>5</v>
      </c>
      <c r="D54" s="2">
        <f t="shared" si="1387"/>
        <v>41</v>
      </c>
      <c r="E54" s="44">
        <v>4</v>
      </c>
      <c r="F54" s="4">
        <f t="shared" si="1213"/>
        <v>166</v>
      </c>
      <c r="G54" s="53">
        <v>4</v>
      </c>
      <c r="H54" s="2">
        <f t="shared" si="1388"/>
        <v>199</v>
      </c>
      <c r="I54" s="56">
        <v>2</v>
      </c>
      <c r="J54" s="2">
        <f t="shared" si="1214"/>
        <v>78</v>
      </c>
      <c r="K54" s="2">
        <f t="shared" si="1158"/>
        <v>1</v>
      </c>
      <c r="L54" s="2">
        <f t="shared" si="1215"/>
        <v>13</v>
      </c>
      <c r="M54" s="2">
        <f t="shared" si="1159"/>
        <v>0</v>
      </c>
      <c r="N54" s="2">
        <f t="shared" si="1216"/>
        <v>6</v>
      </c>
      <c r="O54" s="2"/>
      <c r="P54" s="2">
        <f t="shared" si="1160"/>
        <v>0</v>
      </c>
      <c r="Q54" s="2">
        <f t="shared" si="1217"/>
        <v>2</v>
      </c>
      <c r="R54" s="2">
        <f t="shared" si="1161"/>
        <v>1</v>
      </c>
      <c r="S54" s="2">
        <f t="shared" si="1218"/>
        <v>2</v>
      </c>
      <c r="T54" s="2">
        <f t="shared" si="1162"/>
        <v>0</v>
      </c>
      <c r="U54" s="2">
        <f t="shared" si="1219"/>
        <v>2</v>
      </c>
      <c r="V54" s="2">
        <f t="shared" si="1163"/>
        <v>0</v>
      </c>
      <c r="W54" s="2">
        <f t="shared" si="1220"/>
        <v>1</v>
      </c>
      <c r="X54" s="2">
        <f t="shared" si="1164"/>
        <v>0</v>
      </c>
      <c r="Y54" s="2">
        <f t="shared" si="1221"/>
        <v>0</v>
      </c>
      <c r="Z54" s="2">
        <f t="shared" si="1165"/>
        <v>0</v>
      </c>
      <c r="AA54" s="2">
        <f t="shared" si="1222"/>
        <v>8</v>
      </c>
      <c r="AB54" s="2">
        <f t="shared" si="1166"/>
        <v>1</v>
      </c>
      <c r="AC54" s="2">
        <f t="shared" si="1223"/>
        <v>2</v>
      </c>
      <c r="AD54" s="2">
        <f t="shared" si="1167"/>
        <v>0</v>
      </c>
      <c r="AE54" s="2">
        <f t="shared" si="1224"/>
        <v>5</v>
      </c>
      <c r="AF54" s="2"/>
      <c r="AG54" s="2">
        <f>IF($E54=4,G54-4,NA())</f>
        <v>0</v>
      </c>
      <c r="AH54" s="2"/>
      <c r="AI54" s="41">
        <f>G54-'Zusammenfassung Tag1-4'!$B$2/18</f>
        <v>3.1666666666666665</v>
      </c>
      <c r="AJ54" s="13">
        <f t="shared" si="1225"/>
        <v>164.83333333333329</v>
      </c>
      <c r="AK54" s="53">
        <v>4</v>
      </c>
      <c r="AL54" s="2">
        <f t="shared" si="1389"/>
        <v>201</v>
      </c>
      <c r="AM54" s="56">
        <v>2</v>
      </c>
      <c r="AN54" s="2">
        <f t="shared" si="1226"/>
        <v>77</v>
      </c>
      <c r="AO54" s="2">
        <f t="shared" si="1168"/>
        <v>1</v>
      </c>
      <c r="AP54" s="2">
        <f t="shared" si="1227"/>
        <v>18</v>
      </c>
      <c r="AQ54" s="2">
        <f t="shared" si="1169"/>
        <v>0</v>
      </c>
      <c r="AR54" s="2">
        <f t="shared" si="1228"/>
        <v>5</v>
      </c>
      <c r="AS54" s="2"/>
      <c r="AT54" s="2">
        <f t="shared" si="1170"/>
        <v>0</v>
      </c>
      <c r="AU54" s="2">
        <f t="shared" si="1229"/>
        <v>0</v>
      </c>
      <c r="AV54" s="2">
        <f t="shared" si="1230"/>
        <v>1</v>
      </c>
      <c r="AW54" s="2">
        <f t="shared" si="1231"/>
        <v>2</v>
      </c>
      <c r="AX54" s="2">
        <f t="shared" si="1232"/>
        <v>0</v>
      </c>
      <c r="AY54" s="2">
        <f t="shared" si="1233"/>
        <v>2</v>
      </c>
      <c r="AZ54" s="2">
        <f t="shared" si="1234"/>
        <v>0</v>
      </c>
      <c r="BA54" s="2">
        <f t="shared" si="1235"/>
        <v>1</v>
      </c>
      <c r="BB54" s="2">
        <f t="shared" si="1236"/>
        <v>0</v>
      </c>
      <c r="BC54" s="2">
        <f t="shared" si="1237"/>
        <v>0</v>
      </c>
      <c r="BD54" s="2">
        <f t="shared" si="1171"/>
        <v>0</v>
      </c>
      <c r="BE54" s="2">
        <f t="shared" si="1238"/>
        <v>9</v>
      </c>
      <c r="BF54" s="2">
        <f t="shared" si="1239"/>
        <v>1</v>
      </c>
      <c r="BG54" s="2">
        <f t="shared" si="1240"/>
        <v>3</v>
      </c>
      <c r="BH54" s="2">
        <f t="shared" si="1172"/>
        <v>0</v>
      </c>
      <c r="BI54" s="2">
        <f t="shared" si="1241"/>
        <v>4</v>
      </c>
      <c r="BJ54" s="2"/>
      <c r="BK54" s="2">
        <f t="shared" si="1392"/>
        <v>0</v>
      </c>
      <c r="BL54" s="2"/>
      <c r="BM54" s="41">
        <f>AK54-'Zusammenfassung Tag1-4'!$C$2/18</f>
        <v>3.4444444444444446</v>
      </c>
      <c r="BN54" s="13">
        <f t="shared" si="1243"/>
        <v>178.22222222222234</v>
      </c>
      <c r="BO54" s="53">
        <v>5</v>
      </c>
      <c r="BP54" s="2">
        <f t="shared" si="1390"/>
        <v>238</v>
      </c>
      <c r="BQ54" s="56">
        <v>2</v>
      </c>
      <c r="BR54" s="2">
        <f t="shared" si="1244"/>
        <v>94</v>
      </c>
      <c r="BS54" s="2">
        <f t="shared" si="1173"/>
        <v>0</v>
      </c>
      <c r="BT54" s="2">
        <f t="shared" si="1245"/>
        <v>9</v>
      </c>
      <c r="BU54" s="2">
        <f t="shared" si="1174"/>
        <v>0</v>
      </c>
      <c r="BV54" s="2">
        <f t="shared" si="1246"/>
        <v>0</v>
      </c>
      <c r="BW54" s="2"/>
      <c r="BX54" s="2">
        <f t="shared" si="1175"/>
        <v>0</v>
      </c>
      <c r="BY54" s="2">
        <f t="shared" si="1247"/>
        <v>0</v>
      </c>
      <c r="BZ54" s="2">
        <f t="shared" si="1248"/>
        <v>0</v>
      </c>
      <c r="CA54" s="2">
        <f t="shared" si="1249"/>
        <v>0</v>
      </c>
      <c r="CB54" s="2">
        <f t="shared" si="1250"/>
        <v>1</v>
      </c>
      <c r="CC54" s="2">
        <f t="shared" si="1251"/>
        <v>3</v>
      </c>
      <c r="CD54" s="2">
        <f t="shared" si="1252"/>
        <v>0</v>
      </c>
      <c r="CE54" s="2">
        <f t="shared" si="1253"/>
        <v>2</v>
      </c>
      <c r="CF54" s="2">
        <f t="shared" si="1254"/>
        <v>0</v>
      </c>
      <c r="CG54" s="2">
        <f t="shared" si="1247"/>
        <v>0</v>
      </c>
      <c r="CH54" s="2">
        <f t="shared" si="1176"/>
        <v>0</v>
      </c>
      <c r="CI54" s="2">
        <f t="shared" si="1255"/>
        <v>1</v>
      </c>
      <c r="CJ54" s="2">
        <f t="shared" si="1256"/>
        <v>1</v>
      </c>
      <c r="CK54" s="2">
        <f t="shared" si="1257"/>
        <v>3</v>
      </c>
      <c r="CL54" s="2">
        <f t="shared" si="1177"/>
        <v>0</v>
      </c>
      <c r="CM54" s="2">
        <f t="shared" si="1258"/>
        <v>13</v>
      </c>
      <c r="CN54" s="2"/>
      <c r="CO54" s="2">
        <f t="shared" si="1393"/>
        <v>1</v>
      </c>
      <c r="CP54" s="2"/>
      <c r="CQ54" s="41">
        <f>BO54-'Zusammenfassung Tag1-4'!$D$2/18</f>
        <v>3.9444444444444446</v>
      </c>
      <c r="CR54" s="13">
        <f t="shared" si="1260"/>
        <v>194.72222222222237</v>
      </c>
      <c r="CS54" s="53">
        <v>6</v>
      </c>
      <c r="CT54" s="2">
        <f t="shared" si="1391"/>
        <v>219</v>
      </c>
      <c r="CU54" s="56">
        <v>3</v>
      </c>
      <c r="CV54" s="2">
        <f t="shared" si="1261"/>
        <v>90</v>
      </c>
      <c r="CW54" s="2">
        <f t="shared" si="1178"/>
        <v>0</v>
      </c>
      <c r="CX54" s="2">
        <f t="shared" si="1262"/>
        <v>13</v>
      </c>
      <c r="CY54" s="2">
        <f t="shared" si="1179"/>
        <v>0</v>
      </c>
      <c r="CZ54" s="2">
        <f t="shared" si="1263"/>
        <v>2</v>
      </c>
      <c r="DA54" s="2"/>
      <c r="DB54" s="2">
        <f t="shared" si="1180"/>
        <v>0</v>
      </c>
      <c r="DC54" s="2">
        <f t="shared" si="1264"/>
        <v>0</v>
      </c>
      <c r="DD54" s="2">
        <f t="shared" si="1265"/>
        <v>0</v>
      </c>
      <c r="DE54" s="2">
        <f t="shared" si="1266"/>
        <v>3</v>
      </c>
      <c r="DF54" s="2">
        <f t="shared" si="1267"/>
        <v>0</v>
      </c>
      <c r="DG54" s="2">
        <f t="shared" si="1268"/>
        <v>1</v>
      </c>
      <c r="DH54" s="2">
        <f t="shared" si="1269"/>
        <v>1</v>
      </c>
      <c r="DI54" s="2">
        <f t="shared" si="1270"/>
        <v>1</v>
      </c>
      <c r="DJ54" s="2">
        <f t="shared" si="1271"/>
        <v>0</v>
      </c>
      <c r="DK54" s="2">
        <f t="shared" si="1272"/>
        <v>0</v>
      </c>
      <c r="DL54" s="2">
        <f t="shared" si="1181"/>
        <v>0</v>
      </c>
      <c r="DM54" s="2">
        <f t="shared" si="1273"/>
        <v>5</v>
      </c>
      <c r="DN54" s="2">
        <f t="shared" si="1274"/>
        <v>0</v>
      </c>
      <c r="DO54" s="2">
        <f t="shared" si="1275"/>
        <v>3</v>
      </c>
      <c r="DP54" s="2">
        <f t="shared" si="1182"/>
        <v>1</v>
      </c>
      <c r="DQ54" s="2">
        <f t="shared" si="1276"/>
        <v>12</v>
      </c>
      <c r="DR54" s="2"/>
      <c r="DS54" s="2">
        <f t="shared" si="1394"/>
        <v>2</v>
      </c>
      <c r="DT54" s="2"/>
      <c r="DU54" s="41">
        <f>CS54-'Zusammenfassung Tag1-4'!$E$2/18</f>
        <v>5</v>
      </c>
      <c r="DV54" s="14">
        <f t="shared" si="1278"/>
        <v>178</v>
      </c>
      <c r="DW54" s="53">
        <v>4</v>
      </c>
      <c r="DX54" s="2">
        <v>29</v>
      </c>
      <c r="DY54" s="56">
        <v>1</v>
      </c>
      <c r="DZ54" s="2">
        <f t="shared" si="1279"/>
        <v>91</v>
      </c>
      <c r="EA54" s="2">
        <f t="shared" si="1183"/>
        <v>0</v>
      </c>
      <c r="EB54" s="2">
        <f t="shared" si="1280"/>
        <v>0</v>
      </c>
      <c r="EC54" s="2">
        <f t="shared" si="1184"/>
        <v>1</v>
      </c>
      <c r="ED54" s="2">
        <f t="shared" si="1281"/>
        <v>1</v>
      </c>
      <c r="EE54" s="2"/>
      <c r="EF54" s="2">
        <f t="shared" si="1185"/>
        <v>0</v>
      </c>
      <c r="EG54" s="2">
        <f t="shared" si="1282"/>
        <v>0</v>
      </c>
      <c r="EH54" s="2">
        <f t="shared" si="1283"/>
        <v>1</v>
      </c>
      <c r="EI54" s="2">
        <f t="shared" si="1284"/>
        <v>1</v>
      </c>
      <c r="EJ54" s="2">
        <f t="shared" si="1285"/>
        <v>0</v>
      </c>
      <c r="EK54" s="2">
        <f t="shared" si="1286"/>
        <v>0</v>
      </c>
      <c r="EL54" s="2">
        <f t="shared" si="1287"/>
        <v>0</v>
      </c>
      <c r="EM54" s="2">
        <f t="shared" si="1288"/>
        <v>4</v>
      </c>
      <c r="EN54" s="2">
        <f t="shared" si="1289"/>
        <v>0</v>
      </c>
      <c r="EO54" s="2">
        <f t="shared" si="1290"/>
        <v>0</v>
      </c>
      <c r="EP54" s="2">
        <f t="shared" si="1186"/>
        <v>1</v>
      </c>
      <c r="EQ54" s="2">
        <f t="shared" si="1291"/>
        <v>5</v>
      </c>
      <c r="ER54" s="2">
        <f t="shared" si="1292"/>
        <v>0</v>
      </c>
      <c r="ES54" s="2">
        <f t="shared" si="1293"/>
        <v>1</v>
      </c>
      <c r="ET54" s="2">
        <f t="shared" si="1187"/>
        <v>0</v>
      </c>
      <c r="EU54" s="2">
        <f t="shared" si="1294"/>
        <v>13</v>
      </c>
      <c r="EV54" s="2"/>
      <c r="EW54" s="2">
        <f t="shared" si="1395"/>
        <v>0</v>
      </c>
      <c r="EX54" s="2"/>
      <c r="EY54" s="41">
        <f>DW54-'Zusammenfassung Tag1-4'!$F$2/18</f>
        <v>1.5</v>
      </c>
      <c r="EZ54" s="14">
        <f t="shared" si="1296"/>
        <v>189.5</v>
      </c>
      <c r="FA54" s="53">
        <v>6</v>
      </c>
      <c r="FB54" s="2">
        <v>232</v>
      </c>
      <c r="FC54" s="56">
        <v>3</v>
      </c>
      <c r="FD54" s="2">
        <f t="shared" si="1297"/>
        <v>81</v>
      </c>
      <c r="FE54" s="2">
        <f t="shared" si="1188"/>
        <v>0</v>
      </c>
      <c r="FF54" s="2">
        <f t="shared" si="1298"/>
        <v>6</v>
      </c>
      <c r="FG54" s="2">
        <f t="shared" si="1189"/>
        <v>0</v>
      </c>
      <c r="FH54" s="2">
        <f t="shared" si="1299"/>
        <v>4</v>
      </c>
      <c r="FI54" s="2"/>
      <c r="FJ54" s="2">
        <f t="shared" si="1190"/>
        <v>0</v>
      </c>
      <c r="FK54" s="2">
        <f t="shared" si="1300"/>
        <v>0</v>
      </c>
      <c r="FL54" s="2">
        <f t="shared" si="1301"/>
        <v>0</v>
      </c>
      <c r="FM54" s="2">
        <f t="shared" si="1302"/>
        <v>0</v>
      </c>
      <c r="FN54" s="2">
        <f t="shared" si="1303"/>
        <v>0</v>
      </c>
      <c r="FO54" s="2">
        <f t="shared" si="1304"/>
        <v>2</v>
      </c>
      <c r="FP54" s="2">
        <f t="shared" si="1305"/>
        <v>1</v>
      </c>
      <c r="FQ54" s="2">
        <f t="shared" si="1306"/>
        <v>3</v>
      </c>
      <c r="FR54" s="2">
        <f t="shared" si="1307"/>
        <v>0</v>
      </c>
      <c r="FS54" s="2">
        <f t="shared" si="1308"/>
        <v>0</v>
      </c>
      <c r="FT54" s="2">
        <f t="shared" si="1191"/>
        <v>0</v>
      </c>
      <c r="FU54" s="2">
        <f t="shared" si="1309"/>
        <v>11</v>
      </c>
      <c r="FV54" s="2">
        <f t="shared" si="1310"/>
        <v>0</v>
      </c>
      <c r="FW54" s="2">
        <f t="shared" si="1311"/>
        <v>3</v>
      </c>
      <c r="FX54" s="2">
        <f t="shared" si="1192"/>
        <v>1</v>
      </c>
      <c r="FY54" s="2">
        <f t="shared" si="1312"/>
        <v>10</v>
      </c>
      <c r="FZ54" s="2"/>
      <c r="GA54" s="2">
        <f t="shared" si="1396"/>
        <v>2</v>
      </c>
      <c r="GB54" s="2"/>
      <c r="GC54" s="41">
        <f>FA54-'Zusammenfassung Tag1-4'!$G$2/18</f>
        <v>4.7222222222222223</v>
      </c>
      <c r="GD54" s="14">
        <f t="shared" si="1314"/>
        <v>177.61111111111126</v>
      </c>
      <c r="GE54" s="53">
        <v>6</v>
      </c>
      <c r="GF54" s="2">
        <v>300</v>
      </c>
      <c r="GG54" s="56">
        <v>2</v>
      </c>
      <c r="GH54" s="2">
        <f t="shared" si="1315"/>
        <v>82</v>
      </c>
      <c r="GI54" s="2">
        <f t="shared" si="1193"/>
        <v>0</v>
      </c>
      <c r="GJ54" s="2">
        <f t="shared" si="1316"/>
        <v>1</v>
      </c>
      <c r="GK54" s="2">
        <f t="shared" si="1194"/>
        <v>0</v>
      </c>
      <c r="GL54" s="2">
        <f t="shared" si="1317"/>
        <v>1</v>
      </c>
      <c r="GM54" s="2"/>
      <c r="GN54" s="2">
        <f t="shared" si="1195"/>
        <v>0</v>
      </c>
      <c r="GO54" s="2">
        <f t="shared" si="1318"/>
        <v>0</v>
      </c>
      <c r="GP54" s="2">
        <f t="shared" si="1319"/>
        <v>0</v>
      </c>
      <c r="GQ54" s="2">
        <f t="shared" si="1320"/>
        <v>0</v>
      </c>
      <c r="GR54" s="2">
        <f t="shared" si="1321"/>
        <v>0</v>
      </c>
      <c r="GS54" s="2">
        <f t="shared" si="1322"/>
        <v>1</v>
      </c>
      <c r="GT54" s="2">
        <f t="shared" si="1323"/>
        <v>1</v>
      </c>
      <c r="GU54" s="2">
        <f t="shared" si="1324"/>
        <v>4</v>
      </c>
      <c r="GV54" s="2">
        <f t="shared" si="1325"/>
        <v>0</v>
      </c>
      <c r="GW54" s="2">
        <f t="shared" si="1326"/>
        <v>0</v>
      </c>
      <c r="GX54" s="2">
        <f t="shared" si="1196"/>
        <v>0</v>
      </c>
      <c r="GY54" s="2">
        <f t="shared" si="1327"/>
        <v>6</v>
      </c>
      <c r="GZ54" s="2">
        <f t="shared" si="1328"/>
        <v>1</v>
      </c>
      <c r="HA54" s="2">
        <f t="shared" si="1329"/>
        <v>5</v>
      </c>
      <c r="HB54" s="2">
        <f t="shared" si="1197"/>
        <v>0</v>
      </c>
      <c r="HC54" s="2">
        <f t="shared" si="1330"/>
        <v>6</v>
      </c>
      <c r="HD54" s="2"/>
      <c r="HE54" s="2">
        <f t="shared" si="1397"/>
        <v>2</v>
      </c>
      <c r="HF54" s="2"/>
      <c r="HG54" s="41">
        <f>GE54-'Zusammenfassung Tag1-4'!$H$2/18</f>
        <v>4.2222222222222223</v>
      </c>
      <c r="HH54" s="14">
        <f t="shared" si="1332"/>
        <v>198.11111111111128</v>
      </c>
      <c r="HI54" s="53">
        <v>4</v>
      </c>
      <c r="HJ54" s="2">
        <v>219</v>
      </c>
      <c r="HK54" s="56">
        <v>2</v>
      </c>
      <c r="HL54" s="2">
        <f t="shared" si="1333"/>
        <v>82</v>
      </c>
      <c r="HM54" s="2">
        <f t="shared" si="1198"/>
        <v>1</v>
      </c>
      <c r="HN54" s="2">
        <f t="shared" si="1334"/>
        <v>8</v>
      </c>
      <c r="HO54" s="2">
        <f t="shared" si="1199"/>
        <v>0</v>
      </c>
      <c r="HP54" s="2">
        <f t="shared" si="1335"/>
        <v>4</v>
      </c>
      <c r="HQ54" s="2"/>
      <c r="HR54" s="2">
        <f t="shared" si="1200"/>
        <v>0</v>
      </c>
      <c r="HS54" s="2">
        <f t="shared" si="1336"/>
        <v>0</v>
      </c>
      <c r="HT54" s="2">
        <f t="shared" si="1337"/>
        <v>1</v>
      </c>
      <c r="HU54" s="2">
        <f t="shared" si="1338"/>
        <v>4</v>
      </c>
      <c r="HV54" s="2">
        <f t="shared" si="1339"/>
        <v>0</v>
      </c>
      <c r="HW54" s="2">
        <f t="shared" si="1340"/>
        <v>1</v>
      </c>
      <c r="HX54" s="2">
        <f t="shared" si="1341"/>
        <v>0</v>
      </c>
      <c r="HY54" s="2">
        <f t="shared" si="1342"/>
        <v>0</v>
      </c>
      <c r="HZ54" s="2">
        <f t="shared" si="1343"/>
        <v>0</v>
      </c>
      <c r="IA54" s="2">
        <f t="shared" si="1344"/>
        <v>0</v>
      </c>
      <c r="IB54" s="2">
        <f t="shared" si="1201"/>
        <v>0</v>
      </c>
      <c r="IC54" s="2">
        <f t="shared" si="1345"/>
        <v>7</v>
      </c>
      <c r="ID54" s="2">
        <f t="shared" si="1346"/>
        <v>1</v>
      </c>
      <c r="IE54" s="2">
        <f t="shared" si="1347"/>
        <v>4</v>
      </c>
      <c r="IF54" s="2">
        <f t="shared" si="1202"/>
        <v>0</v>
      </c>
      <c r="IG54" s="2">
        <f t="shared" si="1348"/>
        <v>7</v>
      </c>
      <c r="IH54" s="2"/>
      <c r="II54" s="2">
        <f t="shared" si="1398"/>
        <v>0</v>
      </c>
      <c r="IJ54" s="2"/>
      <c r="IK54" s="41">
        <f>HI54-'Zusammenfassung Tag1-4'!$I$2/18</f>
        <v>3.1111111111111112</v>
      </c>
      <c r="IL54" s="14">
        <f t="shared" si="1350"/>
        <v>185.55555555555566</v>
      </c>
      <c r="IM54" s="53">
        <v>7</v>
      </c>
      <c r="IN54" s="2">
        <v>43</v>
      </c>
      <c r="IO54" s="56">
        <v>2</v>
      </c>
      <c r="IP54" s="2">
        <f t="shared" si="1351"/>
        <v>101</v>
      </c>
      <c r="IQ54" s="2">
        <f t="shared" si="1203"/>
        <v>0</v>
      </c>
      <c r="IR54" s="2">
        <f t="shared" si="1352"/>
        <v>7</v>
      </c>
      <c r="IS54" s="2">
        <f t="shared" si="1204"/>
        <v>0</v>
      </c>
      <c r="IT54" s="2">
        <f t="shared" si="1353"/>
        <v>0</v>
      </c>
      <c r="IU54" s="2"/>
      <c r="IV54" s="2">
        <f t="shared" si="1205"/>
        <v>0</v>
      </c>
      <c r="IW54" s="2">
        <f t="shared" si="1354"/>
        <v>0</v>
      </c>
      <c r="IX54" s="2">
        <f t="shared" si="1355"/>
        <v>0</v>
      </c>
      <c r="IY54" s="2">
        <f t="shared" si="1356"/>
        <v>0</v>
      </c>
      <c r="IZ54" s="2">
        <f t="shared" si="1357"/>
        <v>0</v>
      </c>
      <c r="JA54" s="2">
        <f t="shared" si="1358"/>
        <v>1</v>
      </c>
      <c r="JB54" s="2">
        <f t="shared" si="1359"/>
        <v>1</v>
      </c>
      <c r="JC54" s="2">
        <f t="shared" si="1360"/>
        <v>4</v>
      </c>
      <c r="JD54" s="2">
        <f t="shared" si="1361"/>
        <v>0</v>
      </c>
      <c r="JE54" s="2">
        <f t="shared" si="1362"/>
        <v>0</v>
      </c>
      <c r="JF54" s="2">
        <f t="shared" si="1206"/>
        <v>0</v>
      </c>
      <c r="JG54" s="2">
        <f t="shared" si="1363"/>
        <v>4</v>
      </c>
      <c r="JH54" s="2">
        <f t="shared" si="1364"/>
        <v>1</v>
      </c>
      <c r="JI54" s="2">
        <f t="shared" si="1365"/>
        <v>2</v>
      </c>
      <c r="JJ54" s="2">
        <f t="shared" si="1207"/>
        <v>0</v>
      </c>
      <c r="JK54" s="2">
        <f t="shared" si="1366"/>
        <v>18</v>
      </c>
      <c r="JL54" s="2"/>
      <c r="JM54" s="2">
        <f t="shared" si="1399"/>
        <v>3</v>
      </c>
      <c r="JN54" s="2"/>
      <c r="JO54" s="41">
        <f>IM54-'Zusammenfassung Tag1-4'!$J$2/18</f>
        <v>4.6666666666666661</v>
      </c>
      <c r="JP54" s="14">
        <f t="shared" si="1368"/>
        <v>188.33333333333326</v>
      </c>
      <c r="JQ54" s="53"/>
      <c r="JR54" s="2"/>
      <c r="JS54" s="56"/>
      <c r="JT54" s="2">
        <f t="shared" si="1369"/>
        <v>0</v>
      </c>
      <c r="JU54" s="2">
        <f t="shared" si="1208"/>
        <v>1</v>
      </c>
      <c r="JV54" s="2">
        <f t="shared" si="1370"/>
        <v>41</v>
      </c>
      <c r="JW54" s="2">
        <f t="shared" si="1209"/>
        <v>0</v>
      </c>
      <c r="JX54" s="2">
        <f t="shared" si="1371"/>
        <v>0</v>
      </c>
      <c r="JY54" s="2"/>
      <c r="JZ54" s="2">
        <f t="shared" si="1210"/>
        <v>0</v>
      </c>
      <c r="KA54" s="2">
        <f t="shared" si="1372"/>
        <v>0</v>
      </c>
      <c r="KB54" s="2">
        <f t="shared" si="1373"/>
        <v>0</v>
      </c>
      <c r="KC54" s="2">
        <f t="shared" si="1374"/>
        <v>0</v>
      </c>
      <c r="KD54" s="2">
        <f t="shared" si="1375"/>
        <v>0</v>
      </c>
      <c r="KE54" s="2">
        <f t="shared" si="1376"/>
        <v>0</v>
      </c>
      <c r="KF54" s="2">
        <f t="shared" si="1377"/>
        <v>0</v>
      </c>
      <c r="KG54" s="2">
        <f t="shared" si="1378"/>
        <v>0</v>
      </c>
      <c r="KH54" s="2">
        <f t="shared" si="1379"/>
        <v>1</v>
      </c>
      <c r="KI54" s="2">
        <f t="shared" si="1380"/>
        <v>5</v>
      </c>
      <c r="KJ54" s="2">
        <f t="shared" si="1211"/>
        <v>0</v>
      </c>
      <c r="KK54" s="2">
        <f t="shared" si="1381"/>
        <v>0</v>
      </c>
      <c r="KL54" s="2">
        <f t="shared" si="1382"/>
        <v>0</v>
      </c>
      <c r="KM54" s="2">
        <f t="shared" si="1383"/>
        <v>0</v>
      </c>
      <c r="KN54" s="2">
        <f t="shared" si="1212"/>
        <v>0</v>
      </c>
      <c r="KO54" s="2">
        <f t="shared" si="1384"/>
        <v>0</v>
      </c>
      <c r="KP54" s="2"/>
      <c r="KQ54" s="2">
        <f t="shared" si="1400"/>
        <v>-4</v>
      </c>
      <c r="KR54" s="2"/>
      <c r="KS54" s="41" t="e">
        <f>JQ54-'Zusammenfassung Tag1-4'!#REF!/18</f>
        <v>#REF!</v>
      </c>
      <c r="KT54" s="14" t="e">
        <f t="shared" si="1386"/>
        <v>#REF!</v>
      </c>
    </row>
    <row r="55" spans="1:306" ht="13.2" x14ac:dyDescent="0.25">
      <c r="A55" s="179"/>
      <c r="B55" s="176"/>
      <c r="C55" s="44">
        <v>6</v>
      </c>
      <c r="D55" s="2">
        <f t="shared" si="1387"/>
        <v>42</v>
      </c>
      <c r="E55" s="44">
        <v>4</v>
      </c>
      <c r="F55" s="4">
        <f t="shared" si="1213"/>
        <v>170</v>
      </c>
      <c r="G55" s="53">
        <v>5</v>
      </c>
      <c r="H55" s="2">
        <f t="shared" si="1388"/>
        <v>204</v>
      </c>
      <c r="I55" s="56">
        <v>3</v>
      </c>
      <c r="J55" s="2">
        <f t="shared" si="1214"/>
        <v>81</v>
      </c>
      <c r="K55" s="2">
        <f t="shared" si="1158"/>
        <v>1</v>
      </c>
      <c r="L55" s="2">
        <f t="shared" si="1215"/>
        <v>14</v>
      </c>
      <c r="M55" s="2">
        <f t="shared" si="1159"/>
        <v>0</v>
      </c>
      <c r="N55" s="2">
        <f t="shared" si="1216"/>
        <v>6</v>
      </c>
      <c r="O55" s="2"/>
      <c r="P55" s="2">
        <f t="shared" si="1160"/>
        <v>0</v>
      </c>
      <c r="Q55" s="2">
        <f t="shared" si="1217"/>
        <v>2</v>
      </c>
      <c r="R55" s="2">
        <f t="shared" si="1161"/>
        <v>0</v>
      </c>
      <c r="S55" s="2">
        <f t="shared" si="1218"/>
        <v>2</v>
      </c>
      <c r="T55" s="2">
        <f t="shared" si="1162"/>
        <v>1</v>
      </c>
      <c r="U55" s="2">
        <f t="shared" si="1219"/>
        <v>3</v>
      </c>
      <c r="V55" s="2">
        <f t="shared" si="1163"/>
        <v>0</v>
      </c>
      <c r="W55" s="2">
        <f t="shared" si="1220"/>
        <v>1</v>
      </c>
      <c r="X55" s="2">
        <f t="shared" si="1164"/>
        <v>0</v>
      </c>
      <c r="Y55" s="2">
        <f t="shared" si="1221"/>
        <v>0</v>
      </c>
      <c r="Z55" s="2">
        <f t="shared" si="1165"/>
        <v>0</v>
      </c>
      <c r="AA55" s="2">
        <f t="shared" si="1222"/>
        <v>8</v>
      </c>
      <c r="AB55" s="2">
        <f t="shared" si="1166"/>
        <v>0</v>
      </c>
      <c r="AC55" s="2">
        <f t="shared" si="1223"/>
        <v>2</v>
      </c>
      <c r="AD55" s="2">
        <f t="shared" si="1167"/>
        <v>1</v>
      </c>
      <c r="AE55" s="2">
        <f t="shared" si="1224"/>
        <v>6</v>
      </c>
      <c r="AF55" s="2"/>
      <c r="AG55" s="2">
        <f>IF($E55=4,G55-4,NA())</f>
        <v>1</v>
      </c>
      <c r="AH55" s="2"/>
      <c r="AI55" s="41">
        <f>G55-'Zusammenfassung Tag1-4'!$B$2/18</f>
        <v>4.166666666666667</v>
      </c>
      <c r="AJ55" s="13">
        <f t="shared" si="1225"/>
        <v>168.99999999999994</v>
      </c>
      <c r="AK55" s="53">
        <v>4</v>
      </c>
      <c r="AL55" s="2">
        <f t="shared" si="1389"/>
        <v>205</v>
      </c>
      <c r="AM55" s="56">
        <v>2</v>
      </c>
      <c r="AN55" s="2">
        <f t="shared" si="1226"/>
        <v>79</v>
      </c>
      <c r="AO55" s="2">
        <f t="shared" si="1168"/>
        <v>1</v>
      </c>
      <c r="AP55" s="2">
        <f t="shared" si="1227"/>
        <v>19</v>
      </c>
      <c r="AQ55" s="2">
        <f t="shared" si="1169"/>
        <v>0</v>
      </c>
      <c r="AR55" s="2">
        <f t="shared" si="1228"/>
        <v>5</v>
      </c>
      <c r="AS55" s="2"/>
      <c r="AT55" s="2">
        <f t="shared" si="1170"/>
        <v>0</v>
      </c>
      <c r="AU55" s="2">
        <f t="shared" si="1229"/>
        <v>0</v>
      </c>
      <c r="AV55" s="2">
        <f t="shared" si="1230"/>
        <v>1</v>
      </c>
      <c r="AW55" s="2">
        <f t="shared" si="1231"/>
        <v>3</v>
      </c>
      <c r="AX55" s="2">
        <f t="shared" si="1232"/>
        <v>0</v>
      </c>
      <c r="AY55" s="2">
        <f t="shared" si="1233"/>
        <v>2</v>
      </c>
      <c r="AZ55" s="2">
        <f t="shared" si="1234"/>
        <v>0</v>
      </c>
      <c r="BA55" s="2">
        <f t="shared" si="1235"/>
        <v>1</v>
      </c>
      <c r="BB55" s="2">
        <f t="shared" si="1236"/>
        <v>0</v>
      </c>
      <c r="BC55" s="2">
        <f t="shared" si="1237"/>
        <v>0</v>
      </c>
      <c r="BD55" s="2">
        <f t="shared" si="1171"/>
        <v>0</v>
      </c>
      <c r="BE55" s="2">
        <f t="shared" si="1238"/>
        <v>9</v>
      </c>
      <c r="BF55" s="2">
        <f t="shared" si="1239"/>
        <v>1</v>
      </c>
      <c r="BG55" s="2">
        <f t="shared" si="1240"/>
        <v>4</v>
      </c>
      <c r="BH55" s="2">
        <f t="shared" si="1172"/>
        <v>0</v>
      </c>
      <c r="BI55" s="2">
        <f t="shared" si="1241"/>
        <v>4</v>
      </c>
      <c r="BJ55" s="2"/>
      <c r="BK55" s="2">
        <f>IF($E55=4,AK55-4,NA())</f>
        <v>0</v>
      </c>
      <c r="BL55" s="2"/>
      <c r="BM55" s="41">
        <f>AK55-'Zusammenfassung Tag1-4'!$C$2/18</f>
        <v>3.4444444444444446</v>
      </c>
      <c r="BN55" s="13">
        <f t="shared" si="1243"/>
        <v>181.6666666666668</v>
      </c>
      <c r="BO55" s="53">
        <v>10</v>
      </c>
      <c r="BP55" s="2">
        <f t="shared" si="1390"/>
        <v>248</v>
      </c>
      <c r="BQ55" s="56">
        <v>2</v>
      </c>
      <c r="BR55" s="2">
        <f t="shared" si="1244"/>
        <v>96</v>
      </c>
      <c r="BS55" s="2">
        <f t="shared" si="1173"/>
        <v>0</v>
      </c>
      <c r="BT55" s="2">
        <f t="shared" si="1245"/>
        <v>9</v>
      </c>
      <c r="BU55" s="2">
        <f t="shared" si="1174"/>
        <v>0</v>
      </c>
      <c r="BV55" s="2">
        <f t="shared" si="1246"/>
        <v>0</v>
      </c>
      <c r="BW55" s="2"/>
      <c r="BX55" s="2">
        <f t="shared" si="1175"/>
        <v>0</v>
      </c>
      <c r="BY55" s="2">
        <f t="shared" si="1247"/>
        <v>0</v>
      </c>
      <c r="BZ55" s="2">
        <f t="shared" si="1248"/>
        <v>0</v>
      </c>
      <c r="CA55" s="2">
        <f t="shared" si="1249"/>
        <v>0</v>
      </c>
      <c r="CB55" s="2">
        <f t="shared" si="1250"/>
        <v>0</v>
      </c>
      <c r="CC55" s="2">
        <f t="shared" si="1251"/>
        <v>3</v>
      </c>
      <c r="CD55" s="2">
        <f t="shared" si="1252"/>
        <v>1</v>
      </c>
      <c r="CE55" s="2">
        <f t="shared" si="1253"/>
        <v>3</v>
      </c>
      <c r="CF55" s="2">
        <f t="shared" si="1254"/>
        <v>0</v>
      </c>
      <c r="CG55" s="2">
        <f t="shared" si="1247"/>
        <v>0</v>
      </c>
      <c r="CH55" s="2">
        <f t="shared" si="1176"/>
        <v>0</v>
      </c>
      <c r="CI55" s="2">
        <f t="shared" si="1255"/>
        <v>1</v>
      </c>
      <c r="CJ55" s="2">
        <f t="shared" si="1256"/>
        <v>1</v>
      </c>
      <c r="CK55" s="2">
        <f t="shared" si="1257"/>
        <v>4</v>
      </c>
      <c r="CL55" s="2">
        <f t="shared" si="1177"/>
        <v>0</v>
      </c>
      <c r="CM55" s="2">
        <f t="shared" si="1258"/>
        <v>13</v>
      </c>
      <c r="CN55" s="2"/>
      <c r="CO55" s="2">
        <f>IF($E55=4,BO55-4,NA())</f>
        <v>6</v>
      </c>
      <c r="CP55" s="2"/>
      <c r="CQ55" s="41">
        <f>BO55-'Zusammenfassung Tag1-4'!$D$2/18</f>
        <v>8.9444444444444446</v>
      </c>
      <c r="CR55" s="13">
        <f t="shared" si="1260"/>
        <v>203.66666666666683</v>
      </c>
      <c r="CS55" s="53">
        <v>5</v>
      </c>
      <c r="CT55" s="2">
        <f t="shared" si="1391"/>
        <v>224</v>
      </c>
      <c r="CU55" s="56">
        <v>1</v>
      </c>
      <c r="CV55" s="2">
        <f t="shared" si="1261"/>
        <v>91</v>
      </c>
      <c r="CW55" s="2">
        <f t="shared" si="1178"/>
        <v>0</v>
      </c>
      <c r="CX55" s="2">
        <f t="shared" si="1262"/>
        <v>13</v>
      </c>
      <c r="CY55" s="2">
        <f t="shared" si="1179"/>
        <v>0</v>
      </c>
      <c r="CZ55" s="2">
        <f t="shared" si="1263"/>
        <v>2</v>
      </c>
      <c r="DA55" s="2"/>
      <c r="DB55" s="2">
        <f t="shared" si="1180"/>
        <v>0</v>
      </c>
      <c r="DC55" s="2">
        <f t="shared" si="1264"/>
        <v>0</v>
      </c>
      <c r="DD55" s="2">
        <f t="shared" si="1265"/>
        <v>0</v>
      </c>
      <c r="DE55" s="2">
        <f t="shared" si="1266"/>
        <v>3</v>
      </c>
      <c r="DF55" s="2">
        <f t="shared" si="1267"/>
        <v>1</v>
      </c>
      <c r="DG55" s="2">
        <f t="shared" si="1268"/>
        <v>2</v>
      </c>
      <c r="DH55" s="2">
        <f t="shared" si="1269"/>
        <v>0</v>
      </c>
      <c r="DI55" s="2">
        <f t="shared" si="1270"/>
        <v>1</v>
      </c>
      <c r="DJ55" s="2">
        <f t="shared" si="1271"/>
        <v>0</v>
      </c>
      <c r="DK55" s="2">
        <f t="shared" si="1272"/>
        <v>0</v>
      </c>
      <c r="DL55" s="2">
        <f t="shared" si="1181"/>
        <v>1</v>
      </c>
      <c r="DM55" s="2">
        <f t="shared" si="1273"/>
        <v>6</v>
      </c>
      <c r="DN55" s="2">
        <f t="shared" si="1274"/>
        <v>0</v>
      </c>
      <c r="DO55" s="2">
        <f t="shared" si="1275"/>
        <v>3</v>
      </c>
      <c r="DP55" s="2">
        <f t="shared" si="1182"/>
        <v>0</v>
      </c>
      <c r="DQ55" s="2">
        <f t="shared" si="1276"/>
        <v>12</v>
      </c>
      <c r="DR55" s="2"/>
      <c r="DS55" s="2">
        <f>IF($E55=4,CS55-4,NA())</f>
        <v>1</v>
      </c>
      <c r="DT55" s="2"/>
      <c r="DU55" s="41">
        <f>CS55-'Zusammenfassung Tag1-4'!$E$2/18</f>
        <v>4</v>
      </c>
      <c r="DV55" s="14">
        <f t="shared" si="1278"/>
        <v>182</v>
      </c>
      <c r="DW55" s="53">
        <v>7</v>
      </c>
      <c r="DX55" s="2">
        <v>35</v>
      </c>
      <c r="DY55" s="56">
        <v>1</v>
      </c>
      <c r="DZ55" s="2">
        <f t="shared" si="1279"/>
        <v>92</v>
      </c>
      <c r="EA55" s="2">
        <f t="shared" si="1183"/>
        <v>0</v>
      </c>
      <c r="EB55" s="2">
        <f t="shared" si="1280"/>
        <v>0</v>
      </c>
      <c r="EC55" s="2">
        <f t="shared" si="1184"/>
        <v>0</v>
      </c>
      <c r="ED55" s="2">
        <f t="shared" si="1281"/>
        <v>1</v>
      </c>
      <c r="EE55" s="2"/>
      <c r="EF55" s="2">
        <f t="shared" si="1185"/>
        <v>0</v>
      </c>
      <c r="EG55" s="2">
        <f t="shared" si="1282"/>
        <v>0</v>
      </c>
      <c r="EH55" s="2">
        <f t="shared" si="1283"/>
        <v>0</v>
      </c>
      <c r="EI55" s="2">
        <f t="shared" si="1284"/>
        <v>1</v>
      </c>
      <c r="EJ55" s="2">
        <f t="shared" si="1285"/>
        <v>0</v>
      </c>
      <c r="EK55" s="2">
        <f t="shared" si="1286"/>
        <v>0</v>
      </c>
      <c r="EL55" s="2">
        <f t="shared" si="1287"/>
        <v>1</v>
      </c>
      <c r="EM55" s="2">
        <f t="shared" si="1288"/>
        <v>5</v>
      </c>
      <c r="EN55" s="2">
        <f t="shared" si="1289"/>
        <v>0</v>
      </c>
      <c r="EO55" s="2">
        <f t="shared" si="1290"/>
        <v>0</v>
      </c>
      <c r="EP55" s="2">
        <f t="shared" si="1186"/>
        <v>1</v>
      </c>
      <c r="EQ55" s="2">
        <f t="shared" si="1291"/>
        <v>6</v>
      </c>
      <c r="ER55" s="2">
        <f t="shared" si="1292"/>
        <v>0</v>
      </c>
      <c r="ES55" s="2">
        <f t="shared" si="1293"/>
        <v>1</v>
      </c>
      <c r="ET55" s="2">
        <f t="shared" si="1187"/>
        <v>0</v>
      </c>
      <c r="EU55" s="2">
        <f t="shared" si="1294"/>
        <v>13</v>
      </c>
      <c r="EV55" s="2"/>
      <c r="EW55" s="2">
        <f>IF($E55=4,DW55-4,NA())</f>
        <v>3</v>
      </c>
      <c r="EX55" s="2"/>
      <c r="EY55" s="41">
        <f>DW55-'Zusammenfassung Tag1-4'!$F$2/18</f>
        <v>4.5</v>
      </c>
      <c r="EZ55" s="14">
        <f t="shared" si="1296"/>
        <v>194</v>
      </c>
      <c r="FA55" s="53">
        <v>5</v>
      </c>
      <c r="FB55" s="2">
        <v>237</v>
      </c>
      <c r="FC55" s="56">
        <v>2</v>
      </c>
      <c r="FD55" s="2">
        <f t="shared" si="1297"/>
        <v>83</v>
      </c>
      <c r="FE55" s="2">
        <f t="shared" si="1188"/>
        <v>0</v>
      </c>
      <c r="FF55" s="2">
        <f t="shared" si="1298"/>
        <v>6</v>
      </c>
      <c r="FG55" s="2">
        <f t="shared" si="1189"/>
        <v>0</v>
      </c>
      <c r="FH55" s="2">
        <f t="shared" si="1299"/>
        <v>4</v>
      </c>
      <c r="FI55" s="2"/>
      <c r="FJ55" s="2">
        <f t="shared" si="1190"/>
        <v>0</v>
      </c>
      <c r="FK55" s="2">
        <f t="shared" si="1300"/>
        <v>0</v>
      </c>
      <c r="FL55" s="2">
        <f t="shared" si="1301"/>
        <v>0</v>
      </c>
      <c r="FM55" s="2">
        <f t="shared" si="1302"/>
        <v>0</v>
      </c>
      <c r="FN55" s="2">
        <f t="shared" si="1303"/>
        <v>1</v>
      </c>
      <c r="FO55" s="2">
        <f t="shared" si="1304"/>
        <v>3</v>
      </c>
      <c r="FP55" s="2">
        <f t="shared" si="1305"/>
        <v>0</v>
      </c>
      <c r="FQ55" s="2">
        <f t="shared" si="1306"/>
        <v>3</v>
      </c>
      <c r="FR55" s="2">
        <f t="shared" si="1307"/>
        <v>0</v>
      </c>
      <c r="FS55" s="2">
        <f t="shared" si="1308"/>
        <v>0</v>
      </c>
      <c r="FT55" s="2">
        <f t="shared" si="1191"/>
        <v>0</v>
      </c>
      <c r="FU55" s="2">
        <f t="shared" si="1309"/>
        <v>11</v>
      </c>
      <c r="FV55" s="2">
        <f t="shared" si="1310"/>
        <v>1</v>
      </c>
      <c r="FW55" s="2">
        <f t="shared" si="1311"/>
        <v>4</v>
      </c>
      <c r="FX55" s="2">
        <f t="shared" si="1192"/>
        <v>0</v>
      </c>
      <c r="FY55" s="2">
        <f t="shared" si="1312"/>
        <v>10</v>
      </c>
      <c r="FZ55" s="2"/>
      <c r="GA55" s="2">
        <f>IF($E55=4,FA55-4,NA())</f>
        <v>1</v>
      </c>
      <c r="GB55" s="2"/>
      <c r="GC55" s="41">
        <f>FA55-'Zusammenfassung Tag1-4'!$G$2/18</f>
        <v>3.7222222222222223</v>
      </c>
      <c r="GD55" s="14">
        <f t="shared" si="1314"/>
        <v>181.33333333333348</v>
      </c>
      <c r="GE55" s="53">
        <v>6</v>
      </c>
      <c r="GF55" s="2">
        <v>307</v>
      </c>
      <c r="GG55" s="56">
        <v>2</v>
      </c>
      <c r="GH55" s="2">
        <f t="shared" si="1315"/>
        <v>84</v>
      </c>
      <c r="GI55" s="2">
        <f t="shared" si="1193"/>
        <v>0</v>
      </c>
      <c r="GJ55" s="2">
        <f t="shared" si="1316"/>
        <v>1</v>
      </c>
      <c r="GK55" s="2">
        <f t="shared" si="1194"/>
        <v>0</v>
      </c>
      <c r="GL55" s="2">
        <f t="shared" si="1317"/>
        <v>1</v>
      </c>
      <c r="GM55" s="2"/>
      <c r="GN55" s="2">
        <f t="shared" si="1195"/>
        <v>0</v>
      </c>
      <c r="GO55" s="2">
        <f t="shared" si="1318"/>
        <v>0</v>
      </c>
      <c r="GP55" s="2">
        <f t="shared" si="1319"/>
        <v>0</v>
      </c>
      <c r="GQ55" s="2">
        <f t="shared" si="1320"/>
        <v>0</v>
      </c>
      <c r="GR55" s="2">
        <f t="shared" si="1321"/>
        <v>0</v>
      </c>
      <c r="GS55" s="2">
        <f t="shared" si="1322"/>
        <v>1</v>
      </c>
      <c r="GT55" s="2">
        <f t="shared" si="1323"/>
        <v>1</v>
      </c>
      <c r="GU55" s="2">
        <f t="shared" si="1324"/>
        <v>5</v>
      </c>
      <c r="GV55" s="2">
        <f t="shared" si="1325"/>
        <v>0</v>
      </c>
      <c r="GW55" s="2">
        <f t="shared" si="1326"/>
        <v>0</v>
      </c>
      <c r="GX55" s="2">
        <f t="shared" si="1196"/>
        <v>0</v>
      </c>
      <c r="GY55" s="2">
        <f t="shared" si="1327"/>
        <v>6</v>
      </c>
      <c r="GZ55" s="2">
        <f t="shared" si="1328"/>
        <v>1</v>
      </c>
      <c r="HA55" s="2">
        <f t="shared" si="1329"/>
        <v>6</v>
      </c>
      <c r="HB55" s="2">
        <f t="shared" si="1197"/>
        <v>0</v>
      </c>
      <c r="HC55" s="2">
        <f t="shared" si="1330"/>
        <v>6</v>
      </c>
      <c r="HD55" s="2"/>
      <c r="HE55" s="2">
        <f>IF($E55=4,GE55-4,NA())</f>
        <v>2</v>
      </c>
      <c r="HF55" s="2"/>
      <c r="HG55" s="41">
        <f>GE55-'Zusammenfassung Tag1-4'!$H$2/18</f>
        <v>4.2222222222222223</v>
      </c>
      <c r="HH55" s="14">
        <f t="shared" si="1332"/>
        <v>202.33333333333351</v>
      </c>
      <c r="HI55" s="53">
        <v>6</v>
      </c>
      <c r="HJ55" s="2">
        <v>225</v>
      </c>
      <c r="HK55" s="56">
        <v>2</v>
      </c>
      <c r="HL55" s="2">
        <f t="shared" si="1333"/>
        <v>84</v>
      </c>
      <c r="HM55" s="2">
        <f t="shared" si="1198"/>
        <v>0</v>
      </c>
      <c r="HN55" s="2">
        <f t="shared" si="1334"/>
        <v>8</v>
      </c>
      <c r="HO55" s="2">
        <f t="shared" si="1199"/>
        <v>0</v>
      </c>
      <c r="HP55" s="2">
        <f t="shared" si="1335"/>
        <v>4</v>
      </c>
      <c r="HQ55" s="2"/>
      <c r="HR55" s="2">
        <f t="shared" si="1200"/>
        <v>0</v>
      </c>
      <c r="HS55" s="2">
        <f t="shared" si="1336"/>
        <v>0</v>
      </c>
      <c r="HT55" s="2">
        <f t="shared" si="1337"/>
        <v>0</v>
      </c>
      <c r="HU55" s="2">
        <f t="shared" si="1338"/>
        <v>4</v>
      </c>
      <c r="HV55" s="2">
        <f t="shared" si="1339"/>
        <v>0</v>
      </c>
      <c r="HW55" s="2">
        <f t="shared" si="1340"/>
        <v>1</v>
      </c>
      <c r="HX55" s="2">
        <f t="shared" si="1341"/>
        <v>1</v>
      </c>
      <c r="HY55" s="2">
        <f t="shared" si="1342"/>
        <v>1</v>
      </c>
      <c r="HZ55" s="2">
        <f t="shared" si="1343"/>
        <v>0</v>
      </c>
      <c r="IA55" s="2">
        <f t="shared" si="1344"/>
        <v>0</v>
      </c>
      <c r="IB55" s="2">
        <f t="shared" si="1201"/>
        <v>0</v>
      </c>
      <c r="IC55" s="2">
        <f t="shared" si="1345"/>
        <v>7</v>
      </c>
      <c r="ID55" s="2">
        <f t="shared" si="1346"/>
        <v>1</v>
      </c>
      <c r="IE55" s="2">
        <f t="shared" si="1347"/>
        <v>5</v>
      </c>
      <c r="IF55" s="2">
        <f t="shared" si="1202"/>
        <v>0</v>
      </c>
      <c r="IG55" s="2">
        <f t="shared" si="1348"/>
        <v>7</v>
      </c>
      <c r="IH55" s="2"/>
      <c r="II55" s="2">
        <f>IF($E55=4,HI55-4,NA())</f>
        <v>2</v>
      </c>
      <c r="IJ55" s="2"/>
      <c r="IK55" s="41">
        <f>HI55-'Zusammenfassung Tag1-4'!$I$2/18</f>
        <v>5.1111111111111107</v>
      </c>
      <c r="IL55" s="14">
        <f t="shared" si="1350"/>
        <v>190.66666666666677</v>
      </c>
      <c r="IM55" s="53">
        <v>7</v>
      </c>
      <c r="IN55" s="2">
        <v>52</v>
      </c>
      <c r="IO55" s="56">
        <v>2</v>
      </c>
      <c r="IP55" s="2">
        <f t="shared" si="1351"/>
        <v>103</v>
      </c>
      <c r="IQ55" s="2">
        <f t="shared" si="1203"/>
        <v>0</v>
      </c>
      <c r="IR55" s="2">
        <f t="shared" si="1352"/>
        <v>7</v>
      </c>
      <c r="IS55" s="2">
        <f t="shared" si="1204"/>
        <v>0</v>
      </c>
      <c r="IT55" s="2">
        <f t="shared" si="1353"/>
        <v>0</v>
      </c>
      <c r="IU55" s="2"/>
      <c r="IV55" s="2">
        <f t="shared" si="1205"/>
        <v>0</v>
      </c>
      <c r="IW55" s="2">
        <f t="shared" si="1354"/>
        <v>0</v>
      </c>
      <c r="IX55" s="2">
        <f t="shared" si="1355"/>
        <v>0</v>
      </c>
      <c r="IY55" s="2">
        <f t="shared" si="1356"/>
        <v>0</v>
      </c>
      <c r="IZ55" s="2">
        <f t="shared" si="1357"/>
        <v>0</v>
      </c>
      <c r="JA55" s="2">
        <f t="shared" si="1358"/>
        <v>1</v>
      </c>
      <c r="JB55" s="2">
        <f t="shared" si="1359"/>
        <v>1</v>
      </c>
      <c r="JC55" s="2">
        <f t="shared" si="1360"/>
        <v>5</v>
      </c>
      <c r="JD55" s="2">
        <f t="shared" si="1361"/>
        <v>0</v>
      </c>
      <c r="JE55" s="2">
        <f t="shared" si="1362"/>
        <v>0</v>
      </c>
      <c r="JF55" s="2">
        <f t="shared" si="1206"/>
        <v>0</v>
      </c>
      <c r="JG55" s="2">
        <f t="shared" si="1363"/>
        <v>4</v>
      </c>
      <c r="JH55" s="2">
        <f t="shared" si="1364"/>
        <v>1</v>
      </c>
      <c r="JI55" s="2">
        <f t="shared" si="1365"/>
        <v>3</v>
      </c>
      <c r="JJ55" s="2">
        <f t="shared" si="1207"/>
        <v>0</v>
      </c>
      <c r="JK55" s="2">
        <f t="shared" si="1366"/>
        <v>18</v>
      </c>
      <c r="JL55" s="2"/>
      <c r="JM55" s="2">
        <f>IF($E55=4,IM55-4,NA())</f>
        <v>3</v>
      </c>
      <c r="JN55" s="2"/>
      <c r="JO55" s="41">
        <f>IM55-'Zusammenfassung Tag1-4'!$J$2/18</f>
        <v>4.6666666666666661</v>
      </c>
      <c r="JP55" s="14">
        <f t="shared" si="1368"/>
        <v>192.99999999999991</v>
      </c>
      <c r="JQ55" s="53"/>
      <c r="JR55" s="2"/>
      <c r="JS55" s="56"/>
      <c r="JT55" s="2">
        <f t="shared" si="1369"/>
        <v>0</v>
      </c>
      <c r="JU55" s="2">
        <f t="shared" si="1208"/>
        <v>1</v>
      </c>
      <c r="JV55" s="2">
        <f t="shared" si="1370"/>
        <v>42</v>
      </c>
      <c r="JW55" s="2">
        <f t="shared" si="1209"/>
        <v>0</v>
      </c>
      <c r="JX55" s="2">
        <f t="shared" si="1371"/>
        <v>0</v>
      </c>
      <c r="JY55" s="2"/>
      <c r="JZ55" s="2">
        <f t="shared" si="1210"/>
        <v>0</v>
      </c>
      <c r="KA55" s="2">
        <f t="shared" si="1372"/>
        <v>0</v>
      </c>
      <c r="KB55" s="2">
        <f t="shared" si="1373"/>
        <v>0</v>
      </c>
      <c r="KC55" s="2">
        <f t="shared" si="1374"/>
        <v>0</v>
      </c>
      <c r="KD55" s="2">
        <f t="shared" si="1375"/>
        <v>0</v>
      </c>
      <c r="KE55" s="2">
        <f t="shared" si="1376"/>
        <v>0</v>
      </c>
      <c r="KF55" s="2">
        <f t="shared" si="1377"/>
        <v>0</v>
      </c>
      <c r="KG55" s="2">
        <f t="shared" si="1378"/>
        <v>0</v>
      </c>
      <c r="KH55" s="2">
        <f t="shared" si="1379"/>
        <v>1</v>
      </c>
      <c r="KI55" s="2">
        <f t="shared" si="1380"/>
        <v>6</v>
      </c>
      <c r="KJ55" s="2">
        <f t="shared" si="1211"/>
        <v>0</v>
      </c>
      <c r="KK55" s="2">
        <f t="shared" si="1381"/>
        <v>0</v>
      </c>
      <c r="KL55" s="2">
        <f t="shared" si="1382"/>
        <v>0</v>
      </c>
      <c r="KM55" s="2">
        <f t="shared" si="1383"/>
        <v>0</v>
      </c>
      <c r="KN55" s="2">
        <f t="shared" si="1212"/>
        <v>0</v>
      </c>
      <c r="KO55" s="2">
        <f t="shared" si="1384"/>
        <v>0</v>
      </c>
      <c r="KP55" s="2"/>
      <c r="KQ55" s="2">
        <f>IF($E55=4,JQ55-4,NA())</f>
        <v>-4</v>
      </c>
      <c r="KR55" s="2"/>
      <c r="KS55" s="41" t="e">
        <f>JQ55-'Zusammenfassung Tag1-4'!#REF!/18</f>
        <v>#REF!</v>
      </c>
      <c r="KT55" s="14" t="e">
        <f t="shared" si="1386"/>
        <v>#REF!</v>
      </c>
    </row>
    <row r="56" spans="1:306" ht="13.2" x14ac:dyDescent="0.25">
      <c r="A56" s="179"/>
      <c r="B56" s="176"/>
      <c r="C56" s="44">
        <v>7</v>
      </c>
      <c r="D56" s="2">
        <f t="shared" si="1387"/>
        <v>43</v>
      </c>
      <c r="E56" s="44">
        <v>3</v>
      </c>
      <c r="F56" s="4">
        <f t="shared" si="1213"/>
        <v>173</v>
      </c>
      <c r="G56" s="53">
        <v>2</v>
      </c>
      <c r="H56" s="2">
        <f t="shared" si="1388"/>
        <v>206</v>
      </c>
      <c r="I56" s="56">
        <v>0</v>
      </c>
      <c r="J56" s="2">
        <f t="shared" si="1214"/>
        <v>81</v>
      </c>
      <c r="K56" s="2">
        <f t="shared" si="1158"/>
        <v>0</v>
      </c>
      <c r="L56" s="2">
        <f t="shared" si="1215"/>
        <v>14</v>
      </c>
      <c r="M56" s="2">
        <f t="shared" si="1159"/>
        <v>0</v>
      </c>
      <c r="N56" s="2">
        <f t="shared" si="1216"/>
        <v>6</v>
      </c>
      <c r="O56" s="2"/>
      <c r="P56" s="2">
        <f t="shared" si="1160"/>
        <v>1</v>
      </c>
      <c r="Q56" s="2">
        <f t="shared" si="1217"/>
        <v>3</v>
      </c>
      <c r="R56" s="2">
        <f t="shared" si="1161"/>
        <v>0</v>
      </c>
      <c r="S56" s="2">
        <f t="shared" si="1218"/>
        <v>2</v>
      </c>
      <c r="T56" s="2">
        <f t="shared" si="1162"/>
        <v>0</v>
      </c>
      <c r="U56" s="2">
        <f t="shared" si="1219"/>
        <v>3</v>
      </c>
      <c r="V56" s="2">
        <f t="shared" si="1163"/>
        <v>0</v>
      </c>
      <c r="W56" s="2">
        <f t="shared" si="1220"/>
        <v>1</v>
      </c>
      <c r="X56" s="2">
        <f t="shared" si="1164"/>
        <v>1</v>
      </c>
      <c r="Y56" s="2">
        <f t="shared" si="1221"/>
        <v>1</v>
      </c>
      <c r="Z56" s="2">
        <f t="shared" si="1165"/>
        <v>0</v>
      </c>
      <c r="AA56" s="2">
        <f t="shared" si="1222"/>
        <v>8</v>
      </c>
      <c r="AB56" s="2">
        <f t="shared" si="1166"/>
        <v>0</v>
      </c>
      <c r="AC56" s="2">
        <f t="shared" si="1223"/>
        <v>2</v>
      </c>
      <c r="AD56" s="2">
        <f t="shared" si="1167"/>
        <v>0</v>
      </c>
      <c r="AE56" s="2">
        <f t="shared" si="1224"/>
        <v>6</v>
      </c>
      <c r="AF56" s="2">
        <f>IF($E56=3,G56-3,NA())</f>
        <v>-1</v>
      </c>
      <c r="AG56" s="2"/>
      <c r="AH56" s="2"/>
      <c r="AI56" s="41">
        <f>G56-'Zusammenfassung Tag1-4'!$B$2/18</f>
        <v>1.1666666666666665</v>
      </c>
      <c r="AJ56" s="13">
        <f t="shared" si="1225"/>
        <v>170.1666666666666</v>
      </c>
      <c r="AK56" s="53">
        <v>5</v>
      </c>
      <c r="AL56" s="2">
        <f t="shared" si="1389"/>
        <v>210</v>
      </c>
      <c r="AM56" s="56">
        <v>1</v>
      </c>
      <c r="AN56" s="2">
        <f t="shared" si="1226"/>
        <v>80</v>
      </c>
      <c r="AO56" s="2">
        <f t="shared" si="1168"/>
        <v>0</v>
      </c>
      <c r="AP56" s="2">
        <f t="shared" si="1227"/>
        <v>19</v>
      </c>
      <c r="AQ56" s="2">
        <f t="shared" si="1169"/>
        <v>0</v>
      </c>
      <c r="AR56" s="2">
        <f t="shared" si="1228"/>
        <v>5</v>
      </c>
      <c r="AS56" s="2"/>
      <c r="AT56" s="2">
        <f t="shared" si="1170"/>
        <v>0</v>
      </c>
      <c r="AU56" s="2">
        <f t="shared" si="1229"/>
        <v>0</v>
      </c>
      <c r="AV56" s="2">
        <f t="shared" si="1230"/>
        <v>0</v>
      </c>
      <c r="AW56" s="2">
        <f t="shared" si="1231"/>
        <v>3</v>
      </c>
      <c r="AX56" s="2">
        <f t="shared" si="1232"/>
        <v>0</v>
      </c>
      <c r="AY56" s="2">
        <f t="shared" si="1233"/>
        <v>2</v>
      </c>
      <c r="AZ56" s="2">
        <f t="shared" si="1234"/>
        <v>1</v>
      </c>
      <c r="BA56" s="2">
        <f t="shared" si="1235"/>
        <v>2</v>
      </c>
      <c r="BB56" s="2">
        <f t="shared" si="1236"/>
        <v>0</v>
      </c>
      <c r="BC56" s="2">
        <f t="shared" si="1237"/>
        <v>0</v>
      </c>
      <c r="BD56" s="2">
        <f t="shared" si="1171"/>
        <v>1</v>
      </c>
      <c r="BE56" s="2">
        <f t="shared" si="1238"/>
        <v>10</v>
      </c>
      <c r="BF56" s="2">
        <f t="shared" si="1239"/>
        <v>0</v>
      </c>
      <c r="BG56" s="2">
        <f t="shared" si="1240"/>
        <v>4</v>
      </c>
      <c r="BH56" s="2">
        <f t="shared" si="1172"/>
        <v>0</v>
      </c>
      <c r="BI56" s="2">
        <f t="shared" si="1241"/>
        <v>4</v>
      </c>
      <c r="BJ56" s="2">
        <f t="shared" ref="BJ56" si="1401">IF($E56=3,AK56-3,NA())</f>
        <v>2</v>
      </c>
      <c r="BK56" s="2"/>
      <c r="BL56" s="2"/>
      <c r="BM56" s="41">
        <f>AK56-'Zusammenfassung Tag1-4'!$C$2/18</f>
        <v>4.4444444444444446</v>
      </c>
      <c r="BN56" s="13">
        <f t="shared" si="1243"/>
        <v>186.11111111111126</v>
      </c>
      <c r="BO56" s="53">
        <v>4</v>
      </c>
      <c r="BP56" s="2">
        <f t="shared" si="1390"/>
        <v>252</v>
      </c>
      <c r="BQ56" s="56">
        <v>2</v>
      </c>
      <c r="BR56" s="2">
        <f t="shared" si="1244"/>
        <v>98</v>
      </c>
      <c r="BS56" s="2">
        <f t="shared" si="1173"/>
        <v>0</v>
      </c>
      <c r="BT56" s="2">
        <f t="shared" si="1245"/>
        <v>9</v>
      </c>
      <c r="BU56" s="2">
        <f t="shared" si="1174"/>
        <v>0</v>
      </c>
      <c r="BV56" s="2">
        <f t="shared" si="1246"/>
        <v>0</v>
      </c>
      <c r="BW56" s="2"/>
      <c r="BX56" s="2">
        <f t="shared" si="1175"/>
        <v>0</v>
      </c>
      <c r="BY56" s="2">
        <f t="shared" si="1247"/>
        <v>0</v>
      </c>
      <c r="BZ56" s="2">
        <f t="shared" si="1248"/>
        <v>0</v>
      </c>
      <c r="CA56" s="2">
        <f t="shared" si="1249"/>
        <v>0</v>
      </c>
      <c r="CB56" s="2">
        <f t="shared" si="1250"/>
        <v>1</v>
      </c>
      <c r="CC56" s="2">
        <f t="shared" si="1251"/>
        <v>4</v>
      </c>
      <c r="CD56" s="2">
        <f t="shared" si="1252"/>
        <v>0</v>
      </c>
      <c r="CE56" s="2">
        <f t="shared" si="1253"/>
        <v>3</v>
      </c>
      <c r="CF56" s="2">
        <f t="shared" si="1254"/>
        <v>0</v>
      </c>
      <c r="CG56" s="2">
        <f t="shared" si="1247"/>
        <v>0</v>
      </c>
      <c r="CH56" s="2">
        <f t="shared" si="1176"/>
        <v>0</v>
      </c>
      <c r="CI56" s="2">
        <f t="shared" si="1255"/>
        <v>1</v>
      </c>
      <c r="CJ56" s="2">
        <f t="shared" si="1256"/>
        <v>1</v>
      </c>
      <c r="CK56" s="2">
        <f t="shared" si="1257"/>
        <v>5</v>
      </c>
      <c r="CL56" s="2">
        <f t="shared" si="1177"/>
        <v>0</v>
      </c>
      <c r="CM56" s="2">
        <f t="shared" si="1258"/>
        <v>13</v>
      </c>
      <c r="CN56" s="2">
        <f t="shared" ref="CN56" si="1402">IF($E56=3,BO56-3,NA())</f>
        <v>1</v>
      </c>
      <c r="CO56" s="2"/>
      <c r="CP56" s="2"/>
      <c r="CQ56" s="41">
        <f>BO56-'Zusammenfassung Tag1-4'!$D$2/18</f>
        <v>2.9444444444444446</v>
      </c>
      <c r="CR56" s="13">
        <f t="shared" si="1260"/>
        <v>206.61111111111128</v>
      </c>
      <c r="CS56" s="53">
        <v>3</v>
      </c>
      <c r="CT56" s="2">
        <f t="shared" si="1391"/>
        <v>227</v>
      </c>
      <c r="CU56" s="56">
        <v>1</v>
      </c>
      <c r="CV56" s="2">
        <f t="shared" si="1261"/>
        <v>92</v>
      </c>
      <c r="CW56" s="2">
        <f t="shared" si="1178"/>
        <v>0</v>
      </c>
      <c r="CX56" s="2">
        <f t="shared" si="1262"/>
        <v>13</v>
      </c>
      <c r="CY56" s="2">
        <f t="shared" si="1179"/>
        <v>1</v>
      </c>
      <c r="CZ56" s="2">
        <f t="shared" si="1263"/>
        <v>3</v>
      </c>
      <c r="DA56" s="2"/>
      <c r="DB56" s="2">
        <f t="shared" si="1180"/>
        <v>0</v>
      </c>
      <c r="DC56" s="2">
        <f t="shared" si="1264"/>
        <v>0</v>
      </c>
      <c r="DD56" s="2">
        <f t="shared" si="1265"/>
        <v>1</v>
      </c>
      <c r="DE56" s="2">
        <f t="shared" si="1266"/>
        <v>4</v>
      </c>
      <c r="DF56" s="2">
        <f t="shared" si="1267"/>
        <v>0</v>
      </c>
      <c r="DG56" s="2">
        <f t="shared" si="1268"/>
        <v>2</v>
      </c>
      <c r="DH56" s="2">
        <f t="shared" si="1269"/>
        <v>0</v>
      </c>
      <c r="DI56" s="2">
        <f t="shared" si="1270"/>
        <v>1</v>
      </c>
      <c r="DJ56" s="2">
        <f t="shared" si="1271"/>
        <v>0</v>
      </c>
      <c r="DK56" s="2">
        <f t="shared" si="1272"/>
        <v>0</v>
      </c>
      <c r="DL56" s="2">
        <f t="shared" si="1181"/>
        <v>1</v>
      </c>
      <c r="DM56" s="2">
        <f t="shared" si="1273"/>
        <v>7</v>
      </c>
      <c r="DN56" s="2">
        <f t="shared" si="1274"/>
        <v>0</v>
      </c>
      <c r="DO56" s="2">
        <f t="shared" si="1275"/>
        <v>3</v>
      </c>
      <c r="DP56" s="2">
        <f t="shared" si="1182"/>
        <v>0</v>
      </c>
      <c r="DQ56" s="2">
        <f t="shared" si="1276"/>
        <v>12</v>
      </c>
      <c r="DR56" s="2">
        <f t="shared" ref="DR56" si="1403">IF($E56=3,CS56-3,NA())</f>
        <v>0</v>
      </c>
      <c r="DS56" s="2"/>
      <c r="DT56" s="2"/>
      <c r="DU56" s="41">
        <f>CS56-'Zusammenfassung Tag1-4'!$E$2/18</f>
        <v>2</v>
      </c>
      <c r="DV56" s="14">
        <f t="shared" si="1278"/>
        <v>184</v>
      </c>
      <c r="DW56" s="53">
        <v>4</v>
      </c>
      <c r="DX56" s="2">
        <v>38</v>
      </c>
      <c r="DY56" s="56">
        <v>2</v>
      </c>
      <c r="DZ56" s="2">
        <f t="shared" si="1279"/>
        <v>94</v>
      </c>
      <c r="EA56" s="2">
        <f t="shared" si="1183"/>
        <v>0</v>
      </c>
      <c r="EB56" s="2">
        <f t="shared" si="1280"/>
        <v>0</v>
      </c>
      <c r="EC56" s="2">
        <f t="shared" si="1184"/>
        <v>0</v>
      </c>
      <c r="ED56" s="2">
        <f t="shared" si="1281"/>
        <v>1</v>
      </c>
      <c r="EE56" s="2"/>
      <c r="EF56" s="2">
        <f t="shared" si="1185"/>
        <v>0</v>
      </c>
      <c r="EG56" s="2">
        <f t="shared" si="1282"/>
        <v>0</v>
      </c>
      <c r="EH56" s="2">
        <f t="shared" si="1283"/>
        <v>0</v>
      </c>
      <c r="EI56" s="2">
        <f t="shared" si="1284"/>
        <v>1</v>
      </c>
      <c r="EJ56" s="2">
        <f t="shared" si="1285"/>
        <v>1</v>
      </c>
      <c r="EK56" s="2">
        <f t="shared" si="1286"/>
        <v>1</v>
      </c>
      <c r="EL56" s="2">
        <f t="shared" si="1287"/>
        <v>0</v>
      </c>
      <c r="EM56" s="2">
        <f t="shared" si="1288"/>
        <v>5</v>
      </c>
      <c r="EN56" s="2">
        <f t="shared" si="1289"/>
        <v>0</v>
      </c>
      <c r="EO56" s="2">
        <f t="shared" si="1290"/>
        <v>0</v>
      </c>
      <c r="EP56" s="2">
        <f t="shared" si="1186"/>
        <v>0</v>
      </c>
      <c r="EQ56" s="2">
        <f t="shared" si="1291"/>
        <v>6</v>
      </c>
      <c r="ER56" s="2">
        <f t="shared" si="1292"/>
        <v>1</v>
      </c>
      <c r="ES56" s="2">
        <f t="shared" si="1293"/>
        <v>2</v>
      </c>
      <c r="ET56" s="2">
        <f t="shared" si="1187"/>
        <v>0</v>
      </c>
      <c r="EU56" s="2">
        <f t="shared" si="1294"/>
        <v>13</v>
      </c>
      <c r="EV56" s="2">
        <f t="shared" ref="EV56" si="1404">IF($E56=3,DW56-3,NA())</f>
        <v>1</v>
      </c>
      <c r="EW56" s="2"/>
      <c r="EX56" s="2"/>
      <c r="EY56" s="41">
        <f>DW56-'Zusammenfassung Tag1-4'!$F$2/18</f>
        <v>1.5</v>
      </c>
      <c r="EZ56" s="14">
        <f t="shared" si="1296"/>
        <v>195.5</v>
      </c>
      <c r="FA56" s="53">
        <v>5</v>
      </c>
      <c r="FB56" s="2">
        <v>242</v>
      </c>
      <c r="FC56" s="56">
        <v>3</v>
      </c>
      <c r="FD56" s="2">
        <f t="shared" si="1297"/>
        <v>86</v>
      </c>
      <c r="FE56" s="2">
        <f t="shared" si="1188"/>
        <v>0</v>
      </c>
      <c r="FF56" s="2">
        <f t="shared" si="1298"/>
        <v>6</v>
      </c>
      <c r="FG56" s="2">
        <f t="shared" si="1189"/>
        <v>0</v>
      </c>
      <c r="FH56" s="2">
        <f t="shared" si="1299"/>
        <v>4</v>
      </c>
      <c r="FI56" s="2"/>
      <c r="FJ56" s="2">
        <f t="shared" si="1190"/>
        <v>0</v>
      </c>
      <c r="FK56" s="2">
        <f t="shared" si="1300"/>
        <v>0</v>
      </c>
      <c r="FL56" s="2">
        <f t="shared" si="1301"/>
        <v>0</v>
      </c>
      <c r="FM56" s="2">
        <f t="shared" si="1302"/>
        <v>0</v>
      </c>
      <c r="FN56" s="2">
        <f t="shared" si="1303"/>
        <v>0</v>
      </c>
      <c r="FO56" s="2">
        <f t="shared" si="1304"/>
        <v>3</v>
      </c>
      <c r="FP56" s="2">
        <f t="shared" si="1305"/>
        <v>1</v>
      </c>
      <c r="FQ56" s="2">
        <f t="shared" si="1306"/>
        <v>4</v>
      </c>
      <c r="FR56" s="2">
        <f t="shared" si="1307"/>
        <v>0</v>
      </c>
      <c r="FS56" s="2">
        <f t="shared" si="1308"/>
        <v>0</v>
      </c>
      <c r="FT56" s="2">
        <f t="shared" si="1191"/>
        <v>0</v>
      </c>
      <c r="FU56" s="2">
        <f t="shared" si="1309"/>
        <v>11</v>
      </c>
      <c r="FV56" s="2">
        <f t="shared" si="1310"/>
        <v>0</v>
      </c>
      <c r="FW56" s="2">
        <f t="shared" si="1311"/>
        <v>4</v>
      </c>
      <c r="FX56" s="2">
        <f t="shared" si="1192"/>
        <v>1</v>
      </c>
      <c r="FY56" s="2">
        <f t="shared" si="1312"/>
        <v>11</v>
      </c>
      <c r="FZ56" s="2">
        <f t="shared" ref="FZ56" si="1405">IF($E56=3,FA56-3,NA())</f>
        <v>2</v>
      </c>
      <c r="GA56" s="2"/>
      <c r="GB56" s="2"/>
      <c r="GC56" s="41">
        <f>FA56-'Zusammenfassung Tag1-4'!$G$2/18</f>
        <v>3.7222222222222223</v>
      </c>
      <c r="GD56" s="14">
        <f t="shared" si="1314"/>
        <v>185.05555555555571</v>
      </c>
      <c r="GE56" s="53">
        <v>4</v>
      </c>
      <c r="GF56" s="2">
        <v>312</v>
      </c>
      <c r="GG56" s="56">
        <v>2</v>
      </c>
      <c r="GH56" s="2">
        <f t="shared" si="1315"/>
        <v>86</v>
      </c>
      <c r="GI56" s="2">
        <f t="shared" si="1193"/>
        <v>0</v>
      </c>
      <c r="GJ56" s="2">
        <f t="shared" si="1316"/>
        <v>1</v>
      </c>
      <c r="GK56" s="2">
        <f t="shared" si="1194"/>
        <v>0</v>
      </c>
      <c r="GL56" s="2">
        <f t="shared" si="1317"/>
        <v>1</v>
      </c>
      <c r="GM56" s="2"/>
      <c r="GN56" s="2">
        <f t="shared" si="1195"/>
        <v>0</v>
      </c>
      <c r="GO56" s="2">
        <f t="shared" si="1318"/>
        <v>0</v>
      </c>
      <c r="GP56" s="2">
        <f t="shared" si="1319"/>
        <v>0</v>
      </c>
      <c r="GQ56" s="2">
        <f t="shared" si="1320"/>
        <v>0</v>
      </c>
      <c r="GR56" s="2">
        <f t="shared" si="1321"/>
        <v>1</v>
      </c>
      <c r="GS56" s="2">
        <f t="shared" si="1322"/>
        <v>2</v>
      </c>
      <c r="GT56" s="2">
        <f t="shared" si="1323"/>
        <v>0</v>
      </c>
      <c r="GU56" s="2">
        <f t="shared" si="1324"/>
        <v>5</v>
      </c>
      <c r="GV56" s="2">
        <f t="shared" si="1325"/>
        <v>0</v>
      </c>
      <c r="GW56" s="2">
        <f t="shared" si="1326"/>
        <v>0</v>
      </c>
      <c r="GX56" s="2">
        <f t="shared" si="1196"/>
        <v>0</v>
      </c>
      <c r="GY56" s="2">
        <f t="shared" si="1327"/>
        <v>6</v>
      </c>
      <c r="GZ56" s="2">
        <f t="shared" si="1328"/>
        <v>1</v>
      </c>
      <c r="HA56" s="2">
        <f t="shared" si="1329"/>
        <v>7</v>
      </c>
      <c r="HB56" s="2">
        <f t="shared" si="1197"/>
        <v>0</v>
      </c>
      <c r="HC56" s="2">
        <f t="shared" si="1330"/>
        <v>6</v>
      </c>
      <c r="HD56" s="2">
        <f t="shared" ref="HD56" si="1406">IF($E56=3,GE56-3,NA())</f>
        <v>1</v>
      </c>
      <c r="HE56" s="2"/>
      <c r="HF56" s="2"/>
      <c r="HG56" s="41">
        <f>GE56-'Zusammenfassung Tag1-4'!$H$2/18</f>
        <v>2.2222222222222223</v>
      </c>
      <c r="HH56" s="14">
        <f t="shared" si="1332"/>
        <v>204.55555555555574</v>
      </c>
      <c r="HI56" s="53">
        <v>4</v>
      </c>
      <c r="HJ56" s="2">
        <v>230</v>
      </c>
      <c r="HK56" s="56">
        <v>2</v>
      </c>
      <c r="HL56" s="2">
        <f t="shared" si="1333"/>
        <v>86</v>
      </c>
      <c r="HM56" s="2">
        <f t="shared" si="1198"/>
        <v>0</v>
      </c>
      <c r="HN56" s="2">
        <f t="shared" si="1334"/>
        <v>8</v>
      </c>
      <c r="HO56" s="2">
        <f t="shared" si="1199"/>
        <v>0</v>
      </c>
      <c r="HP56" s="2">
        <f t="shared" si="1335"/>
        <v>4</v>
      </c>
      <c r="HQ56" s="2"/>
      <c r="HR56" s="2">
        <f t="shared" si="1200"/>
        <v>0</v>
      </c>
      <c r="HS56" s="2">
        <f t="shared" si="1336"/>
        <v>0</v>
      </c>
      <c r="HT56" s="2">
        <f t="shared" si="1337"/>
        <v>0</v>
      </c>
      <c r="HU56" s="2">
        <f t="shared" si="1338"/>
        <v>4</v>
      </c>
      <c r="HV56" s="2">
        <f t="shared" si="1339"/>
        <v>1</v>
      </c>
      <c r="HW56" s="2">
        <f t="shared" si="1340"/>
        <v>2</v>
      </c>
      <c r="HX56" s="2">
        <f t="shared" si="1341"/>
        <v>0</v>
      </c>
      <c r="HY56" s="2">
        <f t="shared" si="1342"/>
        <v>1</v>
      </c>
      <c r="HZ56" s="2">
        <f t="shared" si="1343"/>
        <v>0</v>
      </c>
      <c r="IA56" s="2">
        <f t="shared" si="1344"/>
        <v>0</v>
      </c>
      <c r="IB56" s="2">
        <f t="shared" si="1201"/>
        <v>0</v>
      </c>
      <c r="IC56" s="2">
        <f t="shared" si="1345"/>
        <v>7</v>
      </c>
      <c r="ID56" s="2">
        <f t="shared" si="1346"/>
        <v>1</v>
      </c>
      <c r="IE56" s="2">
        <f t="shared" si="1347"/>
        <v>6</v>
      </c>
      <c r="IF56" s="2">
        <f t="shared" si="1202"/>
        <v>0</v>
      </c>
      <c r="IG56" s="2">
        <f t="shared" si="1348"/>
        <v>7</v>
      </c>
      <c r="IH56" s="2">
        <f t="shared" ref="IH56" si="1407">IF($E56=3,HI56-3,NA())</f>
        <v>1</v>
      </c>
      <c r="II56" s="2"/>
      <c r="IJ56" s="2"/>
      <c r="IK56" s="41">
        <f>HI56-'Zusammenfassung Tag1-4'!$I$2/18</f>
        <v>3.1111111111111112</v>
      </c>
      <c r="IL56" s="14">
        <f t="shared" si="1350"/>
        <v>193.77777777777789</v>
      </c>
      <c r="IM56" s="53">
        <v>3</v>
      </c>
      <c r="IN56" s="2">
        <v>57</v>
      </c>
      <c r="IO56" s="56">
        <v>1</v>
      </c>
      <c r="IP56" s="2">
        <f t="shared" si="1351"/>
        <v>104</v>
      </c>
      <c r="IQ56" s="2">
        <f t="shared" si="1203"/>
        <v>0</v>
      </c>
      <c r="IR56" s="2">
        <f t="shared" si="1352"/>
        <v>7</v>
      </c>
      <c r="IS56" s="2">
        <f t="shared" si="1204"/>
        <v>1</v>
      </c>
      <c r="IT56" s="2">
        <f t="shared" si="1353"/>
        <v>1</v>
      </c>
      <c r="IU56" s="2"/>
      <c r="IV56" s="2">
        <f t="shared" si="1205"/>
        <v>0</v>
      </c>
      <c r="IW56" s="2">
        <f t="shared" si="1354"/>
        <v>0</v>
      </c>
      <c r="IX56" s="2">
        <f t="shared" si="1355"/>
        <v>1</v>
      </c>
      <c r="IY56" s="2">
        <f t="shared" si="1356"/>
        <v>1</v>
      </c>
      <c r="IZ56" s="2">
        <f t="shared" si="1357"/>
        <v>0</v>
      </c>
      <c r="JA56" s="2">
        <f t="shared" si="1358"/>
        <v>1</v>
      </c>
      <c r="JB56" s="2">
        <f t="shared" si="1359"/>
        <v>0</v>
      </c>
      <c r="JC56" s="2">
        <f t="shared" si="1360"/>
        <v>5</v>
      </c>
      <c r="JD56" s="2">
        <f t="shared" si="1361"/>
        <v>0</v>
      </c>
      <c r="JE56" s="2">
        <f t="shared" si="1362"/>
        <v>0</v>
      </c>
      <c r="JF56" s="2">
        <f t="shared" si="1206"/>
        <v>1</v>
      </c>
      <c r="JG56" s="2">
        <f t="shared" si="1363"/>
        <v>5</v>
      </c>
      <c r="JH56" s="2">
        <f t="shared" si="1364"/>
        <v>0</v>
      </c>
      <c r="JI56" s="2">
        <f t="shared" si="1365"/>
        <v>3</v>
      </c>
      <c r="JJ56" s="2">
        <f t="shared" si="1207"/>
        <v>0</v>
      </c>
      <c r="JK56" s="2">
        <f t="shared" si="1366"/>
        <v>18</v>
      </c>
      <c r="JL56" s="2">
        <f t="shared" ref="JL56" si="1408">IF($E56=3,IM56-3,NA())</f>
        <v>0</v>
      </c>
      <c r="JM56" s="2"/>
      <c r="JN56" s="2"/>
      <c r="JO56" s="41">
        <f>IM56-'Zusammenfassung Tag1-4'!$J$2/18</f>
        <v>0.66666666666666652</v>
      </c>
      <c r="JP56" s="14">
        <f t="shared" si="1368"/>
        <v>193.66666666666657</v>
      </c>
      <c r="JQ56" s="53"/>
      <c r="JR56" s="2"/>
      <c r="JS56" s="56"/>
      <c r="JT56" s="2">
        <f t="shared" si="1369"/>
        <v>0</v>
      </c>
      <c r="JU56" s="2">
        <f t="shared" si="1208"/>
        <v>1</v>
      </c>
      <c r="JV56" s="2">
        <f t="shared" si="1370"/>
        <v>43</v>
      </c>
      <c r="JW56" s="2">
        <f t="shared" si="1209"/>
        <v>0</v>
      </c>
      <c r="JX56" s="2">
        <f t="shared" si="1371"/>
        <v>0</v>
      </c>
      <c r="JY56" s="2"/>
      <c r="JZ56" s="2">
        <f t="shared" si="1210"/>
        <v>0</v>
      </c>
      <c r="KA56" s="2">
        <f t="shared" si="1372"/>
        <v>0</v>
      </c>
      <c r="KB56" s="2">
        <f t="shared" si="1373"/>
        <v>0</v>
      </c>
      <c r="KC56" s="2">
        <f t="shared" si="1374"/>
        <v>0</v>
      </c>
      <c r="KD56" s="2">
        <f t="shared" si="1375"/>
        <v>0</v>
      </c>
      <c r="KE56" s="2">
        <f t="shared" si="1376"/>
        <v>0</v>
      </c>
      <c r="KF56" s="2">
        <f t="shared" si="1377"/>
        <v>0</v>
      </c>
      <c r="KG56" s="2">
        <f t="shared" si="1378"/>
        <v>0</v>
      </c>
      <c r="KH56" s="2">
        <f t="shared" si="1379"/>
        <v>1</v>
      </c>
      <c r="KI56" s="2">
        <f t="shared" si="1380"/>
        <v>7</v>
      </c>
      <c r="KJ56" s="2">
        <f t="shared" si="1211"/>
        <v>0</v>
      </c>
      <c r="KK56" s="2">
        <f t="shared" si="1381"/>
        <v>0</v>
      </c>
      <c r="KL56" s="2">
        <f t="shared" si="1382"/>
        <v>0</v>
      </c>
      <c r="KM56" s="2">
        <f t="shared" si="1383"/>
        <v>0</v>
      </c>
      <c r="KN56" s="2">
        <f t="shared" si="1212"/>
        <v>0</v>
      </c>
      <c r="KO56" s="2">
        <f t="shared" si="1384"/>
        <v>0</v>
      </c>
      <c r="KP56" s="2">
        <f t="shared" ref="KP56" si="1409">IF($E56=3,JQ56-3,NA())</f>
        <v>-3</v>
      </c>
      <c r="KQ56" s="2"/>
      <c r="KR56" s="2"/>
      <c r="KS56" s="41" t="e">
        <f>JQ56-'Zusammenfassung Tag1-4'!#REF!/18</f>
        <v>#REF!</v>
      </c>
      <c r="KT56" s="14" t="e">
        <f t="shared" si="1386"/>
        <v>#REF!</v>
      </c>
    </row>
    <row r="57" spans="1:306" ht="13.2" x14ac:dyDescent="0.25">
      <c r="A57" s="179"/>
      <c r="B57" s="176"/>
      <c r="C57" s="44">
        <v>8</v>
      </c>
      <c r="D57" s="2">
        <f t="shared" si="1387"/>
        <v>44</v>
      </c>
      <c r="E57" s="44">
        <v>4</v>
      </c>
      <c r="F57" s="4">
        <f t="shared" si="1213"/>
        <v>177</v>
      </c>
      <c r="G57" s="53">
        <v>6</v>
      </c>
      <c r="H57" s="2">
        <f t="shared" si="1388"/>
        <v>212</v>
      </c>
      <c r="I57" s="56">
        <v>1</v>
      </c>
      <c r="J57" s="2">
        <f t="shared" si="1214"/>
        <v>82</v>
      </c>
      <c r="K57" s="2">
        <f t="shared" si="1158"/>
        <v>0</v>
      </c>
      <c r="L57" s="2">
        <f t="shared" si="1215"/>
        <v>14</v>
      </c>
      <c r="M57" s="2">
        <f t="shared" si="1159"/>
        <v>0</v>
      </c>
      <c r="N57" s="2">
        <f t="shared" si="1216"/>
        <v>6</v>
      </c>
      <c r="O57" s="2"/>
      <c r="P57" s="2">
        <f t="shared" si="1160"/>
        <v>0</v>
      </c>
      <c r="Q57" s="2">
        <f t="shared" si="1217"/>
        <v>3</v>
      </c>
      <c r="R57" s="2">
        <f t="shared" si="1161"/>
        <v>0</v>
      </c>
      <c r="S57" s="2">
        <f t="shared" si="1218"/>
        <v>2</v>
      </c>
      <c r="T57" s="2">
        <f t="shared" si="1162"/>
        <v>0</v>
      </c>
      <c r="U57" s="2">
        <f t="shared" si="1219"/>
        <v>3</v>
      </c>
      <c r="V57" s="2">
        <f t="shared" si="1163"/>
        <v>1</v>
      </c>
      <c r="W57" s="2">
        <f t="shared" si="1220"/>
        <v>2</v>
      </c>
      <c r="X57" s="2">
        <f t="shared" si="1164"/>
        <v>0</v>
      </c>
      <c r="Y57" s="2">
        <f t="shared" si="1221"/>
        <v>1</v>
      </c>
      <c r="Z57" s="2">
        <f t="shared" si="1165"/>
        <v>1</v>
      </c>
      <c r="AA57" s="2">
        <f t="shared" si="1222"/>
        <v>9</v>
      </c>
      <c r="AB57" s="2">
        <f t="shared" si="1166"/>
        <v>0</v>
      </c>
      <c r="AC57" s="2">
        <f t="shared" si="1223"/>
        <v>2</v>
      </c>
      <c r="AD57" s="2">
        <f t="shared" si="1167"/>
        <v>0</v>
      </c>
      <c r="AE57" s="2">
        <f t="shared" si="1224"/>
        <v>6</v>
      </c>
      <c r="AF57" s="2"/>
      <c r="AG57" s="2">
        <f>IF($E57=4,G57-4,NA())</f>
        <v>2</v>
      </c>
      <c r="AH57" s="2"/>
      <c r="AI57" s="41">
        <f>G57-'Zusammenfassung Tag1-4'!$B$2/18</f>
        <v>5.166666666666667</v>
      </c>
      <c r="AJ57" s="13">
        <f t="shared" si="1225"/>
        <v>175.33333333333326</v>
      </c>
      <c r="AK57" s="53">
        <v>4</v>
      </c>
      <c r="AL57" s="2">
        <f t="shared" si="1389"/>
        <v>214</v>
      </c>
      <c r="AM57" s="56">
        <v>2</v>
      </c>
      <c r="AN57" s="2">
        <f t="shared" si="1226"/>
        <v>82</v>
      </c>
      <c r="AO57" s="2">
        <f t="shared" si="1168"/>
        <v>1</v>
      </c>
      <c r="AP57" s="2">
        <f t="shared" si="1227"/>
        <v>20</v>
      </c>
      <c r="AQ57" s="2">
        <f t="shared" si="1169"/>
        <v>0</v>
      </c>
      <c r="AR57" s="2">
        <f t="shared" si="1228"/>
        <v>5</v>
      </c>
      <c r="AS57" s="2"/>
      <c r="AT57" s="2">
        <f t="shared" si="1170"/>
        <v>0</v>
      </c>
      <c r="AU57" s="2">
        <f t="shared" si="1229"/>
        <v>0</v>
      </c>
      <c r="AV57" s="2">
        <f t="shared" si="1230"/>
        <v>1</v>
      </c>
      <c r="AW57" s="2">
        <f t="shared" si="1231"/>
        <v>4</v>
      </c>
      <c r="AX57" s="2">
        <f t="shared" si="1232"/>
        <v>0</v>
      </c>
      <c r="AY57" s="2">
        <f t="shared" si="1233"/>
        <v>2</v>
      </c>
      <c r="AZ57" s="2">
        <f t="shared" si="1234"/>
        <v>0</v>
      </c>
      <c r="BA57" s="2">
        <f t="shared" si="1235"/>
        <v>2</v>
      </c>
      <c r="BB57" s="2">
        <f t="shared" si="1236"/>
        <v>0</v>
      </c>
      <c r="BC57" s="2">
        <f t="shared" si="1237"/>
        <v>0</v>
      </c>
      <c r="BD57" s="2">
        <f t="shared" si="1171"/>
        <v>0</v>
      </c>
      <c r="BE57" s="2">
        <f t="shared" si="1238"/>
        <v>10</v>
      </c>
      <c r="BF57" s="2">
        <f t="shared" si="1239"/>
        <v>1</v>
      </c>
      <c r="BG57" s="2">
        <f t="shared" si="1240"/>
        <v>5</v>
      </c>
      <c r="BH57" s="2">
        <f t="shared" si="1172"/>
        <v>0</v>
      </c>
      <c r="BI57" s="2">
        <f t="shared" si="1241"/>
        <v>4</v>
      </c>
      <c r="BJ57" s="2"/>
      <c r="BK57" s="2">
        <f t="shared" ref="BK57" si="1410">IF($E57=4,AK57-4,NA())</f>
        <v>0</v>
      </c>
      <c r="BL57" s="2"/>
      <c r="BM57" s="41">
        <f>AK57-'Zusammenfassung Tag1-4'!$C$2/18</f>
        <v>3.4444444444444446</v>
      </c>
      <c r="BN57" s="13">
        <f t="shared" si="1243"/>
        <v>189.55555555555571</v>
      </c>
      <c r="BO57" s="53">
        <v>5</v>
      </c>
      <c r="BP57" s="2">
        <f t="shared" si="1390"/>
        <v>257</v>
      </c>
      <c r="BQ57" s="56">
        <v>2</v>
      </c>
      <c r="BR57" s="2">
        <f t="shared" si="1244"/>
        <v>100</v>
      </c>
      <c r="BS57" s="2">
        <f t="shared" si="1173"/>
        <v>0</v>
      </c>
      <c r="BT57" s="2">
        <f t="shared" si="1245"/>
        <v>9</v>
      </c>
      <c r="BU57" s="2">
        <f t="shared" si="1174"/>
        <v>0</v>
      </c>
      <c r="BV57" s="2">
        <f t="shared" si="1246"/>
        <v>0</v>
      </c>
      <c r="BW57" s="2"/>
      <c r="BX57" s="2">
        <f t="shared" si="1175"/>
        <v>0</v>
      </c>
      <c r="BY57" s="2">
        <f t="shared" si="1247"/>
        <v>0</v>
      </c>
      <c r="BZ57" s="2">
        <f t="shared" si="1248"/>
        <v>0</v>
      </c>
      <c r="CA57" s="2">
        <f t="shared" si="1249"/>
        <v>0</v>
      </c>
      <c r="CB57" s="2">
        <f t="shared" si="1250"/>
        <v>1</v>
      </c>
      <c r="CC57" s="2">
        <f t="shared" si="1251"/>
        <v>5</v>
      </c>
      <c r="CD57" s="2">
        <f t="shared" si="1252"/>
        <v>0</v>
      </c>
      <c r="CE57" s="2">
        <f t="shared" si="1253"/>
        <v>3</v>
      </c>
      <c r="CF57" s="2">
        <f t="shared" si="1254"/>
        <v>0</v>
      </c>
      <c r="CG57" s="2">
        <f t="shared" si="1247"/>
        <v>0</v>
      </c>
      <c r="CH57" s="2">
        <f t="shared" si="1176"/>
        <v>0</v>
      </c>
      <c r="CI57" s="2">
        <f t="shared" si="1255"/>
        <v>1</v>
      </c>
      <c r="CJ57" s="2">
        <f t="shared" si="1256"/>
        <v>1</v>
      </c>
      <c r="CK57" s="2">
        <f t="shared" si="1257"/>
        <v>6</v>
      </c>
      <c r="CL57" s="2">
        <f t="shared" si="1177"/>
        <v>0</v>
      </c>
      <c r="CM57" s="2">
        <f t="shared" si="1258"/>
        <v>13</v>
      </c>
      <c r="CN57" s="2"/>
      <c r="CO57" s="2">
        <f t="shared" ref="CO57" si="1411">IF($E57=4,BO57-4,NA())</f>
        <v>1</v>
      </c>
      <c r="CP57" s="2"/>
      <c r="CQ57" s="41">
        <f>BO57-'Zusammenfassung Tag1-4'!$D$2/18</f>
        <v>3.9444444444444446</v>
      </c>
      <c r="CR57" s="13">
        <f t="shared" si="1260"/>
        <v>210.55555555555574</v>
      </c>
      <c r="CS57" s="53">
        <v>4</v>
      </c>
      <c r="CT57" s="2">
        <f t="shared" si="1391"/>
        <v>231</v>
      </c>
      <c r="CU57" s="56">
        <v>1</v>
      </c>
      <c r="CV57" s="2">
        <f t="shared" si="1261"/>
        <v>93</v>
      </c>
      <c r="CW57" s="2">
        <f t="shared" si="1178"/>
        <v>0</v>
      </c>
      <c r="CX57" s="2">
        <f t="shared" si="1262"/>
        <v>13</v>
      </c>
      <c r="CY57" s="2">
        <f t="shared" si="1179"/>
        <v>1</v>
      </c>
      <c r="CZ57" s="2">
        <f t="shared" si="1263"/>
        <v>4</v>
      </c>
      <c r="DA57" s="2"/>
      <c r="DB57" s="2">
        <f t="shared" si="1180"/>
        <v>0</v>
      </c>
      <c r="DC57" s="2">
        <f t="shared" si="1264"/>
        <v>0</v>
      </c>
      <c r="DD57" s="2">
        <f t="shared" si="1265"/>
        <v>1</v>
      </c>
      <c r="DE57" s="2">
        <f t="shared" si="1266"/>
        <v>5</v>
      </c>
      <c r="DF57" s="2">
        <f t="shared" si="1267"/>
        <v>0</v>
      </c>
      <c r="DG57" s="2">
        <f t="shared" si="1268"/>
        <v>2</v>
      </c>
      <c r="DH57" s="2">
        <f t="shared" si="1269"/>
        <v>0</v>
      </c>
      <c r="DI57" s="2">
        <f t="shared" si="1270"/>
        <v>1</v>
      </c>
      <c r="DJ57" s="2">
        <f t="shared" si="1271"/>
        <v>0</v>
      </c>
      <c r="DK57" s="2">
        <f t="shared" si="1272"/>
        <v>0</v>
      </c>
      <c r="DL57" s="2">
        <f t="shared" si="1181"/>
        <v>1</v>
      </c>
      <c r="DM57" s="2">
        <f t="shared" si="1273"/>
        <v>8</v>
      </c>
      <c r="DN57" s="2">
        <f t="shared" si="1274"/>
        <v>0</v>
      </c>
      <c r="DO57" s="2">
        <f t="shared" si="1275"/>
        <v>3</v>
      </c>
      <c r="DP57" s="2">
        <f t="shared" si="1182"/>
        <v>0</v>
      </c>
      <c r="DQ57" s="2">
        <f t="shared" si="1276"/>
        <v>12</v>
      </c>
      <c r="DR57" s="2"/>
      <c r="DS57" s="2">
        <f t="shared" ref="DS57" si="1412">IF($E57=4,CS57-4,NA())</f>
        <v>0</v>
      </c>
      <c r="DT57" s="2"/>
      <c r="DU57" s="41">
        <f>CS57-'Zusammenfassung Tag1-4'!$E$2/18</f>
        <v>3</v>
      </c>
      <c r="DV57" s="14">
        <f t="shared" si="1278"/>
        <v>187</v>
      </c>
      <c r="DW57" s="53">
        <v>6</v>
      </c>
      <c r="DX57" s="2">
        <v>42</v>
      </c>
      <c r="DY57" s="56">
        <v>2</v>
      </c>
      <c r="DZ57" s="2">
        <f t="shared" si="1279"/>
        <v>96</v>
      </c>
      <c r="EA57" s="2">
        <f t="shared" si="1183"/>
        <v>0</v>
      </c>
      <c r="EB57" s="2">
        <f t="shared" si="1280"/>
        <v>0</v>
      </c>
      <c r="EC57" s="2">
        <f t="shared" si="1184"/>
        <v>0</v>
      </c>
      <c r="ED57" s="2">
        <f t="shared" si="1281"/>
        <v>1</v>
      </c>
      <c r="EE57" s="2"/>
      <c r="EF57" s="2">
        <f t="shared" si="1185"/>
        <v>0</v>
      </c>
      <c r="EG57" s="2">
        <f t="shared" si="1282"/>
        <v>0</v>
      </c>
      <c r="EH57" s="2">
        <f t="shared" si="1283"/>
        <v>0</v>
      </c>
      <c r="EI57" s="2">
        <f t="shared" si="1284"/>
        <v>1</v>
      </c>
      <c r="EJ57" s="2">
        <f t="shared" si="1285"/>
        <v>0</v>
      </c>
      <c r="EK57" s="2">
        <f t="shared" si="1286"/>
        <v>1</v>
      </c>
      <c r="EL57" s="2">
        <f t="shared" si="1287"/>
        <v>1</v>
      </c>
      <c r="EM57" s="2">
        <f t="shared" si="1288"/>
        <v>6</v>
      </c>
      <c r="EN57" s="2">
        <f t="shared" si="1289"/>
        <v>0</v>
      </c>
      <c r="EO57" s="2">
        <f t="shared" si="1290"/>
        <v>0</v>
      </c>
      <c r="EP57" s="2">
        <f t="shared" si="1186"/>
        <v>0</v>
      </c>
      <c r="EQ57" s="2">
        <f t="shared" si="1291"/>
        <v>6</v>
      </c>
      <c r="ER57" s="2">
        <f t="shared" si="1292"/>
        <v>1</v>
      </c>
      <c r="ES57" s="2">
        <f t="shared" si="1293"/>
        <v>3</v>
      </c>
      <c r="ET57" s="2">
        <f t="shared" si="1187"/>
        <v>0</v>
      </c>
      <c r="EU57" s="2">
        <f t="shared" si="1294"/>
        <v>13</v>
      </c>
      <c r="EV57" s="2"/>
      <c r="EW57" s="2">
        <f t="shared" ref="EW57" si="1413">IF($E57=4,DW57-4,NA())</f>
        <v>2</v>
      </c>
      <c r="EX57" s="2"/>
      <c r="EY57" s="41">
        <f>DW57-'Zusammenfassung Tag1-4'!$F$2/18</f>
        <v>3.5</v>
      </c>
      <c r="EZ57" s="14">
        <f t="shared" si="1296"/>
        <v>199</v>
      </c>
      <c r="FA57" s="53">
        <v>5</v>
      </c>
      <c r="FB57" s="2">
        <v>249</v>
      </c>
      <c r="FC57" s="56">
        <v>1</v>
      </c>
      <c r="FD57" s="2">
        <f t="shared" si="1297"/>
        <v>87</v>
      </c>
      <c r="FE57" s="2">
        <f t="shared" si="1188"/>
        <v>0</v>
      </c>
      <c r="FF57" s="2">
        <f t="shared" si="1298"/>
        <v>6</v>
      </c>
      <c r="FG57" s="2">
        <f t="shared" si="1189"/>
        <v>0</v>
      </c>
      <c r="FH57" s="2">
        <f t="shared" si="1299"/>
        <v>4</v>
      </c>
      <c r="FI57" s="2"/>
      <c r="FJ57" s="2">
        <f t="shared" si="1190"/>
        <v>0</v>
      </c>
      <c r="FK57" s="2">
        <f t="shared" si="1300"/>
        <v>0</v>
      </c>
      <c r="FL57" s="2">
        <f t="shared" si="1301"/>
        <v>0</v>
      </c>
      <c r="FM57" s="2">
        <f t="shared" si="1302"/>
        <v>0</v>
      </c>
      <c r="FN57" s="2">
        <f t="shared" si="1303"/>
        <v>1</v>
      </c>
      <c r="FO57" s="2">
        <f t="shared" si="1304"/>
        <v>4</v>
      </c>
      <c r="FP57" s="2">
        <f t="shared" si="1305"/>
        <v>0</v>
      </c>
      <c r="FQ57" s="2">
        <f t="shared" si="1306"/>
        <v>4</v>
      </c>
      <c r="FR57" s="2">
        <f t="shared" si="1307"/>
        <v>0</v>
      </c>
      <c r="FS57" s="2">
        <f t="shared" si="1308"/>
        <v>0</v>
      </c>
      <c r="FT57" s="2">
        <f t="shared" si="1191"/>
        <v>1</v>
      </c>
      <c r="FU57" s="2">
        <f t="shared" si="1309"/>
        <v>12</v>
      </c>
      <c r="FV57" s="2">
        <f t="shared" si="1310"/>
        <v>0</v>
      </c>
      <c r="FW57" s="2">
        <f t="shared" si="1311"/>
        <v>4</v>
      </c>
      <c r="FX57" s="2">
        <f t="shared" si="1192"/>
        <v>0</v>
      </c>
      <c r="FY57" s="2">
        <f t="shared" si="1312"/>
        <v>11</v>
      </c>
      <c r="FZ57" s="2"/>
      <c r="GA57" s="2">
        <f t="shared" ref="GA57" si="1414">IF($E57=4,FA57-4,NA())</f>
        <v>1</v>
      </c>
      <c r="GB57" s="2"/>
      <c r="GC57" s="41">
        <f>FA57-'Zusammenfassung Tag1-4'!$G$2/18</f>
        <v>3.7222222222222223</v>
      </c>
      <c r="GD57" s="14">
        <f t="shared" si="1314"/>
        <v>188.77777777777794</v>
      </c>
      <c r="GE57" s="53">
        <v>8</v>
      </c>
      <c r="GF57" s="2">
        <v>319</v>
      </c>
      <c r="GG57" s="56">
        <v>2</v>
      </c>
      <c r="GH57" s="2">
        <f t="shared" si="1315"/>
        <v>88</v>
      </c>
      <c r="GI57" s="2">
        <f t="shared" si="1193"/>
        <v>0</v>
      </c>
      <c r="GJ57" s="2">
        <f t="shared" si="1316"/>
        <v>1</v>
      </c>
      <c r="GK57" s="2">
        <f t="shared" si="1194"/>
        <v>0</v>
      </c>
      <c r="GL57" s="2">
        <f t="shared" si="1317"/>
        <v>1</v>
      </c>
      <c r="GM57" s="2"/>
      <c r="GN57" s="2">
        <f t="shared" si="1195"/>
        <v>0</v>
      </c>
      <c r="GO57" s="2">
        <f t="shared" si="1318"/>
        <v>0</v>
      </c>
      <c r="GP57" s="2">
        <f t="shared" si="1319"/>
        <v>0</v>
      </c>
      <c r="GQ57" s="2">
        <f t="shared" si="1320"/>
        <v>0</v>
      </c>
      <c r="GR57" s="2">
        <f t="shared" si="1321"/>
        <v>0</v>
      </c>
      <c r="GS57" s="2">
        <f t="shared" si="1322"/>
        <v>2</v>
      </c>
      <c r="GT57" s="2">
        <f t="shared" si="1323"/>
        <v>1</v>
      </c>
      <c r="GU57" s="2">
        <f t="shared" si="1324"/>
        <v>6</v>
      </c>
      <c r="GV57" s="2">
        <f t="shared" si="1325"/>
        <v>0</v>
      </c>
      <c r="GW57" s="2">
        <f t="shared" si="1326"/>
        <v>0</v>
      </c>
      <c r="GX57" s="2">
        <f t="shared" si="1196"/>
        <v>0</v>
      </c>
      <c r="GY57" s="2">
        <f t="shared" si="1327"/>
        <v>6</v>
      </c>
      <c r="GZ57" s="2">
        <f t="shared" si="1328"/>
        <v>1</v>
      </c>
      <c r="HA57" s="2">
        <f t="shared" si="1329"/>
        <v>8</v>
      </c>
      <c r="HB57" s="2">
        <f t="shared" si="1197"/>
        <v>0</v>
      </c>
      <c r="HC57" s="2">
        <f t="shared" si="1330"/>
        <v>6</v>
      </c>
      <c r="HD57" s="2"/>
      <c r="HE57" s="2">
        <f t="shared" ref="HE57" si="1415">IF($E57=4,GE57-4,NA())</f>
        <v>4</v>
      </c>
      <c r="HF57" s="2"/>
      <c r="HG57" s="41">
        <f>GE57-'Zusammenfassung Tag1-4'!$H$2/18</f>
        <v>6.2222222222222223</v>
      </c>
      <c r="HH57" s="14">
        <f t="shared" si="1332"/>
        <v>210.77777777777797</v>
      </c>
      <c r="HI57" s="53">
        <v>5</v>
      </c>
      <c r="HJ57" s="2">
        <v>234</v>
      </c>
      <c r="HK57" s="56">
        <v>0</v>
      </c>
      <c r="HL57" s="2">
        <f t="shared" si="1333"/>
        <v>86</v>
      </c>
      <c r="HM57" s="2">
        <f t="shared" si="1198"/>
        <v>0</v>
      </c>
      <c r="HN57" s="2">
        <f t="shared" si="1334"/>
        <v>8</v>
      </c>
      <c r="HO57" s="2">
        <f t="shared" si="1199"/>
        <v>0</v>
      </c>
      <c r="HP57" s="2">
        <f t="shared" si="1335"/>
        <v>4</v>
      </c>
      <c r="HQ57" s="2"/>
      <c r="HR57" s="2">
        <f t="shared" si="1200"/>
        <v>0</v>
      </c>
      <c r="HS57" s="2">
        <f t="shared" si="1336"/>
        <v>0</v>
      </c>
      <c r="HT57" s="2">
        <f t="shared" si="1337"/>
        <v>0</v>
      </c>
      <c r="HU57" s="2">
        <f t="shared" si="1338"/>
        <v>4</v>
      </c>
      <c r="HV57" s="2">
        <f t="shared" si="1339"/>
        <v>1</v>
      </c>
      <c r="HW57" s="2">
        <f t="shared" si="1340"/>
        <v>3</v>
      </c>
      <c r="HX57" s="2">
        <f t="shared" si="1341"/>
        <v>0</v>
      </c>
      <c r="HY57" s="2">
        <f t="shared" si="1342"/>
        <v>1</v>
      </c>
      <c r="HZ57" s="2">
        <f t="shared" si="1343"/>
        <v>1</v>
      </c>
      <c r="IA57" s="2">
        <f t="shared" si="1344"/>
        <v>1</v>
      </c>
      <c r="IB57" s="2">
        <f t="shared" si="1201"/>
        <v>0</v>
      </c>
      <c r="IC57" s="2">
        <f t="shared" si="1345"/>
        <v>7</v>
      </c>
      <c r="ID57" s="2">
        <f t="shared" si="1346"/>
        <v>0</v>
      </c>
      <c r="IE57" s="2">
        <f t="shared" si="1347"/>
        <v>6</v>
      </c>
      <c r="IF57" s="2">
        <f t="shared" si="1202"/>
        <v>0</v>
      </c>
      <c r="IG57" s="2">
        <f t="shared" si="1348"/>
        <v>7</v>
      </c>
      <c r="IH57" s="2"/>
      <c r="II57" s="2">
        <f t="shared" ref="II57" si="1416">IF($E57=4,HI57-4,NA())</f>
        <v>1</v>
      </c>
      <c r="IJ57" s="2"/>
      <c r="IK57" s="41">
        <f>HI57-'Zusammenfassung Tag1-4'!$I$2/18</f>
        <v>4.1111111111111107</v>
      </c>
      <c r="IL57" s="14">
        <f t="shared" si="1350"/>
        <v>197.888888888889</v>
      </c>
      <c r="IM57" s="53">
        <v>6</v>
      </c>
      <c r="IN57" s="2">
        <v>62</v>
      </c>
      <c r="IO57" s="56">
        <v>2</v>
      </c>
      <c r="IP57" s="2">
        <f t="shared" si="1351"/>
        <v>106</v>
      </c>
      <c r="IQ57" s="2">
        <f t="shared" si="1203"/>
        <v>0</v>
      </c>
      <c r="IR57" s="2">
        <f t="shared" si="1352"/>
        <v>7</v>
      </c>
      <c r="IS57" s="2">
        <f t="shared" si="1204"/>
        <v>0</v>
      </c>
      <c r="IT57" s="2">
        <f t="shared" si="1353"/>
        <v>1</v>
      </c>
      <c r="IU57" s="2"/>
      <c r="IV57" s="2">
        <f t="shared" si="1205"/>
        <v>0</v>
      </c>
      <c r="IW57" s="2">
        <f t="shared" si="1354"/>
        <v>0</v>
      </c>
      <c r="IX57" s="2">
        <f t="shared" si="1355"/>
        <v>0</v>
      </c>
      <c r="IY57" s="2">
        <f t="shared" si="1356"/>
        <v>1</v>
      </c>
      <c r="IZ57" s="2">
        <f t="shared" si="1357"/>
        <v>0</v>
      </c>
      <c r="JA57" s="2">
        <f t="shared" si="1358"/>
        <v>1</v>
      </c>
      <c r="JB57" s="2">
        <f t="shared" si="1359"/>
        <v>1</v>
      </c>
      <c r="JC57" s="2">
        <f t="shared" si="1360"/>
        <v>6</v>
      </c>
      <c r="JD57" s="2">
        <f t="shared" si="1361"/>
        <v>0</v>
      </c>
      <c r="JE57" s="2">
        <f t="shared" si="1362"/>
        <v>0</v>
      </c>
      <c r="JF57" s="2">
        <f t="shared" si="1206"/>
        <v>0</v>
      </c>
      <c r="JG57" s="2">
        <f t="shared" si="1363"/>
        <v>5</v>
      </c>
      <c r="JH57" s="2">
        <f t="shared" si="1364"/>
        <v>1</v>
      </c>
      <c r="JI57" s="2">
        <f t="shared" si="1365"/>
        <v>4</v>
      </c>
      <c r="JJ57" s="2">
        <f t="shared" si="1207"/>
        <v>0</v>
      </c>
      <c r="JK57" s="2">
        <f t="shared" si="1366"/>
        <v>18</v>
      </c>
      <c r="JL57" s="2"/>
      <c r="JM57" s="2">
        <f t="shared" ref="JM57" si="1417">IF($E57=4,IM57-4,NA())</f>
        <v>2</v>
      </c>
      <c r="JN57" s="2"/>
      <c r="JO57" s="41">
        <f>IM57-'Zusammenfassung Tag1-4'!$J$2/18</f>
        <v>3.6666666666666665</v>
      </c>
      <c r="JP57" s="14">
        <f t="shared" si="1368"/>
        <v>197.33333333333323</v>
      </c>
      <c r="JQ57" s="53"/>
      <c r="JR57" s="2"/>
      <c r="JS57" s="56"/>
      <c r="JT57" s="2">
        <f t="shared" si="1369"/>
        <v>0</v>
      </c>
      <c r="JU57" s="2">
        <f t="shared" si="1208"/>
        <v>1</v>
      </c>
      <c r="JV57" s="2">
        <f t="shared" si="1370"/>
        <v>44</v>
      </c>
      <c r="JW57" s="2">
        <f t="shared" si="1209"/>
        <v>0</v>
      </c>
      <c r="JX57" s="2">
        <f t="shared" si="1371"/>
        <v>0</v>
      </c>
      <c r="JY57" s="2"/>
      <c r="JZ57" s="2">
        <f t="shared" si="1210"/>
        <v>0</v>
      </c>
      <c r="KA57" s="2">
        <f t="shared" si="1372"/>
        <v>0</v>
      </c>
      <c r="KB57" s="2">
        <f t="shared" si="1373"/>
        <v>0</v>
      </c>
      <c r="KC57" s="2">
        <f t="shared" si="1374"/>
        <v>0</v>
      </c>
      <c r="KD57" s="2">
        <f t="shared" si="1375"/>
        <v>0</v>
      </c>
      <c r="KE57" s="2">
        <f t="shared" si="1376"/>
        <v>0</v>
      </c>
      <c r="KF57" s="2">
        <f t="shared" si="1377"/>
        <v>0</v>
      </c>
      <c r="KG57" s="2">
        <f t="shared" si="1378"/>
        <v>0</v>
      </c>
      <c r="KH57" s="2">
        <f t="shared" si="1379"/>
        <v>1</v>
      </c>
      <c r="KI57" s="2">
        <f t="shared" si="1380"/>
        <v>8</v>
      </c>
      <c r="KJ57" s="2">
        <f t="shared" si="1211"/>
        <v>0</v>
      </c>
      <c r="KK57" s="2">
        <f t="shared" si="1381"/>
        <v>0</v>
      </c>
      <c r="KL57" s="2">
        <f t="shared" si="1382"/>
        <v>0</v>
      </c>
      <c r="KM57" s="2">
        <f t="shared" si="1383"/>
        <v>0</v>
      </c>
      <c r="KN57" s="2">
        <f t="shared" si="1212"/>
        <v>0</v>
      </c>
      <c r="KO57" s="2">
        <f t="shared" si="1384"/>
        <v>0</v>
      </c>
      <c r="KP57" s="2"/>
      <c r="KQ57" s="2">
        <f t="shared" ref="KQ57" si="1418">IF($E57=4,JQ57-4,NA())</f>
        <v>-4</v>
      </c>
      <c r="KR57" s="2"/>
      <c r="KS57" s="41" t="e">
        <f>JQ57-'Zusammenfassung Tag1-4'!#REF!/18</f>
        <v>#REF!</v>
      </c>
      <c r="KT57" s="14" t="e">
        <f t="shared" si="1386"/>
        <v>#REF!</v>
      </c>
    </row>
    <row r="58" spans="1:306" ht="13.2" x14ac:dyDescent="0.25">
      <c r="A58" s="179"/>
      <c r="B58" s="176"/>
      <c r="C58" s="15">
        <v>9</v>
      </c>
      <c r="D58" s="3">
        <f t="shared" si="1387"/>
        <v>45</v>
      </c>
      <c r="E58" s="15">
        <v>4</v>
      </c>
      <c r="F58" s="1">
        <f t="shared" si="1213"/>
        <v>181</v>
      </c>
      <c r="G58" s="54">
        <v>5</v>
      </c>
      <c r="H58" s="3">
        <f t="shared" si="1388"/>
        <v>217</v>
      </c>
      <c r="I58" s="57">
        <v>2</v>
      </c>
      <c r="J58" s="3">
        <f t="shared" si="1214"/>
        <v>84</v>
      </c>
      <c r="K58" s="3">
        <f t="shared" si="1158"/>
        <v>0</v>
      </c>
      <c r="L58" s="3">
        <f t="shared" si="1215"/>
        <v>14</v>
      </c>
      <c r="M58" s="3">
        <f t="shared" si="1159"/>
        <v>0</v>
      </c>
      <c r="N58" s="3">
        <f t="shared" si="1216"/>
        <v>6</v>
      </c>
      <c r="O58" s="3"/>
      <c r="P58" s="3">
        <f t="shared" si="1160"/>
        <v>0</v>
      </c>
      <c r="Q58" s="3">
        <f t="shared" si="1217"/>
        <v>3</v>
      </c>
      <c r="R58" s="3">
        <f t="shared" si="1161"/>
        <v>0</v>
      </c>
      <c r="S58" s="3">
        <f t="shared" si="1218"/>
        <v>2</v>
      </c>
      <c r="T58" s="3">
        <f t="shared" si="1162"/>
        <v>1</v>
      </c>
      <c r="U58" s="63">
        <f t="shared" si="1219"/>
        <v>4</v>
      </c>
      <c r="V58" s="3">
        <f t="shared" si="1163"/>
        <v>0</v>
      </c>
      <c r="W58" s="63">
        <f t="shared" si="1220"/>
        <v>2</v>
      </c>
      <c r="X58" s="3">
        <f t="shared" si="1164"/>
        <v>0</v>
      </c>
      <c r="Y58" s="3">
        <f t="shared" si="1221"/>
        <v>1</v>
      </c>
      <c r="Z58" s="3">
        <f t="shared" si="1165"/>
        <v>0</v>
      </c>
      <c r="AA58" s="3">
        <f t="shared" si="1222"/>
        <v>9</v>
      </c>
      <c r="AB58" s="3">
        <f t="shared" si="1166"/>
        <v>1</v>
      </c>
      <c r="AC58" s="3">
        <f t="shared" si="1223"/>
        <v>3</v>
      </c>
      <c r="AD58" s="3">
        <f t="shared" si="1167"/>
        <v>0</v>
      </c>
      <c r="AE58" s="3">
        <f t="shared" si="1224"/>
        <v>6</v>
      </c>
      <c r="AF58" s="3"/>
      <c r="AG58" s="3">
        <f>IF($E58=4,G58-4,NA())</f>
        <v>1</v>
      </c>
      <c r="AH58" s="3"/>
      <c r="AI58" s="17">
        <f>G58-'Zusammenfassung Tag1-4'!$B$2/18</f>
        <v>4.166666666666667</v>
      </c>
      <c r="AJ58" s="50">
        <f t="shared" si="1225"/>
        <v>179.49999999999991</v>
      </c>
      <c r="AK58" s="54">
        <v>4</v>
      </c>
      <c r="AL58" s="3">
        <f t="shared" si="1389"/>
        <v>218</v>
      </c>
      <c r="AM58" s="57">
        <v>2</v>
      </c>
      <c r="AN58" s="3">
        <f t="shared" si="1226"/>
        <v>84</v>
      </c>
      <c r="AO58" s="3">
        <f t="shared" si="1168"/>
        <v>1</v>
      </c>
      <c r="AP58" s="3">
        <f t="shared" si="1227"/>
        <v>21</v>
      </c>
      <c r="AQ58" s="3">
        <f t="shared" si="1169"/>
        <v>0</v>
      </c>
      <c r="AR58" s="3">
        <f t="shared" si="1228"/>
        <v>5</v>
      </c>
      <c r="AS58" s="3"/>
      <c r="AT58" s="3">
        <f t="shared" si="1170"/>
        <v>0</v>
      </c>
      <c r="AU58" s="3">
        <f t="shared" si="1229"/>
        <v>0</v>
      </c>
      <c r="AV58" s="3">
        <f>IF(AK58=$E58,1,0)</f>
        <v>1</v>
      </c>
      <c r="AW58" s="3">
        <f t="shared" si="1231"/>
        <v>5</v>
      </c>
      <c r="AX58" s="3">
        <f t="shared" si="1232"/>
        <v>0</v>
      </c>
      <c r="AY58" s="63">
        <f t="shared" si="1233"/>
        <v>2</v>
      </c>
      <c r="AZ58" s="3">
        <f t="shared" si="1234"/>
        <v>0</v>
      </c>
      <c r="BA58" s="63">
        <f t="shared" si="1235"/>
        <v>2</v>
      </c>
      <c r="BB58" s="3">
        <f t="shared" si="1236"/>
        <v>0</v>
      </c>
      <c r="BC58" s="3">
        <f t="shared" si="1237"/>
        <v>0</v>
      </c>
      <c r="BD58" s="3">
        <f t="shared" si="1171"/>
        <v>0</v>
      </c>
      <c r="BE58" s="3">
        <f t="shared" si="1238"/>
        <v>10</v>
      </c>
      <c r="BF58" s="3">
        <f t="shared" si="1239"/>
        <v>1</v>
      </c>
      <c r="BG58" s="3">
        <f t="shared" si="1240"/>
        <v>6</v>
      </c>
      <c r="BH58" s="3">
        <f t="shared" si="1172"/>
        <v>0</v>
      </c>
      <c r="BI58" s="3">
        <f t="shared" si="1241"/>
        <v>4</v>
      </c>
      <c r="BJ58" s="3"/>
      <c r="BK58" s="3">
        <f>IF($E58=4,AK58-4,NA())</f>
        <v>0</v>
      </c>
      <c r="BL58" s="3"/>
      <c r="BM58" s="17">
        <f>AK58-'Zusammenfassung Tag1-4'!$C$2/18</f>
        <v>3.4444444444444446</v>
      </c>
      <c r="BN58" s="50">
        <f t="shared" si="1243"/>
        <v>193.00000000000017</v>
      </c>
      <c r="BO58" s="54">
        <v>7</v>
      </c>
      <c r="BP58" s="3">
        <f t="shared" si="1390"/>
        <v>264</v>
      </c>
      <c r="BQ58" s="57">
        <v>3</v>
      </c>
      <c r="BR58" s="3">
        <f t="shared" si="1244"/>
        <v>103</v>
      </c>
      <c r="BS58" s="3">
        <f t="shared" si="1173"/>
        <v>0</v>
      </c>
      <c r="BT58" s="3">
        <f t="shared" si="1245"/>
        <v>9</v>
      </c>
      <c r="BU58" s="3">
        <f t="shared" si="1174"/>
        <v>0</v>
      </c>
      <c r="BV58" s="3">
        <f t="shared" si="1246"/>
        <v>0</v>
      </c>
      <c r="BW58" s="3"/>
      <c r="BX58" s="3">
        <f t="shared" si="1175"/>
        <v>0</v>
      </c>
      <c r="BY58" s="3">
        <f t="shared" si="1247"/>
        <v>0</v>
      </c>
      <c r="BZ58" s="3">
        <f>IF(BO58=$E58,1,0)</f>
        <v>0</v>
      </c>
      <c r="CA58" s="3">
        <f t="shared" si="1249"/>
        <v>0</v>
      </c>
      <c r="CB58" s="3">
        <f t="shared" si="1250"/>
        <v>0</v>
      </c>
      <c r="CC58" s="63">
        <f t="shared" si="1251"/>
        <v>5</v>
      </c>
      <c r="CD58" s="3">
        <f t="shared" si="1252"/>
        <v>1</v>
      </c>
      <c r="CE58" s="63">
        <f t="shared" si="1253"/>
        <v>4</v>
      </c>
      <c r="CF58" s="3">
        <f t="shared" si="1254"/>
        <v>0</v>
      </c>
      <c r="CG58" s="3">
        <f t="shared" si="1247"/>
        <v>0</v>
      </c>
      <c r="CH58" s="3">
        <f t="shared" si="1176"/>
        <v>0</v>
      </c>
      <c r="CI58" s="3">
        <f t="shared" si="1255"/>
        <v>1</v>
      </c>
      <c r="CJ58" s="3">
        <f t="shared" si="1256"/>
        <v>0</v>
      </c>
      <c r="CK58" s="3">
        <f t="shared" si="1257"/>
        <v>6</v>
      </c>
      <c r="CL58" s="3">
        <f t="shared" si="1177"/>
        <v>1</v>
      </c>
      <c r="CM58" s="3">
        <f t="shared" si="1258"/>
        <v>14</v>
      </c>
      <c r="CN58" s="3"/>
      <c r="CO58" s="3">
        <f>IF($E58=4,BO58-4,NA())</f>
        <v>3</v>
      </c>
      <c r="CP58" s="3"/>
      <c r="CQ58" s="17">
        <f>BO58-'Zusammenfassung Tag1-4'!$D$2/18</f>
        <v>5.9444444444444446</v>
      </c>
      <c r="CR58" s="50">
        <f t="shared" si="1260"/>
        <v>216.5000000000002</v>
      </c>
      <c r="CS58" s="54">
        <v>5</v>
      </c>
      <c r="CT58" s="3">
        <f t="shared" si="1391"/>
        <v>236</v>
      </c>
      <c r="CU58" s="57">
        <v>2</v>
      </c>
      <c r="CV58" s="3">
        <f t="shared" si="1261"/>
        <v>95</v>
      </c>
      <c r="CW58" s="3">
        <f t="shared" si="1178"/>
        <v>0</v>
      </c>
      <c r="CX58" s="3">
        <f t="shared" si="1262"/>
        <v>13</v>
      </c>
      <c r="CY58" s="3">
        <f t="shared" si="1179"/>
        <v>0</v>
      </c>
      <c r="CZ58" s="3">
        <f t="shared" si="1263"/>
        <v>4</v>
      </c>
      <c r="DA58" s="3"/>
      <c r="DB58" s="3">
        <f t="shared" si="1180"/>
        <v>0</v>
      </c>
      <c r="DC58" s="3">
        <f t="shared" si="1264"/>
        <v>0</v>
      </c>
      <c r="DD58" s="3">
        <f>IF(CS58=$E58,1,0)</f>
        <v>0</v>
      </c>
      <c r="DE58" s="3">
        <f t="shared" si="1266"/>
        <v>5</v>
      </c>
      <c r="DF58" s="3">
        <f t="shared" si="1267"/>
        <v>1</v>
      </c>
      <c r="DG58" s="63">
        <f t="shared" si="1268"/>
        <v>3</v>
      </c>
      <c r="DH58" s="3">
        <f t="shared" si="1269"/>
        <v>0</v>
      </c>
      <c r="DI58" s="63">
        <f t="shared" si="1270"/>
        <v>1</v>
      </c>
      <c r="DJ58" s="3">
        <f t="shared" si="1271"/>
        <v>0</v>
      </c>
      <c r="DK58" s="3">
        <f t="shared" si="1272"/>
        <v>0</v>
      </c>
      <c r="DL58" s="3">
        <f t="shared" si="1181"/>
        <v>0</v>
      </c>
      <c r="DM58" s="3">
        <f t="shared" si="1273"/>
        <v>8</v>
      </c>
      <c r="DN58" s="3">
        <f t="shared" si="1274"/>
        <v>1</v>
      </c>
      <c r="DO58" s="3">
        <f t="shared" si="1275"/>
        <v>4</v>
      </c>
      <c r="DP58" s="3">
        <f t="shared" si="1182"/>
        <v>0</v>
      </c>
      <c r="DQ58" s="3">
        <f t="shared" si="1276"/>
        <v>12</v>
      </c>
      <c r="DR58" s="3"/>
      <c r="DS58" s="3">
        <f>IF($E58=4,CS58-4,NA())</f>
        <v>1</v>
      </c>
      <c r="DT58" s="3"/>
      <c r="DU58" s="17">
        <f>CS58-'Zusammenfassung Tag1-4'!$E$2/18</f>
        <v>4</v>
      </c>
      <c r="DV58" s="51">
        <f t="shared" si="1278"/>
        <v>191</v>
      </c>
      <c r="DW58" s="54">
        <v>7</v>
      </c>
      <c r="DX58" s="3">
        <v>46</v>
      </c>
      <c r="DY58" s="57">
        <v>2</v>
      </c>
      <c r="DZ58" s="3">
        <f t="shared" si="1279"/>
        <v>98</v>
      </c>
      <c r="EA58" s="3">
        <f t="shared" si="1183"/>
        <v>0</v>
      </c>
      <c r="EB58" s="3">
        <f t="shared" si="1280"/>
        <v>0</v>
      </c>
      <c r="EC58" s="3">
        <f t="shared" si="1184"/>
        <v>0</v>
      </c>
      <c r="ED58" s="3">
        <f t="shared" si="1281"/>
        <v>1</v>
      </c>
      <c r="EE58" s="3"/>
      <c r="EF58" s="3">
        <f t="shared" si="1185"/>
        <v>0</v>
      </c>
      <c r="EG58" s="3">
        <f t="shared" si="1282"/>
        <v>0</v>
      </c>
      <c r="EH58" s="3">
        <f>IF(DW58=$E58,1,0)</f>
        <v>0</v>
      </c>
      <c r="EI58" s="3">
        <f t="shared" si="1284"/>
        <v>1</v>
      </c>
      <c r="EJ58" s="3">
        <f t="shared" si="1285"/>
        <v>0</v>
      </c>
      <c r="EK58" s="63">
        <f t="shared" si="1286"/>
        <v>1</v>
      </c>
      <c r="EL58" s="3">
        <f t="shared" si="1287"/>
        <v>1</v>
      </c>
      <c r="EM58" s="63">
        <f t="shared" si="1288"/>
        <v>7</v>
      </c>
      <c r="EN58" s="3">
        <f t="shared" si="1289"/>
        <v>0</v>
      </c>
      <c r="EO58" s="3">
        <f t="shared" si="1290"/>
        <v>0</v>
      </c>
      <c r="EP58" s="3">
        <f t="shared" si="1186"/>
        <v>0</v>
      </c>
      <c r="EQ58" s="3">
        <f t="shared" si="1291"/>
        <v>6</v>
      </c>
      <c r="ER58" s="3">
        <f t="shared" si="1292"/>
        <v>1</v>
      </c>
      <c r="ES58" s="3">
        <f t="shared" si="1293"/>
        <v>4</v>
      </c>
      <c r="ET58" s="3">
        <f t="shared" si="1187"/>
        <v>0</v>
      </c>
      <c r="EU58" s="3">
        <f t="shared" si="1294"/>
        <v>13</v>
      </c>
      <c r="EV58" s="3"/>
      <c r="EW58" s="3">
        <f>IF($E58=4,DW58-4,NA())</f>
        <v>3</v>
      </c>
      <c r="EX58" s="3"/>
      <c r="EY58" s="17">
        <f>DW58-'Zusammenfassung Tag1-4'!$F$2/18</f>
        <v>4.5</v>
      </c>
      <c r="EZ58" s="51">
        <f t="shared" si="1296"/>
        <v>203.5</v>
      </c>
      <c r="FA58" s="54">
        <v>4</v>
      </c>
      <c r="FB58" s="3">
        <v>254</v>
      </c>
      <c r="FC58" s="57">
        <v>2</v>
      </c>
      <c r="FD58" s="3">
        <f t="shared" si="1297"/>
        <v>89</v>
      </c>
      <c r="FE58" s="3">
        <f t="shared" si="1188"/>
        <v>1</v>
      </c>
      <c r="FF58" s="3">
        <f t="shared" si="1298"/>
        <v>7</v>
      </c>
      <c r="FG58" s="3">
        <f t="shared" si="1189"/>
        <v>0</v>
      </c>
      <c r="FH58" s="3">
        <f t="shared" si="1299"/>
        <v>4</v>
      </c>
      <c r="FI58" s="3"/>
      <c r="FJ58" s="3">
        <f t="shared" si="1190"/>
        <v>0</v>
      </c>
      <c r="FK58" s="3">
        <f t="shared" si="1300"/>
        <v>0</v>
      </c>
      <c r="FL58" s="3">
        <f>IF(FA58=$E58,1,0)</f>
        <v>1</v>
      </c>
      <c r="FM58" s="3">
        <f t="shared" si="1302"/>
        <v>1</v>
      </c>
      <c r="FN58" s="3">
        <f t="shared" si="1303"/>
        <v>0</v>
      </c>
      <c r="FO58" s="63">
        <f t="shared" si="1304"/>
        <v>4</v>
      </c>
      <c r="FP58" s="3">
        <f t="shared" si="1305"/>
        <v>0</v>
      </c>
      <c r="FQ58" s="63">
        <f t="shared" si="1306"/>
        <v>4</v>
      </c>
      <c r="FR58" s="3">
        <f t="shared" si="1307"/>
        <v>0</v>
      </c>
      <c r="FS58" s="3">
        <f t="shared" si="1308"/>
        <v>0</v>
      </c>
      <c r="FT58" s="3">
        <f t="shared" si="1191"/>
        <v>0</v>
      </c>
      <c r="FU58" s="3">
        <f t="shared" si="1309"/>
        <v>12</v>
      </c>
      <c r="FV58" s="3">
        <f t="shared" si="1310"/>
        <v>1</v>
      </c>
      <c r="FW58" s="3">
        <f t="shared" si="1311"/>
        <v>5</v>
      </c>
      <c r="FX58" s="3">
        <f t="shared" si="1192"/>
        <v>0</v>
      </c>
      <c r="FY58" s="3">
        <f t="shared" si="1312"/>
        <v>11</v>
      </c>
      <c r="FZ58" s="3"/>
      <c r="GA58" s="3">
        <f>IF($E58=4,FA58-4,NA())</f>
        <v>0</v>
      </c>
      <c r="GB58" s="3"/>
      <c r="GC58" s="17">
        <f>FA58-'Zusammenfassung Tag1-4'!$G$2/18</f>
        <v>2.7222222222222223</v>
      </c>
      <c r="GD58" s="51">
        <f t="shared" si="1314"/>
        <v>191.50000000000017</v>
      </c>
      <c r="GE58" s="54">
        <v>6</v>
      </c>
      <c r="GF58" s="3">
        <v>326</v>
      </c>
      <c r="GG58" s="57">
        <v>2</v>
      </c>
      <c r="GH58" s="3">
        <f t="shared" si="1315"/>
        <v>90</v>
      </c>
      <c r="GI58" s="3">
        <f t="shared" si="1193"/>
        <v>0</v>
      </c>
      <c r="GJ58" s="3">
        <f t="shared" si="1316"/>
        <v>1</v>
      </c>
      <c r="GK58" s="3">
        <f t="shared" si="1194"/>
        <v>0</v>
      </c>
      <c r="GL58" s="3">
        <f t="shared" si="1317"/>
        <v>1</v>
      </c>
      <c r="GM58" s="3"/>
      <c r="GN58" s="3">
        <f t="shared" si="1195"/>
        <v>0</v>
      </c>
      <c r="GO58" s="3">
        <f t="shared" si="1318"/>
        <v>0</v>
      </c>
      <c r="GP58" s="3">
        <f>IF(GE58=$E58,1,0)</f>
        <v>0</v>
      </c>
      <c r="GQ58" s="3">
        <f t="shared" si="1320"/>
        <v>0</v>
      </c>
      <c r="GR58" s="3">
        <f t="shared" si="1321"/>
        <v>0</v>
      </c>
      <c r="GS58" s="63">
        <f t="shared" si="1322"/>
        <v>2</v>
      </c>
      <c r="GT58" s="3">
        <f t="shared" si="1323"/>
        <v>1</v>
      </c>
      <c r="GU58" s="63">
        <f t="shared" si="1324"/>
        <v>7</v>
      </c>
      <c r="GV58" s="3">
        <f t="shared" si="1325"/>
        <v>0</v>
      </c>
      <c r="GW58" s="3">
        <f t="shared" si="1326"/>
        <v>0</v>
      </c>
      <c r="GX58" s="3">
        <f t="shared" si="1196"/>
        <v>0</v>
      </c>
      <c r="GY58" s="3">
        <f t="shared" si="1327"/>
        <v>6</v>
      </c>
      <c r="GZ58" s="3">
        <f t="shared" si="1328"/>
        <v>1</v>
      </c>
      <c r="HA58" s="3">
        <f t="shared" si="1329"/>
        <v>9</v>
      </c>
      <c r="HB58" s="3">
        <f t="shared" si="1197"/>
        <v>0</v>
      </c>
      <c r="HC58" s="3">
        <f t="shared" si="1330"/>
        <v>6</v>
      </c>
      <c r="HD58" s="3"/>
      <c r="HE58" s="3">
        <f>IF($E58=4,GE58-4,NA())</f>
        <v>2</v>
      </c>
      <c r="HF58" s="3"/>
      <c r="HG58" s="17">
        <f>GE58-'Zusammenfassung Tag1-4'!$H$2/18</f>
        <v>4.2222222222222223</v>
      </c>
      <c r="HH58" s="51">
        <f t="shared" si="1332"/>
        <v>215.0000000000002</v>
      </c>
      <c r="HI58" s="54">
        <v>4</v>
      </c>
      <c r="HJ58" s="3">
        <v>239</v>
      </c>
      <c r="HK58" s="57">
        <v>1</v>
      </c>
      <c r="HL58" s="3">
        <f t="shared" si="1333"/>
        <v>87</v>
      </c>
      <c r="HM58" s="3">
        <f t="shared" si="1198"/>
        <v>0</v>
      </c>
      <c r="HN58" s="3">
        <f t="shared" si="1334"/>
        <v>8</v>
      </c>
      <c r="HO58" s="3">
        <f t="shared" si="1199"/>
        <v>1</v>
      </c>
      <c r="HP58" s="3">
        <f t="shared" si="1335"/>
        <v>5</v>
      </c>
      <c r="HQ58" s="3"/>
      <c r="HR58" s="3">
        <f t="shared" si="1200"/>
        <v>0</v>
      </c>
      <c r="HS58" s="3">
        <f t="shared" si="1336"/>
        <v>0</v>
      </c>
      <c r="HT58" s="3">
        <f>IF(HI58=$E58,1,0)</f>
        <v>1</v>
      </c>
      <c r="HU58" s="3">
        <f t="shared" si="1338"/>
        <v>5</v>
      </c>
      <c r="HV58" s="3">
        <f t="shared" si="1339"/>
        <v>0</v>
      </c>
      <c r="HW58" s="63">
        <f t="shared" si="1340"/>
        <v>3</v>
      </c>
      <c r="HX58" s="3">
        <f t="shared" si="1341"/>
        <v>0</v>
      </c>
      <c r="HY58" s="63">
        <f t="shared" si="1342"/>
        <v>1</v>
      </c>
      <c r="HZ58" s="3">
        <f t="shared" si="1343"/>
        <v>0</v>
      </c>
      <c r="IA58" s="3">
        <f t="shared" si="1344"/>
        <v>1</v>
      </c>
      <c r="IB58" s="3">
        <f t="shared" si="1201"/>
        <v>1</v>
      </c>
      <c r="IC58" s="3">
        <f t="shared" si="1345"/>
        <v>8</v>
      </c>
      <c r="ID58" s="3">
        <f t="shared" si="1346"/>
        <v>0</v>
      </c>
      <c r="IE58" s="3">
        <f t="shared" si="1347"/>
        <v>6</v>
      </c>
      <c r="IF58" s="3">
        <f t="shared" si="1202"/>
        <v>0</v>
      </c>
      <c r="IG58" s="3">
        <f t="shared" si="1348"/>
        <v>7</v>
      </c>
      <c r="IH58" s="3"/>
      <c r="II58" s="3">
        <f>IF($E58=4,HI58-4,NA())</f>
        <v>0</v>
      </c>
      <c r="IJ58" s="3"/>
      <c r="IK58" s="17">
        <f>HI58-'Zusammenfassung Tag1-4'!$I$2/18</f>
        <v>3.1111111111111112</v>
      </c>
      <c r="IL58" s="51">
        <f t="shared" si="1350"/>
        <v>201.00000000000011</v>
      </c>
      <c r="IM58" s="54">
        <v>6</v>
      </c>
      <c r="IN58" s="3">
        <v>69</v>
      </c>
      <c r="IO58" s="57">
        <v>3</v>
      </c>
      <c r="IP58" s="3">
        <f t="shared" si="1351"/>
        <v>109</v>
      </c>
      <c r="IQ58" s="3">
        <f t="shared" si="1203"/>
        <v>0</v>
      </c>
      <c r="IR58" s="3">
        <f t="shared" si="1352"/>
        <v>7</v>
      </c>
      <c r="IS58" s="3">
        <f t="shared" si="1204"/>
        <v>0</v>
      </c>
      <c r="IT58" s="3">
        <f t="shared" si="1353"/>
        <v>1</v>
      </c>
      <c r="IU58" s="3"/>
      <c r="IV58" s="3">
        <f t="shared" si="1205"/>
        <v>0</v>
      </c>
      <c r="IW58" s="3">
        <f t="shared" si="1354"/>
        <v>0</v>
      </c>
      <c r="IX58" s="3">
        <f>IF(IM58=$E58,1,0)</f>
        <v>0</v>
      </c>
      <c r="IY58" s="3">
        <f t="shared" si="1356"/>
        <v>1</v>
      </c>
      <c r="IZ58" s="3">
        <f t="shared" si="1357"/>
        <v>0</v>
      </c>
      <c r="JA58" s="63">
        <f t="shared" si="1358"/>
        <v>1</v>
      </c>
      <c r="JB58" s="3">
        <f t="shared" si="1359"/>
        <v>1</v>
      </c>
      <c r="JC58" s="63">
        <f t="shared" si="1360"/>
        <v>7</v>
      </c>
      <c r="JD58" s="3">
        <f t="shared" si="1361"/>
        <v>0</v>
      </c>
      <c r="JE58" s="3">
        <f t="shared" si="1362"/>
        <v>0</v>
      </c>
      <c r="JF58" s="3">
        <f t="shared" si="1206"/>
        <v>0</v>
      </c>
      <c r="JG58" s="3">
        <f t="shared" si="1363"/>
        <v>5</v>
      </c>
      <c r="JH58" s="3">
        <f t="shared" si="1364"/>
        <v>0</v>
      </c>
      <c r="JI58" s="3">
        <f t="shared" si="1365"/>
        <v>4</v>
      </c>
      <c r="JJ58" s="3">
        <f t="shared" si="1207"/>
        <v>1</v>
      </c>
      <c r="JK58" s="3">
        <f t="shared" si="1366"/>
        <v>19</v>
      </c>
      <c r="JL58" s="3"/>
      <c r="JM58" s="3">
        <f>IF($E58=4,IM58-4,NA())</f>
        <v>2</v>
      </c>
      <c r="JN58" s="3"/>
      <c r="JO58" s="17">
        <f>IM58-'Zusammenfassung Tag1-4'!$J$2/18</f>
        <v>3.6666666666666665</v>
      </c>
      <c r="JP58" s="51">
        <f t="shared" si="1368"/>
        <v>200.99999999999989</v>
      </c>
      <c r="JQ58" s="54"/>
      <c r="JR58" s="3"/>
      <c r="JS58" s="57"/>
      <c r="JT58" s="3">
        <f t="shared" si="1369"/>
        <v>0</v>
      </c>
      <c r="JU58" s="3">
        <f t="shared" si="1208"/>
        <v>1</v>
      </c>
      <c r="JV58" s="3">
        <f t="shared" si="1370"/>
        <v>45</v>
      </c>
      <c r="JW58" s="3">
        <f t="shared" si="1209"/>
        <v>0</v>
      </c>
      <c r="JX58" s="3">
        <f t="shared" si="1371"/>
        <v>0</v>
      </c>
      <c r="JY58" s="3"/>
      <c r="JZ58" s="3">
        <f t="shared" si="1210"/>
        <v>0</v>
      </c>
      <c r="KA58" s="3">
        <f t="shared" si="1372"/>
        <v>0</v>
      </c>
      <c r="KB58" s="3">
        <f>IF(JQ58=$E58,1,0)</f>
        <v>0</v>
      </c>
      <c r="KC58" s="3">
        <f t="shared" si="1374"/>
        <v>0</v>
      </c>
      <c r="KD58" s="3">
        <f t="shared" si="1375"/>
        <v>0</v>
      </c>
      <c r="KE58" s="63">
        <f t="shared" si="1376"/>
        <v>0</v>
      </c>
      <c r="KF58" s="3">
        <f t="shared" si="1377"/>
        <v>0</v>
      </c>
      <c r="KG58" s="63">
        <f t="shared" si="1378"/>
        <v>0</v>
      </c>
      <c r="KH58" s="3">
        <f t="shared" si="1379"/>
        <v>1</v>
      </c>
      <c r="KI58" s="3">
        <f t="shared" si="1380"/>
        <v>9</v>
      </c>
      <c r="KJ58" s="3">
        <f t="shared" si="1211"/>
        <v>0</v>
      </c>
      <c r="KK58" s="3">
        <f t="shared" si="1381"/>
        <v>0</v>
      </c>
      <c r="KL58" s="3">
        <f t="shared" si="1382"/>
        <v>0</v>
      </c>
      <c r="KM58" s="3">
        <f t="shared" si="1383"/>
        <v>0</v>
      </c>
      <c r="KN58" s="3">
        <f t="shared" si="1212"/>
        <v>0</v>
      </c>
      <c r="KO58" s="3">
        <f t="shared" si="1384"/>
        <v>0</v>
      </c>
      <c r="KP58" s="3"/>
      <c r="KQ58" s="3">
        <f>IF($E58=4,JQ58-4,NA())</f>
        <v>-4</v>
      </c>
      <c r="KR58" s="3"/>
      <c r="KS58" s="17" t="e">
        <f>JQ58-'Zusammenfassung Tag1-4'!#REF!/18</f>
        <v>#REF!</v>
      </c>
      <c r="KT58" s="51" t="e">
        <f t="shared" si="1386"/>
        <v>#REF!</v>
      </c>
    </row>
    <row r="59" spans="1:306" ht="13.2" x14ac:dyDescent="0.25">
      <c r="A59" s="179"/>
      <c r="B59" s="177"/>
      <c r="C59" s="15" t="s">
        <v>25</v>
      </c>
      <c r="D59" s="3"/>
      <c r="E59" s="15">
        <f>SUM(E50:E58)</f>
        <v>37</v>
      </c>
      <c r="F59" s="1"/>
      <c r="G59" s="16">
        <f>SUM(G50:G58)</f>
        <v>45</v>
      </c>
      <c r="H59" s="3"/>
      <c r="I59" s="3">
        <f>SUM(I50:I58)</f>
        <v>17</v>
      </c>
      <c r="J59" s="3"/>
      <c r="K59" s="3">
        <f>SUM(K50:K58)</f>
        <v>3</v>
      </c>
      <c r="L59" s="3"/>
      <c r="M59" s="3">
        <f>SUM(M50:M58)</f>
        <v>1</v>
      </c>
      <c r="N59" s="3"/>
      <c r="O59" s="3"/>
      <c r="P59" s="3">
        <f>SUM(P50:P58)</f>
        <v>1</v>
      </c>
      <c r="Q59" s="3"/>
      <c r="R59" s="3">
        <f>SUM(R50:R58)</f>
        <v>2</v>
      </c>
      <c r="S59" s="3"/>
      <c r="T59" s="3">
        <f>SUM(T50:T58)</f>
        <v>4</v>
      </c>
      <c r="U59" s="3"/>
      <c r="V59" s="3">
        <f>SUM(V50:V58)</f>
        <v>2</v>
      </c>
      <c r="W59" s="3"/>
      <c r="X59" s="3">
        <f>SUM(X50:X58)</f>
        <v>1</v>
      </c>
      <c r="Y59" s="3"/>
      <c r="Z59" s="3">
        <f>SUM(Z50:Z58)</f>
        <v>2</v>
      </c>
      <c r="AA59" s="3"/>
      <c r="AB59" s="3">
        <f>SUM(AB50:AB58)</f>
        <v>3</v>
      </c>
      <c r="AC59" s="3"/>
      <c r="AD59" s="3">
        <f>SUM(AD50:AD58)</f>
        <v>3</v>
      </c>
      <c r="AE59" s="3"/>
      <c r="AF59" s="3">
        <f t="shared" ref="AF59:AH59" si="1419">AVERAGE(AF50:AF58)</f>
        <v>-1</v>
      </c>
      <c r="AG59" s="17">
        <f t="shared" si="1419"/>
        <v>0.83333333333333337</v>
      </c>
      <c r="AH59" s="17">
        <f t="shared" si="1419"/>
        <v>2</v>
      </c>
      <c r="AI59" s="17">
        <f>SUM(AI50:AI58)</f>
        <v>37.5</v>
      </c>
      <c r="AJ59" s="1"/>
      <c r="AK59" s="16">
        <f>SUM(AK50:AK58)</f>
        <v>45</v>
      </c>
      <c r="AL59" s="3"/>
      <c r="AM59" s="3">
        <f>SUM(AM50:AM58)</f>
        <v>15</v>
      </c>
      <c r="AN59" s="3"/>
      <c r="AO59" s="3">
        <f>SUM(AO50:AO58)</f>
        <v>5</v>
      </c>
      <c r="AP59" s="3"/>
      <c r="AQ59" s="3">
        <f>SUM(AQ50:AQ58)</f>
        <v>0</v>
      </c>
      <c r="AR59" s="3"/>
      <c r="AS59" s="3"/>
      <c r="AT59" s="3">
        <f>SUM(AT50:AT58)</f>
        <v>0</v>
      </c>
      <c r="AU59" s="3"/>
      <c r="AV59" s="3">
        <f>SUM(AV50:AV58)</f>
        <v>5</v>
      </c>
      <c r="AW59" s="3"/>
      <c r="AX59" s="3">
        <f>SUM(AX50:AX58)</f>
        <v>2</v>
      </c>
      <c r="AY59" s="3"/>
      <c r="AZ59" s="3">
        <f>SUM(AZ50:AZ58)</f>
        <v>2</v>
      </c>
      <c r="BA59" s="3"/>
      <c r="BB59" s="3">
        <f>SUM(BB50:BB58)</f>
        <v>0</v>
      </c>
      <c r="BC59" s="3"/>
      <c r="BD59" s="3">
        <f>SUM(BD50:BD58)</f>
        <v>3</v>
      </c>
      <c r="BE59" s="3"/>
      <c r="BF59" s="3">
        <f>SUM(BF50:BF58)</f>
        <v>6</v>
      </c>
      <c r="BG59" s="3"/>
      <c r="BH59" s="3">
        <f>SUM(BH50:BH58)</f>
        <v>0</v>
      </c>
      <c r="BI59" s="3"/>
      <c r="BJ59" s="3">
        <f t="shared" ref="BJ59:BL59" si="1420">AVERAGE(BJ50:BJ58)</f>
        <v>2</v>
      </c>
      <c r="BK59" s="17">
        <f t="shared" si="1420"/>
        <v>0.16666666666666666</v>
      </c>
      <c r="BL59" s="17">
        <f t="shared" si="1420"/>
        <v>2.5</v>
      </c>
      <c r="BM59" s="17">
        <f>SUM(BM50:BM58)</f>
        <v>39.999999999999993</v>
      </c>
      <c r="BN59" s="1"/>
      <c r="BO59" s="16">
        <f>SUM(BO50:BO58)</f>
        <v>56</v>
      </c>
      <c r="BP59" s="3"/>
      <c r="BQ59" s="3">
        <f>SUM(BQ50:BQ58)</f>
        <v>21</v>
      </c>
      <c r="BR59" s="3"/>
      <c r="BS59" s="3">
        <f>SUM(BS50:BS58)</f>
        <v>1</v>
      </c>
      <c r="BT59" s="3"/>
      <c r="BU59" s="3">
        <f>SUM(BU50:BU58)</f>
        <v>0</v>
      </c>
      <c r="BV59" s="3"/>
      <c r="BW59" s="3"/>
      <c r="BX59" s="3">
        <f>SUM(BX50:BX58)</f>
        <v>0</v>
      </c>
      <c r="BY59" s="3"/>
      <c r="BZ59" s="3">
        <f>SUM(BZ50:BZ58)</f>
        <v>0</v>
      </c>
      <c r="CA59" s="3"/>
      <c r="CB59" s="3">
        <f>SUM(CB50:CB58)</f>
        <v>5</v>
      </c>
      <c r="CC59" s="3"/>
      <c r="CD59" s="3">
        <f>SUM(CD50:CD58)</f>
        <v>4</v>
      </c>
      <c r="CE59" s="3"/>
      <c r="CF59" s="3">
        <f>SUM(CF50:CF58)</f>
        <v>0</v>
      </c>
      <c r="CG59" s="3"/>
      <c r="CH59" s="3">
        <f>SUM(CH50:CH58)</f>
        <v>0</v>
      </c>
      <c r="CI59" s="3"/>
      <c r="CJ59" s="3">
        <f>SUM(CJ50:CJ58)</f>
        <v>6</v>
      </c>
      <c r="CK59" s="3"/>
      <c r="CL59" s="3">
        <f>SUM(CL50:CL58)</f>
        <v>3</v>
      </c>
      <c r="CM59" s="3"/>
      <c r="CN59" s="3">
        <f t="shared" ref="CN59:CP59" si="1421">AVERAGE(CN50:CN58)</f>
        <v>1</v>
      </c>
      <c r="CO59" s="17">
        <f t="shared" si="1421"/>
        <v>2.3333333333333335</v>
      </c>
      <c r="CP59" s="17">
        <f t="shared" si="1421"/>
        <v>2</v>
      </c>
      <c r="CQ59" s="17">
        <f>SUM(CQ50:CQ58)</f>
        <v>46.499999999999993</v>
      </c>
      <c r="CR59" s="1"/>
      <c r="CS59" s="16">
        <f>SUM(CS50:CS58)</f>
        <v>42</v>
      </c>
      <c r="CT59" s="3"/>
      <c r="CU59" s="3">
        <f>SUM(CU50:CU58)</f>
        <v>15</v>
      </c>
      <c r="CV59" s="3"/>
      <c r="CW59" s="3">
        <f>SUM(CW50:CW58)</f>
        <v>2</v>
      </c>
      <c r="CX59" s="3"/>
      <c r="CY59" s="3">
        <f>SUM(CY50:CY58)</f>
        <v>3</v>
      </c>
      <c r="CZ59" s="3"/>
      <c r="DA59" s="3"/>
      <c r="DB59" s="3">
        <f>SUM(DB50:DB58)</f>
        <v>0</v>
      </c>
      <c r="DC59" s="3"/>
      <c r="DD59" s="3">
        <f>SUM(DD50:DD58)</f>
        <v>5</v>
      </c>
      <c r="DE59" s="3"/>
      <c r="DF59" s="3">
        <f>SUM(DF50:DF58)</f>
        <v>3</v>
      </c>
      <c r="DG59" s="3"/>
      <c r="DH59" s="3">
        <f>SUM(DH50:DH58)</f>
        <v>1</v>
      </c>
      <c r="DI59" s="3"/>
      <c r="DJ59" s="3">
        <f>SUM(DJ50:DJ58)</f>
        <v>0</v>
      </c>
      <c r="DK59" s="3"/>
      <c r="DL59" s="3">
        <f>SUM(DL50:DL58)</f>
        <v>4</v>
      </c>
      <c r="DM59" s="3"/>
      <c r="DN59" s="3">
        <f>SUM(DN50:DN58)</f>
        <v>4</v>
      </c>
      <c r="DO59" s="3"/>
      <c r="DP59" s="3">
        <f>SUM(DP50:DP58)</f>
        <v>1</v>
      </c>
      <c r="DQ59" s="3"/>
      <c r="DR59" s="3">
        <f t="shared" ref="DR59:DT59" si="1422">AVERAGE(DR50:DR58)</f>
        <v>0</v>
      </c>
      <c r="DS59" s="17">
        <f t="shared" si="1422"/>
        <v>0.66666666666666663</v>
      </c>
      <c r="DT59" s="17">
        <f t="shared" si="1422"/>
        <v>0.5</v>
      </c>
      <c r="DU59" s="17">
        <f>SUM(DU50:DU58)</f>
        <v>33</v>
      </c>
      <c r="DV59" s="18"/>
      <c r="DW59" s="16">
        <f>SUM(DW50:DW58)</f>
        <v>61</v>
      </c>
      <c r="DX59" s="3"/>
      <c r="DY59" s="3">
        <f>SUM(DY50:DY58)</f>
        <v>13</v>
      </c>
      <c r="DZ59" s="3"/>
      <c r="EA59" s="3">
        <f>SUM(EA50:EA58)</f>
        <v>0</v>
      </c>
      <c r="EB59" s="3"/>
      <c r="EC59" s="3">
        <f>SUM(EC50:EC58)</f>
        <v>1</v>
      </c>
      <c r="ED59" s="3"/>
      <c r="EE59" s="3"/>
      <c r="EF59" s="3">
        <f>SUM(EF50:EF58)</f>
        <v>0</v>
      </c>
      <c r="EG59" s="3"/>
      <c r="EH59" s="3">
        <f>SUM(EH50:EH58)</f>
        <v>1</v>
      </c>
      <c r="EI59" s="3"/>
      <c r="EJ59" s="3">
        <f>SUM(EJ50:EJ58)</f>
        <v>1</v>
      </c>
      <c r="EK59" s="3"/>
      <c r="EL59" s="3">
        <f>SUM(EL50:EL58)</f>
        <v>7</v>
      </c>
      <c r="EM59" s="3"/>
      <c r="EN59" s="3">
        <f>SUM(EN50:EN58)</f>
        <v>0</v>
      </c>
      <c r="EO59" s="3"/>
      <c r="EP59" s="3">
        <f>SUM(EP50:EP58)</f>
        <v>5</v>
      </c>
      <c r="EQ59" s="3"/>
      <c r="ER59" s="3">
        <f>SUM(ER50:ER58)</f>
        <v>4</v>
      </c>
      <c r="ES59" s="3"/>
      <c r="ET59" s="3">
        <f>SUM(ET50:ET58)</f>
        <v>0</v>
      </c>
      <c r="EU59" s="3"/>
      <c r="EV59" s="3">
        <f t="shared" ref="EV59:EX59" si="1423">AVERAGE(EV50:EV58)</f>
        <v>1</v>
      </c>
      <c r="EW59" s="17">
        <f t="shared" si="1423"/>
        <v>2.6666666666666665</v>
      </c>
      <c r="EX59" s="17">
        <f t="shared" si="1423"/>
        <v>3.5</v>
      </c>
      <c r="EY59" s="17">
        <f>SUM(EY50:EY58)</f>
        <v>38.5</v>
      </c>
      <c r="EZ59" s="18"/>
      <c r="FA59" s="16">
        <f>SUM(FA50:FA58)</f>
        <v>49</v>
      </c>
      <c r="FB59" s="3"/>
      <c r="FC59" s="16">
        <f>SUM(FC50:FC58)</f>
        <v>20</v>
      </c>
      <c r="FD59" s="3"/>
      <c r="FE59" s="3">
        <f>SUM(FE50:FE58)</f>
        <v>1</v>
      </c>
      <c r="FF59" s="3"/>
      <c r="FG59" s="3">
        <f>SUM(FG50:FG58)</f>
        <v>0</v>
      </c>
      <c r="FH59" s="3"/>
      <c r="FI59" s="3"/>
      <c r="FJ59" s="3">
        <f>SUM(FJ50:FJ58)</f>
        <v>0</v>
      </c>
      <c r="FK59" s="3"/>
      <c r="FL59" s="3">
        <f>SUM(FL50:FL58)</f>
        <v>1</v>
      </c>
      <c r="FM59" s="3"/>
      <c r="FN59" s="3">
        <f>SUM(FN50:FN58)</f>
        <v>4</v>
      </c>
      <c r="FO59" s="3"/>
      <c r="FP59" s="3">
        <f>SUM(FP50:FP58)</f>
        <v>4</v>
      </c>
      <c r="FQ59" s="3"/>
      <c r="FR59" s="3">
        <f>SUM(FR50:FR58)</f>
        <v>0</v>
      </c>
      <c r="FS59" s="3"/>
      <c r="FT59" s="3">
        <f>SUM(FT50:FT58)</f>
        <v>1</v>
      </c>
      <c r="FU59" s="3"/>
      <c r="FV59" s="3">
        <f>SUM(FV50:FV58)</f>
        <v>5</v>
      </c>
      <c r="FW59" s="3"/>
      <c r="FX59" s="3">
        <f>SUM(FX50:FX58)</f>
        <v>3</v>
      </c>
      <c r="FY59" s="3"/>
      <c r="FZ59" s="3">
        <f t="shared" ref="FZ59:GB59" si="1424">AVERAGE(FZ50:FZ58)</f>
        <v>2</v>
      </c>
      <c r="GA59" s="17">
        <f t="shared" si="1424"/>
        <v>1.1666666666666667</v>
      </c>
      <c r="GB59" s="17">
        <f t="shared" si="1424"/>
        <v>1.5</v>
      </c>
      <c r="GC59" s="17">
        <f>SUM(GC50:GC58)</f>
        <v>37.5</v>
      </c>
      <c r="GD59" s="18"/>
      <c r="GE59" s="16">
        <f>SUM(GE50:GE58)</f>
        <v>58</v>
      </c>
      <c r="GF59" s="3"/>
      <c r="GG59" s="16">
        <f>SUM(GG50:GG58)</f>
        <v>18</v>
      </c>
      <c r="GH59" s="3"/>
      <c r="GI59" s="3">
        <f>SUM(GI50:GI58)</f>
        <v>0</v>
      </c>
      <c r="GJ59" s="3"/>
      <c r="GK59" s="3">
        <f>SUM(GK50:GK58)</f>
        <v>0</v>
      </c>
      <c r="GL59" s="3"/>
      <c r="GM59" s="3"/>
      <c r="GN59" s="3">
        <f>SUM(GN50:GN58)</f>
        <v>0</v>
      </c>
      <c r="GO59" s="3"/>
      <c r="GP59" s="3">
        <f>SUM(GP50:GP58)</f>
        <v>0</v>
      </c>
      <c r="GQ59" s="3"/>
      <c r="GR59" s="3">
        <f>SUM(GR50:GR58)</f>
        <v>2</v>
      </c>
      <c r="GS59" s="3"/>
      <c r="GT59" s="3">
        <f>SUM(GT50:GT58)</f>
        <v>7</v>
      </c>
      <c r="GU59" s="3"/>
      <c r="GV59" s="3">
        <f>SUM(GV50:GV58)</f>
        <v>0</v>
      </c>
      <c r="GW59" s="3"/>
      <c r="GX59" s="3">
        <f>SUM(GX50:GX58)</f>
        <v>0</v>
      </c>
      <c r="GY59" s="3"/>
      <c r="GZ59" s="3">
        <f>SUM(GZ50:GZ58)</f>
        <v>9</v>
      </c>
      <c r="HA59" s="3"/>
      <c r="HB59" s="3">
        <f>SUM(HB50:HB58)</f>
        <v>0</v>
      </c>
      <c r="HC59" s="3"/>
      <c r="HD59" s="3">
        <f t="shared" ref="HD59:HF59" si="1425">AVERAGE(HD50:HD58)</f>
        <v>1</v>
      </c>
      <c r="HE59" s="17">
        <f t="shared" si="1425"/>
        <v>2.5</v>
      </c>
      <c r="HF59" s="17">
        <f t="shared" si="1425"/>
        <v>2.5</v>
      </c>
      <c r="HG59" s="17">
        <f>SUM(HG50:HG58)</f>
        <v>42</v>
      </c>
      <c r="HH59" s="18"/>
      <c r="HI59" s="16">
        <f>SUM(HI50:HI58)</f>
        <v>42</v>
      </c>
      <c r="HJ59" s="3"/>
      <c r="HK59" s="16">
        <f>SUM(HK50:HK58)</f>
        <v>14</v>
      </c>
      <c r="HL59" s="3"/>
      <c r="HM59" s="3">
        <f>SUM(HM50:HM58)</f>
        <v>3</v>
      </c>
      <c r="HN59" s="3"/>
      <c r="HO59" s="3">
        <f>SUM(HO50:HO58)</f>
        <v>2</v>
      </c>
      <c r="HP59" s="3"/>
      <c r="HQ59" s="3"/>
      <c r="HR59" s="3">
        <f>SUM(HR50:HR58)</f>
        <v>0</v>
      </c>
      <c r="HS59" s="3"/>
      <c r="HT59" s="3">
        <f>SUM(HT50:HT58)</f>
        <v>5</v>
      </c>
      <c r="HU59" s="3"/>
      <c r="HV59" s="3">
        <f>SUM(HV50:HV58)</f>
        <v>3</v>
      </c>
      <c r="HW59" s="3"/>
      <c r="HX59" s="3">
        <f>SUM(HX50:HX58)</f>
        <v>1</v>
      </c>
      <c r="HY59" s="3"/>
      <c r="HZ59" s="3">
        <f>SUM(HZ50:HZ58)</f>
        <v>1</v>
      </c>
      <c r="IA59" s="3"/>
      <c r="IB59" s="3">
        <f>SUM(IB50:IB58)</f>
        <v>2</v>
      </c>
      <c r="IC59" s="3"/>
      <c r="ID59" s="3">
        <f>SUM(ID50:ID58)</f>
        <v>6</v>
      </c>
      <c r="IE59" s="3"/>
      <c r="IF59" s="3">
        <f>SUM(IF50:IF58)</f>
        <v>0</v>
      </c>
      <c r="IG59" s="3"/>
      <c r="IH59" s="3">
        <f t="shared" ref="IH59:IJ59" si="1426">AVERAGE(IH50:IH58)</f>
        <v>1</v>
      </c>
      <c r="II59" s="17">
        <f t="shared" si="1426"/>
        <v>0.66666666666666663</v>
      </c>
      <c r="IJ59" s="17">
        <f t="shared" si="1426"/>
        <v>0</v>
      </c>
      <c r="IK59" s="17">
        <f>SUM(IK50:IK58)</f>
        <v>34</v>
      </c>
      <c r="IL59" s="18"/>
      <c r="IM59" s="16">
        <f>SUM(IM50:IM58)</f>
        <v>61</v>
      </c>
      <c r="IN59" s="3"/>
      <c r="IO59" s="16">
        <f>SUM(IO50:IO58)</f>
        <v>21</v>
      </c>
      <c r="IP59" s="3"/>
      <c r="IQ59" s="3">
        <f>SUM(IQ50:IQ58)</f>
        <v>1</v>
      </c>
      <c r="IR59" s="3"/>
      <c r="IS59" s="3">
        <f>SUM(IS50:IS58)</f>
        <v>1</v>
      </c>
      <c r="IT59" s="3"/>
      <c r="IU59" s="3"/>
      <c r="IV59" s="3">
        <f>SUM(IV50:IV58)</f>
        <v>0</v>
      </c>
      <c r="IW59" s="3"/>
      <c r="IX59" s="3">
        <f>SUM(IX50:IX58)</f>
        <v>1</v>
      </c>
      <c r="IY59" s="3"/>
      <c r="IZ59" s="3">
        <f>SUM(IZ50:IZ58)</f>
        <v>1</v>
      </c>
      <c r="JA59" s="3"/>
      <c r="JB59" s="3">
        <f>SUM(JB50:JB58)</f>
        <v>7</v>
      </c>
      <c r="JC59" s="3"/>
      <c r="JD59" s="3">
        <f>SUM(JD50:JD58)</f>
        <v>0</v>
      </c>
      <c r="JE59" s="3"/>
      <c r="JF59" s="3">
        <f>SUM(JF50:JF58)</f>
        <v>1</v>
      </c>
      <c r="JG59" s="3"/>
      <c r="JH59" s="3">
        <f>SUM(JH50:JH58)</f>
        <v>4</v>
      </c>
      <c r="JI59" s="3"/>
      <c r="JJ59" s="3">
        <f>SUM(JJ50:JJ58)</f>
        <v>4</v>
      </c>
      <c r="JK59" s="3"/>
      <c r="JL59" s="3">
        <f t="shared" ref="JL59:JN59" si="1427">AVERAGE(JL50:JL58)</f>
        <v>0</v>
      </c>
      <c r="JM59" s="17">
        <f t="shared" si="1427"/>
        <v>2.6666666666666665</v>
      </c>
      <c r="JN59" s="17">
        <f t="shared" si="1427"/>
        <v>4</v>
      </c>
      <c r="JO59" s="17">
        <f>SUM(JO50:JO58)</f>
        <v>39.999999999999993</v>
      </c>
      <c r="JP59" s="18"/>
      <c r="JQ59" s="16">
        <v>72</v>
      </c>
      <c r="JR59" s="3"/>
      <c r="JS59" s="3">
        <v>22</v>
      </c>
      <c r="JT59" s="3"/>
      <c r="JU59" s="3">
        <f>SUM(JU50:JU58)</f>
        <v>9</v>
      </c>
      <c r="JV59" s="3"/>
      <c r="JW59" s="3">
        <f>SUM(JW50:JW58)</f>
        <v>0</v>
      </c>
      <c r="JX59" s="3"/>
      <c r="JY59" s="3"/>
      <c r="JZ59" s="3">
        <f>SUM(JZ50:JZ58)</f>
        <v>0</v>
      </c>
      <c r="KA59" s="3"/>
      <c r="KB59" s="3">
        <f>SUM(KB50:KB58)</f>
        <v>0</v>
      </c>
      <c r="KC59" s="3"/>
      <c r="KD59" s="3">
        <f>SUM(KD50:KD58)</f>
        <v>0</v>
      </c>
      <c r="KE59" s="3"/>
      <c r="KF59" s="3">
        <f>SUM(KF50:KF58)</f>
        <v>0</v>
      </c>
      <c r="KG59" s="3"/>
      <c r="KH59" s="3">
        <f>SUM(KH50:KH58)</f>
        <v>9</v>
      </c>
      <c r="KI59" s="3"/>
      <c r="KJ59" s="3">
        <f>SUM(KJ50:KJ58)</f>
        <v>0</v>
      </c>
      <c r="KK59" s="3"/>
      <c r="KL59" s="3">
        <f>SUM(KL50:KL58)</f>
        <v>0</v>
      </c>
      <c r="KM59" s="3"/>
      <c r="KN59" s="3">
        <f>SUM(KN50:KN58)</f>
        <v>0</v>
      </c>
      <c r="KO59" s="3"/>
      <c r="KP59" s="3">
        <f t="shared" ref="KP59:KR59" si="1428">AVERAGE(KP50:KP58)</f>
        <v>-3</v>
      </c>
      <c r="KQ59" s="17">
        <f t="shared" si="1428"/>
        <v>-4</v>
      </c>
      <c r="KR59" s="17">
        <f t="shared" si="1428"/>
        <v>-5</v>
      </c>
      <c r="KS59" s="17" t="e">
        <f>SUM(KS50:KS58)</f>
        <v>#REF!</v>
      </c>
      <c r="KT59" s="18"/>
    </row>
    <row r="60" spans="1:306" ht="13.2" x14ac:dyDescent="0.25">
      <c r="A60" s="179"/>
      <c r="B60" s="175" t="s">
        <v>26</v>
      </c>
      <c r="C60" s="7">
        <v>10</v>
      </c>
      <c r="D60" s="2">
        <f>D58+1</f>
        <v>46</v>
      </c>
      <c r="E60" s="7">
        <v>3</v>
      </c>
      <c r="F60" s="8">
        <f>E60+F58</f>
        <v>184</v>
      </c>
      <c r="G60" s="52">
        <v>4</v>
      </c>
      <c r="H60" s="9">
        <f>G60+H58</f>
        <v>221</v>
      </c>
      <c r="I60" s="55">
        <v>2</v>
      </c>
      <c r="J60" s="9">
        <f>I60+J58</f>
        <v>86</v>
      </c>
      <c r="K60" s="9">
        <f t="shared" ref="K60:K68" si="1429">IF(G60-I60&lt;=$E60-2,1,0)</f>
        <v>0</v>
      </c>
      <c r="L60" s="9">
        <f>K60+L58</f>
        <v>14</v>
      </c>
      <c r="M60" s="9">
        <f t="shared" ref="M60:M68" si="1430">IF(K60=0,IF(G60=$E60,1,0),0)</f>
        <v>0</v>
      </c>
      <c r="N60" s="9">
        <f>M60+N58</f>
        <v>6</v>
      </c>
      <c r="O60" s="9"/>
      <c r="P60" s="9">
        <f t="shared" ref="P60:P68" si="1431">IF($E60-G60=1,1,0)</f>
        <v>0</v>
      </c>
      <c r="Q60" s="9">
        <f>P60+Q58</f>
        <v>3</v>
      </c>
      <c r="R60" s="9">
        <f t="shared" ref="R60:R68" si="1432">IF(G60=$E60,1,0)</f>
        <v>0</v>
      </c>
      <c r="S60" s="9">
        <f>R60+S58</f>
        <v>2</v>
      </c>
      <c r="T60" s="9">
        <f t="shared" ref="T60:T68" si="1433">IF(G60-$E60=1,1,0)</f>
        <v>1</v>
      </c>
      <c r="U60" s="9">
        <f>T60+U58</f>
        <v>5</v>
      </c>
      <c r="V60" s="9">
        <f t="shared" ref="V60:V68" si="1434">IF(G60-$E60&gt;=2,1,0)</f>
        <v>0</v>
      </c>
      <c r="W60" s="9">
        <f>V60+W58</f>
        <v>2</v>
      </c>
      <c r="X60" s="9">
        <f t="shared" ref="X60:X68" si="1435">IF(I60=0,1,0)</f>
        <v>0</v>
      </c>
      <c r="Y60" s="9">
        <f>X60+Y58</f>
        <v>1</v>
      </c>
      <c r="Z60" s="9">
        <f t="shared" ref="Z60:Z68" si="1436">IF(I60=1,1,0)</f>
        <v>0</v>
      </c>
      <c r="AA60" s="9">
        <f>Z60+AA58</f>
        <v>9</v>
      </c>
      <c r="AB60" s="9">
        <f t="shared" ref="AB60:AB68" si="1437">IF(I60=2,1,0)</f>
        <v>1</v>
      </c>
      <c r="AC60" s="9">
        <f>AB60+AC58</f>
        <v>4</v>
      </c>
      <c r="AD60" s="9">
        <f t="shared" ref="AD60:AD68" si="1438">IF(I60&gt;=3,1,0)</f>
        <v>0</v>
      </c>
      <c r="AE60" s="9">
        <f>AD60+AE58</f>
        <v>6</v>
      </c>
      <c r="AF60" s="9">
        <f>IF($E60=3,G60-3,NA())</f>
        <v>1</v>
      </c>
      <c r="AG60" s="9"/>
      <c r="AH60" s="9"/>
      <c r="AI60" s="10">
        <f>G60-'Zusammenfassung Tag1-4'!$B$2/18</f>
        <v>3.1666666666666665</v>
      </c>
      <c r="AJ60" s="11">
        <f>AI60+AJ58</f>
        <v>182.66666666666657</v>
      </c>
      <c r="AK60" s="52">
        <v>5</v>
      </c>
      <c r="AL60" s="9">
        <f>AK60+AL58</f>
        <v>223</v>
      </c>
      <c r="AM60" s="55">
        <v>1</v>
      </c>
      <c r="AN60" s="9">
        <f>AM60+AN58</f>
        <v>85</v>
      </c>
      <c r="AO60" s="9">
        <f t="shared" ref="AO60:AO68" si="1439">IF(AK60-AM60&lt;=$E60-2,1,0)</f>
        <v>0</v>
      </c>
      <c r="AP60" s="9">
        <f>AO60+AP58</f>
        <v>21</v>
      </c>
      <c r="AQ60" s="9">
        <f t="shared" ref="AQ60:AQ68" si="1440">IF(AO60=0,IF(AK60=$E60,1,0),0)</f>
        <v>0</v>
      </c>
      <c r="AR60" s="9">
        <f>AQ60+AR58</f>
        <v>5</v>
      </c>
      <c r="AS60" s="9"/>
      <c r="AT60" s="9">
        <f t="shared" ref="AT60:AT68" si="1441">IF($E60-AK60=1,1,0)</f>
        <v>0</v>
      </c>
      <c r="AU60" s="9">
        <f>AT60+AU58</f>
        <v>0</v>
      </c>
      <c r="AV60" s="9">
        <f>IF(AK60=$E60,1,0)</f>
        <v>0</v>
      </c>
      <c r="AW60" s="9">
        <f>AV60+AW58</f>
        <v>5</v>
      </c>
      <c r="AX60" s="9">
        <f>IF(AK60-$E60=1,1,0)</f>
        <v>0</v>
      </c>
      <c r="AY60" s="9">
        <f>AX60+AY58</f>
        <v>2</v>
      </c>
      <c r="AZ60" s="9">
        <f>IF(AK60-$E60&gt;=2,1,0)</f>
        <v>1</v>
      </c>
      <c r="BA60" s="9">
        <f>AZ60+BA58</f>
        <v>3</v>
      </c>
      <c r="BB60" s="9">
        <f>IF(AM60=0,1,0)</f>
        <v>0</v>
      </c>
      <c r="BC60" s="9">
        <f>BB60+BC58</f>
        <v>0</v>
      </c>
      <c r="BD60" s="9">
        <f t="shared" ref="BD60:BD68" si="1442">IF(AM60=1,1,0)</f>
        <v>1</v>
      </c>
      <c r="BE60" s="9">
        <f>BD60+BE58</f>
        <v>11</v>
      </c>
      <c r="BF60" s="9">
        <f>IF(AM60=2,1,0)</f>
        <v>0</v>
      </c>
      <c r="BG60" s="9">
        <f>BF60+BG58</f>
        <v>6</v>
      </c>
      <c r="BH60" s="9">
        <f t="shared" ref="BH60:BH68" si="1443">IF(AM60&gt;=3,1,0)</f>
        <v>0</v>
      </c>
      <c r="BI60" s="9">
        <f>BH60+BI58</f>
        <v>4</v>
      </c>
      <c r="BJ60" s="9">
        <f t="shared" ref="BJ60" si="1444">IF($E60=3,AK60-3,NA())</f>
        <v>2</v>
      </c>
      <c r="BK60" s="9"/>
      <c r="BL60" s="9"/>
      <c r="BM60" s="10">
        <f>AK60-'Zusammenfassung Tag1-4'!$C$2/18</f>
        <v>4.4444444444444446</v>
      </c>
      <c r="BN60" s="11">
        <f>BM60+BN58</f>
        <v>197.44444444444463</v>
      </c>
      <c r="BO60" s="52">
        <v>5</v>
      </c>
      <c r="BP60" s="9">
        <f>BO60+BP58</f>
        <v>269</v>
      </c>
      <c r="BQ60" s="55">
        <v>2</v>
      </c>
      <c r="BR60" s="9">
        <f>BQ60+BR58</f>
        <v>105</v>
      </c>
      <c r="BS60" s="9">
        <f t="shared" ref="BS60:BS68" si="1445">IF(BO60-BQ60&lt;=$E60-2,1,0)</f>
        <v>0</v>
      </c>
      <c r="BT60" s="9">
        <f>BS60+BT58</f>
        <v>9</v>
      </c>
      <c r="BU60" s="9">
        <f t="shared" ref="BU60:BU68" si="1446">IF(BS60=0,IF(BO60=$E60,1,0),0)</f>
        <v>0</v>
      </c>
      <c r="BV60" s="9">
        <f>BU60+BV58</f>
        <v>0</v>
      </c>
      <c r="BW60" s="9"/>
      <c r="BX60" s="9">
        <f t="shared" ref="BX60:BX68" si="1447">IF($E60-BO60=1,1,0)</f>
        <v>0</v>
      </c>
      <c r="BY60" s="9">
        <f>BX60+BY58</f>
        <v>0</v>
      </c>
      <c r="BZ60" s="9">
        <f>IF(BO60=$E60,1,0)</f>
        <v>0</v>
      </c>
      <c r="CA60" s="9">
        <f>BZ60+CA58</f>
        <v>0</v>
      </c>
      <c r="CB60" s="9">
        <f>IF(BO60-$E60=1,1,0)</f>
        <v>0</v>
      </c>
      <c r="CC60" s="9">
        <f>CB60+CC58</f>
        <v>5</v>
      </c>
      <c r="CD60" s="9">
        <f>IF(BO60-$E60&gt;=2,1,0)</f>
        <v>1</v>
      </c>
      <c r="CE60" s="9">
        <f>CD60+CE58</f>
        <v>5</v>
      </c>
      <c r="CF60" s="9">
        <f>IF(BQ60=0,1,0)</f>
        <v>0</v>
      </c>
      <c r="CG60" s="9">
        <f>CF60+CG58</f>
        <v>0</v>
      </c>
      <c r="CH60" s="9">
        <f t="shared" ref="CH60:CH68" si="1448">IF(BQ60=1,1,0)</f>
        <v>0</v>
      </c>
      <c r="CI60" s="9">
        <f>CH60+CI58</f>
        <v>1</v>
      </c>
      <c r="CJ60" s="9">
        <f>IF(BQ60=2,1,0)</f>
        <v>1</v>
      </c>
      <c r="CK60" s="9">
        <f>CJ60+CK58</f>
        <v>7</v>
      </c>
      <c r="CL60" s="9">
        <f t="shared" ref="CL60:CL68" si="1449">IF(BQ60&gt;=3,1,0)</f>
        <v>0</v>
      </c>
      <c r="CM60" s="9">
        <f>CL60+CM58</f>
        <v>14</v>
      </c>
      <c r="CN60" s="9">
        <f t="shared" ref="CN60" si="1450">IF($E60=3,BO60-3,NA())</f>
        <v>2</v>
      </c>
      <c r="CO60" s="9"/>
      <c r="CP60" s="9"/>
      <c r="CQ60" s="10">
        <f>BO60-'Zusammenfassung Tag1-4'!$D$2/18</f>
        <v>3.9444444444444446</v>
      </c>
      <c r="CR60" s="11">
        <f>CQ60+CR58</f>
        <v>220.44444444444466</v>
      </c>
      <c r="CS60" s="52">
        <v>4</v>
      </c>
      <c r="CT60" s="9">
        <f>CS60+CT58</f>
        <v>240</v>
      </c>
      <c r="CU60" s="55">
        <v>2</v>
      </c>
      <c r="CV60" s="9">
        <f>CU60+CV58</f>
        <v>97</v>
      </c>
      <c r="CW60" s="9">
        <f t="shared" ref="CW60:CW68" si="1451">IF(CS60-CU60&lt;=$E60-2,1,0)</f>
        <v>0</v>
      </c>
      <c r="CX60" s="9">
        <f>CW60+CX58</f>
        <v>13</v>
      </c>
      <c r="CY60" s="9">
        <f t="shared" ref="CY60:CY68" si="1452">IF(CW60=0,IF(CS60=$E60,1,0),0)</f>
        <v>0</v>
      </c>
      <c r="CZ60" s="9">
        <f>CY60+CZ58</f>
        <v>4</v>
      </c>
      <c r="DA60" s="9"/>
      <c r="DB60" s="9">
        <f t="shared" ref="DB60:DB68" si="1453">IF($E60-CS60=1,1,0)</f>
        <v>0</v>
      </c>
      <c r="DC60" s="9">
        <f>DB60+DC58</f>
        <v>0</v>
      </c>
      <c r="DD60" s="9">
        <f>IF(CS60=$E60,1,0)</f>
        <v>0</v>
      </c>
      <c r="DE60" s="9">
        <f>DD60+DE58</f>
        <v>5</v>
      </c>
      <c r="DF60" s="9">
        <f>IF(CS60-$E60=1,1,0)</f>
        <v>1</v>
      </c>
      <c r="DG60" s="9">
        <f>DF60+DG58</f>
        <v>4</v>
      </c>
      <c r="DH60" s="9">
        <f>IF(CS60-$E60&gt;=2,1,0)</f>
        <v>0</v>
      </c>
      <c r="DI60" s="9">
        <f>DH60+DI58</f>
        <v>1</v>
      </c>
      <c r="DJ60" s="9">
        <f>IF(CU60=0,1,0)</f>
        <v>0</v>
      </c>
      <c r="DK60" s="9">
        <f>DJ60+DK58</f>
        <v>0</v>
      </c>
      <c r="DL60" s="9">
        <f t="shared" ref="DL60:DL68" si="1454">IF(CU60=1,1,0)</f>
        <v>0</v>
      </c>
      <c r="DM60" s="9">
        <f>DL60+DM58</f>
        <v>8</v>
      </c>
      <c r="DN60" s="9">
        <f>IF(CU60=2,1,0)</f>
        <v>1</v>
      </c>
      <c r="DO60" s="9">
        <f>DN60+DO58</f>
        <v>5</v>
      </c>
      <c r="DP60" s="9">
        <f t="shared" ref="DP60:DP68" si="1455">IF(CU60&gt;=3,1,0)</f>
        <v>0</v>
      </c>
      <c r="DQ60" s="9">
        <f>DP60+DQ58</f>
        <v>12</v>
      </c>
      <c r="DR60" s="9">
        <f t="shared" ref="DR60" si="1456">IF($E60=3,CS60-3,NA())</f>
        <v>1</v>
      </c>
      <c r="DS60" s="9"/>
      <c r="DT60" s="9"/>
      <c r="DU60" s="10">
        <f>CS60-'Zusammenfassung Tag1-4'!$E$2/18</f>
        <v>3</v>
      </c>
      <c r="DV60" s="12">
        <f>DU60+DV58</f>
        <v>194</v>
      </c>
      <c r="DW60" s="52">
        <v>4</v>
      </c>
      <c r="DX60" s="9">
        <v>50</v>
      </c>
      <c r="DY60" s="55">
        <v>2</v>
      </c>
      <c r="DZ60" s="9">
        <f>DY60+DZ58</f>
        <v>100</v>
      </c>
      <c r="EA60" s="9">
        <f t="shared" ref="EA60:EA68" si="1457">IF(DW60-DY60&lt;=$E60-2,1,0)</f>
        <v>0</v>
      </c>
      <c r="EB60" s="9">
        <f>EA60+EB58</f>
        <v>0</v>
      </c>
      <c r="EC60" s="9">
        <f t="shared" ref="EC60:EC68" si="1458">IF(EA60=0,IF(DW60=$E60,1,0),0)</f>
        <v>0</v>
      </c>
      <c r="ED60" s="9">
        <f>EC60+ED58</f>
        <v>1</v>
      </c>
      <c r="EE60" s="9"/>
      <c r="EF60" s="9">
        <f t="shared" ref="EF60:EF68" si="1459">IF($E60-DW60=1,1,0)</f>
        <v>0</v>
      </c>
      <c r="EG60" s="9">
        <f>EF60+EG58</f>
        <v>0</v>
      </c>
      <c r="EH60" s="9">
        <f>IF(DW60=$E60,1,0)</f>
        <v>0</v>
      </c>
      <c r="EI60" s="9">
        <f>EH60+EI58</f>
        <v>1</v>
      </c>
      <c r="EJ60" s="9">
        <f>IF(DW60-$E60=1,1,0)</f>
        <v>1</v>
      </c>
      <c r="EK60" s="9">
        <f>EJ60+EK58</f>
        <v>2</v>
      </c>
      <c r="EL60" s="9">
        <f>IF(DW60-$E60&gt;=2,1,0)</f>
        <v>0</v>
      </c>
      <c r="EM60" s="9">
        <f>EL60+EM58</f>
        <v>7</v>
      </c>
      <c r="EN60" s="9">
        <f>IF(DY60=0,1,0)</f>
        <v>0</v>
      </c>
      <c r="EO60" s="9">
        <f>EN60+EO58</f>
        <v>0</v>
      </c>
      <c r="EP60" s="9">
        <f t="shared" ref="EP60:EP68" si="1460">IF(DY60=1,1,0)</f>
        <v>0</v>
      </c>
      <c r="EQ60" s="9">
        <f>EP60+EQ58</f>
        <v>6</v>
      </c>
      <c r="ER60" s="9">
        <f>IF(DY60=2,1,0)</f>
        <v>1</v>
      </c>
      <c r="ES60" s="9">
        <f>ER60+ES58</f>
        <v>5</v>
      </c>
      <c r="ET60" s="9">
        <f t="shared" ref="ET60:ET68" si="1461">IF(DY60&gt;=3,1,0)</f>
        <v>0</v>
      </c>
      <c r="EU60" s="9">
        <f>ET60+EU58</f>
        <v>13</v>
      </c>
      <c r="EV60" s="9">
        <f t="shared" ref="EV60" si="1462">IF($E60=3,DW60-3,NA())</f>
        <v>1</v>
      </c>
      <c r="EW60" s="9"/>
      <c r="EX60" s="9"/>
      <c r="EY60" s="10">
        <f>DW60-'Zusammenfassung Tag1-4'!$F$2/18</f>
        <v>1.5</v>
      </c>
      <c r="EZ60" s="12">
        <f>EY60+EZ58</f>
        <v>205</v>
      </c>
      <c r="FA60" s="52">
        <v>6</v>
      </c>
      <c r="FB60" s="9">
        <v>258</v>
      </c>
      <c r="FC60" s="55">
        <v>1</v>
      </c>
      <c r="FD60" s="9">
        <f>FC60+FD58</f>
        <v>90</v>
      </c>
      <c r="FE60" s="9">
        <f t="shared" ref="FE60:FE68" si="1463">IF(FA60-FC60&lt;=$E60-2,1,0)</f>
        <v>0</v>
      </c>
      <c r="FF60" s="9">
        <f>FE60+FF58</f>
        <v>7</v>
      </c>
      <c r="FG60" s="9">
        <f t="shared" ref="FG60:FG68" si="1464">IF(FE60=0,IF(FA60=$E60,1,0),0)</f>
        <v>0</v>
      </c>
      <c r="FH60" s="9">
        <f>FG60+FH58</f>
        <v>4</v>
      </c>
      <c r="FI60" s="9"/>
      <c r="FJ60" s="9">
        <f t="shared" ref="FJ60:FJ68" si="1465">IF($E60-FA60=1,1,0)</f>
        <v>0</v>
      </c>
      <c r="FK60" s="9">
        <f>FJ60+FK58</f>
        <v>0</v>
      </c>
      <c r="FL60" s="9">
        <f>IF(FA60=$E60,1,0)</f>
        <v>0</v>
      </c>
      <c r="FM60" s="9">
        <f>FL60+FM58</f>
        <v>1</v>
      </c>
      <c r="FN60" s="9">
        <f>IF(FA60-$E60=1,1,0)</f>
        <v>0</v>
      </c>
      <c r="FO60" s="9">
        <f>FN60+FO58</f>
        <v>4</v>
      </c>
      <c r="FP60" s="9">
        <f>IF(FA60-$E60&gt;=2,1,0)</f>
        <v>1</v>
      </c>
      <c r="FQ60" s="9">
        <f>FP60+FQ58</f>
        <v>5</v>
      </c>
      <c r="FR60" s="9">
        <f>IF(FC60=0,1,0)</f>
        <v>0</v>
      </c>
      <c r="FS60" s="9">
        <f>FR60+FS58</f>
        <v>0</v>
      </c>
      <c r="FT60" s="9">
        <f t="shared" ref="FT60:FT68" si="1466">IF(FC60=1,1,0)</f>
        <v>1</v>
      </c>
      <c r="FU60" s="9">
        <f>FT60+FU58</f>
        <v>13</v>
      </c>
      <c r="FV60" s="9">
        <f>IF(FC60=2,1,0)</f>
        <v>0</v>
      </c>
      <c r="FW60" s="9">
        <f>FV60+FW58</f>
        <v>5</v>
      </c>
      <c r="FX60" s="9">
        <f t="shared" ref="FX60:FX68" si="1467">IF(FC60&gt;=3,1,0)</f>
        <v>0</v>
      </c>
      <c r="FY60" s="9">
        <f>FX60+FY58</f>
        <v>11</v>
      </c>
      <c r="FZ60" s="9">
        <f t="shared" ref="FZ60" si="1468">IF($E60=3,FA60-3,NA())</f>
        <v>3</v>
      </c>
      <c r="GA60" s="9"/>
      <c r="GB60" s="9"/>
      <c r="GC60" s="10">
        <f>FA60-'Zusammenfassung Tag1-4'!$G$2/18</f>
        <v>4.7222222222222223</v>
      </c>
      <c r="GD60" s="12">
        <f>GC60+GD58</f>
        <v>196.2222222222224</v>
      </c>
      <c r="GE60" s="52">
        <v>8</v>
      </c>
      <c r="GF60" s="9">
        <v>331</v>
      </c>
      <c r="GG60" s="55">
        <v>3</v>
      </c>
      <c r="GH60" s="9">
        <f>GG60+GH58</f>
        <v>93</v>
      </c>
      <c r="GI60" s="9">
        <f t="shared" ref="GI60:GI68" si="1469">IF(GE60-GG60&lt;=$E60-2,1,0)</f>
        <v>0</v>
      </c>
      <c r="GJ60" s="9">
        <f>GI60+GJ58</f>
        <v>1</v>
      </c>
      <c r="GK60" s="9">
        <f t="shared" ref="GK60:GK68" si="1470">IF(GI60=0,IF(GE60=$E60,1,0),0)</f>
        <v>0</v>
      </c>
      <c r="GL60" s="9">
        <f>GK60+GL58</f>
        <v>1</v>
      </c>
      <c r="GM60" s="9"/>
      <c r="GN60" s="9">
        <f t="shared" ref="GN60:GN68" si="1471">IF($E60-GE60=1,1,0)</f>
        <v>0</v>
      </c>
      <c r="GO60" s="9">
        <f>GN60+GO58</f>
        <v>0</v>
      </c>
      <c r="GP60" s="9">
        <f>IF(GE60=$E60,1,0)</f>
        <v>0</v>
      </c>
      <c r="GQ60" s="9">
        <f>GP60+GQ58</f>
        <v>0</v>
      </c>
      <c r="GR60" s="9">
        <f>IF(GE60-$E60=1,1,0)</f>
        <v>0</v>
      </c>
      <c r="GS60" s="9">
        <f>GR60+GS58</f>
        <v>2</v>
      </c>
      <c r="GT60" s="9">
        <f>IF(GE60-$E60&gt;=2,1,0)</f>
        <v>1</v>
      </c>
      <c r="GU60" s="9">
        <f>GT60+GU58</f>
        <v>8</v>
      </c>
      <c r="GV60" s="9">
        <f>IF(GG60=0,1,0)</f>
        <v>0</v>
      </c>
      <c r="GW60" s="9">
        <f>GV60+GW58</f>
        <v>0</v>
      </c>
      <c r="GX60" s="9">
        <f t="shared" ref="GX60:GX68" si="1472">IF(GG60=1,1,0)</f>
        <v>0</v>
      </c>
      <c r="GY60" s="9">
        <f>GX60+GY58</f>
        <v>6</v>
      </c>
      <c r="GZ60" s="9">
        <f>IF(GG60=2,1,0)</f>
        <v>0</v>
      </c>
      <c r="HA60" s="9">
        <f>GZ60+HA58</f>
        <v>9</v>
      </c>
      <c r="HB60" s="9">
        <f t="shared" ref="HB60:HB68" si="1473">IF(GG60&gt;=3,1,0)</f>
        <v>1</v>
      </c>
      <c r="HC60" s="9">
        <f>HB60+HC58</f>
        <v>7</v>
      </c>
      <c r="HD60" s="9">
        <f t="shared" ref="HD60" si="1474">IF($E60=3,GE60-3,NA())</f>
        <v>5</v>
      </c>
      <c r="HE60" s="9"/>
      <c r="HF60" s="9"/>
      <c r="HG60" s="10">
        <f>GE60-'Zusammenfassung Tag1-4'!$H$2/18</f>
        <v>6.2222222222222223</v>
      </c>
      <c r="HH60" s="12">
        <f>HG60+HH58</f>
        <v>221.22222222222243</v>
      </c>
      <c r="HI60" s="52">
        <v>3</v>
      </c>
      <c r="HJ60" s="9">
        <v>243</v>
      </c>
      <c r="HK60" s="55">
        <v>1</v>
      </c>
      <c r="HL60" s="9">
        <f>HK60+HL58</f>
        <v>88</v>
      </c>
      <c r="HM60" s="9">
        <f t="shared" ref="HM60:HM68" si="1475">IF(HI60-HK60&lt;=$E60-2,1,0)</f>
        <v>0</v>
      </c>
      <c r="HN60" s="9">
        <f>HM60+HN58</f>
        <v>8</v>
      </c>
      <c r="HO60" s="9">
        <f t="shared" ref="HO60:HO68" si="1476">IF(HM60=0,IF(HI60=$E60,1,0),0)</f>
        <v>1</v>
      </c>
      <c r="HP60" s="9">
        <f>HO60+HP58</f>
        <v>6</v>
      </c>
      <c r="HQ60" s="9"/>
      <c r="HR60" s="9">
        <f t="shared" ref="HR60:HR68" si="1477">IF($E60-HI60=1,1,0)</f>
        <v>0</v>
      </c>
      <c r="HS60" s="9">
        <f>HR60+HS58</f>
        <v>0</v>
      </c>
      <c r="HT60" s="9">
        <f>IF(HI60=$E60,1,0)</f>
        <v>1</v>
      </c>
      <c r="HU60" s="9">
        <f>HT60+HU58</f>
        <v>6</v>
      </c>
      <c r="HV60" s="9">
        <f>IF(HI60-$E60=1,1,0)</f>
        <v>0</v>
      </c>
      <c r="HW60" s="9">
        <f>HV60+HW58</f>
        <v>3</v>
      </c>
      <c r="HX60" s="9">
        <f>IF(HI60-$E60&gt;=2,1,0)</f>
        <v>0</v>
      </c>
      <c r="HY60" s="9">
        <f>HX60+HY58</f>
        <v>1</v>
      </c>
      <c r="HZ60" s="9">
        <f>IF(HK60=0,1,0)</f>
        <v>0</v>
      </c>
      <c r="IA60" s="9">
        <f>HZ60+IA58</f>
        <v>1</v>
      </c>
      <c r="IB60" s="9">
        <f t="shared" ref="IB60:IB68" si="1478">IF(HK60=1,1,0)</f>
        <v>1</v>
      </c>
      <c r="IC60" s="9">
        <f>IB60+IC58</f>
        <v>9</v>
      </c>
      <c r="ID60" s="9">
        <f>IF(HK60=2,1,0)</f>
        <v>0</v>
      </c>
      <c r="IE60" s="9">
        <f>ID60+IE58</f>
        <v>6</v>
      </c>
      <c r="IF60" s="9">
        <f t="shared" ref="IF60:IF68" si="1479">IF(HK60&gt;=3,1,0)</f>
        <v>0</v>
      </c>
      <c r="IG60" s="9">
        <f>IF60+IG58</f>
        <v>7</v>
      </c>
      <c r="IH60" s="9">
        <f t="shared" ref="IH60" si="1480">IF($E60=3,HI60-3,NA())</f>
        <v>0</v>
      </c>
      <c r="II60" s="9"/>
      <c r="IJ60" s="9"/>
      <c r="IK60" s="10">
        <f>HI60-'Zusammenfassung Tag1-4'!$I$2/18</f>
        <v>2.1111111111111112</v>
      </c>
      <c r="IL60" s="12">
        <f>IK60+IL58</f>
        <v>203.11111111111123</v>
      </c>
      <c r="IM60" s="52">
        <v>9</v>
      </c>
      <c r="IN60" s="9">
        <v>73</v>
      </c>
      <c r="IO60" s="55">
        <v>1</v>
      </c>
      <c r="IP60" s="9">
        <f>IO60+IP58</f>
        <v>110</v>
      </c>
      <c r="IQ60" s="9">
        <f t="shared" ref="IQ60:IQ68" si="1481">IF(IM60-IO60&lt;=$E60-2,1,0)</f>
        <v>0</v>
      </c>
      <c r="IR60" s="9">
        <f>IQ60+IR58</f>
        <v>7</v>
      </c>
      <c r="IS60" s="9">
        <f t="shared" ref="IS60:IS68" si="1482">IF(IQ60=0,IF(IM60=$E60,1,0),0)</f>
        <v>0</v>
      </c>
      <c r="IT60" s="9">
        <f>IS60+IT58</f>
        <v>1</v>
      </c>
      <c r="IU60" s="9"/>
      <c r="IV60" s="9">
        <f t="shared" ref="IV60:IV68" si="1483">IF($E60-IM60=1,1,0)</f>
        <v>0</v>
      </c>
      <c r="IW60" s="9">
        <f>IV60+IW58</f>
        <v>0</v>
      </c>
      <c r="IX60" s="9">
        <f>IF(IM60=$E60,1,0)</f>
        <v>0</v>
      </c>
      <c r="IY60" s="9">
        <f>IX60+IY58</f>
        <v>1</v>
      </c>
      <c r="IZ60" s="9">
        <f>IF(IM60-$E60=1,1,0)</f>
        <v>0</v>
      </c>
      <c r="JA60" s="9">
        <f>IZ60+JA58</f>
        <v>1</v>
      </c>
      <c r="JB60" s="9">
        <f>IF(IM60-$E60&gt;=2,1,0)</f>
        <v>1</v>
      </c>
      <c r="JC60" s="9">
        <f>JB60+JC58</f>
        <v>8</v>
      </c>
      <c r="JD60" s="9">
        <f>IF(IO60=0,1,0)</f>
        <v>0</v>
      </c>
      <c r="JE60" s="9">
        <f>JD60+JE58</f>
        <v>0</v>
      </c>
      <c r="JF60" s="9">
        <f t="shared" ref="JF60:JF68" si="1484">IF(IO60=1,1,0)</f>
        <v>1</v>
      </c>
      <c r="JG60" s="9">
        <f>JF60+JG58</f>
        <v>6</v>
      </c>
      <c r="JH60" s="9">
        <f>IF(IO60=2,1,0)</f>
        <v>0</v>
      </c>
      <c r="JI60" s="9">
        <f>JH60+JI58</f>
        <v>4</v>
      </c>
      <c r="JJ60" s="9">
        <f t="shared" ref="JJ60:JJ68" si="1485">IF(IO60&gt;=3,1,0)</f>
        <v>0</v>
      </c>
      <c r="JK60" s="9">
        <f>JJ60+JK58</f>
        <v>19</v>
      </c>
      <c r="JL60" s="9">
        <f t="shared" ref="JL60" si="1486">IF($E60=3,IM60-3,NA())</f>
        <v>6</v>
      </c>
      <c r="JM60" s="9"/>
      <c r="JN60" s="9"/>
      <c r="JO60" s="10">
        <f>IM60-'Zusammenfassung Tag1-4'!$J$2/18</f>
        <v>6.6666666666666661</v>
      </c>
      <c r="JP60" s="12">
        <f>JO60+JP58</f>
        <v>207.66666666666654</v>
      </c>
      <c r="JQ60" s="52"/>
      <c r="JR60" s="9"/>
      <c r="JS60" s="55"/>
      <c r="JT60" s="9">
        <f>JS60+JT58</f>
        <v>0</v>
      </c>
      <c r="JU60" s="9">
        <f t="shared" ref="JU60:JU68" si="1487">IF(JQ60-JS60&lt;=$E60-2,1,0)</f>
        <v>1</v>
      </c>
      <c r="JV60" s="9">
        <f>JU60+JV58</f>
        <v>46</v>
      </c>
      <c r="JW60" s="9">
        <f t="shared" ref="JW60:JW68" si="1488">IF(JU60=0,IF(JQ60=$E60,1,0),0)</f>
        <v>0</v>
      </c>
      <c r="JX60" s="9">
        <f>JW60+JX58</f>
        <v>0</v>
      </c>
      <c r="JY60" s="9"/>
      <c r="JZ60" s="9">
        <f t="shared" ref="JZ60:JZ68" si="1489">IF($E60-JQ60=1,1,0)</f>
        <v>0</v>
      </c>
      <c r="KA60" s="9">
        <f>JZ60+KA58</f>
        <v>0</v>
      </c>
      <c r="KB60" s="9">
        <f>IF(JQ60=$E60,1,0)</f>
        <v>0</v>
      </c>
      <c r="KC60" s="9">
        <f>KB60+KC58</f>
        <v>0</v>
      </c>
      <c r="KD60" s="9">
        <f>IF(JQ60-$E60=1,1,0)</f>
        <v>0</v>
      </c>
      <c r="KE60" s="9">
        <f>KD60+KE58</f>
        <v>0</v>
      </c>
      <c r="KF60" s="9">
        <f>IF(JQ60-$E60&gt;=2,1,0)</f>
        <v>0</v>
      </c>
      <c r="KG60" s="9">
        <f>KF60+KG58</f>
        <v>0</v>
      </c>
      <c r="KH60" s="9">
        <f>IF(JS60=0,1,0)</f>
        <v>1</v>
      </c>
      <c r="KI60" s="9">
        <f>KH60+KI58</f>
        <v>10</v>
      </c>
      <c r="KJ60" s="9">
        <f t="shared" ref="KJ60:KJ68" si="1490">IF(JS60=1,1,0)</f>
        <v>0</v>
      </c>
      <c r="KK60" s="9">
        <f>KJ60+KK58</f>
        <v>0</v>
      </c>
      <c r="KL60" s="9">
        <f>IF(JS60=2,1,0)</f>
        <v>0</v>
      </c>
      <c r="KM60" s="9">
        <f>KL60+KM58</f>
        <v>0</v>
      </c>
      <c r="KN60" s="9">
        <f t="shared" ref="KN60:KN68" si="1491">IF(JS60&gt;=3,1,0)</f>
        <v>0</v>
      </c>
      <c r="KO60" s="9">
        <f>KN60+KO58</f>
        <v>0</v>
      </c>
      <c r="KP60" s="9">
        <f t="shared" ref="KP60" si="1492">IF($E60=3,JQ60-3,NA())</f>
        <v>-3</v>
      </c>
      <c r="KQ60" s="9"/>
      <c r="KR60" s="9"/>
      <c r="KS60" s="10" t="e">
        <f>JQ60-'Zusammenfassung Tag1-4'!#REF!/18</f>
        <v>#REF!</v>
      </c>
      <c r="KT60" s="12" t="e">
        <f>KS60+KT58</f>
        <v>#REF!</v>
      </c>
    </row>
    <row r="61" spans="1:306" ht="13.2" x14ac:dyDescent="0.25">
      <c r="A61" s="179"/>
      <c r="B61" s="176"/>
      <c r="C61" s="44">
        <v>11</v>
      </c>
      <c r="D61" s="2">
        <f t="shared" ref="D61:D68" si="1493">D60+1</f>
        <v>47</v>
      </c>
      <c r="E61" s="44">
        <v>4</v>
      </c>
      <c r="F61" s="4">
        <f t="shared" ref="F61:F68" si="1494">E61+F60</f>
        <v>188</v>
      </c>
      <c r="G61" s="53">
        <v>5</v>
      </c>
      <c r="H61" s="2">
        <f t="shared" ref="H61:H68" si="1495">G61+H60</f>
        <v>226</v>
      </c>
      <c r="I61" s="56">
        <v>3</v>
      </c>
      <c r="J61" s="2">
        <f t="shared" ref="J61:J68" si="1496">I61+J60</f>
        <v>89</v>
      </c>
      <c r="K61" s="2">
        <f t="shared" si="1429"/>
        <v>1</v>
      </c>
      <c r="L61" s="2">
        <f t="shared" ref="L61:L68" si="1497">K61+L60</f>
        <v>15</v>
      </c>
      <c r="M61" s="2">
        <f t="shared" si="1430"/>
        <v>0</v>
      </c>
      <c r="N61" s="2">
        <f t="shared" ref="N61:N68" si="1498">M61+N60</f>
        <v>6</v>
      </c>
      <c r="O61" s="2"/>
      <c r="P61" s="2">
        <f t="shared" si="1431"/>
        <v>0</v>
      </c>
      <c r="Q61" s="2">
        <f t="shared" ref="Q61:Q68" si="1499">P61+Q60</f>
        <v>3</v>
      </c>
      <c r="R61" s="2">
        <f t="shared" si="1432"/>
        <v>0</v>
      </c>
      <c r="S61" s="2">
        <f t="shared" ref="S61:S68" si="1500">R61+S60</f>
        <v>2</v>
      </c>
      <c r="T61" s="2">
        <f t="shared" si="1433"/>
        <v>1</v>
      </c>
      <c r="U61" s="2">
        <f t="shared" ref="U61:U68" si="1501">T61+U60</f>
        <v>6</v>
      </c>
      <c r="V61" s="2">
        <f t="shared" si="1434"/>
        <v>0</v>
      </c>
      <c r="W61" s="2">
        <f t="shared" ref="W61:W68" si="1502">V61+W60</f>
        <v>2</v>
      </c>
      <c r="X61" s="2">
        <f t="shared" si="1435"/>
        <v>0</v>
      </c>
      <c r="Y61" s="2">
        <f t="shared" ref="Y61:Y68" si="1503">X61+Y60</f>
        <v>1</v>
      </c>
      <c r="Z61" s="2">
        <f t="shared" si="1436"/>
        <v>0</v>
      </c>
      <c r="AA61" s="2">
        <f t="shared" ref="AA61:AA68" si="1504">Z61+AA60</f>
        <v>9</v>
      </c>
      <c r="AB61" s="2">
        <f t="shared" si="1437"/>
        <v>0</v>
      </c>
      <c r="AC61" s="2">
        <f t="shared" ref="AC61:AC68" si="1505">AB61+AC60</f>
        <v>4</v>
      </c>
      <c r="AD61" s="2">
        <f t="shared" si="1438"/>
        <v>1</v>
      </c>
      <c r="AE61" s="2">
        <f t="shared" ref="AE61:AE68" si="1506">AD61+AE60</f>
        <v>7</v>
      </c>
      <c r="AF61" s="2"/>
      <c r="AG61" s="2">
        <f>IF($E61=4,G61-4,NA())</f>
        <v>1</v>
      </c>
      <c r="AH61" s="2"/>
      <c r="AI61" s="41">
        <f>G61-'Zusammenfassung Tag1-4'!$B$2/18</f>
        <v>4.166666666666667</v>
      </c>
      <c r="AJ61" s="13">
        <f t="shared" ref="AJ61:AJ68" si="1507">AI61+AJ60</f>
        <v>186.83333333333323</v>
      </c>
      <c r="AK61" s="53">
        <v>6</v>
      </c>
      <c r="AL61" s="2">
        <f t="shared" ref="AL61:AL68" si="1508">AK61+AL60</f>
        <v>229</v>
      </c>
      <c r="AM61" s="56">
        <v>1</v>
      </c>
      <c r="AN61" s="2">
        <f t="shared" ref="AN61:AN68" si="1509">AM61+AN60</f>
        <v>86</v>
      </c>
      <c r="AO61" s="2">
        <f t="shared" si="1439"/>
        <v>0</v>
      </c>
      <c r="AP61" s="2">
        <f t="shared" ref="AP61:AP68" si="1510">AO61+AP60</f>
        <v>21</v>
      </c>
      <c r="AQ61" s="2">
        <f t="shared" si="1440"/>
        <v>0</v>
      </c>
      <c r="AR61" s="2">
        <f t="shared" ref="AR61:AR68" si="1511">AQ61+AR60</f>
        <v>5</v>
      </c>
      <c r="AS61" s="2"/>
      <c r="AT61" s="2">
        <f t="shared" si="1441"/>
        <v>0</v>
      </c>
      <c r="AU61" s="2">
        <f t="shared" ref="AU61:AU68" si="1512">AT61+AU60</f>
        <v>0</v>
      </c>
      <c r="AV61" s="2">
        <f t="shared" ref="AV61:AV67" si="1513">IF(AK61=$E61,1,0)</f>
        <v>0</v>
      </c>
      <c r="AW61" s="2">
        <f t="shared" ref="AW61:AW68" si="1514">AV61+AW60</f>
        <v>5</v>
      </c>
      <c r="AX61" s="2">
        <f t="shared" ref="AX61:AX68" si="1515">IF(AK61-$E61=1,1,0)</f>
        <v>0</v>
      </c>
      <c r="AY61" s="2">
        <f t="shared" ref="AY61:AY68" si="1516">AX61+AY60</f>
        <v>2</v>
      </c>
      <c r="AZ61" s="2">
        <f t="shared" ref="AZ61:AZ68" si="1517">IF(AK61-$E61&gt;=2,1,0)</f>
        <v>1</v>
      </c>
      <c r="BA61" s="2">
        <f t="shared" ref="BA61:BA68" si="1518">AZ61+BA60</f>
        <v>4</v>
      </c>
      <c r="BB61" s="2">
        <f t="shared" ref="BB61:BB68" si="1519">IF(AM61=0,1,0)</f>
        <v>0</v>
      </c>
      <c r="BC61" s="2">
        <f t="shared" ref="BC61:BC68" si="1520">BB61+BC60</f>
        <v>0</v>
      </c>
      <c r="BD61" s="2">
        <f t="shared" si="1442"/>
        <v>1</v>
      </c>
      <c r="BE61" s="2">
        <f t="shared" ref="BE61:BE68" si="1521">BD61+BE60</f>
        <v>12</v>
      </c>
      <c r="BF61" s="2">
        <f t="shared" ref="BF61:BF68" si="1522">IF(AM61=2,1,0)</f>
        <v>0</v>
      </c>
      <c r="BG61" s="2">
        <f t="shared" ref="BG61:BG68" si="1523">BF61+BG60</f>
        <v>6</v>
      </c>
      <c r="BH61" s="2">
        <f t="shared" si="1443"/>
        <v>0</v>
      </c>
      <c r="BI61" s="2">
        <f t="shared" ref="BI61:BI68" si="1524">BH61+BI60</f>
        <v>4</v>
      </c>
      <c r="BJ61" s="2"/>
      <c r="BK61" s="2">
        <f>IF($E61=4,AK61-4,NA())</f>
        <v>2</v>
      </c>
      <c r="BL61" s="2"/>
      <c r="BM61" s="41">
        <f>AK61-'Zusammenfassung Tag1-4'!$C$2/18</f>
        <v>5.4444444444444446</v>
      </c>
      <c r="BN61" s="13">
        <f t="shared" ref="BN61:BN68" si="1525">BM61+BN60</f>
        <v>202.88888888888908</v>
      </c>
      <c r="BO61" s="53">
        <v>8</v>
      </c>
      <c r="BP61" s="2">
        <f t="shared" ref="BP61:BP68" si="1526">BO61+BP60</f>
        <v>277</v>
      </c>
      <c r="BQ61" s="56">
        <v>1</v>
      </c>
      <c r="BR61" s="2">
        <f t="shared" ref="BR61:BR68" si="1527">BQ61+BR60</f>
        <v>106</v>
      </c>
      <c r="BS61" s="2">
        <f t="shared" si="1445"/>
        <v>0</v>
      </c>
      <c r="BT61" s="2">
        <f t="shared" ref="BT61:BT68" si="1528">BS61+BT60</f>
        <v>9</v>
      </c>
      <c r="BU61" s="2">
        <f t="shared" si="1446"/>
        <v>0</v>
      </c>
      <c r="BV61" s="2">
        <f t="shared" ref="BV61:BV68" si="1529">BU61+BV60</f>
        <v>0</v>
      </c>
      <c r="BW61" s="2"/>
      <c r="BX61" s="2">
        <f t="shared" si="1447"/>
        <v>0</v>
      </c>
      <c r="BY61" s="2">
        <f t="shared" ref="BY61:CG68" si="1530">BX61+BY60</f>
        <v>0</v>
      </c>
      <c r="BZ61" s="2">
        <f t="shared" ref="BZ61:BZ67" si="1531">IF(BO61=$E61,1,0)</f>
        <v>0</v>
      </c>
      <c r="CA61" s="2">
        <f t="shared" ref="CA61:CA68" si="1532">BZ61+CA60</f>
        <v>0</v>
      </c>
      <c r="CB61" s="2">
        <f t="shared" ref="CB61:CB68" si="1533">IF(BO61-$E61=1,1,0)</f>
        <v>0</v>
      </c>
      <c r="CC61" s="2">
        <f t="shared" ref="CC61:CC68" si="1534">CB61+CC60</f>
        <v>5</v>
      </c>
      <c r="CD61" s="2">
        <f t="shared" ref="CD61:CD68" si="1535">IF(BO61-$E61&gt;=2,1,0)</f>
        <v>1</v>
      </c>
      <c r="CE61" s="2">
        <f t="shared" ref="CE61:CE68" si="1536">CD61+CE60</f>
        <v>6</v>
      </c>
      <c r="CF61" s="2">
        <f t="shared" ref="CF61:CF68" si="1537">IF(BQ61=0,1,0)</f>
        <v>0</v>
      </c>
      <c r="CG61" s="2">
        <f t="shared" si="1530"/>
        <v>0</v>
      </c>
      <c r="CH61" s="2">
        <f t="shared" si="1448"/>
        <v>1</v>
      </c>
      <c r="CI61" s="2">
        <f t="shared" ref="CI61:CI68" si="1538">CH61+CI60</f>
        <v>2</v>
      </c>
      <c r="CJ61" s="2">
        <f t="shared" ref="CJ61:CJ68" si="1539">IF(BQ61=2,1,0)</f>
        <v>0</v>
      </c>
      <c r="CK61" s="2">
        <f t="shared" ref="CK61:CK68" si="1540">CJ61+CK60</f>
        <v>7</v>
      </c>
      <c r="CL61" s="2">
        <f t="shared" si="1449"/>
        <v>0</v>
      </c>
      <c r="CM61" s="2">
        <f t="shared" ref="CM61:CM68" si="1541">CL61+CM60</f>
        <v>14</v>
      </c>
      <c r="CN61" s="2"/>
      <c r="CO61" s="2">
        <f>IF($E61=4,BO61-4,NA())</f>
        <v>4</v>
      </c>
      <c r="CP61" s="2"/>
      <c r="CQ61" s="41">
        <f>BO61-'Zusammenfassung Tag1-4'!$D$2/18</f>
        <v>6.9444444444444446</v>
      </c>
      <c r="CR61" s="13">
        <f t="shared" ref="CR61:CR68" si="1542">CQ61+CR60</f>
        <v>227.38888888888911</v>
      </c>
      <c r="CS61" s="53">
        <v>4</v>
      </c>
      <c r="CT61" s="2">
        <f t="shared" ref="CT61:CT68" si="1543">CS61+CT60</f>
        <v>244</v>
      </c>
      <c r="CU61" s="56">
        <v>2</v>
      </c>
      <c r="CV61" s="2">
        <f t="shared" ref="CV61:CV68" si="1544">CU61+CV60</f>
        <v>99</v>
      </c>
      <c r="CW61" s="2">
        <f t="shared" si="1451"/>
        <v>1</v>
      </c>
      <c r="CX61" s="2">
        <f t="shared" ref="CX61:CX68" si="1545">CW61+CX60</f>
        <v>14</v>
      </c>
      <c r="CY61" s="2">
        <f t="shared" si="1452"/>
        <v>0</v>
      </c>
      <c r="CZ61" s="2">
        <f t="shared" ref="CZ61:CZ68" si="1546">CY61+CZ60</f>
        <v>4</v>
      </c>
      <c r="DA61" s="2"/>
      <c r="DB61" s="2">
        <f t="shared" si="1453"/>
        <v>0</v>
      </c>
      <c r="DC61" s="2">
        <f t="shared" ref="DC61:DC68" si="1547">DB61+DC60</f>
        <v>0</v>
      </c>
      <c r="DD61" s="2">
        <f t="shared" ref="DD61:DD67" si="1548">IF(CS61=$E61,1,0)</f>
        <v>1</v>
      </c>
      <c r="DE61" s="2">
        <f t="shared" ref="DE61:DE68" si="1549">DD61+DE60</f>
        <v>6</v>
      </c>
      <c r="DF61" s="2">
        <f t="shared" ref="DF61:DF68" si="1550">IF(CS61-$E61=1,1,0)</f>
        <v>0</v>
      </c>
      <c r="DG61" s="2">
        <f t="shared" ref="DG61:DG68" si="1551">DF61+DG60</f>
        <v>4</v>
      </c>
      <c r="DH61" s="2">
        <f t="shared" ref="DH61:DH68" si="1552">IF(CS61-$E61&gt;=2,1,0)</f>
        <v>0</v>
      </c>
      <c r="DI61" s="2">
        <f t="shared" ref="DI61:DI68" si="1553">DH61+DI60</f>
        <v>1</v>
      </c>
      <c r="DJ61" s="2">
        <f t="shared" ref="DJ61:DJ68" si="1554">IF(CU61=0,1,0)</f>
        <v>0</v>
      </c>
      <c r="DK61" s="2">
        <f t="shared" ref="DK61:DK68" si="1555">DJ61+DK60</f>
        <v>0</v>
      </c>
      <c r="DL61" s="2">
        <f t="shared" si="1454"/>
        <v>0</v>
      </c>
      <c r="DM61" s="2">
        <f t="shared" ref="DM61:DM68" si="1556">DL61+DM60</f>
        <v>8</v>
      </c>
      <c r="DN61" s="2">
        <f t="shared" ref="DN61:DN68" si="1557">IF(CU61=2,1,0)</f>
        <v>1</v>
      </c>
      <c r="DO61" s="2">
        <f t="shared" ref="DO61:DO68" si="1558">DN61+DO60</f>
        <v>6</v>
      </c>
      <c r="DP61" s="2">
        <f t="shared" si="1455"/>
        <v>0</v>
      </c>
      <c r="DQ61" s="2">
        <f t="shared" ref="DQ61:DQ68" si="1559">DP61+DQ60</f>
        <v>12</v>
      </c>
      <c r="DR61" s="2"/>
      <c r="DS61" s="2">
        <f>IF($E61=4,CS61-4,NA())</f>
        <v>0</v>
      </c>
      <c r="DT61" s="2"/>
      <c r="DU61" s="41">
        <f>CS61-'Zusammenfassung Tag1-4'!$E$2/18</f>
        <v>3</v>
      </c>
      <c r="DV61" s="14">
        <f t="shared" ref="DV61:DV68" si="1560">DU61+DV60</f>
        <v>197</v>
      </c>
      <c r="DW61" s="53">
        <v>10</v>
      </c>
      <c r="DX61" s="2">
        <v>56</v>
      </c>
      <c r="DY61" s="56">
        <v>3</v>
      </c>
      <c r="DZ61" s="2">
        <f t="shared" ref="DZ61:DZ68" si="1561">DY61+DZ60</f>
        <v>103</v>
      </c>
      <c r="EA61" s="2">
        <f t="shared" si="1457"/>
        <v>0</v>
      </c>
      <c r="EB61" s="2">
        <f t="shared" ref="EB61:EB68" si="1562">EA61+EB60</f>
        <v>0</v>
      </c>
      <c r="EC61" s="2">
        <f t="shared" si="1458"/>
        <v>0</v>
      </c>
      <c r="ED61" s="2">
        <f t="shared" ref="ED61:ED68" si="1563">EC61+ED60</f>
        <v>1</v>
      </c>
      <c r="EE61" s="2"/>
      <c r="EF61" s="2">
        <f t="shared" si="1459"/>
        <v>0</v>
      </c>
      <c r="EG61" s="2">
        <f t="shared" ref="EG61:EG68" si="1564">EF61+EG60</f>
        <v>0</v>
      </c>
      <c r="EH61" s="2">
        <f t="shared" ref="EH61:EH67" si="1565">IF(DW61=$E61,1,0)</f>
        <v>0</v>
      </c>
      <c r="EI61" s="2">
        <f t="shared" ref="EI61:EI68" si="1566">EH61+EI60</f>
        <v>1</v>
      </c>
      <c r="EJ61" s="2">
        <f t="shared" ref="EJ61:EJ68" si="1567">IF(DW61-$E61=1,1,0)</f>
        <v>0</v>
      </c>
      <c r="EK61" s="2">
        <f t="shared" ref="EK61:EK68" si="1568">EJ61+EK60</f>
        <v>2</v>
      </c>
      <c r="EL61" s="2">
        <f t="shared" ref="EL61:EL68" si="1569">IF(DW61-$E61&gt;=2,1,0)</f>
        <v>1</v>
      </c>
      <c r="EM61" s="2">
        <f t="shared" ref="EM61:EM68" si="1570">EL61+EM60</f>
        <v>8</v>
      </c>
      <c r="EN61" s="2">
        <f t="shared" ref="EN61:EN68" si="1571">IF(DY61=0,1,0)</f>
        <v>0</v>
      </c>
      <c r="EO61" s="2">
        <f t="shared" ref="EO61:EO68" si="1572">EN61+EO60</f>
        <v>0</v>
      </c>
      <c r="EP61" s="2">
        <f t="shared" si="1460"/>
        <v>0</v>
      </c>
      <c r="EQ61" s="2">
        <f t="shared" ref="EQ61:EQ68" si="1573">EP61+EQ60</f>
        <v>6</v>
      </c>
      <c r="ER61" s="2">
        <f t="shared" ref="ER61:ER68" si="1574">IF(DY61=2,1,0)</f>
        <v>0</v>
      </c>
      <c r="ES61" s="2">
        <f t="shared" ref="ES61:ES68" si="1575">ER61+ES60</f>
        <v>5</v>
      </c>
      <c r="ET61" s="2">
        <f t="shared" si="1461"/>
        <v>1</v>
      </c>
      <c r="EU61" s="2">
        <f t="shared" ref="EU61:EU68" si="1576">ET61+EU60</f>
        <v>14</v>
      </c>
      <c r="EV61" s="2"/>
      <c r="EW61" s="2">
        <f>IF($E61=4,DW61-4,NA())</f>
        <v>6</v>
      </c>
      <c r="EX61" s="2"/>
      <c r="EY61" s="41">
        <f>DW61-'Zusammenfassung Tag1-4'!$F$2/18</f>
        <v>7.5</v>
      </c>
      <c r="EZ61" s="14">
        <f t="shared" ref="EZ61:EZ68" si="1577">EY61+EZ60</f>
        <v>212.5</v>
      </c>
      <c r="FA61" s="53">
        <v>6</v>
      </c>
      <c r="FB61" s="2">
        <v>263</v>
      </c>
      <c r="FC61" s="56">
        <v>1</v>
      </c>
      <c r="FD61" s="2">
        <f t="shared" ref="FD61:FD68" si="1578">FC61+FD60</f>
        <v>91</v>
      </c>
      <c r="FE61" s="2">
        <f t="shared" si="1463"/>
        <v>0</v>
      </c>
      <c r="FF61" s="2">
        <f t="shared" ref="FF61:FF68" si="1579">FE61+FF60</f>
        <v>7</v>
      </c>
      <c r="FG61" s="2">
        <f t="shared" si="1464"/>
        <v>0</v>
      </c>
      <c r="FH61" s="2">
        <f t="shared" ref="FH61:FH68" si="1580">FG61+FH60</f>
        <v>4</v>
      </c>
      <c r="FI61" s="2"/>
      <c r="FJ61" s="2">
        <f t="shared" si="1465"/>
        <v>0</v>
      </c>
      <c r="FK61" s="2">
        <f t="shared" ref="FK61:FK68" si="1581">FJ61+FK60</f>
        <v>0</v>
      </c>
      <c r="FL61" s="2">
        <f t="shared" ref="FL61:FL67" si="1582">IF(FA61=$E61,1,0)</f>
        <v>0</v>
      </c>
      <c r="FM61" s="2">
        <f t="shared" ref="FM61:FM68" si="1583">FL61+FM60</f>
        <v>1</v>
      </c>
      <c r="FN61" s="2">
        <f t="shared" ref="FN61:FN68" si="1584">IF(FA61-$E61=1,1,0)</f>
        <v>0</v>
      </c>
      <c r="FO61" s="2">
        <f t="shared" ref="FO61:FO68" si="1585">FN61+FO60</f>
        <v>4</v>
      </c>
      <c r="FP61" s="2">
        <f t="shared" ref="FP61:FP68" si="1586">IF(FA61-$E61&gt;=2,1,0)</f>
        <v>1</v>
      </c>
      <c r="FQ61" s="2">
        <f t="shared" ref="FQ61:FQ68" si="1587">FP61+FQ60</f>
        <v>6</v>
      </c>
      <c r="FR61" s="2">
        <f t="shared" ref="FR61:FR68" si="1588">IF(FC61=0,1,0)</f>
        <v>0</v>
      </c>
      <c r="FS61" s="2">
        <f t="shared" ref="FS61:FS68" si="1589">FR61+FS60</f>
        <v>0</v>
      </c>
      <c r="FT61" s="2">
        <f t="shared" si="1466"/>
        <v>1</v>
      </c>
      <c r="FU61" s="2">
        <f t="shared" ref="FU61:FU68" si="1590">FT61+FU60</f>
        <v>14</v>
      </c>
      <c r="FV61" s="2">
        <f t="shared" ref="FV61:FV68" si="1591">IF(FC61=2,1,0)</f>
        <v>0</v>
      </c>
      <c r="FW61" s="2">
        <f t="shared" ref="FW61:FW68" si="1592">FV61+FW60</f>
        <v>5</v>
      </c>
      <c r="FX61" s="2">
        <f t="shared" si="1467"/>
        <v>0</v>
      </c>
      <c r="FY61" s="2">
        <f t="shared" ref="FY61:FY68" si="1593">FX61+FY60</f>
        <v>11</v>
      </c>
      <c r="FZ61" s="2"/>
      <c r="GA61" s="2">
        <f>IF($E61=4,FA61-4,NA())</f>
        <v>2</v>
      </c>
      <c r="GB61" s="2"/>
      <c r="GC61" s="41">
        <f>FA61-'Zusammenfassung Tag1-4'!$G$2/18</f>
        <v>4.7222222222222223</v>
      </c>
      <c r="GD61" s="14">
        <f t="shared" ref="GD61:GD68" si="1594">GC61+GD60</f>
        <v>200.94444444444463</v>
      </c>
      <c r="GE61" s="53">
        <v>8</v>
      </c>
      <c r="GF61" s="2">
        <v>337</v>
      </c>
      <c r="GG61" s="56">
        <v>3</v>
      </c>
      <c r="GH61" s="2">
        <f t="shared" ref="GH61:GH68" si="1595">GG61+GH60</f>
        <v>96</v>
      </c>
      <c r="GI61" s="2">
        <f t="shared" si="1469"/>
        <v>0</v>
      </c>
      <c r="GJ61" s="2">
        <f t="shared" ref="GJ61:GJ68" si="1596">GI61+GJ60</f>
        <v>1</v>
      </c>
      <c r="GK61" s="2">
        <f t="shared" si="1470"/>
        <v>0</v>
      </c>
      <c r="GL61" s="2">
        <f t="shared" ref="GL61:GL68" si="1597">GK61+GL60</f>
        <v>1</v>
      </c>
      <c r="GM61" s="2"/>
      <c r="GN61" s="2">
        <f t="shared" si="1471"/>
        <v>0</v>
      </c>
      <c r="GO61" s="2">
        <f t="shared" ref="GO61:GO68" si="1598">GN61+GO60</f>
        <v>0</v>
      </c>
      <c r="GP61" s="2">
        <f t="shared" ref="GP61:GP67" si="1599">IF(GE61=$E61,1,0)</f>
        <v>0</v>
      </c>
      <c r="GQ61" s="2">
        <f t="shared" ref="GQ61:GQ68" si="1600">GP61+GQ60</f>
        <v>0</v>
      </c>
      <c r="GR61" s="2">
        <f t="shared" ref="GR61:GR68" si="1601">IF(GE61-$E61=1,1,0)</f>
        <v>0</v>
      </c>
      <c r="GS61" s="2">
        <f t="shared" ref="GS61:GS68" si="1602">GR61+GS60</f>
        <v>2</v>
      </c>
      <c r="GT61" s="2">
        <f t="shared" ref="GT61:GT68" si="1603">IF(GE61-$E61&gt;=2,1,0)</f>
        <v>1</v>
      </c>
      <c r="GU61" s="2">
        <f t="shared" ref="GU61:GU68" si="1604">GT61+GU60</f>
        <v>9</v>
      </c>
      <c r="GV61" s="2">
        <f t="shared" ref="GV61:GV68" si="1605">IF(GG61=0,1,0)</f>
        <v>0</v>
      </c>
      <c r="GW61" s="2">
        <f t="shared" ref="GW61:GW68" si="1606">GV61+GW60</f>
        <v>0</v>
      </c>
      <c r="GX61" s="2">
        <f t="shared" si="1472"/>
        <v>0</v>
      </c>
      <c r="GY61" s="2">
        <f t="shared" ref="GY61:GY68" si="1607">GX61+GY60</f>
        <v>6</v>
      </c>
      <c r="GZ61" s="2">
        <f t="shared" ref="GZ61:GZ68" si="1608">IF(GG61=2,1,0)</f>
        <v>0</v>
      </c>
      <c r="HA61" s="2">
        <f t="shared" ref="HA61:HA68" si="1609">GZ61+HA60</f>
        <v>9</v>
      </c>
      <c r="HB61" s="2">
        <f t="shared" si="1473"/>
        <v>1</v>
      </c>
      <c r="HC61" s="2">
        <f t="shared" ref="HC61:HC68" si="1610">HB61+HC60</f>
        <v>8</v>
      </c>
      <c r="HD61" s="2"/>
      <c r="HE61" s="2">
        <f>IF($E61=4,GE61-4,NA())</f>
        <v>4</v>
      </c>
      <c r="HF61" s="2"/>
      <c r="HG61" s="41">
        <f>GE61-'Zusammenfassung Tag1-4'!$H$2/18</f>
        <v>6.2222222222222223</v>
      </c>
      <c r="HH61" s="14">
        <f t="shared" ref="HH61:HH68" si="1611">HG61+HH60</f>
        <v>227.44444444444466</v>
      </c>
      <c r="HI61" s="53">
        <v>6</v>
      </c>
      <c r="HJ61" s="2">
        <v>249</v>
      </c>
      <c r="HK61" s="56">
        <v>1</v>
      </c>
      <c r="HL61" s="2">
        <f t="shared" ref="HL61:HL68" si="1612">HK61+HL60</f>
        <v>89</v>
      </c>
      <c r="HM61" s="2">
        <f t="shared" si="1475"/>
        <v>0</v>
      </c>
      <c r="HN61" s="2">
        <f t="shared" ref="HN61:HN68" si="1613">HM61+HN60</f>
        <v>8</v>
      </c>
      <c r="HO61" s="2">
        <f t="shared" si="1476"/>
        <v>0</v>
      </c>
      <c r="HP61" s="2">
        <f t="shared" ref="HP61:HP68" si="1614">HO61+HP60</f>
        <v>6</v>
      </c>
      <c r="HQ61" s="2"/>
      <c r="HR61" s="2">
        <f t="shared" si="1477"/>
        <v>0</v>
      </c>
      <c r="HS61" s="2">
        <f t="shared" ref="HS61:HS68" si="1615">HR61+HS60</f>
        <v>0</v>
      </c>
      <c r="HT61" s="2">
        <f t="shared" ref="HT61:HT67" si="1616">IF(HI61=$E61,1,0)</f>
        <v>0</v>
      </c>
      <c r="HU61" s="2">
        <f t="shared" ref="HU61:HU68" si="1617">HT61+HU60</f>
        <v>6</v>
      </c>
      <c r="HV61" s="2">
        <f t="shared" ref="HV61:HV68" si="1618">IF(HI61-$E61=1,1,0)</f>
        <v>0</v>
      </c>
      <c r="HW61" s="2">
        <f t="shared" ref="HW61:HW68" si="1619">HV61+HW60</f>
        <v>3</v>
      </c>
      <c r="HX61" s="2">
        <f t="shared" ref="HX61:HX68" si="1620">IF(HI61-$E61&gt;=2,1,0)</f>
        <v>1</v>
      </c>
      <c r="HY61" s="2">
        <f t="shared" ref="HY61:HY68" si="1621">HX61+HY60</f>
        <v>2</v>
      </c>
      <c r="HZ61" s="2">
        <f t="shared" ref="HZ61:HZ68" si="1622">IF(HK61=0,1,0)</f>
        <v>0</v>
      </c>
      <c r="IA61" s="2">
        <f t="shared" ref="IA61:IA68" si="1623">HZ61+IA60</f>
        <v>1</v>
      </c>
      <c r="IB61" s="2">
        <f t="shared" si="1478"/>
        <v>1</v>
      </c>
      <c r="IC61" s="2">
        <f t="shared" ref="IC61:IC68" si="1624">IB61+IC60</f>
        <v>10</v>
      </c>
      <c r="ID61" s="2">
        <f t="shared" ref="ID61:ID68" si="1625">IF(HK61=2,1,0)</f>
        <v>0</v>
      </c>
      <c r="IE61" s="2">
        <f t="shared" ref="IE61:IE68" si="1626">ID61+IE60</f>
        <v>6</v>
      </c>
      <c r="IF61" s="2">
        <f t="shared" si="1479"/>
        <v>0</v>
      </c>
      <c r="IG61" s="2">
        <f t="shared" ref="IG61:IG68" si="1627">IF61+IG60</f>
        <v>7</v>
      </c>
      <c r="IH61" s="2"/>
      <c r="II61" s="2">
        <f>IF($E61=4,HI61-4,NA())</f>
        <v>2</v>
      </c>
      <c r="IJ61" s="2"/>
      <c r="IK61" s="41">
        <f>HI61-'Zusammenfassung Tag1-4'!$I$2/18</f>
        <v>5.1111111111111107</v>
      </c>
      <c r="IL61" s="14">
        <f t="shared" ref="IL61:IL68" si="1628">IK61+IL60</f>
        <v>208.22222222222234</v>
      </c>
      <c r="IM61" s="53">
        <v>9</v>
      </c>
      <c r="IN61" s="2">
        <v>79</v>
      </c>
      <c r="IO61" s="56">
        <v>1</v>
      </c>
      <c r="IP61" s="2">
        <f t="shared" ref="IP61:IP68" si="1629">IO61+IP60</f>
        <v>111</v>
      </c>
      <c r="IQ61" s="2">
        <f t="shared" si="1481"/>
        <v>0</v>
      </c>
      <c r="IR61" s="2">
        <f t="shared" ref="IR61:IR68" si="1630">IQ61+IR60</f>
        <v>7</v>
      </c>
      <c r="IS61" s="2">
        <f t="shared" si="1482"/>
        <v>0</v>
      </c>
      <c r="IT61" s="2">
        <f t="shared" ref="IT61:IT68" si="1631">IS61+IT60</f>
        <v>1</v>
      </c>
      <c r="IU61" s="2"/>
      <c r="IV61" s="2">
        <f t="shared" si="1483"/>
        <v>0</v>
      </c>
      <c r="IW61" s="2">
        <f t="shared" ref="IW61:IW68" si="1632">IV61+IW60</f>
        <v>0</v>
      </c>
      <c r="IX61" s="2">
        <f t="shared" ref="IX61:IX67" si="1633">IF(IM61=$E61,1,0)</f>
        <v>0</v>
      </c>
      <c r="IY61" s="2">
        <f t="shared" ref="IY61:IY68" si="1634">IX61+IY60</f>
        <v>1</v>
      </c>
      <c r="IZ61" s="2">
        <f t="shared" ref="IZ61:IZ68" si="1635">IF(IM61-$E61=1,1,0)</f>
        <v>0</v>
      </c>
      <c r="JA61" s="2">
        <f t="shared" ref="JA61:JA68" si="1636">IZ61+JA60</f>
        <v>1</v>
      </c>
      <c r="JB61" s="2">
        <f t="shared" ref="JB61:JB68" si="1637">IF(IM61-$E61&gt;=2,1,0)</f>
        <v>1</v>
      </c>
      <c r="JC61" s="2">
        <f t="shared" ref="JC61:JC68" si="1638">JB61+JC60</f>
        <v>9</v>
      </c>
      <c r="JD61" s="2">
        <f t="shared" ref="JD61:JD68" si="1639">IF(IO61=0,1,0)</f>
        <v>0</v>
      </c>
      <c r="JE61" s="2">
        <f t="shared" ref="JE61:JE68" si="1640">JD61+JE60</f>
        <v>0</v>
      </c>
      <c r="JF61" s="2">
        <f t="shared" si="1484"/>
        <v>1</v>
      </c>
      <c r="JG61" s="2">
        <f t="shared" ref="JG61:JG68" si="1641">JF61+JG60</f>
        <v>7</v>
      </c>
      <c r="JH61" s="2">
        <f t="shared" ref="JH61:JH68" si="1642">IF(IO61=2,1,0)</f>
        <v>0</v>
      </c>
      <c r="JI61" s="2">
        <f t="shared" ref="JI61:JI68" si="1643">JH61+JI60</f>
        <v>4</v>
      </c>
      <c r="JJ61" s="2">
        <f t="shared" si="1485"/>
        <v>0</v>
      </c>
      <c r="JK61" s="2">
        <f t="shared" ref="JK61:JK68" si="1644">JJ61+JK60</f>
        <v>19</v>
      </c>
      <c r="JL61" s="2"/>
      <c r="JM61" s="2">
        <f>IF($E61=4,IM61-4,NA())</f>
        <v>5</v>
      </c>
      <c r="JN61" s="2"/>
      <c r="JO61" s="41">
        <f>IM61-'Zusammenfassung Tag1-4'!$J$2/18</f>
        <v>6.6666666666666661</v>
      </c>
      <c r="JP61" s="14">
        <f t="shared" ref="JP61:JP68" si="1645">JO61+JP60</f>
        <v>214.3333333333332</v>
      </c>
      <c r="JQ61" s="53"/>
      <c r="JR61" s="2"/>
      <c r="JS61" s="56"/>
      <c r="JT61" s="2">
        <f t="shared" ref="JT61:JT68" si="1646">JS61+JT60</f>
        <v>0</v>
      </c>
      <c r="JU61" s="2">
        <f t="shared" si="1487"/>
        <v>1</v>
      </c>
      <c r="JV61" s="2">
        <f t="shared" ref="JV61:JV68" si="1647">JU61+JV60</f>
        <v>47</v>
      </c>
      <c r="JW61" s="2">
        <f t="shared" si="1488"/>
        <v>0</v>
      </c>
      <c r="JX61" s="2">
        <f t="shared" ref="JX61:JX68" si="1648">JW61+JX60</f>
        <v>0</v>
      </c>
      <c r="JY61" s="2"/>
      <c r="JZ61" s="2">
        <f t="shared" si="1489"/>
        <v>0</v>
      </c>
      <c r="KA61" s="2">
        <f t="shared" ref="KA61:KA68" si="1649">JZ61+KA60</f>
        <v>0</v>
      </c>
      <c r="KB61" s="2">
        <f t="shared" ref="KB61:KB67" si="1650">IF(JQ61=$E61,1,0)</f>
        <v>0</v>
      </c>
      <c r="KC61" s="2">
        <f t="shared" ref="KC61:KC68" si="1651">KB61+KC60</f>
        <v>0</v>
      </c>
      <c r="KD61" s="2">
        <f t="shared" ref="KD61:KD68" si="1652">IF(JQ61-$E61=1,1,0)</f>
        <v>0</v>
      </c>
      <c r="KE61" s="2">
        <f t="shared" ref="KE61:KE68" si="1653">KD61+KE60</f>
        <v>0</v>
      </c>
      <c r="KF61" s="2">
        <f t="shared" ref="KF61:KF68" si="1654">IF(JQ61-$E61&gt;=2,1,0)</f>
        <v>0</v>
      </c>
      <c r="KG61" s="2">
        <f t="shared" ref="KG61:KG68" si="1655">KF61+KG60</f>
        <v>0</v>
      </c>
      <c r="KH61" s="2">
        <f t="shared" ref="KH61:KH68" si="1656">IF(JS61=0,1,0)</f>
        <v>1</v>
      </c>
      <c r="KI61" s="2">
        <f t="shared" ref="KI61:KI68" si="1657">KH61+KI60</f>
        <v>11</v>
      </c>
      <c r="KJ61" s="2">
        <f t="shared" si="1490"/>
        <v>0</v>
      </c>
      <c r="KK61" s="2">
        <f t="shared" ref="KK61:KK68" si="1658">KJ61+KK60</f>
        <v>0</v>
      </c>
      <c r="KL61" s="2">
        <f t="shared" ref="KL61:KL68" si="1659">IF(JS61=2,1,0)</f>
        <v>0</v>
      </c>
      <c r="KM61" s="2">
        <f t="shared" ref="KM61:KM68" si="1660">KL61+KM60</f>
        <v>0</v>
      </c>
      <c r="KN61" s="2">
        <f t="shared" si="1491"/>
        <v>0</v>
      </c>
      <c r="KO61" s="2">
        <f t="shared" ref="KO61:KO68" si="1661">KN61+KO60</f>
        <v>0</v>
      </c>
      <c r="KP61" s="2"/>
      <c r="KQ61" s="2">
        <f>IF($E61=4,JQ61-4,NA())</f>
        <v>-4</v>
      </c>
      <c r="KR61" s="2"/>
      <c r="KS61" s="41" t="e">
        <f>JQ61-'Zusammenfassung Tag1-4'!#REF!/18</f>
        <v>#REF!</v>
      </c>
      <c r="KT61" s="14" t="e">
        <f t="shared" ref="KT61:KT68" si="1662">KS61+KT60</f>
        <v>#REF!</v>
      </c>
    </row>
    <row r="62" spans="1:306" ht="13.2" x14ac:dyDescent="0.25">
      <c r="A62" s="179"/>
      <c r="B62" s="176"/>
      <c r="C62" s="44">
        <v>12</v>
      </c>
      <c r="D62" s="2">
        <f t="shared" si="1493"/>
        <v>48</v>
      </c>
      <c r="E62" s="44">
        <v>4</v>
      </c>
      <c r="F62" s="4">
        <f t="shared" si="1494"/>
        <v>192</v>
      </c>
      <c r="G62" s="53">
        <v>4</v>
      </c>
      <c r="H62" s="2">
        <f t="shared" si="1495"/>
        <v>230</v>
      </c>
      <c r="I62" s="56">
        <v>2</v>
      </c>
      <c r="J62" s="2">
        <f t="shared" si="1496"/>
        <v>91</v>
      </c>
      <c r="K62" s="2">
        <f t="shared" si="1429"/>
        <v>1</v>
      </c>
      <c r="L62" s="2">
        <f t="shared" si="1497"/>
        <v>16</v>
      </c>
      <c r="M62" s="2">
        <f t="shared" si="1430"/>
        <v>0</v>
      </c>
      <c r="N62" s="2">
        <f t="shared" si="1498"/>
        <v>6</v>
      </c>
      <c r="O62" s="2"/>
      <c r="P62" s="2">
        <f t="shared" si="1431"/>
        <v>0</v>
      </c>
      <c r="Q62" s="2">
        <f t="shared" si="1499"/>
        <v>3</v>
      </c>
      <c r="R62" s="2">
        <f t="shared" si="1432"/>
        <v>1</v>
      </c>
      <c r="S62" s="2">
        <f t="shared" si="1500"/>
        <v>3</v>
      </c>
      <c r="T62" s="2">
        <f t="shared" si="1433"/>
        <v>0</v>
      </c>
      <c r="U62" s="2">
        <f t="shared" si="1501"/>
        <v>6</v>
      </c>
      <c r="V62" s="2">
        <f t="shared" si="1434"/>
        <v>0</v>
      </c>
      <c r="W62" s="2">
        <f t="shared" si="1502"/>
        <v>2</v>
      </c>
      <c r="X62" s="2">
        <f t="shared" si="1435"/>
        <v>0</v>
      </c>
      <c r="Y62" s="2">
        <f t="shared" si="1503"/>
        <v>1</v>
      </c>
      <c r="Z62" s="2">
        <f t="shared" si="1436"/>
        <v>0</v>
      </c>
      <c r="AA62" s="2">
        <f t="shared" si="1504"/>
        <v>9</v>
      </c>
      <c r="AB62" s="2">
        <f t="shared" si="1437"/>
        <v>1</v>
      </c>
      <c r="AC62" s="2">
        <f t="shared" si="1505"/>
        <v>5</v>
      </c>
      <c r="AD62" s="2">
        <f t="shared" si="1438"/>
        <v>0</v>
      </c>
      <c r="AE62" s="2">
        <f t="shared" si="1506"/>
        <v>7</v>
      </c>
      <c r="AF62" s="2"/>
      <c r="AG62" s="2">
        <f>IF($E62=4,G62-4,NA())</f>
        <v>0</v>
      </c>
      <c r="AH62" s="2"/>
      <c r="AI62" s="41">
        <f>G62-'Zusammenfassung Tag1-4'!$B$2/18</f>
        <v>3.1666666666666665</v>
      </c>
      <c r="AJ62" s="13">
        <f t="shared" si="1507"/>
        <v>189.99999999999989</v>
      </c>
      <c r="AK62" s="53">
        <v>5</v>
      </c>
      <c r="AL62" s="2">
        <f t="shared" si="1508"/>
        <v>234</v>
      </c>
      <c r="AM62" s="56">
        <v>2</v>
      </c>
      <c r="AN62" s="2">
        <f t="shared" si="1509"/>
        <v>88</v>
      </c>
      <c r="AO62" s="2">
        <f t="shared" si="1439"/>
        <v>0</v>
      </c>
      <c r="AP62" s="2">
        <f t="shared" si="1510"/>
        <v>21</v>
      </c>
      <c r="AQ62" s="2">
        <f t="shared" si="1440"/>
        <v>0</v>
      </c>
      <c r="AR62" s="2">
        <f t="shared" si="1511"/>
        <v>5</v>
      </c>
      <c r="AS62" s="2"/>
      <c r="AT62" s="2">
        <f t="shared" si="1441"/>
        <v>0</v>
      </c>
      <c r="AU62" s="2">
        <f t="shared" si="1512"/>
        <v>0</v>
      </c>
      <c r="AV62" s="2">
        <f t="shared" si="1513"/>
        <v>0</v>
      </c>
      <c r="AW62" s="2">
        <f t="shared" si="1514"/>
        <v>5</v>
      </c>
      <c r="AX62" s="2">
        <f t="shared" si="1515"/>
        <v>1</v>
      </c>
      <c r="AY62" s="2">
        <f t="shared" si="1516"/>
        <v>3</v>
      </c>
      <c r="AZ62" s="2">
        <f t="shared" si="1517"/>
        <v>0</v>
      </c>
      <c r="BA62" s="2">
        <f t="shared" si="1518"/>
        <v>4</v>
      </c>
      <c r="BB62" s="2">
        <f t="shared" si="1519"/>
        <v>0</v>
      </c>
      <c r="BC62" s="2">
        <f t="shared" si="1520"/>
        <v>0</v>
      </c>
      <c r="BD62" s="2">
        <f t="shared" si="1442"/>
        <v>0</v>
      </c>
      <c r="BE62" s="2">
        <f t="shared" si="1521"/>
        <v>12</v>
      </c>
      <c r="BF62" s="2">
        <f t="shared" si="1522"/>
        <v>1</v>
      </c>
      <c r="BG62" s="2">
        <f t="shared" si="1523"/>
        <v>7</v>
      </c>
      <c r="BH62" s="2">
        <f t="shared" si="1443"/>
        <v>0</v>
      </c>
      <c r="BI62" s="2">
        <f t="shared" si="1524"/>
        <v>4</v>
      </c>
      <c r="BJ62" s="2"/>
      <c r="BK62" s="2">
        <f t="shared" ref="BK62" si="1663">IF($E62=4,AK62-4,NA())</f>
        <v>1</v>
      </c>
      <c r="BL62" s="2"/>
      <c r="BM62" s="41">
        <f>AK62-'Zusammenfassung Tag1-4'!$C$2/18</f>
        <v>4.4444444444444446</v>
      </c>
      <c r="BN62" s="13">
        <f t="shared" si="1525"/>
        <v>207.33333333333354</v>
      </c>
      <c r="BO62" s="53">
        <v>6</v>
      </c>
      <c r="BP62" s="2">
        <f t="shared" si="1526"/>
        <v>283</v>
      </c>
      <c r="BQ62" s="56">
        <v>2</v>
      </c>
      <c r="BR62" s="2">
        <f t="shared" si="1527"/>
        <v>108</v>
      </c>
      <c r="BS62" s="2">
        <f t="shared" si="1445"/>
        <v>0</v>
      </c>
      <c r="BT62" s="2">
        <f t="shared" si="1528"/>
        <v>9</v>
      </c>
      <c r="BU62" s="2">
        <f t="shared" si="1446"/>
        <v>0</v>
      </c>
      <c r="BV62" s="2">
        <f t="shared" si="1529"/>
        <v>0</v>
      </c>
      <c r="BW62" s="2"/>
      <c r="BX62" s="2">
        <f t="shared" si="1447"/>
        <v>0</v>
      </c>
      <c r="BY62" s="2">
        <f t="shared" si="1530"/>
        <v>0</v>
      </c>
      <c r="BZ62" s="2">
        <f t="shared" si="1531"/>
        <v>0</v>
      </c>
      <c r="CA62" s="2">
        <f t="shared" si="1532"/>
        <v>0</v>
      </c>
      <c r="CB62" s="2">
        <f t="shared" si="1533"/>
        <v>0</v>
      </c>
      <c r="CC62" s="2">
        <f t="shared" si="1534"/>
        <v>5</v>
      </c>
      <c r="CD62" s="2">
        <f t="shared" si="1535"/>
        <v>1</v>
      </c>
      <c r="CE62" s="2">
        <f t="shared" si="1536"/>
        <v>7</v>
      </c>
      <c r="CF62" s="2">
        <f t="shared" si="1537"/>
        <v>0</v>
      </c>
      <c r="CG62" s="2">
        <f t="shared" si="1530"/>
        <v>0</v>
      </c>
      <c r="CH62" s="2">
        <f t="shared" si="1448"/>
        <v>0</v>
      </c>
      <c r="CI62" s="2">
        <f t="shared" si="1538"/>
        <v>2</v>
      </c>
      <c r="CJ62" s="2">
        <f t="shared" si="1539"/>
        <v>1</v>
      </c>
      <c r="CK62" s="2">
        <f t="shared" si="1540"/>
        <v>8</v>
      </c>
      <c r="CL62" s="2">
        <f t="shared" si="1449"/>
        <v>0</v>
      </c>
      <c r="CM62" s="2">
        <f t="shared" si="1541"/>
        <v>14</v>
      </c>
      <c r="CN62" s="2"/>
      <c r="CO62" s="2">
        <f t="shared" ref="CO62" si="1664">IF($E62=4,BO62-4,NA())</f>
        <v>2</v>
      </c>
      <c r="CP62" s="2"/>
      <c r="CQ62" s="41">
        <f>BO62-'Zusammenfassung Tag1-4'!$D$2/18</f>
        <v>4.9444444444444446</v>
      </c>
      <c r="CR62" s="13">
        <f t="shared" si="1542"/>
        <v>232.33333333333357</v>
      </c>
      <c r="CS62" s="53">
        <v>4</v>
      </c>
      <c r="CT62" s="2">
        <f t="shared" si="1543"/>
        <v>248</v>
      </c>
      <c r="CU62" s="56">
        <v>1</v>
      </c>
      <c r="CV62" s="2">
        <f t="shared" si="1544"/>
        <v>100</v>
      </c>
      <c r="CW62" s="2">
        <f t="shared" si="1451"/>
        <v>0</v>
      </c>
      <c r="CX62" s="2">
        <f t="shared" si="1545"/>
        <v>14</v>
      </c>
      <c r="CY62" s="2">
        <f t="shared" si="1452"/>
        <v>1</v>
      </c>
      <c r="CZ62" s="2">
        <f t="shared" si="1546"/>
        <v>5</v>
      </c>
      <c r="DA62" s="2"/>
      <c r="DB62" s="2">
        <f t="shared" si="1453"/>
        <v>0</v>
      </c>
      <c r="DC62" s="2">
        <f t="shared" si="1547"/>
        <v>0</v>
      </c>
      <c r="DD62" s="2">
        <f t="shared" si="1548"/>
        <v>1</v>
      </c>
      <c r="DE62" s="2">
        <f t="shared" si="1549"/>
        <v>7</v>
      </c>
      <c r="DF62" s="2">
        <f t="shared" si="1550"/>
        <v>0</v>
      </c>
      <c r="DG62" s="2">
        <f t="shared" si="1551"/>
        <v>4</v>
      </c>
      <c r="DH62" s="2">
        <f t="shared" si="1552"/>
        <v>0</v>
      </c>
      <c r="DI62" s="2">
        <f t="shared" si="1553"/>
        <v>1</v>
      </c>
      <c r="DJ62" s="2">
        <f t="shared" si="1554"/>
        <v>0</v>
      </c>
      <c r="DK62" s="2">
        <f t="shared" si="1555"/>
        <v>0</v>
      </c>
      <c r="DL62" s="2">
        <f t="shared" si="1454"/>
        <v>1</v>
      </c>
      <c r="DM62" s="2">
        <f t="shared" si="1556"/>
        <v>9</v>
      </c>
      <c r="DN62" s="2">
        <f t="shared" si="1557"/>
        <v>0</v>
      </c>
      <c r="DO62" s="2">
        <f t="shared" si="1558"/>
        <v>6</v>
      </c>
      <c r="DP62" s="2">
        <f t="shared" si="1455"/>
        <v>0</v>
      </c>
      <c r="DQ62" s="2">
        <f t="shared" si="1559"/>
        <v>12</v>
      </c>
      <c r="DR62" s="2"/>
      <c r="DS62" s="2">
        <f t="shared" ref="DS62" si="1665">IF($E62=4,CS62-4,NA())</f>
        <v>0</v>
      </c>
      <c r="DT62" s="2"/>
      <c r="DU62" s="41">
        <f>CS62-'Zusammenfassung Tag1-4'!$E$2/18</f>
        <v>3</v>
      </c>
      <c r="DV62" s="14">
        <f t="shared" si="1560"/>
        <v>200</v>
      </c>
      <c r="DW62" s="53">
        <v>6</v>
      </c>
      <c r="DX62" s="2">
        <v>60</v>
      </c>
      <c r="DY62" s="56">
        <v>2</v>
      </c>
      <c r="DZ62" s="2">
        <f t="shared" si="1561"/>
        <v>105</v>
      </c>
      <c r="EA62" s="2">
        <f t="shared" si="1457"/>
        <v>0</v>
      </c>
      <c r="EB62" s="2">
        <f t="shared" si="1562"/>
        <v>0</v>
      </c>
      <c r="EC62" s="2">
        <f t="shared" si="1458"/>
        <v>0</v>
      </c>
      <c r="ED62" s="2">
        <f t="shared" si="1563"/>
        <v>1</v>
      </c>
      <c r="EE62" s="2"/>
      <c r="EF62" s="2">
        <f t="shared" si="1459"/>
        <v>0</v>
      </c>
      <c r="EG62" s="2">
        <f t="shared" si="1564"/>
        <v>0</v>
      </c>
      <c r="EH62" s="2">
        <f t="shared" si="1565"/>
        <v>0</v>
      </c>
      <c r="EI62" s="2">
        <f t="shared" si="1566"/>
        <v>1</v>
      </c>
      <c r="EJ62" s="2">
        <f t="shared" si="1567"/>
        <v>0</v>
      </c>
      <c r="EK62" s="2">
        <f t="shared" si="1568"/>
        <v>2</v>
      </c>
      <c r="EL62" s="2">
        <f t="shared" si="1569"/>
        <v>1</v>
      </c>
      <c r="EM62" s="2">
        <f t="shared" si="1570"/>
        <v>9</v>
      </c>
      <c r="EN62" s="2">
        <f t="shared" si="1571"/>
        <v>0</v>
      </c>
      <c r="EO62" s="2">
        <f t="shared" si="1572"/>
        <v>0</v>
      </c>
      <c r="EP62" s="2">
        <f t="shared" si="1460"/>
        <v>0</v>
      </c>
      <c r="EQ62" s="2">
        <f t="shared" si="1573"/>
        <v>6</v>
      </c>
      <c r="ER62" s="2">
        <f t="shared" si="1574"/>
        <v>1</v>
      </c>
      <c r="ES62" s="2">
        <f t="shared" si="1575"/>
        <v>6</v>
      </c>
      <c r="ET62" s="2">
        <f t="shared" si="1461"/>
        <v>0</v>
      </c>
      <c r="EU62" s="2">
        <f t="shared" si="1576"/>
        <v>14</v>
      </c>
      <c r="EV62" s="2"/>
      <c r="EW62" s="2">
        <f t="shared" ref="EW62" si="1666">IF($E62=4,DW62-4,NA())</f>
        <v>2</v>
      </c>
      <c r="EX62" s="2"/>
      <c r="EY62" s="41">
        <f>DW62-'Zusammenfassung Tag1-4'!$F$2/18</f>
        <v>3.5</v>
      </c>
      <c r="EZ62" s="14">
        <f t="shared" si="1577"/>
        <v>216</v>
      </c>
      <c r="FA62" s="53">
        <v>5</v>
      </c>
      <c r="FB62" s="2">
        <v>269</v>
      </c>
      <c r="FC62" s="56">
        <v>2</v>
      </c>
      <c r="FD62" s="2">
        <f t="shared" si="1578"/>
        <v>93</v>
      </c>
      <c r="FE62" s="2">
        <f t="shared" si="1463"/>
        <v>0</v>
      </c>
      <c r="FF62" s="2">
        <f t="shared" si="1579"/>
        <v>7</v>
      </c>
      <c r="FG62" s="2">
        <f t="shared" si="1464"/>
        <v>0</v>
      </c>
      <c r="FH62" s="2">
        <f t="shared" si="1580"/>
        <v>4</v>
      </c>
      <c r="FI62" s="2"/>
      <c r="FJ62" s="2">
        <f t="shared" si="1465"/>
        <v>0</v>
      </c>
      <c r="FK62" s="2">
        <f t="shared" si="1581"/>
        <v>0</v>
      </c>
      <c r="FL62" s="2">
        <f t="shared" si="1582"/>
        <v>0</v>
      </c>
      <c r="FM62" s="2">
        <f t="shared" si="1583"/>
        <v>1</v>
      </c>
      <c r="FN62" s="2">
        <f t="shared" si="1584"/>
        <v>1</v>
      </c>
      <c r="FO62" s="2">
        <f t="shared" si="1585"/>
        <v>5</v>
      </c>
      <c r="FP62" s="2">
        <f t="shared" si="1586"/>
        <v>0</v>
      </c>
      <c r="FQ62" s="2">
        <f t="shared" si="1587"/>
        <v>6</v>
      </c>
      <c r="FR62" s="2">
        <f t="shared" si="1588"/>
        <v>0</v>
      </c>
      <c r="FS62" s="2">
        <f t="shared" si="1589"/>
        <v>0</v>
      </c>
      <c r="FT62" s="2">
        <f t="shared" si="1466"/>
        <v>0</v>
      </c>
      <c r="FU62" s="2">
        <f t="shared" si="1590"/>
        <v>14</v>
      </c>
      <c r="FV62" s="2">
        <f t="shared" si="1591"/>
        <v>1</v>
      </c>
      <c r="FW62" s="2">
        <f t="shared" si="1592"/>
        <v>6</v>
      </c>
      <c r="FX62" s="2">
        <f t="shared" si="1467"/>
        <v>0</v>
      </c>
      <c r="FY62" s="2">
        <f t="shared" si="1593"/>
        <v>11</v>
      </c>
      <c r="FZ62" s="2"/>
      <c r="GA62" s="2">
        <f t="shared" ref="GA62" si="1667">IF($E62=4,FA62-4,NA())</f>
        <v>1</v>
      </c>
      <c r="GB62" s="2"/>
      <c r="GC62" s="41">
        <f>FA62-'Zusammenfassung Tag1-4'!$G$2/18</f>
        <v>3.7222222222222223</v>
      </c>
      <c r="GD62" s="14">
        <f t="shared" si="1594"/>
        <v>204.66666666666686</v>
      </c>
      <c r="GE62" s="53">
        <v>7</v>
      </c>
      <c r="GF62" s="2">
        <v>345</v>
      </c>
      <c r="GG62" s="56">
        <v>3</v>
      </c>
      <c r="GH62" s="2">
        <f t="shared" si="1595"/>
        <v>99</v>
      </c>
      <c r="GI62" s="2">
        <f t="shared" si="1469"/>
        <v>0</v>
      </c>
      <c r="GJ62" s="2">
        <f t="shared" si="1596"/>
        <v>1</v>
      </c>
      <c r="GK62" s="2">
        <f t="shared" si="1470"/>
        <v>0</v>
      </c>
      <c r="GL62" s="2">
        <f t="shared" si="1597"/>
        <v>1</v>
      </c>
      <c r="GM62" s="2"/>
      <c r="GN62" s="2">
        <f t="shared" si="1471"/>
        <v>0</v>
      </c>
      <c r="GO62" s="2">
        <f t="shared" si="1598"/>
        <v>0</v>
      </c>
      <c r="GP62" s="2">
        <f t="shared" si="1599"/>
        <v>0</v>
      </c>
      <c r="GQ62" s="2">
        <f t="shared" si="1600"/>
        <v>0</v>
      </c>
      <c r="GR62" s="2">
        <f t="shared" si="1601"/>
        <v>0</v>
      </c>
      <c r="GS62" s="2">
        <f t="shared" si="1602"/>
        <v>2</v>
      </c>
      <c r="GT62" s="2">
        <f t="shared" si="1603"/>
        <v>1</v>
      </c>
      <c r="GU62" s="2">
        <f t="shared" si="1604"/>
        <v>10</v>
      </c>
      <c r="GV62" s="2">
        <f t="shared" si="1605"/>
        <v>0</v>
      </c>
      <c r="GW62" s="2">
        <f t="shared" si="1606"/>
        <v>0</v>
      </c>
      <c r="GX62" s="2">
        <f t="shared" si="1472"/>
        <v>0</v>
      </c>
      <c r="GY62" s="2">
        <f t="shared" si="1607"/>
        <v>6</v>
      </c>
      <c r="GZ62" s="2">
        <f t="shared" si="1608"/>
        <v>0</v>
      </c>
      <c r="HA62" s="2">
        <f t="shared" si="1609"/>
        <v>9</v>
      </c>
      <c r="HB62" s="2">
        <f t="shared" si="1473"/>
        <v>1</v>
      </c>
      <c r="HC62" s="2">
        <f t="shared" si="1610"/>
        <v>9</v>
      </c>
      <c r="HD62" s="2"/>
      <c r="HE62" s="2">
        <f t="shared" ref="HE62" si="1668">IF($E62=4,GE62-4,NA())</f>
        <v>3</v>
      </c>
      <c r="HF62" s="2"/>
      <c r="HG62" s="41">
        <f>GE62-'Zusammenfassung Tag1-4'!$H$2/18</f>
        <v>5.2222222222222223</v>
      </c>
      <c r="HH62" s="14">
        <f t="shared" si="1611"/>
        <v>232.66666666666688</v>
      </c>
      <c r="HI62" s="53">
        <v>5</v>
      </c>
      <c r="HJ62" s="2">
        <v>256</v>
      </c>
      <c r="HK62" s="56">
        <v>1</v>
      </c>
      <c r="HL62" s="2">
        <f t="shared" si="1612"/>
        <v>90</v>
      </c>
      <c r="HM62" s="2">
        <f t="shared" si="1475"/>
        <v>0</v>
      </c>
      <c r="HN62" s="2">
        <f t="shared" si="1613"/>
        <v>8</v>
      </c>
      <c r="HO62" s="2">
        <f t="shared" si="1476"/>
        <v>0</v>
      </c>
      <c r="HP62" s="2">
        <f t="shared" si="1614"/>
        <v>6</v>
      </c>
      <c r="HQ62" s="2"/>
      <c r="HR62" s="2">
        <f t="shared" si="1477"/>
        <v>0</v>
      </c>
      <c r="HS62" s="2">
        <f t="shared" si="1615"/>
        <v>0</v>
      </c>
      <c r="HT62" s="2">
        <f t="shared" si="1616"/>
        <v>0</v>
      </c>
      <c r="HU62" s="2">
        <f t="shared" si="1617"/>
        <v>6</v>
      </c>
      <c r="HV62" s="2">
        <f t="shared" si="1618"/>
        <v>1</v>
      </c>
      <c r="HW62" s="2">
        <f t="shared" si="1619"/>
        <v>4</v>
      </c>
      <c r="HX62" s="2">
        <f t="shared" si="1620"/>
        <v>0</v>
      </c>
      <c r="HY62" s="2">
        <f t="shared" si="1621"/>
        <v>2</v>
      </c>
      <c r="HZ62" s="2">
        <f t="shared" si="1622"/>
        <v>0</v>
      </c>
      <c r="IA62" s="2">
        <f t="shared" si="1623"/>
        <v>1</v>
      </c>
      <c r="IB62" s="2">
        <f t="shared" si="1478"/>
        <v>1</v>
      </c>
      <c r="IC62" s="2">
        <f t="shared" si="1624"/>
        <v>11</v>
      </c>
      <c r="ID62" s="2">
        <f t="shared" si="1625"/>
        <v>0</v>
      </c>
      <c r="IE62" s="2">
        <f t="shared" si="1626"/>
        <v>6</v>
      </c>
      <c r="IF62" s="2">
        <f t="shared" si="1479"/>
        <v>0</v>
      </c>
      <c r="IG62" s="2">
        <f t="shared" si="1627"/>
        <v>7</v>
      </c>
      <c r="IH62" s="2"/>
      <c r="II62" s="2">
        <f t="shared" ref="II62" si="1669">IF($E62=4,HI62-4,NA())</f>
        <v>1</v>
      </c>
      <c r="IJ62" s="2"/>
      <c r="IK62" s="41">
        <f>HI62-'Zusammenfassung Tag1-4'!$I$2/18</f>
        <v>4.1111111111111107</v>
      </c>
      <c r="IL62" s="14">
        <f t="shared" si="1628"/>
        <v>212.33333333333346</v>
      </c>
      <c r="IM62" s="53">
        <v>7</v>
      </c>
      <c r="IN62" s="2">
        <v>86</v>
      </c>
      <c r="IO62" s="56">
        <v>2</v>
      </c>
      <c r="IP62" s="2">
        <f t="shared" si="1629"/>
        <v>113</v>
      </c>
      <c r="IQ62" s="2">
        <f t="shared" si="1481"/>
        <v>0</v>
      </c>
      <c r="IR62" s="2">
        <f t="shared" si="1630"/>
        <v>7</v>
      </c>
      <c r="IS62" s="2">
        <f t="shared" si="1482"/>
        <v>0</v>
      </c>
      <c r="IT62" s="2">
        <f t="shared" si="1631"/>
        <v>1</v>
      </c>
      <c r="IU62" s="2"/>
      <c r="IV62" s="2">
        <f t="shared" si="1483"/>
        <v>0</v>
      </c>
      <c r="IW62" s="2">
        <f t="shared" si="1632"/>
        <v>0</v>
      </c>
      <c r="IX62" s="2">
        <f t="shared" si="1633"/>
        <v>0</v>
      </c>
      <c r="IY62" s="2">
        <f t="shared" si="1634"/>
        <v>1</v>
      </c>
      <c r="IZ62" s="2">
        <f t="shared" si="1635"/>
        <v>0</v>
      </c>
      <c r="JA62" s="2">
        <f t="shared" si="1636"/>
        <v>1</v>
      </c>
      <c r="JB62" s="2">
        <f t="shared" si="1637"/>
        <v>1</v>
      </c>
      <c r="JC62" s="2">
        <f t="shared" si="1638"/>
        <v>10</v>
      </c>
      <c r="JD62" s="2">
        <f t="shared" si="1639"/>
        <v>0</v>
      </c>
      <c r="JE62" s="2">
        <f t="shared" si="1640"/>
        <v>0</v>
      </c>
      <c r="JF62" s="2">
        <f t="shared" si="1484"/>
        <v>0</v>
      </c>
      <c r="JG62" s="2">
        <f t="shared" si="1641"/>
        <v>7</v>
      </c>
      <c r="JH62" s="2">
        <f t="shared" si="1642"/>
        <v>1</v>
      </c>
      <c r="JI62" s="2">
        <f t="shared" si="1643"/>
        <v>5</v>
      </c>
      <c r="JJ62" s="2">
        <f t="shared" si="1485"/>
        <v>0</v>
      </c>
      <c r="JK62" s="2">
        <f t="shared" si="1644"/>
        <v>19</v>
      </c>
      <c r="JL62" s="2"/>
      <c r="JM62" s="2">
        <f t="shared" ref="JM62" si="1670">IF($E62=4,IM62-4,NA())</f>
        <v>3</v>
      </c>
      <c r="JN62" s="2"/>
      <c r="JO62" s="41">
        <f>IM62-'Zusammenfassung Tag1-4'!$J$2/18</f>
        <v>4.6666666666666661</v>
      </c>
      <c r="JP62" s="14">
        <f t="shared" si="1645"/>
        <v>218.99999999999986</v>
      </c>
      <c r="JQ62" s="53"/>
      <c r="JR62" s="2"/>
      <c r="JS62" s="56"/>
      <c r="JT62" s="2">
        <f t="shared" si="1646"/>
        <v>0</v>
      </c>
      <c r="JU62" s="2">
        <f t="shared" si="1487"/>
        <v>1</v>
      </c>
      <c r="JV62" s="2">
        <f t="shared" si="1647"/>
        <v>48</v>
      </c>
      <c r="JW62" s="2">
        <f t="shared" si="1488"/>
        <v>0</v>
      </c>
      <c r="JX62" s="2">
        <f t="shared" si="1648"/>
        <v>0</v>
      </c>
      <c r="JY62" s="2"/>
      <c r="JZ62" s="2">
        <f t="shared" si="1489"/>
        <v>0</v>
      </c>
      <c r="KA62" s="2">
        <f t="shared" si="1649"/>
        <v>0</v>
      </c>
      <c r="KB62" s="2">
        <f t="shared" si="1650"/>
        <v>0</v>
      </c>
      <c r="KC62" s="2">
        <f t="shared" si="1651"/>
        <v>0</v>
      </c>
      <c r="KD62" s="2">
        <f t="shared" si="1652"/>
        <v>0</v>
      </c>
      <c r="KE62" s="2">
        <f t="shared" si="1653"/>
        <v>0</v>
      </c>
      <c r="KF62" s="2">
        <f t="shared" si="1654"/>
        <v>0</v>
      </c>
      <c r="KG62" s="2">
        <f t="shared" si="1655"/>
        <v>0</v>
      </c>
      <c r="KH62" s="2">
        <f t="shared" si="1656"/>
        <v>1</v>
      </c>
      <c r="KI62" s="2">
        <f t="shared" si="1657"/>
        <v>12</v>
      </c>
      <c r="KJ62" s="2">
        <f t="shared" si="1490"/>
        <v>0</v>
      </c>
      <c r="KK62" s="2">
        <f t="shared" si="1658"/>
        <v>0</v>
      </c>
      <c r="KL62" s="2">
        <f t="shared" si="1659"/>
        <v>0</v>
      </c>
      <c r="KM62" s="2">
        <f t="shared" si="1660"/>
        <v>0</v>
      </c>
      <c r="KN62" s="2">
        <f t="shared" si="1491"/>
        <v>0</v>
      </c>
      <c r="KO62" s="2">
        <f t="shared" si="1661"/>
        <v>0</v>
      </c>
      <c r="KP62" s="2"/>
      <c r="KQ62" s="2">
        <f t="shared" ref="KQ62" si="1671">IF($E62=4,JQ62-4,NA())</f>
        <v>-4</v>
      </c>
      <c r="KR62" s="2"/>
      <c r="KS62" s="41" t="e">
        <f>JQ62-'Zusammenfassung Tag1-4'!#REF!/18</f>
        <v>#REF!</v>
      </c>
      <c r="KT62" s="14" t="e">
        <f t="shared" si="1662"/>
        <v>#REF!</v>
      </c>
    </row>
    <row r="63" spans="1:306" ht="13.2" x14ac:dyDescent="0.25">
      <c r="A63" s="179"/>
      <c r="B63" s="176"/>
      <c r="C63" s="44">
        <v>13</v>
      </c>
      <c r="D63" s="2">
        <f t="shared" si="1493"/>
        <v>49</v>
      </c>
      <c r="E63" s="44">
        <v>5</v>
      </c>
      <c r="F63" s="4">
        <f t="shared" si="1494"/>
        <v>197</v>
      </c>
      <c r="G63" s="53">
        <v>8</v>
      </c>
      <c r="H63" s="2">
        <f t="shared" si="1495"/>
        <v>238</v>
      </c>
      <c r="I63" s="56">
        <v>3</v>
      </c>
      <c r="J63" s="2">
        <f t="shared" si="1496"/>
        <v>94</v>
      </c>
      <c r="K63" s="2">
        <f t="shared" si="1429"/>
        <v>0</v>
      </c>
      <c r="L63" s="2">
        <f t="shared" si="1497"/>
        <v>16</v>
      </c>
      <c r="M63" s="2">
        <f t="shared" si="1430"/>
        <v>0</v>
      </c>
      <c r="N63" s="2">
        <f t="shared" si="1498"/>
        <v>6</v>
      </c>
      <c r="O63" s="2"/>
      <c r="P63" s="2">
        <f t="shared" si="1431"/>
        <v>0</v>
      </c>
      <c r="Q63" s="2">
        <f t="shared" si="1499"/>
        <v>3</v>
      </c>
      <c r="R63" s="2">
        <f t="shared" si="1432"/>
        <v>0</v>
      </c>
      <c r="S63" s="2">
        <f t="shared" si="1500"/>
        <v>3</v>
      </c>
      <c r="T63" s="2">
        <f t="shared" si="1433"/>
        <v>0</v>
      </c>
      <c r="U63" s="2">
        <f t="shared" si="1501"/>
        <v>6</v>
      </c>
      <c r="V63" s="2">
        <f t="shared" si="1434"/>
        <v>1</v>
      </c>
      <c r="W63" s="2">
        <f t="shared" si="1502"/>
        <v>3</v>
      </c>
      <c r="X63" s="2">
        <f t="shared" si="1435"/>
        <v>0</v>
      </c>
      <c r="Y63" s="2">
        <f t="shared" si="1503"/>
        <v>1</v>
      </c>
      <c r="Z63" s="2">
        <f t="shared" si="1436"/>
        <v>0</v>
      </c>
      <c r="AA63" s="2">
        <f t="shared" si="1504"/>
        <v>9</v>
      </c>
      <c r="AB63" s="2">
        <f t="shared" si="1437"/>
        <v>0</v>
      </c>
      <c r="AC63" s="2">
        <f t="shared" si="1505"/>
        <v>5</v>
      </c>
      <c r="AD63" s="2">
        <f t="shared" si="1438"/>
        <v>1</v>
      </c>
      <c r="AE63" s="2">
        <f t="shared" si="1506"/>
        <v>8</v>
      </c>
      <c r="AF63" s="2"/>
      <c r="AG63" s="2"/>
      <c r="AH63" s="2">
        <f>IF($E63=5,G63-5,NA())</f>
        <v>3</v>
      </c>
      <c r="AI63" s="41">
        <f>G63-'Zusammenfassung Tag1-4'!$B$2/18</f>
        <v>7.166666666666667</v>
      </c>
      <c r="AJ63" s="13">
        <f t="shared" si="1507"/>
        <v>197.16666666666654</v>
      </c>
      <c r="AK63" s="53">
        <v>5</v>
      </c>
      <c r="AL63" s="2">
        <f t="shared" si="1508"/>
        <v>239</v>
      </c>
      <c r="AM63" s="56">
        <v>1</v>
      </c>
      <c r="AN63" s="2">
        <f t="shared" si="1509"/>
        <v>89</v>
      </c>
      <c r="AO63" s="2">
        <f t="shared" si="1439"/>
        <v>0</v>
      </c>
      <c r="AP63" s="2">
        <f t="shared" si="1510"/>
        <v>21</v>
      </c>
      <c r="AQ63" s="2">
        <f t="shared" si="1440"/>
        <v>1</v>
      </c>
      <c r="AR63" s="2">
        <f t="shared" si="1511"/>
        <v>6</v>
      </c>
      <c r="AS63" s="2"/>
      <c r="AT63" s="2">
        <f t="shared" si="1441"/>
        <v>0</v>
      </c>
      <c r="AU63" s="2">
        <f t="shared" si="1512"/>
        <v>0</v>
      </c>
      <c r="AV63" s="2">
        <f t="shared" si="1513"/>
        <v>1</v>
      </c>
      <c r="AW63" s="2">
        <f t="shared" si="1514"/>
        <v>6</v>
      </c>
      <c r="AX63" s="2">
        <f t="shared" si="1515"/>
        <v>0</v>
      </c>
      <c r="AY63" s="2">
        <f t="shared" si="1516"/>
        <v>3</v>
      </c>
      <c r="AZ63" s="2">
        <f t="shared" si="1517"/>
        <v>0</v>
      </c>
      <c r="BA63" s="2">
        <f t="shared" si="1518"/>
        <v>4</v>
      </c>
      <c r="BB63" s="2">
        <f t="shared" si="1519"/>
        <v>0</v>
      </c>
      <c r="BC63" s="2">
        <f t="shared" si="1520"/>
        <v>0</v>
      </c>
      <c r="BD63" s="2">
        <f t="shared" si="1442"/>
        <v>1</v>
      </c>
      <c r="BE63" s="2">
        <f t="shared" si="1521"/>
        <v>13</v>
      </c>
      <c r="BF63" s="2">
        <f t="shared" si="1522"/>
        <v>0</v>
      </c>
      <c r="BG63" s="2">
        <f t="shared" si="1523"/>
        <v>7</v>
      </c>
      <c r="BH63" s="2">
        <f t="shared" si="1443"/>
        <v>0</v>
      </c>
      <c r="BI63" s="2">
        <f t="shared" si="1524"/>
        <v>4</v>
      </c>
      <c r="BJ63" s="2"/>
      <c r="BK63" s="2"/>
      <c r="BL63" s="2">
        <f t="shared" ref="BL63" si="1672">IF($E63=5,AK63-5,NA())</f>
        <v>0</v>
      </c>
      <c r="BM63" s="41">
        <f>AK63-'Zusammenfassung Tag1-4'!$C$2/18</f>
        <v>4.4444444444444446</v>
      </c>
      <c r="BN63" s="13">
        <f t="shared" si="1525"/>
        <v>211.777777777778</v>
      </c>
      <c r="BO63" s="53">
        <v>6</v>
      </c>
      <c r="BP63" s="2">
        <f t="shared" si="1526"/>
        <v>289</v>
      </c>
      <c r="BQ63" s="56">
        <v>2</v>
      </c>
      <c r="BR63" s="2">
        <f t="shared" si="1527"/>
        <v>110</v>
      </c>
      <c r="BS63" s="2">
        <f t="shared" si="1445"/>
        <v>0</v>
      </c>
      <c r="BT63" s="2">
        <f t="shared" si="1528"/>
        <v>9</v>
      </c>
      <c r="BU63" s="2">
        <f t="shared" si="1446"/>
        <v>0</v>
      </c>
      <c r="BV63" s="2">
        <f t="shared" si="1529"/>
        <v>0</v>
      </c>
      <c r="BW63" s="2"/>
      <c r="BX63" s="2">
        <f t="shared" si="1447"/>
        <v>0</v>
      </c>
      <c r="BY63" s="2">
        <f t="shared" si="1530"/>
        <v>0</v>
      </c>
      <c r="BZ63" s="2">
        <f t="shared" si="1531"/>
        <v>0</v>
      </c>
      <c r="CA63" s="2">
        <f t="shared" si="1532"/>
        <v>0</v>
      </c>
      <c r="CB63" s="2">
        <f t="shared" si="1533"/>
        <v>1</v>
      </c>
      <c r="CC63" s="2">
        <f t="shared" si="1534"/>
        <v>6</v>
      </c>
      <c r="CD63" s="2">
        <f t="shared" si="1535"/>
        <v>0</v>
      </c>
      <c r="CE63" s="2">
        <f t="shared" si="1536"/>
        <v>7</v>
      </c>
      <c r="CF63" s="2">
        <f t="shared" si="1537"/>
        <v>0</v>
      </c>
      <c r="CG63" s="2">
        <f t="shared" si="1530"/>
        <v>0</v>
      </c>
      <c r="CH63" s="2">
        <f t="shared" si="1448"/>
        <v>0</v>
      </c>
      <c r="CI63" s="2">
        <f t="shared" si="1538"/>
        <v>2</v>
      </c>
      <c r="CJ63" s="2">
        <f t="shared" si="1539"/>
        <v>1</v>
      </c>
      <c r="CK63" s="2">
        <f t="shared" si="1540"/>
        <v>9</v>
      </c>
      <c r="CL63" s="2">
        <f t="shared" si="1449"/>
        <v>0</v>
      </c>
      <c r="CM63" s="2">
        <f t="shared" si="1541"/>
        <v>14</v>
      </c>
      <c r="CN63" s="2"/>
      <c r="CO63" s="2"/>
      <c r="CP63" s="2">
        <f t="shared" ref="CP63" si="1673">IF($E63=5,BO63-5,NA())</f>
        <v>1</v>
      </c>
      <c r="CQ63" s="41">
        <f>BO63-'Zusammenfassung Tag1-4'!$D$2/18</f>
        <v>4.9444444444444446</v>
      </c>
      <c r="CR63" s="13">
        <f t="shared" si="1542"/>
        <v>237.27777777777803</v>
      </c>
      <c r="CS63" s="53">
        <v>6</v>
      </c>
      <c r="CT63" s="2">
        <f t="shared" si="1543"/>
        <v>254</v>
      </c>
      <c r="CU63" s="56">
        <v>1</v>
      </c>
      <c r="CV63" s="2">
        <f t="shared" si="1544"/>
        <v>101</v>
      </c>
      <c r="CW63" s="2">
        <f t="shared" si="1451"/>
        <v>0</v>
      </c>
      <c r="CX63" s="2">
        <f t="shared" si="1545"/>
        <v>14</v>
      </c>
      <c r="CY63" s="2">
        <f t="shared" si="1452"/>
        <v>0</v>
      </c>
      <c r="CZ63" s="2">
        <f t="shared" si="1546"/>
        <v>5</v>
      </c>
      <c r="DA63" s="2"/>
      <c r="DB63" s="2">
        <f t="shared" si="1453"/>
        <v>0</v>
      </c>
      <c r="DC63" s="2">
        <f t="shared" si="1547"/>
        <v>0</v>
      </c>
      <c r="DD63" s="2">
        <f t="shared" si="1548"/>
        <v>0</v>
      </c>
      <c r="DE63" s="2">
        <f t="shared" si="1549"/>
        <v>7</v>
      </c>
      <c r="DF63" s="2">
        <f t="shared" si="1550"/>
        <v>1</v>
      </c>
      <c r="DG63" s="2">
        <f t="shared" si="1551"/>
        <v>5</v>
      </c>
      <c r="DH63" s="2">
        <f t="shared" si="1552"/>
        <v>0</v>
      </c>
      <c r="DI63" s="2">
        <f t="shared" si="1553"/>
        <v>1</v>
      </c>
      <c r="DJ63" s="2">
        <f t="shared" si="1554"/>
        <v>0</v>
      </c>
      <c r="DK63" s="2">
        <f t="shared" si="1555"/>
        <v>0</v>
      </c>
      <c r="DL63" s="2">
        <f t="shared" si="1454"/>
        <v>1</v>
      </c>
      <c r="DM63" s="2">
        <f t="shared" si="1556"/>
        <v>10</v>
      </c>
      <c r="DN63" s="2">
        <f t="shared" si="1557"/>
        <v>0</v>
      </c>
      <c r="DO63" s="2">
        <f t="shared" si="1558"/>
        <v>6</v>
      </c>
      <c r="DP63" s="2">
        <f t="shared" si="1455"/>
        <v>0</v>
      </c>
      <c r="DQ63" s="2">
        <f t="shared" si="1559"/>
        <v>12</v>
      </c>
      <c r="DR63" s="2"/>
      <c r="DS63" s="2"/>
      <c r="DT63" s="2">
        <f t="shared" ref="DT63" si="1674">IF($E63=5,CS63-5,NA())</f>
        <v>1</v>
      </c>
      <c r="DU63" s="41">
        <f>CS63-'Zusammenfassung Tag1-4'!$E$2/18</f>
        <v>5</v>
      </c>
      <c r="DV63" s="14">
        <f t="shared" si="1560"/>
        <v>205</v>
      </c>
      <c r="DW63" s="53">
        <v>9</v>
      </c>
      <c r="DX63" s="2">
        <v>64</v>
      </c>
      <c r="DY63" s="56">
        <v>3</v>
      </c>
      <c r="DZ63" s="2">
        <f t="shared" si="1561"/>
        <v>108</v>
      </c>
      <c r="EA63" s="2">
        <f t="shared" si="1457"/>
        <v>0</v>
      </c>
      <c r="EB63" s="2">
        <f t="shared" si="1562"/>
        <v>0</v>
      </c>
      <c r="EC63" s="2">
        <f t="shared" si="1458"/>
        <v>0</v>
      </c>
      <c r="ED63" s="2">
        <f t="shared" si="1563"/>
        <v>1</v>
      </c>
      <c r="EE63" s="2"/>
      <c r="EF63" s="2">
        <f t="shared" si="1459"/>
        <v>0</v>
      </c>
      <c r="EG63" s="2">
        <f t="shared" si="1564"/>
        <v>0</v>
      </c>
      <c r="EH63" s="2">
        <f t="shared" si="1565"/>
        <v>0</v>
      </c>
      <c r="EI63" s="2">
        <f t="shared" si="1566"/>
        <v>1</v>
      </c>
      <c r="EJ63" s="2">
        <f t="shared" si="1567"/>
        <v>0</v>
      </c>
      <c r="EK63" s="2">
        <f t="shared" si="1568"/>
        <v>2</v>
      </c>
      <c r="EL63" s="2">
        <f t="shared" si="1569"/>
        <v>1</v>
      </c>
      <c r="EM63" s="2">
        <f t="shared" si="1570"/>
        <v>10</v>
      </c>
      <c r="EN63" s="2">
        <f t="shared" si="1571"/>
        <v>0</v>
      </c>
      <c r="EO63" s="2">
        <f t="shared" si="1572"/>
        <v>0</v>
      </c>
      <c r="EP63" s="2">
        <f t="shared" si="1460"/>
        <v>0</v>
      </c>
      <c r="EQ63" s="2">
        <f t="shared" si="1573"/>
        <v>6</v>
      </c>
      <c r="ER63" s="2">
        <f t="shared" si="1574"/>
        <v>0</v>
      </c>
      <c r="ES63" s="2">
        <f t="shared" si="1575"/>
        <v>6</v>
      </c>
      <c r="ET63" s="2">
        <f t="shared" si="1461"/>
        <v>1</v>
      </c>
      <c r="EU63" s="2">
        <f t="shared" si="1576"/>
        <v>15</v>
      </c>
      <c r="EV63" s="2"/>
      <c r="EW63" s="2"/>
      <c r="EX63" s="2">
        <f t="shared" ref="EX63" si="1675">IF($E63=5,DW63-5,NA())</f>
        <v>4</v>
      </c>
      <c r="EY63" s="41">
        <f>DW63-'Zusammenfassung Tag1-4'!$F$2/18</f>
        <v>6.5</v>
      </c>
      <c r="EZ63" s="14">
        <f t="shared" si="1577"/>
        <v>222.5</v>
      </c>
      <c r="FA63" s="53">
        <v>10</v>
      </c>
      <c r="FB63" s="2">
        <v>274</v>
      </c>
      <c r="FC63" s="56">
        <v>2</v>
      </c>
      <c r="FD63" s="2">
        <f t="shared" si="1578"/>
        <v>95</v>
      </c>
      <c r="FE63" s="2">
        <f t="shared" si="1463"/>
        <v>0</v>
      </c>
      <c r="FF63" s="2">
        <f t="shared" si="1579"/>
        <v>7</v>
      </c>
      <c r="FG63" s="2">
        <f t="shared" si="1464"/>
        <v>0</v>
      </c>
      <c r="FH63" s="2">
        <f t="shared" si="1580"/>
        <v>4</v>
      </c>
      <c r="FI63" s="2"/>
      <c r="FJ63" s="2">
        <f t="shared" si="1465"/>
        <v>0</v>
      </c>
      <c r="FK63" s="2">
        <f t="shared" si="1581"/>
        <v>0</v>
      </c>
      <c r="FL63" s="2">
        <f t="shared" si="1582"/>
        <v>0</v>
      </c>
      <c r="FM63" s="2">
        <f t="shared" si="1583"/>
        <v>1</v>
      </c>
      <c r="FN63" s="2">
        <f t="shared" si="1584"/>
        <v>0</v>
      </c>
      <c r="FO63" s="2">
        <f t="shared" si="1585"/>
        <v>5</v>
      </c>
      <c r="FP63" s="2">
        <f t="shared" si="1586"/>
        <v>1</v>
      </c>
      <c r="FQ63" s="2">
        <f t="shared" si="1587"/>
        <v>7</v>
      </c>
      <c r="FR63" s="2">
        <f t="shared" si="1588"/>
        <v>0</v>
      </c>
      <c r="FS63" s="2">
        <f t="shared" si="1589"/>
        <v>0</v>
      </c>
      <c r="FT63" s="2">
        <f t="shared" si="1466"/>
        <v>0</v>
      </c>
      <c r="FU63" s="2">
        <f t="shared" si="1590"/>
        <v>14</v>
      </c>
      <c r="FV63" s="2">
        <f t="shared" si="1591"/>
        <v>1</v>
      </c>
      <c r="FW63" s="2">
        <f t="shared" si="1592"/>
        <v>7</v>
      </c>
      <c r="FX63" s="2">
        <f t="shared" si="1467"/>
        <v>0</v>
      </c>
      <c r="FY63" s="2">
        <f t="shared" si="1593"/>
        <v>11</v>
      </c>
      <c r="FZ63" s="2"/>
      <c r="GA63" s="2"/>
      <c r="GB63" s="2">
        <f t="shared" ref="GB63" si="1676">IF($E63=5,FA63-5,NA())</f>
        <v>5</v>
      </c>
      <c r="GC63" s="41">
        <f>FA63-'Zusammenfassung Tag1-4'!$G$2/18</f>
        <v>8.7222222222222214</v>
      </c>
      <c r="GD63" s="14">
        <f t="shared" si="1594"/>
        <v>213.38888888888908</v>
      </c>
      <c r="GE63" s="53">
        <v>8</v>
      </c>
      <c r="GF63" s="2">
        <v>355</v>
      </c>
      <c r="GG63" s="56">
        <v>3</v>
      </c>
      <c r="GH63" s="2">
        <f t="shared" si="1595"/>
        <v>102</v>
      </c>
      <c r="GI63" s="2">
        <f t="shared" si="1469"/>
        <v>0</v>
      </c>
      <c r="GJ63" s="2">
        <f t="shared" si="1596"/>
        <v>1</v>
      </c>
      <c r="GK63" s="2">
        <f t="shared" si="1470"/>
        <v>0</v>
      </c>
      <c r="GL63" s="2">
        <f t="shared" si="1597"/>
        <v>1</v>
      </c>
      <c r="GM63" s="2"/>
      <c r="GN63" s="2">
        <f t="shared" si="1471"/>
        <v>0</v>
      </c>
      <c r="GO63" s="2">
        <f t="shared" si="1598"/>
        <v>0</v>
      </c>
      <c r="GP63" s="2">
        <f t="shared" si="1599"/>
        <v>0</v>
      </c>
      <c r="GQ63" s="2">
        <f t="shared" si="1600"/>
        <v>0</v>
      </c>
      <c r="GR63" s="2">
        <f t="shared" si="1601"/>
        <v>0</v>
      </c>
      <c r="GS63" s="2">
        <f t="shared" si="1602"/>
        <v>2</v>
      </c>
      <c r="GT63" s="2">
        <f t="shared" si="1603"/>
        <v>1</v>
      </c>
      <c r="GU63" s="2">
        <f t="shared" si="1604"/>
        <v>11</v>
      </c>
      <c r="GV63" s="2">
        <f t="shared" si="1605"/>
        <v>0</v>
      </c>
      <c r="GW63" s="2">
        <f t="shared" si="1606"/>
        <v>0</v>
      </c>
      <c r="GX63" s="2">
        <f t="shared" si="1472"/>
        <v>0</v>
      </c>
      <c r="GY63" s="2">
        <f t="shared" si="1607"/>
        <v>6</v>
      </c>
      <c r="GZ63" s="2">
        <f t="shared" si="1608"/>
        <v>0</v>
      </c>
      <c r="HA63" s="2">
        <f t="shared" si="1609"/>
        <v>9</v>
      </c>
      <c r="HB63" s="2">
        <f t="shared" si="1473"/>
        <v>1</v>
      </c>
      <c r="HC63" s="2">
        <f t="shared" si="1610"/>
        <v>10</v>
      </c>
      <c r="HD63" s="2"/>
      <c r="HE63" s="2"/>
      <c r="HF63" s="2">
        <f t="shared" ref="HF63" si="1677">IF($E63=5,GE63-5,NA())</f>
        <v>3</v>
      </c>
      <c r="HG63" s="41">
        <f>GE63-'Zusammenfassung Tag1-4'!$H$2/18</f>
        <v>6.2222222222222223</v>
      </c>
      <c r="HH63" s="14">
        <f t="shared" si="1611"/>
        <v>238.88888888888911</v>
      </c>
      <c r="HI63" s="53">
        <v>6</v>
      </c>
      <c r="HJ63" s="2">
        <v>264</v>
      </c>
      <c r="HK63" s="56">
        <v>1</v>
      </c>
      <c r="HL63" s="2">
        <f t="shared" si="1612"/>
        <v>91</v>
      </c>
      <c r="HM63" s="2">
        <f t="shared" si="1475"/>
        <v>0</v>
      </c>
      <c r="HN63" s="2">
        <f t="shared" si="1613"/>
        <v>8</v>
      </c>
      <c r="HO63" s="2">
        <f t="shared" si="1476"/>
        <v>0</v>
      </c>
      <c r="HP63" s="2">
        <f t="shared" si="1614"/>
        <v>6</v>
      </c>
      <c r="HQ63" s="2"/>
      <c r="HR63" s="2">
        <f t="shared" si="1477"/>
        <v>0</v>
      </c>
      <c r="HS63" s="2">
        <f t="shared" si="1615"/>
        <v>0</v>
      </c>
      <c r="HT63" s="2">
        <f t="shared" si="1616"/>
        <v>0</v>
      </c>
      <c r="HU63" s="2">
        <f t="shared" si="1617"/>
        <v>6</v>
      </c>
      <c r="HV63" s="2">
        <f t="shared" si="1618"/>
        <v>1</v>
      </c>
      <c r="HW63" s="2">
        <f t="shared" si="1619"/>
        <v>5</v>
      </c>
      <c r="HX63" s="2">
        <f t="shared" si="1620"/>
        <v>0</v>
      </c>
      <c r="HY63" s="2">
        <f t="shared" si="1621"/>
        <v>2</v>
      </c>
      <c r="HZ63" s="2">
        <f t="shared" si="1622"/>
        <v>0</v>
      </c>
      <c r="IA63" s="2">
        <f t="shared" si="1623"/>
        <v>1</v>
      </c>
      <c r="IB63" s="2">
        <f t="shared" si="1478"/>
        <v>1</v>
      </c>
      <c r="IC63" s="2">
        <f t="shared" si="1624"/>
        <v>12</v>
      </c>
      <c r="ID63" s="2">
        <f t="shared" si="1625"/>
        <v>0</v>
      </c>
      <c r="IE63" s="2">
        <f t="shared" si="1626"/>
        <v>6</v>
      </c>
      <c r="IF63" s="2">
        <f t="shared" si="1479"/>
        <v>0</v>
      </c>
      <c r="IG63" s="2">
        <f t="shared" si="1627"/>
        <v>7</v>
      </c>
      <c r="IH63" s="2"/>
      <c r="II63" s="2"/>
      <c r="IJ63" s="2">
        <f t="shared" ref="IJ63" si="1678">IF($E63=5,HI63-5,NA())</f>
        <v>1</v>
      </c>
      <c r="IK63" s="41">
        <f>HI63-'Zusammenfassung Tag1-4'!$I$2/18</f>
        <v>5.1111111111111107</v>
      </c>
      <c r="IL63" s="14">
        <f t="shared" si="1628"/>
        <v>217.44444444444457</v>
      </c>
      <c r="IM63" s="53">
        <v>8</v>
      </c>
      <c r="IN63" s="2">
        <v>94</v>
      </c>
      <c r="IO63" s="56">
        <v>2</v>
      </c>
      <c r="IP63" s="2">
        <f t="shared" si="1629"/>
        <v>115</v>
      </c>
      <c r="IQ63" s="2">
        <f t="shared" si="1481"/>
        <v>0</v>
      </c>
      <c r="IR63" s="2">
        <f t="shared" si="1630"/>
        <v>7</v>
      </c>
      <c r="IS63" s="2">
        <f t="shared" si="1482"/>
        <v>0</v>
      </c>
      <c r="IT63" s="2">
        <f t="shared" si="1631"/>
        <v>1</v>
      </c>
      <c r="IU63" s="2"/>
      <c r="IV63" s="2">
        <f t="shared" si="1483"/>
        <v>0</v>
      </c>
      <c r="IW63" s="2">
        <f t="shared" si="1632"/>
        <v>0</v>
      </c>
      <c r="IX63" s="2">
        <f t="shared" si="1633"/>
        <v>0</v>
      </c>
      <c r="IY63" s="2">
        <f t="shared" si="1634"/>
        <v>1</v>
      </c>
      <c r="IZ63" s="2">
        <f t="shared" si="1635"/>
        <v>0</v>
      </c>
      <c r="JA63" s="2">
        <f t="shared" si="1636"/>
        <v>1</v>
      </c>
      <c r="JB63" s="2">
        <f t="shared" si="1637"/>
        <v>1</v>
      </c>
      <c r="JC63" s="2">
        <f t="shared" si="1638"/>
        <v>11</v>
      </c>
      <c r="JD63" s="2">
        <f t="shared" si="1639"/>
        <v>0</v>
      </c>
      <c r="JE63" s="2">
        <f t="shared" si="1640"/>
        <v>0</v>
      </c>
      <c r="JF63" s="2">
        <f t="shared" si="1484"/>
        <v>0</v>
      </c>
      <c r="JG63" s="2">
        <f t="shared" si="1641"/>
        <v>7</v>
      </c>
      <c r="JH63" s="2">
        <f t="shared" si="1642"/>
        <v>1</v>
      </c>
      <c r="JI63" s="2">
        <f t="shared" si="1643"/>
        <v>6</v>
      </c>
      <c r="JJ63" s="2">
        <f t="shared" si="1485"/>
        <v>0</v>
      </c>
      <c r="JK63" s="2">
        <f t="shared" si="1644"/>
        <v>19</v>
      </c>
      <c r="JL63" s="2"/>
      <c r="JM63" s="2"/>
      <c r="JN63" s="2">
        <f t="shared" ref="JN63" si="1679">IF($E63=5,IM63-5,NA())</f>
        <v>3</v>
      </c>
      <c r="JO63" s="41">
        <f>IM63-'Zusammenfassung Tag1-4'!$J$2/18</f>
        <v>5.6666666666666661</v>
      </c>
      <c r="JP63" s="14">
        <f t="shared" si="1645"/>
        <v>224.66666666666652</v>
      </c>
      <c r="JQ63" s="53"/>
      <c r="JR63" s="2"/>
      <c r="JS63" s="56"/>
      <c r="JT63" s="2">
        <f t="shared" si="1646"/>
        <v>0</v>
      </c>
      <c r="JU63" s="2">
        <f t="shared" si="1487"/>
        <v>1</v>
      </c>
      <c r="JV63" s="2">
        <f t="shared" si="1647"/>
        <v>49</v>
      </c>
      <c r="JW63" s="2">
        <f t="shared" si="1488"/>
        <v>0</v>
      </c>
      <c r="JX63" s="2">
        <f t="shared" si="1648"/>
        <v>0</v>
      </c>
      <c r="JY63" s="2"/>
      <c r="JZ63" s="2">
        <f t="shared" si="1489"/>
        <v>0</v>
      </c>
      <c r="KA63" s="2">
        <f t="shared" si="1649"/>
        <v>0</v>
      </c>
      <c r="KB63" s="2">
        <f t="shared" si="1650"/>
        <v>0</v>
      </c>
      <c r="KC63" s="2">
        <f t="shared" si="1651"/>
        <v>0</v>
      </c>
      <c r="KD63" s="2">
        <f t="shared" si="1652"/>
        <v>0</v>
      </c>
      <c r="KE63" s="2">
        <f t="shared" si="1653"/>
        <v>0</v>
      </c>
      <c r="KF63" s="2">
        <f t="shared" si="1654"/>
        <v>0</v>
      </c>
      <c r="KG63" s="2">
        <f t="shared" si="1655"/>
        <v>0</v>
      </c>
      <c r="KH63" s="2">
        <f t="shared" si="1656"/>
        <v>1</v>
      </c>
      <c r="KI63" s="2">
        <f t="shared" si="1657"/>
        <v>13</v>
      </c>
      <c r="KJ63" s="2">
        <f t="shared" si="1490"/>
        <v>0</v>
      </c>
      <c r="KK63" s="2">
        <f t="shared" si="1658"/>
        <v>0</v>
      </c>
      <c r="KL63" s="2">
        <f t="shared" si="1659"/>
        <v>0</v>
      </c>
      <c r="KM63" s="2">
        <f t="shared" si="1660"/>
        <v>0</v>
      </c>
      <c r="KN63" s="2">
        <f t="shared" si="1491"/>
        <v>0</v>
      </c>
      <c r="KO63" s="2">
        <f t="shared" si="1661"/>
        <v>0</v>
      </c>
      <c r="KP63" s="2"/>
      <c r="KQ63" s="2"/>
      <c r="KR63" s="2">
        <f t="shared" ref="KR63" si="1680">IF($E63=5,JQ63-5,NA())</f>
        <v>-5</v>
      </c>
      <c r="KS63" s="41" t="e">
        <f>JQ63-'Zusammenfassung Tag1-4'!#REF!/18</f>
        <v>#REF!</v>
      </c>
      <c r="KT63" s="14" t="e">
        <f t="shared" si="1662"/>
        <v>#REF!</v>
      </c>
    </row>
    <row r="64" spans="1:306" ht="13.2" x14ac:dyDescent="0.25">
      <c r="A64" s="179"/>
      <c r="B64" s="176"/>
      <c r="C64" s="44">
        <v>14</v>
      </c>
      <c r="D64" s="2">
        <f t="shared" si="1493"/>
        <v>50</v>
      </c>
      <c r="E64" s="44">
        <v>4</v>
      </c>
      <c r="F64" s="4">
        <f t="shared" si="1494"/>
        <v>201</v>
      </c>
      <c r="G64" s="53">
        <v>7</v>
      </c>
      <c r="H64" s="2">
        <f t="shared" si="1495"/>
        <v>245</v>
      </c>
      <c r="I64" s="56">
        <v>2</v>
      </c>
      <c r="J64" s="2">
        <f t="shared" si="1496"/>
        <v>96</v>
      </c>
      <c r="K64" s="2">
        <f t="shared" si="1429"/>
        <v>0</v>
      </c>
      <c r="L64" s="2">
        <f t="shared" si="1497"/>
        <v>16</v>
      </c>
      <c r="M64" s="2">
        <f t="shared" si="1430"/>
        <v>0</v>
      </c>
      <c r="N64" s="2">
        <f t="shared" si="1498"/>
        <v>6</v>
      </c>
      <c r="O64" s="2"/>
      <c r="P64" s="2">
        <f t="shared" si="1431"/>
        <v>0</v>
      </c>
      <c r="Q64" s="2">
        <f t="shared" si="1499"/>
        <v>3</v>
      </c>
      <c r="R64" s="2">
        <f t="shared" si="1432"/>
        <v>0</v>
      </c>
      <c r="S64" s="2">
        <f t="shared" si="1500"/>
        <v>3</v>
      </c>
      <c r="T64" s="2">
        <f t="shared" si="1433"/>
        <v>0</v>
      </c>
      <c r="U64" s="2">
        <f t="shared" si="1501"/>
        <v>6</v>
      </c>
      <c r="V64" s="2">
        <f t="shared" si="1434"/>
        <v>1</v>
      </c>
      <c r="W64" s="2">
        <f t="shared" si="1502"/>
        <v>4</v>
      </c>
      <c r="X64" s="2">
        <f t="shared" si="1435"/>
        <v>0</v>
      </c>
      <c r="Y64" s="2">
        <f t="shared" si="1503"/>
        <v>1</v>
      </c>
      <c r="Z64" s="2">
        <f t="shared" si="1436"/>
        <v>0</v>
      </c>
      <c r="AA64" s="2">
        <f t="shared" si="1504"/>
        <v>9</v>
      </c>
      <c r="AB64" s="2">
        <f t="shared" si="1437"/>
        <v>1</v>
      </c>
      <c r="AC64" s="2">
        <f t="shared" si="1505"/>
        <v>6</v>
      </c>
      <c r="AD64" s="2">
        <f t="shared" si="1438"/>
        <v>0</v>
      </c>
      <c r="AE64" s="2">
        <f t="shared" si="1506"/>
        <v>8</v>
      </c>
      <c r="AF64" s="2"/>
      <c r="AG64" s="2">
        <f>IF($E64=4,G64-4,NA())</f>
        <v>3</v>
      </c>
      <c r="AH64" s="2"/>
      <c r="AI64" s="41">
        <f>G64-'Zusammenfassung Tag1-4'!$B$2/18</f>
        <v>6.166666666666667</v>
      </c>
      <c r="AJ64" s="13">
        <f t="shared" si="1507"/>
        <v>203.3333333333332</v>
      </c>
      <c r="AK64" s="53">
        <v>4</v>
      </c>
      <c r="AL64" s="2">
        <f t="shared" si="1508"/>
        <v>243</v>
      </c>
      <c r="AM64" s="56">
        <v>2</v>
      </c>
      <c r="AN64" s="2">
        <f t="shared" si="1509"/>
        <v>91</v>
      </c>
      <c r="AO64" s="2">
        <f t="shared" si="1439"/>
        <v>1</v>
      </c>
      <c r="AP64" s="2">
        <f t="shared" si="1510"/>
        <v>22</v>
      </c>
      <c r="AQ64" s="2">
        <f t="shared" si="1440"/>
        <v>0</v>
      </c>
      <c r="AR64" s="2">
        <f t="shared" si="1511"/>
        <v>6</v>
      </c>
      <c r="AS64" s="2"/>
      <c r="AT64" s="2">
        <f t="shared" si="1441"/>
        <v>0</v>
      </c>
      <c r="AU64" s="2">
        <f t="shared" si="1512"/>
        <v>0</v>
      </c>
      <c r="AV64" s="2">
        <f t="shared" si="1513"/>
        <v>1</v>
      </c>
      <c r="AW64" s="2">
        <f t="shared" si="1514"/>
        <v>7</v>
      </c>
      <c r="AX64" s="2">
        <f t="shared" si="1515"/>
        <v>0</v>
      </c>
      <c r="AY64" s="2">
        <f t="shared" si="1516"/>
        <v>3</v>
      </c>
      <c r="AZ64" s="2">
        <f t="shared" si="1517"/>
        <v>0</v>
      </c>
      <c r="BA64" s="2">
        <f t="shared" si="1518"/>
        <v>4</v>
      </c>
      <c r="BB64" s="2">
        <f t="shared" si="1519"/>
        <v>0</v>
      </c>
      <c r="BC64" s="2">
        <f t="shared" si="1520"/>
        <v>0</v>
      </c>
      <c r="BD64" s="2">
        <f t="shared" si="1442"/>
        <v>0</v>
      </c>
      <c r="BE64" s="2">
        <f t="shared" si="1521"/>
        <v>13</v>
      </c>
      <c r="BF64" s="2">
        <f t="shared" si="1522"/>
        <v>1</v>
      </c>
      <c r="BG64" s="2">
        <f t="shared" si="1523"/>
        <v>8</v>
      </c>
      <c r="BH64" s="2">
        <f t="shared" si="1443"/>
        <v>0</v>
      </c>
      <c r="BI64" s="2">
        <f t="shared" si="1524"/>
        <v>4</v>
      </c>
      <c r="BJ64" s="2"/>
      <c r="BK64" s="2">
        <f t="shared" ref="BK64" si="1681">IF($E64=4,AK64-4,NA())</f>
        <v>0</v>
      </c>
      <c r="BL64" s="2"/>
      <c r="BM64" s="41">
        <f>AK64-'Zusammenfassung Tag1-4'!$C$2/18</f>
        <v>3.4444444444444446</v>
      </c>
      <c r="BN64" s="13">
        <f t="shared" si="1525"/>
        <v>215.22222222222246</v>
      </c>
      <c r="BO64" s="53">
        <v>6</v>
      </c>
      <c r="BP64" s="2">
        <f t="shared" si="1526"/>
        <v>295</v>
      </c>
      <c r="BQ64" s="56">
        <v>2</v>
      </c>
      <c r="BR64" s="2">
        <f t="shared" si="1527"/>
        <v>112</v>
      </c>
      <c r="BS64" s="2">
        <f t="shared" si="1445"/>
        <v>0</v>
      </c>
      <c r="BT64" s="2">
        <f t="shared" si="1528"/>
        <v>9</v>
      </c>
      <c r="BU64" s="2">
        <f t="shared" si="1446"/>
        <v>0</v>
      </c>
      <c r="BV64" s="2">
        <f t="shared" si="1529"/>
        <v>0</v>
      </c>
      <c r="BW64" s="2"/>
      <c r="BX64" s="2">
        <f t="shared" si="1447"/>
        <v>0</v>
      </c>
      <c r="BY64" s="2">
        <f t="shared" si="1530"/>
        <v>0</v>
      </c>
      <c r="BZ64" s="2">
        <f t="shared" si="1531"/>
        <v>0</v>
      </c>
      <c r="CA64" s="2">
        <f t="shared" si="1532"/>
        <v>0</v>
      </c>
      <c r="CB64" s="2">
        <f t="shared" si="1533"/>
        <v>0</v>
      </c>
      <c r="CC64" s="2">
        <f t="shared" si="1534"/>
        <v>6</v>
      </c>
      <c r="CD64" s="2">
        <f t="shared" si="1535"/>
        <v>1</v>
      </c>
      <c r="CE64" s="2">
        <f t="shared" si="1536"/>
        <v>8</v>
      </c>
      <c r="CF64" s="2">
        <f t="shared" si="1537"/>
        <v>0</v>
      </c>
      <c r="CG64" s="2">
        <f t="shared" si="1530"/>
        <v>0</v>
      </c>
      <c r="CH64" s="2">
        <f t="shared" si="1448"/>
        <v>0</v>
      </c>
      <c r="CI64" s="2">
        <f t="shared" si="1538"/>
        <v>2</v>
      </c>
      <c r="CJ64" s="2">
        <f t="shared" si="1539"/>
        <v>1</v>
      </c>
      <c r="CK64" s="2">
        <f t="shared" si="1540"/>
        <v>10</v>
      </c>
      <c r="CL64" s="2">
        <f t="shared" si="1449"/>
        <v>0</v>
      </c>
      <c r="CM64" s="2">
        <f t="shared" si="1541"/>
        <v>14</v>
      </c>
      <c r="CN64" s="2"/>
      <c r="CO64" s="2">
        <f t="shared" ref="CO64" si="1682">IF($E64=4,BO64-4,NA())</f>
        <v>2</v>
      </c>
      <c r="CP64" s="2"/>
      <c r="CQ64" s="41">
        <f>BO64-'Zusammenfassung Tag1-4'!$D$2/18</f>
        <v>4.9444444444444446</v>
      </c>
      <c r="CR64" s="13">
        <f t="shared" si="1542"/>
        <v>242.22222222222248</v>
      </c>
      <c r="CS64" s="53">
        <v>5</v>
      </c>
      <c r="CT64" s="2">
        <f t="shared" si="1543"/>
        <v>259</v>
      </c>
      <c r="CU64" s="56">
        <v>1</v>
      </c>
      <c r="CV64" s="2">
        <f t="shared" si="1544"/>
        <v>102</v>
      </c>
      <c r="CW64" s="2">
        <f t="shared" si="1451"/>
        <v>0</v>
      </c>
      <c r="CX64" s="2">
        <f t="shared" si="1545"/>
        <v>14</v>
      </c>
      <c r="CY64" s="2">
        <f t="shared" si="1452"/>
        <v>0</v>
      </c>
      <c r="CZ64" s="2">
        <f t="shared" si="1546"/>
        <v>5</v>
      </c>
      <c r="DA64" s="2"/>
      <c r="DB64" s="2">
        <f t="shared" si="1453"/>
        <v>0</v>
      </c>
      <c r="DC64" s="2">
        <f t="shared" si="1547"/>
        <v>0</v>
      </c>
      <c r="DD64" s="2">
        <f t="shared" si="1548"/>
        <v>0</v>
      </c>
      <c r="DE64" s="2">
        <f t="shared" si="1549"/>
        <v>7</v>
      </c>
      <c r="DF64" s="2">
        <f t="shared" si="1550"/>
        <v>1</v>
      </c>
      <c r="DG64" s="2">
        <f t="shared" si="1551"/>
        <v>6</v>
      </c>
      <c r="DH64" s="2">
        <f t="shared" si="1552"/>
        <v>0</v>
      </c>
      <c r="DI64" s="2">
        <f t="shared" si="1553"/>
        <v>1</v>
      </c>
      <c r="DJ64" s="2">
        <f t="shared" si="1554"/>
        <v>0</v>
      </c>
      <c r="DK64" s="2">
        <f t="shared" si="1555"/>
        <v>0</v>
      </c>
      <c r="DL64" s="2">
        <f t="shared" si="1454"/>
        <v>1</v>
      </c>
      <c r="DM64" s="2">
        <f t="shared" si="1556"/>
        <v>11</v>
      </c>
      <c r="DN64" s="2">
        <f t="shared" si="1557"/>
        <v>0</v>
      </c>
      <c r="DO64" s="2">
        <f t="shared" si="1558"/>
        <v>6</v>
      </c>
      <c r="DP64" s="2">
        <f t="shared" si="1455"/>
        <v>0</v>
      </c>
      <c r="DQ64" s="2">
        <f t="shared" si="1559"/>
        <v>12</v>
      </c>
      <c r="DR64" s="2"/>
      <c r="DS64" s="2">
        <f t="shared" ref="DS64" si="1683">IF($E64=4,CS64-4,NA())</f>
        <v>1</v>
      </c>
      <c r="DT64" s="2"/>
      <c r="DU64" s="41">
        <f>CS64-'Zusammenfassung Tag1-4'!$E$2/18</f>
        <v>4</v>
      </c>
      <c r="DV64" s="14">
        <f t="shared" si="1560"/>
        <v>209</v>
      </c>
      <c r="DW64" s="53">
        <v>6</v>
      </c>
      <c r="DX64" s="2">
        <v>67</v>
      </c>
      <c r="DY64" s="56">
        <v>2</v>
      </c>
      <c r="DZ64" s="2">
        <f t="shared" si="1561"/>
        <v>110</v>
      </c>
      <c r="EA64" s="2">
        <f t="shared" si="1457"/>
        <v>0</v>
      </c>
      <c r="EB64" s="2">
        <f t="shared" si="1562"/>
        <v>0</v>
      </c>
      <c r="EC64" s="2">
        <f t="shared" si="1458"/>
        <v>0</v>
      </c>
      <c r="ED64" s="2">
        <f t="shared" si="1563"/>
        <v>1</v>
      </c>
      <c r="EE64" s="2"/>
      <c r="EF64" s="2">
        <f t="shared" si="1459"/>
        <v>0</v>
      </c>
      <c r="EG64" s="2">
        <f t="shared" si="1564"/>
        <v>0</v>
      </c>
      <c r="EH64" s="2">
        <f t="shared" si="1565"/>
        <v>0</v>
      </c>
      <c r="EI64" s="2">
        <f t="shared" si="1566"/>
        <v>1</v>
      </c>
      <c r="EJ64" s="2">
        <f t="shared" si="1567"/>
        <v>0</v>
      </c>
      <c r="EK64" s="2">
        <f t="shared" si="1568"/>
        <v>2</v>
      </c>
      <c r="EL64" s="2">
        <f t="shared" si="1569"/>
        <v>1</v>
      </c>
      <c r="EM64" s="2">
        <f t="shared" si="1570"/>
        <v>11</v>
      </c>
      <c r="EN64" s="2">
        <f t="shared" si="1571"/>
        <v>0</v>
      </c>
      <c r="EO64" s="2">
        <f t="shared" si="1572"/>
        <v>0</v>
      </c>
      <c r="EP64" s="2">
        <f t="shared" si="1460"/>
        <v>0</v>
      </c>
      <c r="EQ64" s="2">
        <f t="shared" si="1573"/>
        <v>6</v>
      </c>
      <c r="ER64" s="2">
        <f t="shared" si="1574"/>
        <v>1</v>
      </c>
      <c r="ES64" s="2">
        <f t="shared" si="1575"/>
        <v>7</v>
      </c>
      <c r="ET64" s="2">
        <f t="shared" si="1461"/>
        <v>0</v>
      </c>
      <c r="EU64" s="2">
        <f t="shared" si="1576"/>
        <v>15</v>
      </c>
      <c r="EV64" s="2"/>
      <c r="EW64" s="2">
        <f t="shared" ref="EW64" si="1684">IF($E64=4,DW64-4,NA())</f>
        <v>2</v>
      </c>
      <c r="EX64" s="2"/>
      <c r="EY64" s="41">
        <f>DW64-'Zusammenfassung Tag1-4'!$F$2/18</f>
        <v>3.5</v>
      </c>
      <c r="EZ64" s="14">
        <f t="shared" si="1577"/>
        <v>226</v>
      </c>
      <c r="FA64" s="53">
        <v>5</v>
      </c>
      <c r="FB64" s="2">
        <v>281</v>
      </c>
      <c r="FC64" s="56">
        <v>2</v>
      </c>
      <c r="FD64" s="2">
        <f t="shared" si="1578"/>
        <v>97</v>
      </c>
      <c r="FE64" s="2">
        <f t="shared" si="1463"/>
        <v>0</v>
      </c>
      <c r="FF64" s="2">
        <f t="shared" si="1579"/>
        <v>7</v>
      </c>
      <c r="FG64" s="2">
        <f t="shared" si="1464"/>
        <v>0</v>
      </c>
      <c r="FH64" s="2">
        <f t="shared" si="1580"/>
        <v>4</v>
      </c>
      <c r="FI64" s="2"/>
      <c r="FJ64" s="2">
        <f t="shared" si="1465"/>
        <v>0</v>
      </c>
      <c r="FK64" s="2">
        <f t="shared" si="1581"/>
        <v>0</v>
      </c>
      <c r="FL64" s="2">
        <f t="shared" si="1582"/>
        <v>0</v>
      </c>
      <c r="FM64" s="2">
        <f t="shared" si="1583"/>
        <v>1</v>
      </c>
      <c r="FN64" s="2">
        <f t="shared" si="1584"/>
        <v>1</v>
      </c>
      <c r="FO64" s="2">
        <f t="shared" si="1585"/>
        <v>6</v>
      </c>
      <c r="FP64" s="2">
        <f t="shared" si="1586"/>
        <v>0</v>
      </c>
      <c r="FQ64" s="2">
        <f t="shared" si="1587"/>
        <v>7</v>
      </c>
      <c r="FR64" s="2">
        <f t="shared" si="1588"/>
        <v>0</v>
      </c>
      <c r="FS64" s="2">
        <f t="shared" si="1589"/>
        <v>0</v>
      </c>
      <c r="FT64" s="2">
        <f t="shared" si="1466"/>
        <v>0</v>
      </c>
      <c r="FU64" s="2">
        <f t="shared" si="1590"/>
        <v>14</v>
      </c>
      <c r="FV64" s="2">
        <f t="shared" si="1591"/>
        <v>1</v>
      </c>
      <c r="FW64" s="2">
        <f t="shared" si="1592"/>
        <v>8</v>
      </c>
      <c r="FX64" s="2">
        <f t="shared" si="1467"/>
        <v>0</v>
      </c>
      <c r="FY64" s="2">
        <f t="shared" si="1593"/>
        <v>11</v>
      </c>
      <c r="FZ64" s="2"/>
      <c r="GA64" s="2">
        <f t="shared" ref="GA64" si="1685">IF($E64=4,FA64-4,NA())</f>
        <v>1</v>
      </c>
      <c r="GB64" s="2"/>
      <c r="GC64" s="41">
        <f>FA64-'Zusammenfassung Tag1-4'!$G$2/18</f>
        <v>3.7222222222222223</v>
      </c>
      <c r="GD64" s="14">
        <f t="shared" si="1594"/>
        <v>217.11111111111131</v>
      </c>
      <c r="GE64" s="53">
        <v>7</v>
      </c>
      <c r="GF64" s="2">
        <v>365</v>
      </c>
      <c r="GG64" s="56">
        <v>2</v>
      </c>
      <c r="GH64" s="2">
        <f t="shared" si="1595"/>
        <v>104</v>
      </c>
      <c r="GI64" s="2">
        <f t="shared" si="1469"/>
        <v>0</v>
      </c>
      <c r="GJ64" s="2">
        <f t="shared" si="1596"/>
        <v>1</v>
      </c>
      <c r="GK64" s="2">
        <f t="shared" si="1470"/>
        <v>0</v>
      </c>
      <c r="GL64" s="2">
        <f t="shared" si="1597"/>
        <v>1</v>
      </c>
      <c r="GM64" s="2"/>
      <c r="GN64" s="2">
        <f t="shared" si="1471"/>
        <v>0</v>
      </c>
      <c r="GO64" s="2">
        <f t="shared" si="1598"/>
        <v>0</v>
      </c>
      <c r="GP64" s="2">
        <f t="shared" si="1599"/>
        <v>0</v>
      </c>
      <c r="GQ64" s="2">
        <f t="shared" si="1600"/>
        <v>0</v>
      </c>
      <c r="GR64" s="2">
        <f t="shared" si="1601"/>
        <v>0</v>
      </c>
      <c r="GS64" s="2">
        <f t="shared" si="1602"/>
        <v>2</v>
      </c>
      <c r="GT64" s="2">
        <f t="shared" si="1603"/>
        <v>1</v>
      </c>
      <c r="GU64" s="2">
        <f t="shared" si="1604"/>
        <v>12</v>
      </c>
      <c r="GV64" s="2">
        <f t="shared" si="1605"/>
        <v>0</v>
      </c>
      <c r="GW64" s="2">
        <f t="shared" si="1606"/>
        <v>0</v>
      </c>
      <c r="GX64" s="2">
        <f t="shared" si="1472"/>
        <v>0</v>
      </c>
      <c r="GY64" s="2">
        <f t="shared" si="1607"/>
        <v>6</v>
      </c>
      <c r="GZ64" s="2">
        <f t="shared" si="1608"/>
        <v>1</v>
      </c>
      <c r="HA64" s="2">
        <f t="shared" si="1609"/>
        <v>10</v>
      </c>
      <c r="HB64" s="2">
        <f t="shared" si="1473"/>
        <v>0</v>
      </c>
      <c r="HC64" s="2">
        <f t="shared" si="1610"/>
        <v>10</v>
      </c>
      <c r="HD64" s="2"/>
      <c r="HE64" s="2">
        <f t="shared" ref="HE64" si="1686">IF($E64=4,GE64-4,NA())</f>
        <v>3</v>
      </c>
      <c r="HF64" s="2"/>
      <c r="HG64" s="41">
        <f>GE64-'Zusammenfassung Tag1-4'!$H$2/18</f>
        <v>5.2222222222222223</v>
      </c>
      <c r="HH64" s="14">
        <f t="shared" si="1611"/>
        <v>244.11111111111134</v>
      </c>
      <c r="HI64" s="53">
        <v>5</v>
      </c>
      <c r="HJ64" s="2">
        <v>269</v>
      </c>
      <c r="HK64" s="56">
        <v>3</v>
      </c>
      <c r="HL64" s="2">
        <f t="shared" si="1612"/>
        <v>94</v>
      </c>
      <c r="HM64" s="2">
        <f t="shared" si="1475"/>
        <v>1</v>
      </c>
      <c r="HN64" s="2">
        <f t="shared" si="1613"/>
        <v>9</v>
      </c>
      <c r="HO64" s="2">
        <f t="shared" si="1476"/>
        <v>0</v>
      </c>
      <c r="HP64" s="2">
        <f t="shared" si="1614"/>
        <v>6</v>
      </c>
      <c r="HQ64" s="2"/>
      <c r="HR64" s="2">
        <f t="shared" si="1477"/>
        <v>0</v>
      </c>
      <c r="HS64" s="2">
        <f t="shared" si="1615"/>
        <v>0</v>
      </c>
      <c r="HT64" s="2">
        <f t="shared" si="1616"/>
        <v>0</v>
      </c>
      <c r="HU64" s="2">
        <f t="shared" si="1617"/>
        <v>6</v>
      </c>
      <c r="HV64" s="2">
        <f t="shared" si="1618"/>
        <v>1</v>
      </c>
      <c r="HW64" s="2">
        <f t="shared" si="1619"/>
        <v>6</v>
      </c>
      <c r="HX64" s="2">
        <f t="shared" si="1620"/>
        <v>0</v>
      </c>
      <c r="HY64" s="2">
        <f t="shared" si="1621"/>
        <v>2</v>
      </c>
      <c r="HZ64" s="2">
        <f t="shared" si="1622"/>
        <v>0</v>
      </c>
      <c r="IA64" s="2">
        <f t="shared" si="1623"/>
        <v>1</v>
      </c>
      <c r="IB64" s="2">
        <f t="shared" si="1478"/>
        <v>0</v>
      </c>
      <c r="IC64" s="2">
        <f t="shared" si="1624"/>
        <v>12</v>
      </c>
      <c r="ID64" s="2">
        <f t="shared" si="1625"/>
        <v>0</v>
      </c>
      <c r="IE64" s="2">
        <f t="shared" si="1626"/>
        <v>6</v>
      </c>
      <c r="IF64" s="2">
        <f t="shared" si="1479"/>
        <v>1</v>
      </c>
      <c r="IG64" s="2">
        <f t="shared" si="1627"/>
        <v>8</v>
      </c>
      <c r="IH64" s="2"/>
      <c r="II64" s="2">
        <f t="shared" ref="II64" si="1687">IF($E64=4,HI64-4,NA())</f>
        <v>1</v>
      </c>
      <c r="IJ64" s="2"/>
      <c r="IK64" s="41">
        <f>HI64-'Zusammenfassung Tag1-4'!$I$2/18</f>
        <v>4.1111111111111107</v>
      </c>
      <c r="IL64" s="14">
        <f t="shared" si="1628"/>
        <v>221.55555555555569</v>
      </c>
      <c r="IM64" s="53">
        <v>7</v>
      </c>
      <c r="IN64" s="2">
        <v>103</v>
      </c>
      <c r="IO64" s="56">
        <v>2</v>
      </c>
      <c r="IP64" s="2">
        <f t="shared" si="1629"/>
        <v>117</v>
      </c>
      <c r="IQ64" s="2">
        <f t="shared" si="1481"/>
        <v>0</v>
      </c>
      <c r="IR64" s="2">
        <f t="shared" si="1630"/>
        <v>7</v>
      </c>
      <c r="IS64" s="2">
        <f t="shared" si="1482"/>
        <v>0</v>
      </c>
      <c r="IT64" s="2">
        <f t="shared" si="1631"/>
        <v>1</v>
      </c>
      <c r="IU64" s="2"/>
      <c r="IV64" s="2">
        <f t="shared" si="1483"/>
        <v>0</v>
      </c>
      <c r="IW64" s="2">
        <f t="shared" si="1632"/>
        <v>0</v>
      </c>
      <c r="IX64" s="2">
        <f t="shared" si="1633"/>
        <v>0</v>
      </c>
      <c r="IY64" s="2">
        <f t="shared" si="1634"/>
        <v>1</v>
      </c>
      <c r="IZ64" s="2">
        <f t="shared" si="1635"/>
        <v>0</v>
      </c>
      <c r="JA64" s="2">
        <f t="shared" si="1636"/>
        <v>1</v>
      </c>
      <c r="JB64" s="2">
        <f t="shared" si="1637"/>
        <v>1</v>
      </c>
      <c r="JC64" s="2">
        <f t="shared" si="1638"/>
        <v>12</v>
      </c>
      <c r="JD64" s="2">
        <f t="shared" si="1639"/>
        <v>0</v>
      </c>
      <c r="JE64" s="2">
        <f t="shared" si="1640"/>
        <v>0</v>
      </c>
      <c r="JF64" s="2">
        <f t="shared" si="1484"/>
        <v>0</v>
      </c>
      <c r="JG64" s="2">
        <f t="shared" si="1641"/>
        <v>7</v>
      </c>
      <c r="JH64" s="2">
        <f t="shared" si="1642"/>
        <v>1</v>
      </c>
      <c r="JI64" s="2">
        <f t="shared" si="1643"/>
        <v>7</v>
      </c>
      <c r="JJ64" s="2">
        <f t="shared" si="1485"/>
        <v>0</v>
      </c>
      <c r="JK64" s="2">
        <f t="shared" si="1644"/>
        <v>19</v>
      </c>
      <c r="JL64" s="2"/>
      <c r="JM64" s="2">
        <f t="shared" ref="JM64" si="1688">IF($E64=4,IM64-4,NA())</f>
        <v>3</v>
      </c>
      <c r="JN64" s="2"/>
      <c r="JO64" s="41">
        <f>IM64-'Zusammenfassung Tag1-4'!$J$2/18</f>
        <v>4.6666666666666661</v>
      </c>
      <c r="JP64" s="14">
        <f t="shared" si="1645"/>
        <v>229.33333333333317</v>
      </c>
      <c r="JQ64" s="53"/>
      <c r="JR64" s="2"/>
      <c r="JS64" s="56"/>
      <c r="JT64" s="2">
        <f t="shared" si="1646"/>
        <v>0</v>
      </c>
      <c r="JU64" s="2">
        <f t="shared" si="1487"/>
        <v>1</v>
      </c>
      <c r="JV64" s="2">
        <f t="shared" si="1647"/>
        <v>50</v>
      </c>
      <c r="JW64" s="2">
        <f t="shared" si="1488"/>
        <v>0</v>
      </c>
      <c r="JX64" s="2">
        <f t="shared" si="1648"/>
        <v>0</v>
      </c>
      <c r="JY64" s="2"/>
      <c r="JZ64" s="2">
        <f t="shared" si="1489"/>
        <v>0</v>
      </c>
      <c r="KA64" s="2">
        <f t="shared" si="1649"/>
        <v>0</v>
      </c>
      <c r="KB64" s="2">
        <f t="shared" si="1650"/>
        <v>0</v>
      </c>
      <c r="KC64" s="2">
        <f t="shared" si="1651"/>
        <v>0</v>
      </c>
      <c r="KD64" s="2">
        <f t="shared" si="1652"/>
        <v>0</v>
      </c>
      <c r="KE64" s="2">
        <f t="shared" si="1653"/>
        <v>0</v>
      </c>
      <c r="KF64" s="2">
        <f t="shared" si="1654"/>
        <v>0</v>
      </c>
      <c r="KG64" s="2">
        <f t="shared" si="1655"/>
        <v>0</v>
      </c>
      <c r="KH64" s="2">
        <f t="shared" si="1656"/>
        <v>1</v>
      </c>
      <c r="KI64" s="2">
        <f t="shared" si="1657"/>
        <v>14</v>
      </c>
      <c r="KJ64" s="2">
        <f t="shared" si="1490"/>
        <v>0</v>
      </c>
      <c r="KK64" s="2">
        <f t="shared" si="1658"/>
        <v>0</v>
      </c>
      <c r="KL64" s="2">
        <f t="shared" si="1659"/>
        <v>0</v>
      </c>
      <c r="KM64" s="2">
        <f t="shared" si="1660"/>
        <v>0</v>
      </c>
      <c r="KN64" s="2">
        <f t="shared" si="1491"/>
        <v>0</v>
      </c>
      <c r="KO64" s="2">
        <f t="shared" si="1661"/>
        <v>0</v>
      </c>
      <c r="KP64" s="2"/>
      <c r="KQ64" s="2">
        <f t="shared" ref="KQ64" si="1689">IF($E64=4,JQ64-4,NA())</f>
        <v>-4</v>
      </c>
      <c r="KR64" s="2"/>
      <c r="KS64" s="41" t="e">
        <f>JQ64-'Zusammenfassung Tag1-4'!#REF!/18</f>
        <v>#REF!</v>
      </c>
      <c r="KT64" s="14" t="e">
        <f t="shared" si="1662"/>
        <v>#REF!</v>
      </c>
    </row>
    <row r="65" spans="1:333" ht="13.2" x14ac:dyDescent="0.25">
      <c r="A65" s="179"/>
      <c r="B65" s="176"/>
      <c r="C65" s="44">
        <v>15</v>
      </c>
      <c r="D65" s="2">
        <f t="shared" si="1493"/>
        <v>51</v>
      </c>
      <c r="E65" s="44">
        <v>3</v>
      </c>
      <c r="F65" s="4">
        <f t="shared" si="1494"/>
        <v>204</v>
      </c>
      <c r="G65" s="53">
        <v>3</v>
      </c>
      <c r="H65" s="2">
        <f t="shared" si="1495"/>
        <v>248</v>
      </c>
      <c r="I65" s="56">
        <v>2</v>
      </c>
      <c r="J65" s="2">
        <f t="shared" si="1496"/>
        <v>98</v>
      </c>
      <c r="K65" s="2">
        <f t="shared" si="1429"/>
        <v>1</v>
      </c>
      <c r="L65" s="2">
        <f t="shared" si="1497"/>
        <v>17</v>
      </c>
      <c r="M65" s="2">
        <f t="shared" si="1430"/>
        <v>0</v>
      </c>
      <c r="N65" s="2">
        <f t="shared" si="1498"/>
        <v>6</v>
      </c>
      <c r="O65" s="2"/>
      <c r="P65" s="2">
        <f t="shared" si="1431"/>
        <v>0</v>
      </c>
      <c r="Q65" s="2">
        <f t="shared" si="1499"/>
        <v>3</v>
      </c>
      <c r="R65" s="2">
        <f t="shared" si="1432"/>
        <v>1</v>
      </c>
      <c r="S65" s="2">
        <f t="shared" si="1500"/>
        <v>4</v>
      </c>
      <c r="T65" s="2">
        <f t="shared" si="1433"/>
        <v>0</v>
      </c>
      <c r="U65" s="2">
        <f t="shared" si="1501"/>
        <v>6</v>
      </c>
      <c r="V65" s="2">
        <f t="shared" si="1434"/>
        <v>0</v>
      </c>
      <c r="W65" s="2">
        <f t="shared" si="1502"/>
        <v>4</v>
      </c>
      <c r="X65" s="2">
        <f t="shared" si="1435"/>
        <v>0</v>
      </c>
      <c r="Y65" s="2">
        <f t="shared" si="1503"/>
        <v>1</v>
      </c>
      <c r="Z65" s="2">
        <f t="shared" si="1436"/>
        <v>0</v>
      </c>
      <c r="AA65" s="2">
        <f t="shared" si="1504"/>
        <v>9</v>
      </c>
      <c r="AB65" s="2">
        <f t="shared" si="1437"/>
        <v>1</v>
      </c>
      <c r="AC65" s="2">
        <f t="shared" si="1505"/>
        <v>7</v>
      </c>
      <c r="AD65" s="2">
        <f t="shared" si="1438"/>
        <v>0</v>
      </c>
      <c r="AE65" s="2">
        <f t="shared" si="1506"/>
        <v>8</v>
      </c>
      <c r="AF65" s="2">
        <f>IF($E65=3,G65-3,NA())</f>
        <v>0</v>
      </c>
      <c r="AG65" s="2"/>
      <c r="AH65" s="2"/>
      <c r="AI65" s="41">
        <f>G65-'Zusammenfassung Tag1-4'!$B$2/18</f>
        <v>2.1666666666666665</v>
      </c>
      <c r="AJ65" s="13">
        <f t="shared" si="1507"/>
        <v>205.49999999999986</v>
      </c>
      <c r="AK65" s="53">
        <v>3</v>
      </c>
      <c r="AL65" s="2">
        <f t="shared" si="1508"/>
        <v>246</v>
      </c>
      <c r="AM65" s="56">
        <v>2</v>
      </c>
      <c r="AN65" s="2">
        <f t="shared" si="1509"/>
        <v>93</v>
      </c>
      <c r="AO65" s="2">
        <f t="shared" si="1439"/>
        <v>1</v>
      </c>
      <c r="AP65" s="2">
        <f t="shared" si="1510"/>
        <v>23</v>
      </c>
      <c r="AQ65" s="2">
        <f t="shared" si="1440"/>
        <v>0</v>
      </c>
      <c r="AR65" s="2">
        <f t="shared" si="1511"/>
        <v>6</v>
      </c>
      <c r="AS65" s="2"/>
      <c r="AT65" s="2">
        <f t="shared" si="1441"/>
        <v>0</v>
      </c>
      <c r="AU65" s="2">
        <f t="shared" si="1512"/>
        <v>0</v>
      </c>
      <c r="AV65" s="2">
        <f t="shared" si="1513"/>
        <v>1</v>
      </c>
      <c r="AW65" s="2">
        <f t="shared" si="1514"/>
        <v>8</v>
      </c>
      <c r="AX65" s="2">
        <f t="shared" si="1515"/>
        <v>0</v>
      </c>
      <c r="AY65" s="2">
        <f t="shared" si="1516"/>
        <v>3</v>
      </c>
      <c r="AZ65" s="2">
        <f t="shared" si="1517"/>
        <v>0</v>
      </c>
      <c r="BA65" s="2">
        <f t="shared" si="1518"/>
        <v>4</v>
      </c>
      <c r="BB65" s="2">
        <f t="shared" si="1519"/>
        <v>0</v>
      </c>
      <c r="BC65" s="2">
        <f t="shared" si="1520"/>
        <v>0</v>
      </c>
      <c r="BD65" s="2">
        <f t="shared" si="1442"/>
        <v>0</v>
      </c>
      <c r="BE65" s="2">
        <f t="shared" si="1521"/>
        <v>13</v>
      </c>
      <c r="BF65" s="2">
        <f t="shared" si="1522"/>
        <v>1</v>
      </c>
      <c r="BG65" s="2">
        <f t="shared" si="1523"/>
        <v>9</v>
      </c>
      <c r="BH65" s="2">
        <f t="shared" si="1443"/>
        <v>0</v>
      </c>
      <c r="BI65" s="2">
        <f t="shared" si="1524"/>
        <v>4</v>
      </c>
      <c r="BJ65" s="2">
        <f t="shared" ref="BJ65" si="1690">IF($E65=3,AK65-3,NA())</f>
        <v>0</v>
      </c>
      <c r="BK65" s="2"/>
      <c r="BL65" s="2"/>
      <c r="BM65" s="41">
        <f>AK65-'Zusammenfassung Tag1-4'!$C$2/18</f>
        <v>2.4444444444444446</v>
      </c>
      <c r="BN65" s="13">
        <f t="shared" si="1525"/>
        <v>217.66666666666691</v>
      </c>
      <c r="BO65" s="53">
        <v>6</v>
      </c>
      <c r="BP65" s="2">
        <f t="shared" si="1526"/>
        <v>301</v>
      </c>
      <c r="BQ65" s="56">
        <v>2</v>
      </c>
      <c r="BR65" s="2">
        <f t="shared" si="1527"/>
        <v>114</v>
      </c>
      <c r="BS65" s="2">
        <f t="shared" si="1445"/>
        <v>0</v>
      </c>
      <c r="BT65" s="2">
        <f t="shared" si="1528"/>
        <v>9</v>
      </c>
      <c r="BU65" s="2">
        <f t="shared" si="1446"/>
        <v>0</v>
      </c>
      <c r="BV65" s="2">
        <f t="shared" si="1529"/>
        <v>0</v>
      </c>
      <c r="BW65" s="2"/>
      <c r="BX65" s="2">
        <f t="shared" si="1447"/>
        <v>0</v>
      </c>
      <c r="BY65" s="2">
        <f t="shared" si="1530"/>
        <v>0</v>
      </c>
      <c r="BZ65" s="2">
        <f t="shared" si="1531"/>
        <v>0</v>
      </c>
      <c r="CA65" s="2">
        <f t="shared" si="1532"/>
        <v>0</v>
      </c>
      <c r="CB65" s="2">
        <f t="shared" si="1533"/>
        <v>0</v>
      </c>
      <c r="CC65" s="2">
        <f t="shared" si="1534"/>
        <v>6</v>
      </c>
      <c r="CD65" s="2">
        <f t="shared" si="1535"/>
        <v>1</v>
      </c>
      <c r="CE65" s="2">
        <f t="shared" si="1536"/>
        <v>9</v>
      </c>
      <c r="CF65" s="2">
        <f t="shared" si="1537"/>
        <v>0</v>
      </c>
      <c r="CG65" s="2">
        <f t="shared" si="1530"/>
        <v>0</v>
      </c>
      <c r="CH65" s="2">
        <f t="shared" si="1448"/>
        <v>0</v>
      </c>
      <c r="CI65" s="2">
        <f t="shared" si="1538"/>
        <v>2</v>
      </c>
      <c r="CJ65" s="2">
        <f t="shared" si="1539"/>
        <v>1</v>
      </c>
      <c r="CK65" s="2">
        <f t="shared" si="1540"/>
        <v>11</v>
      </c>
      <c r="CL65" s="2">
        <f t="shared" si="1449"/>
        <v>0</v>
      </c>
      <c r="CM65" s="2">
        <f t="shared" si="1541"/>
        <v>14</v>
      </c>
      <c r="CN65" s="2">
        <f t="shared" ref="CN65" si="1691">IF($E65=3,BO65-3,NA())</f>
        <v>3</v>
      </c>
      <c r="CO65" s="2"/>
      <c r="CP65" s="2"/>
      <c r="CQ65" s="41">
        <f>BO65-'Zusammenfassung Tag1-4'!$D$2/18</f>
        <v>4.9444444444444446</v>
      </c>
      <c r="CR65" s="13">
        <f t="shared" si="1542"/>
        <v>247.16666666666694</v>
      </c>
      <c r="CS65" s="53">
        <v>4</v>
      </c>
      <c r="CT65" s="2">
        <f t="shared" si="1543"/>
        <v>263</v>
      </c>
      <c r="CU65" s="56">
        <v>3</v>
      </c>
      <c r="CV65" s="2">
        <f t="shared" si="1544"/>
        <v>105</v>
      </c>
      <c r="CW65" s="2">
        <f t="shared" si="1451"/>
        <v>1</v>
      </c>
      <c r="CX65" s="2">
        <f t="shared" si="1545"/>
        <v>15</v>
      </c>
      <c r="CY65" s="2">
        <f t="shared" si="1452"/>
        <v>0</v>
      </c>
      <c r="CZ65" s="2">
        <f t="shared" si="1546"/>
        <v>5</v>
      </c>
      <c r="DA65" s="2"/>
      <c r="DB65" s="2">
        <f t="shared" si="1453"/>
        <v>0</v>
      </c>
      <c r="DC65" s="2">
        <f t="shared" si="1547"/>
        <v>0</v>
      </c>
      <c r="DD65" s="2">
        <f t="shared" si="1548"/>
        <v>0</v>
      </c>
      <c r="DE65" s="2">
        <f t="shared" si="1549"/>
        <v>7</v>
      </c>
      <c r="DF65" s="2">
        <f t="shared" si="1550"/>
        <v>1</v>
      </c>
      <c r="DG65" s="2">
        <f t="shared" si="1551"/>
        <v>7</v>
      </c>
      <c r="DH65" s="2">
        <f t="shared" si="1552"/>
        <v>0</v>
      </c>
      <c r="DI65" s="2">
        <f t="shared" si="1553"/>
        <v>1</v>
      </c>
      <c r="DJ65" s="2">
        <f t="shared" si="1554"/>
        <v>0</v>
      </c>
      <c r="DK65" s="2">
        <f t="shared" si="1555"/>
        <v>0</v>
      </c>
      <c r="DL65" s="2">
        <f t="shared" si="1454"/>
        <v>0</v>
      </c>
      <c r="DM65" s="2">
        <f t="shared" si="1556"/>
        <v>11</v>
      </c>
      <c r="DN65" s="2">
        <f t="shared" si="1557"/>
        <v>0</v>
      </c>
      <c r="DO65" s="2">
        <f t="shared" si="1558"/>
        <v>6</v>
      </c>
      <c r="DP65" s="2">
        <f t="shared" si="1455"/>
        <v>1</v>
      </c>
      <c r="DQ65" s="2">
        <f t="shared" si="1559"/>
        <v>13</v>
      </c>
      <c r="DR65" s="2">
        <f t="shared" ref="DR65" si="1692">IF($E65=3,CS65-3,NA())</f>
        <v>1</v>
      </c>
      <c r="DS65" s="2"/>
      <c r="DT65" s="2"/>
      <c r="DU65" s="41">
        <f>CS65-'Zusammenfassung Tag1-4'!$E$2/18</f>
        <v>3</v>
      </c>
      <c r="DV65" s="14">
        <f t="shared" si="1560"/>
        <v>212</v>
      </c>
      <c r="DW65" s="53">
        <v>5</v>
      </c>
      <c r="DX65" s="2">
        <v>71</v>
      </c>
      <c r="DY65" s="56">
        <v>2</v>
      </c>
      <c r="DZ65" s="2">
        <f t="shared" si="1561"/>
        <v>112</v>
      </c>
      <c r="EA65" s="2">
        <f t="shared" si="1457"/>
        <v>0</v>
      </c>
      <c r="EB65" s="2">
        <f t="shared" si="1562"/>
        <v>0</v>
      </c>
      <c r="EC65" s="2">
        <f t="shared" si="1458"/>
        <v>0</v>
      </c>
      <c r="ED65" s="2">
        <f t="shared" si="1563"/>
        <v>1</v>
      </c>
      <c r="EE65" s="2"/>
      <c r="EF65" s="2">
        <f t="shared" si="1459"/>
        <v>0</v>
      </c>
      <c r="EG65" s="2">
        <f t="shared" si="1564"/>
        <v>0</v>
      </c>
      <c r="EH65" s="2">
        <f t="shared" si="1565"/>
        <v>0</v>
      </c>
      <c r="EI65" s="2">
        <f t="shared" si="1566"/>
        <v>1</v>
      </c>
      <c r="EJ65" s="2">
        <f t="shared" si="1567"/>
        <v>0</v>
      </c>
      <c r="EK65" s="2">
        <f t="shared" si="1568"/>
        <v>2</v>
      </c>
      <c r="EL65" s="2">
        <f t="shared" si="1569"/>
        <v>1</v>
      </c>
      <c r="EM65" s="2">
        <f t="shared" si="1570"/>
        <v>12</v>
      </c>
      <c r="EN65" s="2">
        <f t="shared" si="1571"/>
        <v>0</v>
      </c>
      <c r="EO65" s="2">
        <f t="shared" si="1572"/>
        <v>0</v>
      </c>
      <c r="EP65" s="2">
        <f t="shared" si="1460"/>
        <v>0</v>
      </c>
      <c r="EQ65" s="2">
        <f t="shared" si="1573"/>
        <v>6</v>
      </c>
      <c r="ER65" s="2">
        <f t="shared" si="1574"/>
        <v>1</v>
      </c>
      <c r="ES65" s="2">
        <f t="shared" si="1575"/>
        <v>8</v>
      </c>
      <c r="ET65" s="2">
        <f t="shared" si="1461"/>
        <v>0</v>
      </c>
      <c r="EU65" s="2">
        <f t="shared" si="1576"/>
        <v>15</v>
      </c>
      <c r="EV65" s="2">
        <f t="shared" ref="EV65" si="1693">IF($E65=3,DW65-3,NA())</f>
        <v>2</v>
      </c>
      <c r="EW65" s="2"/>
      <c r="EX65" s="2"/>
      <c r="EY65" s="41">
        <f>DW65-'Zusammenfassung Tag1-4'!$F$2/18</f>
        <v>2.5</v>
      </c>
      <c r="EZ65" s="14">
        <f t="shared" si="1577"/>
        <v>228.5</v>
      </c>
      <c r="FA65" s="53">
        <v>2</v>
      </c>
      <c r="FB65" s="2">
        <v>285</v>
      </c>
      <c r="FC65" s="56">
        <v>1</v>
      </c>
      <c r="FD65" s="2">
        <f t="shared" si="1578"/>
        <v>98</v>
      </c>
      <c r="FE65" s="2">
        <f t="shared" si="1463"/>
        <v>1</v>
      </c>
      <c r="FF65" s="2">
        <f t="shared" si="1579"/>
        <v>8</v>
      </c>
      <c r="FG65" s="2">
        <f t="shared" si="1464"/>
        <v>0</v>
      </c>
      <c r="FH65" s="2">
        <f t="shared" si="1580"/>
        <v>4</v>
      </c>
      <c r="FI65" s="2"/>
      <c r="FJ65" s="2">
        <f t="shared" si="1465"/>
        <v>1</v>
      </c>
      <c r="FK65" s="2">
        <f t="shared" si="1581"/>
        <v>1</v>
      </c>
      <c r="FL65" s="2">
        <f t="shared" si="1582"/>
        <v>0</v>
      </c>
      <c r="FM65" s="2">
        <f t="shared" si="1583"/>
        <v>1</v>
      </c>
      <c r="FN65" s="2">
        <f t="shared" si="1584"/>
        <v>0</v>
      </c>
      <c r="FO65" s="2">
        <f t="shared" si="1585"/>
        <v>6</v>
      </c>
      <c r="FP65" s="2">
        <f t="shared" si="1586"/>
        <v>0</v>
      </c>
      <c r="FQ65" s="2">
        <f t="shared" si="1587"/>
        <v>7</v>
      </c>
      <c r="FR65" s="2">
        <f t="shared" si="1588"/>
        <v>0</v>
      </c>
      <c r="FS65" s="2">
        <f t="shared" si="1589"/>
        <v>0</v>
      </c>
      <c r="FT65" s="2">
        <f t="shared" si="1466"/>
        <v>1</v>
      </c>
      <c r="FU65" s="2">
        <f t="shared" si="1590"/>
        <v>15</v>
      </c>
      <c r="FV65" s="2">
        <f t="shared" si="1591"/>
        <v>0</v>
      </c>
      <c r="FW65" s="2">
        <f t="shared" si="1592"/>
        <v>8</v>
      </c>
      <c r="FX65" s="2">
        <f t="shared" si="1467"/>
        <v>0</v>
      </c>
      <c r="FY65" s="2">
        <f t="shared" si="1593"/>
        <v>11</v>
      </c>
      <c r="FZ65" s="2">
        <f t="shared" ref="FZ65" si="1694">IF($E65=3,FA65-3,NA())</f>
        <v>-1</v>
      </c>
      <c r="GA65" s="2"/>
      <c r="GB65" s="2"/>
      <c r="GC65" s="41">
        <f>FA65-'Zusammenfassung Tag1-4'!$G$2/18</f>
        <v>0.72222222222222232</v>
      </c>
      <c r="GD65" s="14">
        <f t="shared" si="1594"/>
        <v>217.83333333333354</v>
      </c>
      <c r="GE65" s="53">
        <v>6</v>
      </c>
      <c r="GF65" s="2">
        <v>371</v>
      </c>
      <c r="GG65" s="56">
        <v>3</v>
      </c>
      <c r="GH65" s="2">
        <f t="shared" si="1595"/>
        <v>107</v>
      </c>
      <c r="GI65" s="2">
        <f t="shared" si="1469"/>
        <v>0</v>
      </c>
      <c r="GJ65" s="2">
        <f t="shared" si="1596"/>
        <v>1</v>
      </c>
      <c r="GK65" s="2">
        <f t="shared" si="1470"/>
        <v>0</v>
      </c>
      <c r="GL65" s="2">
        <f t="shared" si="1597"/>
        <v>1</v>
      </c>
      <c r="GM65" s="2"/>
      <c r="GN65" s="2">
        <f t="shared" si="1471"/>
        <v>0</v>
      </c>
      <c r="GO65" s="2">
        <f t="shared" si="1598"/>
        <v>0</v>
      </c>
      <c r="GP65" s="2">
        <f t="shared" si="1599"/>
        <v>0</v>
      </c>
      <c r="GQ65" s="2">
        <f t="shared" si="1600"/>
        <v>0</v>
      </c>
      <c r="GR65" s="2">
        <f t="shared" si="1601"/>
        <v>0</v>
      </c>
      <c r="GS65" s="2">
        <f t="shared" si="1602"/>
        <v>2</v>
      </c>
      <c r="GT65" s="2">
        <f t="shared" si="1603"/>
        <v>1</v>
      </c>
      <c r="GU65" s="2">
        <f t="shared" si="1604"/>
        <v>13</v>
      </c>
      <c r="GV65" s="2">
        <f t="shared" si="1605"/>
        <v>0</v>
      </c>
      <c r="GW65" s="2">
        <f t="shared" si="1606"/>
        <v>0</v>
      </c>
      <c r="GX65" s="2">
        <f t="shared" si="1472"/>
        <v>0</v>
      </c>
      <c r="GY65" s="2">
        <f t="shared" si="1607"/>
        <v>6</v>
      </c>
      <c r="GZ65" s="2">
        <f t="shared" si="1608"/>
        <v>0</v>
      </c>
      <c r="HA65" s="2">
        <f t="shared" si="1609"/>
        <v>10</v>
      </c>
      <c r="HB65" s="2">
        <f t="shared" si="1473"/>
        <v>1</v>
      </c>
      <c r="HC65" s="2">
        <f t="shared" si="1610"/>
        <v>11</v>
      </c>
      <c r="HD65" s="2">
        <f t="shared" ref="HD65" si="1695">IF($E65=3,GE65-3,NA())</f>
        <v>3</v>
      </c>
      <c r="HE65" s="2"/>
      <c r="HF65" s="2"/>
      <c r="HG65" s="41">
        <f>GE65-'Zusammenfassung Tag1-4'!$H$2/18</f>
        <v>4.2222222222222223</v>
      </c>
      <c r="HH65" s="14">
        <f t="shared" si="1611"/>
        <v>248.33333333333357</v>
      </c>
      <c r="HI65" s="53">
        <v>5</v>
      </c>
      <c r="HJ65" s="2">
        <v>272</v>
      </c>
      <c r="HK65" s="56">
        <v>2</v>
      </c>
      <c r="HL65" s="2">
        <f t="shared" si="1612"/>
        <v>96</v>
      </c>
      <c r="HM65" s="2">
        <f t="shared" si="1475"/>
        <v>0</v>
      </c>
      <c r="HN65" s="2">
        <f t="shared" si="1613"/>
        <v>9</v>
      </c>
      <c r="HO65" s="2">
        <f t="shared" si="1476"/>
        <v>0</v>
      </c>
      <c r="HP65" s="2">
        <f t="shared" si="1614"/>
        <v>6</v>
      </c>
      <c r="HQ65" s="2"/>
      <c r="HR65" s="2">
        <f t="shared" si="1477"/>
        <v>0</v>
      </c>
      <c r="HS65" s="2">
        <f t="shared" si="1615"/>
        <v>0</v>
      </c>
      <c r="HT65" s="2">
        <f t="shared" si="1616"/>
        <v>0</v>
      </c>
      <c r="HU65" s="2">
        <f t="shared" si="1617"/>
        <v>6</v>
      </c>
      <c r="HV65" s="2">
        <f t="shared" si="1618"/>
        <v>0</v>
      </c>
      <c r="HW65" s="2">
        <f t="shared" si="1619"/>
        <v>6</v>
      </c>
      <c r="HX65" s="2">
        <f t="shared" si="1620"/>
        <v>1</v>
      </c>
      <c r="HY65" s="2">
        <f t="shared" si="1621"/>
        <v>3</v>
      </c>
      <c r="HZ65" s="2">
        <f t="shared" si="1622"/>
        <v>0</v>
      </c>
      <c r="IA65" s="2">
        <f t="shared" si="1623"/>
        <v>1</v>
      </c>
      <c r="IB65" s="2">
        <f t="shared" si="1478"/>
        <v>0</v>
      </c>
      <c r="IC65" s="2">
        <f t="shared" si="1624"/>
        <v>12</v>
      </c>
      <c r="ID65" s="2">
        <f t="shared" si="1625"/>
        <v>1</v>
      </c>
      <c r="IE65" s="2">
        <f t="shared" si="1626"/>
        <v>7</v>
      </c>
      <c r="IF65" s="2">
        <f t="shared" si="1479"/>
        <v>0</v>
      </c>
      <c r="IG65" s="2">
        <f t="shared" si="1627"/>
        <v>8</v>
      </c>
      <c r="IH65" s="2">
        <f t="shared" ref="IH65" si="1696">IF($E65=3,HI65-3,NA())</f>
        <v>2</v>
      </c>
      <c r="II65" s="2"/>
      <c r="IJ65" s="2"/>
      <c r="IK65" s="41">
        <f>HI65-'Zusammenfassung Tag1-4'!$I$2/18</f>
        <v>4.1111111111111107</v>
      </c>
      <c r="IL65" s="14">
        <f t="shared" si="1628"/>
        <v>225.6666666666668</v>
      </c>
      <c r="IM65" s="53">
        <v>8</v>
      </c>
      <c r="IN65" s="2">
        <v>111</v>
      </c>
      <c r="IO65" s="56">
        <v>4</v>
      </c>
      <c r="IP65" s="2">
        <f t="shared" si="1629"/>
        <v>121</v>
      </c>
      <c r="IQ65" s="2">
        <f t="shared" si="1481"/>
        <v>0</v>
      </c>
      <c r="IR65" s="2">
        <f t="shared" si="1630"/>
        <v>7</v>
      </c>
      <c r="IS65" s="2">
        <f t="shared" si="1482"/>
        <v>0</v>
      </c>
      <c r="IT65" s="2">
        <f t="shared" si="1631"/>
        <v>1</v>
      </c>
      <c r="IU65" s="2"/>
      <c r="IV65" s="2">
        <f t="shared" si="1483"/>
        <v>0</v>
      </c>
      <c r="IW65" s="2">
        <f t="shared" si="1632"/>
        <v>0</v>
      </c>
      <c r="IX65" s="2">
        <f t="shared" si="1633"/>
        <v>0</v>
      </c>
      <c r="IY65" s="2">
        <f t="shared" si="1634"/>
        <v>1</v>
      </c>
      <c r="IZ65" s="2">
        <f t="shared" si="1635"/>
        <v>0</v>
      </c>
      <c r="JA65" s="2">
        <f t="shared" si="1636"/>
        <v>1</v>
      </c>
      <c r="JB65" s="2">
        <f t="shared" si="1637"/>
        <v>1</v>
      </c>
      <c r="JC65" s="2">
        <f t="shared" si="1638"/>
        <v>13</v>
      </c>
      <c r="JD65" s="2">
        <f t="shared" si="1639"/>
        <v>0</v>
      </c>
      <c r="JE65" s="2">
        <f t="shared" si="1640"/>
        <v>0</v>
      </c>
      <c r="JF65" s="2">
        <f t="shared" si="1484"/>
        <v>0</v>
      </c>
      <c r="JG65" s="2">
        <f t="shared" si="1641"/>
        <v>7</v>
      </c>
      <c r="JH65" s="2">
        <f t="shared" si="1642"/>
        <v>0</v>
      </c>
      <c r="JI65" s="2">
        <f t="shared" si="1643"/>
        <v>7</v>
      </c>
      <c r="JJ65" s="2">
        <f t="shared" si="1485"/>
        <v>1</v>
      </c>
      <c r="JK65" s="2">
        <f t="shared" si="1644"/>
        <v>20</v>
      </c>
      <c r="JL65" s="2">
        <f t="shared" ref="JL65" si="1697">IF($E65=3,IM65-3,NA())</f>
        <v>5</v>
      </c>
      <c r="JM65" s="2"/>
      <c r="JN65" s="2"/>
      <c r="JO65" s="41">
        <f>IM65-'Zusammenfassung Tag1-4'!$J$2/18</f>
        <v>5.6666666666666661</v>
      </c>
      <c r="JP65" s="14">
        <f t="shared" si="1645"/>
        <v>234.99999999999983</v>
      </c>
      <c r="JQ65" s="53"/>
      <c r="JR65" s="2"/>
      <c r="JS65" s="56"/>
      <c r="JT65" s="2">
        <f t="shared" si="1646"/>
        <v>0</v>
      </c>
      <c r="JU65" s="2">
        <f t="shared" si="1487"/>
        <v>1</v>
      </c>
      <c r="JV65" s="2">
        <f t="shared" si="1647"/>
        <v>51</v>
      </c>
      <c r="JW65" s="2">
        <f t="shared" si="1488"/>
        <v>0</v>
      </c>
      <c r="JX65" s="2">
        <f t="shared" si="1648"/>
        <v>0</v>
      </c>
      <c r="JY65" s="2"/>
      <c r="JZ65" s="2">
        <f t="shared" si="1489"/>
        <v>0</v>
      </c>
      <c r="KA65" s="2">
        <f t="shared" si="1649"/>
        <v>0</v>
      </c>
      <c r="KB65" s="2">
        <f t="shared" si="1650"/>
        <v>0</v>
      </c>
      <c r="KC65" s="2">
        <f t="shared" si="1651"/>
        <v>0</v>
      </c>
      <c r="KD65" s="2">
        <f t="shared" si="1652"/>
        <v>0</v>
      </c>
      <c r="KE65" s="2">
        <f t="shared" si="1653"/>
        <v>0</v>
      </c>
      <c r="KF65" s="2">
        <f t="shared" si="1654"/>
        <v>0</v>
      </c>
      <c r="KG65" s="2">
        <f t="shared" si="1655"/>
        <v>0</v>
      </c>
      <c r="KH65" s="2">
        <f t="shared" si="1656"/>
        <v>1</v>
      </c>
      <c r="KI65" s="2">
        <f t="shared" si="1657"/>
        <v>15</v>
      </c>
      <c r="KJ65" s="2">
        <f t="shared" si="1490"/>
        <v>0</v>
      </c>
      <c r="KK65" s="2">
        <f t="shared" si="1658"/>
        <v>0</v>
      </c>
      <c r="KL65" s="2">
        <f t="shared" si="1659"/>
        <v>0</v>
      </c>
      <c r="KM65" s="2">
        <f t="shared" si="1660"/>
        <v>0</v>
      </c>
      <c r="KN65" s="2">
        <f t="shared" si="1491"/>
        <v>0</v>
      </c>
      <c r="KO65" s="2">
        <f t="shared" si="1661"/>
        <v>0</v>
      </c>
      <c r="KP65" s="2">
        <f t="shared" ref="KP65" si="1698">IF($E65=3,JQ65-3,NA())</f>
        <v>-3</v>
      </c>
      <c r="KQ65" s="2"/>
      <c r="KR65" s="2"/>
      <c r="KS65" s="41" t="e">
        <f>JQ65-'Zusammenfassung Tag1-4'!#REF!/18</f>
        <v>#REF!</v>
      </c>
      <c r="KT65" s="14" t="e">
        <f t="shared" si="1662"/>
        <v>#REF!</v>
      </c>
    </row>
    <row r="66" spans="1:333" ht="13.2" x14ac:dyDescent="0.25">
      <c r="A66" s="179"/>
      <c r="B66" s="176"/>
      <c r="C66" s="44">
        <v>16</v>
      </c>
      <c r="D66" s="2">
        <f t="shared" si="1493"/>
        <v>52</v>
      </c>
      <c r="E66" s="44">
        <v>4</v>
      </c>
      <c r="F66" s="4">
        <f t="shared" si="1494"/>
        <v>208</v>
      </c>
      <c r="G66" s="53">
        <v>5</v>
      </c>
      <c r="H66" s="2">
        <f t="shared" si="1495"/>
        <v>253</v>
      </c>
      <c r="I66" s="56">
        <v>2</v>
      </c>
      <c r="J66" s="2">
        <f t="shared" si="1496"/>
        <v>100</v>
      </c>
      <c r="K66" s="2">
        <f t="shared" si="1429"/>
        <v>0</v>
      </c>
      <c r="L66" s="2">
        <f t="shared" si="1497"/>
        <v>17</v>
      </c>
      <c r="M66" s="2">
        <f t="shared" si="1430"/>
        <v>0</v>
      </c>
      <c r="N66" s="2">
        <f t="shared" si="1498"/>
        <v>6</v>
      </c>
      <c r="O66" s="2"/>
      <c r="P66" s="2">
        <f t="shared" si="1431"/>
        <v>0</v>
      </c>
      <c r="Q66" s="2">
        <f t="shared" si="1499"/>
        <v>3</v>
      </c>
      <c r="R66" s="2">
        <f t="shared" si="1432"/>
        <v>0</v>
      </c>
      <c r="S66" s="2">
        <f t="shared" si="1500"/>
        <v>4</v>
      </c>
      <c r="T66" s="2">
        <f t="shared" si="1433"/>
        <v>1</v>
      </c>
      <c r="U66" s="2">
        <f t="shared" si="1501"/>
        <v>7</v>
      </c>
      <c r="V66" s="2">
        <f t="shared" si="1434"/>
        <v>0</v>
      </c>
      <c r="W66" s="2">
        <f t="shared" si="1502"/>
        <v>4</v>
      </c>
      <c r="X66" s="2">
        <f t="shared" si="1435"/>
        <v>0</v>
      </c>
      <c r="Y66" s="2">
        <f t="shared" si="1503"/>
        <v>1</v>
      </c>
      <c r="Z66" s="2">
        <f t="shared" si="1436"/>
        <v>0</v>
      </c>
      <c r="AA66" s="2">
        <f t="shared" si="1504"/>
        <v>9</v>
      </c>
      <c r="AB66" s="2">
        <f t="shared" si="1437"/>
        <v>1</v>
      </c>
      <c r="AC66" s="2">
        <f t="shared" si="1505"/>
        <v>8</v>
      </c>
      <c r="AD66" s="2">
        <f t="shared" si="1438"/>
        <v>0</v>
      </c>
      <c r="AE66" s="2">
        <f t="shared" si="1506"/>
        <v>8</v>
      </c>
      <c r="AF66" s="2"/>
      <c r="AG66" s="2">
        <f>IF($E66=4,G66-4,NA())</f>
        <v>1</v>
      </c>
      <c r="AH66" s="2"/>
      <c r="AI66" s="41">
        <f>G66-'Zusammenfassung Tag1-4'!$B$2/18</f>
        <v>4.166666666666667</v>
      </c>
      <c r="AJ66" s="13">
        <f t="shared" si="1507"/>
        <v>209.66666666666652</v>
      </c>
      <c r="AK66" s="53">
        <v>4</v>
      </c>
      <c r="AL66" s="2">
        <f t="shared" si="1508"/>
        <v>250</v>
      </c>
      <c r="AM66" s="56">
        <v>2</v>
      </c>
      <c r="AN66" s="2">
        <f t="shared" si="1509"/>
        <v>95</v>
      </c>
      <c r="AO66" s="2">
        <f t="shared" si="1439"/>
        <v>1</v>
      </c>
      <c r="AP66" s="2">
        <f t="shared" si="1510"/>
        <v>24</v>
      </c>
      <c r="AQ66" s="2">
        <f t="shared" si="1440"/>
        <v>0</v>
      </c>
      <c r="AR66" s="2">
        <f t="shared" si="1511"/>
        <v>6</v>
      </c>
      <c r="AS66" s="2"/>
      <c r="AT66" s="2">
        <f t="shared" si="1441"/>
        <v>0</v>
      </c>
      <c r="AU66" s="2">
        <f t="shared" si="1512"/>
        <v>0</v>
      </c>
      <c r="AV66" s="2">
        <f t="shared" si="1513"/>
        <v>1</v>
      </c>
      <c r="AW66" s="2">
        <f t="shared" si="1514"/>
        <v>9</v>
      </c>
      <c r="AX66" s="2">
        <f t="shared" si="1515"/>
        <v>0</v>
      </c>
      <c r="AY66" s="2">
        <f t="shared" si="1516"/>
        <v>3</v>
      </c>
      <c r="AZ66" s="2">
        <f t="shared" si="1517"/>
        <v>0</v>
      </c>
      <c r="BA66" s="2">
        <f t="shared" si="1518"/>
        <v>4</v>
      </c>
      <c r="BB66" s="2">
        <f t="shared" si="1519"/>
        <v>0</v>
      </c>
      <c r="BC66" s="2">
        <f t="shared" si="1520"/>
        <v>0</v>
      </c>
      <c r="BD66" s="2">
        <f t="shared" si="1442"/>
        <v>0</v>
      </c>
      <c r="BE66" s="2">
        <f t="shared" si="1521"/>
        <v>13</v>
      </c>
      <c r="BF66" s="2">
        <f t="shared" si="1522"/>
        <v>1</v>
      </c>
      <c r="BG66" s="2">
        <f t="shared" si="1523"/>
        <v>10</v>
      </c>
      <c r="BH66" s="2">
        <f t="shared" si="1443"/>
        <v>0</v>
      </c>
      <c r="BI66" s="2">
        <f t="shared" si="1524"/>
        <v>4</v>
      </c>
      <c r="BJ66" s="2"/>
      <c r="BK66" s="2">
        <f t="shared" ref="BK66" si="1699">IF($E66=4,AK66-4,NA())</f>
        <v>0</v>
      </c>
      <c r="BL66" s="2"/>
      <c r="BM66" s="41">
        <f>AK66-'Zusammenfassung Tag1-4'!$C$2/18</f>
        <v>3.4444444444444446</v>
      </c>
      <c r="BN66" s="13">
        <f t="shared" si="1525"/>
        <v>221.11111111111137</v>
      </c>
      <c r="BO66" s="53">
        <v>5</v>
      </c>
      <c r="BP66" s="2">
        <f t="shared" si="1526"/>
        <v>306</v>
      </c>
      <c r="BQ66" s="56">
        <v>3</v>
      </c>
      <c r="BR66" s="2">
        <f t="shared" si="1527"/>
        <v>117</v>
      </c>
      <c r="BS66" s="2">
        <f t="shared" si="1445"/>
        <v>1</v>
      </c>
      <c r="BT66" s="2">
        <f t="shared" si="1528"/>
        <v>10</v>
      </c>
      <c r="BU66" s="2">
        <f t="shared" si="1446"/>
        <v>0</v>
      </c>
      <c r="BV66" s="2">
        <f t="shared" si="1529"/>
        <v>0</v>
      </c>
      <c r="BW66" s="2"/>
      <c r="BX66" s="2">
        <f t="shared" si="1447"/>
        <v>0</v>
      </c>
      <c r="BY66" s="2">
        <f t="shared" si="1530"/>
        <v>0</v>
      </c>
      <c r="BZ66" s="2">
        <f t="shared" si="1531"/>
        <v>0</v>
      </c>
      <c r="CA66" s="2">
        <f t="shared" si="1532"/>
        <v>0</v>
      </c>
      <c r="CB66" s="2">
        <f t="shared" si="1533"/>
        <v>1</v>
      </c>
      <c r="CC66" s="2">
        <f t="shared" si="1534"/>
        <v>7</v>
      </c>
      <c r="CD66" s="2">
        <f t="shared" si="1535"/>
        <v>0</v>
      </c>
      <c r="CE66" s="2">
        <f t="shared" si="1536"/>
        <v>9</v>
      </c>
      <c r="CF66" s="2">
        <f t="shared" si="1537"/>
        <v>0</v>
      </c>
      <c r="CG66" s="2">
        <f t="shared" si="1530"/>
        <v>0</v>
      </c>
      <c r="CH66" s="2">
        <f t="shared" si="1448"/>
        <v>0</v>
      </c>
      <c r="CI66" s="2">
        <f t="shared" si="1538"/>
        <v>2</v>
      </c>
      <c r="CJ66" s="2">
        <f t="shared" si="1539"/>
        <v>0</v>
      </c>
      <c r="CK66" s="2">
        <f t="shared" si="1540"/>
        <v>11</v>
      </c>
      <c r="CL66" s="2">
        <f t="shared" si="1449"/>
        <v>1</v>
      </c>
      <c r="CM66" s="2">
        <f t="shared" si="1541"/>
        <v>15</v>
      </c>
      <c r="CN66" s="2"/>
      <c r="CO66" s="2">
        <f t="shared" ref="CO66" si="1700">IF($E66=4,BO66-4,NA())</f>
        <v>1</v>
      </c>
      <c r="CP66" s="2"/>
      <c r="CQ66" s="41">
        <f>BO66-'Zusammenfassung Tag1-4'!$D$2/18</f>
        <v>3.9444444444444446</v>
      </c>
      <c r="CR66" s="13">
        <f t="shared" si="1542"/>
        <v>251.1111111111114</v>
      </c>
      <c r="CS66" s="53">
        <v>4</v>
      </c>
      <c r="CT66" s="2">
        <f t="shared" si="1543"/>
        <v>267</v>
      </c>
      <c r="CU66" s="56">
        <v>2</v>
      </c>
      <c r="CV66" s="2">
        <f t="shared" si="1544"/>
        <v>107</v>
      </c>
      <c r="CW66" s="2">
        <f t="shared" si="1451"/>
        <v>1</v>
      </c>
      <c r="CX66" s="2">
        <f t="shared" si="1545"/>
        <v>16</v>
      </c>
      <c r="CY66" s="2">
        <f t="shared" si="1452"/>
        <v>0</v>
      </c>
      <c r="CZ66" s="2">
        <f t="shared" si="1546"/>
        <v>5</v>
      </c>
      <c r="DA66" s="2"/>
      <c r="DB66" s="2">
        <f t="shared" si="1453"/>
        <v>0</v>
      </c>
      <c r="DC66" s="2">
        <f t="shared" si="1547"/>
        <v>0</v>
      </c>
      <c r="DD66" s="2">
        <f t="shared" si="1548"/>
        <v>1</v>
      </c>
      <c r="DE66" s="2">
        <f t="shared" si="1549"/>
        <v>8</v>
      </c>
      <c r="DF66" s="2">
        <f t="shared" si="1550"/>
        <v>0</v>
      </c>
      <c r="DG66" s="2">
        <f t="shared" si="1551"/>
        <v>7</v>
      </c>
      <c r="DH66" s="2">
        <f t="shared" si="1552"/>
        <v>0</v>
      </c>
      <c r="DI66" s="2">
        <f t="shared" si="1553"/>
        <v>1</v>
      </c>
      <c r="DJ66" s="2">
        <f t="shared" si="1554"/>
        <v>0</v>
      </c>
      <c r="DK66" s="2">
        <f t="shared" si="1555"/>
        <v>0</v>
      </c>
      <c r="DL66" s="2">
        <f t="shared" si="1454"/>
        <v>0</v>
      </c>
      <c r="DM66" s="2">
        <f t="shared" si="1556"/>
        <v>11</v>
      </c>
      <c r="DN66" s="2">
        <f t="shared" si="1557"/>
        <v>1</v>
      </c>
      <c r="DO66" s="2">
        <f t="shared" si="1558"/>
        <v>7</v>
      </c>
      <c r="DP66" s="2">
        <f t="shared" si="1455"/>
        <v>0</v>
      </c>
      <c r="DQ66" s="2">
        <f t="shared" si="1559"/>
        <v>13</v>
      </c>
      <c r="DR66" s="2"/>
      <c r="DS66" s="2">
        <f t="shared" ref="DS66" si="1701">IF($E66=4,CS66-4,NA())</f>
        <v>0</v>
      </c>
      <c r="DT66" s="2"/>
      <c r="DU66" s="41">
        <f>CS66-'Zusammenfassung Tag1-4'!$E$2/18</f>
        <v>3</v>
      </c>
      <c r="DV66" s="14">
        <f t="shared" si="1560"/>
        <v>215</v>
      </c>
      <c r="DW66" s="53">
        <v>6</v>
      </c>
      <c r="DX66" s="2">
        <v>76</v>
      </c>
      <c r="DY66" s="56">
        <v>2</v>
      </c>
      <c r="DZ66" s="2">
        <f t="shared" si="1561"/>
        <v>114</v>
      </c>
      <c r="EA66" s="2">
        <f t="shared" si="1457"/>
        <v>0</v>
      </c>
      <c r="EB66" s="2">
        <f t="shared" si="1562"/>
        <v>0</v>
      </c>
      <c r="EC66" s="2">
        <f t="shared" si="1458"/>
        <v>0</v>
      </c>
      <c r="ED66" s="2">
        <f t="shared" si="1563"/>
        <v>1</v>
      </c>
      <c r="EE66" s="2"/>
      <c r="EF66" s="2">
        <f t="shared" si="1459"/>
        <v>0</v>
      </c>
      <c r="EG66" s="2">
        <f t="shared" si="1564"/>
        <v>0</v>
      </c>
      <c r="EH66" s="2">
        <f t="shared" si="1565"/>
        <v>0</v>
      </c>
      <c r="EI66" s="2">
        <f t="shared" si="1566"/>
        <v>1</v>
      </c>
      <c r="EJ66" s="2">
        <f t="shared" si="1567"/>
        <v>0</v>
      </c>
      <c r="EK66" s="2">
        <f t="shared" si="1568"/>
        <v>2</v>
      </c>
      <c r="EL66" s="2">
        <f t="shared" si="1569"/>
        <v>1</v>
      </c>
      <c r="EM66" s="2">
        <f t="shared" si="1570"/>
        <v>13</v>
      </c>
      <c r="EN66" s="2">
        <f t="shared" si="1571"/>
        <v>0</v>
      </c>
      <c r="EO66" s="2">
        <f t="shared" si="1572"/>
        <v>0</v>
      </c>
      <c r="EP66" s="2">
        <f t="shared" si="1460"/>
        <v>0</v>
      </c>
      <c r="EQ66" s="2">
        <f t="shared" si="1573"/>
        <v>6</v>
      </c>
      <c r="ER66" s="2">
        <f t="shared" si="1574"/>
        <v>1</v>
      </c>
      <c r="ES66" s="2">
        <f t="shared" si="1575"/>
        <v>9</v>
      </c>
      <c r="ET66" s="2">
        <f t="shared" si="1461"/>
        <v>0</v>
      </c>
      <c r="EU66" s="2">
        <f t="shared" si="1576"/>
        <v>15</v>
      </c>
      <c r="EV66" s="2"/>
      <c r="EW66" s="2">
        <f t="shared" ref="EW66" si="1702">IF($E66=4,DW66-4,NA())</f>
        <v>2</v>
      </c>
      <c r="EX66" s="2"/>
      <c r="EY66" s="41">
        <f>DW66-'Zusammenfassung Tag1-4'!$F$2/18</f>
        <v>3.5</v>
      </c>
      <c r="EZ66" s="14">
        <f t="shared" si="1577"/>
        <v>232</v>
      </c>
      <c r="FA66" s="53">
        <v>4</v>
      </c>
      <c r="FB66" s="2">
        <v>292</v>
      </c>
      <c r="FC66" s="56">
        <v>2</v>
      </c>
      <c r="FD66" s="2">
        <f t="shared" si="1578"/>
        <v>100</v>
      </c>
      <c r="FE66" s="2">
        <f t="shared" si="1463"/>
        <v>1</v>
      </c>
      <c r="FF66" s="2">
        <f t="shared" si="1579"/>
        <v>9</v>
      </c>
      <c r="FG66" s="2">
        <f t="shared" si="1464"/>
        <v>0</v>
      </c>
      <c r="FH66" s="2">
        <f t="shared" si="1580"/>
        <v>4</v>
      </c>
      <c r="FI66" s="2"/>
      <c r="FJ66" s="2">
        <f t="shared" si="1465"/>
        <v>0</v>
      </c>
      <c r="FK66" s="2">
        <f t="shared" si="1581"/>
        <v>1</v>
      </c>
      <c r="FL66" s="2">
        <f t="shared" si="1582"/>
        <v>1</v>
      </c>
      <c r="FM66" s="2">
        <f t="shared" si="1583"/>
        <v>2</v>
      </c>
      <c r="FN66" s="2">
        <f t="shared" si="1584"/>
        <v>0</v>
      </c>
      <c r="FO66" s="2">
        <f t="shared" si="1585"/>
        <v>6</v>
      </c>
      <c r="FP66" s="2">
        <f t="shared" si="1586"/>
        <v>0</v>
      </c>
      <c r="FQ66" s="2">
        <f t="shared" si="1587"/>
        <v>7</v>
      </c>
      <c r="FR66" s="2">
        <f t="shared" si="1588"/>
        <v>0</v>
      </c>
      <c r="FS66" s="2">
        <f t="shared" si="1589"/>
        <v>0</v>
      </c>
      <c r="FT66" s="2">
        <f t="shared" si="1466"/>
        <v>0</v>
      </c>
      <c r="FU66" s="2">
        <f t="shared" si="1590"/>
        <v>15</v>
      </c>
      <c r="FV66" s="2">
        <f t="shared" si="1591"/>
        <v>1</v>
      </c>
      <c r="FW66" s="2">
        <f t="shared" si="1592"/>
        <v>9</v>
      </c>
      <c r="FX66" s="2">
        <f t="shared" si="1467"/>
        <v>0</v>
      </c>
      <c r="FY66" s="2">
        <f t="shared" si="1593"/>
        <v>11</v>
      </c>
      <c r="FZ66" s="2"/>
      <c r="GA66" s="2">
        <f t="shared" ref="GA66" si="1703">IF($E66=4,FA66-4,NA())</f>
        <v>0</v>
      </c>
      <c r="GB66" s="2"/>
      <c r="GC66" s="41">
        <f>FA66-'Zusammenfassung Tag1-4'!$G$2/18</f>
        <v>2.7222222222222223</v>
      </c>
      <c r="GD66" s="14">
        <f t="shared" si="1594"/>
        <v>220.55555555555577</v>
      </c>
      <c r="GE66" s="53">
        <v>5</v>
      </c>
      <c r="GF66" s="2">
        <v>376</v>
      </c>
      <c r="GG66" s="56">
        <v>2</v>
      </c>
      <c r="GH66" s="2">
        <f t="shared" si="1595"/>
        <v>109</v>
      </c>
      <c r="GI66" s="2">
        <f t="shared" si="1469"/>
        <v>0</v>
      </c>
      <c r="GJ66" s="2">
        <f t="shared" si="1596"/>
        <v>1</v>
      </c>
      <c r="GK66" s="2">
        <f t="shared" si="1470"/>
        <v>0</v>
      </c>
      <c r="GL66" s="2">
        <f t="shared" si="1597"/>
        <v>1</v>
      </c>
      <c r="GM66" s="2"/>
      <c r="GN66" s="2">
        <f t="shared" si="1471"/>
        <v>0</v>
      </c>
      <c r="GO66" s="2">
        <f t="shared" si="1598"/>
        <v>0</v>
      </c>
      <c r="GP66" s="2">
        <f t="shared" si="1599"/>
        <v>0</v>
      </c>
      <c r="GQ66" s="2">
        <f t="shared" si="1600"/>
        <v>0</v>
      </c>
      <c r="GR66" s="2">
        <f t="shared" si="1601"/>
        <v>1</v>
      </c>
      <c r="GS66" s="2">
        <f t="shared" si="1602"/>
        <v>3</v>
      </c>
      <c r="GT66" s="2">
        <f t="shared" si="1603"/>
        <v>0</v>
      </c>
      <c r="GU66" s="2">
        <f t="shared" si="1604"/>
        <v>13</v>
      </c>
      <c r="GV66" s="2">
        <f t="shared" si="1605"/>
        <v>0</v>
      </c>
      <c r="GW66" s="2">
        <f t="shared" si="1606"/>
        <v>0</v>
      </c>
      <c r="GX66" s="2">
        <f t="shared" si="1472"/>
        <v>0</v>
      </c>
      <c r="GY66" s="2">
        <f t="shared" si="1607"/>
        <v>6</v>
      </c>
      <c r="GZ66" s="2">
        <f t="shared" si="1608"/>
        <v>1</v>
      </c>
      <c r="HA66" s="2">
        <f t="shared" si="1609"/>
        <v>11</v>
      </c>
      <c r="HB66" s="2">
        <f t="shared" si="1473"/>
        <v>0</v>
      </c>
      <c r="HC66" s="2">
        <f t="shared" si="1610"/>
        <v>11</v>
      </c>
      <c r="HD66" s="2"/>
      <c r="HE66" s="2">
        <f t="shared" ref="HE66" si="1704">IF($E66=4,GE66-4,NA())</f>
        <v>1</v>
      </c>
      <c r="HF66" s="2"/>
      <c r="HG66" s="41">
        <f>GE66-'Zusammenfassung Tag1-4'!$H$2/18</f>
        <v>3.2222222222222223</v>
      </c>
      <c r="HH66" s="14">
        <f t="shared" si="1611"/>
        <v>251.5555555555558</v>
      </c>
      <c r="HI66" s="53">
        <v>4</v>
      </c>
      <c r="HJ66" s="2">
        <v>277</v>
      </c>
      <c r="HK66" s="56">
        <v>1</v>
      </c>
      <c r="HL66" s="2">
        <f t="shared" si="1612"/>
        <v>97</v>
      </c>
      <c r="HM66" s="2">
        <f t="shared" si="1475"/>
        <v>0</v>
      </c>
      <c r="HN66" s="2">
        <f t="shared" si="1613"/>
        <v>9</v>
      </c>
      <c r="HO66" s="2">
        <f t="shared" si="1476"/>
        <v>1</v>
      </c>
      <c r="HP66" s="2">
        <f t="shared" si="1614"/>
        <v>7</v>
      </c>
      <c r="HQ66" s="2"/>
      <c r="HR66" s="2">
        <f t="shared" si="1477"/>
        <v>0</v>
      </c>
      <c r="HS66" s="2">
        <f t="shared" si="1615"/>
        <v>0</v>
      </c>
      <c r="HT66" s="2">
        <f t="shared" si="1616"/>
        <v>1</v>
      </c>
      <c r="HU66" s="2">
        <f t="shared" si="1617"/>
        <v>7</v>
      </c>
      <c r="HV66" s="2">
        <f t="shared" si="1618"/>
        <v>0</v>
      </c>
      <c r="HW66" s="2">
        <f t="shared" si="1619"/>
        <v>6</v>
      </c>
      <c r="HX66" s="2">
        <f t="shared" si="1620"/>
        <v>0</v>
      </c>
      <c r="HY66" s="2">
        <f t="shared" si="1621"/>
        <v>3</v>
      </c>
      <c r="HZ66" s="2">
        <f t="shared" si="1622"/>
        <v>0</v>
      </c>
      <c r="IA66" s="2">
        <f t="shared" si="1623"/>
        <v>1</v>
      </c>
      <c r="IB66" s="2">
        <f t="shared" si="1478"/>
        <v>1</v>
      </c>
      <c r="IC66" s="2">
        <f t="shared" si="1624"/>
        <v>13</v>
      </c>
      <c r="ID66" s="2">
        <f t="shared" si="1625"/>
        <v>0</v>
      </c>
      <c r="IE66" s="2">
        <f t="shared" si="1626"/>
        <v>7</v>
      </c>
      <c r="IF66" s="2">
        <f t="shared" si="1479"/>
        <v>0</v>
      </c>
      <c r="IG66" s="2">
        <f t="shared" si="1627"/>
        <v>8</v>
      </c>
      <c r="IH66" s="2"/>
      <c r="II66" s="2">
        <f t="shared" ref="II66" si="1705">IF($E66=4,HI66-4,NA())</f>
        <v>0</v>
      </c>
      <c r="IJ66" s="2"/>
      <c r="IK66" s="41">
        <f>HI66-'Zusammenfassung Tag1-4'!$I$2/18</f>
        <v>3.1111111111111112</v>
      </c>
      <c r="IL66" s="14">
        <f t="shared" si="1628"/>
        <v>228.77777777777791</v>
      </c>
      <c r="IM66" s="53">
        <v>6</v>
      </c>
      <c r="IN66" s="2">
        <v>118</v>
      </c>
      <c r="IO66" s="56">
        <v>3</v>
      </c>
      <c r="IP66" s="2">
        <f t="shared" si="1629"/>
        <v>124</v>
      </c>
      <c r="IQ66" s="2">
        <f t="shared" si="1481"/>
        <v>0</v>
      </c>
      <c r="IR66" s="2">
        <f t="shared" si="1630"/>
        <v>7</v>
      </c>
      <c r="IS66" s="2">
        <f t="shared" si="1482"/>
        <v>0</v>
      </c>
      <c r="IT66" s="2">
        <f t="shared" si="1631"/>
        <v>1</v>
      </c>
      <c r="IU66" s="2"/>
      <c r="IV66" s="2">
        <f t="shared" si="1483"/>
        <v>0</v>
      </c>
      <c r="IW66" s="2">
        <f t="shared" si="1632"/>
        <v>0</v>
      </c>
      <c r="IX66" s="2">
        <f t="shared" si="1633"/>
        <v>0</v>
      </c>
      <c r="IY66" s="2">
        <f t="shared" si="1634"/>
        <v>1</v>
      </c>
      <c r="IZ66" s="2">
        <f t="shared" si="1635"/>
        <v>0</v>
      </c>
      <c r="JA66" s="2">
        <f t="shared" si="1636"/>
        <v>1</v>
      </c>
      <c r="JB66" s="2">
        <f t="shared" si="1637"/>
        <v>1</v>
      </c>
      <c r="JC66" s="2">
        <f t="shared" si="1638"/>
        <v>14</v>
      </c>
      <c r="JD66" s="2">
        <f t="shared" si="1639"/>
        <v>0</v>
      </c>
      <c r="JE66" s="2">
        <f t="shared" si="1640"/>
        <v>0</v>
      </c>
      <c r="JF66" s="2">
        <f t="shared" si="1484"/>
        <v>0</v>
      </c>
      <c r="JG66" s="2">
        <f t="shared" si="1641"/>
        <v>7</v>
      </c>
      <c r="JH66" s="2">
        <f t="shared" si="1642"/>
        <v>0</v>
      </c>
      <c r="JI66" s="2">
        <f t="shared" si="1643"/>
        <v>7</v>
      </c>
      <c r="JJ66" s="2">
        <f t="shared" si="1485"/>
        <v>1</v>
      </c>
      <c r="JK66" s="2">
        <f t="shared" si="1644"/>
        <v>21</v>
      </c>
      <c r="JL66" s="2"/>
      <c r="JM66" s="2">
        <f t="shared" ref="JM66" si="1706">IF($E66=4,IM66-4,NA())</f>
        <v>2</v>
      </c>
      <c r="JN66" s="2"/>
      <c r="JO66" s="41">
        <f>IM66-'Zusammenfassung Tag1-4'!$J$2/18</f>
        <v>3.6666666666666665</v>
      </c>
      <c r="JP66" s="14">
        <f t="shared" si="1645"/>
        <v>238.66666666666649</v>
      </c>
      <c r="JQ66" s="53"/>
      <c r="JR66" s="2"/>
      <c r="JS66" s="56"/>
      <c r="JT66" s="2">
        <f t="shared" si="1646"/>
        <v>0</v>
      </c>
      <c r="JU66" s="2">
        <f t="shared" si="1487"/>
        <v>1</v>
      </c>
      <c r="JV66" s="2">
        <f t="shared" si="1647"/>
        <v>52</v>
      </c>
      <c r="JW66" s="2">
        <f t="shared" si="1488"/>
        <v>0</v>
      </c>
      <c r="JX66" s="2">
        <f t="shared" si="1648"/>
        <v>0</v>
      </c>
      <c r="JY66" s="2"/>
      <c r="JZ66" s="2">
        <f t="shared" si="1489"/>
        <v>0</v>
      </c>
      <c r="KA66" s="2">
        <f t="shared" si="1649"/>
        <v>0</v>
      </c>
      <c r="KB66" s="2">
        <f t="shared" si="1650"/>
        <v>0</v>
      </c>
      <c r="KC66" s="2">
        <f t="shared" si="1651"/>
        <v>0</v>
      </c>
      <c r="KD66" s="2">
        <f t="shared" si="1652"/>
        <v>0</v>
      </c>
      <c r="KE66" s="2">
        <f t="shared" si="1653"/>
        <v>0</v>
      </c>
      <c r="KF66" s="2">
        <f t="shared" si="1654"/>
        <v>0</v>
      </c>
      <c r="KG66" s="2">
        <f t="shared" si="1655"/>
        <v>0</v>
      </c>
      <c r="KH66" s="2">
        <f t="shared" si="1656"/>
        <v>1</v>
      </c>
      <c r="KI66" s="2">
        <f t="shared" si="1657"/>
        <v>16</v>
      </c>
      <c r="KJ66" s="2">
        <f t="shared" si="1490"/>
        <v>0</v>
      </c>
      <c r="KK66" s="2">
        <f t="shared" si="1658"/>
        <v>0</v>
      </c>
      <c r="KL66" s="2">
        <f t="shared" si="1659"/>
        <v>0</v>
      </c>
      <c r="KM66" s="2">
        <f t="shared" si="1660"/>
        <v>0</v>
      </c>
      <c r="KN66" s="2">
        <f t="shared" si="1491"/>
        <v>0</v>
      </c>
      <c r="KO66" s="2">
        <f t="shared" si="1661"/>
        <v>0</v>
      </c>
      <c r="KP66" s="2"/>
      <c r="KQ66" s="2">
        <f t="shared" ref="KQ66" si="1707">IF($E66=4,JQ66-4,NA())</f>
        <v>-4</v>
      </c>
      <c r="KR66" s="2"/>
      <c r="KS66" s="41" t="e">
        <f>JQ66-'Zusammenfassung Tag1-4'!#REF!/18</f>
        <v>#REF!</v>
      </c>
      <c r="KT66" s="14" t="e">
        <f t="shared" si="1662"/>
        <v>#REF!</v>
      </c>
    </row>
    <row r="67" spans="1:333" ht="13.2" x14ac:dyDescent="0.25">
      <c r="A67" s="179"/>
      <c r="B67" s="176"/>
      <c r="C67" s="44">
        <v>17</v>
      </c>
      <c r="D67" s="2">
        <f t="shared" si="1493"/>
        <v>53</v>
      </c>
      <c r="E67" s="44">
        <v>3</v>
      </c>
      <c r="F67" s="4">
        <f t="shared" si="1494"/>
        <v>211</v>
      </c>
      <c r="G67" s="53">
        <v>3</v>
      </c>
      <c r="H67" s="2">
        <f t="shared" si="1495"/>
        <v>256</v>
      </c>
      <c r="I67" s="56">
        <v>2</v>
      </c>
      <c r="J67" s="2">
        <f t="shared" si="1496"/>
        <v>102</v>
      </c>
      <c r="K67" s="2">
        <f t="shared" si="1429"/>
        <v>1</v>
      </c>
      <c r="L67" s="2">
        <f t="shared" si="1497"/>
        <v>18</v>
      </c>
      <c r="M67" s="2">
        <f t="shared" si="1430"/>
        <v>0</v>
      </c>
      <c r="N67" s="2">
        <f t="shared" si="1498"/>
        <v>6</v>
      </c>
      <c r="O67" s="2"/>
      <c r="P67" s="2">
        <f t="shared" si="1431"/>
        <v>0</v>
      </c>
      <c r="Q67" s="2">
        <f t="shared" si="1499"/>
        <v>3</v>
      </c>
      <c r="R67" s="2">
        <f t="shared" si="1432"/>
        <v>1</v>
      </c>
      <c r="S67" s="2">
        <f t="shared" si="1500"/>
        <v>5</v>
      </c>
      <c r="T67" s="2">
        <f t="shared" si="1433"/>
        <v>0</v>
      </c>
      <c r="U67" s="2">
        <f t="shared" si="1501"/>
        <v>7</v>
      </c>
      <c r="V67" s="2">
        <f t="shared" si="1434"/>
        <v>0</v>
      </c>
      <c r="W67" s="2">
        <f t="shared" si="1502"/>
        <v>4</v>
      </c>
      <c r="X67" s="2">
        <f t="shared" si="1435"/>
        <v>0</v>
      </c>
      <c r="Y67" s="2">
        <f t="shared" si="1503"/>
        <v>1</v>
      </c>
      <c r="Z67" s="2">
        <f t="shared" si="1436"/>
        <v>0</v>
      </c>
      <c r="AA67" s="2">
        <f t="shared" si="1504"/>
        <v>9</v>
      </c>
      <c r="AB67" s="2">
        <f t="shared" si="1437"/>
        <v>1</v>
      </c>
      <c r="AC67" s="2">
        <f t="shared" si="1505"/>
        <v>9</v>
      </c>
      <c r="AD67" s="2">
        <f t="shared" si="1438"/>
        <v>0</v>
      </c>
      <c r="AE67" s="2">
        <f t="shared" si="1506"/>
        <v>8</v>
      </c>
      <c r="AF67" s="2">
        <f>IF($E67=3,G67-3,NA())</f>
        <v>0</v>
      </c>
      <c r="AG67" s="2"/>
      <c r="AH67" s="2"/>
      <c r="AI67" s="41">
        <f>G67-'Zusammenfassung Tag1-4'!$B$2/18</f>
        <v>2.1666666666666665</v>
      </c>
      <c r="AJ67" s="13">
        <f t="shared" si="1507"/>
        <v>211.83333333333317</v>
      </c>
      <c r="AK67" s="53">
        <v>3</v>
      </c>
      <c r="AL67" s="2">
        <f t="shared" si="1508"/>
        <v>253</v>
      </c>
      <c r="AM67" s="56">
        <v>1</v>
      </c>
      <c r="AN67" s="2">
        <f t="shared" si="1509"/>
        <v>96</v>
      </c>
      <c r="AO67" s="2">
        <f t="shared" si="1439"/>
        <v>0</v>
      </c>
      <c r="AP67" s="2">
        <f t="shared" si="1510"/>
        <v>24</v>
      </c>
      <c r="AQ67" s="2">
        <f t="shared" si="1440"/>
        <v>1</v>
      </c>
      <c r="AR67" s="2">
        <f t="shared" si="1511"/>
        <v>7</v>
      </c>
      <c r="AS67" s="2"/>
      <c r="AT67" s="2">
        <f t="shared" si="1441"/>
        <v>0</v>
      </c>
      <c r="AU67" s="2">
        <f t="shared" si="1512"/>
        <v>0</v>
      </c>
      <c r="AV67" s="2">
        <f t="shared" si="1513"/>
        <v>1</v>
      </c>
      <c r="AW67" s="2">
        <f t="shared" si="1514"/>
        <v>10</v>
      </c>
      <c r="AX67" s="2">
        <f t="shared" si="1515"/>
        <v>0</v>
      </c>
      <c r="AY67" s="2">
        <f t="shared" si="1516"/>
        <v>3</v>
      </c>
      <c r="AZ67" s="2">
        <f t="shared" si="1517"/>
        <v>0</v>
      </c>
      <c r="BA67" s="2">
        <f t="shared" si="1518"/>
        <v>4</v>
      </c>
      <c r="BB67" s="2">
        <f t="shared" si="1519"/>
        <v>0</v>
      </c>
      <c r="BC67" s="2">
        <f t="shared" si="1520"/>
        <v>0</v>
      </c>
      <c r="BD67" s="2">
        <f t="shared" si="1442"/>
        <v>1</v>
      </c>
      <c r="BE67" s="2">
        <f t="shared" si="1521"/>
        <v>14</v>
      </c>
      <c r="BF67" s="2">
        <f t="shared" si="1522"/>
        <v>0</v>
      </c>
      <c r="BG67" s="2">
        <f t="shared" si="1523"/>
        <v>10</v>
      </c>
      <c r="BH67" s="2">
        <f t="shared" si="1443"/>
        <v>0</v>
      </c>
      <c r="BI67" s="2">
        <f t="shared" si="1524"/>
        <v>4</v>
      </c>
      <c r="BJ67" s="2">
        <f t="shared" ref="BJ67" si="1708">IF($E67=3,AK67-3,NA())</f>
        <v>0</v>
      </c>
      <c r="BK67" s="2"/>
      <c r="BL67" s="2"/>
      <c r="BM67" s="41">
        <f>AK67-'Zusammenfassung Tag1-4'!$C$2/18</f>
        <v>2.4444444444444446</v>
      </c>
      <c r="BN67" s="13">
        <f t="shared" si="1525"/>
        <v>223.55555555555583</v>
      </c>
      <c r="BO67" s="53">
        <v>5</v>
      </c>
      <c r="BP67" s="2">
        <f t="shared" si="1526"/>
        <v>311</v>
      </c>
      <c r="BQ67" s="56">
        <v>2</v>
      </c>
      <c r="BR67" s="2">
        <f t="shared" si="1527"/>
        <v>119</v>
      </c>
      <c r="BS67" s="2">
        <f t="shared" si="1445"/>
        <v>0</v>
      </c>
      <c r="BT67" s="2">
        <f t="shared" si="1528"/>
        <v>10</v>
      </c>
      <c r="BU67" s="2">
        <f t="shared" si="1446"/>
        <v>0</v>
      </c>
      <c r="BV67" s="2">
        <f t="shared" si="1529"/>
        <v>0</v>
      </c>
      <c r="BW67" s="2"/>
      <c r="BX67" s="2">
        <f t="shared" si="1447"/>
        <v>0</v>
      </c>
      <c r="BY67" s="2">
        <f t="shared" si="1530"/>
        <v>0</v>
      </c>
      <c r="BZ67" s="2">
        <f t="shared" si="1531"/>
        <v>0</v>
      </c>
      <c r="CA67" s="2">
        <f t="shared" si="1532"/>
        <v>0</v>
      </c>
      <c r="CB67" s="2">
        <f t="shared" si="1533"/>
        <v>0</v>
      </c>
      <c r="CC67" s="2">
        <f t="shared" si="1534"/>
        <v>7</v>
      </c>
      <c r="CD67" s="2">
        <f t="shared" si="1535"/>
        <v>1</v>
      </c>
      <c r="CE67" s="2">
        <f t="shared" si="1536"/>
        <v>10</v>
      </c>
      <c r="CF67" s="2">
        <f t="shared" si="1537"/>
        <v>0</v>
      </c>
      <c r="CG67" s="2">
        <f t="shared" si="1530"/>
        <v>0</v>
      </c>
      <c r="CH67" s="2">
        <f t="shared" si="1448"/>
        <v>0</v>
      </c>
      <c r="CI67" s="2">
        <f t="shared" si="1538"/>
        <v>2</v>
      </c>
      <c r="CJ67" s="2">
        <f t="shared" si="1539"/>
        <v>1</v>
      </c>
      <c r="CK67" s="2">
        <f t="shared" si="1540"/>
        <v>12</v>
      </c>
      <c r="CL67" s="2">
        <f t="shared" si="1449"/>
        <v>0</v>
      </c>
      <c r="CM67" s="2">
        <f t="shared" si="1541"/>
        <v>15</v>
      </c>
      <c r="CN67" s="2">
        <f t="shared" ref="CN67" si="1709">IF($E67=3,BO67-3,NA())</f>
        <v>2</v>
      </c>
      <c r="CO67" s="2"/>
      <c r="CP67" s="2"/>
      <c r="CQ67" s="41">
        <f>BO67-'Zusammenfassung Tag1-4'!$D$2/18</f>
        <v>3.9444444444444446</v>
      </c>
      <c r="CR67" s="13">
        <f t="shared" si="1542"/>
        <v>255.05555555555586</v>
      </c>
      <c r="CS67" s="53">
        <v>5</v>
      </c>
      <c r="CT67" s="2">
        <f t="shared" si="1543"/>
        <v>272</v>
      </c>
      <c r="CU67" s="56">
        <v>2</v>
      </c>
      <c r="CV67" s="2">
        <f t="shared" si="1544"/>
        <v>109</v>
      </c>
      <c r="CW67" s="2">
        <f t="shared" si="1451"/>
        <v>0</v>
      </c>
      <c r="CX67" s="2">
        <f t="shared" si="1545"/>
        <v>16</v>
      </c>
      <c r="CY67" s="2">
        <f t="shared" si="1452"/>
        <v>0</v>
      </c>
      <c r="CZ67" s="2">
        <f t="shared" si="1546"/>
        <v>5</v>
      </c>
      <c r="DA67" s="2"/>
      <c r="DB67" s="2">
        <f t="shared" si="1453"/>
        <v>0</v>
      </c>
      <c r="DC67" s="2">
        <f t="shared" si="1547"/>
        <v>0</v>
      </c>
      <c r="DD67" s="2">
        <f t="shared" si="1548"/>
        <v>0</v>
      </c>
      <c r="DE67" s="2">
        <f t="shared" si="1549"/>
        <v>8</v>
      </c>
      <c r="DF67" s="2">
        <f t="shared" si="1550"/>
        <v>0</v>
      </c>
      <c r="DG67" s="2">
        <f t="shared" si="1551"/>
        <v>7</v>
      </c>
      <c r="DH67" s="2">
        <f t="shared" si="1552"/>
        <v>1</v>
      </c>
      <c r="DI67" s="2">
        <f t="shared" si="1553"/>
        <v>2</v>
      </c>
      <c r="DJ67" s="2">
        <f t="shared" si="1554"/>
        <v>0</v>
      </c>
      <c r="DK67" s="2">
        <f t="shared" si="1555"/>
        <v>0</v>
      </c>
      <c r="DL67" s="2">
        <f t="shared" si="1454"/>
        <v>0</v>
      </c>
      <c r="DM67" s="2">
        <f t="shared" si="1556"/>
        <v>11</v>
      </c>
      <c r="DN67" s="2">
        <f t="shared" si="1557"/>
        <v>1</v>
      </c>
      <c r="DO67" s="2">
        <f t="shared" si="1558"/>
        <v>8</v>
      </c>
      <c r="DP67" s="2">
        <f t="shared" si="1455"/>
        <v>0</v>
      </c>
      <c r="DQ67" s="2">
        <f t="shared" si="1559"/>
        <v>13</v>
      </c>
      <c r="DR67" s="2">
        <f t="shared" ref="DR67" si="1710">IF($E67=3,CS67-3,NA())</f>
        <v>2</v>
      </c>
      <c r="DS67" s="2"/>
      <c r="DT67" s="2"/>
      <c r="DU67" s="41">
        <f>CS67-'Zusammenfassung Tag1-4'!$E$2/18</f>
        <v>4</v>
      </c>
      <c r="DV67" s="14">
        <f t="shared" si="1560"/>
        <v>219</v>
      </c>
      <c r="DW67" s="53">
        <v>4</v>
      </c>
      <c r="DX67" s="2">
        <v>79</v>
      </c>
      <c r="DY67" s="56">
        <v>2</v>
      </c>
      <c r="DZ67" s="2">
        <f t="shared" si="1561"/>
        <v>116</v>
      </c>
      <c r="EA67" s="2">
        <f t="shared" si="1457"/>
        <v>0</v>
      </c>
      <c r="EB67" s="2">
        <f t="shared" si="1562"/>
        <v>0</v>
      </c>
      <c r="EC67" s="2">
        <f t="shared" si="1458"/>
        <v>0</v>
      </c>
      <c r="ED67" s="2">
        <f t="shared" si="1563"/>
        <v>1</v>
      </c>
      <c r="EE67" s="2"/>
      <c r="EF67" s="2">
        <f t="shared" si="1459"/>
        <v>0</v>
      </c>
      <c r="EG67" s="2">
        <f t="shared" si="1564"/>
        <v>0</v>
      </c>
      <c r="EH67" s="2">
        <f t="shared" si="1565"/>
        <v>0</v>
      </c>
      <c r="EI67" s="2">
        <f t="shared" si="1566"/>
        <v>1</v>
      </c>
      <c r="EJ67" s="2">
        <f t="shared" si="1567"/>
        <v>1</v>
      </c>
      <c r="EK67" s="2">
        <f t="shared" si="1568"/>
        <v>3</v>
      </c>
      <c r="EL67" s="2">
        <f t="shared" si="1569"/>
        <v>0</v>
      </c>
      <c r="EM67" s="2">
        <f t="shared" si="1570"/>
        <v>13</v>
      </c>
      <c r="EN67" s="2">
        <f t="shared" si="1571"/>
        <v>0</v>
      </c>
      <c r="EO67" s="2">
        <f t="shared" si="1572"/>
        <v>0</v>
      </c>
      <c r="EP67" s="2">
        <f t="shared" si="1460"/>
        <v>0</v>
      </c>
      <c r="EQ67" s="2">
        <f t="shared" si="1573"/>
        <v>6</v>
      </c>
      <c r="ER67" s="2">
        <f t="shared" si="1574"/>
        <v>1</v>
      </c>
      <c r="ES67" s="2">
        <f t="shared" si="1575"/>
        <v>10</v>
      </c>
      <c r="ET67" s="2">
        <f t="shared" si="1461"/>
        <v>0</v>
      </c>
      <c r="EU67" s="2">
        <f t="shared" si="1576"/>
        <v>15</v>
      </c>
      <c r="EV67" s="2">
        <f t="shared" ref="EV67" si="1711">IF($E67=3,DW67-3,NA())</f>
        <v>1</v>
      </c>
      <c r="EW67" s="2"/>
      <c r="EX67" s="2"/>
      <c r="EY67" s="41">
        <f>DW67-'Zusammenfassung Tag1-4'!$F$2/18</f>
        <v>1.5</v>
      </c>
      <c r="EZ67" s="14">
        <f t="shared" si="1577"/>
        <v>233.5</v>
      </c>
      <c r="FA67" s="53">
        <v>3</v>
      </c>
      <c r="FB67" s="2">
        <v>296</v>
      </c>
      <c r="FC67" s="56">
        <v>2</v>
      </c>
      <c r="FD67" s="2">
        <f t="shared" si="1578"/>
        <v>102</v>
      </c>
      <c r="FE67" s="2">
        <f t="shared" si="1463"/>
        <v>1</v>
      </c>
      <c r="FF67" s="2">
        <f t="shared" si="1579"/>
        <v>10</v>
      </c>
      <c r="FG67" s="2">
        <f t="shared" si="1464"/>
        <v>0</v>
      </c>
      <c r="FH67" s="2">
        <f t="shared" si="1580"/>
        <v>4</v>
      </c>
      <c r="FI67" s="2"/>
      <c r="FJ67" s="2">
        <f t="shared" si="1465"/>
        <v>0</v>
      </c>
      <c r="FK67" s="2">
        <f t="shared" si="1581"/>
        <v>1</v>
      </c>
      <c r="FL67" s="2">
        <f t="shared" si="1582"/>
        <v>1</v>
      </c>
      <c r="FM67" s="2">
        <f t="shared" si="1583"/>
        <v>3</v>
      </c>
      <c r="FN67" s="2">
        <f t="shared" si="1584"/>
        <v>0</v>
      </c>
      <c r="FO67" s="2">
        <f t="shared" si="1585"/>
        <v>6</v>
      </c>
      <c r="FP67" s="2">
        <f t="shared" si="1586"/>
        <v>0</v>
      </c>
      <c r="FQ67" s="2">
        <f t="shared" si="1587"/>
        <v>7</v>
      </c>
      <c r="FR67" s="2">
        <f t="shared" si="1588"/>
        <v>0</v>
      </c>
      <c r="FS67" s="2">
        <f t="shared" si="1589"/>
        <v>0</v>
      </c>
      <c r="FT67" s="2">
        <f t="shared" si="1466"/>
        <v>0</v>
      </c>
      <c r="FU67" s="2">
        <f t="shared" si="1590"/>
        <v>15</v>
      </c>
      <c r="FV67" s="2">
        <f t="shared" si="1591"/>
        <v>1</v>
      </c>
      <c r="FW67" s="2">
        <f t="shared" si="1592"/>
        <v>10</v>
      </c>
      <c r="FX67" s="2">
        <f t="shared" si="1467"/>
        <v>0</v>
      </c>
      <c r="FY67" s="2">
        <f t="shared" si="1593"/>
        <v>11</v>
      </c>
      <c r="FZ67" s="2">
        <f t="shared" ref="FZ67" si="1712">IF($E67=3,FA67-3,NA())</f>
        <v>0</v>
      </c>
      <c r="GA67" s="2"/>
      <c r="GB67" s="2"/>
      <c r="GC67" s="41">
        <f>FA67-'Zusammenfassung Tag1-4'!$G$2/18</f>
        <v>1.7222222222222223</v>
      </c>
      <c r="GD67" s="14">
        <f t="shared" si="1594"/>
        <v>222.277777777778</v>
      </c>
      <c r="GE67" s="53">
        <v>4</v>
      </c>
      <c r="GF67" s="2">
        <v>382</v>
      </c>
      <c r="GG67" s="56">
        <v>2</v>
      </c>
      <c r="GH67" s="2">
        <f t="shared" si="1595"/>
        <v>111</v>
      </c>
      <c r="GI67" s="2">
        <f t="shared" si="1469"/>
        <v>0</v>
      </c>
      <c r="GJ67" s="2">
        <f t="shared" si="1596"/>
        <v>1</v>
      </c>
      <c r="GK67" s="2">
        <f t="shared" si="1470"/>
        <v>0</v>
      </c>
      <c r="GL67" s="2">
        <f t="shared" si="1597"/>
        <v>1</v>
      </c>
      <c r="GM67" s="2"/>
      <c r="GN67" s="2">
        <f t="shared" si="1471"/>
        <v>0</v>
      </c>
      <c r="GO67" s="2">
        <f t="shared" si="1598"/>
        <v>0</v>
      </c>
      <c r="GP67" s="2">
        <f t="shared" si="1599"/>
        <v>0</v>
      </c>
      <c r="GQ67" s="2">
        <f t="shared" si="1600"/>
        <v>0</v>
      </c>
      <c r="GR67" s="2">
        <f t="shared" si="1601"/>
        <v>1</v>
      </c>
      <c r="GS67" s="2">
        <f t="shared" si="1602"/>
        <v>4</v>
      </c>
      <c r="GT67" s="2">
        <f t="shared" si="1603"/>
        <v>0</v>
      </c>
      <c r="GU67" s="2">
        <f t="shared" si="1604"/>
        <v>13</v>
      </c>
      <c r="GV67" s="2">
        <f t="shared" si="1605"/>
        <v>0</v>
      </c>
      <c r="GW67" s="2">
        <f t="shared" si="1606"/>
        <v>0</v>
      </c>
      <c r="GX67" s="2">
        <f t="shared" si="1472"/>
        <v>0</v>
      </c>
      <c r="GY67" s="2">
        <f t="shared" si="1607"/>
        <v>6</v>
      </c>
      <c r="GZ67" s="2">
        <f t="shared" si="1608"/>
        <v>1</v>
      </c>
      <c r="HA67" s="2">
        <f t="shared" si="1609"/>
        <v>12</v>
      </c>
      <c r="HB67" s="2">
        <f t="shared" si="1473"/>
        <v>0</v>
      </c>
      <c r="HC67" s="2">
        <f t="shared" si="1610"/>
        <v>11</v>
      </c>
      <c r="HD67" s="2">
        <f t="shared" ref="HD67" si="1713">IF($E67=3,GE67-3,NA())</f>
        <v>1</v>
      </c>
      <c r="HE67" s="2"/>
      <c r="HF67" s="2"/>
      <c r="HG67" s="41">
        <f>GE67-'Zusammenfassung Tag1-4'!$H$2/18</f>
        <v>2.2222222222222223</v>
      </c>
      <c r="HH67" s="14">
        <f t="shared" si="1611"/>
        <v>253.77777777777803</v>
      </c>
      <c r="HI67" s="53">
        <v>4</v>
      </c>
      <c r="HJ67" s="2">
        <v>280</v>
      </c>
      <c r="HK67" s="56">
        <v>2</v>
      </c>
      <c r="HL67" s="2">
        <f t="shared" si="1612"/>
        <v>99</v>
      </c>
      <c r="HM67" s="2">
        <f t="shared" si="1475"/>
        <v>0</v>
      </c>
      <c r="HN67" s="2">
        <f t="shared" si="1613"/>
        <v>9</v>
      </c>
      <c r="HO67" s="2">
        <f t="shared" si="1476"/>
        <v>0</v>
      </c>
      <c r="HP67" s="2">
        <f t="shared" si="1614"/>
        <v>7</v>
      </c>
      <c r="HQ67" s="2"/>
      <c r="HR67" s="2">
        <f t="shared" si="1477"/>
        <v>0</v>
      </c>
      <c r="HS67" s="2">
        <f t="shared" si="1615"/>
        <v>0</v>
      </c>
      <c r="HT67" s="2">
        <f t="shared" si="1616"/>
        <v>0</v>
      </c>
      <c r="HU67" s="2">
        <f t="shared" si="1617"/>
        <v>7</v>
      </c>
      <c r="HV67" s="2">
        <f t="shared" si="1618"/>
        <v>1</v>
      </c>
      <c r="HW67" s="2">
        <f t="shared" si="1619"/>
        <v>7</v>
      </c>
      <c r="HX67" s="2">
        <f t="shared" si="1620"/>
        <v>0</v>
      </c>
      <c r="HY67" s="2">
        <f t="shared" si="1621"/>
        <v>3</v>
      </c>
      <c r="HZ67" s="2">
        <f t="shared" si="1622"/>
        <v>0</v>
      </c>
      <c r="IA67" s="2">
        <f t="shared" si="1623"/>
        <v>1</v>
      </c>
      <c r="IB67" s="2">
        <f t="shared" si="1478"/>
        <v>0</v>
      </c>
      <c r="IC67" s="2">
        <f t="shared" si="1624"/>
        <v>13</v>
      </c>
      <c r="ID67" s="2">
        <f t="shared" si="1625"/>
        <v>1</v>
      </c>
      <c r="IE67" s="2">
        <f t="shared" si="1626"/>
        <v>8</v>
      </c>
      <c r="IF67" s="2">
        <f t="shared" si="1479"/>
        <v>0</v>
      </c>
      <c r="IG67" s="2">
        <f t="shared" si="1627"/>
        <v>8</v>
      </c>
      <c r="IH67" s="2">
        <f t="shared" ref="IH67" si="1714">IF($E67=3,HI67-3,NA())</f>
        <v>1</v>
      </c>
      <c r="II67" s="2"/>
      <c r="IJ67" s="2"/>
      <c r="IK67" s="41">
        <f>HI67-'Zusammenfassung Tag1-4'!$I$2/18</f>
        <v>3.1111111111111112</v>
      </c>
      <c r="IL67" s="14">
        <f t="shared" si="1628"/>
        <v>231.88888888888903</v>
      </c>
      <c r="IM67" s="53">
        <v>4</v>
      </c>
      <c r="IN67" s="2">
        <v>122</v>
      </c>
      <c r="IO67" s="56">
        <v>1</v>
      </c>
      <c r="IP67" s="2">
        <f t="shared" si="1629"/>
        <v>125</v>
      </c>
      <c r="IQ67" s="2">
        <f t="shared" si="1481"/>
        <v>0</v>
      </c>
      <c r="IR67" s="2">
        <f t="shared" si="1630"/>
        <v>7</v>
      </c>
      <c r="IS67" s="2">
        <f t="shared" si="1482"/>
        <v>0</v>
      </c>
      <c r="IT67" s="2">
        <f t="shared" si="1631"/>
        <v>1</v>
      </c>
      <c r="IU67" s="2"/>
      <c r="IV67" s="2">
        <f t="shared" si="1483"/>
        <v>0</v>
      </c>
      <c r="IW67" s="2">
        <f t="shared" si="1632"/>
        <v>0</v>
      </c>
      <c r="IX67" s="2">
        <f t="shared" si="1633"/>
        <v>0</v>
      </c>
      <c r="IY67" s="2">
        <f t="shared" si="1634"/>
        <v>1</v>
      </c>
      <c r="IZ67" s="2">
        <f t="shared" si="1635"/>
        <v>1</v>
      </c>
      <c r="JA67" s="2">
        <f t="shared" si="1636"/>
        <v>2</v>
      </c>
      <c r="JB67" s="2">
        <f t="shared" si="1637"/>
        <v>0</v>
      </c>
      <c r="JC67" s="2">
        <f t="shared" si="1638"/>
        <v>14</v>
      </c>
      <c r="JD67" s="2">
        <f t="shared" si="1639"/>
        <v>0</v>
      </c>
      <c r="JE67" s="2">
        <f t="shared" si="1640"/>
        <v>0</v>
      </c>
      <c r="JF67" s="2">
        <f t="shared" si="1484"/>
        <v>1</v>
      </c>
      <c r="JG67" s="2">
        <f t="shared" si="1641"/>
        <v>8</v>
      </c>
      <c r="JH67" s="2">
        <f t="shared" si="1642"/>
        <v>0</v>
      </c>
      <c r="JI67" s="2">
        <f t="shared" si="1643"/>
        <v>7</v>
      </c>
      <c r="JJ67" s="2">
        <f t="shared" si="1485"/>
        <v>0</v>
      </c>
      <c r="JK67" s="2">
        <f t="shared" si="1644"/>
        <v>21</v>
      </c>
      <c r="JL67" s="2">
        <f t="shared" ref="JL67" si="1715">IF($E67=3,IM67-3,NA())</f>
        <v>1</v>
      </c>
      <c r="JM67" s="2"/>
      <c r="JN67" s="2"/>
      <c r="JO67" s="41">
        <f>IM67-'Zusammenfassung Tag1-4'!$J$2/18</f>
        <v>1.6666666666666665</v>
      </c>
      <c r="JP67" s="14">
        <f t="shared" si="1645"/>
        <v>240.33333333333314</v>
      </c>
      <c r="JQ67" s="53"/>
      <c r="JR67" s="2"/>
      <c r="JS67" s="56"/>
      <c r="JT67" s="2">
        <f t="shared" si="1646"/>
        <v>0</v>
      </c>
      <c r="JU67" s="2">
        <f t="shared" si="1487"/>
        <v>1</v>
      </c>
      <c r="JV67" s="2">
        <f t="shared" si="1647"/>
        <v>53</v>
      </c>
      <c r="JW67" s="2">
        <f t="shared" si="1488"/>
        <v>0</v>
      </c>
      <c r="JX67" s="2">
        <f t="shared" si="1648"/>
        <v>0</v>
      </c>
      <c r="JY67" s="2"/>
      <c r="JZ67" s="2">
        <f t="shared" si="1489"/>
        <v>0</v>
      </c>
      <c r="KA67" s="2">
        <f t="shared" si="1649"/>
        <v>0</v>
      </c>
      <c r="KB67" s="2">
        <f t="shared" si="1650"/>
        <v>0</v>
      </c>
      <c r="KC67" s="2">
        <f t="shared" si="1651"/>
        <v>0</v>
      </c>
      <c r="KD67" s="2">
        <f t="shared" si="1652"/>
        <v>0</v>
      </c>
      <c r="KE67" s="2">
        <f t="shared" si="1653"/>
        <v>0</v>
      </c>
      <c r="KF67" s="2">
        <f t="shared" si="1654"/>
        <v>0</v>
      </c>
      <c r="KG67" s="2">
        <f t="shared" si="1655"/>
        <v>0</v>
      </c>
      <c r="KH67" s="2">
        <f t="shared" si="1656"/>
        <v>1</v>
      </c>
      <c r="KI67" s="2">
        <f t="shared" si="1657"/>
        <v>17</v>
      </c>
      <c r="KJ67" s="2">
        <f t="shared" si="1490"/>
        <v>0</v>
      </c>
      <c r="KK67" s="2">
        <f t="shared" si="1658"/>
        <v>0</v>
      </c>
      <c r="KL67" s="2">
        <f t="shared" si="1659"/>
        <v>0</v>
      </c>
      <c r="KM67" s="2">
        <f t="shared" si="1660"/>
        <v>0</v>
      </c>
      <c r="KN67" s="2">
        <f t="shared" si="1491"/>
        <v>0</v>
      </c>
      <c r="KO67" s="2">
        <f t="shared" si="1661"/>
        <v>0</v>
      </c>
      <c r="KP67" s="2">
        <f t="shared" ref="KP67" si="1716">IF($E67=3,JQ67-3,NA())</f>
        <v>-3</v>
      </c>
      <c r="KQ67" s="2"/>
      <c r="KR67" s="2"/>
      <c r="KS67" s="41" t="e">
        <f>JQ67-'Zusammenfassung Tag1-4'!#REF!/18</f>
        <v>#REF!</v>
      </c>
      <c r="KT67" s="14" t="e">
        <f t="shared" si="1662"/>
        <v>#REF!</v>
      </c>
    </row>
    <row r="68" spans="1:333" ht="13.2" x14ac:dyDescent="0.25">
      <c r="A68" s="179"/>
      <c r="B68" s="176"/>
      <c r="C68" s="15">
        <v>18</v>
      </c>
      <c r="D68" s="3">
        <f t="shared" si="1493"/>
        <v>54</v>
      </c>
      <c r="E68" s="15">
        <v>5</v>
      </c>
      <c r="F68" s="1">
        <f t="shared" si="1494"/>
        <v>216</v>
      </c>
      <c r="G68" s="54">
        <v>6</v>
      </c>
      <c r="H68" s="3">
        <f t="shared" si="1495"/>
        <v>262</v>
      </c>
      <c r="I68" s="57">
        <v>2</v>
      </c>
      <c r="J68" s="3">
        <f t="shared" si="1496"/>
        <v>104</v>
      </c>
      <c r="K68" s="3">
        <f t="shared" si="1429"/>
        <v>0</v>
      </c>
      <c r="L68" s="3">
        <f t="shared" si="1497"/>
        <v>18</v>
      </c>
      <c r="M68" s="3">
        <f t="shared" si="1430"/>
        <v>0</v>
      </c>
      <c r="N68" s="3">
        <f t="shared" si="1498"/>
        <v>6</v>
      </c>
      <c r="O68" s="3"/>
      <c r="P68" s="3">
        <f t="shared" si="1431"/>
        <v>0</v>
      </c>
      <c r="Q68" s="3">
        <f t="shared" si="1499"/>
        <v>3</v>
      </c>
      <c r="R68" s="3">
        <f t="shared" si="1432"/>
        <v>0</v>
      </c>
      <c r="S68" s="3">
        <f t="shared" si="1500"/>
        <v>5</v>
      </c>
      <c r="T68" s="3">
        <f t="shared" si="1433"/>
        <v>1</v>
      </c>
      <c r="U68" s="3">
        <f t="shared" si="1501"/>
        <v>8</v>
      </c>
      <c r="V68" s="3">
        <f t="shared" si="1434"/>
        <v>0</v>
      </c>
      <c r="W68" s="3">
        <f t="shared" si="1502"/>
        <v>4</v>
      </c>
      <c r="X68" s="3">
        <f t="shared" si="1435"/>
        <v>0</v>
      </c>
      <c r="Y68" s="3">
        <f t="shared" si="1503"/>
        <v>1</v>
      </c>
      <c r="Z68" s="3">
        <f t="shared" si="1436"/>
        <v>0</v>
      </c>
      <c r="AA68" s="3">
        <f t="shared" si="1504"/>
        <v>9</v>
      </c>
      <c r="AB68" s="3">
        <f t="shared" si="1437"/>
        <v>1</v>
      </c>
      <c r="AC68" s="3">
        <f t="shared" si="1505"/>
        <v>10</v>
      </c>
      <c r="AD68" s="3">
        <f t="shared" si="1438"/>
        <v>0</v>
      </c>
      <c r="AE68" s="3">
        <f t="shared" si="1506"/>
        <v>8</v>
      </c>
      <c r="AF68" s="3"/>
      <c r="AG68" s="3"/>
      <c r="AH68" s="3">
        <f>IF($E68=5,G68-5,NA())</f>
        <v>1</v>
      </c>
      <c r="AI68" s="17">
        <f>G68-'Zusammenfassung Tag1-4'!$B$2/18</f>
        <v>5.166666666666667</v>
      </c>
      <c r="AJ68" s="50">
        <f t="shared" si="1507"/>
        <v>216.99999999999983</v>
      </c>
      <c r="AK68" s="54">
        <v>6</v>
      </c>
      <c r="AL68" s="3">
        <f t="shared" si="1508"/>
        <v>259</v>
      </c>
      <c r="AM68" s="57">
        <v>2</v>
      </c>
      <c r="AN68" s="3">
        <f t="shared" si="1509"/>
        <v>98</v>
      </c>
      <c r="AO68" s="3">
        <f t="shared" si="1439"/>
        <v>0</v>
      </c>
      <c r="AP68" s="3">
        <f t="shared" si="1510"/>
        <v>24</v>
      </c>
      <c r="AQ68" s="3">
        <f t="shared" si="1440"/>
        <v>0</v>
      </c>
      <c r="AR68" s="3">
        <f t="shared" si="1511"/>
        <v>7</v>
      </c>
      <c r="AS68" s="3"/>
      <c r="AT68" s="3">
        <f t="shared" si="1441"/>
        <v>0</v>
      </c>
      <c r="AU68" s="3">
        <f t="shared" si="1512"/>
        <v>0</v>
      </c>
      <c r="AV68" s="3">
        <f>IF(AK68=$E68,1,0)</f>
        <v>0</v>
      </c>
      <c r="AW68" s="3">
        <f t="shared" si="1514"/>
        <v>10</v>
      </c>
      <c r="AX68" s="3">
        <f t="shared" si="1515"/>
        <v>1</v>
      </c>
      <c r="AY68" s="3">
        <f t="shared" si="1516"/>
        <v>4</v>
      </c>
      <c r="AZ68" s="3">
        <f t="shared" si="1517"/>
        <v>0</v>
      </c>
      <c r="BA68" s="3">
        <f t="shared" si="1518"/>
        <v>4</v>
      </c>
      <c r="BB68" s="3">
        <f t="shared" si="1519"/>
        <v>0</v>
      </c>
      <c r="BC68" s="3">
        <f t="shared" si="1520"/>
        <v>0</v>
      </c>
      <c r="BD68" s="3">
        <f t="shared" si="1442"/>
        <v>0</v>
      </c>
      <c r="BE68" s="3">
        <f t="shared" si="1521"/>
        <v>14</v>
      </c>
      <c r="BF68" s="3">
        <f t="shared" si="1522"/>
        <v>1</v>
      </c>
      <c r="BG68" s="3">
        <f t="shared" si="1523"/>
        <v>11</v>
      </c>
      <c r="BH68" s="3">
        <f t="shared" si="1443"/>
        <v>0</v>
      </c>
      <c r="BI68" s="3">
        <f t="shared" si="1524"/>
        <v>4</v>
      </c>
      <c r="BJ68" s="3"/>
      <c r="BK68" s="3"/>
      <c r="BL68" s="3">
        <f t="shared" ref="BL68" si="1717">IF($E68=5,AK68-5,NA())</f>
        <v>1</v>
      </c>
      <c r="BM68" s="17">
        <f>AK68-'Zusammenfassung Tag1-4'!$C$2/18</f>
        <v>5.4444444444444446</v>
      </c>
      <c r="BN68" s="50">
        <f t="shared" si="1525"/>
        <v>229.00000000000028</v>
      </c>
      <c r="BO68" s="54">
        <v>8</v>
      </c>
      <c r="BP68" s="3">
        <f t="shared" si="1526"/>
        <v>319</v>
      </c>
      <c r="BQ68" s="57">
        <v>3</v>
      </c>
      <c r="BR68" s="3">
        <f t="shared" si="1527"/>
        <v>122</v>
      </c>
      <c r="BS68" s="3">
        <f t="shared" si="1445"/>
        <v>0</v>
      </c>
      <c r="BT68" s="3">
        <f t="shared" si="1528"/>
        <v>10</v>
      </c>
      <c r="BU68" s="3">
        <f t="shared" si="1446"/>
        <v>0</v>
      </c>
      <c r="BV68" s="3">
        <f t="shared" si="1529"/>
        <v>0</v>
      </c>
      <c r="BW68" s="3"/>
      <c r="BX68" s="3">
        <f t="shared" si="1447"/>
        <v>0</v>
      </c>
      <c r="BY68" s="3">
        <f t="shared" si="1530"/>
        <v>0</v>
      </c>
      <c r="BZ68" s="3">
        <f>IF(BO68=$E68,1,0)</f>
        <v>0</v>
      </c>
      <c r="CA68" s="3">
        <f t="shared" si="1532"/>
        <v>0</v>
      </c>
      <c r="CB68" s="3">
        <f t="shared" si="1533"/>
        <v>0</v>
      </c>
      <c r="CC68" s="3">
        <f t="shared" si="1534"/>
        <v>7</v>
      </c>
      <c r="CD68" s="3">
        <f t="shared" si="1535"/>
        <v>1</v>
      </c>
      <c r="CE68" s="3">
        <f t="shared" si="1536"/>
        <v>11</v>
      </c>
      <c r="CF68" s="3">
        <f t="shared" si="1537"/>
        <v>0</v>
      </c>
      <c r="CG68" s="3">
        <f t="shared" si="1530"/>
        <v>0</v>
      </c>
      <c r="CH68" s="3">
        <f t="shared" si="1448"/>
        <v>0</v>
      </c>
      <c r="CI68" s="3">
        <f t="shared" si="1538"/>
        <v>2</v>
      </c>
      <c r="CJ68" s="3">
        <f t="shared" si="1539"/>
        <v>0</v>
      </c>
      <c r="CK68" s="3">
        <f t="shared" si="1540"/>
        <v>12</v>
      </c>
      <c r="CL68" s="3">
        <f t="shared" si="1449"/>
        <v>1</v>
      </c>
      <c r="CM68" s="3">
        <f t="shared" si="1541"/>
        <v>16</v>
      </c>
      <c r="CN68" s="3"/>
      <c r="CO68" s="3"/>
      <c r="CP68" s="3">
        <f t="shared" ref="CP68" si="1718">IF($E68=5,BO68-5,NA())</f>
        <v>3</v>
      </c>
      <c r="CQ68" s="17">
        <f>BO68-'Zusammenfassung Tag1-4'!$D$2/18</f>
        <v>6.9444444444444446</v>
      </c>
      <c r="CR68" s="50">
        <f t="shared" si="1542"/>
        <v>262.00000000000028</v>
      </c>
      <c r="CS68" s="54">
        <v>6</v>
      </c>
      <c r="CT68" s="3">
        <f t="shared" si="1543"/>
        <v>278</v>
      </c>
      <c r="CU68" s="57">
        <v>3</v>
      </c>
      <c r="CV68" s="3">
        <f t="shared" si="1544"/>
        <v>112</v>
      </c>
      <c r="CW68" s="3">
        <f t="shared" si="1451"/>
        <v>1</v>
      </c>
      <c r="CX68" s="3">
        <f t="shared" si="1545"/>
        <v>17</v>
      </c>
      <c r="CY68" s="3">
        <f t="shared" si="1452"/>
        <v>0</v>
      </c>
      <c r="CZ68" s="3">
        <f t="shared" si="1546"/>
        <v>5</v>
      </c>
      <c r="DA68" s="3"/>
      <c r="DB68" s="3">
        <f t="shared" si="1453"/>
        <v>0</v>
      </c>
      <c r="DC68" s="3">
        <f t="shared" si="1547"/>
        <v>0</v>
      </c>
      <c r="DD68" s="3">
        <f>IF(CS68=$E68,1,0)</f>
        <v>0</v>
      </c>
      <c r="DE68" s="3">
        <f t="shared" si="1549"/>
        <v>8</v>
      </c>
      <c r="DF68" s="3">
        <f t="shared" si="1550"/>
        <v>1</v>
      </c>
      <c r="DG68" s="3">
        <f t="shared" si="1551"/>
        <v>8</v>
      </c>
      <c r="DH68" s="3">
        <f t="shared" si="1552"/>
        <v>0</v>
      </c>
      <c r="DI68" s="3">
        <f t="shared" si="1553"/>
        <v>2</v>
      </c>
      <c r="DJ68" s="3">
        <f t="shared" si="1554"/>
        <v>0</v>
      </c>
      <c r="DK68" s="3">
        <f t="shared" si="1555"/>
        <v>0</v>
      </c>
      <c r="DL68" s="3">
        <f t="shared" si="1454"/>
        <v>0</v>
      </c>
      <c r="DM68" s="3">
        <f t="shared" si="1556"/>
        <v>11</v>
      </c>
      <c r="DN68" s="3">
        <f t="shared" si="1557"/>
        <v>0</v>
      </c>
      <c r="DO68" s="3">
        <f t="shared" si="1558"/>
        <v>8</v>
      </c>
      <c r="DP68" s="3">
        <f t="shared" si="1455"/>
        <v>1</v>
      </c>
      <c r="DQ68" s="3">
        <f t="shared" si="1559"/>
        <v>14</v>
      </c>
      <c r="DR68" s="3"/>
      <c r="DS68" s="3"/>
      <c r="DT68" s="3">
        <f t="shared" ref="DT68" si="1719">IF($E68=5,CS68-5,NA())</f>
        <v>1</v>
      </c>
      <c r="DU68" s="17">
        <f>CS68-'Zusammenfassung Tag1-4'!$E$2/18</f>
        <v>5</v>
      </c>
      <c r="DV68" s="51">
        <f t="shared" si="1560"/>
        <v>224</v>
      </c>
      <c r="DW68" s="54">
        <v>8</v>
      </c>
      <c r="DX68" s="3">
        <v>85</v>
      </c>
      <c r="DY68" s="57">
        <v>2</v>
      </c>
      <c r="DZ68" s="3">
        <f t="shared" si="1561"/>
        <v>118</v>
      </c>
      <c r="EA68" s="3">
        <f t="shared" si="1457"/>
        <v>0</v>
      </c>
      <c r="EB68" s="3">
        <f t="shared" si="1562"/>
        <v>0</v>
      </c>
      <c r="EC68" s="3">
        <f t="shared" si="1458"/>
        <v>0</v>
      </c>
      <c r="ED68" s="3">
        <f t="shared" si="1563"/>
        <v>1</v>
      </c>
      <c r="EE68" s="3"/>
      <c r="EF68" s="3">
        <f t="shared" si="1459"/>
        <v>0</v>
      </c>
      <c r="EG68" s="3">
        <f t="shared" si="1564"/>
        <v>0</v>
      </c>
      <c r="EH68" s="3">
        <f>IF(DW68=$E68,1,0)</f>
        <v>0</v>
      </c>
      <c r="EI68" s="3">
        <f t="shared" si="1566"/>
        <v>1</v>
      </c>
      <c r="EJ68" s="3">
        <f t="shared" si="1567"/>
        <v>0</v>
      </c>
      <c r="EK68" s="3">
        <f t="shared" si="1568"/>
        <v>3</v>
      </c>
      <c r="EL68" s="3">
        <f t="shared" si="1569"/>
        <v>1</v>
      </c>
      <c r="EM68" s="3">
        <f t="shared" si="1570"/>
        <v>14</v>
      </c>
      <c r="EN68" s="3">
        <f t="shared" si="1571"/>
        <v>0</v>
      </c>
      <c r="EO68" s="3">
        <f t="shared" si="1572"/>
        <v>0</v>
      </c>
      <c r="EP68" s="3">
        <f t="shared" si="1460"/>
        <v>0</v>
      </c>
      <c r="EQ68" s="3">
        <f t="shared" si="1573"/>
        <v>6</v>
      </c>
      <c r="ER68" s="3">
        <f t="shared" si="1574"/>
        <v>1</v>
      </c>
      <c r="ES68" s="3">
        <f t="shared" si="1575"/>
        <v>11</v>
      </c>
      <c r="ET68" s="3">
        <f t="shared" si="1461"/>
        <v>0</v>
      </c>
      <c r="EU68" s="3">
        <f t="shared" si="1576"/>
        <v>15</v>
      </c>
      <c r="EV68" s="3"/>
      <c r="EW68" s="3"/>
      <c r="EX68" s="3">
        <f t="shared" ref="EX68" si="1720">IF($E68=5,DW68-5,NA())</f>
        <v>3</v>
      </c>
      <c r="EY68" s="17">
        <f>DW68-'Zusammenfassung Tag1-4'!$F$2/18</f>
        <v>5.5</v>
      </c>
      <c r="EZ68" s="51">
        <f t="shared" si="1577"/>
        <v>239</v>
      </c>
      <c r="FA68" s="54">
        <v>7</v>
      </c>
      <c r="FB68" s="3">
        <v>304</v>
      </c>
      <c r="FC68" s="57">
        <v>3</v>
      </c>
      <c r="FD68" s="3">
        <f t="shared" si="1578"/>
        <v>105</v>
      </c>
      <c r="FE68" s="3">
        <f t="shared" si="1463"/>
        <v>0</v>
      </c>
      <c r="FF68" s="3">
        <f t="shared" si="1579"/>
        <v>10</v>
      </c>
      <c r="FG68" s="3">
        <f t="shared" si="1464"/>
        <v>0</v>
      </c>
      <c r="FH68" s="3">
        <f t="shared" si="1580"/>
        <v>4</v>
      </c>
      <c r="FI68" s="3"/>
      <c r="FJ68" s="3">
        <f t="shared" si="1465"/>
        <v>0</v>
      </c>
      <c r="FK68" s="3">
        <f t="shared" si="1581"/>
        <v>1</v>
      </c>
      <c r="FL68" s="3">
        <f>IF(FA68=$E68,1,0)</f>
        <v>0</v>
      </c>
      <c r="FM68" s="3">
        <f t="shared" si="1583"/>
        <v>3</v>
      </c>
      <c r="FN68" s="3">
        <f t="shared" si="1584"/>
        <v>0</v>
      </c>
      <c r="FO68" s="3">
        <f t="shared" si="1585"/>
        <v>6</v>
      </c>
      <c r="FP68" s="3">
        <f t="shared" si="1586"/>
        <v>1</v>
      </c>
      <c r="FQ68" s="3">
        <f t="shared" si="1587"/>
        <v>8</v>
      </c>
      <c r="FR68" s="3">
        <f t="shared" si="1588"/>
        <v>0</v>
      </c>
      <c r="FS68" s="3">
        <f t="shared" si="1589"/>
        <v>0</v>
      </c>
      <c r="FT68" s="3">
        <f t="shared" si="1466"/>
        <v>0</v>
      </c>
      <c r="FU68" s="3">
        <f t="shared" si="1590"/>
        <v>15</v>
      </c>
      <c r="FV68" s="3">
        <f t="shared" si="1591"/>
        <v>0</v>
      </c>
      <c r="FW68" s="3">
        <f t="shared" si="1592"/>
        <v>10</v>
      </c>
      <c r="FX68" s="3">
        <f t="shared" si="1467"/>
        <v>1</v>
      </c>
      <c r="FY68" s="3">
        <f t="shared" si="1593"/>
        <v>12</v>
      </c>
      <c r="FZ68" s="3"/>
      <c r="GA68" s="3"/>
      <c r="GB68" s="3">
        <f t="shared" ref="GB68" si="1721">IF($E68=5,FA68-5,NA())</f>
        <v>2</v>
      </c>
      <c r="GC68" s="17">
        <f>FA68-'Zusammenfassung Tag1-4'!$G$2/18</f>
        <v>5.7222222222222223</v>
      </c>
      <c r="GD68" s="51">
        <f t="shared" si="1594"/>
        <v>228.00000000000023</v>
      </c>
      <c r="GE68" s="54">
        <v>8</v>
      </c>
      <c r="GF68" s="3">
        <v>392</v>
      </c>
      <c r="GG68" s="57">
        <v>3</v>
      </c>
      <c r="GH68" s="3">
        <f t="shared" si="1595"/>
        <v>114</v>
      </c>
      <c r="GI68" s="3">
        <f t="shared" si="1469"/>
        <v>0</v>
      </c>
      <c r="GJ68" s="3">
        <f t="shared" si="1596"/>
        <v>1</v>
      </c>
      <c r="GK68" s="3">
        <f t="shared" si="1470"/>
        <v>0</v>
      </c>
      <c r="GL68" s="3">
        <f t="shared" si="1597"/>
        <v>1</v>
      </c>
      <c r="GM68" s="3"/>
      <c r="GN68" s="3">
        <f t="shared" si="1471"/>
        <v>0</v>
      </c>
      <c r="GO68" s="3">
        <f t="shared" si="1598"/>
        <v>0</v>
      </c>
      <c r="GP68" s="3">
        <f>IF(GE68=$E68,1,0)</f>
        <v>0</v>
      </c>
      <c r="GQ68" s="3">
        <f t="shared" si="1600"/>
        <v>0</v>
      </c>
      <c r="GR68" s="3">
        <f t="shared" si="1601"/>
        <v>0</v>
      </c>
      <c r="GS68" s="3">
        <f t="shared" si="1602"/>
        <v>4</v>
      </c>
      <c r="GT68" s="3">
        <f t="shared" si="1603"/>
        <v>1</v>
      </c>
      <c r="GU68" s="3">
        <f t="shared" si="1604"/>
        <v>14</v>
      </c>
      <c r="GV68" s="3">
        <f t="shared" si="1605"/>
        <v>0</v>
      </c>
      <c r="GW68" s="3">
        <f t="shared" si="1606"/>
        <v>0</v>
      </c>
      <c r="GX68" s="3">
        <f t="shared" si="1472"/>
        <v>0</v>
      </c>
      <c r="GY68" s="3">
        <f t="shared" si="1607"/>
        <v>6</v>
      </c>
      <c r="GZ68" s="3">
        <f t="shared" si="1608"/>
        <v>0</v>
      </c>
      <c r="HA68" s="3">
        <f t="shared" si="1609"/>
        <v>12</v>
      </c>
      <c r="HB68" s="3">
        <f t="shared" si="1473"/>
        <v>1</v>
      </c>
      <c r="HC68" s="3">
        <f t="shared" si="1610"/>
        <v>12</v>
      </c>
      <c r="HD68" s="3"/>
      <c r="HE68" s="3"/>
      <c r="HF68" s="3">
        <f t="shared" ref="HF68" si="1722">IF($E68=5,GE68-5,NA())</f>
        <v>3</v>
      </c>
      <c r="HG68" s="17">
        <f>GE68-'Zusammenfassung Tag1-4'!$H$2/18</f>
        <v>6.2222222222222223</v>
      </c>
      <c r="HH68" s="51">
        <f t="shared" si="1611"/>
        <v>260.00000000000023</v>
      </c>
      <c r="HI68" s="54">
        <v>6</v>
      </c>
      <c r="HJ68" s="3">
        <v>288</v>
      </c>
      <c r="HK68" s="57">
        <v>3</v>
      </c>
      <c r="HL68" s="3">
        <f t="shared" si="1612"/>
        <v>102</v>
      </c>
      <c r="HM68" s="3">
        <f t="shared" si="1475"/>
        <v>1</v>
      </c>
      <c r="HN68" s="3">
        <f t="shared" si="1613"/>
        <v>10</v>
      </c>
      <c r="HO68" s="3">
        <f t="shared" si="1476"/>
        <v>0</v>
      </c>
      <c r="HP68" s="3">
        <f t="shared" si="1614"/>
        <v>7</v>
      </c>
      <c r="HQ68" s="3"/>
      <c r="HR68" s="3">
        <f t="shared" si="1477"/>
        <v>0</v>
      </c>
      <c r="HS68" s="3">
        <f t="shared" si="1615"/>
        <v>0</v>
      </c>
      <c r="HT68" s="3">
        <f>IF(HI68=$E68,1,0)</f>
        <v>0</v>
      </c>
      <c r="HU68" s="3">
        <f t="shared" si="1617"/>
        <v>7</v>
      </c>
      <c r="HV68" s="3">
        <f t="shared" si="1618"/>
        <v>1</v>
      </c>
      <c r="HW68" s="3">
        <f t="shared" si="1619"/>
        <v>8</v>
      </c>
      <c r="HX68" s="3">
        <f t="shared" si="1620"/>
        <v>0</v>
      </c>
      <c r="HY68" s="3">
        <f t="shared" si="1621"/>
        <v>3</v>
      </c>
      <c r="HZ68" s="3">
        <f t="shared" si="1622"/>
        <v>0</v>
      </c>
      <c r="IA68" s="3">
        <f t="shared" si="1623"/>
        <v>1</v>
      </c>
      <c r="IB68" s="3">
        <f t="shared" si="1478"/>
        <v>0</v>
      </c>
      <c r="IC68" s="3">
        <f t="shared" si="1624"/>
        <v>13</v>
      </c>
      <c r="ID68" s="3">
        <f t="shared" si="1625"/>
        <v>0</v>
      </c>
      <c r="IE68" s="3">
        <f t="shared" si="1626"/>
        <v>8</v>
      </c>
      <c r="IF68" s="3">
        <f t="shared" si="1479"/>
        <v>1</v>
      </c>
      <c r="IG68" s="3">
        <f t="shared" si="1627"/>
        <v>9</v>
      </c>
      <c r="IH68" s="3"/>
      <c r="II68" s="3"/>
      <c r="IJ68" s="3">
        <f t="shared" ref="IJ68" si="1723">IF($E68=5,HI68-5,NA())</f>
        <v>1</v>
      </c>
      <c r="IK68" s="17">
        <f>HI68-'Zusammenfassung Tag1-4'!$I$2/18</f>
        <v>5.1111111111111107</v>
      </c>
      <c r="IL68" s="51">
        <f t="shared" si="1628"/>
        <v>237.00000000000014</v>
      </c>
      <c r="IM68" s="54">
        <v>8</v>
      </c>
      <c r="IN68" s="3">
        <v>131</v>
      </c>
      <c r="IO68" s="57">
        <v>4</v>
      </c>
      <c r="IP68" s="3">
        <f t="shared" si="1629"/>
        <v>129</v>
      </c>
      <c r="IQ68" s="3">
        <f t="shared" si="1481"/>
        <v>0</v>
      </c>
      <c r="IR68" s="3">
        <f t="shared" si="1630"/>
        <v>7</v>
      </c>
      <c r="IS68" s="3">
        <f t="shared" si="1482"/>
        <v>0</v>
      </c>
      <c r="IT68" s="3">
        <f t="shared" si="1631"/>
        <v>1</v>
      </c>
      <c r="IU68" s="3"/>
      <c r="IV68" s="3">
        <f t="shared" si="1483"/>
        <v>0</v>
      </c>
      <c r="IW68" s="3">
        <f t="shared" si="1632"/>
        <v>0</v>
      </c>
      <c r="IX68" s="3">
        <f>IF(IM68=$E68,1,0)</f>
        <v>0</v>
      </c>
      <c r="IY68" s="3">
        <f t="shared" si="1634"/>
        <v>1</v>
      </c>
      <c r="IZ68" s="3">
        <f t="shared" si="1635"/>
        <v>0</v>
      </c>
      <c r="JA68" s="3">
        <f t="shared" si="1636"/>
        <v>2</v>
      </c>
      <c r="JB68" s="3">
        <f t="shared" si="1637"/>
        <v>1</v>
      </c>
      <c r="JC68" s="3">
        <f t="shared" si="1638"/>
        <v>15</v>
      </c>
      <c r="JD68" s="3">
        <f t="shared" si="1639"/>
        <v>0</v>
      </c>
      <c r="JE68" s="3">
        <f t="shared" si="1640"/>
        <v>0</v>
      </c>
      <c r="JF68" s="3">
        <f t="shared" si="1484"/>
        <v>0</v>
      </c>
      <c r="JG68" s="3">
        <f t="shared" si="1641"/>
        <v>8</v>
      </c>
      <c r="JH68" s="3">
        <f t="shared" si="1642"/>
        <v>0</v>
      </c>
      <c r="JI68" s="3">
        <f t="shared" si="1643"/>
        <v>7</v>
      </c>
      <c r="JJ68" s="3">
        <f t="shared" si="1485"/>
        <v>1</v>
      </c>
      <c r="JK68" s="3">
        <f t="shared" si="1644"/>
        <v>22</v>
      </c>
      <c r="JL68" s="3"/>
      <c r="JM68" s="3"/>
      <c r="JN68" s="3">
        <f t="shared" ref="JN68" si="1724">IF($E68=5,IM68-5,NA())</f>
        <v>3</v>
      </c>
      <c r="JO68" s="17">
        <f>IM68-'Zusammenfassung Tag1-4'!$J$2/18</f>
        <v>5.6666666666666661</v>
      </c>
      <c r="JP68" s="51">
        <f t="shared" si="1645"/>
        <v>245.9999999999998</v>
      </c>
      <c r="JQ68" s="54"/>
      <c r="JR68" s="3"/>
      <c r="JS68" s="57"/>
      <c r="JT68" s="3">
        <f t="shared" si="1646"/>
        <v>0</v>
      </c>
      <c r="JU68" s="3">
        <f t="shared" si="1487"/>
        <v>1</v>
      </c>
      <c r="JV68" s="3">
        <f t="shared" si="1647"/>
        <v>54</v>
      </c>
      <c r="JW68" s="3">
        <f t="shared" si="1488"/>
        <v>0</v>
      </c>
      <c r="JX68" s="3">
        <f t="shared" si="1648"/>
        <v>0</v>
      </c>
      <c r="JY68" s="3"/>
      <c r="JZ68" s="3">
        <f t="shared" si="1489"/>
        <v>0</v>
      </c>
      <c r="KA68" s="3">
        <f t="shared" si="1649"/>
        <v>0</v>
      </c>
      <c r="KB68" s="3">
        <f>IF(JQ68=$E68,1,0)</f>
        <v>0</v>
      </c>
      <c r="KC68" s="3">
        <f t="shared" si="1651"/>
        <v>0</v>
      </c>
      <c r="KD68" s="3">
        <f t="shared" si="1652"/>
        <v>0</v>
      </c>
      <c r="KE68" s="3">
        <f t="shared" si="1653"/>
        <v>0</v>
      </c>
      <c r="KF68" s="3">
        <f t="shared" si="1654"/>
        <v>0</v>
      </c>
      <c r="KG68" s="3">
        <f t="shared" si="1655"/>
        <v>0</v>
      </c>
      <c r="KH68" s="3">
        <f t="shared" si="1656"/>
        <v>1</v>
      </c>
      <c r="KI68" s="3">
        <f t="shared" si="1657"/>
        <v>18</v>
      </c>
      <c r="KJ68" s="3">
        <f t="shared" si="1490"/>
        <v>0</v>
      </c>
      <c r="KK68" s="3">
        <f t="shared" si="1658"/>
        <v>0</v>
      </c>
      <c r="KL68" s="3">
        <f t="shared" si="1659"/>
        <v>0</v>
      </c>
      <c r="KM68" s="3">
        <f t="shared" si="1660"/>
        <v>0</v>
      </c>
      <c r="KN68" s="3">
        <f t="shared" si="1491"/>
        <v>0</v>
      </c>
      <c r="KO68" s="3">
        <f t="shared" si="1661"/>
        <v>0</v>
      </c>
      <c r="KP68" s="3"/>
      <c r="KQ68" s="3"/>
      <c r="KR68" s="3">
        <f t="shared" ref="KR68" si="1725">IF($E68=5,JQ68-5,NA())</f>
        <v>-5</v>
      </c>
      <c r="KS68" s="17" t="e">
        <f>JQ68-'Zusammenfassung Tag1-4'!#REF!/18</f>
        <v>#REF!</v>
      </c>
      <c r="KT68" s="51" t="e">
        <f t="shared" si="1662"/>
        <v>#REF!</v>
      </c>
    </row>
    <row r="69" spans="1:333" ht="13.2" x14ac:dyDescent="0.25">
      <c r="A69" s="179"/>
      <c r="B69" s="177"/>
      <c r="C69" s="3" t="s">
        <v>25</v>
      </c>
      <c r="D69" s="3"/>
      <c r="E69" s="83">
        <f>SUM(E60:E68)</f>
        <v>35</v>
      </c>
      <c r="F69" s="91"/>
      <c r="G69" s="3">
        <f>SUM(G60:G68)</f>
        <v>45</v>
      </c>
      <c r="H69" s="3"/>
      <c r="I69" s="3">
        <f>SUM(I60:I68)</f>
        <v>20</v>
      </c>
      <c r="J69" s="3"/>
      <c r="K69" s="3">
        <f>SUM(K60:K68)</f>
        <v>4</v>
      </c>
      <c r="L69" s="3"/>
      <c r="M69" s="3">
        <f>SUM(M60:M68)</f>
        <v>0</v>
      </c>
      <c r="N69" s="3"/>
      <c r="O69" s="3"/>
      <c r="P69" s="3">
        <f>SUM(P60:P68)</f>
        <v>0</v>
      </c>
      <c r="Q69" s="3"/>
      <c r="R69" s="3">
        <f>SUM(R60:R68)</f>
        <v>3</v>
      </c>
      <c r="S69" s="3"/>
      <c r="T69" s="3">
        <f>SUM(T60:T68)</f>
        <v>4</v>
      </c>
      <c r="U69" s="3"/>
      <c r="V69" s="3">
        <f>SUM(V60:V68)</f>
        <v>2</v>
      </c>
      <c r="W69" s="3"/>
      <c r="X69" s="3">
        <f>SUM(X60:X68)</f>
        <v>0</v>
      </c>
      <c r="Y69" s="3"/>
      <c r="Z69" s="3">
        <f>SUM(Z60:Z68)</f>
        <v>0</v>
      </c>
      <c r="AA69" s="3"/>
      <c r="AB69" s="3">
        <f>SUM(AB60:AB68)</f>
        <v>7</v>
      </c>
      <c r="AC69" s="3"/>
      <c r="AD69" s="3">
        <f>SUM(AD60:AD68)</f>
        <v>2</v>
      </c>
      <c r="AE69" s="3"/>
      <c r="AF69" s="17">
        <f t="shared" ref="AF69" si="1726">AVERAGE(AF60:AF68)</f>
        <v>0.33333333333333331</v>
      </c>
      <c r="AG69" s="17">
        <f t="shared" ref="AG69:AH69" si="1727">AVERAGE(AG60:AG68)</f>
        <v>1.25</v>
      </c>
      <c r="AH69" s="17">
        <f t="shared" si="1727"/>
        <v>2</v>
      </c>
      <c r="AI69" s="17">
        <f>SUM(AI60:AI68)</f>
        <v>37.5</v>
      </c>
      <c r="AJ69" s="1"/>
      <c r="AK69" s="16">
        <f>SUM(AK60:AK68)</f>
        <v>41</v>
      </c>
      <c r="AL69" s="3"/>
      <c r="AM69" s="3">
        <f>SUM(AM60:AM68)</f>
        <v>14</v>
      </c>
      <c r="AN69" s="3"/>
      <c r="AO69" s="3">
        <f>SUM(AO60:AO68)</f>
        <v>3</v>
      </c>
      <c r="AP69" s="3"/>
      <c r="AQ69" s="3">
        <f>SUM(AQ60:AQ68)</f>
        <v>2</v>
      </c>
      <c r="AR69" s="3"/>
      <c r="AS69" s="3"/>
      <c r="AT69" s="3">
        <f>SUM(AT60:AT68)</f>
        <v>0</v>
      </c>
      <c r="AU69" s="3"/>
      <c r="AV69" s="3">
        <f>SUM(AV60:AV68)</f>
        <v>5</v>
      </c>
      <c r="AW69" s="3"/>
      <c r="AX69" s="3">
        <f>SUM(AX60:AX68)</f>
        <v>2</v>
      </c>
      <c r="AY69" s="3"/>
      <c r="AZ69" s="3">
        <f>SUM(AZ60:AZ68)</f>
        <v>2</v>
      </c>
      <c r="BA69" s="3"/>
      <c r="BB69" s="3">
        <f>SUM(BB60:BB68)</f>
        <v>0</v>
      </c>
      <c r="BC69" s="3"/>
      <c r="BD69" s="3">
        <f>SUM(BD60:BD68)</f>
        <v>4</v>
      </c>
      <c r="BE69" s="3"/>
      <c r="BF69" s="3">
        <f>SUM(BF60:BF68)</f>
        <v>5</v>
      </c>
      <c r="BG69" s="3"/>
      <c r="BH69" s="3">
        <f>SUM(BH60:BH68)</f>
        <v>0</v>
      </c>
      <c r="BI69" s="3"/>
      <c r="BJ69" s="17">
        <f t="shared" ref="BJ69:BL69" si="1728">AVERAGE(BJ60:BJ68)</f>
        <v>0.66666666666666663</v>
      </c>
      <c r="BK69" s="17">
        <f t="shared" si="1728"/>
        <v>0.75</v>
      </c>
      <c r="BL69" s="17">
        <f t="shared" si="1728"/>
        <v>0.5</v>
      </c>
      <c r="BM69" s="17">
        <f>SUM(BM60:BM68)</f>
        <v>35.999999999999993</v>
      </c>
      <c r="BN69" s="1"/>
      <c r="BO69" s="16">
        <f>SUM(BO60:BO68)</f>
        <v>55</v>
      </c>
      <c r="BP69" s="3"/>
      <c r="BQ69" s="3">
        <f>SUM(BQ60:BQ68)</f>
        <v>19</v>
      </c>
      <c r="BR69" s="3"/>
      <c r="BS69" s="3">
        <f>SUM(BS60:BS68)</f>
        <v>1</v>
      </c>
      <c r="BT69" s="3"/>
      <c r="BU69" s="3">
        <f>SUM(BU60:BU68)</f>
        <v>0</v>
      </c>
      <c r="BV69" s="3"/>
      <c r="BW69" s="3"/>
      <c r="BX69" s="3">
        <f>SUM(BX60:BX68)</f>
        <v>0</v>
      </c>
      <c r="BY69" s="3"/>
      <c r="BZ69" s="3">
        <f>SUM(BZ60:BZ68)</f>
        <v>0</v>
      </c>
      <c r="CA69" s="3"/>
      <c r="CB69" s="3">
        <f>SUM(CB60:CB68)</f>
        <v>2</v>
      </c>
      <c r="CC69" s="3"/>
      <c r="CD69" s="3">
        <f>SUM(CD60:CD68)</f>
        <v>7</v>
      </c>
      <c r="CE69" s="3"/>
      <c r="CF69" s="3">
        <f>SUM(CF60:CF68)</f>
        <v>0</v>
      </c>
      <c r="CG69" s="3"/>
      <c r="CH69" s="3">
        <f>SUM(CH60:CH68)</f>
        <v>1</v>
      </c>
      <c r="CI69" s="3"/>
      <c r="CJ69" s="3">
        <f>SUM(CJ60:CJ68)</f>
        <v>6</v>
      </c>
      <c r="CK69" s="3"/>
      <c r="CL69" s="3">
        <f>SUM(CL60:CL68)</f>
        <v>2</v>
      </c>
      <c r="CM69" s="3"/>
      <c r="CN69" s="17">
        <f t="shared" ref="CN69:CP69" si="1729">AVERAGE(CN60:CN68)</f>
        <v>2.3333333333333335</v>
      </c>
      <c r="CO69" s="17">
        <f t="shared" si="1729"/>
        <v>2.25</v>
      </c>
      <c r="CP69" s="17">
        <f t="shared" si="1729"/>
        <v>2</v>
      </c>
      <c r="CQ69" s="17">
        <f>SUM(CQ60:CQ68)</f>
        <v>45.499999999999993</v>
      </c>
      <c r="CR69" s="1"/>
      <c r="CS69" s="16">
        <f>SUM(CS60:CS68)</f>
        <v>42</v>
      </c>
      <c r="CT69" s="3"/>
      <c r="CU69" s="3">
        <f>SUM(CU60:CU68)</f>
        <v>17</v>
      </c>
      <c r="CV69" s="3"/>
      <c r="CW69" s="3">
        <f>SUM(CW60:CW68)</f>
        <v>4</v>
      </c>
      <c r="CX69" s="3"/>
      <c r="CY69" s="3">
        <f>SUM(CY60:CY68)</f>
        <v>1</v>
      </c>
      <c r="CZ69" s="3"/>
      <c r="DA69" s="3"/>
      <c r="DB69" s="3">
        <f>SUM(DB60:DB68)</f>
        <v>0</v>
      </c>
      <c r="DC69" s="3"/>
      <c r="DD69" s="3">
        <f>SUM(DD60:DD68)</f>
        <v>3</v>
      </c>
      <c r="DE69" s="3"/>
      <c r="DF69" s="3">
        <f>SUM(DF60:DF68)</f>
        <v>5</v>
      </c>
      <c r="DG69" s="3"/>
      <c r="DH69" s="3">
        <f>SUM(DH60:DH68)</f>
        <v>1</v>
      </c>
      <c r="DI69" s="3"/>
      <c r="DJ69" s="3">
        <f>SUM(DJ60:DJ68)</f>
        <v>0</v>
      </c>
      <c r="DK69" s="3"/>
      <c r="DL69" s="3">
        <f>SUM(DL60:DL68)</f>
        <v>3</v>
      </c>
      <c r="DM69" s="3"/>
      <c r="DN69" s="3">
        <f>SUM(DN60:DN68)</f>
        <v>4</v>
      </c>
      <c r="DO69" s="3"/>
      <c r="DP69" s="3">
        <f>SUM(DP60:DP68)</f>
        <v>2</v>
      </c>
      <c r="DQ69" s="3"/>
      <c r="DR69" s="17">
        <f t="shared" ref="DR69:DT69" si="1730">AVERAGE(DR60:DR68)</f>
        <v>1.3333333333333333</v>
      </c>
      <c r="DS69" s="17">
        <f t="shared" si="1730"/>
        <v>0.25</v>
      </c>
      <c r="DT69" s="17">
        <f t="shared" si="1730"/>
        <v>1</v>
      </c>
      <c r="DU69" s="17">
        <f>SUM(DU60:DU68)</f>
        <v>33</v>
      </c>
      <c r="DV69" s="18"/>
      <c r="DW69" s="16">
        <f>SUM(DW60:DW68)</f>
        <v>58</v>
      </c>
      <c r="DX69" s="3"/>
      <c r="DY69" s="3">
        <f>SUM(DY60:DY68)</f>
        <v>20</v>
      </c>
      <c r="DZ69" s="3"/>
      <c r="EA69" s="3">
        <f>SUM(EA60:EA68)</f>
        <v>0</v>
      </c>
      <c r="EB69" s="3"/>
      <c r="EC69" s="3">
        <f>SUM(EC60:EC68)</f>
        <v>0</v>
      </c>
      <c r="ED69" s="3"/>
      <c r="EE69" s="3"/>
      <c r="EF69" s="3">
        <f>SUM(EF60:EF68)</f>
        <v>0</v>
      </c>
      <c r="EG69" s="3"/>
      <c r="EH69" s="3">
        <f>SUM(EH60:EH68)</f>
        <v>0</v>
      </c>
      <c r="EI69" s="3"/>
      <c r="EJ69" s="3">
        <f>SUM(EJ60:EJ68)</f>
        <v>2</v>
      </c>
      <c r="EK69" s="3"/>
      <c r="EL69" s="3">
        <f>SUM(EL60:EL68)</f>
        <v>7</v>
      </c>
      <c r="EM69" s="3"/>
      <c r="EN69" s="3">
        <f>SUM(EN60:EN68)</f>
        <v>0</v>
      </c>
      <c r="EO69" s="3"/>
      <c r="EP69" s="3">
        <f>SUM(EP60:EP68)</f>
        <v>0</v>
      </c>
      <c r="EQ69" s="3"/>
      <c r="ER69" s="3">
        <f>SUM(ER60:ER68)</f>
        <v>7</v>
      </c>
      <c r="ES69" s="3"/>
      <c r="ET69" s="3">
        <f>SUM(ET60:ET68)</f>
        <v>2</v>
      </c>
      <c r="EU69" s="3"/>
      <c r="EV69" s="17">
        <f t="shared" ref="EV69:EX69" si="1731">AVERAGE(EV60:EV68)</f>
        <v>1.3333333333333333</v>
      </c>
      <c r="EW69" s="17">
        <f t="shared" si="1731"/>
        <v>3</v>
      </c>
      <c r="EX69" s="17">
        <f t="shared" si="1731"/>
        <v>3.5</v>
      </c>
      <c r="EY69" s="17">
        <f>SUM(EY60:EY68)</f>
        <v>35.5</v>
      </c>
      <c r="EZ69" s="18"/>
      <c r="FA69" s="16">
        <f>SUM(FA60:FA68)</f>
        <v>48</v>
      </c>
      <c r="FB69" s="3"/>
      <c r="FC69" s="3">
        <f>SUM(FC60:FC68)</f>
        <v>16</v>
      </c>
      <c r="FD69" s="3"/>
      <c r="FE69" s="3">
        <f>SUM(FE60:FE68)</f>
        <v>3</v>
      </c>
      <c r="FF69" s="3"/>
      <c r="FG69" s="3">
        <f>SUM(FG60:FG68)</f>
        <v>0</v>
      </c>
      <c r="FH69" s="3"/>
      <c r="FI69" s="3"/>
      <c r="FJ69" s="3">
        <f>SUM(FJ60:FJ68)</f>
        <v>1</v>
      </c>
      <c r="FK69" s="3"/>
      <c r="FL69" s="3">
        <f>SUM(FL60:FL68)</f>
        <v>2</v>
      </c>
      <c r="FM69" s="3"/>
      <c r="FN69" s="3">
        <f>SUM(FN60:FN68)</f>
        <v>2</v>
      </c>
      <c r="FO69" s="3"/>
      <c r="FP69" s="3">
        <f>SUM(FP60:FP68)</f>
        <v>4</v>
      </c>
      <c r="FQ69" s="3"/>
      <c r="FR69" s="3">
        <f>SUM(FR60:FR68)</f>
        <v>0</v>
      </c>
      <c r="FS69" s="3"/>
      <c r="FT69" s="3">
        <f>SUM(FT60:FT68)</f>
        <v>3</v>
      </c>
      <c r="FU69" s="3"/>
      <c r="FV69" s="3">
        <f>SUM(FV60:FV68)</f>
        <v>5</v>
      </c>
      <c r="FW69" s="3"/>
      <c r="FX69" s="3">
        <f>SUM(FX60:FX68)</f>
        <v>1</v>
      </c>
      <c r="FY69" s="3"/>
      <c r="FZ69" s="17">
        <f t="shared" ref="FZ69:GB69" si="1732">AVERAGE(FZ60:FZ68)</f>
        <v>0.66666666666666663</v>
      </c>
      <c r="GA69" s="17">
        <f t="shared" si="1732"/>
        <v>1</v>
      </c>
      <c r="GB69" s="17">
        <f t="shared" si="1732"/>
        <v>3.5</v>
      </c>
      <c r="GC69" s="17">
        <f>SUM(GC60:GC68)</f>
        <v>36.5</v>
      </c>
      <c r="GD69" s="18"/>
      <c r="GE69" s="16">
        <f>SUM(GE60:GE68)</f>
        <v>61</v>
      </c>
      <c r="GF69" s="3"/>
      <c r="GG69" s="3">
        <f>SUM(GG60:GG68)</f>
        <v>24</v>
      </c>
      <c r="GH69" s="3"/>
      <c r="GI69" s="3">
        <f>SUM(GI60:GI68)</f>
        <v>0</v>
      </c>
      <c r="GJ69" s="3"/>
      <c r="GK69" s="3">
        <f>SUM(GK60:GK68)</f>
        <v>0</v>
      </c>
      <c r="GL69" s="3"/>
      <c r="GM69" s="3"/>
      <c r="GN69" s="3">
        <f>SUM(GN60:GN68)</f>
        <v>0</v>
      </c>
      <c r="GO69" s="3"/>
      <c r="GP69" s="3">
        <f>SUM(GP60:GP68)</f>
        <v>0</v>
      </c>
      <c r="GQ69" s="3"/>
      <c r="GR69" s="3">
        <f>SUM(GR60:GR68)</f>
        <v>2</v>
      </c>
      <c r="GS69" s="3"/>
      <c r="GT69" s="3">
        <f>SUM(GT60:GT68)</f>
        <v>7</v>
      </c>
      <c r="GU69" s="3"/>
      <c r="GV69" s="3">
        <f>SUM(GV60:GV68)</f>
        <v>0</v>
      </c>
      <c r="GW69" s="3"/>
      <c r="GX69" s="3">
        <f>SUM(GX60:GX68)</f>
        <v>0</v>
      </c>
      <c r="GY69" s="3"/>
      <c r="GZ69" s="3">
        <f>SUM(GZ60:GZ68)</f>
        <v>3</v>
      </c>
      <c r="HA69" s="3"/>
      <c r="HB69" s="3">
        <f>SUM(HB60:HB68)</f>
        <v>6</v>
      </c>
      <c r="HC69" s="3"/>
      <c r="HD69" s="17">
        <f t="shared" ref="HD69:HF69" si="1733">AVERAGE(HD60:HD68)</f>
        <v>3</v>
      </c>
      <c r="HE69" s="17">
        <f t="shared" si="1733"/>
        <v>2.75</v>
      </c>
      <c r="HF69" s="17">
        <f t="shared" si="1733"/>
        <v>3</v>
      </c>
      <c r="HG69" s="17">
        <f>SUM(HG60:HG68)</f>
        <v>45</v>
      </c>
      <c r="HH69" s="18"/>
      <c r="HI69" s="16">
        <f>SUM(HI60:HI68)</f>
        <v>44</v>
      </c>
      <c r="HJ69" s="3"/>
      <c r="HK69" s="3">
        <f>SUM(HK60:HK68)</f>
        <v>15</v>
      </c>
      <c r="HL69" s="3"/>
      <c r="HM69" s="3">
        <f>SUM(HM60:HM68)</f>
        <v>2</v>
      </c>
      <c r="HN69" s="3"/>
      <c r="HO69" s="3">
        <f>SUM(HO60:HO68)</f>
        <v>2</v>
      </c>
      <c r="HP69" s="3"/>
      <c r="HQ69" s="3"/>
      <c r="HR69" s="3">
        <f>SUM(HR60:HR68)</f>
        <v>0</v>
      </c>
      <c r="HS69" s="3"/>
      <c r="HT69" s="3">
        <f>SUM(HT60:HT68)</f>
        <v>2</v>
      </c>
      <c r="HU69" s="3"/>
      <c r="HV69" s="3">
        <f>SUM(HV60:HV68)</f>
        <v>5</v>
      </c>
      <c r="HW69" s="3"/>
      <c r="HX69" s="3">
        <f>SUM(HX60:HX68)</f>
        <v>2</v>
      </c>
      <c r="HY69" s="3"/>
      <c r="HZ69" s="3">
        <f>SUM(HZ60:HZ68)</f>
        <v>0</v>
      </c>
      <c r="IA69" s="3"/>
      <c r="IB69" s="3">
        <f>SUM(IB60:IB68)</f>
        <v>5</v>
      </c>
      <c r="IC69" s="3"/>
      <c r="ID69" s="3">
        <f>SUM(ID60:ID68)</f>
        <v>2</v>
      </c>
      <c r="IE69" s="3"/>
      <c r="IF69" s="3">
        <f>SUM(IF60:IF68)</f>
        <v>2</v>
      </c>
      <c r="IG69" s="3"/>
      <c r="IH69" s="17">
        <f t="shared" ref="IH69:IJ69" si="1734">AVERAGE(IH60:IH68)</f>
        <v>1</v>
      </c>
      <c r="II69" s="17">
        <f t="shared" si="1734"/>
        <v>1</v>
      </c>
      <c r="IJ69" s="17">
        <f t="shared" si="1734"/>
        <v>1</v>
      </c>
      <c r="IK69" s="17">
        <f>SUM(IK60:IK68)</f>
        <v>36</v>
      </c>
      <c r="IL69" s="18"/>
      <c r="IM69" s="16">
        <f>SUM(IM60:IM68)</f>
        <v>66</v>
      </c>
      <c r="IN69" s="3"/>
      <c r="IO69" s="3">
        <f>SUM(IO60:IO68)</f>
        <v>20</v>
      </c>
      <c r="IP69" s="3"/>
      <c r="IQ69" s="3">
        <f>SUM(IQ60:IQ68)</f>
        <v>0</v>
      </c>
      <c r="IR69" s="3"/>
      <c r="IS69" s="3">
        <f>SUM(IS60:IS68)</f>
        <v>0</v>
      </c>
      <c r="IT69" s="3"/>
      <c r="IU69" s="3"/>
      <c r="IV69" s="3">
        <f>SUM(IV60:IV68)</f>
        <v>0</v>
      </c>
      <c r="IW69" s="3"/>
      <c r="IX69" s="3">
        <f>SUM(IX60:IX68)</f>
        <v>0</v>
      </c>
      <c r="IY69" s="3"/>
      <c r="IZ69" s="3">
        <f>SUM(IZ60:IZ68)</f>
        <v>1</v>
      </c>
      <c r="JA69" s="3"/>
      <c r="JB69" s="3">
        <f>SUM(JB60:JB68)</f>
        <v>8</v>
      </c>
      <c r="JC69" s="3"/>
      <c r="JD69" s="3">
        <f>SUM(JD60:JD68)</f>
        <v>0</v>
      </c>
      <c r="JE69" s="3"/>
      <c r="JF69" s="3">
        <f>SUM(JF60:JF68)</f>
        <v>3</v>
      </c>
      <c r="JG69" s="3"/>
      <c r="JH69" s="3">
        <f>SUM(JH60:JH68)</f>
        <v>3</v>
      </c>
      <c r="JI69" s="3"/>
      <c r="JJ69" s="3">
        <f>SUM(JJ60:JJ68)</f>
        <v>3</v>
      </c>
      <c r="JK69" s="3"/>
      <c r="JL69" s="17">
        <f t="shared" ref="JL69:JN69" si="1735">AVERAGE(JL60:JL68)</f>
        <v>4</v>
      </c>
      <c r="JM69" s="17">
        <f t="shared" si="1735"/>
        <v>3.25</v>
      </c>
      <c r="JN69" s="17">
        <f t="shared" si="1735"/>
        <v>3</v>
      </c>
      <c r="JO69" s="17">
        <f>SUM(JO60:JO68)</f>
        <v>44.999999999999986</v>
      </c>
      <c r="JP69" s="18"/>
      <c r="JQ69" s="16">
        <f>SUM(JQ60:JQ68)</f>
        <v>0</v>
      </c>
      <c r="JR69" s="3"/>
      <c r="JS69" s="3">
        <f>SUM(JS60:JS68)</f>
        <v>0</v>
      </c>
      <c r="JT69" s="3"/>
      <c r="JU69" s="3">
        <f>SUM(JU60:JU68)</f>
        <v>9</v>
      </c>
      <c r="JV69" s="3"/>
      <c r="JW69" s="3">
        <f>SUM(JW60:JW68)</f>
        <v>0</v>
      </c>
      <c r="JX69" s="3"/>
      <c r="JY69" s="3"/>
      <c r="JZ69" s="3">
        <f>SUM(JZ60:JZ68)</f>
        <v>0</v>
      </c>
      <c r="KA69" s="3"/>
      <c r="KB69" s="3">
        <f>SUM(KB60:KB68)</f>
        <v>0</v>
      </c>
      <c r="KC69" s="3"/>
      <c r="KD69" s="3">
        <f>SUM(KD60:KD68)</f>
        <v>0</v>
      </c>
      <c r="KE69" s="3"/>
      <c r="KF69" s="3">
        <f>SUM(KF60:KF68)</f>
        <v>0</v>
      </c>
      <c r="KG69" s="3"/>
      <c r="KH69" s="3">
        <f>SUM(KH60:KH68)</f>
        <v>9</v>
      </c>
      <c r="KI69" s="3"/>
      <c r="KJ69" s="3">
        <f>SUM(KJ60:KJ68)</f>
        <v>0</v>
      </c>
      <c r="KK69" s="3"/>
      <c r="KL69" s="3">
        <f>SUM(KL60:KL68)</f>
        <v>0</v>
      </c>
      <c r="KM69" s="3"/>
      <c r="KN69" s="3">
        <f>SUM(KN60:KN68)</f>
        <v>0</v>
      </c>
      <c r="KO69" s="3"/>
      <c r="KP69" s="17">
        <f t="shared" ref="KP69:KR69" si="1736">AVERAGE(KP60:KP68)</f>
        <v>-3</v>
      </c>
      <c r="KQ69" s="17">
        <f t="shared" si="1736"/>
        <v>-4</v>
      </c>
      <c r="KR69" s="17">
        <f t="shared" si="1736"/>
        <v>-5</v>
      </c>
      <c r="KS69" s="17" t="e">
        <f>SUM(KS60:KS68)</f>
        <v>#REF!</v>
      </c>
      <c r="KT69" s="18"/>
    </row>
    <row r="70" spans="1:333" ht="13.8" thickBot="1" x14ac:dyDescent="0.3">
      <c r="A70" s="180"/>
      <c r="B70" s="26" t="s">
        <v>27</v>
      </c>
      <c r="C70" s="89" t="s">
        <v>25</v>
      </c>
      <c r="D70" s="89"/>
      <c r="E70" s="2">
        <f>E59+E69</f>
        <v>72</v>
      </c>
      <c r="F70" s="4"/>
      <c r="G70" s="22">
        <f>G59+G69</f>
        <v>90</v>
      </c>
      <c r="H70" s="22"/>
      <c r="I70" s="22">
        <f>I59+I69</f>
        <v>37</v>
      </c>
      <c r="J70" s="22"/>
      <c r="K70" s="22">
        <f>K59+K69</f>
        <v>7</v>
      </c>
      <c r="L70" s="22"/>
      <c r="M70" s="22">
        <f>M59+M69</f>
        <v>1</v>
      </c>
      <c r="N70" s="22"/>
      <c r="O70" s="22">
        <f>I70-(0.45*K70+22.5)</f>
        <v>11.350000000000001</v>
      </c>
      <c r="P70" s="22">
        <f>P59+P69</f>
        <v>1</v>
      </c>
      <c r="Q70" s="22"/>
      <c r="R70" s="22">
        <f>R59+R69</f>
        <v>5</v>
      </c>
      <c r="S70" s="22"/>
      <c r="T70" s="22">
        <f>T59+T69</f>
        <v>8</v>
      </c>
      <c r="U70" s="22"/>
      <c r="V70" s="22">
        <f>V59+V69</f>
        <v>4</v>
      </c>
      <c r="W70" s="22"/>
      <c r="X70" s="22">
        <f>X59+X69</f>
        <v>1</v>
      </c>
      <c r="Y70" s="22"/>
      <c r="Z70" s="22">
        <f>Z59+Z69</f>
        <v>2</v>
      </c>
      <c r="AA70" s="22"/>
      <c r="AB70" s="22">
        <f>AB59+AB69</f>
        <v>10</v>
      </c>
      <c r="AC70" s="22"/>
      <c r="AD70" s="22">
        <f>AD59+AD69</f>
        <v>5</v>
      </c>
      <c r="AE70" s="22"/>
      <c r="AF70" s="23">
        <f>AVERAGE(AF50:AF58,AF60:AF68)</f>
        <v>0</v>
      </c>
      <c r="AG70" s="23">
        <f>AVERAGE(AG50:AG58,AG60:AG68)</f>
        <v>1</v>
      </c>
      <c r="AH70" s="23">
        <f>AVERAGE(AH50:AH58,AH60:AH68)</f>
        <v>2</v>
      </c>
      <c r="AI70" s="23">
        <f>AI59+AI69</f>
        <v>75</v>
      </c>
      <c r="AJ70" s="21"/>
      <c r="AK70" s="24">
        <f>AK59+AK69</f>
        <v>86</v>
      </c>
      <c r="AL70" s="22"/>
      <c r="AM70" s="22">
        <f>AM59+AM69</f>
        <v>29</v>
      </c>
      <c r="AN70" s="22"/>
      <c r="AO70" s="22">
        <f>AO59+AO69</f>
        <v>8</v>
      </c>
      <c r="AP70" s="22"/>
      <c r="AQ70" s="22">
        <f>AQ59+AQ69</f>
        <v>2</v>
      </c>
      <c r="AR70" s="22"/>
      <c r="AS70" s="22">
        <f>AM70-(0.45*AO70+22.5)</f>
        <v>2.8999999999999986</v>
      </c>
      <c r="AT70" s="22">
        <f>AT59+AT69</f>
        <v>0</v>
      </c>
      <c r="AU70" s="22"/>
      <c r="AV70" s="22">
        <f>AV59+AV69</f>
        <v>10</v>
      </c>
      <c r="AW70" s="22"/>
      <c r="AX70" s="22">
        <f>AX59+AX69</f>
        <v>4</v>
      </c>
      <c r="AY70" s="22"/>
      <c r="AZ70" s="22">
        <f>AZ59+AZ69</f>
        <v>4</v>
      </c>
      <c r="BA70" s="22"/>
      <c r="BB70" s="22">
        <f>BB59+BB69</f>
        <v>0</v>
      </c>
      <c r="BC70" s="22"/>
      <c r="BD70" s="22">
        <f>BD59+BD69</f>
        <v>7</v>
      </c>
      <c r="BE70" s="22"/>
      <c r="BF70" s="22">
        <f>BF59+BF69</f>
        <v>11</v>
      </c>
      <c r="BG70" s="22"/>
      <c r="BH70" s="22">
        <f>BH59+BH69</f>
        <v>0</v>
      </c>
      <c r="BI70" s="22"/>
      <c r="BJ70" s="23">
        <f>AVERAGE(BJ50:BJ58,BJ60:BJ68)</f>
        <v>1</v>
      </c>
      <c r="BK70" s="23">
        <f>AVERAGE(BK50:BK58,BK60:BK68)</f>
        <v>0.4</v>
      </c>
      <c r="BL70" s="23">
        <f>AVERAGE(BL50:BL58,BL60:BL68)</f>
        <v>1.5</v>
      </c>
      <c r="BM70" s="23">
        <f>BM59+BM69</f>
        <v>75.999999999999986</v>
      </c>
      <c r="BN70" s="21"/>
      <c r="BO70" s="24">
        <f>BO59+BO69</f>
        <v>111</v>
      </c>
      <c r="BP70" s="22"/>
      <c r="BQ70" s="22">
        <f>BQ59+BQ69</f>
        <v>40</v>
      </c>
      <c r="BR70" s="22"/>
      <c r="BS70" s="22">
        <f>BS59+BS69</f>
        <v>2</v>
      </c>
      <c r="BT70" s="22"/>
      <c r="BU70" s="22">
        <f>BU59+BU69</f>
        <v>0</v>
      </c>
      <c r="BV70" s="22"/>
      <c r="BW70" s="22">
        <f>BQ70-(0.45*BS70+22.5)</f>
        <v>16.600000000000001</v>
      </c>
      <c r="BX70" s="22">
        <f>BX59+BX69</f>
        <v>0</v>
      </c>
      <c r="BY70" s="22"/>
      <c r="BZ70" s="22">
        <f>BZ59+BZ69</f>
        <v>0</v>
      </c>
      <c r="CA70" s="22"/>
      <c r="CB70" s="22">
        <f>CB59+CB69</f>
        <v>7</v>
      </c>
      <c r="CC70" s="22"/>
      <c r="CD70" s="22">
        <f>CD59+CD69</f>
        <v>11</v>
      </c>
      <c r="CE70" s="22"/>
      <c r="CF70" s="22">
        <f>CF59+CF69</f>
        <v>0</v>
      </c>
      <c r="CG70" s="22"/>
      <c r="CH70" s="22">
        <f>CH59+CH69</f>
        <v>1</v>
      </c>
      <c r="CI70" s="22"/>
      <c r="CJ70" s="22">
        <f>CJ59+CJ69</f>
        <v>12</v>
      </c>
      <c r="CK70" s="22"/>
      <c r="CL70" s="22">
        <f>CL59+CL69</f>
        <v>5</v>
      </c>
      <c r="CM70" s="22"/>
      <c r="CN70" s="23">
        <f>AVERAGE(CN50:CN58,CN60:CN68)</f>
        <v>2</v>
      </c>
      <c r="CO70" s="23">
        <f>AVERAGE(CO50:CO58,CO60:CO68)</f>
        <v>2.2999999999999998</v>
      </c>
      <c r="CP70" s="23">
        <f>AVERAGE(CP50:CP58,CP60:CP68)</f>
        <v>2</v>
      </c>
      <c r="CQ70" s="23">
        <f>CQ59+CQ69</f>
        <v>91.999999999999986</v>
      </c>
      <c r="CR70" s="21"/>
      <c r="CS70" s="24">
        <f>CS59+CS69</f>
        <v>84</v>
      </c>
      <c r="CT70" s="22"/>
      <c r="CU70" s="22">
        <f>CU59+CU69</f>
        <v>32</v>
      </c>
      <c r="CV70" s="22"/>
      <c r="CW70" s="22">
        <f>CW59+CW69</f>
        <v>6</v>
      </c>
      <c r="CX70" s="22"/>
      <c r="CY70" s="22">
        <f>CY59+CY69</f>
        <v>4</v>
      </c>
      <c r="CZ70" s="22"/>
      <c r="DA70" s="22">
        <f>CU70-(0.45*CW70+22.5)</f>
        <v>6.8000000000000007</v>
      </c>
      <c r="DB70" s="22">
        <f>DB59+DB69</f>
        <v>0</v>
      </c>
      <c r="DC70" s="22"/>
      <c r="DD70" s="22">
        <f>DD59+DD69</f>
        <v>8</v>
      </c>
      <c r="DE70" s="22"/>
      <c r="DF70" s="22">
        <f>DF59+DF69</f>
        <v>8</v>
      </c>
      <c r="DG70" s="22"/>
      <c r="DH70" s="22">
        <f>DH59+DH69</f>
        <v>2</v>
      </c>
      <c r="DI70" s="22"/>
      <c r="DJ70" s="22">
        <f>DJ59+DJ69</f>
        <v>0</v>
      </c>
      <c r="DK70" s="22"/>
      <c r="DL70" s="22">
        <f>DL59+DL69</f>
        <v>7</v>
      </c>
      <c r="DM70" s="22"/>
      <c r="DN70" s="22">
        <f>DN59+DN69</f>
        <v>8</v>
      </c>
      <c r="DO70" s="22"/>
      <c r="DP70" s="22">
        <f>DP59+DP69</f>
        <v>3</v>
      </c>
      <c r="DQ70" s="22"/>
      <c r="DR70" s="23">
        <f>AVERAGE(DR50:DR58,DR60:DR68)</f>
        <v>1</v>
      </c>
      <c r="DS70" s="23">
        <f>AVERAGE(DS50:DS58,DS60:DS68)</f>
        <v>0.5</v>
      </c>
      <c r="DT70" s="23">
        <f>AVERAGE(DT50:DT58,DT60:DT68)</f>
        <v>0.75</v>
      </c>
      <c r="DU70" s="23">
        <f>DU59+DU69</f>
        <v>66</v>
      </c>
      <c r="DV70" s="25"/>
      <c r="DW70" s="24">
        <f>DW59+DW69</f>
        <v>119</v>
      </c>
      <c r="DX70" s="22"/>
      <c r="DY70" s="22">
        <f>DY59+DY69</f>
        <v>33</v>
      </c>
      <c r="DZ70" s="22"/>
      <c r="EA70" s="22">
        <f>EA59+EA69</f>
        <v>0</v>
      </c>
      <c r="EB70" s="22"/>
      <c r="EC70" s="22">
        <f>EC59+EC69</f>
        <v>1</v>
      </c>
      <c r="ED70" s="22"/>
      <c r="EE70" s="22">
        <f>DY70-(0.45*EA70+22.5)</f>
        <v>10.5</v>
      </c>
      <c r="EF70" s="22">
        <f>EF59+EF69</f>
        <v>0</v>
      </c>
      <c r="EG70" s="22"/>
      <c r="EH70" s="22">
        <f>EH59+EH69</f>
        <v>1</v>
      </c>
      <c r="EI70" s="22"/>
      <c r="EJ70" s="22">
        <f>EJ59+EJ69</f>
        <v>3</v>
      </c>
      <c r="EK70" s="22"/>
      <c r="EL70" s="22">
        <f>EL59+EL69</f>
        <v>14</v>
      </c>
      <c r="EM70" s="22"/>
      <c r="EN70" s="22">
        <f>EN59+EN69</f>
        <v>0</v>
      </c>
      <c r="EO70" s="22"/>
      <c r="EP70" s="22">
        <f>EP59+EP69</f>
        <v>5</v>
      </c>
      <c r="EQ70" s="22"/>
      <c r="ER70" s="22">
        <f>ER59+ER69</f>
        <v>11</v>
      </c>
      <c r="ES70" s="22"/>
      <c r="ET70" s="22">
        <f>ET59+ET69</f>
        <v>2</v>
      </c>
      <c r="EU70" s="22"/>
      <c r="EV70" s="23">
        <f>AVERAGE(EV50:EV58,EV60:EV68)</f>
        <v>1.25</v>
      </c>
      <c r="EW70" s="23">
        <f>AVERAGE(EW50:EW58,EW60:EW68)</f>
        <v>2.8</v>
      </c>
      <c r="EX70" s="23">
        <f>AVERAGE(EX50:EX58,EX60:EX68)</f>
        <v>3.5</v>
      </c>
      <c r="EY70" s="23">
        <f>EY59+EY69</f>
        <v>74</v>
      </c>
      <c r="EZ70" s="25"/>
      <c r="FA70" s="24">
        <f>FA59+FA69</f>
        <v>97</v>
      </c>
      <c r="FB70" s="22"/>
      <c r="FC70" s="22">
        <f>FC59+FC69</f>
        <v>36</v>
      </c>
      <c r="FD70" s="22"/>
      <c r="FE70" s="22">
        <f>FE59+FE69</f>
        <v>4</v>
      </c>
      <c r="FF70" s="22"/>
      <c r="FG70" s="22">
        <f>FG59+FG69</f>
        <v>0</v>
      </c>
      <c r="FH70" s="22"/>
      <c r="FI70" s="22">
        <f>FC70-(0.45*FE70+22.5)</f>
        <v>11.7</v>
      </c>
      <c r="FJ70" s="22">
        <f>FJ59+FJ69</f>
        <v>1</v>
      </c>
      <c r="FK70" s="22"/>
      <c r="FL70" s="22">
        <f>FL59+FL69</f>
        <v>3</v>
      </c>
      <c r="FM70" s="22"/>
      <c r="FN70" s="22">
        <f>FN59+FN69</f>
        <v>6</v>
      </c>
      <c r="FO70" s="22"/>
      <c r="FP70" s="22">
        <f>FP59+FP69</f>
        <v>8</v>
      </c>
      <c r="FQ70" s="22"/>
      <c r="FR70" s="22">
        <f>FR59+FR69</f>
        <v>0</v>
      </c>
      <c r="FS70" s="22"/>
      <c r="FT70" s="22">
        <f>FT59+FT69</f>
        <v>4</v>
      </c>
      <c r="FU70" s="22"/>
      <c r="FV70" s="22">
        <f>FV59+FV69</f>
        <v>10</v>
      </c>
      <c r="FW70" s="22"/>
      <c r="FX70" s="22">
        <f>FX59+FX69</f>
        <v>4</v>
      </c>
      <c r="FY70" s="22"/>
      <c r="FZ70" s="23">
        <f>AVERAGE(FZ50:FZ58,FZ60:FZ68)</f>
        <v>1</v>
      </c>
      <c r="GA70" s="23">
        <f>AVERAGE(GA50:GA58,GA60:GA68)</f>
        <v>1.1000000000000001</v>
      </c>
      <c r="GB70" s="23">
        <f>AVERAGE(GB50:GB58,GB60:GB68)</f>
        <v>2.5</v>
      </c>
      <c r="GC70" s="23">
        <f>GC59+GC69</f>
        <v>74</v>
      </c>
      <c r="GD70" s="25"/>
      <c r="GE70" s="24">
        <f>GE59+GE69</f>
        <v>119</v>
      </c>
      <c r="GF70" s="22"/>
      <c r="GG70" s="22">
        <f>GG59+GG69</f>
        <v>42</v>
      </c>
      <c r="GH70" s="22"/>
      <c r="GI70" s="22">
        <f>GI59+GI69</f>
        <v>0</v>
      </c>
      <c r="GJ70" s="22"/>
      <c r="GK70" s="22">
        <f>GK59+GK69</f>
        <v>0</v>
      </c>
      <c r="GL70" s="22"/>
      <c r="GM70" s="22">
        <f>GG70-(0.45*GI70+22.5)</f>
        <v>19.5</v>
      </c>
      <c r="GN70" s="22">
        <f>GN59+GN69</f>
        <v>0</v>
      </c>
      <c r="GO70" s="22"/>
      <c r="GP70" s="22">
        <f>GP59+GP69</f>
        <v>0</v>
      </c>
      <c r="GQ70" s="22"/>
      <c r="GR70" s="22">
        <f>GR59+GR69</f>
        <v>4</v>
      </c>
      <c r="GS70" s="22"/>
      <c r="GT70" s="22">
        <f>GT59+GT69</f>
        <v>14</v>
      </c>
      <c r="GU70" s="22"/>
      <c r="GV70" s="22">
        <f>GV59+GV69</f>
        <v>0</v>
      </c>
      <c r="GW70" s="22"/>
      <c r="GX70" s="22">
        <f>GX59+GX69</f>
        <v>0</v>
      </c>
      <c r="GY70" s="22"/>
      <c r="GZ70" s="22">
        <f>GZ59+GZ69</f>
        <v>12</v>
      </c>
      <c r="HA70" s="22"/>
      <c r="HB70" s="22">
        <f>HB59+HB69</f>
        <v>6</v>
      </c>
      <c r="HC70" s="22"/>
      <c r="HD70" s="23">
        <f>AVERAGE(HD50:HD58,HD60:HD68)</f>
        <v>2.5</v>
      </c>
      <c r="HE70" s="23">
        <f>AVERAGE(HE50:HE58,HE60:HE68)</f>
        <v>2.6</v>
      </c>
      <c r="HF70" s="23">
        <f>AVERAGE(HF50:HF58,HF60:HF68)</f>
        <v>2.75</v>
      </c>
      <c r="HG70" s="23">
        <f>HG59+HG69</f>
        <v>87</v>
      </c>
      <c r="HH70" s="25"/>
      <c r="HI70" s="24">
        <f>HI59+HI69</f>
        <v>86</v>
      </c>
      <c r="HJ70" s="22"/>
      <c r="HK70" s="22">
        <f>HK59+HK69</f>
        <v>29</v>
      </c>
      <c r="HL70" s="22"/>
      <c r="HM70" s="22">
        <f>HM59+HM69</f>
        <v>5</v>
      </c>
      <c r="HN70" s="22"/>
      <c r="HO70" s="22">
        <f>HO59+HO69</f>
        <v>4</v>
      </c>
      <c r="HP70" s="22"/>
      <c r="HQ70" s="22">
        <f>HK70-(0.45*HM70+22.5)</f>
        <v>4.25</v>
      </c>
      <c r="HR70" s="22">
        <f>HR59+HR69</f>
        <v>0</v>
      </c>
      <c r="HS70" s="22"/>
      <c r="HT70" s="22">
        <f>HT59+HT69</f>
        <v>7</v>
      </c>
      <c r="HU70" s="22"/>
      <c r="HV70" s="22">
        <f>HV59+HV69</f>
        <v>8</v>
      </c>
      <c r="HW70" s="22"/>
      <c r="HX70" s="22">
        <f>HX59+HX69</f>
        <v>3</v>
      </c>
      <c r="HY70" s="22"/>
      <c r="HZ70" s="22">
        <f>HZ59+HZ69</f>
        <v>1</v>
      </c>
      <c r="IA70" s="22"/>
      <c r="IB70" s="22">
        <f>IB59+IB69</f>
        <v>7</v>
      </c>
      <c r="IC70" s="22"/>
      <c r="ID70" s="22">
        <f>ID59+ID69</f>
        <v>8</v>
      </c>
      <c r="IE70" s="22"/>
      <c r="IF70" s="22">
        <f>IF59+IF69</f>
        <v>2</v>
      </c>
      <c r="IG70" s="22"/>
      <c r="IH70" s="23">
        <f>AVERAGE(IH50:IH58,IH60:IH68)</f>
        <v>1</v>
      </c>
      <c r="II70" s="23">
        <f>AVERAGE(II50:II58,II60:II68)</f>
        <v>0.8</v>
      </c>
      <c r="IJ70" s="23">
        <f>AVERAGE(IJ50:IJ58,IJ60:IJ68)</f>
        <v>0.5</v>
      </c>
      <c r="IK70" s="23">
        <f>IK59+IK69</f>
        <v>70</v>
      </c>
      <c r="IL70" s="25"/>
      <c r="IM70" s="24">
        <f>IM59+IM69</f>
        <v>127</v>
      </c>
      <c r="IN70" s="22"/>
      <c r="IO70" s="22">
        <f>IO59+IO69</f>
        <v>41</v>
      </c>
      <c r="IP70" s="22"/>
      <c r="IQ70" s="22">
        <f>IQ59+IQ69</f>
        <v>1</v>
      </c>
      <c r="IR70" s="22"/>
      <c r="IS70" s="22">
        <f>IS59+IS69</f>
        <v>1</v>
      </c>
      <c r="IT70" s="22"/>
      <c r="IU70" s="22">
        <f>IO70-(0.45*IQ70+22.5)</f>
        <v>18.05</v>
      </c>
      <c r="IV70" s="22">
        <f>IV59+IV69</f>
        <v>0</v>
      </c>
      <c r="IW70" s="22"/>
      <c r="IX70" s="22">
        <f>IX59+IX69</f>
        <v>1</v>
      </c>
      <c r="IY70" s="22"/>
      <c r="IZ70" s="22">
        <f>IZ59+IZ69</f>
        <v>2</v>
      </c>
      <c r="JA70" s="22"/>
      <c r="JB70" s="22">
        <f>JB59+JB69</f>
        <v>15</v>
      </c>
      <c r="JC70" s="22"/>
      <c r="JD70" s="22">
        <f>JD59+JD69</f>
        <v>0</v>
      </c>
      <c r="JE70" s="22"/>
      <c r="JF70" s="22">
        <f>JF59+JF69</f>
        <v>4</v>
      </c>
      <c r="JG70" s="22"/>
      <c r="JH70" s="22">
        <f>JH59+JH69</f>
        <v>7</v>
      </c>
      <c r="JI70" s="22"/>
      <c r="JJ70" s="22">
        <f>JJ59+JJ69</f>
        <v>7</v>
      </c>
      <c r="JK70" s="22"/>
      <c r="JL70" s="23">
        <f>AVERAGE(JL50:JL58,JL60:JL68)</f>
        <v>3</v>
      </c>
      <c r="JM70" s="23">
        <f>AVERAGE(JM50:JM58,JM60:JM68)</f>
        <v>2.9</v>
      </c>
      <c r="JN70" s="23">
        <f>AVERAGE(JN50:JN58,JN60:JN68)</f>
        <v>3.5</v>
      </c>
      <c r="JO70" s="23">
        <f>JO59+JO69</f>
        <v>84.999999999999972</v>
      </c>
      <c r="JP70" s="25"/>
      <c r="JQ70" s="24">
        <f>JQ59+JQ69</f>
        <v>72</v>
      </c>
      <c r="JR70" s="22"/>
      <c r="JS70" s="22">
        <f>JS59+JS69</f>
        <v>22</v>
      </c>
      <c r="JT70" s="22"/>
      <c r="JU70" s="22">
        <f>JU59+JU69</f>
        <v>18</v>
      </c>
      <c r="JV70" s="22"/>
      <c r="JW70" s="22">
        <f>JW59+JW69</f>
        <v>0</v>
      </c>
      <c r="JX70" s="22"/>
      <c r="JY70" s="22">
        <f>JS70-(0.45*JU70+22.5)</f>
        <v>-8.6000000000000014</v>
      </c>
      <c r="JZ70" s="22">
        <f>JZ59+JZ69</f>
        <v>0</v>
      </c>
      <c r="KA70" s="22"/>
      <c r="KB70" s="22">
        <f>KB59+KB69</f>
        <v>0</v>
      </c>
      <c r="KC70" s="22"/>
      <c r="KD70" s="22">
        <f>KD59+KD69</f>
        <v>0</v>
      </c>
      <c r="KE70" s="22"/>
      <c r="KF70" s="22">
        <f>KF59+KF69</f>
        <v>0</v>
      </c>
      <c r="KG70" s="22"/>
      <c r="KH70" s="22">
        <f>KH59+KH69</f>
        <v>18</v>
      </c>
      <c r="KI70" s="22"/>
      <c r="KJ70" s="22">
        <f>KJ59+KJ69</f>
        <v>0</v>
      </c>
      <c r="KK70" s="22"/>
      <c r="KL70" s="22">
        <f>KL59+KL69</f>
        <v>0</v>
      </c>
      <c r="KM70" s="22"/>
      <c r="KN70" s="22">
        <f>KN59+KN69</f>
        <v>0</v>
      </c>
      <c r="KO70" s="22"/>
      <c r="KP70" s="23">
        <f>AVERAGE(KP50:KP58,KP60:KP68)</f>
        <v>-3</v>
      </c>
      <c r="KQ70" s="23">
        <f>AVERAGE(KQ50:KQ58,KQ60:KQ68)</f>
        <v>-4</v>
      </c>
      <c r="KR70" s="23">
        <f>AVERAGE(KR50:KR58,KR60:KR68)</f>
        <v>-5</v>
      </c>
      <c r="KS70" s="23" t="e">
        <f>KS59+KS69</f>
        <v>#REF!</v>
      </c>
      <c r="KT70" s="25"/>
    </row>
    <row r="71" spans="1:333" ht="14.4" thickTop="1" thickBot="1" x14ac:dyDescent="0.3">
      <c r="A71" s="35" t="s">
        <v>31</v>
      </c>
      <c r="B71" s="28" t="s">
        <v>32</v>
      </c>
      <c r="C71" s="29" t="s">
        <v>30</v>
      </c>
      <c r="D71" s="29"/>
      <c r="E71" s="31">
        <f>E47+E70</f>
        <v>216</v>
      </c>
      <c r="F71" s="30"/>
      <c r="G71" s="37">
        <f>G47+G70</f>
        <v>262</v>
      </c>
      <c r="H71" s="37"/>
      <c r="I71" s="37">
        <f>I47+I70</f>
        <v>104</v>
      </c>
      <c r="J71" s="37"/>
      <c r="K71" s="37">
        <f>K47+K70</f>
        <v>18</v>
      </c>
      <c r="L71" s="37"/>
      <c r="M71" s="37">
        <f>M47+M70</f>
        <v>6</v>
      </c>
      <c r="N71" s="37"/>
      <c r="O71" s="37">
        <f>O47+O70</f>
        <v>28.400000000000002</v>
      </c>
      <c r="P71" s="37">
        <f>P47+P70</f>
        <v>3</v>
      </c>
      <c r="Q71" s="37"/>
      <c r="R71" s="31">
        <f>R47+R70</f>
        <v>18</v>
      </c>
      <c r="S71" s="31"/>
      <c r="T71" s="31">
        <f>T47+T70</f>
        <v>23</v>
      </c>
      <c r="U71" s="31"/>
      <c r="V71" s="31">
        <f>V47+V70</f>
        <v>10</v>
      </c>
      <c r="W71" s="31"/>
      <c r="X71" s="37">
        <f>X47+X70</f>
        <v>2</v>
      </c>
      <c r="Y71" s="37"/>
      <c r="Z71" s="37">
        <f>Z47+Z70</f>
        <v>9</v>
      </c>
      <c r="AA71" s="37"/>
      <c r="AB71" s="37">
        <f>AB47+AB70</f>
        <v>35</v>
      </c>
      <c r="AC71" s="37"/>
      <c r="AD71" s="37">
        <f>AD47+AD70</f>
        <v>8</v>
      </c>
      <c r="AE71" s="37"/>
      <c r="AF71" s="32">
        <f>AVERAGE(AF3:AF11,AF13:AF21,AF26:AF34,AF36:AF44,AF50:AF58,AF60:AF68)</f>
        <v>0.58333333333333337</v>
      </c>
      <c r="AG71" s="32">
        <f>AVERAGE(AG3:AG11,AG13:AG21,AG26:AG34,AG36:AG44,AG50:AG58,AG60:AG68)</f>
        <v>0.7</v>
      </c>
      <c r="AH71" s="32">
        <f>AVERAGE(AH3:AH11,AH13:AH21,AH26:AH34,AH36:AH44,AH50:AH58,AH60:AH68)</f>
        <v>1.5</v>
      </c>
      <c r="AI71" s="38">
        <f>AI47+AI70</f>
        <v>217</v>
      </c>
      <c r="AJ71" s="36"/>
      <c r="AK71" s="39">
        <f>AK47+AK70</f>
        <v>259</v>
      </c>
      <c r="AL71" s="37"/>
      <c r="AM71" s="37">
        <f>AM47+AM70</f>
        <v>98</v>
      </c>
      <c r="AN71" s="37"/>
      <c r="AO71" s="37">
        <f>AO47+AO70</f>
        <v>24</v>
      </c>
      <c r="AP71" s="37"/>
      <c r="AQ71" s="37">
        <f>AQ47+AQ70</f>
        <v>7</v>
      </c>
      <c r="AR71" s="37"/>
      <c r="AS71" s="37">
        <f>AS47+AS70</f>
        <v>19.7</v>
      </c>
      <c r="AT71" s="37">
        <f>AT47+AT70</f>
        <v>0</v>
      </c>
      <c r="AU71" s="37"/>
      <c r="AV71" s="31">
        <f>AV47+AV70</f>
        <v>28</v>
      </c>
      <c r="AW71" s="31"/>
      <c r="AX71" s="31">
        <f>AX47+AX70</f>
        <v>16</v>
      </c>
      <c r="AY71" s="31"/>
      <c r="AZ71" s="31">
        <f>AZ47+AZ70</f>
        <v>10</v>
      </c>
      <c r="BA71" s="31"/>
      <c r="BB71" s="37">
        <f>BB47+BB70</f>
        <v>0</v>
      </c>
      <c r="BC71" s="37"/>
      <c r="BD71" s="37">
        <f>BD47+BD70</f>
        <v>14</v>
      </c>
      <c r="BE71" s="37"/>
      <c r="BF71" s="37">
        <f>BF47+BF70</f>
        <v>36</v>
      </c>
      <c r="BG71" s="37"/>
      <c r="BH71" s="37">
        <f>BH47+BH70</f>
        <v>4</v>
      </c>
      <c r="BI71" s="37"/>
      <c r="BJ71" s="32">
        <f>AVERAGE(BJ3:BJ11,BJ13:BJ21,BJ26:BJ34,BJ36:BJ44,BJ50:BJ58,BJ60:BJ68)</f>
        <v>0.83333333333333337</v>
      </c>
      <c r="BK71" s="32">
        <f>AVERAGE(BK3:BK11,BK13:BK21,BK26:BK34,BK36:BK44,BK50:BK58,BK60:BK68)</f>
        <v>0.66666666666666663</v>
      </c>
      <c r="BL71" s="32">
        <f>AVERAGE(BL3:BL11,BL13:BL21,BL26:BL34,BL36:BL44,BL50:BL58,BL60:BL68)</f>
        <v>1.0833333333333333</v>
      </c>
      <c r="BM71" s="38">
        <f>BM47+BM70</f>
        <v>228.99999999999994</v>
      </c>
      <c r="BN71" s="36"/>
      <c r="BO71" s="39">
        <f>BO47+BO70</f>
        <v>319</v>
      </c>
      <c r="BP71" s="37"/>
      <c r="BQ71" s="37">
        <f>BQ47+BQ70</f>
        <v>122</v>
      </c>
      <c r="BR71" s="37"/>
      <c r="BS71" s="37">
        <f>BS47+BS70</f>
        <v>10</v>
      </c>
      <c r="BT71" s="37"/>
      <c r="BU71" s="37">
        <f>BU47+BU70</f>
        <v>0</v>
      </c>
      <c r="BV71" s="37"/>
      <c r="BW71" s="37">
        <f>BW47+BW70</f>
        <v>50</v>
      </c>
      <c r="BX71" s="37">
        <f>BX47+BX70</f>
        <v>0</v>
      </c>
      <c r="BY71" s="37"/>
      <c r="BZ71" s="31">
        <f>BZ47+BZ70</f>
        <v>4</v>
      </c>
      <c r="CA71" s="31"/>
      <c r="CB71" s="31">
        <f>CB47+CB70</f>
        <v>21</v>
      </c>
      <c r="CC71" s="31"/>
      <c r="CD71" s="31">
        <f>CD47+CD70</f>
        <v>29</v>
      </c>
      <c r="CE71" s="31"/>
      <c r="CF71" s="37">
        <f>CF47+CF70</f>
        <v>0</v>
      </c>
      <c r="CG71" s="37"/>
      <c r="CH71" s="37">
        <f>CH47+CH70</f>
        <v>2</v>
      </c>
      <c r="CI71" s="37"/>
      <c r="CJ71" s="37">
        <f>CJ47+CJ70</f>
        <v>36</v>
      </c>
      <c r="CK71" s="37"/>
      <c r="CL71" s="37">
        <f>CL47+CL70</f>
        <v>16</v>
      </c>
      <c r="CM71" s="37"/>
      <c r="CN71" s="32">
        <f>AVERAGE(CN3:CN11,CN13:CN21,CN26:CN34,CN36:CN44,CN50:CN58,CN60:CN68)</f>
        <v>1.6666666666666667</v>
      </c>
      <c r="CO71" s="32">
        <f>AVERAGE(CO3:CO11,CO13:CO21,CO26:CO34,CO36:CO44,CO50:CO58,CO60:CO68)</f>
        <v>2.0666666666666669</v>
      </c>
      <c r="CP71" s="32">
        <f>AVERAGE(CP3:CP11,CP13:CP21,CP26:CP34,CP36:CP44,CP50:CP58,CP60:CP68)</f>
        <v>1.75</v>
      </c>
      <c r="CQ71" s="38">
        <f>CQ47+CQ70</f>
        <v>261.99999999999994</v>
      </c>
      <c r="CR71" s="36"/>
      <c r="CS71" s="39">
        <f>CS47+CS70</f>
        <v>278</v>
      </c>
      <c r="CT71" s="37"/>
      <c r="CU71" s="37">
        <f>CU47+CU70</f>
        <v>112</v>
      </c>
      <c r="CV71" s="37"/>
      <c r="CW71" s="37">
        <f>CW47+CW70</f>
        <v>17</v>
      </c>
      <c r="CX71" s="37"/>
      <c r="CY71" s="37">
        <f>CY47+CY70</f>
        <v>5</v>
      </c>
      <c r="CZ71" s="37"/>
      <c r="DA71" s="37">
        <f>DA47+DA70</f>
        <v>36.85</v>
      </c>
      <c r="DB71" s="37">
        <f>DB47+DB70</f>
        <v>0</v>
      </c>
      <c r="DC71" s="37"/>
      <c r="DD71" s="31">
        <f>DD47+DD70</f>
        <v>15</v>
      </c>
      <c r="DE71" s="31"/>
      <c r="DF71" s="31">
        <f>DF47+DF70</f>
        <v>25</v>
      </c>
      <c r="DG71" s="31"/>
      <c r="DH71" s="31">
        <f>DH47+DH70</f>
        <v>14</v>
      </c>
      <c r="DI71" s="31"/>
      <c r="DJ71" s="37">
        <f>DJ47+DJ70</f>
        <v>0</v>
      </c>
      <c r="DK71" s="37"/>
      <c r="DL71" s="37">
        <f>DL47+DL70</f>
        <v>11</v>
      </c>
      <c r="DM71" s="37"/>
      <c r="DN71" s="37">
        <f>DN47+DN70</f>
        <v>29</v>
      </c>
      <c r="DO71" s="37"/>
      <c r="DP71" s="37">
        <f>DP47+DP70</f>
        <v>14</v>
      </c>
      <c r="DQ71" s="37"/>
      <c r="DR71" s="32">
        <f>AVERAGE(DR3:DR11,DR13:DR21,DR26:DR34,DR36:DR44,DR50:DR58,DR60:DR68)</f>
        <v>1</v>
      </c>
      <c r="DS71" s="32">
        <f>AVERAGE(DS3:DS11,DS13:DS21,DS26:DS34,DS36:DS44,DS50:DS58,DS60:DS68)</f>
        <v>1</v>
      </c>
      <c r="DT71" s="32">
        <f>AVERAGE(DT3:DT11,DT13:DT21,DT26:DT34,DT36:DT44,DT50:DT58,DT60:DT68)</f>
        <v>1.6666666666666667</v>
      </c>
      <c r="DU71" s="38">
        <f>DU47+DU70</f>
        <v>224</v>
      </c>
      <c r="DV71" s="40"/>
      <c r="DW71" s="39">
        <f>DW47+DW70</f>
        <v>374</v>
      </c>
      <c r="DX71" s="37"/>
      <c r="DY71" s="37">
        <f>DY47+DY70</f>
        <v>118</v>
      </c>
      <c r="DZ71" s="37"/>
      <c r="EA71" s="37">
        <f>EA47+EA70</f>
        <v>0</v>
      </c>
      <c r="EB71" s="37"/>
      <c r="EC71" s="37">
        <f>EC47+EC70</f>
        <v>1</v>
      </c>
      <c r="ED71" s="37"/>
      <c r="EE71" s="37">
        <f>EE47+EE70</f>
        <v>50.5</v>
      </c>
      <c r="EF71" s="37">
        <f>EF47+EF70</f>
        <v>0</v>
      </c>
      <c r="EG71" s="37"/>
      <c r="EH71" s="31">
        <f>EH47+EH70</f>
        <v>1</v>
      </c>
      <c r="EI71" s="31"/>
      <c r="EJ71" s="31">
        <f>EJ47+EJ70</f>
        <v>10</v>
      </c>
      <c r="EK71" s="31"/>
      <c r="EL71" s="31">
        <f>EL47+EL70</f>
        <v>43</v>
      </c>
      <c r="EM71" s="31"/>
      <c r="EN71" s="37">
        <f>EN47+EN70</f>
        <v>0</v>
      </c>
      <c r="EO71" s="37"/>
      <c r="EP71" s="37">
        <f>EP47+EP70</f>
        <v>6</v>
      </c>
      <c r="EQ71" s="37"/>
      <c r="ER71" s="37">
        <f>ER47+ER70</f>
        <v>33</v>
      </c>
      <c r="ES71" s="37"/>
      <c r="ET71" s="37">
        <f>ET47+ET70</f>
        <v>15</v>
      </c>
      <c r="EU71" s="37"/>
      <c r="EV71" s="32">
        <f>AVERAGE(EV3:EV11,EV13:EV21,EV26:EV34,EV36:EV44,EV50:EV58,EV60:EV68)</f>
        <v>2.1666666666666665</v>
      </c>
      <c r="EW71" s="32">
        <f>AVERAGE(EW3:EW11,EW13:EW21,EW26:EW34,EW36:EW44,EW50:EW58,EW60:EW68)</f>
        <v>3</v>
      </c>
      <c r="EX71" s="32">
        <f>AVERAGE(EX3:EX11,EX13:EX21,EX26:EX34,EX36:EX44,EX50:EX58,EX60:EX68)</f>
        <v>3.5</v>
      </c>
      <c r="EY71" s="38">
        <f>EY47+EY70</f>
        <v>239</v>
      </c>
      <c r="EZ71" s="40"/>
      <c r="FA71" s="39">
        <f>FA47+FA70</f>
        <v>297</v>
      </c>
      <c r="FB71" s="37"/>
      <c r="FC71" s="37">
        <f>FC47+FC70</f>
        <v>105</v>
      </c>
      <c r="FD71" s="37"/>
      <c r="FE71" s="37">
        <f>FE47+FE70</f>
        <v>10</v>
      </c>
      <c r="FF71" s="37"/>
      <c r="FG71" s="37">
        <f>FG47+FG70</f>
        <v>4</v>
      </c>
      <c r="FH71" s="37"/>
      <c r="FI71" s="37">
        <f>FI47+FI70</f>
        <v>33</v>
      </c>
      <c r="FJ71" s="37">
        <f>FJ47+FJ70</f>
        <v>1</v>
      </c>
      <c r="FK71" s="37"/>
      <c r="FL71" s="31">
        <f>FL47+FL70</f>
        <v>10</v>
      </c>
      <c r="FM71" s="31"/>
      <c r="FN71" s="31">
        <f>FN47+FN70</f>
        <v>20</v>
      </c>
      <c r="FO71" s="31"/>
      <c r="FP71" s="31">
        <f>FP47+FP70</f>
        <v>23</v>
      </c>
      <c r="FQ71" s="31"/>
      <c r="FR71" s="37">
        <f>FR47+FR70</f>
        <v>0</v>
      </c>
      <c r="FS71" s="37"/>
      <c r="FT71" s="37">
        <f>FT47+FT70</f>
        <v>15</v>
      </c>
      <c r="FU71" s="37"/>
      <c r="FV71" s="37">
        <f>FV47+FV70</f>
        <v>27</v>
      </c>
      <c r="FW71" s="37"/>
      <c r="FX71" s="37">
        <f>FX47+FX70</f>
        <v>12</v>
      </c>
      <c r="FY71" s="37"/>
      <c r="FZ71" s="32">
        <f>AVERAGE(FZ3:FZ11,FZ13:FZ21,FZ26:FZ34,FZ36:FZ44,FZ50:FZ58,FZ60:FZ68)</f>
        <v>1</v>
      </c>
      <c r="GA71" s="32">
        <f>AVERAGE(GA3:GA11,GA13:GA21,GA26:GA34,GA36:GA44,GA50:GA58,GA60:GA68)</f>
        <v>1.3333333333333333</v>
      </c>
      <c r="GB71" s="32">
        <f>AVERAGE(GB3:GB11,GB13:GB21,GB26:GB34,GB36:GB44,GB50:GB58,GB60:GB68)</f>
        <v>2.4166666666666665</v>
      </c>
      <c r="GC71" s="38">
        <f>GC47+GC70</f>
        <v>228</v>
      </c>
      <c r="GD71" s="40"/>
      <c r="GE71" s="39">
        <f>GE47+GE70</f>
        <v>356</v>
      </c>
      <c r="GF71" s="37"/>
      <c r="GG71" s="37">
        <f>GG47+GG70</f>
        <v>114</v>
      </c>
      <c r="GH71" s="37"/>
      <c r="GI71" s="37">
        <f>GI47+GI70</f>
        <v>1</v>
      </c>
      <c r="GJ71" s="37"/>
      <c r="GK71" s="37">
        <f>GK47+GK70</f>
        <v>1</v>
      </c>
      <c r="GL71" s="37"/>
      <c r="GM71" s="37">
        <f>GM47+GM70</f>
        <v>46.05</v>
      </c>
      <c r="GN71" s="37">
        <f>GN47+GN70</f>
        <v>0</v>
      </c>
      <c r="GO71" s="37"/>
      <c r="GP71" s="31">
        <f>GP47+GP70</f>
        <v>2</v>
      </c>
      <c r="GQ71" s="31"/>
      <c r="GR71" s="31">
        <f>GR47+GR70</f>
        <v>13</v>
      </c>
      <c r="GS71" s="31"/>
      <c r="GT71" s="31">
        <f>GT47+GT70</f>
        <v>39</v>
      </c>
      <c r="GU71" s="31"/>
      <c r="GV71" s="37">
        <f>GV47+GV70</f>
        <v>0</v>
      </c>
      <c r="GW71" s="37"/>
      <c r="GX71" s="37">
        <f>GX47+GX70</f>
        <v>6</v>
      </c>
      <c r="GY71" s="37"/>
      <c r="GZ71" s="37">
        <f>GZ47+GZ70</f>
        <v>36</v>
      </c>
      <c r="HA71" s="37"/>
      <c r="HB71" s="37">
        <f>HB47+HB70</f>
        <v>12</v>
      </c>
      <c r="HC71" s="37"/>
      <c r="HD71" s="32">
        <f>AVERAGE(HD3:HD11,HD13:HD21,HD26:HD34,HD36:HD44,HD50:HD58,HD60:HD68)</f>
        <v>1.9166666666666667</v>
      </c>
      <c r="HE71" s="32">
        <f>AVERAGE(HE3:HE11,HE13:HE21,HE26:HE34,HE36:HE44,HE50:HE58,HE60:HE68)</f>
        <v>2.7333333333333334</v>
      </c>
      <c r="HF71" s="32">
        <f>AVERAGE(HF3:HF11,HF13:HF21,HF26:HF34,HF36:HF44,HF50:HF58,HF60:HF68)</f>
        <v>2.9166666666666665</v>
      </c>
      <c r="HG71" s="38">
        <f>HG47+HG70</f>
        <v>260</v>
      </c>
      <c r="HH71" s="40"/>
      <c r="HI71" s="39">
        <f>HI47+HI70</f>
        <v>285</v>
      </c>
      <c r="HJ71" s="37"/>
      <c r="HK71" s="37">
        <f>HK47+HK70</f>
        <v>102</v>
      </c>
      <c r="HL71" s="37"/>
      <c r="HM71" s="37">
        <f>HM47+HM70</f>
        <v>10</v>
      </c>
      <c r="HN71" s="37"/>
      <c r="HO71" s="37">
        <f>HO47+HO70</f>
        <v>7</v>
      </c>
      <c r="HP71" s="37"/>
      <c r="HQ71" s="37">
        <f>HQ47+HQ70</f>
        <v>30</v>
      </c>
      <c r="HR71" s="37">
        <f>HR47+HR70</f>
        <v>0</v>
      </c>
      <c r="HS71" s="37"/>
      <c r="HT71" s="31">
        <f>HT47+HT70</f>
        <v>12</v>
      </c>
      <c r="HU71" s="31"/>
      <c r="HV71" s="31">
        <f>HV47+HV70</f>
        <v>22</v>
      </c>
      <c r="HW71" s="31"/>
      <c r="HX71" s="31">
        <f>HX47+HX70</f>
        <v>20</v>
      </c>
      <c r="HY71" s="31"/>
      <c r="HZ71" s="37">
        <f>HZ47+HZ70</f>
        <v>1</v>
      </c>
      <c r="IA71" s="37"/>
      <c r="IB71" s="37">
        <f>IB47+IB70</f>
        <v>13</v>
      </c>
      <c r="IC71" s="37"/>
      <c r="ID71" s="37">
        <f>ID47+ID70</f>
        <v>31</v>
      </c>
      <c r="IE71" s="37"/>
      <c r="IF71" s="37">
        <f>IF47+IF70</f>
        <v>9</v>
      </c>
      <c r="IG71" s="37"/>
      <c r="IH71" s="32">
        <f>AVERAGE(IH3:IH11,IH13:IH21,IH26:IH34,IH36:IH44,IH50:IH58,IH60:IH68)</f>
        <v>1.5</v>
      </c>
      <c r="II71" s="32">
        <f>AVERAGE(II3:II11,II13:II21,II26:II34,II36:II44,II50:II58,II60:II68)</f>
        <v>1.3</v>
      </c>
      <c r="IJ71" s="32">
        <f>AVERAGE(IJ3:IJ11,IJ13:IJ21,IJ26:IJ34,IJ36:IJ44,IJ50:IJ58,IJ60:IJ68)</f>
        <v>1</v>
      </c>
      <c r="IK71" s="38">
        <f>IK47+IK70</f>
        <v>237</v>
      </c>
      <c r="IL71" s="40"/>
      <c r="IM71" s="39">
        <f>IM47+IM70</f>
        <v>372</v>
      </c>
      <c r="IN71" s="37"/>
      <c r="IO71" s="37">
        <f>IO47+IO70</f>
        <v>129</v>
      </c>
      <c r="IP71" s="37"/>
      <c r="IQ71" s="37">
        <f>IQ47+IQ70</f>
        <v>7</v>
      </c>
      <c r="IR71" s="37"/>
      <c r="IS71" s="37">
        <f>IS47+IS70</f>
        <v>1</v>
      </c>
      <c r="IT71" s="37"/>
      <c r="IU71" s="37">
        <f>IU47+IU70</f>
        <v>58.349999999999994</v>
      </c>
      <c r="IV71" s="37">
        <f>IV47+IV70</f>
        <v>1</v>
      </c>
      <c r="IW71" s="37"/>
      <c r="IX71" s="31">
        <f>IX47+IX70</f>
        <v>2</v>
      </c>
      <c r="IY71" s="31"/>
      <c r="IZ71" s="31">
        <f>IZ47+IZ70</f>
        <v>9</v>
      </c>
      <c r="JA71" s="31"/>
      <c r="JB71" s="31">
        <f>JB47+JB70</f>
        <v>42</v>
      </c>
      <c r="JC71" s="31"/>
      <c r="JD71" s="37">
        <f>JD47+JD70</f>
        <v>0</v>
      </c>
      <c r="JE71" s="37"/>
      <c r="JF71" s="37">
        <f>JF47+JF70</f>
        <v>8</v>
      </c>
      <c r="JG71" s="37"/>
      <c r="JH71" s="37">
        <f>JH47+JH70</f>
        <v>24</v>
      </c>
      <c r="JI71" s="37"/>
      <c r="JJ71" s="37">
        <f>JJ47+JJ70</f>
        <v>22</v>
      </c>
      <c r="JK71" s="37"/>
      <c r="JL71" s="32">
        <f>AVERAGE(JL3:JL11,JL13:JL21,JL26:JL34,JL36:JL44,JL50:JL58,JL60:JL68)</f>
        <v>2.1666666666666665</v>
      </c>
      <c r="JM71" s="32">
        <f>AVERAGE(JM3:JM11,JM13:JM21,JM26:JM34,JM36:JM44,JM50:JM58,JM60:JM68)</f>
        <v>3.1666666666666665</v>
      </c>
      <c r="JN71" s="32">
        <f>AVERAGE(JN3:JN11,JN13:JN21,JN26:JN34,JN36:JN44,JN50:JN58,JN60:JN68)</f>
        <v>2.9166666666666665</v>
      </c>
      <c r="JO71" s="38">
        <f>JO47+JO70</f>
        <v>245.99999999999994</v>
      </c>
      <c r="JP71" s="40"/>
      <c r="JQ71" s="39">
        <f>JQ47+JQ70</f>
        <v>209</v>
      </c>
      <c r="JR71" s="37"/>
      <c r="JS71" s="37">
        <f>JS47+JS70</f>
        <v>64</v>
      </c>
      <c r="JT71" s="37"/>
      <c r="JU71" s="37">
        <f>JU47+JU70</f>
        <v>54</v>
      </c>
      <c r="JV71" s="37"/>
      <c r="JW71" s="37">
        <f>JW47+JW70</f>
        <v>0</v>
      </c>
      <c r="JX71" s="37"/>
      <c r="JY71" s="37">
        <f>JY47+JY70</f>
        <v>-27.800000000000004</v>
      </c>
      <c r="JZ71" s="37">
        <f>JZ47+JZ70</f>
        <v>0</v>
      </c>
      <c r="KA71" s="37"/>
      <c r="KB71" s="31">
        <f>KB47+KB70</f>
        <v>0</v>
      </c>
      <c r="KC71" s="31"/>
      <c r="KD71" s="31">
        <f>KD47+KD70</f>
        <v>0</v>
      </c>
      <c r="KE71" s="31"/>
      <c r="KF71" s="31">
        <f>KF47+KF70</f>
        <v>0</v>
      </c>
      <c r="KG71" s="31"/>
      <c r="KH71" s="37">
        <f>KH47+KH70</f>
        <v>54</v>
      </c>
      <c r="KI71" s="37"/>
      <c r="KJ71" s="37">
        <f>KJ47+KJ70</f>
        <v>0</v>
      </c>
      <c r="KK71" s="37"/>
      <c r="KL71" s="37">
        <f>KL47+KL70</f>
        <v>0</v>
      </c>
      <c r="KM71" s="37"/>
      <c r="KN71" s="37">
        <f>KN47+KN70</f>
        <v>0</v>
      </c>
      <c r="KO71" s="37"/>
      <c r="KP71" s="32">
        <f>AVERAGE(KP3:KP11,KP13:KP21,KP26:KP34,KP36:KP44,KP50:KP58,KP60:KP68)</f>
        <v>-3</v>
      </c>
      <c r="KQ71" s="32">
        <f>AVERAGE(KQ3:KQ11,KQ13:KQ21,KQ26:KQ34,KQ36:KQ44,KQ50:KQ58,KQ60:KQ68)</f>
        <v>-4</v>
      </c>
      <c r="KR71" s="32">
        <f>AVERAGE(KR3:KR11,KR13:KR21,KR26:KR34,KR36:KR44,KR50:KR58,KR60:KR68)</f>
        <v>-5</v>
      </c>
      <c r="KS71" s="38" t="e">
        <f>KS47+KS70</f>
        <v>#REF!</v>
      </c>
      <c r="KT71" s="40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41"/>
      <c r="LR71" s="41"/>
      <c r="LS71" s="41"/>
      <c r="LT71" s="41"/>
      <c r="LU71" s="2"/>
    </row>
    <row r="72" spans="1:333" s="92" customFormat="1" ht="13.8" thickTop="1" x14ac:dyDescent="0.25">
      <c r="A72" s="183" t="s">
        <v>67</v>
      </c>
      <c r="B72" s="184" t="s">
        <v>0</v>
      </c>
      <c r="C72" s="185"/>
      <c r="D72" s="185"/>
      <c r="E72" s="185"/>
      <c r="F72" s="186"/>
      <c r="G72" s="171" t="s">
        <v>40</v>
      </c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4"/>
      <c r="AK72" s="171" t="s">
        <v>41</v>
      </c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4"/>
      <c r="BO72" s="171" t="s">
        <v>42</v>
      </c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4"/>
      <c r="CS72" s="171" t="s">
        <v>43</v>
      </c>
      <c r="CT72" s="172"/>
      <c r="CU72" s="172"/>
      <c r="CV72" s="172"/>
      <c r="CW72" s="172"/>
      <c r="CX72" s="172"/>
      <c r="CY72" s="172"/>
      <c r="CZ72" s="172"/>
      <c r="DA72" s="172"/>
      <c r="DB72" s="172"/>
      <c r="DC72" s="172"/>
      <c r="DD72" s="172"/>
      <c r="DE72" s="172"/>
      <c r="DF72" s="172"/>
      <c r="DG72" s="172"/>
      <c r="DH72" s="172"/>
      <c r="DI72" s="172"/>
      <c r="DJ72" s="172"/>
      <c r="DK72" s="172"/>
      <c r="DL72" s="172"/>
      <c r="DM72" s="172"/>
      <c r="DN72" s="172"/>
      <c r="DO72" s="172"/>
      <c r="DP72" s="172"/>
      <c r="DQ72" s="172"/>
      <c r="DR72" s="172"/>
      <c r="DS72" s="172"/>
      <c r="DT72" s="172"/>
      <c r="DU72" s="172"/>
      <c r="DV72" s="173"/>
      <c r="DW72" s="171" t="s">
        <v>107</v>
      </c>
      <c r="DX72" s="172"/>
      <c r="DY72" s="172"/>
      <c r="DZ72" s="172"/>
      <c r="EA72" s="172"/>
      <c r="EB72" s="172"/>
      <c r="EC72" s="172"/>
      <c r="ED72" s="172"/>
      <c r="EE72" s="172"/>
      <c r="EF72" s="172"/>
      <c r="EG72" s="172"/>
      <c r="EH72" s="172"/>
      <c r="EI72" s="172"/>
      <c r="EJ72" s="172"/>
      <c r="EK72" s="172"/>
      <c r="EL72" s="172"/>
      <c r="EM72" s="172"/>
      <c r="EN72" s="172"/>
      <c r="EO72" s="172"/>
      <c r="EP72" s="172"/>
      <c r="EQ72" s="172"/>
      <c r="ER72" s="172"/>
      <c r="ES72" s="172"/>
      <c r="ET72" s="172"/>
      <c r="EU72" s="172"/>
      <c r="EV72" s="172"/>
      <c r="EW72" s="172"/>
      <c r="EX72" s="172"/>
      <c r="EY72" s="172"/>
      <c r="EZ72" s="173"/>
      <c r="FA72" s="171" t="s">
        <v>69</v>
      </c>
      <c r="FB72" s="172"/>
      <c r="FC72" s="172"/>
      <c r="FD72" s="172"/>
      <c r="FE72" s="172"/>
      <c r="FF72" s="172"/>
      <c r="FG72" s="172"/>
      <c r="FH72" s="172"/>
      <c r="FI72" s="172"/>
      <c r="FJ72" s="172"/>
      <c r="FK72" s="172"/>
      <c r="FL72" s="172"/>
      <c r="FM72" s="172"/>
      <c r="FN72" s="172"/>
      <c r="FO72" s="172"/>
      <c r="FP72" s="172"/>
      <c r="FQ72" s="172"/>
      <c r="FR72" s="172"/>
      <c r="FS72" s="172"/>
      <c r="FT72" s="172"/>
      <c r="FU72" s="172"/>
      <c r="FV72" s="172"/>
      <c r="FW72" s="172"/>
      <c r="FX72" s="172"/>
      <c r="FY72" s="172"/>
      <c r="FZ72" s="172"/>
      <c r="GA72" s="172"/>
      <c r="GB72" s="172"/>
      <c r="GC72" s="172"/>
      <c r="GD72" s="173"/>
      <c r="GE72" s="171" t="s">
        <v>70</v>
      </c>
      <c r="GF72" s="172"/>
      <c r="GG72" s="172"/>
      <c r="GH72" s="172"/>
      <c r="GI72" s="172"/>
      <c r="GJ72" s="172"/>
      <c r="GK72" s="172"/>
      <c r="GL72" s="172"/>
      <c r="GM72" s="172"/>
      <c r="GN72" s="172"/>
      <c r="GO72" s="172"/>
      <c r="GP72" s="172"/>
      <c r="GQ72" s="172"/>
      <c r="GR72" s="172"/>
      <c r="GS72" s="172"/>
      <c r="GT72" s="172"/>
      <c r="GU72" s="172"/>
      <c r="GV72" s="172"/>
      <c r="GW72" s="172"/>
      <c r="GX72" s="172"/>
      <c r="GY72" s="172"/>
      <c r="GZ72" s="172"/>
      <c r="HA72" s="172"/>
      <c r="HB72" s="172"/>
      <c r="HC72" s="172"/>
      <c r="HD72" s="172"/>
      <c r="HE72" s="172"/>
      <c r="HF72" s="172"/>
      <c r="HG72" s="172"/>
      <c r="HH72" s="173"/>
      <c r="HI72" s="171" t="s">
        <v>71</v>
      </c>
      <c r="HJ72" s="172"/>
      <c r="HK72" s="172"/>
      <c r="HL72" s="172"/>
      <c r="HM72" s="172"/>
      <c r="HN72" s="172"/>
      <c r="HO72" s="172"/>
      <c r="HP72" s="172"/>
      <c r="HQ72" s="172"/>
      <c r="HR72" s="172"/>
      <c r="HS72" s="172"/>
      <c r="HT72" s="172"/>
      <c r="HU72" s="172"/>
      <c r="HV72" s="172"/>
      <c r="HW72" s="172"/>
      <c r="HX72" s="172"/>
      <c r="HY72" s="172"/>
      <c r="HZ72" s="172"/>
      <c r="IA72" s="172"/>
      <c r="IB72" s="172"/>
      <c r="IC72" s="172"/>
      <c r="ID72" s="172"/>
      <c r="IE72" s="172"/>
      <c r="IF72" s="172"/>
      <c r="IG72" s="172"/>
      <c r="IH72" s="172"/>
      <c r="II72" s="172"/>
      <c r="IJ72" s="172"/>
      <c r="IK72" s="172"/>
      <c r="IL72" s="173"/>
      <c r="IM72" s="171" t="s">
        <v>108</v>
      </c>
      <c r="IN72" s="172"/>
      <c r="IO72" s="172"/>
      <c r="IP72" s="172"/>
      <c r="IQ72" s="172"/>
      <c r="IR72" s="172"/>
      <c r="IS72" s="172"/>
      <c r="IT72" s="172"/>
      <c r="IU72" s="172"/>
      <c r="IV72" s="172"/>
      <c r="IW72" s="172"/>
      <c r="IX72" s="172"/>
      <c r="IY72" s="172"/>
      <c r="IZ72" s="172"/>
      <c r="JA72" s="172"/>
      <c r="JB72" s="172"/>
      <c r="JC72" s="172"/>
      <c r="JD72" s="172"/>
      <c r="JE72" s="172"/>
      <c r="JF72" s="172"/>
      <c r="JG72" s="172"/>
      <c r="JH72" s="172"/>
      <c r="JI72" s="172"/>
      <c r="JJ72" s="172"/>
      <c r="JK72" s="172"/>
      <c r="JL72" s="172"/>
      <c r="JM72" s="172"/>
      <c r="JN72" s="172"/>
      <c r="JO72" s="172"/>
      <c r="JP72" s="173"/>
      <c r="JQ72" s="171" t="s">
        <v>68</v>
      </c>
      <c r="JR72" s="172"/>
      <c r="JS72" s="172"/>
      <c r="JT72" s="172"/>
      <c r="JU72" s="172"/>
      <c r="JV72" s="172"/>
      <c r="JW72" s="172"/>
      <c r="JX72" s="172"/>
      <c r="JY72" s="172"/>
      <c r="JZ72" s="172"/>
      <c r="KA72" s="172"/>
      <c r="KB72" s="172"/>
      <c r="KC72" s="172"/>
      <c r="KD72" s="172"/>
      <c r="KE72" s="172"/>
      <c r="KF72" s="172"/>
      <c r="KG72" s="172"/>
      <c r="KH72" s="172"/>
      <c r="KI72" s="172"/>
      <c r="KJ72" s="172"/>
      <c r="KK72" s="172"/>
      <c r="KL72" s="172"/>
      <c r="KM72" s="172"/>
      <c r="KN72" s="172"/>
      <c r="KO72" s="172"/>
      <c r="KP72" s="172"/>
      <c r="KQ72" s="172"/>
      <c r="KR72" s="172"/>
      <c r="KS72" s="172"/>
      <c r="KT72" s="173"/>
    </row>
    <row r="73" spans="1:333" ht="13.2" x14ac:dyDescent="0.25">
      <c r="A73" s="179"/>
      <c r="B73" s="82" t="s">
        <v>1</v>
      </c>
      <c r="C73" s="3" t="s">
        <v>2</v>
      </c>
      <c r="D73" s="3"/>
      <c r="E73" s="3" t="s">
        <v>3</v>
      </c>
      <c r="F73" s="1"/>
      <c r="G73" s="16" t="s">
        <v>5</v>
      </c>
      <c r="H73" s="3" t="s">
        <v>6</v>
      </c>
      <c r="I73" s="3" t="s">
        <v>7</v>
      </c>
      <c r="J73" s="3" t="s">
        <v>8</v>
      </c>
      <c r="K73" s="3" t="s">
        <v>9</v>
      </c>
      <c r="L73" s="3" t="s">
        <v>10</v>
      </c>
      <c r="M73" s="3" t="s">
        <v>11</v>
      </c>
      <c r="N73" s="3" t="s">
        <v>12</v>
      </c>
      <c r="O73" s="2" t="s">
        <v>93</v>
      </c>
      <c r="P73" s="3" t="s">
        <v>13</v>
      </c>
      <c r="Q73" s="3" t="s">
        <v>14</v>
      </c>
      <c r="R73" s="2" t="s">
        <v>50</v>
      </c>
      <c r="S73" s="2" t="s">
        <v>56</v>
      </c>
      <c r="T73" s="2" t="s">
        <v>51</v>
      </c>
      <c r="U73" s="2" t="s">
        <v>57</v>
      </c>
      <c r="V73" s="2" t="s">
        <v>58</v>
      </c>
      <c r="W73" s="2" t="s">
        <v>59</v>
      </c>
      <c r="X73" s="2" t="s">
        <v>38</v>
      </c>
      <c r="Y73" s="2" t="s">
        <v>39</v>
      </c>
      <c r="Z73" s="3" t="s">
        <v>15</v>
      </c>
      <c r="AA73" s="3" t="s">
        <v>16</v>
      </c>
      <c r="AB73" s="2" t="s">
        <v>73</v>
      </c>
      <c r="AC73" s="2" t="s">
        <v>75</v>
      </c>
      <c r="AD73" s="3" t="s">
        <v>17</v>
      </c>
      <c r="AE73" s="3" t="s">
        <v>18</v>
      </c>
      <c r="AF73" s="3" t="s">
        <v>19</v>
      </c>
      <c r="AG73" s="3" t="s">
        <v>20</v>
      </c>
      <c r="AH73" s="3" t="s">
        <v>21</v>
      </c>
      <c r="AI73" s="3" t="s">
        <v>22</v>
      </c>
      <c r="AJ73" s="1" t="s">
        <v>23</v>
      </c>
      <c r="AK73" s="16" t="s">
        <v>5</v>
      </c>
      <c r="AL73" s="3" t="s">
        <v>6</v>
      </c>
      <c r="AM73" s="3" t="s">
        <v>7</v>
      </c>
      <c r="AN73" s="3" t="s">
        <v>8</v>
      </c>
      <c r="AO73" s="3" t="s">
        <v>9</v>
      </c>
      <c r="AP73" s="3" t="s">
        <v>10</v>
      </c>
      <c r="AQ73" s="3" t="s">
        <v>11</v>
      </c>
      <c r="AR73" s="3" t="s">
        <v>12</v>
      </c>
      <c r="AS73" s="2" t="s">
        <v>93</v>
      </c>
      <c r="AT73" s="3" t="s">
        <v>13</v>
      </c>
      <c r="AU73" s="3" t="s">
        <v>14</v>
      </c>
      <c r="AV73" s="2" t="s">
        <v>50</v>
      </c>
      <c r="AW73" s="2" t="s">
        <v>56</v>
      </c>
      <c r="AX73" s="2" t="s">
        <v>51</v>
      </c>
      <c r="AY73" s="2" t="s">
        <v>57</v>
      </c>
      <c r="AZ73" s="2" t="s">
        <v>58</v>
      </c>
      <c r="BA73" s="2" t="s">
        <v>59</v>
      </c>
      <c r="BB73" s="2" t="s">
        <v>38</v>
      </c>
      <c r="BC73" s="2" t="s">
        <v>39</v>
      </c>
      <c r="BD73" s="3" t="s">
        <v>15</v>
      </c>
      <c r="BE73" s="3" t="s">
        <v>16</v>
      </c>
      <c r="BF73" s="2" t="s">
        <v>73</v>
      </c>
      <c r="BG73" s="2" t="s">
        <v>75</v>
      </c>
      <c r="BH73" s="3" t="s">
        <v>17</v>
      </c>
      <c r="BI73" s="3" t="s">
        <v>18</v>
      </c>
      <c r="BJ73" s="3" t="s">
        <v>19</v>
      </c>
      <c r="BK73" s="3" t="s">
        <v>20</v>
      </c>
      <c r="BL73" s="3" t="s">
        <v>21</v>
      </c>
      <c r="BM73" s="3" t="s">
        <v>22</v>
      </c>
      <c r="BN73" s="1" t="s">
        <v>23</v>
      </c>
      <c r="BO73" s="16" t="s">
        <v>5</v>
      </c>
      <c r="BP73" s="3" t="s">
        <v>6</v>
      </c>
      <c r="BQ73" s="3" t="s">
        <v>7</v>
      </c>
      <c r="BR73" s="3" t="s">
        <v>8</v>
      </c>
      <c r="BS73" s="3" t="s">
        <v>9</v>
      </c>
      <c r="BT73" s="3" t="s">
        <v>10</v>
      </c>
      <c r="BU73" s="3" t="s">
        <v>11</v>
      </c>
      <c r="BV73" s="3" t="s">
        <v>12</v>
      </c>
      <c r="BW73" s="2" t="s">
        <v>93</v>
      </c>
      <c r="BX73" s="3" t="s">
        <v>13</v>
      </c>
      <c r="BY73" s="3" t="s">
        <v>14</v>
      </c>
      <c r="BZ73" s="2" t="s">
        <v>50</v>
      </c>
      <c r="CA73" s="2" t="s">
        <v>56</v>
      </c>
      <c r="CB73" s="2" t="s">
        <v>51</v>
      </c>
      <c r="CC73" s="2" t="s">
        <v>57</v>
      </c>
      <c r="CD73" s="2" t="s">
        <v>58</v>
      </c>
      <c r="CE73" s="2" t="s">
        <v>59</v>
      </c>
      <c r="CF73" s="2" t="s">
        <v>38</v>
      </c>
      <c r="CG73" s="2" t="s">
        <v>39</v>
      </c>
      <c r="CH73" s="3" t="s">
        <v>15</v>
      </c>
      <c r="CI73" s="3" t="s">
        <v>16</v>
      </c>
      <c r="CJ73" s="2" t="s">
        <v>73</v>
      </c>
      <c r="CK73" s="2" t="s">
        <v>75</v>
      </c>
      <c r="CL73" s="3" t="s">
        <v>17</v>
      </c>
      <c r="CM73" s="3" t="s">
        <v>18</v>
      </c>
      <c r="CN73" s="3" t="s">
        <v>19</v>
      </c>
      <c r="CO73" s="3" t="s">
        <v>20</v>
      </c>
      <c r="CP73" s="3" t="s">
        <v>21</v>
      </c>
      <c r="CQ73" s="3" t="s">
        <v>22</v>
      </c>
      <c r="CR73" s="1" t="s">
        <v>23</v>
      </c>
      <c r="CS73" s="16" t="s">
        <v>5</v>
      </c>
      <c r="CT73" s="3" t="s">
        <v>6</v>
      </c>
      <c r="CU73" s="3" t="s">
        <v>7</v>
      </c>
      <c r="CV73" s="3" t="s">
        <v>8</v>
      </c>
      <c r="CW73" s="3" t="s">
        <v>9</v>
      </c>
      <c r="CX73" s="3" t="s">
        <v>10</v>
      </c>
      <c r="CY73" s="3" t="s">
        <v>11</v>
      </c>
      <c r="CZ73" s="3" t="s">
        <v>12</v>
      </c>
      <c r="DA73" s="2" t="s">
        <v>93</v>
      </c>
      <c r="DB73" s="3" t="s">
        <v>13</v>
      </c>
      <c r="DC73" s="3" t="s">
        <v>14</v>
      </c>
      <c r="DD73" s="2" t="s">
        <v>50</v>
      </c>
      <c r="DE73" s="2" t="s">
        <v>56</v>
      </c>
      <c r="DF73" s="2" t="s">
        <v>51</v>
      </c>
      <c r="DG73" s="2" t="s">
        <v>57</v>
      </c>
      <c r="DH73" s="2" t="s">
        <v>58</v>
      </c>
      <c r="DI73" s="2" t="s">
        <v>59</v>
      </c>
      <c r="DJ73" s="2" t="s">
        <v>38</v>
      </c>
      <c r="DK73" s="2" t="s">
        <v>39</v>
      </c>
      <c r="DL73" s="3" t="s">
        <v>15</v>
      </c>
      <c r="DM73" s="3" t="s">
        <v>16</v>
      </c>
      <c r="DN73" s="2" t="s">
        <v>73</v>
      </c>
      <c r="DO73" s="2" t="s">
        <v>75</v>
      </c>
      <c r="DP73" s="3" t="s">
        <v>17</v>
      </c>
      <c r="DQ73" s="3" t="s">
        <v>18</v>
      </c>
      <c r="DR73" s="3" t="s">
        <v>19</v>
      </c>
      <c r="DS73" s="3" t="s">
        <v>20</v>
      </c>
      <c r="DT73" s="3" t="s">
        <v>21</v>
      </c>
      <c r="DU73" s="3" t="s">
        <v>22</v>
      </c>
      <c r="DV73" s="18" t="s">
        <v>23</v>
      </c>
      <c r="DW73" s="16" t="s">
        <v>5</v>
      </c>
      <c r="DX73" s="3" t="s">
        <v>6</v>
      </c>
      <c r="DY73" s="3" t="s">
        <v>7</v>
      </c>
      <c r="DZ73" s="3" t="s">
        <v>8</v>
      </c>
      <c r="EA73" s="3" t="s">
        <v>9</v>
      </c>
      <c r="EB73" s="3" t="s">
        <v>10</v>
      </c>
      <c r="EC73" s="3" t="s">
        <v>11</v>
      </c>
      <c r="ED73" s="3" t="s">
        <v>12</v>
      </c>
      <c r="EE73" s="2" t="s">
        <v>93</v>
      </c>
      <c r="EF73" s="3" t="s">
        <v>13</v>
      </c>
      <c r="EG73" s="3" t="s">
        <v>14</v>
      </c>
      <c r="EH73" s="2" t="s">
        <v>50</v>
      </c>
      <c r="EI73" s="2" t="s">
        <v>56</v>
      </c>
      <c r="EJ73" s="2" t="s">
        <v>51</v>
      </c>
      <c r="EK73" s="2" t="s">
        <v>57</v>
      </c>
      <c r="EL73" s="2" t="s">
        <v>58</v>
      </c>
      <c r="EM73" s="2" t="s">
        <v>59</v>
      </c>
      <c r="EN73" s="2" t="s">
        <v>38</v>
      </c>
      <c r="EO73" s="2" t="s">
        <v>39</v>
      </c>
      <c r="EP73" s="3" t="s">
        <v>15</v>
      </c>
      <c r="EQ73" s="3" t="s">
        <v>16</v>
      </c>
      <c r="ER73" s="2" t="s">
        <v>73</v>
      </c>
      <c r="ES73" s="2" t="s">
        <v>75</v>
      </c>
      <c r="ET73" s="3" t="s">
        <v>17</v>
      </c>
      <c r="EU73" s="3" t="s">
        <v>18</v>
      </c>
      <c r="EV73" s="3" t="s">
        <v>19</v>
      </c>
      <c r="EW73" s="3" t="s">
        <v>20</v>
      </c>
      <c r="EX73" s="3" t="s">
        <v>21</v>
      </c>
      <c r="EY73" s="3" t="s">
        <v>22</v>
      </c>
      <c r="EZ73" s="18" t="s">
        <v>23</v>
      </c>
      <c r="FA73" s="16" t="s">
        <v>5</v>
      </c>
      <c r="FB73" s="3" t="s">
        <v>6</v>
      </c>
      <c r="FC73" s="3" t="s">
        <v>7</v>
      </c>
      <c r="FD73" s="3" t="s">
        <v>8</v>
      </c>
      <c r="FE73" s="3" t="s">
        <v>9</v>
      </c>
      <c r="FF73" s="3" t="s">
        <v>10</v>
      </c>
      <c r="FG73" s="3" t="s">
        <v>11</v>
      </c>
      <c r="FH73" s="3" t="s">
        <v>12</v>
      </c>
      <c r="FI73" s="2" t="s">
        <v>93</v>
      </c>
      <c r="FJ73" s="3" t="s">
        <v>13</v>
      </c>
      <c r="FK73" s="3" t="s">
        <v>14</v>
      </c>
      <c r="FL73" s="2" t="s">
        <v>50</v>
      </c>
      <c r="FM73" s="2" t="s">
        <v>56</v>
      </c>
      <c r="FN73" s="2" t="s">
        <v>51</v>
      </c>
      <c r="FO73" s="2" t="s">
        <v>57</v>
      </c>
      <c r="FP73" s="2" t="s">
        <v>58</v>
      </c>
      <c r="FQ73" s="2" t="s">
        <v>59</v>
      </c>
      <c r="FR73" s="2" t="s">
        <v>38</v>
      </c>
      <c r="FS73" s="2" t="s">
        <v>39</v>
      </c>
      <c r="FT73" s="3" t="s">
        <v>15</v>
      </c>
      <c r="FU73" s="3" t="s">
        <v>16</v>
      </c>
      <c r="FV73" s="2" t="s">
        <v>73</v>
      </c>
      <c r="FW73" s="2" t="s">
        <v>75</v>
      </c>
      <c r="FX73" s="3" t="s">
        <v>17</v>
      </c>
      <c r="FY73" s="3" t="s">
        <v>18</v>
      </c>
      <c r="FZ73" s="3" t="s">
        <v>19</v>
      </c>
      <c r="GA73" s="3" t="s">
        <v>20</v>
      </c>
      <c r="GB73" s="3" t="s">
        <v>21</v>
      </c>
      <c r="GC73" s="3" t="s">
        <v>22</v>
      </c>
      <c r="GD73" s="18" t="s">
        <v>23</v>
      </c>
      <c r="GE73" s="16" t="s">
        <v>5</v>
      </c>
      <c r="GF73" s="3" t="s">
        <v>6</v>
      </c>
      <c r="GG73" s="3" t="s">
        <v>7</v>
      </c>
      <c r="GH73" s="3" t="s">
        <v>8</v>
      </c>
      <c r="GI73" s="3" t="s">
        <v>9</v>
      </c>
      <c r="GJ73" s="3" t="s">
        <v>10</v>
      </c>
      <c r="GK73" s="3" t="s">
        <v>11</v>
      </c>
      <c r="GL73" s="3" t="s">
        <v>12</v>
      </c>
      <c r="GM73" s="2" t="s">
        <v>93</v>
      </c>
      <c r="GN73" s="3" t="s">
        <v>13</v>
      </c>
      <c r="GO73" s="3" t="s">
        <v>14</v>
      </c>
      <c r="GP73" s="2" t="s">
        <v>50</v>
      </c>
      <c r="GQ73" s="2" t="s">
        <v>56</v>
      </c>
      <c r="GR73" s="2" t="s">
        <v>51</v>
      </c>
      <c r="GS73" s="2" t="s">
        <v>57</v>
      </c>
      <c r="GT73" s="2" t="s">
        <v>58</v>
      </c>
      <c r="GU73" s="2" t="s">
        <v>59</v>
      </c>
      <c r="GV73" s="2" t="s">
        <v>38</v>
      </c>
      <c r="GW73" s="2" t="s">
        <v>39</v>
      </c>
      <c r="GX73" s="3" t="s">
        <v>15</v>
      </c>
      <c r="GY73" s="3" t="s">
        <v>16</v>
      </c>
      <c r="GZ73" s="2" t="s">
        <v>73</v>
      </c>
      <c r="HA73" s="2" t="s">
        <v>75</v>
      </c>
      <c r="HB73" s="3" t="s">
        <v>17</v>
      </c>
      <c r="HC73" s="3" t="s">
        <v>18</v>
      </c>
      <c r="HD73" s="3" t="s">
        <v>19</v>
      </c>
      <c r="HE73" s="3" t="s">
        <v>20</v>
      </c>
      <c r="HF73" s="3" t="s">
        <v>21</v>
      </c>
      <c r="HG73" s="3" t="s">
        <v>22</v>
      </c>
      <c r="HH73" s="18" t="s">
        <v>23</v>
      </c>
      <c r="HI73" s="16" t="s">
        <v>5</v>
      </c>
      <c r="HJ73" s="3" t="s">
        <v>6</v>
      </c>
      <c r="HK73" s="3" t="s">
        <v>7</v>
      </c>
      <c r="HL73" s="3" t="s">
        <v>8</v>
      </c>
      <c r="HM73" s="3" t="s">
        <v>9</v>
      </c>
      <c r="HN73" s="3" t="s">
        <v>10</v>
      </c>
      <c r="HO73" s="3" t="s">
        <v>11</v>
      </c>
      <c r="HP73" s="3" t="s">
        <v>12</v>
      </c>
      <c r="HQ73" s="2" t="s">
        <v>93</v>
      </c>
      <c r="HR73" s="3" t="s">
        <v>13</v>
      </c>
      <c r="HS73" s="3" t="s">
        <v>14</v>
      </c>
      <c r="HT73" s="2" t="s">
        <v>50</v>
      </c>
      <c r="HU73" s="2" t="s">
        <v>56</v>
      </c>
      <c r="HV73" s="2" t="s">
        <v>51</v>
      </c>
      <c r="HW73" s="2" t="s">
        <v>57</v>
      </c>
      <c r="HX73" s="2" t="s">
        <v>58</v>
      </c>
      <c r="HY73" s="2" t="s">
        <v>59</v>
      </c>
      <c r="HZ73" s="2" t="s">
        <v>38</v>
      </c>
      <c r="IA73" s="2" t="s">
        <v>39</v>
      </c>
      <c r="IB73" s="3" t="s">
        <v>15</v>
      </c>
      <c r="IC73" s="3" t="s">
        <v>16</v>
      </c>
      <c r="ID73" s="2" t="s">
        <v>73</v>
      </c>
      <c r="IE73" s="2" t="s">
        <v>75</v>
      </c>
      <c r="IF73" s="3" t="s">
        <v>17</v>
      </c>
      <c r="IG73" s="3" t="s">
        <v>18</v>
      </c>
      <c r="IH73" s="3" t="s">
        <v>19</v>
      </c>
      <c r="II73" s="3" t="s">
        <v>20</v>
      </c>
      <c r="IJ73" s="3" t="s">
        <v>21</v>
      </c>
      <c r="IK73" s="3" t="s">
        <v>22</v>
      </c>
      <c r="IL73" s="18" t="s">
        <v>23</v>
      </c>
      <c r="IM73" s="16" t="s">
        <v>5</v>
      </c>
      <c r="IN73" s="3" t="s">
        <v>6</v>
      </c>
      <c r="IO73" s="3" t="s">
        <v>7</v>
      </c>
      <c r="IP73" s="3" t="s">
        <v>8</v>
      </c>
      <c r="IQ73" s="3" t="s">
        <v>9</v>
      </c>
      <c r="IR73" s="3" t="s">
        <v>10</v>
      </c>
      <c r="IS73" s="3" t="s">
        <v>11</v>
      </c>
      <c r="IT73" s="3" t="s">
        <v>12</v>
      </c>
      <c r="IU73" s="2" t="s">
        <v>93</v>
      </c>
      <c r="IV73" s="3" t="s">
        <v>13</v>
      </c>
      <c r="IW73" s="3" t="s">
        <v>14</v>
      </c>
      <c r="IX73" s="2" t="s">
        <v>50</v>
      </c>
      <c r="IY73" s="2" t="s">
        <v>56</v>
      </c>
      <c r="IZ73" s="2" t="s">
        <v>51</v>
      </c>
      <c r="JA73" s="2" t="s">
        <v>57</v>
      </c>
      <c r="JB73" s="2" t="s">
        <v>58</v>
      </c>
      <c r="JC73" s="2" t="s">
        <v>59</v>
      </c>
      <c r="JD73" s="2" t="s">
        <v>38</v>
      </c>
      <c r="JE73" s="2" t="s">
        <v>39</v>
      </c>
      <c r="JF73" s="3" t="s">
        <v>15</v>
      </c>
      <c r="JG73" s="3" t="s">
        <v>16</v>
      </c>
      <c r="JH73" s="2" t="s">
        <v>73</v>
      </c>
      <c r="JI73" s="2" t="s">
        <v>75</v>
      </c>
      <c r="JJ73" s="3" t="s">
        <v>17</v>
      </c>
      <c r="JK73" s="3" t="s">
        <v>18</v>
      </c>
      <c r="JL73" s="3" t="s">
        <v>19</v>
      </c>
      <c r="JM73" s="3" t="s">
        <v>20</v>
      </c>
      <c r="JN73" s="3" t="s">
        <v>21</v>
      </c>
      <c r="JO73" s="3" t="s">
        <v>22</v>
      </c>
      <c r="JP73" s="18" t="s">
        <v>23</v>
      </c>
      <c r="JQ73" s="16" t="s">
        <v>5</v>
      </c>
      <c r="JR73" s="3" t="s">
        <v>6</v>
      </c>
      <c r="JS73" s="3" t="s">
        <v>7</v>
      </c>
      <c r="JT73" s="3" t="s">
        <v>8</v>
      </c>
      <c r="JU73" s="3" t="s">
        <v>9</v>
      </c>
      <c r="JV73" s="3" t="s">
        <v>10</v>
      </c>
      <c r="JW73" s="3" t="s">
        <v>11</v>
      </c>
      <c r="JX73" s="3" t="s">
        <v>12</v>
      </c>
      <c r="JY73" s="2" t="s">
        <v>93</v>
      </c>
      <c r="JZ73" s="3" t="s">
        <v>13</v>
      </c>
      <c r="KA73" s="3" t="s">
        <v>14</v>
      </c>
      <c r="KB73" s="2" t="s">
        <v>50</v>
      </c>
      <c r="KC73" s="2" t="s">
        <v>56</v>
      </c>
      <c r="KD73" s="2" t="s">
        <v>51</v>
      </c>
      <c r="KE73" s="2" t="s">
        <v>57</v>
      </c>
      <c r="KF73" s="2" t="s">
        <v>58</v>
      </c>
      <c r="KG73" s="2" t="s">
        <v>59</v>
      </c>
      <c r="KH73" s="2" t="s">
        <v>38</v>
      </c>
      <c r="KI73" s="2" t="s">
        <v>39</v>
      </c>
      <c r="KJ73" s="3" t="s">
        <v>15</v>
      </c>
      <c r="KK73" s="3" t="s">
        <v>16</v>
      </c>
      <c r="KL73" s="2" t="s">
        <v>73</v>
      </c>
      <c r="KM73" s="2" t="s">
        <v>75</v>
      </c>
      <c r="KN73" s="3" t="s">
        <v>17</v>
      </c>
      <c r="KO73" s="3" t="s">
        <v>18</v>
      </c>
      <c r="KP73" s="3" t="s">
        <v>19</v>
      </c>
      <c r="KQ73" s="3" t="s">
        <v>20</v>
      </c>
      <c r="KR73" s="3" t="s">
        <v>21</v>
      </c>
      <c r="KS73" s="3" t="s">
        <v>22</v>
      </c>
      <c r="KT73" s="18" t="s">
        <v>23</v>
      </c>
    </row>
    <row r="74" spans="1:333" ht="13.2" x14ac:dyDescent="0.25">
      <c r="A74" s="179"/>
      <c r="B74" s="175" t="s">
        <v>24</v>
      </c>
      <c r="C74" s="7">
        <v>1</v>
      </c>
      <c r="D74" s="7">
        <f>D68+1</f>
        <v>55</v>
      </c>
      <c r="E74" s="7">
        <v>4</v>
      </c>
      <c r="F74" s="8">
        <f>E74+F68</f>
        <v>220</v>
      </c>
      <c r="G74" s="55">
        <v>6</v>
      </c>
      <c r="H74" s="9">
        <f>G74+H68</f>
        <v>268</v>
      </c>
      <c r="I74" s="55">
        <v>2</v>
      </c>
      <c r="J74" s="9">
        <f>I74+J68</f>
        <v>106</v>
      </c>
      <c r="K74" s="9">
        <f t="shared" ref="K74:K82" si="1737">IF(G74-I74&lt;=$E74-2,1,0)</f>
        <v>0</v>
      </c>
      <c r="L74" s="9">
        <f>K74+L68</f>
        <v>18</v>
      </c>
      <c r="M74" s="9">
        <f t="shared" ref="M74:M82" si="1738">IF(K74=0,IF(G74=$E74,1,0),0)</f>
        <v>0</v>
      </c>
      <c r="N74" s="9">
        <f>M74+N68</f>
        <v>6</v>
      </c>
      <c r="O74" s="9"/>
      <c r="P74" s="9">
        <f t="shared" ref="P74:P82" si="1739">IF($E74-G74=1,1,0)</f>
        <v>0</v>
      </c>
      <c r="Q74" s="9">
        <f>P74+Q68</f>
        <v>3</v>
      </c>
      <c r="R74" s="9">
        <f t="shared" ref="R74:R82" si="1740">IF(G74=$E74,1,0)</f>
        <v>0</v>
      </c>
      <c r="S74" s="9">
        <f>R74</f>
        <v>0</v>
      </c>
      <c r="T74" s="9">
        <f t="shared" ref="T74:T82" si="1741">IF(G74-$E74=1,1,0)</f>
        <v>0</v>
      </c>
      <c r="U74" s="9">
        <f>T74</f>
        <v>0</v>
      </c>
      <c r="V74" s="9">
        <f t="shared" ref="V74:V82" si="1742">IF(G74-$E74&gt;=2,1,0)</f>
        <v>1</v>
      </c>
      <c r="W74" s="9">
        <f>V74</f>
        <v>1</v>
      </c>
      <c r="X74" s="9">
        <f t="shared" ref="X74:X82" si="1743">IF(I74=0,1,0)</f>
        <v>0</v>
      </c>
      <c r="Y74" s="9">
        <f>X74</f>
        <v>0</v>
      </c>
      <c r="Z74" s="9">
        <f t="shared" ref="Z74:Z82" si="1744">IF(I74=1,1,0)</f>
        <v>0</v>
      </c>
      <c r="AA74" s="9">
        <f>Z74+AA68</f>
        <v>9</v>
      </c>
      <c r="AB74" s="9">
        <f t="shared" ref="AB74:AB82" si="1745">IF(I74=2,1,0)</f>
        <v>1</v>
      </c>
      <c r="AC74" s="9">
        <f>AB74</f>
        <v>1</v>
      </c>
      <c r="AD74" s="9">
        <f t="shared" ref="AD74:AD82" si="1746">IF(I74&gt;=3,1,0)</f>
        <v>0</v>
      </c>
      <c r="AE74" s="9">
        <f>AD74+AE68</f>
        <v>8</v>
      </c>
      <c r="AF74" s="2"/>
      <c r="AG74" s="2">
        <f>IF($E74=4,G74-4,NA())</f>
        <v>2</v>
      </c>
      <c r="AH74" s="2"/>
      <c r="AI74" s="10">
        <f>G74-'Zusammenfassung Tag1-4'!$B$2/18</f>
        <v>5.166666666666667</v>
      </c>
      <c r="AJ74" s="11">
        <f>AI74+AJ68</f>
        <v>222.16666666666649</v>
      </c>
      <c r="AK74" s="52">
        <v>10</v>
      </c>
      <c r="AL74" s="9">
        <f>AK74+AL68</f>
        <v>269</v>
      </c>
      <c r="AM74" s="55">
        <v>2</v>
      </c>
      <c r="AN74" s="9">
        <f>AM74+AN68</f>
        <v>100</v>
      </c>
      <c r="AO74" s="9">
        <f t="shared" ref="AO74:AO82" si="1747">IF(AK74-AM74&lt;=$E74-2,1,0)</f>
        <v>0</v>
      </c>
      <c r="AP74" s="9">
        <f>AO74+AP68</f>
        <v>24</v>
      </c>
      <c r="AQ74" s="9">
        <f t="shared" ref="AQ74:AQ82" si="1748">IF(AO74=0,IF(AK74=$E74,1,0),0)</f>
        <v>0</v>
      </c>
      <c r="AR74" s="9">
        <f>AQ74+AR68</f>
        <v>7</v>
      </c>
      <c r="AS74" s="9"/>
      <c r="AT74" s="9">
        <f t="shared" ref="AT74:AT82" si="1749">IF($E74-AK74=1,1,0)</f>
        <v>0</v>
      </c>
      <c r="AU74" s="9">
        <f>AT74+AU68</f>
        <v>0</v>
      </c>
      <c r="AV74" s="9">
        <f>IF(AK74=$E74,1,0)</f>
        <v>0</v>
      </c>
      <c r="AW74" s="9">
        <f>AV74</f>
        <v>0</v>
      </c>
      <c r="AX74" s="9">
        <f>IF(AK74-$E74=1,1,0)</f>
        <v>0</v>
      </c>
      <c r="AY74" s="9">
        <f>AX74</f>
        <v>0</v>
      </c>
      <c r="AZ74" s="9">
        <f>IF(AK74-$E74&gt;=2,1,0)</f>
        <v>1</v>
      </c>
      <c r="BA74" s="9">
        <f>AZ74</f>
        <v>1</v>
      </c>
      <c r="BB74" s="9">
        <f>IF(AM74=0,1,0)</f>
        <v>0</v>
      </c>
      <c r="BC74" s="9">
        <f>BB74</f>
        <v>0</v>
      </c>
      <c r="BD74" s="9">
        <f t="shared" ref="BD74:BD82" si="1750">IF(AM74=1,1,0)</f>
        <v>0</v>
      </c>
      <c r="BE74" s="9">
        <f>BD74+BE68</f>
        <v>14</v>
      </c>
      <c r="BF74" s="9">
        <f>IF(AM74=2,1,0)</f>
        <v>1</v>
      </c>
      <c r="BG74" s="9">
        <f>BF74</f>
        <v>1</v>
      </c>
      <c r="BH74" s="9">
        <f t="shared" ref="BH74:BH82" si="1751">IF(AM74&gt;=3,1,0)</f>
        <v>0</v>
      </c>
      <c r="BI74" s="9">
        <f>BH74+BI68</f>
        <v>4</v>
      </c>
      <c r="BJ74" s="2"/>
      <c r="BK74" s="2">
        <f>IF($E74=4,AK74-4,NA())</f>
        <v>6</v>
      </c>
      <c r="BL74" s="2"/>
      <c r="BM74" s="10">
        <f>AK74-'Zusammenfassung Tag1-4'!$C$2/18</f>
        <v>9.4444444444444446</v>
      </c>
      <c r="BN74" s="11">
        <f>BM74+BN68</f>
        <v>238.44444444444474</v>
      </c>
      <c r="BO74" s="52">
        <v>4</v>
      </c>
      <c r="BP74" s="9">
        <f>BO74+BP68</f>
        <v>323</v>
      </c>
      <c r="BQ74" s="55">
        <v>2</v>
      </c>
      <c r="BR74" s="9">
        <f>BQ74+BR68</f>
        <v>124</v>
      </c>
      <c r="BS74" s="9">
        <f t="shared" ref="BS74:BS82" si="1752">IF(BO74-BQ74&lt;=$E74-2,1,0)</f>
        <v>1</v>
      </c>
      <c r="BT74" s="9">
        <f>BS74+BT68</f>
        <v>11</v>
      </c>
      <c r="BU74" s="9">
        <f t="shared" ref="BU74:BU82" si="1753">IF(BS74=0,IF(BO74=$E74,1,0),0)</f>
        <v>0</v>
      </c>
      <c r="BV74" s="9">
        <f>BU74+BV68</f>
        <v>0</v>
      </c>
      <c r="BW74" s="9"/>
      <c r="BX74" s="9">
        <f t="shared" ref="BX74:BX82" si="1754">IF($E74-BO74=1,1,0)</f>
        <v>0</v>
      </c>
      <c r="BY74" s="9">
        <f>BX74</f>
        <v>0</v>
      </c>
      <c r="BZ74" s="9">
        <f>IF(BO74=$E74,1,0)</f>
        <v>1</v>
      </c>
      <c r="CA74" s="9">
        <f>BZ74</f>
        <v>1</v>
      </c>
      <c r="CB74" s="9">
        <f>IF(BO74-$E74=1,1,0)</f>
        <v>0</v>
      </c>
      <c r="CC74" s="9">
        <f>CB74</f>
        <v>0</v>
      </c>
      <c r="CD74" s="9">
        <f>IF(BO74-$E74&gt;=2,1,0)</f>
        <v>0</v>
      </c>
      <c r="CE74" s="9">
        <f>CD74</f>
        <v>0</v>
      </c>
      <c r="CF74" s="9">
        <f>IF(BQ74=0,1,0)</f>
        <v>0</v>
      </c>
      <c r="CG74" s="9">
        <f>CF74</f>
        <v>0</v>
      </c>
      <c r="CH74" s="9">
        <f t="shared" ref="CH74:CH82" si="1755">IF(BQ74=1,1,0)</f>
        <v>0</v>
      </c>
      <c r="CI74" s="9">
        <f>CH74+CI68</f>
        <v>2</v>
      </c>
      <c r="CJ74" s="9">
        <f>IF(BQ74=2,1,0)</f>
        <v>1</v>
      </c>
      <c r="CK74" s="9">
        <f>CJ74</f>
        <v>1</v>
      </c>
      <c r="CL74" s="9">
        <f t="shared" ref="CL74:CL82" si="1756">IF(BQ74&gt;=3,1,0)</f>
        <v>0</v>
      </c>
      <c r="CM74" s="9">
        <f>CL74+CM68</f>
        <v>16</v>
      </c>
      <c r="CN74" s="2"/>
      <c r="CO74" s="2">
        <f>IF($E74=4,BO74-4,NA())</f>
        <v>0</v>
      </c>
      <c r="CP74" s="2"/>
      <c r="CQ74" s="10">
        <f>BO74-'Zusammenfassung Tag1-4'!$D$2/18</f>
        <v>2.9444444444444446</v>
      </c>
      <c r="CR74" s="11">
        <f>CQ74+CR68</f>
        <v>264.94444444444474</v>
      </c>
      <c r="CS74" s="52">
        <v>5</v>
      </c>
      <c r="CT74" s="9">
        <f>CS74+CT68</f>
        <v>283</v>
      </c>
      <c r="CU74" s="55">
        <v>2</v>
      </c>
      <c r="CV74" s="9">
        <f>CU74+CV68</f>
        <v>114</v>
      </c>
      <c r="CW74" s="9">
        <f t="shared" ref="CW74:CW82" si="1757">IF(CS74-CU74&lt;=$E74-2,1,0)</f>
        <v>0</v>
      </c>
      <c r="CX74" s="9">
        <f>CW74+CX68</f>
        <v>17</v>
      </c>
      <c r="CY74" s="9">
        <f t="shared" ref="CY74:CY82" si="1758">IF(CW74=0,IF(CS74=$E74,1,0),0)</f>
        <v>0</v>
      </c>
      <c r="CZ74" s="9">
        <f>CY74+CZ68</f>
        <v>5</v>
      </c>
      <c r="DA74" s="9"/>
      <c r="DB74" s="9">
        <f t="shared" ref="DB74:DB82" si="1759">IF($E74-CS74=1,1,0)</f>
        <v>0</v>
      </c>
      <c r="DC74" s="9">
        <f>DB74</f>
        <v>0</v>
      </c>
      <c r="DD74" s="9">
        <f>IF(CS74=$E74,1,0)</f>
        <v>0</v>
      </c>
      <c r="DE74" s="9">
        <f>DD74</f>
        <v>0</v>
      </c>
      <c r="DF74" s="9">
        <f>IF(CS74-$E74=1,1,0)</f>
        <v>1</v>
      </c>
      <c r="DG74" s="9">
        <f>DF74</f>
        <v>1</v>
      </c>
      <c r="DH74" s="9">
        <f>IF(CS74-$E74&gt;=2,1,0)</f>
        <v>0</v>
      </c>
      <c r="DI74" s="9">
        <f>DH74</f>
        <v>0</v>
      </c>
      <c r="DJ74" s="9">
        <f>IF(CU74=0,1,0)</f>
        <v>0</v>
      </c>
      <c r="DK74" s="9">
        <f>DJ74</f>
        <v>0</v>
      </c>
      <c r="DL74" s="9">
        <f t="shared" ref="DL74:DL82" si="1760">IF(CU74=1,1,0)</f>
        <v>0</v>
      </c>
      <c r="DM74" s="9">
        <f>DL74+DM68</f>
        <v>11</v>
      </c>
      <c r="DN74" s="9">
        <f>IF(CU74=2,1,0)</f>
        <v>1</v>
      </c>
      <c r="DO74" s="9">
        <f>DN74</f>
        <v>1</v>
      </c>
      <c r="DP74" s="9">
        <f t="shared" ref="DP74:DP82" si="1761">IF(CU74&gt;=3,1,0)</f>
        <v>0</v>
      </c>
      <c r="DQ74" s="9">
        <f>DP74+DQ68</f>
        <v>14</v>
      </c>
      <c r="DR74" s="2"/>
      <c r="DS74" s="2">
        <f>IF($E74=4,CS74-4,NA())</f>
        <v>1</v>
      </c>
      <c r="DT74" s="2"/>
      <c r="DU74" s="10">
        <f>CS74-'Zusammenfassung Tag1-4'!$E$2/18</f>
        <v>4</v>
      </c>
      <c r="DV74" s="12">
        <f>DU74+DV68</f>
        <v>228</v>
      </c>
      <c r="DW74" s="52">
        <v>6</v>
      </c>
      <c r="DX74" s="9">
        <v>89</v>
      </c>
      <c r="DY74" s="55">
        <v>3</v>
      </c>
      <c r="DZ74" s="9">
        <f>DY74+DZ68</f>
        <v>121</v>
      </c>
      <c r="EA74" s="9">
        <f t="shared" ref="EA74:EA82" si="1762">IF(DW74-DY74&lt;=$E74-2,1,0)</f>
        <v>0</v>
      </c>
      <c r="EB74" s="9">
        <f>EA74+EB68</f>
        <v>0</v>
      </c>
      <c r="EC74" s="9">
        <f t="shared" ref="EC74:EC82" si="1763">IF(EA74=0,IF(DW74=$E74,1,0),0)</f>
        <v>0</v>
      </c>
      <c r="ED74" s="9">
        <f>EC74+ED68</f>
        <v>1</v>
      </c>
      <c r="EE74" s="9"/>
      <c r="EF74" s="9">
        <f t="shared" ref="EF74:EF82" si="1764">IF($E74-DW74=1,1,0)</f>
        <v>0</v>
      </c>
      <c r="EG74" s="9">
        <f>EF74</f>
        <v>0</v>
      </c>
      <c r="EH74" s="9">
        <f>IF(DW74=$E74,1,0)</f>
        <v>0</v>
      </c>
      <c r="EI74" s="9">
        <f>EH74</f>
        <v>0</v>
      </c>
      <c r="EJ74" s="9">
        <f>IF(DW74-$E74=1,1,0)</f>
        <v>0</v>
      </c>
      <c r="EK74" s="9">
        <f>EJ74</f>
        <v>0</v>
      </c>
      <c r="EL74" s="9">
        <f>IF(DW74-$E74&gt;=2,1,0)</f>
        <v>1</v>
      </c>
      <c r="EM74" s="9">
        <f>EL74</f>
        <v>1</v>
      </c>
      <c r="EN74" s="9">
        <f>IF(DY74=0,1,0)</f>
        <v>0</v>
      </c>
      <c r="EO74" s="9">
        <f>EN74</f>
        <v>0</v>
      </c>
      <c r="EP74" s="9">
        <f t="shared" ref="EP74:EP82" si="1765">IF(DY74=1,1,0)</f>
        <v>0</v>
      </c>
      <c r="EQ74" s="9">
        <f>EP74+EQ68</f>
        <v>6</v>
      </c>
      <c r="ER74" s="9">
        <f>IF(DY74=2,1,0)</f>
        <v>0</v>
      </c>
      <c r="ES74" s="9">
        <f>ER74</f>
        <v>0</v>
      </c>
      <c r="ET74" s="9">
        <f t="shared" ref="ET74:ET82" si="1766">IF(DY74&gt;=3,1,0)</f>
        <v>1</v>
      </c>
      <c r="EU74" s="9">
        <f>ET74+EU68</f>
        <v>16</v>
      </c>
      <c r="EV74" s="2"/>
      <c r="EW74" s="2">
        <f>IF($E74=4,DW74-4,NA())</f>
        <v>2</v>
      </c>
      <c r="EX74" s="2"/>
      <c r="EY74" s="10">
        <f>DW74-'Zusammenfassung Tag1-4'!$F$2/18</f>
        <v>3.5</v>
      </c>
      <c r="EZ74" s="12">
        <f>EY74+EZ68</f>
        <v>242.5</v>
      </c>
      <c r="FA74" s="52">
        <v>7</v>
      </c>
      <c r="FB74" s="9">
        <v>309</v>
      </c>
      <c r="FC74" s="55">
        <v>2</v>
      </c>
      <c r="FD74" s="9">
        <f>FC74+FD68</f>
        <v>107</v>
      </c>
      <c r="FE74" s="9">
        <f t="shared" ref="FE74:FE82" si="1767">IF(FA74-FC74&lt;=$E74-2,1,0)</f>
        <v>0</v>
      </c>
      <c r="FF74" s="9">
        <f>FE74+FF68</f>
        <v>10</v>
      </c>
      <c r="FG74" s="9">
        <f t="shared" ref="FG74:FG82" si="1768">IF(FE74=0,IF(FA74=$E74,1,0),0)</f>
        <v>0</v>
      </c>
      <c r="FH74" s="9">
        <f>FG74+FH68</f>
        <v>4</v>
      </c>
      <c r="FI74" s="9"/>
      <c r="FJ74" s="9">
        <f t="shared" ref="FJ74:FJ82" si="1769">IF($E74-FA74=1,1,0)</f>
        <v>0</v>
      </c>
      <c r="FK74" s="9">
        <f>FJ74</f>
        <v>0</v>
      </c>
      <c r="FL74" s="9">
        <f>IF(FA74=$E74,1,0)</f>
        <v>0</v>
      </c>
      <c r="FM74" s="9">
        <f>FL74</f>
        <v>0</v>
      </c>
      <c r="FN74" s="9">
        <f>IF(FA74-$E74=1,1,0)</f>
        <v>0</v>
      </c>
      <c r="FO74" s="9">
        <f>FN74</f>
        <v>0</v>
      </c>
      <c r="FP74" s="9">
        <f>IF(FA74-$E74&gt;=2,1,0)</f>
        <v>1</v>
      </c>
      <c r="FQ74" s="9">
        <f>FP74</f>
        <v>1</v>
      </c>
      <c r="FR74" s="9">
        <f>IF(FC74=0,1,0)</f>
        <v>0</v>
      </c>
      <c r="FS74" s="9">
        <f>FR74</f>
        <v>0</v>
      </c>
      <c r="FT74" s="9">
        <f t="shared" ref="FT74:FT82" si="1770">IF(FC74=1,1,0)</f>
        <v>0</v>
      </c>
      <c r="FU74" s="9">
        <f>FT74+FU68</f>
        <v>15</v>
      </c>
      <c r="FV74" s="9">
        <f>IF(FC74=2,1,0)</f>
        <v>1</v>
      </c>
      <c r="FW74" s="9">
        <f>FV74</f>
        <v>1</v>
      </c>
      <c r="FX74" s="9">
        <f t="shared" ref="FX74:FX82" si="1771">IF(FC74&gt;=3,1,0)</f>
        <v>0</v>
      </c>
      <c r="FY74" s="9">
        <f>FX74+FY68</f>
        <v>12</v>
      </c>
      <c r="FZ74" s="2"/>
      <c r="GA74" s="2">
        <f>IF($E74=4,FA74-4,NA())</f>
        <v>3</v>
      </c>
      <c r="GB74" s="2"/>
      <c r="GC74" s="10">
        <f>FA74-'Zusammenfassung Tag1-4'!$G$2/18</f>
        <v>5.7222222222222223</v>
      </c>
      <c r="GD74" s="12">
        <f>GC74+GD68</f>
        <v>233.72222222222246</v>
      </c>
      <c r="GE74" s="52">
        <v>6</v>
      </c>
      <c r="GF74" s="9">
        <v>399</v>
      </c>
      <c r="GG74" s="55">
        <v>2</v>
      </c>
      <c r="GH74" s="9">
        <f>GG74+GH68</f>
        <v>116</v>
      </c>
      <c r="GI74" s="9">
        <f t="shared" ref="GI74:GI82" si="1772">IF(GE74-GG74&lt;=$E74-2,1,0)</f>
        <v>0</v>
      </c>
      <c r="GJ74" s="9">
        <f>GI74+GJ68</f>
        <v>1</v>
      </c>
      <c r="GK74" s="9">
        <f t="shared" ref="GK74:GK82" si="1773">IF(GI74=0,IF(GE74=$E74,1,0),0)</f>
        <v>0</v>
      </c>
      <c r="GL74" s="9">
        <f>GK74+GL68</f>
        <v>1</v>
      </c>
      <c r="GM74" s="9"/>
      <c r="GN74" s="9">
        <f t="shared" ref="GN74:GN82" si="1774">IF($E74-GE74=1,1,0)</f>
        <v>0</v>
      </c>
      <c r="GO74" s="9">
        <f>GN74</f>
        <v>0</v>
      </c>
      <c r="GP74" s="9">
        <f>IF(GE74=$E74,1,0)</f>
        <v>0</v>
      </c>
      <c r="GQ74" s="9">
        <f>GP74</f>
        <v>0</v>
      </c>
      <c r="GR74" s="9">
        <f>IF(GE74-$E74=1,1,0)</f>
        <v>0</v>
      </c>
      <c r="GS74" s="9">
        <f>GR74</f>
        <v>0</v>
      </c>
      <c r="GT74" s="9">
        <f>IF(GE74-$E74&gt;=2,1,0)</f>
        <v>1</v>
      </c>
      <c r="GU74" s="9">
        <f>GT74</f>
        <v>1</v>
      </c>
      <c r="GV74" s="9">
        <f>IF(GG74=0,1,0)</f>
        <v>0</v>
      </c>
      <c r="GW74" s="9">
        <f>GV74</f>
        <v>0</v>
      </c>
      <c r="GX74" s="9">
        <f t="shared" ref="GX74:GX82" si="1775">IF(GG74=1,1,0)</f>
        <v>0</v>
      </c>
      <c r="GY74" s="9">
        <f>GX74+GY68</f>
        <v>6</v>
      </c>
      <c r="GZ74" s="9">
        <f>IF(GG74=2,1,0)</f>
        <v>1</v>
      </c>
      <c r="HA74" s="9">
        <f>GZ74</f>
        <v>1</v>
      </c>
      <c r="HB74" s="9">
        <f t="shared" ref="HB74:HB82" si="1776">IF(GG74&gt;=3,1,0)</f>
        <v>0</v>
      </c>
      <c r="HC74" s="9">
        <f>HB74+HC68</f>
        <v>12</v>
      </c>
      <c r="HD74" s="2"/>
      <c r="HE74" s="2">
        <f>IF($E74=4,GE74-4,NA())</f>
        <v>2</v>
      </c>
      <c r="HF74" s="2"/>
      <c r="HG74" s="10">
        <f>GE74-'Zusammenfassung Tag1-4'!$H$2/18</f>
        <v>4.2222222222222223</v>
      </c>
      <c r="HH74" s="12">
        <f>HG74+HH68</f>
        <v>264.22222222222246</v>
      </c>
      <c r="HI74" s="52">
        <v>4</v>
      </c>
      <c r="HJ74" s="9">
        <v>293</v>
      </c>
      <c r="HK74" s="55">
        <v>2</v>
      </c>
      <c r="HL74" s="9">
        <f>HK74+HL68</f>
        <v>104</v>
      </c>
      <c r="HM74" s="9">
        <f t="shared" ref="HM74:HM82" si="1777">IF(HI74-HK74&lt;=$E74-2,1,0)</f>
        <v>1</v>
      </c>
      <c r="HN74" s="9">
        <f>HM74+HN68</f>
        <v>11</v>
      </c>
      <c r="HO74" s="9">
        <f t="shared" ref="HO74:HO82" si="1778">IF(HM74=0,IF(HI74=$E74,1,0),0)</f>
        <v>0</v>
      </c>
      <c r="HP74" s="9">
        <f>HO74+HP68</f>
        <v>7</v>
      </c>
      <c r="HQ74" s="9"/>
      <c r="HR74" s="9">
        <f t="shared" ref="HR74:HR82" si="1779">IF($E74-HI74=1,1,0)</f>
        <v>0</v>
      </c>
      <c r="HS74" s="9">
        <f>HR74</f>
        <v>0</v>
      </c>
      <c r="HT74" s="9">
        <f>IF(HI74=$E74,1,0)</f>
        <v>1</v>
      </c>
      <c r="HU74" s="9">
        <f>HT74</f>
        <v>1</v>
      </c>
      <c r="HV74" s="9">
        <f>IF(HI74-$E74=1,1,0)</f>
        <v>0</v>
      </c>
      <c r="HW74" s="9">
        <f>HV74</f>
        <v>0</v>
      </c>
      <c r="HX74" s="9">
        <f>IF(HI74-$E74&gt;=2,1,0)</f>
        <v>0</v>
      </c>
      <c r="HY74" s="9">
        <f>HX74</f>
        <v>0</v>
      </c>
      <c r="HZ74" s="9">
        <f>IF(HK74=0,1,0)</f>
        <v>0</v>
      </c>
      <c r="IA74" s="9">
        <f>HZ74</f>
        <v>0</v>
      </c>
      <c r="IB74" s="9">
        <f t="shared" ref="IB74:IB82" si="1780">IF(HK74=1,1,0)</f>
        <v>0</v>
      </c>
      <c r="IC74" s="9">
        <f>IB74+IC68</f>
        <v>13</v>
      </c>
      <c r="ID74" s="9">
        <f>IF(HK74=2,1,0)</f>
        <v>1</v>
      </c>
      <c r="IE74" s="9">
        <f>ID74</f>
        <v>1</v>
      </c>
      <c r="IF74" s="9">
        <f t="shared" ref="IF74:IF82" si="1781">IF(HK74&gt;=3,1,0)</f>
        <v>0</v>
      </c>
      <c r="IG74" s="9">
        <f>IF74+IG68</f>
        <v>9</v>
      </c>
      <c r="IH74" s="2"/>
      <c r="II74" s="2">
        <f>IF($E74=4,HI74-4,NA())</f>
        <v>0</v>
      </c>
      <c r="IJ74" s="2"/>
      <c r="IK74" s="10">
        <f>HI74-'Zusammenfassung Tag1-4'!$I$2/18</f>
        <v>3.1111111111111112</v>
      </c>
      <c r="IL74" s="12">
        <f>IK74+IL68</f>
        <v>240.11111111111126</v>
      </c>
      <c r="IM74" s="52">
        <v>7</v>
      </c>
      <c r="IN74" s="9">
        <v>9</v>
      </c>
      <c r="IO74" s="55">
        <v>2</v>
      </c>
      <c r="IP74" s="9">
        <f>IO74+IP68</f>
        <v>131</v>
      </c>
      <c r="IQ74" s="9">
        <f t="shared" ref="IQ74:IQ82" si="1782">IF(IM74-IO74&lt;=$E74-2,1,0)</f>
        <v>0</v>
      </c>
      <c r="IR74" s="9">
        <f>IQ74+IR68</f>
        <v>7</v>
      </c>
      <c r="IS74" s="9">
        <f t="shared" ref="IS74:IS82" si="1783">IF(IQ74=0,IF(IM74=$E74,1,0),0)</f>
        <v>0</v>
      </c>
      <c r="IT74" s="9">
        <f>IS74+IT68</f>
        <v>1</v>
      </c>
      <c r="IU74" s="9"/>
      <c r="IV74" s="9">
        <f t="shared" ref="IV74:IV82" si="1784">IF($E74-IM74=1,1,0)</f>
        <v>0</v>
      </c>
      <c r="IW74" s="9">
        <f>IV74</f>
        <v>0</v>
      </c>
      <c r="IX74" s="9">
        <f>IF(IM74=$E74,1,0)</f>
        <v>0</v>
      </c>
      <c r="IY74" s="9">
        <f>IX74</f>
        <v>0</v>
      </c>
      <c r="IZ74" s="9">
        <f>IF(IM74-$E74=1,1,0)</f>
        <v>0</v>
      </c>
      <c r="JA74" s="9">
        <f>IZ74</f>
        <v>0</v>
      </c>
      <c r="JB74" s="9">
        <f>IF(IM74-$E74&gt;=2,1,0)</f>
        <v>1</v>
      </c>
      <c r="JC74" s="9">
        <f>JB74</f>
        <v>1</v>
      </c>
      <c r="JD74" s="9">
        <f>IF(IO74=0,1,0)</f>
        <v>0</v>
      </c>
      <c r="JE74" s="9">
        <f>JD74</f>
        <v>0</v>
      </c>
      <c r="JF74" s="9">
        <f t="shared" ref="JF74:JF82" si="1785">IF(IO74=1,1,0)</f>
        <v>0</v>
      </c>
      <c r="JG74" s="9">
        <f>JF74+JG68</f>
        <v>8</v>
      </c>
      <c r="JH74" s="9">
        <f>IF(IO74=2,1,0)</f>
        <v>1</v>
      </c>
      <c r="JI74" s="9">
        <f>JH74</f>
        <v>1</v>
      </c>
      <c r="JJ74" s="9">
        <f t="shared" ref="JJ74:JJ82" si="1786">IF(IO74&gt;=3,1,0)</f>
        <v>0</v>
      </c>
      <c r="JK74" s="9">
        <f>JJ74+JK68</f>
        <v>22</v>
      </c>
      <c r="JL74" s="2"/>
      <c r="JM74" s="2">
        <f>IF($E74=4,IM74-4,NA())</f>
        <v>3</v>
      </c>
      <c r="JN74" s="2"/>
      <c r="JO74" s="10">
        <f>IM74-'Zusammenfassung Tag1-4'!$J$2/18</f>
        <v>4.6666666666666661</v>
      </c>
      <c r="JP74" s="12">
        <f>JO74+JP68</f>
        <v>250.66666666666646</v>
      </c>
      <c r="JQ74" s="52"/>
      <c r="JR74" s="9"/>
      <c r="JS74" s="55"/>
      <c r="JT74" s="9">
        <f>JS74+JT68</f>
        <v>0</v>
      </c>
      <c r="JU74" s="9">
        <f t="shared" ref="JU74:JU82" si="1787">IF(JQ74-JS74&lt;=$E74-2,1,0)</f>
        <v>1</v>
      </c>
      <c r="JV74" s="9">
        <f>JU74+JV68</f>
        <v>55</v>
      </c>
      <c r="JW74" s="9">
        <f t="shared" ref="JW74:JW82" si="1788">IF(JU74=0,IF(JQ74=$E74,1,0),0)</f>
        <v>0</v>
      </c>
      <c r="JX74" s="9">
        <f>JW74+JX68</f>
        <v>0</v>
      </c>
      <c r="JY74" s="9"/>
      <c r="JZ74" s="9">
        <f t="shared" ref="JZ74:JZ82" si="1789">IF($E74-JQ74=1,1,0)</f>
        <v>0</v>
      </c>
      <c r="KA74" s="9">
        <f>JZ74</f>
        <v>0</v>
      </c>
      <c r="KB74" s="9">
        <f>IF(JQ74=$E74,1,0)</f>
        <v>0</v>
      </c>
      <c r="KC74" s="9">
        <f>KB74</f>
        <v>0</v>
      </c>
      <c r="KD74" s="9">
        <f>IF(JQ74-$E74=1,1,0)</f>
        <v>0</v>
      </c>
      <c r="KE74" s="9">
        <f>KD74</f>
        <v>0</v>
      </c>
      <c r="KF74" s="9">
        <f>IF(JQ74-$E74&gt;=2,1,0)</f>
        <v>0</v>
      </c>
      <c r="KG74" s="9">
        <f>KF74</f>
        <v>0</v>
      </c>
      <c r="KH74" s="9">
        <f>IF(JS74=0,1,0)</f>
        <v>1</v>
      </c>
      <c r="KI74" s="9">
        <f>KH74</f>
        <v>1</v>
      </c>
      <c r="KJ74" s="9">
        <f t="shared" ref="KJ74:KJ82" si="1790">IF(JS74=1,1,0)</f>
        <v>0</v>
      </c>
      <c r="KK74" s="9">
        <f>KJ74+KK68</f>
        <v>0</v>
      </c>
      <c r="KL74" s="9">
        <f>IF(JS74=2,1,0)</f>
        <v>0</v>
      </c>
      <c r="KM74" s="9">
        <f>KL74</f>
        <v>0</v>
      </c>
      <c r="KN74" s="9">
        <f t="shared" ref="KN74:KN82" si="1791">IF(JS74&gt;=3,1,0)</f>
        <v>0</v>
      </c>
      <c r="KO74" s="9">
        <f>KN74+KO68</f>
        <v>0</v>
      </c>
      <c r="KP74" s="2"/>
      <c r="KQ74" s="2">
        <f>IF($E74=4,JQ74-4,NA())</f>
        <v>-4</v>
      </c>
      <c r="KR74" s="2"/>
      <c r="KS74" s="10" t="e">
        <f>JQ74-'Zusammenfassung Tag1-4'!#REF!/18</f>
        <v>#REF!</v>
      </c>
      <c r="KT74" s="12" t="e">
        <f>KS74+KT68</f>
        <v>#REF!</v>
      </c>
    </row>
    <row r="75" spans="1:333" ht="13.2" x14ac:dyDescent="0.25">
      <c r="A75" s="179"/>
      <c r="B75" s="176"/>
      <c r="C75" s="44">
        <v>2</v>
      </c>
      <c r="D75" s="2">
        <f>D74+1</f>
        <v>56</v>
      </c>
      <c r="E75" s="44">
        <v>5</v>
      </c>
      <c r="F75" s="4">
        <f t="shared" ref="F75:F82" si="1792">E75+F74</f>
        <v>225</v>
      </c>
      <c r="G75" s="56">
        <v>5</v>
      </c>
      <c r="H75" s="2">
        <f>G75+H74</f>
        <v>273</v>
      </c>
      <c r="I75" s="56">
        <v>1</v>
      </c>
      <c r="J75" s="2">
        <f t="shared" ref="J75:J82" si="1793">I75+J74</f>
        <v>107</v>
      </c>
      <c r="K75" s="2">
        <f t="shared" si="1737"/>
        <v>0</v>
      </c>
      <c r="L75" s="2">
        <f t="shared" ref="L75:L82" si="1794">K75+L74</f>
        <v>18</v>
      </c>
      <c r="M75" s="2">
        <f t="shared" si="1738"/>
        <v>1</v>
      </c>
      <c r="N75" s="2">
        <f t="shared" ref="N75:N82" si="1795">M75+N74</f>
        <v>7</v>
      </c>
      <c r="O75" s="2"/>
      <c r="P75" s="2">
        <f t="shared" si="1739"/>
        <v>0</v>
      </c>
      <c r="Q75" s="2">
        <f t="shared" ref="Q75:Q82" si="1796">P75+Q74</f>
        <v>3</v>
      </c>
      <c r="R75" s="2">
        <f t="shared" si="1740"/>
        <v>1</v>
      </c>
      <c r="S75" s="2">
        <f t="shared" ref="S75:S82" si="1797">R75+S74</f>
        <v>1</v>
      </c>
      <c r="T75" s="2">
        <f t="shared" si="1741"/>
        <v>0</v>
      </c>
      <c r="U75" s="2">
        <f t="shared" ref="U75:U82" si="1798">T75+U74</f>
        <v>0</v>
      </c>
      <c r="V75" s="2">
        <f t="shared" si="1742"/>
        <v>0</v>
      </c>
      <c r="W75" s="2">
        <f t="shared" ref="W75:W82" si="1799">V75+W74</f>
        <v>1</v>
      </c>
      <c r="X75" s="2">
        <f t="shared" si="1743"/>
        <v>0</v>
      </c>
      <c r="Y75" s="2">
        <f t="shared" ref="Y75:Y82" si="1800">X75+Y74</f>
        <v>0</v>
      </c>
      <c r="Z75" s="2">
        <f t="shared" si="1744"/>
        <v>1</v>
      </c>
      <c r="AA75" s="2">
        <f t="shared" ref="AA75:AA82" si="1801">Z75+AA74</f>
        <v>10</v>
      </c>
      <c r="AB75" s="2">
        <f t="shared" si="1745"/>
        <v>0</v>
      </c>
      <c r="AC75" s="2">
        <f t="shared" ref="AC75:AC82" si="1802">AB75+AC74</f>
        <v>1</v>
      </c>
      <c r="AD75" s="2">
        <f t="shared" si="1746"/>
        <v>0</v>
      </c>
      <c r="AE75" s="2">
        <f t="shared" ref="AE75:AE82" si="1803">AD75+AE74</f>
        <v>8</v>
      </c>
      <c r="AF75" s="2"/>
      <c r="AG75" s="2"/>
      <c r="AH75" s="2">
        <f>IF($E75=5,G75-5,NA())</f>
        <v>0</v>
      </c>
      <c r="AI75" s="41">
        <f>G75-'Zusammenfassung Tag1-4'!$B$2/18</f>
        <v>4.166666666666667</v>
      </c>
      <c r="AJ75" s="13">
        <f t="shared" ref="AJ75:AJ82" si="1804">AI75+AJ74</f>
        <v>226.33333333333314</v>
      </c>
      <c r="AK75" s="53">
        <v>6</v>
      </c>
      <c r="AL75" s="2">
        <f>AK75+AL74</f>
        <v>275</v>
      </c>
      <c r="AM75" s="56">
        <v>2</v>
      </c>
      <c r="AN75" s="2">
        <f t="shared" ref="AN75:AN82" si="1805">AM75+AN74</f>
        <v>102</v>
      </c>
      <c r="AO75" s="2">
        <f t="shared" si="1747"/>
        <v>0</v>
      </c>
      <c r="AP75" s="2">
        <f t="shared" ref="AP75:AP82" si="1806">AO75+AP74</f>
        <v>24</v>
      </c>
      <c r="AQ75" s="2">
        <f t="shared" si="1748"/>
        <v>0</v>
      </c>
      <c r="AR75" s="2">
        <f t="shared" ref="AR75:AR82" si="1807">AQ75+AR74</f>
        <v>7</v>
      </c>
      <c r="AS75" s="2"/>
      <c r="AT75" s="2">
        <f t="shared" si="1749"/>
        <v>0</v>
      </c>
      <c r="AU75" s="2">
        <f t="shared" ref="AU75:AU82" si="1808">AT75+AU74</f>
        <v>0</v>
      </c>
      <c r="AV75" s="2">
        <f t="shared" ref="AV75:AV81" si="1809">IF(AK75=$E75,1,0)</f>
        <v>0</v>
      </c>
      <c r="AW75" s="2">
        <f t="shared" ref="AW75:AW82" si="1810">AV75+AW74</f>
        <v>0</v>
      </c>
      <c r="AX75" s="2">
        <f t="shared" ref="AX75:AX82" si="1811">IF(AK75-$E75=1,1,0)</f>
        <v>1</v>
      </c>
      <c r="AY75" s="2">
        <f t="shared" ref="AY75:AY82" si="1812">AX75+AY74</f>
        <v>1</v>
      </c>
      <c r="AZ75" s="2">
        <f t="shared" ref="AZ75:AZ82" si="1813">IF(AK75-$E75&gt;=2,1,0)</f>
        <v>0</v>
      </c>
      <c r="BA75" s="2">
        <f t="shared" ref="BA75:BA82" si="1814">AZ75+BA74</f>
        <v>1</v>
      </c>
      <c r="BB75" s="2">
        <f t="shared" ref="BB75:BB82" si="1815">IF(AM75=0,1,0)</f>
        <v>0</v>
      </c>
      <c r="BC75" s="2">
        <f t="shared" ref="BC75:BC82" si="1816">BB75+BC74</f>
        <v>0</v>
      </c>
      <c r="BD75" s="2">
        <f t="shared" si="1750"/>
        <v>0</v>
      </c>
      <c r="BE75" s="2">
        <f t="shared" ref="BE75:BE82" si="1817">BD75+BE74</f>
        <v>14</v>
      </c>
      <c r="BF75" s="2">
        <f t="shared" ref="BF75:BF82" si="1818">IF(AM75=2,1,0)</f>
        <v>1</v>
      </c>
      <c r="BG75" s="2">
        <f t="shared" ref="BG75:BG82" si="1819">BF75+BG74</f>
        <v>2</v>
      </c>
      <c r="BH75" s="2">
        <f t="shared" si="1751"/>
        <v>0</v>
      </c>
      <c r="BI75" s="2">
        <f t="shared" ref="BI75:BI82" si="1820">BH75+BI74</f>
        <v>4</v>
      </c>
      <c r="BJ75" s="2"/>
      <c r="BK75" s="2"/>
      <c r="BL75" s="2">
        <f t="shared" ref="BL75" si="1821">IF($E75=5,AK75-5,NA())</f>
        <v>1</v>
      </c>
      <c r="BM75" s="41">
        <f>AK75-'Zusammenfassung Tag1-4'!$C$2/18</f>
        <v>5.4444444444444446</v>
      </c>
      <c r="BN75" s="13">
        <f t="shared" ref="BN75:BN82" si="1822">BM75+BN74</f>
        <v>243.8888888888892</v>
      </c>
      <c r="BO75" s="53">
        <v>7</v>
      </c>
      <c r="BP75" s="2">
        <f>BO75+BP74</f>
        <v>330</v>
      </c>
      <c r="BQ75" s="56">
        <v>2</v>
      </c>
      <c r="BR75" s="2">
        <f t="shared" ref="BR75:BR82" si="1823">BQ75+BR74</f>
        <v>126</v>
      </c>
      <c r="BS75" s="2">
        <f t="shared" si="1752"/>
        <v>0</v>
      </c>
      <c r="BT75" s="2">
        <f t="shared" ref="BT75:BT82" si="1824">BS75+BT74</f>
        <v>11</v>
      </c>
      <c r="BU75" s="2">
        <f t="shared" si="1753"/>
        <v>0</v>
      </c>
      <c r="BV75" s="2">
        <f t="shared" ref="BV75:BV82" si="1825">BU75+BV74</f>
        <v>0</v>
      </c>
      <c r="BW75" s="2"/>
      <c r="BX75" s="2">
        <f t="shared" si="1754"/>
        <v>0</v>
      </c>
      <c r="BY75" s="2">
        <f t="shared" ref="BY75:CG82" si="1826">BX75+BY74</f>
        <v>0</v>
      </c>
      <c r="BZ75" s="2">
        <f t="shared" ref="BZ75:BZ81" si="1827">IF(BO75=$E75,1,0)</f>
        <v>0</v>
      </c>
      <c r="CA75" s="2">
        <f t="shared" ref="CA75:CA82" si="1828">BZ75+CA74</f>
        <v>1</v>
      </c>
      <c r="CB75" s="2">
        <f t="shared" ref="CB75:CB82" si="1829">IF(BO75-$E75=1,1,0)</f>
        <v>0</v>
      </c>
      <c r="CC75" s="2">
        <f t="shared" ref="CC75:CC82" si="1830">CB75+CC74</f>
        <v>0</v>
      </c>
      <c r="CD75" s="2">
        <f t="shared" ref="CD75:CD82" si="1831">IF(BO75-$E75&gt;=2,1,0)</f>
        <v>1</v>
      </c>
      <c r="CE75" s="2">
        <f t="shared" ref="CE75:CE82" si="1832">CD75+CE74</f>
        <v>1</v>
      </c>
      <c r="CF75" s="2">
        <f t="shared" ref="CF75:CF82" si="1833">IF(BQ75=0,1,0)</f>
        <v>0</v>
      </c>
      <c r="CG75" s="2">
        <f t="shared" si="1826"/>
        <v>0</v>
      </c>
      <c r="CH75" s="2">
        <f t="shared" si="1755"/>
        <v>0</v>
      </c>
      <c r="CI75" s="2">
        <f t="shared" ref="CI75:CI82" si="1834">CH75+CI74</f>
        <v>2</v>
      </c>
      <c r="CJ75" s="2">
        <f t="shared" ref="CJ75:CJ82" si="1835">IF(BQ75=2,1,0)</f>
        <v>1</v>
      </c>
      <c r="CK75" s="2">
        <f t="shared" ref="CK75:CK82" si="1836">CJ75+CK74</f>
        <v>2</v>
      </c>
      <c r="CL75" s="2">
        <f t="shared" si="1756"/>
        <v>0</v>
      </c>
      <c r="CM75" s="2">
        <f t="shared" ref="CM75:CM82" si="1837">CL75+CM74</f>
        <v>16</v>
      </c>
      <c r="CN75" s="2"/>
      <c r="CO75" s="2"/>
      <c r="CP75" s="2">
        <f t="shared" ref="CP75" si="1838">IF($E75=5,BO75-5,NA())</f>
        <v>2</v>
      </c>
      <c r="CQ75" s="41">
        <f>BO75-'Zusammenfassung Tag1-4'!$D$2/18</f>
        <v>5.9444444444444446</v>
      </c>
      <c r="CR75" s="13">
        <f t="shared" ref="CR75:CR82" si="1839">CQ75+CR74</f>
        <v>270.8888888888892</v>
      </c>
      <c r="CS75" s="53">
        <v>7</v>
      </c>
      <c r="CT75" s="2">
        <f>CS75+CT74</f>
        <v>290</v>
      </c>
      <c r="CU75" s="56">
        <v>2</v>
      </c>
      <c r="CV75" s="2">
        <f t="shared" ref="CV75:CV82" si="1840">CU75+CV74</f>
        <v>116</v>
      </c>
      <c r="CW75" s="2">
        <f t="shared" si="1757"/>
        <v>0</v>
      </c>
      <c r="CX75" s="2">
        <f t="shared" ref="CX75:CX82" si="1841">CW75+CX74</f>
        <v>17</v>
      </c>
      <c r="CY75" s="2">
        <f t="shared" si="1758"/>
        <v>0</v>
      </c>
      <c r="CZ75" s="2">
        <f t="shared" ref="CZ75:CZ82" si="1842">CY75+CZ74</f>
        <v>5</v>
      </c>
      <c r="DA75" s="2"/>
      <c r="DB75" s="2">
        <f t="shared" si="1759"/>
        <v>0</v>
      </c>
      <c r="DC75" s="2">
        <f t="shared" ref="DC75:DC82" si="1843">DB75+DC74</f>
        <v>0</v>
      </c>
      <c r="DD75" s="2">
        <f t="shared" ref="DD75:DD81" si="1844">IF(CS75=$E75,1,0)</f>
        <v>0</v>
      </c>
      <c r="DE75" s="2">
        <f t="shared" ref="DE75:DE82" si="1845">DD75+DE74</f>
        <v>0</v>
      </c>
      <c r="DF75" s="2">
        <f t="shared" ref="DF75:DF82" si="1846">IF(CS75-$E75=1,1,0)</f>
        <v>0</v>
      </c>
      <c r="DG75" s="2">
        <f t="shared" ref="DG75:DG82" si="1847">DF75+DG74</f>
        <v>1</v>
      </c>
      <c r="DH75" s="2">
        <f t="shared" ref="DH75:DH82" si="1848">IF(CS75-$E75&gt;=2,1,0)</f>
        <v>1</v>
      </c>
      <c r="DI75" s="2">
        <f t="shared" ref="DI75:DI82" si="1849">DH75+DI74</f>
        <v>1</v>
      </c>
      <c r="DJ75" s="2">
        <f t="shared" ref="DJ75:DJ82" si="1850">IF(CU75=0,1,0)</f>
        <v>0</v>
      </c>
      <c r="DK75" s="2">
        <f t="shared" ref="DK75:DK82" si="1851">DJ75+DK74</f>
        <v>0</v>
      </c>
      <c r="DL75" s="2">
        <f t="shared" si="1760"/>
        <v>0</v>
      </c>
      <c r="DM75" s="2">
        <f t="shared" ref="DM75:DM82" si="1852">DL75+DM74</f>
        <v>11</v>
      </c>
      <c r="DN75" s="2">
        <f t="shared" ref="DN75:DN82" si="1853">IF(CU75=2,1,0)</f>
        <v>1</v>
      </c>
      <c r="DO75" s="2">
        <f t="shared" ref="DO75:DO82" si="1854">DN75+DO74</f>
        <v>2</v>
      </c>
      <c r="DP75" s="2">
        <f t="shared" si="1761"/>
        <v>0</v>
      </c>
      <c r="DQ75" s="2">
        <f t="shared" ref="DQ75:DQ82" si="1855">DP75+DQ74</f>
        <v>14</v>
      </c>
      <c r="DR75" s="2"/>
      <c r="DS75" s="2"/>
      <c r="DT75" s="2">
        <f t="shared" ref="DT75" si="1856">IF($E75=5,CS75-5,NA())</f>
        <v>2</v>
      </c>
      <c r="DU75" s="41">
        <f>CS75-'Zusammenfassung Tag1-4'!$E$2/18</f>
        <v>6</v>
      </c>
      <c r="DV75" s="14">
        <f t="shared" ref="DV75:DV82" si="1857">DU75+DV74</f>
        <v>234</v>
      </c>
      <c r="DW75" s="53">
        <v>6</v>
      </c>
      <c r="DX75" s="2">
        <v>94</v>
      </c>
      <c r="DY75" s="56">
        <v>2</v>
      </c>
      <c r="DZ75" s="2">
        <f t="shared" ref="DZ75:DZ82" si="1858">DY75+DZ74</f>
        <v>123</v>
      </c>
      <c r="EA75" s="2">
        <f t="shared" si="1762"/>
        <v>0</v>
      </c>
      <c r="EB75" s="2">
        <f t="shared" ref="EB75:EB82" si="1859">EA75+EB74</f>
        <v>0</v>
      </c>
      <c r="EC75" s="2">
        <f t="shared" si="1763"/>
        <v>0</v>
      </c>
      <c r="ED75" s="2">
        <f t="shared" ref="ED75:ED82" si="1860">EC75+ED74</f>
        <v>1</v>
      </c>
      <c r="EE75" s="2"/>
      <c r="EF75" s="2">
        <f t="shared" si="1764"/>
        <v>0</v>
      </c>
      <c r="EG75" s="2">
        <f t="shared" ref="EG75:EG82" si="1861">EF75+EG74</f>
        <v>0</v>
      </c>
      <c r="EH75" s="2">
        <f t="shared" ref="EH75:EH81" si="1862">IF(DW75=$E75,1,0)</f>
        <v>0</v>
      </c>
      <c r="EI75" s="2">
        <f t="shared" ref="EI75:EI82" si="1863">EH75+EI74</f>
        <v>0</v>
      </c>
      <c r="EJ75" s="2">
        <f t="shared" ref="EJ75:EJ82" si="1864">IF(DW75-$E75=1,1,0)</f>
        <v>1</v>
      </c>
      <c r="EK75" s="2">
        <f t="shared" ref="EK75:EK82" si="1865">EJ75+EK74</f>
        <v>1</v>
      </c>
      <c r="EL75" s="2">
        <f t="shared" ref="EL75:EL82" si="1866">IF(DW75-$E75&gt;=2,1,0)</f>
        <v>0</v>
      </c>
      <c r="EM75" s="2">
        <f t="shared" ref="EM75:EM82" si="1867">EL75+EM74</f>
        <v>1</v>
      </c>
      <c r="EN75" s="2">
        <f t="shared" ref="EN75:EN82" si="1868">IF(DY75=0,1,0)</f>
        <v>0</v>
      </c>
      <c r="EO75" s="2">
        <f t="shared" ref="EO75:EO82" si="1869">EN75+EO74</f>
        <v>0</v>
      </c>
      <c r="EP75" s="2">
        <f t="shared" si="1765"/>
        <v>0</v>
      </c>
      <c r="EQ75" s="2">
        <f t="shared" ref="EQ75:EQ82" si="1870">EP75+EQ74</f>
        <v>6</v>
      </c>
      <c r="ER75" s="2">
        <f t="shared" ref="ER75:ER82" si="1871">IF(DY75=2,1,0)</f>
        <v>1</v>
      </c>
      <c r="ES75" s="2">
        <f t="shared" ref="ES75:ES82" si="1872">ER75+ES74</f>
        <v>1</v>
      </c>
      <c r="ET75" s="2">
        <f t="shared" si="1766"/>
        <v>0</v>
      </c>
      <c r="EU75" s="2">
        <f t="shared" ref="EU75:EU82" si="1873">ET75+EU74</f>
        <v>16</v>
      </c>
      <c r="EV75" s="2"/>
      <c r="EW75" s="2"/>
      <c r="EX75" s="2">
        <f t="shared" ref="EX75" si="1874">IF($E75=5,DW75-5,NA())</f>
        <v>1</v>
      </c>
      <c r="EY75" s="41">
        <f>DW75-'Zusammenfassung Tag1-4'!$F$2/18</f>
        <v>3.5</v>
      </c>
      <c r="EZ75" s="14">
        <f t="shared" ref="EZ75:EZ82" si="1875">EY75+EZ74</f>
        <v>246</v>
      </c>
      <c r="FA75" s="53">
        <v>6</v>
      </c>
      <c r="FB75" s="2">
        <v>315</v>
      </c>
      <c r="FC75" s="56">
        <v>1</v>
      </c>
      <c r="FD75" s="2">
        <f t="shared" ref="FD75:FD82" si="1876">FC75+FD74</f>
        <v>108</v>
      </c>
      <c r="FE75" s="2">
        <f t="shared" si="1767"/>
        <v>0</v>
      </c>
      <c r="FF75" s="2">
        <f t="shared" ref="FF75:FF82" si="1877">FE75+FF74</f>
        <v>10</v>
      </c>
      <c r="FG75" s="2">
        <f t="shared" si="1768"/>
        <v>0</v>
      </c>
      <c r="FH75" s="2">
        <f t="shared" ref="FH75:FH82" si="1878">FG75+FH74</f>
        <v>4</v>
      </c>
      <c r="FI75" s="2"/>
      <c r="FJ75" s="2">
        <f t="shared" si="1769"/>
        <v>0</v>
      </c>
      <c r="FK75" s="2">
        <f t="shared" ref="FK75:FK82" si="1879">FJ75+FK74</f>
        <v>0</v>
      </c>
      <c r="FL75" s="2">
        <f t="shared" ref="FL75:FL81" si="1880">IF(FA75=$E75,1,0)</f>
        <v>0</v>
      </c>
      <c r="FM75" s="2">
        <f t="shared" ref="FM75:FM82" si="1881">FL75+FM74</f>
        <v>0</v>
      </c>
      <c r="FN75" s="2">
        <f t="shared" ref="FN75:FN82" si="1882">IF(FA75-$E75=1,1,0)</f>
        <v>1</v>
      </c>
      <c r="FO75" s="2">
        <f t="shared" ref="FO75:FO82" si="1883">FN75+FO74</f>
        <v>1</v>
      </c>
      <c r="FP75" s="2">
        <f t="shared" ref="FP75:FP82" si="1884">IF(FA75-$E75&gt;=2,1,0)</f>
        <v>0</v>
      </c>
      <c r="FQ75" s="2">
        <f t="shared" ref="FQ75:FQ82" si="1885">FP75+FQ74</f>
        <v>1</v>
      </c>
      <c r="FR75" s="2">
        <f t="shared" ref="FR75:FR82" si="1886">IF(FC75=0,1,0)</f>
        <v>0</v>
      </c>
      <c r="FS75" s="2">
        <f t="shared" ref="FS75:FS82" si="1887">FR75+FS74</f>
        <v>0</v>
      </c>
      <c r="FT75" s="2">
        <f t="shared" si="1770"/>
        <v>1</v>
      </c>
      <c r="FU75" s="2">
        <f t="shared" ref="FU75:FU82" si="1888">FT75+FU74</f>
        <v>16</v>
      </c>
      <c r="FV75" s="2">
        <f t="shared" ref="FV75:FV82" si="1889">IF(FC75=2,1,0)</f>
        <v>0</v>
      </c>
      <c r="FW75" s="2">
        <f t="shared" ref="FW75:FW82" si="1890">FV75+FW74</f>
        <v>1</v>
      </c>
      <c r="FX75" s="2">
        <f t="shared" si="1771"/>
        <v>0</v>
      </c>
      <c r="FY75" s="2">
        <f t="shared" ref="FY75:FY82" si="1891">FX75+FY74</f>
        <v>12</v>
      </c>
      <c r="FZ75" s="2"/>
      <c r="GA75" s="2"/>
      <c r="GB75" s="2">
        <f t="shared" ref="GB75" si="1892">IF($E75=5,FA75-5,NA())</f>
        <v>1</v>
      </c>
      <c r="GC75" s="41">
        <f>FA75-'Zusammenfassung Tag1-4'!$G$2/18</f>
        <v>4.7222222222222223</v>
      </c>
      <c r="GD75" s="14">
        <f t="shared" ref="GD75:GD82" si="1893">GC75+GD74</f>
        <v>238.44444444444468</v>
      </c>
      <c r="GE75" s="53">
        <v>7</v>
      </c>
      <c r="GF75" s="2">
        <v>406</v>
      </c>
      <c r="GG75" s="56">
        <v>2</v>
      </c>
      <c r="GH75" s="2">
        <f t="shared" ref="GH75:GH82" si="1894">GG75+GH74</f>
        <v>118</v>
      </c>
      <c r="GI75" s="2">
        <f t="shared" si="1772"/>
        <v>0</v>
      </c>
      <c r="GJ75" s="2">
        <f t="shared" ref="GJ75:GJ82" si="1895">GI75+GJ74</f>
        <v>1</v>
      </c>
      <c r="GK75" s="2">
        <f t="shared" si="1773"/>
        <v>0</v>
      </c>
      <c r="GL75" s="2">
        <f t="shared" ref="GL75:GL82" si="1896">GK75+GL74</f>
        <v>1</v>
      </c>
      <c r="GM75" s="2"/>
      <c r="GN75" s="2">
        <f t="shared" si="1774"/>
        <v>0</v>
      </c>
      <c r="GO75" s="2">
        <f t="shared" ref="GO75:GO82" si="1897">GN75+GO74</f>
        <v>0</v>
      </c>
      <c r="GP75" s="2">
        <f t="shared" ref="GP75:GP81" si="1898">IF(GE75=$E75,1,0)</f>
        <v>0</v>
      </c>
      <c r="GQ75" s="2">
        <f t="shared" ref="GQ75:GQ82" si="1899">GP75+GQ74</f>
        <v>0</v>
      </c>
      <c r="GR75" s="2">
        <f t="shared" ref="GR75:GR82" si="1900">IF(GE75-$E75=1,1,0)</f>
        <v>0</v>
      </c>
      <c r="GS75" s="2">
        <f t="shared" ref="GS75:GS82" si="1901">GR75+GS74</f>
        <v>0</v>
      </c>
      <c r="GT75" s="2">
        <f t="shared" ref="GT75:GT82" si="1902">IF(GE75-$E75&gt;=2,1,0)</f>
        <v>1</v>
      </c>
      <c r="GU75" s="2">
        <f t="shared" ref="GU75:GU82" si="1903">GT75+GU74</f>
        <v>2</v>
      </c>
      <c r="GV75" s="2">
        <f t="shared" ref="GV75:GV82" si="1904">IF(GG75=0,1,0)</f>
        <v>0</v>
      </c>
      <c r="GW75" s="2">
        <f t="shared" ref="GW75:GW82" si="1905">GV75+GW74</f>
        <v>0</v>
      </c>
      <c r="GX75" s="2">
        <f t="shared" si="1775"/>
        <v>0</v>
      </c>
      <c r="GY75" s="2">
        <f t="shared" ref="GY75:GY82" si="1906">GX75+GY74</f>
        <v>6</v>
      </c>
      <c r="GZ75" s="2">
        <f t="shared" ref="GZ75:GZ82" si="1907">IF(GG75=2,1,0)</f>
        <v>1</v>
      </c>
      <c r="HA75" s="2">
        <f t="shared" ref="HA75:HA82" si="1908">GZ75+HA74</f>
        <v>2</v>
      </c>
      <c r="HB75" s="2">
        <f t="shared" si="1776"/>
        <v>0</v>
      </c>
      <c r="HC75" s="2">
        <f t="shared" ref="HC75:HC82" si="1909">HB75+HC74</f>
        <v>12</v>
      </c>
      <c r="HD75" s="2"/>
      <c r="HE75" s="2"/>
      <c r="HF75" s="2">
        <f t="shared" ref="HF75" si="1910">IF($E75=5,GE75-5,NA())</f>
        <v>2</v>
      </c>
      <c r="HG75" s="41">
        <f>GE75-'Zusammenfassung Tag1-4'!$H$2/18</f>
        <v>5.2222222222222223</v>
      </c>
      <c r="HH75" s="14">
        <f t="shared" ref="HH75:HH82" si="1911">HG75+HH74</f>
        <v>269.44444444444468</v>
      </c>
      <c r="HI75" s="53">
        <v>6</v>
      </c>
      <c r="HJ75" s="2">
        <v>298</v>
      </c>
      <c r="HK75" s="56">
        <v>2</v>
      </c>
      <c r="HL75" s="2">
        <f t="shared" ref="HL75:HL82" si="1912">HK75+HL74</f>
        <v>106</v>
      </c>
      <c r="HM75" s="2">
        <f t="shared" si="1777"/>
        <v>0</v>
      </c>
      <c r="HN75" s="2">
        <f t="shared" ref="HN75:HN82" si="1913">HM75+HN74</f>
        <v>11</v>
      </c>
      <c r="HO75" s="2">
        <f t="shared" si="1778"/>
        <v>0</v>
      </c>
      <c r="HP75" s="2">
        <f t="shared" ref="HP75:HP82" si="1914">HO75+HP74</f>
        <v>7</v>
      </c>
      <c r="HQ75" s="2"/>
      <c r="HR75" s="2">
        <f t="shared" si="1779"/>
        <v>0</v>
      </c>
      <c r="HS75" s="2">
        <f t="shared" ref="HS75:HS82" si="1915">HR75+HS74</f>
        <v>0</v>
      </c>
      <c r="HT75" s="2">
        <f t="shared" ref="HT75:HT81" si="1916">IF(HI75=$E75,1,0)</f>
        <v>0</v>
      </c>
      <c r="HU75" s="2">
        <f t="shared" ref="HU75:HU82" si="1917">HT75+HU74</f>
        <v>1</v>
      </c>
      <c r="HV75" s="2">
        <f t="shared" ref="HV75:HV82" si="1918">IF(HI75-$E75=1,1,0)</f>
        <v>1</v>
      </c>
      <c r="HW75" s="2">
        <f t="shared" ref="HW75:HW82" si="1919">HV75+HW74</f>
        <v>1</v>
      </c>
      <c r="HX75" s="2">
        <f t="shared" ref="HX75:HX82" si="1920">IF(HI75-$E75&gt;=2,1,0)</f>
        <v>0</v>
      </c>
      <c r="HY75" s="2">
        <f t="shared" ref="HY75:HY82" si="1921">HX75+HY74</f>
        <v>0</v>
      </c>
      <c r="HZ75" s="2">
        <f t="shared" ref="HZ75:HZ82" si="1922">IF(HK75=0,1,0)</f>
        <v>0</v>
      </c>
      <c r="IA75" s="2">
        <f t="shared" ref="IA75:IA82" si="1923">HZ75+IA74</f>
        <v>0</v>
      </c>
      <c r="IB75" s="2">
        <f t="shared" si="1780"/>
        <v>0</v>
      </c>
      <c r="IC75" s="2">
        <f t="shared" ref="IC75:IC82" si="1924">IB75+IC74</f>
        <v>13</v>
      </c>
      <c r="ID75" s="2">
        <f t="shared" ref="ID75:ID82" si="1925">IF(HK75=2,1,0)</f>
        <v>1</v>
      </c>
      <c r="IE75" s="2">
        <f t="shared" ref="IE75:IE82" si="1926">ID75+IE74</f>
        <v>2</v>
      </c>
      <c r="IF75" s="2">
        <f t="shared" si="1781"/>
        <v>0</v>
      </c>
      <c r="IG75" s="2">
        <f t="shared" ref="IG75:IG82" si="1927">IF75+IG74</f>
        <v>9</v>
      </c>
      <c r="IH75" s="2"/>
      <c r="II75" s="2"/>
      <c r="IJ75" s="2">
        <f t="shared" ref="IJ75" si="1928">IF($E75=5,HI75-5,NA())</f>
        <v>1</v>
      </c>
      <c r="IK75" s="41">
        <f>HI75-'Zusammenfassung Tag1-4'!$I$2/18</f>
        <v>5.1111111111111107</v>
      </c>
      <c r="IL75" s="14">
        <f t="shared" ref="IL75:IL82" si="1929">IK75+IL74</f>
        <v>245.22222222222237</v>
      </c>
      <c r="IM75" s="53">
        <v>9</v>
      </c>
      <c r="IN75" s="2">
        <v>17</v>
      </c>
      <c r="IO75" s="56">
        <v>2</v>
      </c>
      <c r="IP75" s="2">
        <f t="shared" ref="IP75:IP82" si="1930">IO75+IP74</f>
        <v>133</v>
      </c>
      <c r="IQ75" s="2">
        <f t="shared" si="1782"/>
        <v>0</v>
      </c>
      <c r="IR75" s="2">
        <f t="shared" ref="IR75:IR82" si="1931">IQ75+IR74</f>
        <v>7</v>
      </c>
      <c r="IS75" s="2">
        <f t="shared" si="1783"/>
        <v>0</v>
      </c>
      <c r="IT75" s="2">
        <f t="shared" ref="IT75:IT82" si="1932">IS75+IT74</f>
        <v>1</v>
      </c>
      <c r="IU75" s="2"/>
      <c r="IV75" s="2">
        <f t="shared" si="1784"/>
        <v>0</v>
      </c>
      <c r="IW75" s="2">
        <f t="shared" ref="IW75:IW82" si="1933">IV75+IW74</f>
        <v>0</v>
      </c>
      <c r="IX75" s="2">
        <f t="shared" ref="IX75:IX81" si="1934">IF(IM75=$E75,1,0)</f>
        <v>0</v>
      </c>
      <c r="IY75" s="2">
        <f t="shared" ref="IY75:IY82" si="1935">IX75+IY74</f>
        <v>0</v>
      </c>
      <c r="IZ75" s="2">
        <f t="shared" ref="IZ75:IZ82" si="1936">IF(IM75-$E75=1,1,0)</f>
        <v>0</v>
      </c>
      <c r="JA75" s="2">
        <f t="shared" ref="JA75:JA82" si="1937">IZ75+JA74</f>
        <v>0</v>
      </c>
      <c r="JB75" s="2">
        <f t="shared" ref="JB75:JB82" si="1938">IF(IM75-$E75&gt;=2,1,0)</f>
        <v>1</v>
      </c>
      <c r="JC75" s="2">
        <f t="shared" ref="JC75:JC82" si="1939">JB75+JC74</f>
        <v>2</v>
      </c>
      <c r="JD75" s="2">
        <f t="shared" ref="JD75:JD82" si="1940">IF(IO75=0,1,0)</f>
        <v>0</v>
      </c>
      <c r="JE75" s="2">
        <f t="shared" ref="JE75:JE82" si="1941">JD75+JE74</f>
        <v>0</v>
      </c>
      <c r="JF75" s="2">
        <f t="shared" si="1785"/>
        <v>0</v>
      </c>
      <c r="JG75" s="2">
        <f t="shared" ref="JG75:JG82" si="1942">JF75+JG74</f>
        <v>8</v>
      </c>
      <c r="JH75" s="2">
        <f t="shared" ref="JH75:JH82" si="1943">IF(IO75=2,1,0)</f>
        <v>1</v>
      </c>
      <c r="JI75" s="2">
        <f t="shared" ref="JI75:JI82" si="1944">JH75+JI74</f>
        <v>2</v>
      </c>
      <c r="JJ75" s="2">
        <f t="shared" si="1786"/>
        <v>0</v>
      </c>
      <c r="JK75" s="2">
        <f t="shared" ref="JK75:JK82" si="1945">JJ75+JK74</f>
        <v>22</v>
      </c>
      <c r="JL75" s="2"/>
      <c r="JM75" s="2"/>
      <c r="JN75" s="2">
        <f t="shared" ref="JN75" si="1946">IF($E75=5,IM75-5,NA())</f>
        <v>4</v>
      </c>
      <c r="JO75" s="41">
        <f>IM75-'Zusammenfassung Tag1-4'!$J$2/18</f>
        <v>6.6666666666666661</v>
      </c>
      <c r="JP75" s="14">
        <f t="shared" ref="JP75:JP82" si="1947">JO75+JP74</f>
        <v>257.33333333333314</v>
      </c>
      <c r="JQ75" s="53"/>
      <c r="JR75" s="2"/>
      <c r="JS75" s="56"/>
      <c r="JT75" s="2">
        <f t="shared" ref="JT75:JT82" si="1948">JS75+JT74</f>
        <v>0</v>
      </c>
      <c r="JU75" s="2">
        <f t="shared" si="1787"/>
        <v>1</v>
      </c>
      <c r="JV75" s="2">
        <f t="shared" ref="JV75:JV82" si="1949">JU75+JV74</f>
        <v>56</v>
      </c>
      <c r="JW75" s="2">
        <f t="shared" si="1788"/>
        <v>0</v>
      </c>
      <c r="JX75" s="2">
        <f t="shared" ref="JX75:JX82" si="1950">JW75+JX74</f>
        <v>0</v>
      </c>
      <c r="JY75" s="2"/>
      <c r="JZ75" s="2">
        <f t="shared" si="1789"/>
        <v>0</v>
      </c>
      <c r="KA75" s="2">
        <f t="shared" ref="KA75:KA82" si="1951">JZ75+KA74</f>
        <v>0</v>
      </c>
      <c r="KB75" s="2">
        <f t="shared" ref="KB75:KB81" si="1952">IF(JQ75=$E75,1,0)</f>
        <v>0</v>
      </c>
      <c r="KC75" s="2">
        <f t="shared" ref="KC75:KC82" si="1953">KB75+KC74</f>
        <v>0</v>
      </c>
      <c r="KD75" s="2">
        <f t="shared" ref="KD75:KD82" si="1954">IF(JQ75-$E75=1,1,0)</f>
        <v>0</v>
      </c>
      <c r="KE75" s="2">
        <f t="shared" ref="KE75:KE82" si="1955">KD75+KE74</f>
        <v>0</v>
      </c>
      <c r="KF75" s="2">
        <f t="shared" ref="KF75:KF82" si="1956">IF(JQ75-$E75&gt;=2,1,0)</f>
        <v>0</v>
      </c>
      <c r="KG75" s="2">
        <f t="shared" ref="KG75:KG82" si="1957">KF75+KG74</f>
        <v>0</v>
      </c>
      <c r="KH75" s="2">
        <f t="shared" ref="KH75:KH82" si="1958">IF(JS75=0,1,0)</f>
        <v>1</v>
      </c>
      <c r="KI75" s="2">
        <f t="shared" ref="KI75:KI82" si="1959">KH75+KI74</f>
        <v>2</v>
      </c>
      <c r="KJ75" s="2">
        <f t="shared" si="1790"/>
        <v>0</v>
      </c>
      <c r="KK75" s="2">
        <f t="shared" ref="KK75:KK82" si="1960">KJ75+KK74</f>
        <v>0</v>
      </c>
      <c r="KL75" s="2">
        <f t="shared" ref="KL75:KL82" si="1961">IF(JS75=2,1,0)</f>
        <v>0</v>
      </c>
      <c r="KM75" s="2">
        <f t="shared" ref="KM75:KM82" si="1962">KL75+KM74</f>
        <v>0</v>
      </c>
      <c r="KN75" s="2">
        <f t="shared" si="1791"/>
        <v>0</v>
      </c>
      <c r="KO75" s="2">
        <f t="shared" ref="KO75:KO82" si="1963">KN75+KO74</f>
        <v>0</v>
      </c>
      <c r="KP75" s="2"/>
      <c r="KQ75" s="2"/>
      <c r="KR75" s="2">
        <f t="shared" ref="KR75" si="1964">IF($E75=5,JQ75-5,NA())</f>
        <v>-5</v>
      </c>
      <c r="KS75" s="41" t="e">
        <f>JQ75-'Zusammenfassung Tag1-4'!#REF!/18</f>
        <v>#REF!</v>
      </c>
      <c r="KT75" s="14" t="e">
        <f t="shared" ref="KT75:KT82" si="1965">KS75+KT74</f>
        <v>#REF!</v>
      </c>
    </row>
    <row r="76" spans="1:333" ht="13.2" x14ac:dyDescent="0.25">
      <c r="A76" s="179"/>
      <c r="B76" s="176"/>
      <c r="C76" s="44">
        <v>3</v>
      </c>
      <c r="D76" s="2">
        <f t="shared" ref="D76:D82" si="1966">D75+1</f>
        <v>57</v>
      </c>
      <c r="E76" s="44">
        <v>4</v>
      </c>
      <c r="F76" s="4">
        <f t="shared" si="1792"/>
        <v>229</v>
      </c>
      <c r="G76" s="56">
        <v>4</v>
      </c>
      <c r="H76" s="2">
        <f t="shared" ref="H76:H82" si="1967">G76+H75</f>
        <v>277</v>
      </c>
      <c r="I76" s="56">
        <v>1</v>
      </c>
      <c r="J76" s="2">
        <f t="shared" si="1793"/>
        <v>108</v>
      </c>
      <c r="K76" s="2">
        <f t="shared" si="1737"/>
        <v>0</v>
      </c>
      <c r="L76" s="2">
        <f t="shared" si="1794"/>
        <v>18</v>
      </c>
      <c r="M76" s="2">
        <f t="shared" si="1738"/>
        <v>1</v>
      </c>
      <c r="N76" s="2">
        <f t="shared" si="1795"/>
        <v>8</v>
      </c>
      <c r="O76" s="2"/>
      <c r="P76" s="2">
        <f t="shared" si="1739"/>
        <v>0</v>
      </c>
      <c r="Q76" s="2">
        <f t="shared" si="1796"/>
        <v>3</v>
      </c>
      <c r="R76" s="2">
        <f t="shared" si="1740"/>
        <v>1</v>
      </c>
      <c r="S76" s="2">
        <f t="shared" si="1797"/>
        <v>2</v>
      </c>
      <c r="T76" s="2">
        <f t="shared" si="1741"/>
        <v>0</v>
      </c>
      <c r="U76" s="2">
        <f t="shared" si="1798"/>
        <v>0</v>
      </c>
      <c r="V76" s="2">
        <f t="shared" si="1742"/>
        <v>0</v>
      </c>
      <c r="W76" s="2">
        <f t="shared" si="1799"/>
        <v>1</v>
      </c>
      <c r="X76" s="2">
        <f t="shared" si="1743"/>
        <v>0</v>
      </c>
      <c r="Y76" s="2">
        <f t="shared" si="1800"/>
        <v>0</v>
      </c>
      <c r="Z76" s="2">
        <f t="shared" si="1744"/>
        <v>1</v>
      </c>
      <c r="AA76" s="2">
        <f t="shared" si="1801"/>
        <v>11</v>
      </c>
      <c r="AB76" s="2">
        <f t="shared" si="1745"/>
        <v>0</v>
      </c>
      <c r="AC76" s="2">
        <f t="shared" si="1802"/>
        <v>1</v>
      </c>
      <c r="AD76" s="2">
        <f t="shared" si="1746"/>
        <v>0</v>
      </c>
      <c r="AE76" s="2">
        <f t="shared" si="1803"/>
        <v>8</v>
      </c>
      <c r="AF76" s="2"/>
      <c r="AG76" s="2">
        <f>IF($E76=4,G76-4,NA())</f>
        <v>0</v>
      </c>
      <c r="AH76" s="2"/>
      <c r="AI76" s="41">
        <f>G76-'Zusammenfassung Tag1-4'!$B$2/18</f>
        <v>3.1666666666666665</v>
      </c>
      <c r="AJ76" s="13">
        <f t="shared" si="1804"/>
        <v>229.4999999999998</v>
      </c>
      <c r="AK76" s="53">
        <v>4</v>
      </c>
      <c r="AL76" s="2">
        <f t="shared" ref="AL76:AL82" si="1968">AK76+AL75</f>
        <v>279</v>
      </c>
      <c r="AM76" s="56">
        <v>2</v>
      </c>
      <c r="AN76" s="2">
        <f t="shared" si="1805"/>
        <v>104</v>
      </c>
      <c r="AO76" s="2">
        <f t="shared" si="1747"/>
        <v>1</v>
      </c>
      <c r="AP76" s="2">
        <f t="shared" si="1806"/>
        <v>25</v>
      </c>
      <c r="AQ76" s="2">
        <f t="shared" si="1748"/>
        <v>0</v>
      </c>
      <c r="AR76" s="2">
        <f t="shared" si="1807"/>
        <v>7</v>
      </c>
      <c r="AS76" s="2"/>
      <c r="AT76" s="2">
        <f t="shared" si="1749"/>
        <v>0</v>
      </c>
      <c r="AU76" s="2">
        <f t="shared" si="1808"/>
        <v>0</v>
      </c>
      <c r="AV76" s="2">
        <f t="shared" si="1809"/>
        <v>1</v>
      </c>
      <c r="AW76" s="2">
        <f t="shared" si="1810"/>
        <v>1</v>
      </c>
      <c r="AX76" s="2">
        <f t="shared" si="1811"/>
        <v>0</v>
      </c>
      <c r="AY76" s="2">
        <f t="shared" si="1812"/>
        <v>1</v>
      </c>
      <c r="AZ76" s="2">
        <f t="shared" si="1813"/>
        <v>0</v>
      </c>
      <c r="BA76" s="2">
        <f t="shared" si="1814"/>
        <v>1</v>
      </c>
      <c r="BB76" s="2">
        <f t="shared" si="1815"/>
        <v>0</v>
      </c>
      <c r="BC76" s="2">
        <f t="shared" si="1816"/>
        <v>0</v>
      </c>
      <c r="BD76" s="2">
        <f t="shared" si="1750"/>
        <v>0</v>
      </c>
      <c r="BE76" s="2">
        <f t="shared" si="1817"/>
        <v>14</v>
      </c>
      <c r="BF76" s="2">
        <f t="shared" si="1818"/>
        <v>1</v>
      </c>
      <c r="BG76" s="2">
        <f t="shared" si="1819"/>
        <v>3</v>
      </c>
      <c r="BH76" s="2">
        <f t="shared" si="1751"/>
        <v>0</v>
      </c>
      <c r="BI76" s="2">
        <f t="shared" si="1820"/>
        <v>4</v>
      </c>
      <c r="BJ76" s="2"/>
      <c r="BK76" s="2">
        <f t="shared" ref="BK76" si="1969">IF($E76=4,AK76-4,NA())</f>
        <v>0</v>
      </c>
      <c r="BL76" s="2"/>
      <c r="BM76" s="41">
        <f>AK76-'Zusammenfassung Tag1-4'!$C$2/18</f>
        <v>3.4444444444444446</v>
      </c>
      <c r="BN76" s="13">
        <f t="shared" si="1822"/>
        <v>247.33333333333366</v>
      </c>
      <c r="BO76" s="53">
        <v>5</v>
      </c>
      <c r="BP76" s="2">
        <f t="shared" ref="BP76:BP82" si="1970">BO76+BP75</f>
        <v>335</v>
      </c>
      <c r="BQ76" s="56">
        <v>2</v>
      </c>
      <c r="BR76" s="2">
        <f t="shared" si="1823"/>
        <v>128</v>
      </c>
      <c r="BS76" s="2">
        <f t="shared" si="1752"/>
        <v>0</v>
      </c>
      <c r="BT76" s="2">
        <f t="shared" si="1824"/>
        <v>11</v>
      </c>
      <c r="BU76" s="2">
        <f t="shared" si="1753"/>
        <v>0</v>
      </c>
      <c r="BV76" s="2">
        <f t="shared" si="1825"/>
        <v>0</v>
      </c>
      <c r="BW76" s="2"/>
      <c r="BX76" s="2">
        <f t="shared" si="1754"/>
        <v>0</v>
      </c>
      <c r="BY76" s="2">
        <f t="shared" si="1826"/>
        <v>0</v>
      </c>
      <c r="BZ76" s="2">
        <f t="shared" si="1827"/>
        <v>0</v>
      </c>
      <c r="CA76" s="2">
        <f t="shared" si="1828"/>
        <v>1</v>
      </c>
      <c r="CB76" s="2">
        <f t="shared" si="1829"/>
        <v>1</v>
      </c>
      <c r="CC76" s="2">
        <f t="shared" si="1830"/>
        <v>1</v>
      </c>
      <c r="CD76" s="2">
        <f t="shared" si="1831"/>
        <v>0</v>
      </c>
      <c r="CE76" s="2">
        <f t="shared" si="1832"/>
        <v>1</v>
      </c>
      <c r="CF76" s="2">
        <f t="shared" si="1833"/>
        <v>0</v>
      </c>
      <c r="CG76" s="2">
        <f t="shared" si="1826"/>
        <v>0</v>
      </c>
      <c r="CH76" s="2">
        <f t="shared" si="1755"/>
        <v>0</v>
      </c>
      <c r="CI76" s="2">
        <f t="shared" si="1834"/>
        <v>2</v>
      </c>
      <c r="CJ76" s="2">
        <f t="shared" si="1835"/>
        <v>1</v>
      </c>
      <c r="CK76" s="2">
        <f t="shared" si="1836"/>
        <v>3</v>
      </c>
      <c r="CL76" s="2">
        <f t="shared" si="1756"/>
        <v>0</v>
      </c>
      <c r="CM76" s="2">
        <f t="shared" si="1837"/>
        <v>16</v>
      </c>
      <c r="CN76" s="2"/>
      <c r="CO76" s="2">
        <f t="shared" ref="CO76" si="1971">IF($E76=4,BO76-4,NA())</f>
        <v>1</v>
      </c>
      <c r="CP76" s="2"/>
      <c r="CQ76" s="41">
        <f>BO76-'Zusammenfassung Tag1-4'!$D$2/18</f>
        <v>3.9444444444444446</v>
      </c>
      <c r="CR76" s="13">
        <f t="shared" si="1839"/>
        <v>274.83333333333366</v>
      </c>
      <c r="CS76" s="53">
        <v>6</v>
      </c>
      <c r="CT76" s="2">
        <f t="shared" ref="CT76:CT82" si="1972">CS76+CT75</f>
        <v>296</v>
      </c>
      <c r="CU76" s="56">
        <v>3</v>
      </c>
      <c r="CV76" s="2">
        <f t="shared" si="1840"/>
        <v>119</v>
      </c>
      <c r="CW76" s="2">
        <f t="shared" si="1757"/>
        <v>0</v>
      </c>
      <c r="CX76" s="2">
        <f t="shared" si="1841"/>
        <v>17</v>
      </c>
      <c r="CY76" s="2">
        <f t="shared" si="1758"/>
        <v>0</v>
      </c>
      <c r="CZ76" s="2">
        <f t="shared" si="1842"/>
        <v>5</v>
      </c>
      <c r="DA76" s="2"/>
      <c r="DB76" s="2">
        <f t="shared" si="1759"/>
        <v>0</v>
      </c>
      <c r="DC76" s="2">
        <f t="shared" si="1843"/>
        <v>0</v>
      </c>
      <c r="DD76" s="2">
        <f t="shared" si="1844"/>
        <v>0</v>
      </c>
      <c r="DE76" s="2">
        <f t="shared" si="1845"/>
        <v>0</v>
      </c>
      <c r="DF76" s="2">
        <f t="shared" si="1846"/>
        <v>0</v>
      </c>
      <c r="DG76" s="2">
        <f t="shared" si="1847"/>
        <v>1</v>
      </c>
      <c r="DH76" s="2">
        <f t="shared" si="1848"/>
        <v>1</v>
      </c>
      <c r="DI76" s="2">
        <f t="shared" si="1849"/>
        <v>2</v>
      </c>
      <c r="DJ76" s="2">
        <f t="shared" si="1850"/>
        <v>0</v>
      </c>
      <c r="DK76" s="2">
        <f t="shared" si="1851"/>
        <v>0</v>
      </c>
      <c r="DL76" s="2">
        <f t="shared" si="1760"/>
        <v>0</v>
      </c>
      <c r="DM76" s="2">
        <f t="shared" si="1852"/>
        <v>11</v>
      </c>
      <c r="DN76" s="2">
        <f t="shared" si="1853"/>
        <v>0</v>
      </c>
      <c r="DO76" s="2">
        <f t="shared" si="1854"/>
        <v>2</v>
      </c>
      <c r="DP76" s="2">
        <f t="shared" si="1761"/>
        <v>1</v>
      </c>
      <c r="DQ76" s="2">
        <f t="shared" si="1855"/>
        <v>15</v>
      </c>
      <c r="DR76" s="2"/>
      <c r="DS76" s="2">
        <f t="shared" ref="DS76" si="1973">IF($E76=4,CS76-4,NA())</f>
        <v>2</v>
      </c>
      <c r="DT76" s="2"/>
      <c r="DU76" s="41">
        <f>CS76-'Zusammenfassung Tag1-4'!$E$2/18</f>
        <v>5</v>
      </c>
      <c r="DV76" s="14">
        <f t="shared" si="1857"/>
        <v>239</v>
      </c>
      <c r="DW76" s="53">
        <v>6</v>
      </c>
      <c r="DX76" s="2">
        <v>98</v>
      </c>
      <c r="DY76" s="56">
        <v>2</v>
      </c>
      <c r="DZ76" s="2">
        <f t="shared" si="1858"/>
        <v>125</v>
      </c>
      <c r="EA76" s="2">
        <f t="shared" si="1762"/>
        <v>0</v>
      </c>
      <c r="EB76" s="2">
        <f t="shared" si="1859"/>
        <v>0</v>
      </c>
      <c r="EC76" s="2">
        <f t="shared" si="1763"/>
        <v>0</v>
      </c>
      <c r="ED76" s="2">
        <f t="shared" si="1860"/>
        <v>1</v>
      </c>
      <c r="EE76" s="2"/>
      <c r="EF76" s="2">
        <f t="shared" si="1764"/>
        <v>0</v>
      </c>
      <c r="EG76" s="2">
        <f t="shared" si="1861"/>
        <v>0</v>
      </c>
      <c r="EH76" s="2">
        <f t="shared" si="1862"/>
        <v>0</v>
      </c>
      <c r="EI76" s="2">
        <f t="shared" si="1863"/>
        <v>0</v>
      </c>
      <c r="EJ76" s="2">
        <f t="shared" si="1864"/>
        <v>0</v>
      </c>
      <c r="EK76" s="2">
        <f t="shared" si="1865"/>
        <v>1</v>
      </c>
      <c r="EL76" s="2">
        <f t="shared" si="1866"/>
        <v>1</v>
      </c>
      <c r="EM76" s="2">
        <f t="shared" si="1867"/>
        <v>2</v>
      </c>
      <c r="EN76" s="2">
        <f t="shared" si="1868"/>
        <v>0</v>
      </c>
      <c r="EO76" s="2">
        <f t="shared" si="1869"/>
        <v>0</v>
      </c>
      <c r="EP76" s="2">
        <f t="shared" si="1765"/>
        <v>0</v>
      </c>
      <c r="EQ76" s="2">
        <f t="shared" si="1870"/>
        <v>6</v>
      </c>
      <c r="ER76" s="2">
        <f t="shared" si="1871"/>
        <v>1</v>
      </c>
      <c r="ES76" s="2">
        <f t="shared" si="1872"/>
        <v>2</v>
      </c>
      <c r="ET76" s="2">
        <f t="shared" si="1766"/>
        <v>0</v>
      </c>
      <c r="EU76" s="2">
        <f t="shared" si="1873"/>
        <v>16</v>
      </c>
      <c r="EV76" s="2"/>
      <c r="EW76" s="2">
        <f t="shared" ref="EW76" si="1974">IF($E76=4,DW76-4,NA())</f>
        <v>2</v>
      </c>
      <c r="EX76" s="2"/>
      <c r="EY76" s="41">
        <f>DW76-'Zusammenfassung Tag1-4'!$F$2/18</f>
        <v>3.5</v>
      </c>
      <c r="EZ76" s="14">
        <f t="shared" si="1875"/>
        <v>249.5</v>
      </c>
      <c r="FA76" s="53">
        <v>5</v>
      </c>
      <c r="FB76" s="2">
        <v>321</v>
      </c>
      <c r="FC76" s="56">
        <v>1</v>
      </c>
      <c r="FD76" s="2">
        <f t="shared" si="1876"/>
        <v>109</v>
      </c>
      <c r="FE76" s="2">
        <f t="shared" si="1767"/>
        <v>0</v>
      </c>
      <c r="FF76" s="2">
        <f t="shared" si="1877"/>
        <v>10</v>
      </c>
      <c r="FG76" s="2">
        <f t="shared" si="1768"/>
        <v>0</v>
      </c>
      <c r="FH76" s="2">
        <f t="shared" si="1878"/>
        <v>4</v>
      </c>
      <c r="FI76" s="2"/>
      <c r="FJ76" s="2">
        <f t="shared" si="1769"/>
        <v>0</v>
      </c>
      <c r="FK76" s="2">
        <f t="shared" si="1879"/>
        <v>0</v>
      </c>
      <c r="FL76" s="2">
        <f t="shared" si="1880"/>
        <v>0</v>
      </c>
      <c r="FM76" s="2">
        <f t="shared" si="1881"/>
        <v>0</v>
      </c>
      <c r="FN76" s="2">
        <f t="shared" si="1882"/>
        <v>1</v>
      </c>
      <c r="FO76" s="2">
        <f t="shared" si="1883"/>
        <v>2</v>
      </c>
      <c r="FP76" s="2">
        <f t="shared" si="1884"/>
        <v>0</v>
      </c>
      <c r="FQ76" s="2">
        <f t="shared" si="1885"/>
        <v>1</v>
      </c>
      <c r="FR76" s="2">
        <f t="shared" si="1886"/>
        <v>0</v>
      </c>
      <c r="FS76" s="2">
        <f t="shared" si="1887"/>
        <v>0</v>
      </c>
      <c r="FT76" s="2">
        <f t="shared" si="1770"/>
        <v>1</v>
      </c>
      <c r="FU76" s="2">
        <f t="shared" si="1888"/>
        <v>17</v>
      </c>
      <c r="FV76" s="2">
        <f t="shared" si="1889"/>
        <v>0</v>
      </c>
      <c r="FW76" s="2">
        <f t="shared" si="1890"/>
        <v>1</v>
      </c>
      <c r="FX76" s="2">
        <f t="shared" si="1771"/>
        <v>0</v>
      </c>
      <c r="FY76" s="2">
        <f t="shared" si="1891"/>
        <v>12</v>
      </c>
      <c r="FZ76" s="2"/>
      <c r="GA76" s="2">
        <f t="shared" ref="GA76" si="1975">IF($E76=4,FA76-4,NA())</f>
        <v>1</v>
      </c>
      <c r="GB76" s="2"/>
      <c r="GC76" s="41">
        <f>FA76-'Zusammenfassung Tag1-4'!$G$2/18</f>
        <v>3.7222222222222223</v>
      </c>
      <c r="GD76" s="14">
        <f t="shared" si="1893"/>
        <v>242.16666666666691</v>
      </c>
      <c r="GE76" s="53">
        <v>5</v>
      </c>
      <c r="GF76" s="2">
        <v>413</v>
      </c>
      <c r="GG76" s="56">
        <v>2</v>
      </c>
      <c r="GH76" s="2">
        <f t="shared" si="1894"/>
        <v>120</v>
      </c>
      <c r="GI76" s="2">
        <f t="shared" si="1772"/>
        <v>0</v>
      </c>
      <c r="GJ76" s="2">
        <f t="shared" si="1895"/>
        <v>1</v>
      </c>
      <c r="GK76" s="2">
        <f t="shared" si="1773"/>
        <v>0</v>
      </c>
      <c r="GL76" s="2">
        <f t="shared" si="1896"/>
        <v>1</v>
      </c>
      <c r="GM76" s="2"/>
      <c r="GN76" s="2">
        <f t="shared" si="1774"/>
        <v>0</v>
      </c>
      <c r="GO76" s="2">
        <f t="shared" si="1897"/>
        <v>0</v>
      </c>
      <c r="GP76" s="2">
        <f t="shared" si="1898"/>
        <v>0</v>
      </c>
      <c r="GQ76" s="2">
        <f t="shared" si="1899"/>
        <v>0</v>
      </c>
      <c r="GR76" s="2">
        <f t="shared" si="1900"/>
        <v>1</v>
      </c>
      <c r="GS76" s="2">
        <f t="shared" si="1901"/>
        <v>1</v>
      </c>
      <c r="GT76" s="2">
        <f t="shared" si="1902"/>
        <v>0</v>
      </c>
      <c r="GU76" s="2">
        <f t="shared" si="1903"/>
        <v>2</v>
      </c>
      <c r="GV76" s="2">
        <f t="shared" si="1904"/>
        <v>0</v>
      </c>
      <c r="GW76" s="2">
        <f t="shared" si="1905"/>
        <v>0</v>
      </c>
      <c r="GX76" s="2">
        <f t="shared" si="1775"/>
        <v>0</v>
      </c>
      <c r="GY76" s="2">
        <f t="shared" si="1906"/>
        <v>6</v>
      </c>
      <c r="GZ76" s="2">
        <f t="shared" si="1907"/>
        <v>1</v>
      </c>
      <c r="HA76" s="2">
        <f t="shared" si="1908"/>
        <v>3</v>
      </c>
      <c r="HB76" s="2">
        <f t="shared" si="1776"/>
        <v>0</v>
      </c>
      <c r="HC76" s="2">
        <f t="shared" si="1909"/>
        <v>12</v>
      </c>
      <c r="HD76" s="2"/>
      <c r="HE76" s="2">
        <f t="shared" ref="HE76" si="1976">IF($E76=4,GE76-4,NA())</f>
        <v>1</v>
      </c>
      <c r="HF76" s="2"/>
      <c r="HG76" s="41">
        <f>GE76-'Zusammenfassung Tag1-4'!$H$2/18</f>
        <v>3.2222222222222223</v>
      </c>
      <c r="HH76" s="14">
        <f t="shared" si="1911"/>
        <v>272.66666666666691</v>
      </c>
      <c r="HI76" s="53">
        <v>4</v>
      </c>
      <c r="HJ76" s="2">
        <v>302</v>
      </c>
      <c r="HK76" s="56">
        <v>2</v>
      </c>
      <c r="HL76" s="2">
        <f t="shared" si="1912"/>
        <v>108</v>
      </c>
      <c r="HM76" s="2">
        <f t="shared" si="1777"/>
        <v>1</v>
      </c>
      <c r="HN76" s="2">
        <f t="shared" si="1913"/>
        <v>12</v>
      </c>
      <c r="HO76" s="2">
        <f t="shared" si="1778"/>
        <v>0</v>
      </c>
      <c r="HP76" s="2">
        <f t="shared" si="1914"/>
        <v>7</v>
      </c>
      <c r="HQ76" s="2"/>
      <c r="HR76" s="2">
        <f t="shared" si="1779"/>
        <v>0</v>
      </c>
      <c r="HS76" s="2">
        <f t="shared" si="1915"/>
        <v>0</v>
      </c>
      <c r="HT76" s="2">
        <f t="shared" si="1916"/>
        <v>1</v>
      </c>
      <c r="HU76" s="2">
        <f t="shared" si="1917"/>
        <v>2</v>
      </c>
      <c r="HV76" s="2">
        <f t="shared" si="1918"/>
        <v>0</v>
      </c>
      <c r="HW76" s="2">
        <f t="shared" si="1919"/>
        <v>1</v>
      </c>
      <c r="HX76" s="2">
        <f t="shared" si="1920"/>
        <v>0</v>
      </c>
      <c r="HY76" s="2">
        <f t="shared" si="1921"/>
        <v>0</v>
      </c>
      <c r="HZ76" s="2">
        <f t="shared" si="1922"/>
        <v>0</v>
      </c>
      <c r="IA76" s="2">
        <f t="shared" si="1923"/>
        <v>0</v>
      </c>
      <c r="IB76" s="2">
        <f t="shared" si="1780"/>
        <v>0</v>
      </c>
      <c r="IC76" s="2">
        <f t="shared" si="1924"/>
        <v>13</v>
      </c>
      <c r="ID76" s="2">
        <f t="shared" si="1925"/>
        <v>1</v>
      </c>
      <c r="IE76" s="2">
        <f t="shared" si="1926"/>
        <v>3</v>
      </c>
      <c r="IF76" s="2">
        <f t="shared" si="1781"/>
        <v>0</v>
      </c>
      <c r="IG76" s="2">
        <f t="shared" si="1927"/>
        <v>9</v>
      </c>
      <c r="IH76" s="2"/>
      <c r="II76" s="2">
        <f t="shared" ref="II76" si="1977">IF($E76=4,HI76-4,NA())</f>
        <v>0</v>
      </c>
      <c r="IJ76" s="2"/>
      <c r="IK76" s="41">
        <f>HI76-'Zusammenfassung Tag1-4'!$I$2/18</f>
        <v>3.1111111111111112</v>
      </c>
      <c r="IL76" s="14">
        <f t="shared" si="1929"/>
        <v>248.33333333333348</v>
      </c>
      <c r="IM76" s="53">
        <v>6</v>
      </c>
      <c r="IN76" s="2">
        <v>26</v>
      </c>
      <c r="IO76" s="56">
        <v>3</v>
      </c>
      <c r="IP76" s="2">
        <f t="shared" si="1930"/>
        <v>136</v>
      </c>
      <c r="IQ76" s="2">
        <f t="shared" si="1782"/>
        <v>0</v>
      </c>
      <c r="IR76" s="2">
        <f t="shared" si="1931"/>
        <v>7</v>
      </c>
      <c r="IS76" s="2">
        <f t="shared" si="1783"/>
        <v>0</v>
      </c>
      <c r="IT76" s="2">
        <f t="shared" si="1932"/>
        <v>1</v>
      </c>
      <c r="IU76" s="2"/>
      <c r="IV76" s="2">
        <f t="shared" si="1784"/>
        <v>0</v>
      </c>
      <c r="IW76" s="2">
        <f t="shared" si="1933"/>
        <v>0</v>
      </c>
      <c r="IX76" s="2">
        <f t="shared" si="1934"/>
        <v>0</v>
      </c>
      <c r="IY76" s="2">
        <f t="shared" si="1935"/>
        <v>0</v>
      </c>
      <c r="IZ76" s="2">
        <f t="shared" si="1936"/>
        <v>0</v>
      </c>
      <c r="JA76" s="2">
        <f t="shared" si="1937"/>
        <v>0</v>
      </c>
      <c r="JB76" s="2">
        <f t="shared" si="1938"/>
        <v>1</v>
      </c>
      <c r="JC76" s="2">
        <f t="shared" si="1939"/>
        <v>3</v>
      </c>
      <c r="JD76" s="2">
        <f t="shared" si="1940"/>
        <v>0</v>
      </c>
      <c r="JE76" s="2">
        <f t="shared" si="1941"/>
        <v>0</v>
      </c>
      <c r="JF76" s="2">
        <f t="shared" si="1785"/>
        <v>0</v>
      </c>
      <c r="JG76" s="2">
        <f t="shared" si="1942"/>
        <v>8</v>
      </c>
      <c r="JH76" s="2">
        <f t="shared" si="1943"/>
        <v>0</v>
      </c>
      <c r="JI76" s="2">
        <f t="shared" si="1944"/>
        <v>2</v>
      </c>
      <c r="JJ76" s="2">
        <f t="shared" si="1786"/>
        <v>1</v>
      </c>
      <c r="JK76" s="2">
        <f t="shared" si="1945"/>
        <v>23</v>
      </c>
      <c r="JL76" s="2"/>
      <c r="JM76" s="2">
        <f t="shared" ref="JM76" si="1978">IF($E76=4,IM76-4,NA())</f>
        <v>2</v>
      </c>
      <c r="JN76" s="2"/>
      <c r="JO76" s="41">
        <f>IM76-'Zusammenfassung Tag1-4'!$J$2/18</f>
        <v>3.6666666666666665</v>
      </c>
      <c r="JP76" s="14">
        <f t="shared" si="1947"/>
        <v>260.99999999999983</v>
      </c>
      <c r="JQ76" s="53"/>
      <c r="JR76" s="2"/>
      <c r="JS76" s="56"/>
      <c r="JT76" s="2">
        <f t="shared" si="1948"/>
        <v>0</v>
      </c>
      <c r="JU76" s="2">
        <f t="shared" si="1787"/>
        <v>1</v>
      </c>
      <c r="JV76" s="2">
        <f t="shared" si="1949"/>
        <v>57</v>
      </c>
      <c r="JW76" s="2">
        <f t="shared" si="1788"/>
        <v>0</v>
      </c>
      <c r="JX76" s="2">
        <f t="shared" si="1950"/>
        <v>0</v>
      </c>
      <c r="JY76" s="2"/>
      <c r="JZ76" s="2">
        <f t="shared" si="1789"/>
        <v>0</v>
      </c>
      <c r="KA76" s="2">
        <f t="shared" si="1951"/>
        <v>0</v>
      </c>
      <c r="KB76" s="2">
        <f t="shared" si="1952"/>
        <v>0</v>
      </c>
      <c r="KC76" s="2">
        <f t="shared" si="1953"/>
        <v>0</v>
      </c>
      <c r="KD76" s="2">
        <f t="shared" si="1954"/>
        <v>0</v>
      </c>
      <c r="KE76" s="2">
        <f t="shared" si="1955"/>
        <v>0</v>
      </c>
      <c r="KF76" s="2">
        <f t="shared" si="1956"/>
        <v>0</v>
      </c>
      <c r="KG76" s="2">
        <f t="shared" si="1957"/>
        <v>0</v>
      </c>
      <c r="KH76" s="2">
        <f t="shared" si="1958"/>
        <v>1</v>
      </c>
      <c r="KI76" s="2">
        <f t="shared" si="1959"/>
        <v>3</v>
      </c>
      <c r="KJ76" s="2">
        <f t="shared" si="1790"/>
        <v>0</v>
      </c>
      <c r="KK76" s="2">
        <f t="shared" si="1960"/>
        <v>0</v>
      </c>
      <c r="KL76" s="2">
        <f t="shared" si="1961"/>
        <v>0</v>
      </c>
      <c r="KM76" s="2">
        <f t="shared" si="1962"/>
        <v>0</v>
      </c>
      <c r="KN76" s="2">
        <f t="shared" si="1791"/>
        <v>0</v>
      </c>
      <c r="KO76" s="2">
        <f t="shared" si="1963"/>
        <v>0</v>
      </c>
      <c r="KP76" s="2"/>
      <c r="KQ76" s="2">
        <f t="shared" ref="KQ76" si="1979">IF($E76=4,JQ76-4,NA())</f>
        <v>-4</v>
      </c>
      <c r="KR76" s="2"/>
      <c r="KS76" s="41" t="e">
        <f>JQ76-'Zusammenfassung Tag1-4'!#REF!/18</f>
        <v>#REF!</v>
      </c>
      <c r="KT76" s="14" t="e">
        <f t="shared" si="1965"/>
        <v>#REF!</v>
      </c>
    </row>
    <row r="77" spans="1:333" ht="13.2" x14ac:dyDescent="0.25">
      <c r="A77" s="179"/>
      <c r="B77" s="176"/>
      <c r="C77" s="44">
        <v>4</v>
      </c>
      <c r="D77" s="2">
        <f t="shared" si="1966"/>
        <v>58</v>
      </c>
      <c r="E77" s="44">
        <v>3</v>
      </c>
      <c r="F77" s="4">
        <f t="shared" si="1792"/>
        <v>232</v>
      </c>
      <c r="G77" s="56">
        <v>3</v>
      </c>
      <c r="H77" s="2">
        <f t="shared" si="1967"/>
        <v>280</v>
      </c>
      <c r="I77" s="56">
        <v>1</v>
      </c>
      <c r="J77" s="2">
        <f t="shared" si="1793"/>
        <v>109</v>
      </c>
      <c r="K77" s="2">
        <f t="shared" si="1737"/>
        <v>0</v>
      </c>
      <c r="L77" s="2">
        <f t="shared" si="1794"/>
        <v>18</v>
      </c>
      <c r="M77" s="2">
        <f t="shared" si="1738"/>
        <v>1</v>
      </c>
      <c r="N77" s="2">
        <f t="shared" si="1795"/>
        <v>9</v>
      </c>
      <c r="O77" s="2"/>
      <c r="P77" s="2">
        <f t="shared" si="1739"/>
        <v>0</v>
      </c>
      <c r="Q77" s="2">
        <f t="shared" si="1796"/>
        <v>3</v>
      </c>
      <c r="R77" s="2">
        <f t="shared" si="1740"/>
        <v>1</v>
      </c>
      <c r="S77" s="2">
        <f t="shared" si="1797"/>
        <v>3</v>
      </c>
      <c r="T77" s="2">
        <f t="shared" si="1741"/>
        <v>0</v>
      </c>
      <c r="U77" s="2">
        <f t="shared" si="1798"/>
        <v>0</v>
      </c>
      <c r="V77" s="2">
        <f t="shared" si="1742"/>
        <v>0</v>
      </c>
      <c r="W77" s="2">
        <f t="shared" si="1799"/>
        <v>1</v>
      </c>
      <c r="X77" s="2">
        <f t="shared" si="1743"/>
        <v>0</v>
      </c>
      <c r="Y77" s="2">
        <f t="shared" si="1800"/>
        <v>0</v>
      </c>
      <c r="Z77" s="2">
        <f t="shared" si="1744"/>
        <v>1</v>
      </c>
      <c r="AA77" s="2">
        <f t="shared" si="1801"/>
        <v>12</v>
      </c>
      <c r="AB77" s="2">
        <f t="shared" si="1745"/>
        <v>0</v>
      </c>
      <c r="AC77" s="2">
        <f t="shared" si="1802"/>
        <v>1</v>
      </c>
      <c r="AD77" s="2">
        <f t="shared" si="1746"/>
        <v>0</v>
      </c>
      <c r="AE77" s="2">
        <f t="shared" si="1803"/>
        <v>8</v>
      </c>
      <c r="AF77" s="2">
        <f>IF($E77=3,G77-3,NA())</f>
        <v>0</v>
      </c>
      <c r="AG77" s="2"/>
      <c r="AH77" s="2"/>
      <c r="AI77" s="41">
        <f>G77-'Zusammenfassung Tag1-4'!$B$2/18</f>
        <v>2.1666666666666665</v>
      </c>
      <c r="AJ77" s="13">
        <f t="shared" si="1804"/>
        <v>231.66666666666646</v>
      </c>
      <c r="AK77" s="53">
        <v>3</v>
      </c>
      <c r="AL77" s="2">
        <f t="shared" si="1968"/>
        <v>282</v>
      </c>
      <c r="AM77" s="56">
        <v>1</v>
      </c>
      <c r="AN77" s="2">
        <f t="shared" si="1805"/>
        <v>105</v>
      </c>
      <c r="AO77" s="2">
        <f t="shared" si="1747"/>
        <v>0</v>
      </c>
      <c r="AP77" s="2">
        <f t="shared" si="1806"/>
        <v>25</v>
      </c>
      <c r="AQ77" s="2">
        <f t="shared" si="1748"/>
        <v>1</v>
      </c>
      <c r="AR77" s="2">
        <f t="shared" si="1807"/>
        <v>8</v>
      </c>
      <c r="AS77" s="2"/>
      <c r="AT77" s="2">
        <f t="shared" si="1749"/>
        <v>0</v>
      </c>
      <c r="AU77" s="2">
        <f t="shared" si="1808"/>
        <v>0</v>
      </c>
      <c r="AV77" s="2">
        <f t="shared" si="1809"/>
        <v>1</v>
      </c>
      <c r="AW77" s="2">
        <f t="shared" si="1810"/>
        <v>2</v>
      </c>
      <c r="AX77" s="2">
        <f t="shared" si="1811"/>
        <v>0</v>
      </c>
      <c r="AY77" s="2">
        <f t="shared" si="1812"/>
        <v>1</v>
      </c>
      <c r="AZ77" s="2">
        <f t="shared" si="1813"/>
        <v>0</v>
      </c>
      <c r="BA77" s="2">
        <f t="shared" si="1814"/>
        <v>1</v>
      </c>
      <c r="BB77" s="2">
        <f t="shared" si="1815"/>
        <v>0</v>
      </c>
      <c r="BC77" s="2">
        <f t="shared" si="1816"/>
        <v>0</v>
      </c>
      <c r="BD77" s="2">
        <f t="shared" si="1750"/>
        <v>1</v>
      </c>
      <c r="BE77" s="2">
        <f t="shared" si="1817"/>
        <v>15</v>
      </c>
      <c r="BF77" s="2">
        <f t="shared" si="1818"/>
        <v>0</v>
      </c>
      <c r="BG77" s="2">
        <f t="shared" si="1819"/>
        <v>3</v>
      </c>
      <c r="BH77" s="2">
        <f t="shared" si="1751"/>
        <v>0</v>
      </c>
      <c r="BI77" s="2">
        <f t="shared" si="1820"/>
        <v>4</v>
      </c>
      <c r="BJ77" s="2">
        <f>IF($E77=3,AK77-3,NA())</f>
        <v>0</v>
      </c>
      <c r="BK77" s="2"/>
      <c r="BL77" s="2"/>
      <c r="BM77" s="41">
        <f>AK77-'Zusammenfassung Tag1-4'!$C$2/18</f>
        <v>2.4444444444444446</v>
      </c>
      <c r="BN77" s="13">
        <f t="shared" si="1822"/>
        <v>249.77777777777811</v>
      </c>
      <c r="BO77" s="53">
        <v>4</v>
      </c>
      <c r="BP77" s="2">
        <f t="shared" si="1970"/>
        <v>339</v>
      </c>
      <c r="BQ77" s="56">
        <v>2</v>
      </c>
      <c r="BR77" s="2">
        <f t="shared" si="1823"/>
        <v>130</v>
      </c>
      <c r="BS77" s="2">
        <f t="shared" si="1752"/>
        <v>0</v>
      </c>
      <c r="BT77" s="2">
        <f t="shared" si="1824"/>
        <v>11</v>
      </c>
      <c r="BU77" s="2">
        <f t="shared" si="1753"/>
        <v>0</v>
      </c>
      <c r="BV77" s="2">
        <f t="shared" si="1825"/>
        <v>0</v>
      </c>
      <c r="BW77" s="2"/>
      <c r="BX77" s="2">
        <f t="shared" si="1754"/>
        <v>0</v>
      </c>
      <c r="BY77" s="2">
        <f t="shared" si="1826"/>
        <v>0</v>
      </c>
      <c r="BZ77" s="2">
        <f t="shared" si="1827"/>
        <v>0</v>
      </c>
      <c r="CA77" s="2">
        <f t="shared" si="1828"/>
        <v>1</v>
      </c>
      <c r="CB77" s="2">
        <f t="shared" si="1829"/>
        <v>1</v>
      </c>
      <c r="CC77" s="2">
        <f t="shared" si="1830"/>
        <v>2</v>
      </c>
      <c r="CD77" s="2">
        <f t="shared" si="1831"/>
        <v>0</v>
      </c>
      <c r="CE77" s="2">
        <f t="shared" si="1832"/>
        <v>1</v>
      </c>
      <c r="CF77" s="2">
        <f t="shared" si="1833"/>
        <v>0</v>
      </c>
      <c r="CG77" s="2">
        <f t="shared" si="1826"/>
        <v>0</v>
      </c>
      <c r="CH77" s="2">
        <f t="shared" si="1755"/>
        <v>0</v>
      </c>
      <c r="CI77" s="2">
        <f t="shared" si="1834"/>
        <v>2</v>
      </c>
      <c r="CJ77" s="2">
        <f t="shared" si="1835"/>
        <v>1</v>
      </c>
      <c r="CK77" s="2">
        <f t="shared" si="1836"/>
        <v>4</v>
      </c>
      <c r="CL77" s="2">
        <f t="shared" si="1756"/>
        <v>0</v>
      </c>
      <c r="CM77" s="2">
        <f t="shared" si="1837"/>
        <v>16</v>
      </c>
      <c r="CN77" s="2">
        <f>IF($E77=3,BO77-3,NA())</f>
        <v>1</v>
      </c>
      <c r="CO77" s="2"/>
      <c r="CP77" s="2"/>
      <c r="CQ77" s="41">
        <f>BO77-'Zusammenfassung Tag1-4'!$D$2/18</f>
        <v>2.9444444444444446</v>
      </c>
      <c r="CR77" s="13">
        <f t="shared" si="1839"/>
        <v>277.77777777777811</v>
      </c>
      <c r="CS77" s="53">
        <v>4</v>
      </c>
      <c r="CT77" s="2">
        <f t="shared" si="1972"/>
        <v>300</v>
      </c>
      <c r="CU77" s="56">
        <v>2</v>
      </c>
      <c r="CV77" s="2">
        <f t="shared" si="1840"/>
        <v>121</v>
      </c>
      <c r="CW77" s="2">
        <f t="shared" si="1757"/>
        <v>0</v>
      </c>
      <c r="CX77" s="2">
        <f t="shared" si="1841"/>
        <v>17</v>
      </c>
      <c r="CY77" s="2">
        <f t="shared" si="1758"/>
        <v>0</v>
      </c>
      <c r="CZ77" s="2">
        <f t="shared" si="1842"/>
        <v>5</v>
      </c>
      <c r="DA77" s="2"/>
      <c r="DB77" s="2">
        <f t="shared" si="1759"/>
        <v>0</v>
      </c>
      <c r="DC77" s="2">
        <f t="shared" si="1843"/>
        <v>0</v>
      </c>
      <c r="DD77" s="2">
        <f t="shared" si="1844"/>
        <v>0</v>
      </c>
      <c r="DE77" s="2">
        <f t="shared" si="1845"/>
        <v>0</v>
      </c>
      <c r="DF77" s="2">
        <f t="shared" si="1846"/>
        <v>1</v>
      </c>
      <c r="DG77" s="2">
        <f t="shared" si="1847"/>
        <v>2</v>
      </c>
      <c r="DH77" s="2">
        <f t="shared" si="1848"/>
        <v>0</v>
      </c>
      <c r="DI77" s="2">
        <f t="shared" si="1849"/>
        <v>2</v>
      </c>
      <c r="DJ77" s="2">
        <f t="shared" si="1850"/>
        <v>0</v>
      </c>
      <c r="DK77" s="2">
        <f t="shared" si="1851"/>
        <v>0</v>
      </c>
      <c r="DL77" s="2">
        <f t="shared" si="1760"/>
        <v>0</v>
      </c>
      <c r="DM77" s="2">
        <f t="shared" si="1852"/>
        <v>11</v>
      </c>
      <c r="DN77" s="2">
        <f t="shared" si="1853"/>
        <v>1</v>
      </c>
      <c r="DO77" s="2">
        <f t="shared" si="1854"/>
        <v>3</v>
      </c>
      <c r="DP77" s="2">
        <f t="shared" si="1761"/>
        <v>0</v>
      </c>
      <c r="DQ77" s="2">
        <f t="shared" si="1855"/>
        <v>15</v>
      </c>
      <c r="DR77" s="2">
        <f>IF($E77=3,CS77-3,NA())</f>
        <v>1</v>
      </c>
      <c r="DS77" s="2"/>
      <c r="DT77" s="2"/>
      <c r="DU77" s="41">
        <f>CS77-'Zusammenfassung Tag1-4'!$E$2/18</f>
        <v>3</v>
      </c>
      <c r="DV77" s="14">
        <f t="shared" si="1857"/>
        <v>242</v>
      </c>
      <c r="DW77" s="53">
        <v>5</v>
      </c>
      <c r="DX77" s="2">
        <v>103</v>
      </c>
      <c r="DY77" s="56">
        <v>2</v>
      </c>
      <c r="DZ77" s="2">
        <f t="shared" si="1858"/>
        <v>127</v>
      </c>
      <c r="EA77" s="2">
        <f t="shared" si="1762"/>
        <v>0</v>
      </c>
      <c r="EB77" s="2">
        <f t="shared" si="1859"/>
        <v>0</v>
      </c>
      <c r="EC77" s="2">
        <f t="shared" si="1763"/>
        <v>0</v>
      </c>
      <c r="ED77" s="2">
        <f t="shared" si="1860"/>
        <v>1</v>
      </c>
      <c r="EE77" s="2"/>
      <c r="EF77" s="2">
        <f t="shared" si="1764"/>
        <v>0</v>
      </c>
      <c r="EG77" s="2">
        <f t="shared" si="1861"/>
        <v>0</v>
      </c>
      <c r="EH77" s="2">
        <f t="shared" si="1862"/>
        <v>0</v>
      </c>
      <c r="EI77" s="2">
        <f t="shared" si="1863"/>
        <v>0</v>
      </c>
      <c r="EJ77" s="2">
        <f t="shared" si="1864"/>
        <v>0</v>
      </c>
      <c r="EK77" s="2">
        <f t="shared" si="1865"/>
        <v>1</v>
      </c>
      <c r="EL77" s="2">
        <f t="shared" si="1866"/>
        <v>1</v>
      </c>
      <c r="EM77" s="2">
        <f t="shared" si="1867"/>
        <v>3</v>
      </c>
      <c r="EN77" s="2">
        <f t="shared" si="1868"/>
        <v>0</v>
      </c>
      <c r="EO77" s="2">
        <f t="shared" si="1869"/>
        <v>0</v>
      </c>
      <c r="EP77" s="2">
        <f t="shared" si="1765"/>
        <v>0</v>
      </c>
      <c r="EQ77" s="2">
        <f t="shared" si="1870"/>
        <v>6</v>
      </c>
      <c r="ER77" s="2">
        <f t="shared" si="1871"/>
        <v>1</v>
      </c>
      <c r="ES77" s="2">
        <f t="shared" si="1872"/>
        <v>3</v>
      </c>
      <c r="ET77" s="2">
        <f t="shared" si="1766"/>
        <v>0</v>
      </c>
      <c r="EU77" s="2">
        <f t="shared" si="1873"/>
        <v>16</v>
      </c>
      <c r="EV77" s="2">
        <f>IF($E77=3,DW77-3,NA())</f>
        <v>2</v>
      </c>
      <c r="EW77" s="2"/>
      <c r="EX77" s="2"/>
      <c r="EY77" s="41">
        <f>DW77-'Zusammenfassung Tag1-4'!$F$2/18</f>
        <v>2.5</v>
      </c>
      <c r="EZ77" s="14">
        <f t="shared" si="1875"/>
        <v>252</v>
      </c>
      <c r="FA77" s="53">
        <v>4</v>
      </c>
      <c r="FB77" s="2">
        <v>325</v>
      </c>
      <c r="FC77" s="56">
        <v>2</v>
      </c>
      <c r="FD77" s="2">
        <f t="shared" si="1876"/>
        <v>111</v>
      </c>
      <c r="FE77" s="2">
        <f t="shared" si="1767"/>
        <v>0</v>
      </c>
      <c r="FF77" s="2">
        <f t="shared" si="1877"/>
        <v>10</v>
      </c>
      <c r="FG77" s="2">
        <f t="shared" si="1768"/>
        <v>0</v>
      </c>
      <c r="FH77" s="2">
        <f t="shared" si="1878"/>
        <v>4</v>
      </c>
      <c r="FI77" s="2"/>
      <c r="FJ77" s="2">
        <f t="shared" si="1769"/>
        <v>0</v>
      </c>
      <c r="FK77" s="2">
        <f t="shared" si="1879"/>
        <v>0</v>
      </c>
      <c r="FL77" s="2">
        <f t="shared" si="1880"/>
        <v>0</v>
      </c>
      <c r="FM77" s="2">
        <f t="shared" si="1881"/>
        <v>0</v>
      </c>
      <c r="FN77" s="2">
        <f t="shared" si="1882"/>
        <v>1</v>
      </c>
      <c r="FO77" s="2">
        <f t="shared" si="1883"/>
        <v>3</v>
      </c>
      <c r="FP77" s="2">
        <f t="shared" si="1884"/>
        <v>0</v>
      </c>
      <c r="FQ77" s="2">
        <f t="shared" si="1885"/>
        <v>1</v>
      </c>
      <c r="FR77" s="2">
        <f t="shared" si="1886"/>
        <v>0</v>
      </c>
      <c r="FS77" s="2">
        <f t="shared" si="1887"/>
        <v>0</v>
      </c>
      <c r="FT77" s="2">
        <f t="shared" si="1770"/>
        <v>0</v>
      </c>
      <c r="FU77" s="2">
        <f t="shared" si="1888"/>
        <v>17</v>
      </c>
      <c r="FV77" s="2">
        <f t="shared" si="1889"/>
        <v>1</v>
      </c>
      <c r="FW77" s="2">
        <f t="shared" si="1890"/>
        <v>2</v>
      </c>
      <c r="FX77" s="2">
        <f t="shared" si="1771"/>
        <v>0</v>
      </c>
      <c r="FY77" s="2">
        <f t="shared" si="1891"/>
        <v>12</v>
      </c>
      <c r="FZ77" s="2">
        <f>IF($E77=3,FA77-3,NA())</f>
        <v>1</v>
      </c>
      <c r="GA77" s="2"/>
      <c r="GB77" s="2"/>
      <c r="GC77" s="41">
        <f>FA77-'Zusammenfassung Tag1-4'!$G$2/18</f>
        <v>2.7222222222222223</v>
      </c>
      <c r="GD77" s="14">
        <f t="shared" si="1893"/>
        <v>244.88888888888914</v>
      </c>
      <c r="GE77" s="53">
        <v>6</v>
      </c>
      <c r="GF77" s="2">
        <v>417</v>
      </c>
      <c r="GG77" s="56">
        <v>2</v>
      </c>
      <c r="GH77" s="2">
        <f t="shared" si="1894"/>
        <v>122</v>
      </c>
      <c r="GI77" s="2">
        <f t="shared" si="1772"/>
        <v>0</v>
      </c>
      <c r="GJ77" s="2">
        <f t="shared" si="1895"/>
        <v>1</v>
      </c>
      <c r="GK77" s="2">
        <f t="shared" si="1773"/>
        <v>0</v>
      </c>
      <c r="GL77" s="2">
        <f t="shared" si="1896"/>
        <v>1</v>
      </c>
      <c r="GM77" s="2"/>
      <c r="GN77" s="2">
        <f t="shared" si="1774"/>
        <v>0</v>
      </c>
      <c r="GO77" s="2">
        <f t="shared" si="1897"/>
        <v>0</v>
      </c>
      <c r="GP77" s="2">
        <f t="shared" si="1898"/>
        <v>0</v>
      </c>
      <c r="GQ77" s="2">
        <f t="shared" si="1899"/>
        <v>0</v>
      </c>
      <c r="GR77" s="2">
        <f t="shared" si="1900"/>
        <v>0</v>
      </c>
      <c r="GS77" s="2">
        <f t="shared" si="1901"/>
        <v>1</v>
      </c>
      <c r="GT77" s="2">
        <f t="shared" si="1902"/>
        <v>1</v>
      </c>
      <c r="GU77" s="2">
        <f t="shared" si="1903"/>
        <v>3</v>
      </c>
      <c r="GV77" s="2">
        <f t="shared" si="1904"/>
        <v>0</v>
      </c>
      <c r="GW77" s="2">
        <f t="shared" si="1905"/>
        <v>0</v>
      </c>
      <c r="GX77" s="2">
        <f t="shared" si="1775"/>
        <v>0</v>
      </c>
      <c r="GY77" s="2">
        <f t="shared" si="1906"/>
        <v>6</v>
      </c>
      <c r="GZ77" s="2">
        <f t="shared" si="1907"/>
        <v>1</v>
      </c>
      <c r="HA77" s="2">
        <f t="shared" si="1908"/>
        <v>4</v>
      </c>
      <c r="HB77" s="2">
        <f t="shared" si="1776"/>
        <v>0</v>
      </c>
      <c r="HC77" s="2">
        <f t="shared" si="1909"/>
        <v>12</v>
      </c>
      <c r="HD77" s="2">
        <f>IF($E77=3,GE77-3,NA())</f>
        <v>3</v>
      </c>
      <c r="HE77" s="2"/>
      <c r="HF77" s="2"/>
      <c r="HG77" s="41">
        <f>GE77-'Zusammenfassung Tag1-4'!$H$2/18</f>
        <v>4.2222222222222223</v>
      </c>
      <c r="HH77" s="14">
        <f t="shared" si="1911"/>
        <v>276.88888888888914</v>
      </c>
      <c r="HI77" s="53">
        <v>4</v>
      </c>
      <c r="HJ77" s="2">
        <v>306</v>
      </c>
      <c r="HK77" s="56">
        <v>2</v>
      </c>
      <c r="HL77" s="2">
        <f t="shared" si="1912"/>
        <v>110</v>
      </c>
      <c r="HM77" s="2">
        <f t="shared" si="1777"/>
        <v>0</v>
      </c>
      <c r="HN77" s="2">
        <f t="shared" si="1913"/>
        <v>12</v>
      </c>
      <c r="HO77" s="2">
        <f t="shared" si="1778"/>
        <v>0</v>
      </c>
      <c r="HP77" s="2">
        <f t="shared" si="1914"/>
        <v>7</v>
      </c>
      <c r="HQ77" s="2"/>
      <c r="HR77" s="2">
        <f t="shared" si="1779"/>
        <v>0</v>
      </c>
      <c r="HS77" s="2">
        <f t="shared" si="1915"/>
        <v>0</v>
      </c>
      <c r="HT77" s="2">
        <f t="shared" si="1916"/>
        <v>0</v>
      </c>
      <c r="HU77" s="2">
        <f t="shared" si="1917"/>
        <v>2</v>
      </c>
      <c r="HV77" s="2">
        <f t="shared" si="1918"/>
        <v>1</v>
      </c>
      <c r="HW77" s="2">
        <f t="shared" si="1919"/>
        <v>2</v>
      </c>
      <c r="HX77" s="2">
        <f t="shared" si="1920"/>
        <v>0</v>
      </c>
      <c r="HY77" s="2">
        <f t="shared" si="1921"/>
        <v>0</v>
      </c>
      <c r="HZ77" s="2">
        <f t="shared" si="1922"/>
        <v>0</v>
      </c>
      <c r="IA77" s="2">
        <f t="shared" si="1923"/>
        <v>0</v>
      </c>
      <c r="IB77" s="2">
        <f t="shared" si="1780"/>
        <v>0</v>
      </c>
      <c r="IC77" s="2">
        <f t="shared" si="1924"/>
        <v>13</v>
      </c>
      <c r="ID77" s="2">
        <f t="shared" si="1925"/>
        <v>1</v>
      </c>
      <c r="IE77" s="2">
        <f t="shared" si="1926"/>
        <v>4</v>
      </c>
      <c r="IF77" s="2">
        <f t="shared" si="1781"/>
        <v>0</v>
      </c>
      <c r="IG77" s="2">
        <f t="shared" si="1927"/>
        <v>9</v>
      </c>
      <c r="IH77" s="2">
        <f>IF($E77=3,HI77-3,NA())</f>
        <v>1</v>
      </c>
      <c r="II77" s="2"/>
      <c r="IJ77" s="2"/>
      <c r="IK77" s="41">
        <f>HI77-'Zusammenfassung Tag1-4'!$I$2/18</f>
        <v>3.1111111111111112</v>
      </c>
      <c r="IL77" s="14">
        <f t="shared" si="1929"/>
        <v>251.4444444444446</v>
      </c>
      <c r="IM77" s="53">
        <v>4</v>
      </c>
      <c r="IN77" s="2">
        <v>36</v>
      </c>
      <c r="IO77" s="56">
        <v>3</v>
      </c>
      <c r="IP77" s="2">
        <f t="shared" si="1930"/>
        <v>139</v>
      </c>
      <c r="IQ77" s="2">
        <f t="shared" si="1782"/>
        <v>1</v>
      </c>
      <c r="IR77" s="2">
        <f t="shared" si="1931"/>
        <v>8</v>
      </c>
      <c r="IS77" s="2">
        <f t="shared" si="1783"/>
        <v>0</v>
      </c>
      <c r="IT77" s="2">
        <f t="shared" si="1932"/>
        <v>1</v>
      </c>
      <c r="IU77" s="2"/>
      <c r="IV77" s="2">
        <f t="shared" si="1784"/>
        <v>0</v>
      </c>
      <c r="IW77" s="2">
        <f t="shared" si="1933"/>
        <v>0</v>
      </c>
      <c r="IX77" s="2">
        <f t="shared" si="1934"/>
        <v>0</v>
      </c>
      <c r="IY77" s="2">
        <f t="shared" si="1935"/>
        <v>0</v>
      </c>
      <c r="IZ77" s="2">
        <f t="shared" si="1936"/>
        <v>1</v>
      </c>
      <c r="JA77" s="2">
        <f t="shared" si="1937"/>
        <v>1</v>
      </c>
      <c r="JB77" s="2">
        <f t="shared" si="1938"/>
        <v>0</v>
      </c>
      <c r="JC77" s="2">
        <f t="shared" si="1939"/>
        <v>3</v>
      </c>
      <c r="JD77" s="2">
        <f t="shared" si="1940"/>
        <v>0</v>
      </c>
      <c r="JE77" s="2">
        <f t="shared" si="1941"/>
        <v>0</v>
      </c>
      <c r="JF77" s="2">
        <f t="shared" si="1785"/>
        <v>0</v>
      </c>
      <c r="JG77" s="2">
        <f t="shared" si="1942"/>
        <v>8</v>
      </c>
      <c r="JH77" s="2">
        <f t="shared" si="1943"/>
        <v>0</v>
      </c>
      <c r="JI77" s="2">
        <f t="shared" si="1944"/>
        <v>2</v>
      </c>
      <c r="JJ77" s="2">
        <f t="shared" si="1786"/>
        <v>1</v>
      </c>
      <c r="JK77" s="2">
        <f t="shared" si="1945"/>
        <v>24</v>
      </c>
      <c r="JL77" s="2">
        <f>IF($E77=3,IM77-3,NA())</f>
        <v>1</v>
      </c>
      <c r="JM77" s="2"/>
      <c r="JN77" s="2"/>
      <c r="JO77" s="41">
        <f>IM77-'Zusammenfassung Tag1-4'!$J$2/18</f>
        <v>1.6666666666666665</v>
      </c>
      <c r="JP77" s="14">
        <f t="shared" si="1947"/>
        <v>262.66666666666652</v>
      </c>
      <c r="JQ77" s="53"/>
      <c r="JR77" s="2"/>
      <c r="JS77" s="56"/>
      <c r="JT77" s="2">
        <f t="shared" si="1948"/>
        <v>0</v>
      </c>
      <c r="JU77" s="2">
        <f t="shared" si="1787"/>
        <v>1</v>
      </c>
      <c r="JV77" s="2">
        <f t="shared" si="1949"/>
        <v>58</v>
      </c>
      <c r="JW77" s="2">
        <f t="shared" si="1788"/>
        <v>0</v>
      </c>
      <c r="JX77" s="2">
        <f t="shared" si="1950"/>
        <v>0</v>
      </c>
      <c r="JY77" s="2"/>
      <c r="JZ77" s="2">
        <f t="shared" si="1789"/>
        <v>0</v>
      </c>
      <c r="KA77" s="2">
        <f t="shared" si="1951"/>
        <v>0</v>
      </c>
      <c r="KB77" s="2">
        <f t="shared" si="1952"/>
        <v>0</v>
      </c>
      <c r="KC77" s="2">
        <f t="shared" si="1953"/>
        <v>0</v>
      </c>
      <c r="KD77" s="2">
        <f t="shared" si="1954"/>
        <v>0</v>
      </c>
      <c r="KE77" s="2">
        <f t="shared" si="1955"/>
        <v>0</v>
      </c>
      <c r="KF77" s="2">
        <f t="shared" si="1956"/>
        <v>0</v>
      </c>
      <c r="KG77" s="2">
        <f t="shared" si="1957"/>
        <v>0</v>
      </c>
      <c r="KH77" s="2">
        <f t="shared" si="1958"/>
        <v>1</v>
      </c>
      <c r="KI77" s="2">
        <f t="shared" si="1959"/>
        <v>4</v>
      </c>
      <c r="KJ77" s="2">
        <f t="shared" si="1790"/>
        <v>0</v>
      </c>
      <c r="KK77" s="2">
        <f t="shared" si="1960"/>
        <v>0</v>
      </c>
      <c r="KL77" s="2">
        <f t="shared" si="1961"/>
        <v>0</v>
      </c>
      <c r="KM77" s="2">
        <f t="shared" si="1962"/>
        <v>0</v>
      </c>
      <c r="KN77" s="2">
        <f t="shared" si="1791"/>
        <v>0</v>
      </c>
      <c r="KO77" s="2">
        <f t="shared" si="1963"/>
        <v>0</v>
      </c>
      <c r="KP77" s="2">
        <f>IF($E77=3,JQ77-3,NA())</f>
        <v>-3</v>
      </c>
      <c r="KQ77" s="2"/>
      <c r="KR77" s="2"/>
      <c r="KS77" s="41" t="e">
        <f>JQ77-'Zusammenfassung Tag1-4'!#REF!/18</f>
        <v>#REF!</v>
      </c>
      <c r="KT77" s="14" t="e">
        <f t="shared" si="1965"/>
        <v>#REF!</v>
      </c>
    </row>
    <row r="78" spans="1:333" ht="13.2" x14ac:dyDescent="0.25">
      <c r="A78" s="179"/>
      <c r="B78" s="176"/>
      <c r="C78" s="44">
        <v>5</v>
      </c>
      <c r="D78" s="2">
        <f t="shared" si="1966"/>
        <v>59</v>
      </c>
      <c r="E78" s="44">
        <v>4</v>
      </c>
      <c r="F78" s="4">
        <f t="shared" si="1792"/>
        <v>236</v>
      </c>
      <c r="G78" s="56">
        <v>7</v>
      </c>
      <c r="H78" s="2">
        <f t="shared" si="1967"/>
        <v>287</v>
      </c>
      <c r="I78" s="56">
        <v>2</v>
      </c>
      <c r="J78" s="2">
        <f t="shared" si="1793"/>
        <v>111</v>
      </c>
      <c r="K78" s="2">
        <f t="shared" si="1737"/>
        <v>0</v>
      </c>
      <c r="L78" s="2">
        <f t="shared" si="1794"/>
        <v>18</v>
      </c>
      <c r="M78" s="2">
        <f t="shared" si="1738"/>
        <v>0</v>
      </c>
      <c r="N78" s="2">
        <f t="shared" si="1795"/>
        <v>9</v>
      </c>
      <c r="O78" s="2"/>
      <c r="P78" s="2">
        <f t="shared" si="1739"/>
        <v>0</v>
      </c>
      <c r="Q78" s="2">
        <f t="shared" si="1796"/>
        <v>3</v>
      </c>
      <c r="R78" s="2">
        <f t="shared" si="1740"/>
        <v>0</v>
      </c>
      <c r="S78" s="2">
        <f t="shared" si="1797"/>
        <v>3</v>
      </c>
      <c r="T78" s="2">
        <f t="shared" si="1741"/>
        <v>0</v>
      </c>
      <c r="U78" s="2">
        <f t="shared" si="1798"/>
        <v>0</v>
      </c>
      <c r="V78" s="2">
        <f t="shared" si="1742"/>
        <v>1</v>
      </c>
      <c r="W78" s="2">
        <f t="shared" si="1799"/>
        <v>2</v>
      </c>
      <c r="X78" s="2">
        <f t="shared" si="1743"/>
        <v>0</v>
      </c>
      <c r="Y78" s="2">
        <f t="shared" si="1800"/>
        <v>0</v>
      </c>
      <c r="Z78" s="2">
        <f t="shared" si="1744"/>
        <v>0</v>
      </c>
      <c r="AA78" s="2">
        <f t="shared" si="1801"/>
        <v>12</v>
      </c>
      <c r="AB78" s="2">
        <f t="shared" si="1745"/>
        <v>1</v>
      </c>
      <c r="AC78" s="2">
        <f t="shared" si="1802"/>
        <v>2</v>
      </c>
      <c r="AD78" s="2">
        <f t="shared" si="1746"/>
        <v>0</v>
      </c>
      <c r="AE78" s="2">
        <f t="shared" si="1803"/>
        <v>8</v>
      </c>
      <c r="AF78" s="2"/>
      <c r="AG78" s="2">
        <f>IF($E78=4,G78-4,NA())</f>
        <v>3</v>
      </c>
      <c r="AH78" s="2"/>
      <c r="AI78" s="41">
        <f>G78-'Zusammenfassung Tag1-4'!$B$2/18</f>
        <v>6.166666666666667</v>
      </c>
      <c r="AJ78" s="13">
        <f t="shared" si="1804"/>
        <v>237.83333333333312</v>
      </c>
      <c r="AK78" s="53">
        <v>4</v>
      </c>
      <c r="AL78" s="2">
        <f t="shared" si="1968"/>
        <v>286</v>
      </c>
      <c r="AM78" s="56">
        <v>2</v>
      </c>
      <c r="AN78" s="2">
        <f t="shared" si="1805"/>
        <v>107</v>
      </c>
      <c r="AO78" s="2">
        <f t="shared" si="1747"/>
        <v>1</v>
      </c>
      <c r="AP78" s="2">
        <f t="shared" si="1806"/>
        <v>26</v>
      </c>
      <c r="AQ78" s="2">
        <f t="shared" si="1748"/>
        <v>0</v>
      </c>
      <c r="AR78" s="2">
        <f t="shared" si="1807"/>
        <v>8</v>
      </c>
      <c r="AS78" s="2"/>
      <c r="AT78" s="2">
        <f t="shared" si="1749"/>
        <v>0</v>
      </c>
      <c r="AU78" s="2">
        <f t="shared" si="1808"/>
        <v>0</v>
      </c>
      <c r="AV78" s="2">
        <f t="shared" si="1809"/>
        <v>1</v>
      </c>
      <c r="AW78" s="2">
        <f t="shared" si="1810"/>
        <v>3</v>
      </c>
      <c r="AX78" s="2">
        <f t="shared" si="1811"/>
        <v>0</v>
      </c>
      <c r="AY78" s="2">
        <f t="shared" si="1812"/>
        <v>1</v>
      </c>
      <c r="AZ78" s="2">
        <f t="shared" si="1813"/>
        <v>0</v>
      </c>
      <c r="BA78" s="2">
        <f t="shared" si="1814"/>
        <v>1</v>
      </c>
      <c r="BB78" s="2">
        <f t="shared" si="1815"/>
        <v>0</v>
      </c>
      <c r="BC78" s="2">
        <f t="shared" si="1816"/>
        <v>0</v>
      </c>
      <c r="BD78" s="2">
        <f t="shared" si="1750"/>
        <v>0</v>
      </c>
      <c r="BE78" s="2">
        <f t="shared" si="1817"/>
        <v>15</v>
      </c>
      <c r="BF78" s="2">
        <f t="shared" si="1818"/>
        <v>1</v>
      </c>
      <c r="BG78" s="2">
        <f t="shared" si="1819"/>
        <v>4</v>
      </c>
      <c r="BH78" s="2">
        <f t="shared" si="1751"/>
        <v>0</v>
      </c>
      <c r="BI78" s="2">
        <f t="shared" si="1820"/>
        <v>4</v>
      </c>
      <c r="BJ78" s="2"/>
      <c r="BK78" s="2">
        <f t="shared" ref="BK78:BK79" si="1980">IF($E78=4,AK78-4,NA())</f>
        <v>0</v>
      </c>
      <c r="BL78" s="2"/>
      <c r="BM78" s="41">
        <f>AK78-'Zusammenfassung Tag1-4'!$C$2/18</f>
        <v>3.4444444444444446</v>
      </c>
      <c r="BN78" s="13">
        <f t="shared" si="1822"/>
        <v>253.22222222222257</v>
      </c>
      <c r="BO78" s="53">
        <v>5</v>
      </c>
      <c r="BP78" s="2">
        <f t="shared" si="1970"/>
        <v>344</v>
      </c>
      <c r="BQ78" s="56">
        <v>2</v>
      </c>
      <c r="BR78" s="2">
        <f t="shared" si="1823"/>
        <v>132</v>
      </c>
      <c r="BS78" s="2">
        <f t="shared" si="1752"/>
        <v>0</v>
      </c>
      <c r="BT78" s="2">
        <f t="shared" si="1824"/>
        <v>11</v>
      </c>
      <c r="BU78" s="2">
        <f t="shared" si="1753"/>
        <v>0</v>
      </c>
      <c r="BV78" s="2">
        <f t="shared" si="1825"/>
        <v>0</v>
      </c>
      <c r="BW78" s="2"/>
      <c r="BX78" s="2">
        <f t="shared" si="1754"/>
        <v>0</v>
      </c>
      <c r="BY78" s="2">
        <f t="shared" si="1826"/>
        <v>0</v>
      </c>
      <c r="BZ78" s="2">
        <f t="shared" si="1827"/>
        <v>0</v>
      </c>
      <c r="CA78" s="2">
        <f t="shared" si="1828"/>
        <v>1</v>
      </c>
      <c r="CB78" s="2">
        <f t="shared" si="1829"/>
        <v>1</v>
      </c>
      <c r="CC78" s="2">
        <f t="shared" si="1830"/>
        <v>3</v>
      </c>
      <c r="CD78" s="2">
        <f t="shared" si="1831"/>
        <v>0</v>
      </c>
      <c r="CE78" s="2">
        <f t="shared" si="1832"/>
        <v>1</v>
      </c>
      <c r="CF78" s="2">
        <f t="shared" si="1833"/>
        <v>0</v>
      </c>
      <c r="CG78" s="2">
        <f t="shared" si="1826"/>
        <v>0</v>
      </c>
      <c r="CH78" s="2">
        <f t="shared" si="1755"/>
        <v>0</v>
      </c>
      <c r="CI78" s="2">
        <f t="shared" si="1834"/>
        <v>2</v>
      </c>
      <c r="CJ78" s="2">
        <f t="shared" si="1835"/>
        <v>1</v>
      </c>
      <c r="CK78" s="2">
        <f t="shared" si="1836"/>
        <v>5</v>
      </c>
      <c r="CL78" s="2">
        <f t="shared" si="1756"/>
        <v>0</v>
      </c>
      <c r="CM78" s="2">
        <f t="shared" si="1837"/>
        <v>16</v>
      </c>
      <c r="CN78" s="2"/>
      <c r="CO78" s="2">
        <f t="shared" ref="CO78:CO79" si="1981">IF($E78=4,BO78-4,NA())</f>
        <v>1</v>
      </c>
      <c r="CP78" s="2"/>
      <c r="CQ78" s="41">
        <f>BO78-'Zusammenfassung Tag1-4'!$D$2/18</f>
        <v>3.9444444444444446</v>
      </c>
      <c r="CR78" s="13">
        <f t="shared" si="1839"/>
        <v>281.72222222222257</v>
      </c>
      <c r="CS78" s="53">
        <v>7</v>
      </c>
      <c r="CT78" s="2">
        <f t="shared" si="1972"/>
        <v>307</v>
      </c>
      <c r="CU78" s="56">
        <v>2</v>
      </c>
      <c r="CV78" s="2">
        <f t="shared" si="1840"/>
        <v>123</v>
      </c>
      <c r="CW78" s="2">
        <f t="shared" si="1757"/>
        <v>0</v>
      </c>
      <c r="CX78" s="2">
        <f t="shared" si="1841"/>
        <v>17</v>
      </c>
      <c r="CY78" s="2">
        <f t="shared" si="1758"/>
        <v>0</v>
      </c>
      <c r="CZ78" s="2">
        <f t="shared" si="1842"/>
        <v>5</v>
      </c>
      <c r="DA78" s="2"/>
      <c r="DB78" s="2">
        <f t="shared" si="1759"/>
        <v>0</v>
      </c>
      <c r="DC78" s="2">
        <f t="shared" si="1843"/>
        <v>0</v>
      </c>
      <c r="DD78" s="2">
        <f t="shared" si="1844"/>
        <v>0</v>
      </c>
      <c r="DE78" s="2">
        <f t="shared" si="1845"/>
        <v>0</v>
      </c>
      <c r="DF78" s="2">
        <f t="shared" si="1846"/>
        <v>0</v>
      </c>
      <c r="DG78" s="2">
        <f t="shared" si="1847"/>
        <v>2</v>
      </c>
      <c r="DH78" s="2">
        <f t="shared" si="1848"/>
        <v>1</v>
      </c>
      <c r="DI78" s="2">
        <f t="shared" si="1849"/>
        <v>3</v>
      </c>
      <c r="DJ78" s="2">
        <f t="shared" si="1850"/>
        <v>0</v>
      </c>
      <c r="DK78" s="2">
        <f t="shared" si="1851"/>
        <v>0</v>
      </c>
      <c r="DL78" s="2">
        <f t="shared" si="1760"/>
        <v>0</v>
      </c>
      <c r="DM78" s="2">
        <f t="shared" si="1852"/>
        <v>11</v>
      </c>
      <c r="DN78" s="2">
        <f t="shared" si="1853"/>
        <v>1</v>
      </c>
      <c r="DO78" s="2">
        <f t="shared" si="1854"/>
        <v>4</v>
      </c>
      <c r="DP78" s="2">
        <f t="shared" si="1761"/>
        <v>0</v>
      </c>
      <c r="DQ78" s="2">
        <f t="shared" si="1855"/>
        <v>15</v>
      </c>
      <c r="DR78" s="2"/>
      <c r="DS78" s="2">
        <f t="shared" ref="DS78:DS79" si="1982">IF($E78=4,CS78-4,NA())</f>
        <v>3</v>
      </c>
      <c r="DT78" s="2"/>
      <c r="DU78" s="41">
        <f>CS78-'Zusammenfassung Tag1-4'!$E$2/18</f>
        <v>6</v>
      </c>
      <c r="DV78" s="14">
        <f t="shared" si="1857"/>
        <v>248</v>
      </c>
      <c r="DW78" s="53">
        <v>5</v>
      </c>
      <c r="DX78" s="2">
        <v>108</v>
      </c>
      <c r="DY78" s="56">
        <v>2</v>
      </c>
      <c r="DZ78" s="2">
        <f t="shared" si="1858"/>
        <v>129</v>
      </c>
      <c r="EA78" s="2">
        <f t="shared" si="1762"/>
        <v>0</v>
      </c>
      <c r="EB78" s="2">
        <f t="shared" si="1859"/>
        <v>0</v>
      </c>
      <c r="EC78" s="2">
        <f t="shared" si="1763"/>
        <v>0</v>
      </c>
      <c r="ED78" s="2">
        <f t="shared" si="1860"/>
        <v>1</v>
      </c>
      <c r="EE78" s="2"/>
      <c r="EF78" s="2">
        <f t="shared" si="1764"/>
        <v>0</v>
      </c>
      <c r="EG78" s="2">
        <f t="shared" si="1861"/>
        <v>0</v>
      </c>
      <c r="EH78" s="2">
        <f t="shared" si="1862"/>
        <v>0</v>
      </c>
      <c r="EI78" s="2">
        <f t="shared" si="1863"/>
        <v>0</v>
      </c>
      <c r="EJ78" s="2">
        <f t="shared" si="1864"/>
        <v>1</v>
      </c>
      <c r="EK78" s="2">
        <f t="shared" si="1865"/>
        <v>2</v>
      </c>
      <c r="EL78" s="2">
        <f t="shared" si="1866"/>
        <v>0</v>
      </c>
      <c r="EM78" s="2">
        <f t="shared" si="1867"/>
        <v>3</v>
      </c>
      <c r="EN78" s="2">
        <f t="shared" si="1868"/>
        <v>0</v>
      </c>
      <c r="EO78" s="2">
        <f t="shared" si="1869"/>
        <v>0</v>
      </c>
      <c r="EP78" s="2">
        <f t="shared" si="1765"/>
        <v>0</v>
      </c>
      <c r="EQ78" s="2">
        <f t="shared" si="1870"/>
        <v>6</v>
      </c>
      <c r="ER78" s="2">
        <f t="shared" si="1871"/>
        <v>1</v>
      </c>
      <c r="ES78" s="2">
        <f t="shared" si="1872"/>
        <v>4</v>
      </c>
      <c r="ET78" s="2">
        <f t="shared" si="1766"/>
        <v>0</v>
      </c>
      <c r="EU78" s="2">
        <f t="shared" si="1873"/>
        <v>16</v>
      </c>
      <c r="EV78" s="2"/>
      <c r="EW78" s="2">
        <f t="shared" ref="EW78:EW79" si="1983">IF($E78=4,DW78-4,NA())</f>
        <v>1</v>
      </c>
      <c r="EX78" s="2"/>
      <c r="EY78" s="41">
        <f>DW78-'Zusammenfassung Tag1-4'!$F$2/18</f>
        <v>2.5</v>
      </c>
      <c r="EZ78" s="14">
        <f t="shared" si="1875"/>
        <v>254.5</v>
      </c>
      <c r="FA78" s="53">
        <v>4</v>
      </c>
      <c r="FB78" s="2">
        <v>330</v>
      </c>
      <c r="FC78" s="56">
        <v>2</v>
      </c>
      <c r="FD78" s="2">
        <f t="shared" si="1876"/>
        <v>113</v>
      </c>
      <c r="FE78" s="2">
        <f t="shared" si="1767"/>
        <v>1</v>
      </c>
      <c r="FF78" s="2">
        <f t="shared" si="1877"/>
        <v>11</v>
      </c>
      <c r="FG78" s="2">
        <f t="shared" si="1768"/>
        <v>0</v>
      </c>
      <c r="FH78" s="2">
        <f t="shared" si="1878"/>
        <v>4</v>
      </c>
      <c r="FI78" s="2"/>
      <c r="FJ78" s="2">
        <f t="shared" si="1769"/>
        <v>0</v>
      </c>
      <c r="FK78" s="2">
        <f t="shared" si="1879"/>
        <v>0</v>
      </c>
      <c r="FL78" s="2">
        <f t="shared" si="1880"/>
        <v>1</v>
      </c>
      <c r="FM78" s="2">
        <f t="shared" si="1881"/>
        <v>1</v>
      </c>
      <c r="FN78" s="2">
        <f t="shared" si="1882"/>
        <v>0</v>
      </c>
      <c r="FO78" s="2">
        <f t="shared" si="1883"/>
        <v>3</v>
      </c>
      <c r="FP78" s="2">
        <f t="shared" si="1884"/>
        <v>0</v>
      </c>
      <c r="FQ78" s="2">
        <f t="shared" si="1885"/>
        <v>1</v>
      </c>
      <c r="FR78" s="2">
        <f t="shared" si="1886"/>
        <v>0</v>
      </c>
      <c r="FS78" s="2">
        <f t="shared" si="1887"/>
        <v>0</v>
      </c>
      <c r="FT78" s="2">
        <f t="shared" si="1770"/>
        <v>0</v>
      </c>
      <c r="FU78" s="2">
        <f t="shared" si="1888"/>
        <v>17</v>
      </c>
      <c r="FV78" s="2">
        <f t="shared" si="1889"/>
        <v>1</v>
      </c>
      <c r="FW78" s="2">
        <f t="shared" si="1890"/>
        <v>3</v>
      </c>
      <c r="FX78" s="2">
        <f t="shared" si="1771"/>
        <v>0</v>
      </c>
      <c r="FY78" s="2">
        <f t="shared" si="1891"/>
        <v>12</v>
      </c>
      <c r="FZ78" s="2"/>
      <c r="GA78" s="2">
        <f t="shared" ref="GA78:GA79" si="1984">IF($E78=4,FA78-4,NA())</f>
        <v>0</v>
      </c>
      <c r="GB78" s="2"/>
      <c r="GC78" s="41">
        <f>FA78-'Zusammenfassung Tag1-4'!$G$2/18</f>
        <v>2.7222222222222223</v>
      </c>
      <c r="GD78" s="14">
        <f t="shared" si="1893"/>
        <v>247.61111111111137</v>
      </c>
      <c r="GE78" s="53">
        <v>5</v>
      </c>
      <c r="GF78" s="2">
        <v>427</v>
      </c>
      <c r="GG78" s="56">
        <v>2</v>
      </c>
      <c r="GH78" s="2">
        <f t="shared" si="1894"/>
        <v>124</v>
      </c>
      <c r="GI78" s="2">
        <f t="shared" si="1772"/>
        <v>0</v>
      </c>
      <c r="GJ78" s="2">
        <f t="shared" si="1895"/>
        <v>1</v>
      </c>
      <c r="GK78" s="2">
        <f t="shared" si="1773"/>
        <v>0</v>
      </c>
      <c r="GL78" s="2">
        <f t="shared" si="1896"/>
        <v>1</v>
      </c>
      <c r="GM78" s="2"/>
      <c r="GN78" s="2">
        <f t="shared" si="1774"/>
        <v>0</v>
      </c>
      <c r="GO78" s="2">
        <f t="shared" si="1897"/>
        <v>0</v>
      </c>
      <c r="GP78" s="2">
        <f t="shared" si="1898"/>
        <v>0</v>
      </c>
      <c r="GQ78" s="2">
        <f t="shared" si="1899"/>
        <v>0</v>
      </c>
      <c r="GR78" s="2">
        <f t="shared" si="1900"/>
        <v>1</v>
      </c>
      <c r="GS78" s="2">
        <f t="shared" si="1901"/>
        <v>2</v>
      </c>
      <c r="GT78" s="2">
        <f t="shared" si="1902"/>
        <v>0</v>
      </c>
      <c r="GU78" s="2">
        <f t="shared" si="1903"/>
        <v>3</v>
      </c>
      <c r="GV78" s="2">
        <f t="shared" si="1904"/>
        <v>0</v>
      </c>
      <c r="GW78" s="2">
        <f t="shared" si="1905"/>
        <v>0</v>
      </c>
      <c r="GX78" s="2">
        <f t="shared" si="1775"/>
        <v>0</v>
      </c>
      <c r="GY78" s="2">
        <f t="shared" si="1906"/>
        <v>6</v>
      </c>
      <c r="GZ78" s="2">
        <f t="shared" si="1907"/>
        <v>1</v>
      </c>
      <c r="HA78" s="2">
        <f t="shared" si="1908"/>
        <v>5</v>
      </c>
      <c r="HB78" s="2">
        <f t="shared" si="1776"/>
        <v>0</v>
      </c>
      <c r="HC78" s="2">
        <f t="shared" si="1909"/>
        <v>12</v>
      </c>
      <c r="HD78" s="2"/>
      <c r="HE78" s="2">
        <f t="shared" ref="HE78:HE79" si="1985">IF($E78=4,GE78-4,NA())</f>
        <v>1</v>
      </c>
      <c r="HF78" s="2"/>
      <c r="HG78" s="41">
        <f>GE78-'Zusammenfassung Tag1-4'!$H$2/18</f>
        <v>3.2222222222222223</v>
      </c>
      <c r="HH78" s="14">
        <f t="shared" si="1911"/>
        <v>280.11111111111137</v>
      </c>
      <c r="HI78" s="53">
        <v>4</v>
      </c>
      <c r="HJ78" s="2">
        <v>313</v>
      </c>
      <c r="HK78" s="56">
        <v>1</v>
      </c>
      <c r="HL78" s="2">
        <f t="shared" si="1912"/>
        <v>111</v>
      </c>
      <c r="HM78" s="2">
        <f t="shared" si="1777"/>
        <v>0</v>
      </c>
      <c r="HN78" s="2">
        <f t="shared" si="1913"/>
        <v>12</v>
      </c>
      <c r="HO78" s="2">
        <f t="shared" si="1778"/>
        <v>1</v>
      </c>
      <c r="HP78" s="2">
        <f t="shared" si="1914"/>
        <v>8</v>
      </c>
      <c r="HQ78" s="2"/>
      <c r="HR78" s="2">
        <f t="shared" si="1779"/>
        <v>0</v>
      </c>
      <c r="HS78" s="2">
        <f t="shared" si="1915"/>
        <v>0</v>
      </c>
      <c r="HT78" s="2">
        <f t="shared" si="1916"/>
        <v>1</v>
      </c>
      <c r="HU78" s="2">
        <f t="shared" si="1917"/>
        <v>3</v>
      </c>
      <c r="HV78" s="2">
        <f t="shared" si="1918"/>
        <v>0</v>
      </c>
      <c r="HW78" s="2">
        <f t="shared" si="1919"/>
        <v>2</v>
      </c>
      <c r="HX78" s="2">
        <f t="shared" si="1920"/>
        <v>0</v>
      </c>
      <c r="HY78" s="2">
        <f t="shared" si="1921"/>
        <v>0</v>
      </c>
      <c r="HZ78" s="2">
        <f t="shared" si="1922"/>
        <v>0</v>
      </c>
      <c r="IA78" s="2">
        <f t="shared" si="1923"/>
        <v>0</v>
      </c>
      <c r="IB78" s="2">
        <f t="shared" si="1780"/>
        <v>1</v>
      </c>
      <c r="IC78" s="2">
        <f t="shared" si="1924"/>
        <v>14</v>
      </c>
      <c r="ID78" s="2">
        <f t="shared" si="1925"/>
        <v>0</v>
      </c>
      <c r="IE78" s="2">
        <f t="shared" si="1926"/>
        <v>4</v>
      </c>
      <c r="IF78" s="2">
        <f t="shared" si="1781"/>
        <v>0</v>
      </c>
      <c r="IG78" s="2">
        <f t="shared" si="1927"/>
        <v>9</v>
      </c>
      <c r="IH78" s="2"/>
      <c r="II78" s="2">
        <f t="shared" ref="II78:II79" si="1986">IF($E78=4,HI78-4,NA())</f>
        <v>0</v>
      </c>
      <c r="IJ78" s="2"/>
      <c r="IK78" s="41">
        <f>HI78-'Zusammenfassung Tag1-4'!$I$2/18</f>
        <v>3.1111111111111112</v>
      </c>
      <c r="IL78" s="14">
        <f t="shared" si="1929"/>
        <v>254.55555555555571</v>
      </c>
      <c r="IM78" s="53">
        <v>10</v>
      </c>
      <c r="IN78" s="2">
        <v>43</v>
      </c>
      <c r="IO78" s="56">
        <v>2</v>
      </c>
      <c r="IP78" s="2">
        <f t="shared" si="1930"/>
        <v>141</v>
      </c>
      <c r="IQ78" s="2">
        <f t="shared" si="1782"/>
        <v>0</v>
      </c>
      <c r="IR78" s="2">
        <f t="shared" si="1931"/>
        <v>8</v>
      </c>
      <c r="IS78" s="2">
        <f t="shared" si="1783"/>
        <v>0</v>
      </c>
      <c r="IT78" s="2">
        <f t="shared" si="1932"/>
        <v>1</v>
      </c>
      <c r="IU78" s="2"/>
      <c r="IV78" s="2">
        <f t="shared" si="1784"/>
        <v>0</v>
      </c>
      <c r="IW78" s="2">
        <f t="shared" si="1933"/>
        <v>0</v>
      </c>
      <c r="IX78" s="2">
        <f t="shared" si="1934"/>
        <v>0</v>
      </c>
      <c r="IY78" s="2">
        <f t="shared" si="1935"/>
        <v>0</v>
      </c>
      <c r="IZ78" s="2">
        <f t="shared" si="1936"/>
        <v>0</v>
      </c>
      <c r="JA78" s="2">
        <f t="shared" si="1937"/>
        <v>1</v>
      </c>
      <c r="JB78" s="2">
        <f t="shared" si="1938"/>
        <v>1</v>
      </c>
      <c r="JC78" s="2">
        <f t="shared" si="1939"/>
        <v>4</v>
      </c>
      <c r="JD78" s="2">
        <f t="shared" si="1940"/>
        <v>0</v>
      </c>
      <c r="JE78" s="2">
        <f t="shared" si="1941"/>
        <v>0</v>
      </c>
      <c r="JF78" s="2">
        <f t="shared" si="1785"/>
        <v>0</v>
      </c>
      <c r="JG78" s="2">
        <f t="shared" si="1942"/>
        <v>8</v>
      </c>
      <c r="JH78" s="2">
        <f t="shared" si="1943"/>
        <v>1</v>
      </c>
      <c r="JI78" s="2">
        <f t="shared" si="1944"/>
        <v>3</v>
      </c>
      <c r="JJ78" s="2">
        <f t="shared" si="1786"/>
        <v>0</v>
      </c>
      <c r="JK78" s="2">
        <f t="shared" si="1945"/>
        <v>24</v>
      </c>
      <c r="JL78" s="2"/>
      <c r="JM78" s="2">
        <f t="shared" ref="JM78:JM79" si="1987">IF($E78=4,IM78-4,NA())</f>
        <v>6</v>
      </c>
      <c r="JN78" s="2"/>
      <c r="JO78" s="41">
        <f>IM78-'Zusammenfassung Tag1-4'!$J$2/18</f>
        <v>7.6666666666666661</v>
      </c>
      <c r="JP78" s="14">
        <f t="shared" si="1947"/>
        <v>270.3333333333332</v>
      </c>
      <c r="JQ78" s="53"/>
      <c r="JR78" s="2"/>
      <c r="JS78" s="56"/>
      <c r="JT78" s="2">
        <f t="shared" si="1948"/>
        <v>0</v>
      </c>
      <c r="JU78" s="2">
        <f t="shared" si="1787"/>
        <v>1</v>
      </c>
      <c r="JV78" s="2">
        <f t="shared" si="1949"/>
        <v>59</v>
      </c>
      <c r="JW78" s="2">
        <f t="shared" si="1788"/>
        <v>0</v>
      </c>
      <c r="JX78" s="2">
        <f t="shared" si="1950"/>
        <v>0</v>
      </c>
      <c r="JY78" s="2"/>
      <c r="JZ78" s="2">
        <f t="shared" si="1789"/>
        <v>0</v>
      </c>
      <c r="KA78" s="2">
        <f t="shared" si="1951"/>
        <v>0</v>
      </c>
      <c r="KB78" s="2">
        <f t="shared" si="1952"/>
        <v>0</v>
      </c>
      <c r="KC78" s="2">
        <f t="shared" si="1953"/>
        <v>0</v>
      </c>
      <c r="KD78" s="2">
        <f t="shared" si="1954"/>
        <v>0</v>
      </c>
      <c r="KE78" s="2">
        <f t="shared" si="1955"/>
        <v>0</v>
      </c>
      <c r="KF78" s="2">
        <f t="shared" si="1956"/>
        <v>0</v>
      </c>
      <c r="KG78" s="2">
        <f t="shared" si="1957"/>
        <v>0</v>
      </c>
      <c r="KH78" s="2">
        <f t="shared" si="1958"/>
        <v>1</v>
      </c>
      <c r="KI78" s="2">
        <f t="shared" si="1959"/>
        <v>5</v>
      </c>
      <c r="KJ78" s="2">
        <f t="shared" si="1790"/>
        <v>0</v>
      </c>
      <c r="KK78" s="2">
        <f t="shared" si="1960"/>
        <v>0</v>
      </c>
      <c r="KL78" s="2">
        <f t="shared" si="1961"/>
        <v>0</v>
      </c>
      <c r="KM78" s="2">
        <f t="shared" si="1962"/>
        <v>0</v>
      </c>
      <c r="KN78" s="2">
        <f t="shared" si="1791"/>
        <v>0</v>
      </c>
      <c r="KO78" s="2">
        <f t="shared" si="1963"/>
        <v>0</v>
      </c>
      <c r="KP78" s="2"/>
      <c r="KQ78" s="2">
        <f t="shared" ref="KQ78:KQ79" si="1988">IF($E78=4,JQ78-4,NA())</f>
        <v>-4</v>
      </c>
      <c r="KR78" s="2"/>
      <c r="KS78" s="41" t="e">
        <f>JQ78-'Zusammenfassung Tag1-4'!#REF!/18</f>
        <v>#REF!</v>
      </c>
      <c r="KT78" s="14" t="e">
        <f t="shared" si="1965"/>
        <v>#REF!</v>
      </c>
    </row>
    <row r="79" spans="1:333" ht="13.2" x14ac:dyDescent="0.25">
      <c r="A79" s="179"/>
      <c r="B79" s="176"/>
      <c r="C79" s="44">
        <v>6</v>
      </c>
      <c r="D79" s="2">
        <f t="shared" si="1966"/>
        <v>60</v>
      </c>
      <c r="E79" s="44">
        <v>4</v>
      </c>
      <c r="F79" s="4">
        <f t="shared" si="1792"/>
        <v>240</v>
      </c>
      <c r="G79" s="56">
        <v>5</v>
      </c>
      <c r="H79" s="2">
        <f t="shared" si="1967"/>
        <v>292</v>
      </c>
      <c r="I79" s="56">
        <v>3</v>
      </c>
      <c r="J79" s="2">
        <f t="shared" si="1793"/>
        <v>114</v>
      </c>
      <c r="K79" s="2">
        <f t="shared" si="1737"/>
        <v>1</v>
      </c>
      <c r="L79" s="2">
        <f t="shared" si="1794"/>
        <v>19</v>
      </c>
      <c r="M79" s="2">
        <f t="shared" si="1738"/>
        <v>0</v>
      </c>
      <c r="N79" s="2">
        <f t="shared" si="1795"/>
        <v>9</v>
      </c>
      <c r="O79" s="2"/>
      <c r="P79" s="2">
        <f t="shared" si="1739"/>
        <v>0</v>
      </c>
      <c r="Q79" s="2">
        <f t="shared" si="1796"/>
        <v>3</v>
      </c>
      <c r="R79" s="2">
        <f t="shared" si="1740"/>
        <v>0</v>
      </c>
      <c r="S79" s="2">
        <f t="shared" si="1797"/>
        <v>3</v>
      </c>
      <c r="T79" s="2">
        <f t="shared" si="1741"/>
        <v>1</v>
      </c>
      <c r="U79" s="2">
        <f t="shared" si="1798"/>
        <v>1</v>
      </c>
      <c r="V79" s="2">
        <f t="shared" si="1742"/>
        <v>0</v>
      </c>
      <c r="W79" s="2">
        <f t="shared" si="1799"/>
        <v>2</v>
      </c>
      <c r="X79" s="2">
        <f t="shared" si="1743"/>
        <v>0</v>
      </c>
      <c r="Y79" s="2">
        <f t="shared" si="1800"/>
        <v>0</v>
      </c>
      <c r="Z79" s="2">
        <f t="shared" si="1744"/>
        <v>0</v>
      </c>
      <c r="AA79" s="2">
        <f t="shared" si="1801"/>
        <v>12</v>
      </c>
      <c r="AB79" s="2">
        <f t="shared" si="1745"/>
        <v>0</v>
      </c>
      <c r="AC79" s="2">
        <f t="shared" si="1802"/>
        <v>2</v>
      </c>
      <c r="AD79" s="2">
        <f t="shared" si="1746"/>
        <v>1</v>
      </c>
      <c r="AE79" s="2">
        <f t="shared" si="1803"/>
        <v>9</v>
      </c>
      <c r="AF79" s="2"/>
      <c r="AG79" s="2">
        <f>IF($E79=4,G79-4,NA())</f>
        <v>1</v>
      </c>
      <c r="AH79" s="2"/>
      <c r="AI79" s="41">
        <f>G79-'Zusammenfassung Tag1-4'!$B$2/18</f>
        <v>4.166666666666667</v>
      </c>
      <c r="AJ79" s="13">
        <f t="shared" si="1804"/>
        <v>241.99999999999977</v>
      </c>
      <c r="AK79" s="53">
        <v>4</v>
      </c>
      <c r="AL79" s="2">
        <f t="shared" si="1968"/>
        <v>290</v>
      </c>
      <c r="AM79" s="56">
        <v>1</v>
      </c>
      <c r="AN79" s="2">
        <f t="shared" si="1805"/>
        <v>108</v>
      </c>
      <c r="AO79" s="2">
        <f t="shared" si="1747"/>
        <v>0</v>
      </c>
      <c r="AP79" s="2">
        <f t="shared" si="1806"/>
        <v>26</v>
      </c>
      <c r="AQ79" s="2">
        <f t="shared" si="1748"/>
        <v>1</v>
      </c>
      <c r="AR79" s="2">
        <f t="shared" si="1807"/>
        <v>9</v>
      </c>
      <c r="AS79" s="2"/>
      <c r="AT79" s="2">
        <f t="shared" si="1749"/>
        <v>0</v>
      </c>
      <c r="AU79" s="2">
        <f t="shared" si="1808"/>
        <v>0</v>
      </c>
      <c r="AV79" s="2">
        <f t="shared" si="1809"/>
        <v>1</v>
      </c>
      <c r="AW79" s="2">
        <f t="shared" si="1810"/>
        <v>4</v>
      </c>
      <c r="AX79" s="2">
        <f t="shared" si="1811"/>
        <v>0</v>
      </c>
      <c r="AY79" s="2">
        <f t="shared" si="1812"/>
        <v>1</v>
      </c>
      <c r="AZ79" s="2">
        <f t="shared" si="1813"/>
        <v>0</v>
      </c>
      <c r="BA79" s="2">
        <f t="shared" si="1814"/>
        <v>1</v>
      </c>
      <c r="BB79" s="2">
        <f t="shared" si="1815"/>
        <v>0</v>
      </c>
      <c r="BC79" s="2">
        <f t="shared" si="1816"/>
        <v>0</v>
      </c>
      <c r="BD79" s="2">
        <f t="shared" si="1750"/>
        <v>1</v>
      </c>
      <c r="BE79" s="2">
        <f t="shared" si="1817"/>
        <v>16</v>
      </c>
      <c r="BF79" s="2">
        <f t="shared" si="1818"/>
        <v>0</v>
      </c>
      <c r="BG79" s="2">
        <f t="shared" si="1819"/>
        <v>4</v>
      </c>
      <c r="BH79" s="2">
        <f t="shared" si="1751"/>
        <v>0</v>
      </c>
      <c r="BI79" s="2">
        <f t="shared" si="1820"/>
        <v>4</v>
      </c>
      <c r="BJ79" s="2"/>
      <c r="BK79" s="2">
        <f t="shared" si="1980"/>
        <v>0</v>
      </c>
      <c r="BL79" s="2"/>
      <c r="BM79" s="41">
        <f>AK79-'Zusammenfassung Tag1-4'!$C$2/18</f>
        <v>3.4444444444444446</v>
      </c>
      <c r="BN79" s="13">
        <f t="shared" si="1822"/>
        <v>256.66666666666703</v>
      </c>
      <c r="BO79" s="53">
        <v>5</v>
      </c>
      <c r="BP79" s="2">
        <f t="shared" si="1970"/>
        <v>349</v>
      </c>
      <c r="BQ79" s="56">
        <v>2</v>
      </c>
      <c r="BR79" s="2">
        <f t="shared" si="1823"/>
        <v>134</v>
      </c>
      <c r="BS79" s="2">
        <f t="shared" si="1752"/>
        <v>0</v>
      </c>
      <c r="BT79" s="2">
        <f t="shared" si="1824"/>
        <v>11</v>
      </c>
      <c r="BU79" s="2">
        <f t="shared" si="1753"/>
        <v>0</v>
      </c>
      <c r="BV79" s="2">
        <f t="shared" si="1825"/>
        <v>0</v>
      </c>
      <c r="BW79" s="2"/>
      <c r="BX79" s="2">
        <f t="shared" si="1754"/>
        <v>0</v>
      </c>
      <c r="BY79" s="2">
        <f t="shared" si="1826"/>
        <v>0</v>
      </c>
      <c r="BZ79" s="2">
        <f t="shared" si="1827"/>
        <v>0</v>
      </c>
      <c r="CA79" s="2">
        <f t="shared" si="1828"/>
        <v>1</v>
      </c>
      <c r="CB79" s="2">
        <f t="shared" si="1829"/>
        <v>1</v>
      </c>
      <c r="CC79" s="2">
        <f t="shared" si="1830"/>
        <v>4</v>
      </c>
      <c r="CD79" s="2">
        <f t="shared" si="1831"/>
        <v>0</v>
      </c>
      <c r="CE79" s="2">
        <f t="shared" si="1832"/>
        <v>1</v>
      </c>
      <c r="CF79" s="2">
        <f t="shared" si="1833"/>
        <v>0</v>
      </c>
      <c r="CG79" s="2">
        <f t="shared" si="1826"/>
        <v>0</v>
      </c>
      <c r="CH79" s="2">
        <f t="shared" si="1755"/>
        <v>0</v>
      </c>
      <c r="CI79" s="2">
        <f t="shared" si="1834"/>
        <v>2</v>
      </c>
      <c r="CJ79" s="2">
        <f t="shared" si="1835"/>
        <v>1</v>
      </c>
      <c r="CK79" s="2">
        <f t="shared" si="1836"/>
        <v>6</v>
      </c>
      <c r="CL79" s="2">
        <f t="shared" si="1756"/>
        <v>0</v>
      </c>
      <c r="CM79" s="2">
        <f t="shared" si="1837"/>
        <v>16</v>
      </c>
      <c r="CN79" s="2"/>
      <c r="CO79" s="2">
        <f t="shared" si="1981"/>
        <v>1</v>
      </c>
      <c r="CP79" s="2"/>
      <c r="CQ79" s="41">
        <f>BO79-'Zusammenfassung Tag1-4'!$D$2/18</f>
        <v>3.9444444444444446</v>
      </c>
      <c r="CR79" s="13">
        <f t="shared" si="1839"/>
        <v>285.66666666666703</v>
      </c>
      <c r="CS79" s="53">
        <v>4</v>
      </c>
      <c r="CT79" s="2">
        <f t="shared" si="1972"/>
        <v>311</v>
      </c>
      <c r="CU79" s="56">
        <v>1</v>
      </c>
      <c r="CV79" s="2">
        <f t="shared" si="1840"/>
        <v>124</v>
      </c>
      <c r="CW79" s="2">
        <f t="shared" si="1757"/>
        <v>0</v>
      </c>
      <c r="CX79" s="2">
        <f t="shared" si="1841"/>
        <v>17</v>
      </c>
      <c r="CY79" s="2">
        <f t="shared" si="1758"/>
        <v>1</v>
      </c>
      <c r="CZ79" s="2">
        <f t="shared" si="1842"/>
        <v>6</v>
      </c>
      <c r="DA79" s="2"/>
      <c r="DB79" s="2">
        <f t="shared" si="1759"/>
        <v>0</v>
      </c>
      <c r="DC79" s="2">
        <f t="shared" si="1843"/>
        <v>0</v>
      </c>
      <c r="DD79" s="2">
        <f t="shared" si="1844"/>
        <v>1</v>
      </c>
      <c r="DE79" s="2">
        <f t="shared" si="1845"/>
        <v>1</v>
      </c>
      <c r="DF79" s="2">
        <f t="shared" si="1846"/>
        <v>0</v>
      </c>
      <c r="DG79" s="2">
        <f t="shared" si="1847"/>
        <v>2</v>
      </c>
      <c r="DH79" s="2">
        <f t="shared" si="1848"/>
        <v>0</v>
      </c>
      <c r="DI79" s="2">
        <f t="shared" si="1849"/>
        <v>3</v>
      </c>
      <c r="DJ79" s="2">
        <f t="shared" si="1850"/>
        <v>0</v>
      </c>
      <c r="DK79" s="2">
        <f t="shared" si="1851"/>
        <v>0</v>
      </c>
      <c r="DL79" s="2">
        <f t="shared" si="1760"/>
        <v>1</v>
      </c>
      <c r="DM79" s="2">
        <f t="shared" si="1852"/>
        <v>12</v>
      </c>
      <c r="DN79" s="2">
        <f t="shared" si="1853"/>
        <v>0</v>
      </c>
      <c r="DO79" s="2">
        <f t="shared" si="1854"/>
        <v>4</v>
      </c>
      <c r="DP79" s="2">
        <f t="shared" si="1761"/>
        <v>0</v>
      </c>
      <c r="DQ79" s="2">
        <f t="shared" si="1855"/>
        <v>15</v>
      </c>
      <c r="DR79" s="2"/>
      <c r="DS79" s="2">
        <f t="shared" si="1982"/>
        <v>0</v>
      </c>
      <c r="DT79" s="2"/>
      <c r="DU79" s="41">
        <f>CS79-'Zusammenfassung Tag1-4'!$E$2/18</f>
        <v>3</v>
      </c>
      <c r="DV79" s="14">
        <f t="shared" si="1857"/>
        <v>251</v>
      </c>
      <c r="DW79" s="53">
        <v>7</v>
      </c>
      <c r="DX79" s="2">
        <v>112</v>
      </c>
      <c r="DY79" s="56">
        <v>3</v>
      </c>
      <c r="DZ79" s="2">
        <f t="shared" si="1858"/>
        <v>132</v>
      </c>
      <c r="EA79" s="2">
        <f t="shared" si="1762"/>
        <v>0</v>
      </c>
      <c r="EB79" s="2">
        <f t="shared" si="1859"/>
        <v>0</v>
      </c>
      <c r="EC79" s="2">
        <f t="shared" si="1763"/>
        <v>0</v>
      </c>
      <c r="ED79" s="2">
        <f t="shared" si="1860"/>
        <v>1</v>
      </c>
      <c r="EE79" s="2"/>
      <c r="EF79" s="2">
        <f t="shared" si="1764"/>
        <v>0</v>
      </c>
      <c r="EG79" s="2">
        <f t="shared" si="1861"/>
        <v>0</v>
      </c>
      <c r="EH79" s="2">
        <f t="shared" si="1862"/>
        <v>0</v>
      </c>
      <c r="EI79" s="2">
        <f t="shared" si="1863"/>
        <v>0</v>
      </c>
      <c r="EJ79" s="2">
        <f t="shared" si="1864"/>
        <v>0</v>
      </c>
      <c r="EK79" s="2">
        <f t="shared" si="1865"/>
        <v>2</v>
      </c>
      <c r="EL79" s="2">
        <f t="shared" si="1866"/>
        <v>1</v>
      </c>
      <c r="EM79" s="2">
        <f t="shared" si="1867"/>
        <v>4</v>
      </c>
      <c r="EN79" s="2">
        <f t="shared" si="1868"/>
        <v>0</v>
      </c>
      <c r="EO79" s="2">
        <f t="shared" si="1869"/>
        <v>0</v>
      </c>
      <c r="EP79" s="2">
        <f t="shared" si="1765"/>
        <v>0</v>
      </c>
      <c r="EQ79" s="2">
        <f t="shared" si="1870"/>
        <v>6</v>
      </c>
      <c r="ER79" s="2">
        <f t="shared" si="1871"/>
        <v>0</v>
      </c>
      <c r="ES79" s="2">
        <f t="shared" si="1872"/>
        <v>4</v>
      </c>
      <c r="ET79" s="2">
        <f t="shared" si="1766"/>
        <v>1</v>
      </c>
      <c r="EU79" s="2">
        <f t="shared" si="1873"/>
        <v>17</v>
      </c>
      <c r="EV79" s="2"/>
      <c r="EW79" s="2">
        <f t="shared" si="1983"/>
        <v>3</v>
      </c>
      <c r="EX79" s="2"/>
      <c r="EY79" s="41">
        <f>DW79-'Zusammenfassung Tag1-4'!$F$2/18</f>
        <v>4.5</v>
      </c>
      <c r="EZ79" s="14">
        <f t="shared" si="1875"/>
        <v>259</v>
      </c>
      <c r="FA79" s="53">
        <v>6</v>
      </c>
      <c r="FB79" s="2">
        <v>337</v>
      </c>
      <c r="FC79" s="56">
        <v>1</v>
      </c>
      <c r="FD79" s="2">
        <f t="shared" si="1876"/>
        <v>114</v>
      </c>
      <c r="FE79" s="2">
        <f t="shared" si="1767"/>
        <v>0</v>
      </c>
      <c r="FF79" s="2">
        <f t="shared" si="1877"/>
        <v>11</v>
      </c>
      <c r="FG79" s="2">
        <f t="shared" si="1768"/>
        <v>0</v>
      </c>
      <c r="FH79" s="2">
        <f t="shared" si="1878"/>
        <v>4</v>
      </c>
      <c r="FI79" s="2"/>
      <c r="FJ79" s="2">
        <f t="shared" si="1769"/>
        <v>0</v>
      </c>
      <c r="FK79" s="2">
        <f t="shared" si="1879"/>
        <v>0</v>
      </c>
      <c r="FL79" s="2">
        <f t="shared" si="1880"/>
        <v>0</v>
      </c>
      <c r="FM79" s="2">
        <f t="shared" si="1881"/>
        <v>1</v>
      </c>
      <c r="FN79" s="2">
        <f t="shared" si="1882"/>
        <v>0</v>
      </c>
      <c r="FO79" s="2">
        <f t="shared" si="1883"/>
        <v>3</v>
      </c>
      <c r="FP79" s="2">
        <f t="shared" si="1884"/>
        <v>1</v>
      </c>
      <c r="FQ79" s="2">
        <f t="shared" si="1885"/>
        <v>2</v>
      </c>
      <c r="FR79" s="2">
        <f t="shared" si="1886"/>
        <v>0</v>
      </c>
      <c r="FS79" s="2">
        <f t="shared" si="1887"/>
        <v>0</v>
      </c>
      <c r="FT79" s="2">
        <f t="shared" si="1770"/>
        <v>1</v>
      </c>
      <c r="FU79" s="2">
        <f t="shared" si="1888"/>
        <v>18</v>
      </c>
      <c r="FV79" s="2">
        <f t="shared" si="1889"/>
        <v>0</v>
      </c>
      <c r="FW79" s="2">
        <f t="shared" si="1890"/>
        <v>3</v>
      </c>
      <c r="FX79" s="2">
        <f t="shared" si="1771"/>
        <v>0</v>
      </c>
      <c r="FY79" s="2">
        <f t="shared" si="1891"/>
        <v>12</v>
      </c>
      <c r="FZ79" s="2"/>
      <c r="GA79" s="2">
        <f t="shared" si="1984"/>
        <v>2</v>
      </c>
      <c r="GB79" s="2"/>
      <c r="GC79" s="41">
        <f>FA79-'Zusammenfassung Tag1-4'!$G$2/18</f>
        <v>4.7222222222222223</v>
      </c>
      <c r="GD79" s="14">
        <f t="shared" si="1893"/>
        <v>252.3333333333336</v>
      </c>
      <c r="GE79" s="53">
        <v>6</v>
      </c>
      <c r="GF79" s="2">
        <v>434</v>
      </c>
      <c r="GG79" s="56">
        <v>2</v>
      </c>
      <c r="GH79" s="2">
        <f t="shared" si="1894"/>
        <v>126</v>
      </c>
      <c r="GI79" s="2">
        <f t="shared" si="1772"/>
        <v>0</v>
      </c>
      <c r="GJ79" s="2">
        <f t="shared" si="1895"/>
        <v>1</v>
      </c>
      <c r="GK79" s="2">
        <f t="shared" si="1773"/>
        <v>0</v>
      </c>
      <c r="GL79" s="2">
        <f t="shared" si="1896"/>
        <v>1</v>
      </c>
      <c r="GM79" s="2"/>
      <c r="GN79" s="2">
        <f t="shared" si="1774"/>
        <v>0</v>
      </c>
      <c r="GO79" s="2">
        <f t="shared" si="1897"/>
        <v>0</v>
      </c>
      <c r="GP79" s="2">
        <f t="shared" si="1898"/>
        <v>0</v>
      </c>
      <c r="GQ79" s="2">
        <f t="shared" si="1899"/>
        <v>0</v>
      </c>
      <c r="GR79" s="2">
        <f t="shared" si="1900"/>
        <v>0</v>
      </c>
      <c r="GS79" s="2">
        <f t="shared" si="1901"/>
        <v>2</v>
      </c>
      <c r="GT79" s="2">
        <f t="shared" si="1902"/>
        <v>1</v>
      </c>
      <c r="GU79" s="2">
        <f t="shared" si="1903"/>
        <v>4</v>
      </c>
      <c r="GV79" s="2">
        <f t="shared" si="1904"/>
        <v>0</v>
      </c>
      <c r="GW79" s="2">
        <f t="shared" si="1905"/>
        <v>0</v>
      </c>
      <c r="GX79" s="2">
        <f t="shared" si="1775"/>
        <v>0</v>
      </c>
      <c r="GY79" s="2">
        <f t="shared" si="1906"/>
        <v>6</v>
      </c>
      <c r="GZ79" s="2">
        <f t="shared" si="1907"/>
        <v>1</v>
      </c>
      <c r="HA79" s="2">
        <f t="shared" si="1908"/>
        <v>6</v>
      </c>
      <c r="HB79" s="2">
        <f t="shared" si="1776"/>
        <v>0</v>
      </c>
      <c r="HC79" s="2">
        <f t="shared" si="1909"/>
        <v>12</v>
      </c>
      <c r="HD79" s="2"/>
      <c r="HE79" s="2">
        <f t="shared" si="1985"/>
        <v>2</v>
      </c>
      <c r="HF79" s="2"/>
      <c r="HG79" s="41">
        <f>GE79-'Zusammenfassung Tag1-4'!$H$2/18</f>
        <v>4.2222222222222223</v>
      </c>
      <c r="HH79" s="14">
        <f t="shared" si="1911"/>
        <v>284.3333333333336</v>
      </c>
      <c r="HI79" s="53">
        <v>3</v>
      </c>
      <c r="HJ79" s="2">
        <v>317</v>
      </c>
      <c r="HK79" s="56">
        <v>1</v>
      </c>
      <c r="HL79" s="2">
        <f t="shared" si="1912"/>
        <v>112</v>
      </c>
      <c r="HM79" s="2">
        <f t="shared" si="1777"/>
        <v>1</v>
      </c>
      <c r="HN79" s="2">
        <f t="shared" si="1913"/>
        <v>13</v>
      </c>
      <c r="HO79" s="2">
        <f t="shared" si="1778"/>
        <v>0</v>
      </c>
      <c r="HP79" s="2">
        <f t="shared" si="1914"/>
        <v>8</v>
      </c>
      <c r="HQ79" s="2"/>
      <c r="HR79" s="2">
        <f t="shared" si="1779"/>
        <v>1</v>
      </c>
      <c r="HS79" s="2">
        <f t="shared" si="1915"/>
        <v>1</v>
      </c>
      <c r="HT79" s="2">
        <f t="shared" si="1916"/>
        <v>0</v>
      </c>
      <c r="HU79" s="2">
        <f t="shared" si="1917"/>
        <v>3</v>
      </c>
      <c r="HV79" s="2">
        <f t="shared" si="1918"/>
        <v>0</v>
      </c>
      <c r="HW79" s="2">
        <f t="shared" si="1919"/>
        <v>2</v>
      </c>
      <c r="HX79" s="2">
        <f t="shared" si="1920"/>
        <v>0</v>
      </c>
      <c r="HY79" s="2">
        <f t="shared" si="1921"/>
        <v>0</v>
      </c>
      <c r="HZ79" s="2">
        <f t="shared" si="1922"/>
        <v>0</v>
      </c>
      <c r="IA79" s="2">
        <f t="shared" si="1923"/>
        <v>0</v>
      </c>
      <c r="IB79" s="2">
        <f t="shared" si="1780"/>
        <v>1</v>
      </c>
      <c r="IC79" s="2">
        <f t="shared" si="1924"/>
        <v>15</v>
      </c>
      <c r="ID79" s="2">
        <f t="shared" si="1925"/>
        <v>0</v>
      </c>
      <c r="IE79" s="2">
        <f t="shared" si="1926"/>
        <v>4</v>
      </c>
      <c r="IF79" s="2">
        <f t="shared" si="1781"/>
        <v>0</v>
      </c>
      <c r="IG79" s="2">
        <f t="shared" si="1927"/>
        <v>9</v>
      </c>
      <c r="IH79" s="2"/>
      <c r="II79" s="2">
        <f t="shared" si="1986"/>
        <v>-1</v>
      </c>
      <c r="IJ79" s="2"/>
      <c r="IK79" s="41">
        <f>HI79-'Zusammenfassung Tag1-4'!$I$2/18</f>
        <v>2.1111111111111112</v>
      </c>
      <c r="IL79" s="14">
        <f t="shared" si="1929"/>
        <v>256.6666666666668</v>
      </c>
      <c r="IM79" s="53">
        <v>8</v>
      </c>
      <c r="IN79" s="2">
        <v>52</v>
      </c>
      <c r="IO79" s="56">
        <v>2</v>
      </c>
      <c r="IP79" s="2">
        <f t="shared" si="1930"/>
        <v>143</v>
      </c>
      <c r="IQ79" s="2">
        <f t="shared" si="1782"/>
        <v>0</v>
      </c>
      <c r="IR79" s="2">
        <f t="shared" si="1931"/>
        <v>8</v>
      </c>
      <c r="IS79" s="2">
        <f t="shared" si="1783"/>
        <v>0</v>
      </c>
      <c r="IT79" s="2">
        <f t="shared" si="1932"/>
        <v>1</v>
      </c>
      <c r="IU79" s="2"/>
      <c r="IV79" s="2">
        <f t="shared" si="1784"/>
        <v>0</v>
      </c>
      <c r="IW79" s="2">
        <f t="shared" si="1933"/>
        <v>0</v>
      </c>
      <c r="IX79" s="2">
        <f t="shared" si="1934"/>
        <v>0</v>
      </c>
      <c r="IY79" s="2">
        <f t="shared" si="1935"/>
        <v>0</v>
      </c>
      <c r="IZ79" s="2">
        <f t="shared" si="1936"/>
        <v>0</v>
      </c>
      <c r="JA79" s="2">
        <f t="shared" si="1937"/>
        <v>1</v>
      </c>
      <c r="JB79" s="2">
        <f t="shared" si="1938"/>
        <v>1</v>
      </c>
      <c r="JC79" s="2">
        <f t="shared" si="1939"/>
        <v>5</v>
      </c>
      <c r="JD79" s="2">
        <f t="shared" si="1940"/>
        <v>0</v>
      </c>
      <c r="JE79" s="2">
        <f t="shared" si="1941"/>
        <v>0</v>
      </c>
      <c r="JF79" s="2">
        <f t="shared" si="1785"/>
        <v>0</v>
      </c>
      <c r="JG79" s="2">
        <f t="shared" si="1942"/>
        <v>8</v>
      </c>
      <c r="JH79" s="2">
        <f t="shared" si="1943"/>
        <v>1</v>
      </c>
      <c r="JI79" s="2">
        <f t="shared" si="1944"/>
        <v>4</v>
      </c>
      <c r="JJ79" s="2">
        <f t="shared" si="1786"/>
        <v>0</v>
      </c>
      <c r="JK79" s="2">
        <f t="shared" si="1945"/>
        <v>24</v>
      </c>
      <c r="JL79" s="2"/>
      <c r="JM79" s="2">
        <f t="shared" si="1987"/>
        <v>4</v>
      </c>
      <c r="JN79" s="2"/>
      <c r="JO79" s="41">
        <f>IM79-'Zusammenfassung Tag1-4'!$J$2/18</f>
        <v>5.6666666666666661</v>
      </c>
      <c r="JP79" s="14">
        <f t="shared" si="1947"/>
        <v>275.99999999999989</v>
      </c>
      <c r="JQ79" s="53"/>
      <c r="JR79" s="2"/>
      <c r="JS79" s="56"/>
      <c r="JT79" s="2">
        <f t="shared" si="1948"/>
        <v>0</v>
      </c>
      <c r="JU79" s="2">
        <f t="shared" si="1787"/>
        <v>1</v>
      </c>
      <c r="JV79" s="2">
        <f t="shared" si="1949"/>
        <v>60</v>
      </c>
      <c r="JW79" s="2">
        <f t="shared" si="1788"/>
        <v>0</v>
      </c>
      <c r="JX79" s="2">
        <f t="shared" si="1950"/>
        <v>0</v>
      </c>
      <c r="JY79" s="2"/>
      <c r="JZ79" s="2">
        <f t="shared" si="1789"/>
        <v>0</v>
      </c>
      <c r="KA79" s="2">
        <f t="shared" si="1951"/>
        <v>0</v>
      </c>
      <c r="KB79" s="2">
        <f t="shared" si="1952"/>
        <v>0</v>
      </c>
      <c r="KC79" s="2">
        <f t="shared" si="1953"/>
        <v>0</v>
      </c>
      <c r="KD79" s="2">
        <f t="shared" si="1954"/>
        <v>0</v>
      </c>
      <c r="KE79" s="2">
        <f t="shared" si="1955"/>
        <v>0</v>
      </c>
      <c r="KF79" s="2">
        <f t="shared" si="1956"/>
        <v>0</v>
      </c>
      <c r="KG79" s="2">
        <f t="shared" si="1957"/>
        <v>0</v>
      </c>
      <c r="KH79" s="2">
        <f t="shared" si="1958"/>
        <v>1</v>
      </c>
      <c r="KI79" s="2">
        <f t="shared" si="1959"/>
        <v>6</v>
      </c>
      <c r="KJ79" s="2">
        <f t="shared" si="1790"/>
        <v>0</v>
      </c>
      <c r="KK79" s="2">
        <f t="shared" si="1960"/>
        <v>0</v>
      </c>
      <c r="KL79" s="2">
        <f t="shared" si="1961"/>
        <v>0</v>
      </c>
      <c r="KM79" s="2">
        <f t="shared" si="1962"/>
        <v>0</v>
      </c>
      <c r="KN79" s="2">
        <f t="shared" si="1791"/>
        <v>0</v>
      </c>
      <c r="KO79" s="2">
        <f t="shared" si="1963"/>
        <v>0</v>
      </c>
      <c r="KP79" s="2"/>
      <c r="KQ79" s="2">
        <f t="shared" si="1988"/>
        <v>-4</v>
      </c>
      <c r="KR79" s="2"/>
      <c r="KS79" s="41" t="e">
        <f>JQ79-'Zusammenfassung Tag1-4'!#REF!/18</f>
        <v>#REF!</v>
      </c>
      <c r="KT79" s="14" t="e">
        <f t="shared" si="1965"/>
        <v>#REF!</v>
      </c>
    </row>
    <row r="80" spans="1:333" ht="13.2" x14ac:dyDescent="0.25">
      <c r="A80" s="179"/>
      <c r="B80" s="176"/>
      <c r="C80" s="44">
        <v>7</v>
      </c>
      <c r="D80" s="2">
        <f t="shared" si="1966"/>
        <v>61</v>
      </c>
      <c r="E80" s="44">
        <v>5</v>
      </c>
      <c r="F80" s="4">
        <f t="shared" si="1792"/>
        <v>245</v>
      </c>
      <c r="G80" s="56">
        <v>6</v>
      </c>
      <c r="H80" s="2">
        <f t="shared" si="1967"/>
        <v>298</v>
      </c>
      <c r="I80" s="56">
        <v>2</v>
      </c>
      <c r="J80" s="2">
        <f t="shared" si="1793"/>
        <v>116</v>
      </c>
      <c r="K80" s="2">
        <f t="shared" si="1737"/>
        <v>0</v>
      </c>
      <c r="L80" s="2">
        <f t="shared" si="1794"/>
        <v>19</v>
      </c>
      <c r="M80" s="2">
        <f t="shared" si="1738"/>
        <v>0</v>
      </c>
      <c r="N80" s="2">
        <f t="shared" si="1795"/>
        <v>9</v>
      </c>
      <c r="O80" s="2"/>
      <c r="P80" s="2">
        <f t="shared" si="1739"/>
        <v>0</v>
      </c>
      <c r="Q80" s="2">
        <f t="shared" si="1796"/>
        <v>3</v>
      </c>
      <c r="R80" s="2">
        <f t="shared" si="1740"/>
        <v>0</v>
      </c>
      <c r="S80" s="2">
        <f t="shared" si="1797"/>
        <v>3</v>
      </c>
      <c r="T80" s="2">
        <f t="shared" si="1741"/>
        <v>1</v>
      </c>
      <c r="U80" s="2">
        <f t="shared" si="1798"/>
        <v>2</v>
      </c>
      <c r="V80" s="2">
        <f t="shared" si="1742"/>
        <v>0</v>
      </c>
      <c r="W80" s="2">
        <f t="shared" si="1799"/>
        <v>2</v>
      </c>
      <c r="X80" s="2">
        <f t="shared" si="1743"/>
        <v>0</v>
      </c>
      <c r="Y80" s="2">
        <f t="shared" si="1800"/>
        <v>0</v>
      </c>
      <c r="Z80" s="2">
        <f t="shared" si="1744"/>
        <v>0</v>
      </c>
      <c r="AA80" s="2">
        <f t="shared" si="1801"/>
        <v>12</v>
      </c>
      <c r="AB80" s="2">
        <f t="shared" si="1745"/>
        <v>1</v>
      </c>
      <c r="AC80" s="2">
        <f t="shared" si="1802"/>
        <v>3</v>
      </c>
      <c r="AD80" s="2">
        <f t="shared" si="1746"/>
        <v>0</v>
      </c>
      <c r="AE80" s="2">
        <f t="shared" si="1803"/>
        <v>9</v>
      </c>
      <c r="AF80" s="2"/>
      <c r="AG80" s="2"/>
      <c r="AH80" s="2">
        <f>IF($E80=5,G80-5,NA())</f>
        <v>1</v>
      </c>
      <c r="AI80" s="41">
        <f>G80-'Zusammenfassung Tag1-4'!$B$2/18</f>
        <v>5.166666666666667</v>
      </c>
      <c r="AJ80" s="13">
        <f t="shared" si="1804"/>
        <v>247.16666666666643</v>
      </c>
      <c r="AK80" s="53">
        <v>5</v>
      </c>
      <c r="AL80" s="2">
        <f t="shared" si="1968"/>
        <v>295</v>
      </c>
      <c r="AM80" s="56">
        <v>1</v>
      </c>
      <c r="AN80" s="2">
        <f t="shared" si="1805"/>
        <v>109</v>
      </c>
      <c r="AO80" s="2">
        <f t="shared" si="1747"/>
        <v>0</v>
      </c>
      <c r="AP80" s="2">
        <f t="shared" si="1806"/>
        <v>26</v>
      </c>
      <c r="AQ80" s="2">
        <f t="shared" si="1748"/>
        <v>1</v>
      </c>
      <c r="AR80" s="2">
        <f t="shared" si="1807"/>
        <v>10</v>
      </c>
      <c r="AS80" s="2"/>
      <c r="AT80" s="2">
        <f t="shared" si="1749"/>
        <v>0</v>
      </c>
      <c r="AU80" s="2">
        <f t="shared" si="1808"/>
        <v>0</v>
      </c>
      <c r="AV80" s="2">
        <f t="shared" si="1809"/>
        <v>1</v>
      </c>
      <c r="AW80" s="2">
        <f t="shared" si="1810"/>
        <v>5</v>
      </c>
      <c r="AX80" s="2">
        <f t="shared" si="1811"/>
        <v>0</v>
      </c>
      <c r="AY80" s="2">
        <f t="shared" si="1812"/>
        <v>1</v>
      </c>
      <c r="AZ80" s="2">
        <f t="shared" si="1813"/>
        <v>0</v>
      </c>
      <c r="BA80" s="2">
        <f t="shared" si="1814"/>
        <v>1</v>
      </c>
      <c r="BB80" s="2">
        <f t="shared" si="1815"/>
        <v>0</v>
      </c>
      <c r="BC80" s="2">
        <f t="shared" si="1816"/>
        <v>0</v>
      </c>
      <c r="BD80" s="2">
        <f t="shared" si="1750"/>
        <v>1</v>
      </c>
      <c r="BE80" s="2">
        <f t="shared" si="1817"/>
        <v>17</v>
      </c>
      <c r="BF80" s="2">
        <f t="shared" si="1818"/>
        <v>0</v>
      </c>
      <c r="BG80" s="2">
        <f t="shared" si="1819"/>
        <v>4</v>
      </c>
      <c r="BH80" s="2">
        <f t="shared" si="1751"/>
        <v>0</v>
      </c>
      <c r="BI80" s="2">
        <f t="shared" si="1820"/>
        <v>4</v>
      </c>
      <c r="BJ80" s="2"/>
      <c r="BK80" s="2"/>
      <c r="BL80" s="2">
        <f t="shared" ref="BL80" si="1989">IF($E80=5,AK80-5,NA())</f>
        <v>0</v>
      </c>
      <c r="BM80" s="41">
        <f>AK80-'Zusammenfassung Tag1-4'!$C$2/18</f>
        <v>4.4444444444444446</v>
      </c>
      <c r="BN80" s="13">
        <f t="shared" si="1822"/>
        <v>261.11111111111148</v>
      </c>
      <c r="BO80" s="53">
        <v>6</v>
      </c>
      <c r="BP80" s="2">
        <f t="shared" si="1970"/>
        <v>355</v>
      </c>
      <c r="BQ80" s="56">
        <v>2</v>
      </c>
      <c r="BR80" s="2">
        <f t="shared" si="1823"/>
        <v>136</v>
      </c>
      <c r="BS80" s="2">
        <f t="shared" si="1752"/>
        <v>0</v>
      </c>
      <c r="BT80" s="2">
        <f t="shared" si="1824"/>
        <v>11</v>
      </c>
      <c r="BU80" s="2">
        <f t="shared" si="1753"/>
        <v>0</v>
      </c>
      <c r="BV80" s="2">
        <f t="shared" si="1825"/>
        <v>0</v>
      </c>
      <c r="BW80" s="2"/>
      <c r="BX80" s="2">
        <f t="shared" si="1754"/>
        <v>0</v>
      </c>
      <c r="BY80" s="2">
        <f t="shared" si="1826"/>
        <v>0</v>
      </c>
      <c r="BZ80" s="2">
        <f t="shared" si="1827"/>
        <v>0</v>
      </c>
      <c r="CA80" s="2">
        <f t="shared" si="1828"/>
        <v>1</v>
      </c>
      <c r="CB80" s="2">
        <f t="shared" si="1829"/>
        <v>1</v>
      </c>
      <c r="CC80" s="2">
        <f t="shared" si="1830"/>
        <v>5</v>
      </c>
      <c r="CD80" s="2">
        <f t="shared" si="1831"/>
        <v>0</v>
      </c>
      <c r="CE80" s="2">
        <f t="shared" si="1832"/>
        <v>1</v>
      </c>
      <c r="CF80" s="2">
        <f t="shared" si="1833"/>
        <v>0</v>
      </c>
      <c r="CG80" s="2">
        <f t="shared" si="1826"/>
        <v>0</v>
      </c>
      <c r="CH80" s="2">
        <f t="shared" si="1755"/>
        <v>0</v>
      </c>
      <c r="CI80" s="2">
        <f t="shared" si="1834"/>
        <v>2</v>
      </c>
      <c r="CJ80" s="2">
        <f t="shared" si="1835"/>
        <v>1</v>
      </c>
      <c r="CK80" s="2">
        <f t="shared" si="1836"/>
        <v>7</v>
      </c>
      <c r="CL80" s="2">
        <f t="shared" si="1756"/>
        <v>0</v>
      </c>
      <c r="CM80" s="2">
        <f t="shared" si="1837"/>
        <v>16</v>
      </c>
      <c r="CN80" s="2"/>
      <c r="CO80" s="2"/>
      <c r="CP80" s="2">
        <f t="shared" ref="CP80" si="1990">IF($E80=5,BO80-5,NA())</f>
        <v>1</v>
      </c>
      <c r="CQ80" s="41">
        <f>BO80-'Zusammenfassung Tag1-4'!$D$2/18</f>
        <v>4.9444444444444446</v>
      </c>
      <c r="CR80" s="13">
        <f t="shared" si="1839"/>
        <v>290.61111111111148</v>
      </c>
      <c r="CS80" s="53">
        <v>9</v>
      </c>
      <c r="CT80" s="2">
        <f t="shared" si="1972"/>
        <v>320</v>
      </c>
      <c r="CU80" s="56">
        <v>2</v>
      </c>
      <c r="CV80" s="2">
        <f t="shared" si="1840"/>
        <v>126</v>
      </c>
      <c r="CW80" s="2">
        <f t="shared" si="1757"/>
        <v>0</v>
      </c>
      <c r="CX80" s="2">
        <f t="shared" si="1841"/>
        <v>17</v>
      </c>
      <c r="CY80" s="2">
        <f t="shared" si="1758"/>
        <v>0</v>
      </c>
      <c r="CZ80" s="2">
        <f t="shared" si="1842"/>
        <v>6</v>
      </c>
      <c r="DA80" s="2"/>
      <c r="DB80" s="2">
        <f t="shared" si="1759"/>
        <v>0</v>
      </c>
      <c r="DC80" s="2">
        <f t="shared" si="1843"/>
        <v>0</v>
      </c>
      <c r="DD80" s="2">
        <f t="shared" si="1844"/>
        <v>0</v>
      </c>
      <c r="DE80" s="2">
        <f t="shared" si="1845"/>
        <v>1</v>
      </c>
      <c r="DF80" s="2">
        <f t="shared" si="1846"/>
        <v>0</v>
      </c>
      <c r="DG80" s="2">
        <f t="shared" si="1847"/>
        <v>2</v>
      </c>
      <c r="DH80" s="2">
        <f t="shared" si="1848"/>
        <v>1</v>
      </c>
      <c r="DI80" s="2">
        <f t="shared" si="1849"/>
        <v>4</v>
      </c>
      <c r="DJ80" s="2">
        <f t="shared" si="1850"/>
        <v>0</v>
      </c>
      <c r="DK80" s="2">
        <f t="shared" si="1851"/>
        <v>0</v>
      </c>
      <c r="DL80" s="2">
        <f t="shared" si="1760"/>
        <v>0</v>
      </c>
      <c r="DM80" s="2">
        <f t="shared" si="1852"/>
        <v>12</v>
      </c>
      <c r="DN80" s="2">
        <f t="shared" si="1853"/>
        <v>1</v>
      </c>
      <c r="DO80" s="2">
        <f t="shared" si="1854"/>
        <v>5</v>
      </c>
      <c r="DP80" s="2">
        <f t="shared" si="1761"/>
        <v>0</v>
      </c>
      <c r="DQ80" s="2">
        <f t="shared" si="1855"/>
        <v>15</v>
      </c>
      <c r="DR80" s="2"/>
      <c r="DS80" s="2"/>
      <c r="DT80" s="2">
        <f t="shared" ref="DT80" si="1991">IF($E80=5,CS80-5,NA())</f>
        <v>4</v>
      </c>
      <c r="DU80" s="41">
        <f>CS80-'Zusammenfassung Tag1-4'!$E$2/18</f>
        <v>8</v>
      </c>
      <c r="DV80" s="14">
        <f t="shared" si="1857"/>
        <v>259</v>
      </c>
      <c r="DW80" s="53">
        <v>8</v>
      </c>
      <c r="DX80" s="2">
        <v>118</v>
      </c>
      <c r="DY80" s="56">
        <v>3</v>
      </c>
      <c r="DZ80" s="2">
        <f t="shared" si="1858"/>
        <v>135</v>
      </c>
      <c r="EA80" s="2">
        <f t="shared" si="1762"/>
        <v>0</v>
      </c>
      <c r="EB80" s="2">
        <f t="shared" si="1859"/>
        <v>0</v>
      </c>
      <c r="EC80" s="2">
        <f t="shared" si="1763"/>
        <v>0</v>
      </c>
      <c r="ED80" s="2">
        <f t="shared" si="1860"/>
        <v>1</v>
      </c>
      <c r="EE80" s="2"/>
      <c r="EF80" s="2">
        <f t="shared" si="1764"/>
        <v>0</v>
      </c>
      <c r="EG80" s="2">
        <f t="shared" si="1861"/>
        <v>0</v>
      </c>
      <c r="EH80" s="2">
        <f t="shared" si="1862"/>
        <v>0</v>
      </c>
      <c r="EI80" s="2">
        <f t="shared" si="1863"/>
        <v>0</v>
      </c>
      <c r="EJ80" s="2">
        <f t="shared" si="1864"/>
        <v>0</v>
      </c>
      <c r="EK80" s="2">
        <f t="shared" si="1865"/>
        <v>2</v>
      </c>
      <c r="EL80" s="2">
        <f t="shared" si="1866"/>
        <v>1</v>
      </c>
      <c r="EM80" s="2">
        <f t="shared" si="1867"/>
        <v>5</v>
      </c>
      <c r="EN80" s="2">
        <f t="shared" si="1868"/>
        <v>0</v>
      </c>
      <c r="EO80" s="2">
        <f t="shared" si="1869"/>
        <v>0</v>
      </c>
      <c r="EP80" s="2">
        <f t="shared" si="1765"/>
        <v>0</v>
      </c>
      <c r="EQ80" s="2">
        <f t="shared" si="1870"/>
        <v>6</v>
      </c>
      <c r="ER80" s="2">
        <f t="shared" si="1871"/>
        <v>0</v>
      </c>
      <c r="ES80" s="2">
        <f t="shared" si="1872"/>
        <v>4</v>
      </c>
      <c r="ET80" s="2">
        <f t="shared" si="1766"/>
        <v>1</v>
      </c>
      <c r="EU80" s="2">
        <f t="shared" si="1873"/>
        <v>18</v>
      </c>
      <c r="EV80" s="2"/>
      <c r="EW80" s="2"/>
      <c r="EX80" s="2">
        <f t="shared" ref="EX80" si="1992">IF($E80=5,DW80-5,NA())</f>
        <v>3</v>
      </c>
      <c r="EY80" s="41">
        <f>DW80-'Zusammenfassung Tag1-4'!$F$2/18</f>
        <v>5.5</v>
      </c>
      <c r="EZ80" s="14">
        <f t="shared" si="1875"/>
        <v>264.5</v>
      </c>
      <c r="FA80" s="53">
        <v>6</v>
      </c>
      <c r="FB80" s="2">
        <v>343</v>
      </c>
      <c r="FC80" s="56">
        <v>2</v>
      </c>
      <c r="FD80" s="2">
        <f t="shared" si="1876"/>
        <v>116</v>
      </c>
      <c r="FE80" s="2">
        <f t="shared" si="1767"/>
        <v>0</v>
      </c>
      <c r="FF80" s="2">
        <f t="shared" si="1877"/>
        <v>11</v>
      </c>
      <c r="FG80" s="2">
        <f t="shared" si="1768"/>
        <v>0</v>
      </c>
      <c r="FH80" s="2">
        <f t="shared" si="1878"/>
        <v>4</v>
      </c>
      <c r="FI80" s="2"/>
      <c r="FJ80" s="2">
        <f t="shared" si="1769"/>
        <v>0</v>
      </c>
      <c r="FK80" s="2">
        <f t="shared" si="1879"/>
        <v>0</v>
      </c>
      <c r="FL80" s="2">
        <f t="shared" si="1880"/>
        <v>0</v>
      </c>
      <c r="FM80" s="2">
        <f t="shared" si="1881"/>
        <v>1</v>
      </c>
      <c r="FN80" s="2">
        <f t="shared" si="1882"/>
        <v>1</v>
      </c>
      <c r="FO80" s="2">
        <f t="shared" si="1883"/>
        <v>4</v>
      </c>
      <c r="FP80" s="2">
        <f t="shared" si="1884"/>
        <v>0</v>
      </c>
      <c r="FQ80" s="2">
        <f t="shared" si="1885"/>
        <v>2</v>
      </c>
      <c r="FR80" s="2">
        <f t="shared" si="1886"/>
        <v>0</v>
      </c>
      <c r="FS80" s="2">
        <f t="shared" si="1887"/>
        <v>0</v>
      </c>
      <c r="FT80" s="2">
        <f t="shared" si="1770"/>
        <v>0</v>
      </c>
      <c r="FU80" s="2">
        <f t="shared" si="1888"/>
        <v>18</v>
      </c>
      <c r="FV80" s="2">
        <f t="shared" si="1889"/>
        <v>1</v>
      </c>
      <c r="FW80" s="2">
        <f t="shared" si="1890"/>
        <v>4</v>
      </c>
      <c r="FX80" s="2">
        <f t="shared" si="1771"/>
        <v>0</v>
      </c>
      <c r="FY80" s="2">
        <f t="shared" si="1891"/>
        <v>12</v>
      </c>
      <c r="FZ80" s="2"/>
      <c r="GA80" s="2"/>
      <c r="GB80" s="2">
        <f t="shared" ref="GB80" si="1993">IF($E80=5,FA80-5,NA())</f>
        <v>1</v>
      </c>
      <c r="GC80" s="41">
        <f>FA80-'Zusammenfassung Tag1-4'!$G$2/18</f>
        <v>4.7222222222222223</v>
      </c>
      <c r="GD80" s="14">
        <f t="shared" si="1893"/>
        <v>257.05555555555583</v>
      </c>
      <c r="GE80" s="53">
        <v>10</v>
      </c>
      <c r="GF80" s="2">
        <v>442</v>
      </c>
      <c r="GG80" s="56">
        <v>2</v>
      </c>
      <c r="GH80" s="2">
        <f t="shared" si="1894"/>
        <v>128</v>
      </c>
      <c r="GI80" s="2">
        <f t="shared" si="1772"/>
        <v>0</v>
      </c>
      <c r="GJ80" s="2">
        <f t="shared" si="1895"/>
        <v>1</v>
      </c>
      <c r="GK80" s="2">
        <f t="shared" si="1773"/>
        <v>0</v>
      </c>
      <c r="GL80" s="2">
        <f t="shared" si="1896"/>
        <v>1</v>
      </c>
      <c r="GM80" s="2"/>
      <c r="GN80" s="2">
        <f t="shared" si="1774"/>
        <v>0</v>
      </c>
      <c r="GO80" s="2">
        <f t="shared" si="1897"/>
        <v>0</v>
      </c>
      <c r="GP80" s="2">
        <f t="shared" si="1898"/>
        <v>0</v>
      </c>
      <c r="GQ80" s="2">
        <f t="shared" si="1899"/>
        <v>0</v>
      </c>
      <c r="GR80" s="2">
        <f t="shared" si="1900"/>
        <v>0</v>
      </c>
      <c r="GS80" s="2">
        <f t="shared" si="1901"/>
        <v>2</v>
      </c>
      <c r="GT80" s="2">
        <f t="shared" si="1902"/>
        <v>1</v>
      </c>
      <c r="GU80" s="2">
        <f t="shared" si="1903"/>
        <v>5</v>
      </c>
      <c r="GV80" s="2">
        <f t="shared" si="1904"/>
        <v>0</v>
      </c>
      <c r="GW80" s="2">
        <f t="shared" si="1905"/>
        <v>0</v>
      </c>
      <c r="GX80" s="2">
        <f t="shared" si="1775"/>
        <v>0</v>
      </c>
      <c r="GY80" s="2">
        <f t="shared" si="1906"/>
        <v>6</v>
      </c>
      <c r="GZ80" s="2">
        <f t="shared" si="1907"/>
        <v>1</v>
      </c>
      <c r="HA80" s="2">
        <f t="shared" si="1908"/>
        <v>7</v>
      </c>
      <c r="HB80" s="2">
        <f t="shared" si="1776"/>
        <v>0</v>
      </c>
      <c r="HC80" s="2">
        <f t="shared" si="1909"/>
        <v>12</v>
      </c>
      <c r="HD80" s="2"/>
      <c r="HE80" s="2"/>
      <c r="HF80" s="2">
        <f t="shared" ref="HF80" si="1994">IF($E80=5,GE80-5,NA())</f>
        <v>5</v>
      </c>
      <c r="HG80" s="41">
        <f>GE80-'Zusammenfassung Tag1-4'!$H$2/18</f>
        <v>8.2222222222222214</v>
      </c>
      <c r="HH80" s="14">
        <f t="shared" si="1911"/>
        <v>292.55555555555583</v>
      </c>
      <c r="HI80" s="53">
        <v>7</v>
      </c>
      <c r="HJ80" s="2">
        <v>327</v>
      </c>
      <c r="HK80" s="56">
        <v>2</v>
      </c>
      <c r="HL80" s="2">
        <f t="shared" si="1912"/>
        <v>114</v>
      </c>
      <c r="HM80" s="2">
        <f t="shared" si="1777"/>
        <v>0</v>
      </c>
      <c r="HN80" s="2">
        <f t="shared" si="1913"/>
        <v>13</v>
      </c>
      <c r="HO80" s="2">
        <f t="shared" si="1778"/>
        <v>0</v>
      </c>
      <c r="HP80" s="2">
        <f t="shared" si="1914"/>
        <v>8</v>
      </c>
      <c r="HQ80" s="2"/>
      <c r="HR80" s="2">
        <f t="shared" si="1779"/>
        <v>0</v>
      </c>
      <c r="HS80" s="2">
        <f t="shared" si="1915"/>
        <v>1</v>
      </c>
      <c r="HT80" s="2">
        <f t="shared" si="1916"/>
        <v>0</v>
      </c>
      <c r="HU80" s="2">
        <f t="shared" si="1917"/>
        <v>3</v>
      </c>
      <c r="HV80" s="2">
        <f t="shared" si="1918"/>
        <v>0</v>
      </c>
      <c r="HW80" s="2">
        <f t="shared" si="1919"/>
        <v>2</v>
      </c>
      <c r="HX80" s="2">
        <f t="shared" si="1920"/>
        <v>1</v>
      </c>
      <c r="HY80" s="2">
        <f t="shared" si="1921"/>
        <v>1</v>
      </c>
      <c r="HZ80" s="2">
        <f t="shared" si="1922"/>
        <v>0</v>
      </c>
      <c r="IA80" s="2">
        <f t="shared" si="1923"/>
        <v>0</v>
      </c>
      <c r="IB80" s="2">
        <f t="shared" si="1780"/>
        <v>0</v>
      </c>
      <c r="IC80" s="2">
        <f t="shared" si="1924"/>
        <v>15</v>
      </c>
      <c r="ID80" s="2">
        <f t="shared" si="1925"/>
        <v>1</v>
      </c>
      <c r="IE80" s="2">
        <f t="shared" si="1926"/>
        <v>5</v>
      </c>
      <c r="IF80" s="2">
        <f t="shared" si="1781"/>
        <v>0</v>
      </c>
      <c r="IG80" s="2">
        <f t="shared" si="1927"/>
        <v>9</v>
      </c>
      <c r="IH80" s="2"/>
      <c r="II80" s="2"/>
      <c r="IJ80" s="2">
        <f t="shared" ref="IJ80" si="1995">IF($E80=5,HI80-5,NA())</f>
        <v>2</v>
      </c>
      <c r="IK80" s="41">
        <f>HI80-'Zusammenfassung Tag1-4'!$I$2/18</f>
        <v>6.1111111111111107</v>
      </c>
      <c r="IL80" s="14">
        <f t="shared" si="1929"/>
        <v>262.77777777777789</v>
      </c>
      <c r="IM80" s="53">
        <v>7</v>
      </c>
      <c r="IN80" s="2">
        <v>57</v>
      </c>
      <c r="IO80" s="56">
        <v>2</v>
      </c>
      <c r="IP80" s="2">
        <f t="shared" si="1930"/>
        <v>145</v>
      </c>
      <c r="IQ80" s="2">
        <f t="shared" si="1782"/>
        <v>0</v>
      </c>
      <c r="IR80" s="2">
        <f t="shared" si="1931"/>
        <v>8</v>
      </c>
      <c r="IS80" s="2">
        <f t="shared" si="1783"/>
        <v>0</v>
      </c>
      <c r="IT80" s="2">
        <f t="shared" si="1932"/>
        <v>1</v>
      </c>
      <c r="IU80" s="2"/>
      <c r="IV80" s="2">
        <f t="shared" si="1784"/>
        <v>0</v>
      </c>
      <c r="IW80" s="2">
        <f t="shared" si="1933"/>
        <v>0</v>
      </c>
      <c r="IX80" s="2">
        <f t="shared" si="1934"/>
        <v>0</v>
      </c>
      <c r="IY80" s="2">
        <f t="shared" si="1935"/>
        <v>0</v>
      </c>
      <c r="IZ80" s="2">
        <f t="shared" si="1936"/>
        <v>0</v>
      </c>
      <c r="JA80" s="2">
        <f t="shared" si="1937"/>
        <v>1</v>
      </c>
      <c r="JB80" s="2">
        <f t="shared" si="1938"/>
        <v>1</v>
      </c>
      <c r="JC80" s="2">
        <f t="shared" si="1939"/>
        <v>6</v>
      </c>
      <c r="JD80" s="2">
        <f t="shared" si="1940"/>
        <v>0</v>
      </c>
      <c r="JE80" s="2">
        <f t="shared" si="1941"/>
        <v>0</v>
      </c>
      <c r="JF80" s="2">
        <f t="shared" si="1785"/>
        <v>0</v>
      </c>
      <c r="JG80" s="2">
        <f t="shared" si="1942"/>
        <v>8</v>
      </c>
      <c r="JH80" s="2">
        <f t="shared" si="1943"/>
        <v>1</v>
      </c>
      <c r="JI80" s="2">
        <f t="shared" si="1944"/>
        <v>5</v>
      </c>
      <c r="JJ80" s="2">
        <f t="shared" si="1786"/>
        <v>0</v>
      </c>
      <c r="JK80" s="2">
        <f t="shared" si="1945"/>
        <v>24</v>
      </c>
      <c r="JL80" s="2"/>
      <c r="JM80" s="2"/>
      <c r="JN80" s="2">
        <f t="shared" ref="JN80" si="1996">IF($E80=5,IM80-5,NA())</f>
        <v>2</v>
      </c>
      <c r="JO80" s="41">
        <f>IM80-'Zusammenfassung Tag1-4'!$J$2/18</f>
        <v>4.6666666666666661</v>
      </c>
      <c r="JP80" s="14">
        <f t="shared" si="1947"/>
        <v>280.66666666666657</v>
      </c>
      <c r="JQ80" s="53"/>
      <c r="JR80" s="2"/>
      <c r="JS80" s="56"/>
      <c r="JT80" s="2">
        <f t="shared" si="1948"/>
        <v>0</v>
      </c>
      <c r="JU80" s="2">
        <f t="shared" si="1787"/>
        <v>1</v>
      </c>
      <c r="JV80" s="2">
        <f t="shared" si="1949"/>
        <v>61</v>
      </c>
      <c r="JW80" s="2">
        <f t="shared" si="1788"/>
        <v>0</v>
      </c>
      <c r="JX80" s="2">
        <f t="shared" si="1950"/>
        <v>0</v>
      </c>
      <c r="JY80" s="2"/>
      <c r="JZ80" s="2">
        <f t="shared" si="1789"/>
        <v>0</v>
      </c>
      <c r="KA80" s="2">
        <f t="shared" si="1951"/>
        <v>0</v>
      </c>
      <c r="KB80" s="2">
        <f t="shared" si="1952"/>
        <v>0</v>
      </c>
      <c r="KC80" s="2">
        <f t="shared" si="1953"/>
        <v>0</v>
      </c>
      <c r="KD80" s="2">
        <f t="shared" si="1954"/>
        <v>0</v>
      </c>
      <c r="KE80" s="2">
        <f t="shared" si="1955"/>
        <v>0</v>
      </c>
      <c r="KF80" s="2">
        <f t="shared" si="1956"/>
        <v>0</v>
      </c>
      <c r="KG80" s="2">
        <f t="shared" si="1957"/>
        <v>0</v>
      </c>
      <c r="KH80" s="2">
        <f t="shared" si="1958"/>
        <v>1</v>
      </c>
      <c r="KI80" s="2">
        <f t="shared" si="1959"/>
        <v>7</v>
      </c>
      <c r="KJ80" s="2">
        <f t="shared" si="1790"/>
        <v>0</v>
      </c>
      <c r="KK80" s="2">
        <f t="shared" si="1960"/>
        <v>0</v>
      </c>
      <c r="KL80" s="2">
        <f t="shared" si="1961"/>
        <v>0</v>
      </c>
      <c r="KM80" s="2">
        <f t="shared" si="1962"/>
        <v>0</v>
      </c>
      <c r="KN80" s="2">
        <f t="shared" si="1791"/>
        <v>0</v>
      </c>
      <c r="KO80" s="2">
        <f t="shared" si="1963"/>
        <v>0</v>
      </c>
      <c r="KP80" s="2"/>
      <c r="KQ80" s="2"/>
      <c r="KR80" s="2">
        <f t="shared" ref="KR80" si="1997">IF($E80=5,JQ80-5,NA())</f>
        <v>-5</v>
      </c>
      <c r="KS80" s="41" t="e">
        <f>JQ80-'Zusammenfassung Tag1-4'!#REF!/18</f>
        <v>#REF!</v>
      </c>
      <c r="KT80" s="14" t="e">
        <f t="shared" si="1965"/>
        <v>#REF!</v>
      </c>
    </row>
    <row r="81" spans="1:306" ht="13.2" x14ac:dyDescent="0.25">
      <c r="A81" s="179"/>
      <c r="B81" s="176"/>
      <c r="C81" s="44">
        <v>8</v>
      </c>
      <c r="D81" s="2">
        <f t="shared" si="1966"/>
        <v>62</v>
      </c>
      <c r="E81" s="44">
        <v>3</v>
      </c>
      <c r="F81" s="4">
        <f t="shared" si="1792"/>
        <v>248</v>
      </c>
      <c r="G81" s="56">
        <v>3</v>
      </c>
      <c r="H81" s="2">
        <f t="shared" si="1967"/>
        <v>301</v>
      </c>
      <c r="I81" s="56">
        <v>1</v>
      </c>
      <c r="J81" s="2">
        <f t="shared" si="1793"/>
        <v>117</v>
      </c>
      <c r="K81" s="2">
        <f t="shared" si="1737"/>
        <v>0</v>
      </c>
      <c r="L81" s="2">
        <f t="shared" si="1794"/>
        <v>19</v>
      </c>
      <c r="M81" s="2">
        <f t="shared" si="1738"/>
        <v>1</v>
      </c>
      <c r="N81" s="2">
        <f t="shared" si="1795"/>
        <v>10</v>
      </c>
      <c r="O81" s="2"/>
      <c r="P81" s="2">
        <f t="shared" si="1739"/>
        <v>0</v>
      </c>
      <c r="Q81" s="2">
        <f t="shared" si="1796"/>
        <v>3</v>
      </c>
      <c r="R81" s="2">
        <f t="shared" si="1740"/>
        <v>1</v>
      </c>
      <c r="S81" s="2">
        <f t="shared" si="1797"/>
        <v>4</v>
      </c>
      <c r="T81" s="2">
        <f t="shared" si="1741"/>
        <v>0</v>
      </c>
      <c r="U81" s="2">
        <f t="shared" si="1798"/>
        <v>2</v>
      </c>
      <c r="V81" s="2">
        <f t="shared" si="1742"/>
        <v>0</v>
      </c>
      <c r="W81" s="2">
        <f t="shared" si="1799"/>
        <v>2</v>
      </c>
      <c r="X81" s="2">
        <f t="shared" si="1743"/>
        <v>0</v>
      </c>
      <c r="Y81" s="2">
        <f t="shared" si="1800"/>
        <v>0</v>
      </c>
      <c r="Z81" s="2">
        <f t="shared" si="1744"/>
        <v>1</v>
      </c>
      <c r="AA81" s="2">
        <f t="shared" si="1801"/>
        <v>13</v>
      </c>
      <c r="AB81" s="2">
        <f t="shared" si="1745"/>
        <v>0</v>
      </c>
      <c r="AC81" s="2">
        <f t="shared" si="1802"/>
        <v>3</v>
      </c>
      <c r="AD81" s="2">
        <f t="shared" si="1746"/>
        <v>0</v>
      </c>
      <c r="AE81" s="2">
        <f t="shared" si="1803"/>
        <v>9</v>
      </c>
      <c r="AF81" s="2">
        <f>IF($E81=3,G81-3,NA())</f>
        <v>0</v>
      </c>
      <c r="AG81" s="2"/>
      <c r="AH81" s="2"/>
      <c r="AI81" s="41">
        <f>G81-'Zusammenfassung Tag1-4'!$B$2/18</f>
        <v>2.1666666666666665</v>
      </c>
      <c r="AJ81" s="13">
        <f t="shared" si="1804"/>
        <v>249.33333333333309</v>
      </c>
      <c r="AK81" s="53">
        <v>3</v>
      </c>
      <c r="AL81" s="2">
        <f t="shared" si="1968"/>
        <v>298</v>
      </c>
      <c r="AM81" s="56">
        <v>2</v>
      </c>
      <c r="AN81" s="2">
        <f t="shared" si="1805"/>
        <v>111</v>
      </c>
      <c r="AO81" s="2">
        <f t="shared" si="1747"/>
        <v>1</v>
      </c>
      <c r="AP81" s="2">
        <f t="shared" si="1806"/>
        <v>27</v>
      </c>
      <c r="AQ81" s="2">
        <f t="shared" si="1748"/>
        <v>0</v>
      </c>
      <c r="AR81" s="2">
        <f t="shared" si="1807"/>
        <v>10</v>
      </c>
      <c r="AS81" s="2"/>
      <c r="AT81" s="2">
        <f t="shared" si="1749"/>
        <v>0</v>
      </c>
      <c r="AU81" s="2">
        <f t="shared" si="1808"/>
        <v>0</v>
      </c>
      <c r="AV81" s="2">
        <f t="shared" si="1809"/>
        <v>1</v>
      </c>
      <c r="AW81" s="2">
        <f t="shared" si="1810"/>
        <v>6</v>
      </c>
      <c r="AX81" s="2">
        <f t="shared" si="1811"/>
        <v>0</v>
      </c>
      <c r="AY81" s="2">
        <f t="shared" si="1812"/>
        <v>1</v>
      </c>
      <c r="AZ81" s="2">
        <f t="shared" si="1813"/>
        <v>0</v>
      </c>
      <c r="BA81" s="2">
        <f t="shared" si="1814"/>
        <v>1</v>
      </c>
      <c r="BB81" s="2">
        <f t="shared" si="1815"/>
        <v>0</v>
      </c>
      <c r="BC81" s="2">
        <f t="shared" si="1816"/>
        <v>0</v>
      </c>
      <c r="BD81" s="2">
        <f t="shared" si="1750"/>
        <v>0</v>
      </c>
      <c r="BE81" s="2">
        <f t="shared" si="1817"/>
        <v>17</v>
      </c>
      <c r="BF81" s="2">
        <f t="shared" si="1818"/>
        <v>1</v>
      </c>
      <c r="BG81" s="2">
        <f t="shared" si="1819"/>
        <v>5</v>
      </c>
      <c r="BH81" s="2">
        <f t="shared" si="1751"/>
        <v>0</v>
      </c>
      <c r="BI81" s="2">
        <f t="shared" si="1820"/>
        <v>4</v>
      </c>
      <c r="BJ81" s="2">
        <f t="shared" ref="BJ81" si="1998">IF($E81=3,AK81-3,NA())</f>
        <v>0</v>
      </c>
      <c r="BK81" s="2"/>
      <c r="BL81" s="2"/>
      <c r="BM81" s="41">
        <f>AK81-'Zusammenfassung Tag1-4'!$C$2/18</f>
        <v>2.4444444444444446</v>
      </c>
      <c r="BN81" s="13">
        <f t="shared" si="1822"/>
        <v>263.55555555555594</v>
      </c>
      <c r="BO81" s="53">
        <v>3</v>
      </c>
      <c r="BP81" s="2">
        <f t="shared" si="1970"/>
        <v>358</v>
      </c>
      <c r="BQ81" s="56">
        <v>2</v>
      </c>
      <c r="BR81" s="2">
        <f t="shared" si="1823"/>
        <v>138</v>
      </c>
      <c r="BS81" s="2">
        <f t="shared" si="1752"/>
        <v>1</v>
      </c>
      <c r="BT81" s="2">
        <f t="shared" si="1824"/>
        <v>12</v>
      </c>
      <c r="BU81" s="2">
        <f t="shared" si="1753"/>
        <v>0</v>
      </c>
      <c r="BV81" s="2">
        <f t="shared" si="1825"/>
        <v>0</v>
      </c>
      <c r="BW81" s="2"/>
      <c r="BX81" s="2">
        <f t="shared" si="1754"/>
        <v>0</v>
      </c>
      <c r="BY81" s="2">
        <f t="shared" si="1826"/>
        <v>0</v>
      </c>
      <c r="BZ81" s="2">
        <f t="shared" si="1827"/>
        <v>1</v>
      </c>
      <c r="CA81" s="2">
        <f t="shared" si="1828"/>
        <v>2</v>
      </c>
      <c r="CB81" s="2">
        <f t="shared" si="1829"/>
        <v>0</v>
      </c>
      <c r="CC81" s="2">
        <f t="shared" si="1830"/>
        <v>5</v>
      </c>
      <c r="CD81" s="2">
        <f t="shared" si="1831"/>
        <v>0</v>
      </c>
      <c r="CE81" s="2">
        <f t="shared" si="1832"/>
        <v>1</v>
      </c>
      <c r="CF81" s="2">
        <f t="shared" si="1833"/>
        <v>0</v>
      </c>
      <c r="CG81" s="2">
        <f t="shared" si="1826"/>
        <v>0</v>
      </c>
      <c r="CH81" s="2">
        <f t="shared" si="1755"/>
        <v>0</v>
      </c>
      <c r="CI81" s="2">
        <f t="shared" si="1834"/>
        <v>2</v>
      </c>
      <c r="CJ81" s="2">
        <f t="shared" si="1835"/>
        <v>1</v>
      </c>
      <c r="CK81" s="2">
        <f t="shared" si="1836"/>
        <v>8</v>
      </c>
      <c r="CL81" s="2">
        <f t="shared" si="1756"/>
        <v>0</v>
      </c>
      <c r="CM81" s="2">
        <f t="shared" si="1837"/>
        <v>16</v>
      </c>
      <c r="CN81" s="2">
        <f t="shared" ref="CN81" si="1999">IF($E81=3,BO81-3,NA())</f>
        <v>0</v>
      </c>
      <c r="CO81" s="2"/>
      <c r="CP81" s="2"/>
      <c r="CQ81" s="41">
        <f>BO81-'Zusammenfassung Tag1-4'!$D$2/18</f>
        <v>1.9444444444444444</v>
      </c>
      <c r="CR81" s="13">
        <f t="shared" si="1839"/>
        <v>292.55555555555594</v>
      </c>
      <c r="CS81" s="53">
        <v>4</v>
      </c>
      <c r="CT81" s="2">
        <f t="shared" si="1972"/>
        <v>324</v>
      </c>
      <c r="CU81" s="56">
        <v>3</v>
      </c>
      <c r="CV81" s="2">
        <f t="shared" si="1840"/>
        <v>129</v>
      </c>
      <c r="CW81" s="2">
        <f t="shared" si="1757"/>
        <v>1</v>
      </c>
      <c r="CX81" s="2">
        <f t="shared" si="1841"/>
        <v>18</v>
      </c>
      <c r="CY81" s="2">
        <f t="shared" si="1758"/>
        <v>0</v>
      </c>
      <c r="CZ81" s="2">
        <f t="shared" si="1842"/>
        <v>6</v>
      </c>
      <c r="DA81" s="2"/>
      <c r="DB81" s="2">
        <f t="shared" si="1759"/>
        <v>0</v>
      </c>
      <c r="DC81" s="2">
        <f t="shared" si="1843"/>
        <v>0</v>
      </c>
      <c r="DD81" s="2">
        <f t="shared" si="1844"/>
        <v>0</v>
      </c>
      <c r="DE81" s="2">
        <f t="shared" si="1845"/>
        <v>1</v>
      </c>
      <c r="DF81" s="2">
        <f t="shared" si="1846"/>
        <v>1</v>
      </c>
      <c r="DG81" s="2">
        <f t="shared" si="1847"/>
        <v>3</v>
      </c>
      <c r="DH81" s="2">
        <f t="shared" si="1848"/>
        <v>0</v>
      </c>
      <c r="DI81" s="2">
        <f t="shared" si="1849"/>
        <v>4</v>
      </c>
      <c r="DJ81" s="2">
        <f t="shared" si="1850"/>
        <v>0</v>
      </c>
      <c r="DK81" s="2">
        <f t="shared" si="1851"/>
        <v>0</v>
      </c>
      <c r="DL81" s="2">
        <f t="shared" si="1760"/>
        <v>0</v>
      </c>
      <c r="DM81" s="2">
        <f t="shared" si="1852"/>
        <v>12</v>
      </c>
      <c r="DN81" s="2">
        <f t="shared" si="1853"/>
        <v>0</v>
      </c>
      <c r="DO81" s="2">
        <f t="shared" si="1854"/>
        <v>5</v>
      </c>
      <c r="DP81" s="2">
        <f t="shared" si="1761"/>
        <v>1</v>
      </c>
      <c r="DQ81" s="2">
        <f t="shared" si="1855"/>
        <v>16</v>
      </c>
      <c r="DR81" s="2">
        <f t="shared" ref="DR81" si="2000">IF($E81=3,CS81-3,NA())</f>
        <v>1</v>
      </c>
      <c r="DS81" s="2"/>
      <c r="DT81" s="2"/>
      <c r="DU81" s="41">
        <f>CS81-'Zusammenfassung Tag1-4'!$E$2/18</f>
        <v>3</v>
      </c>
      <c r="DV81" s="14">
        <f t="shared" si="1857"/>
        <v>262</v>
      </c>
      <c r="DW81" s="53">
        <v>4</v>
      </c>
      <c r="DX81" s="2">
        <v>121</v>
      </c>
      <c r="DY81" s="56">
        <v>2</v>
      </c>
      <c r="DZ81" s="2">
        <f t="shared" si="1858"/>
        <v>137</v>
      </c>
      <c r="EA81" s="2">
        <f t="shared" si="1762"/>
        <v>0</v>
      </c>
      <c r="EB81" s="2">
        <f t="shared" si="1859"/>
        <v>0</v>
      </c>
      <c r="EC81" s="2">
        <f t="shared" si="1763"/>
        <v>0</v>
      </c>
      <c r="ED81" s="2">
        <f t="shared" si="1860"/>
        <v>1</v>
      </c>
      <c r="EE81" s="2"/>
      <c r="EF81" s="2">
        <f t="shared" si="1764"/>
        <v>0</v>
      </c>
      <c r="EG81" s="2">
        <f t="shared" si="1861"/>
        <v>0</v>
      </c>
      <c r="EH81" s="2">
        <f t="shared" si="1862"/>
        <v>0</v>
      </c>
      <c r="EI81" s="2">
        <f t="shared" si="1863"/>
        <v>0</v>
      </c>
      <c r="EJ81" s="2">
        <f t="shared" si="1864"/>
        <v>1</v>
      </c>
      <c r="EK81" s="2">
        <f t="shared" si="1865"/>
        <v>3</v>
      </c>
      <c r="EL81" s="2">
        <f t="shared" si="1866"/>
        <v>0</v>
      </c>
      <c r="EM81" s="2">
        <f t="shared" si="1867"/>
        <v>5</v>
      </c>
      <c r="EN81" s="2">
        <f t="shared" si="1868"/>
        <v>0</v>
      </c>
      <c r="EO81" s="2">
        <f t="shared" si="1869"/>
        <v>0</v>
      </c>
      <c r="EP81" s="2">
        <f t="shared" si="1765"/>
        <v>0</v>
      </c>
      <c r="EQ81" s="2">
        <f t="shared" si="1870"/>
        <v>6</v>
      </c>
      <c r="ER81" s="2">
        <f t="shared" si="1871"/>
        <v>1</v>
      </c>
      <c r="ES81" s="2">
        <f t="shared" si="1872"/>
        <v>5</v>
      </c>
      <c r="ET81" s="2">
        <f t="shared" si="1766"/>
        <v>0</v>
      </c>
      <c r="EU81" s="2">
        <f t="shared" si="1873"/>
        <v>18</v>
      </c>
      <c r="EV81" s="2">
        <f t="shared" ref="EV81" si="2001">IF($E81=3,DW81-3,NA())</f>
        <v>1</v>
      </c>
      <c r="EW81" s="2"/>
      <c r="EX81" s="2"/>
      <c r="EY81" s="41">
        <f>DW81-'Zusammenfassung Tag1-4'!$F$2/18</f>
        <v>1.5</v>
      </c>
      <c r="EZ81" s="14">
        <f t="shared" si="1875"/>
        <v>266</v>
      </c>
      <c r="FA81" s="53">
        <v>4</v>
      </c>
      <c r="FB81" s="2">
        <v>348</v>
      </c>
      <c r="FC81" s="56">
        <v>2</v>
      </c>
      <c r="FD81" s="2">
        <f t="shared" si="1876"/>
        <v>118</v>
      </c>
      <c r="FE81" s="2">
        <f t="shared" si="1767"/>
        <v>0</v>
      </c>
      <c r="FF81" s="2">
        <f t="shared" si="1877"/>
        <v>11</v>
      </c>
      <c r="FG81" s="2">
        <f t="shared" si="1768"/>
        <v>0</v>
      </c>
      <c r="FH81" s="2">
        <f t="shared" si="1878"/>
        <v>4</v>
      </c>
      <c r="FI81" s="2"/>
      <c r="FJ81" s="2">
        <f t="shared" si="1769"/>
        <v>0</v>
      </c>
      <c r="FK81" s="2">
        <f t="shared" si="1879"/>
        <v>0</v>
      </c>
      <c r="FL81" s="2">
        <f t="shared" si="1880"/>
        <v>0</v>
      </c>
      <c r="FM81" s="2">
        <f t="shared" si="1881"/>
        <v>1</v>
      </c>
      <c r="FN81" s="2">
        <f t="shared" si="1882"/>
        <v>1</v>
      </c>
      <c r="FO81" s="2">
        <f t="shared" si="1883"/>
        <v>5</v>
      </c>
      <c r="FP81" s="2">
        <f t="shared" si="1884"/>
        <v>0</v>
      </c>
      <c r="FQ81" s="2">
        <f t="shared" si="1885"/>
        <v>2</v>
      </c>
      <c r="FR81" s="2">
        <f t="shared" si="1886"/>
        <v>0</v>
      </c>
      <c r="FS81" s="2">
        <f t="shared" si="1887"/>
        <v>0</v>
      </c>
      <c r="FT81" s="2">
        <f t="shared" si="1770"/>
        <v>0</v>
      </c>
      <c r="FU81" s="2">
        <f t="shared" si="1888"/>
        <v>18</v>
      </c>
      <c r="FV81" s="2">
        <f t="shared" si="1889"/>
        <v>1</v>
      </c>
      <c r="FW81" s="2">
        <f t="shared" si="1890"/>
        <v>5</v>
      </c>
      <c r="FX81" s="2">
        <f t="shared" si="1771"/>
        <v>0</v>
      </c>
      <c r="FY81" s="2">
        <f t="shared" si="1891"/>
        <v>12</v>
      </c>
      <c r="FZ81" s="2">
        <f t="shared" ref="FZ81" si="2002">IF($E81=3,FA81-3,NA())</f>
        <v>1</v>
      </c>
      <c r="GA81" s="2"/>
      <c r="GB81" s="2"/>
      <c r="GC81" s="41">
        <f>FA81-'Zusammenfassung Tag1-4'!$G$2/18</f>
        <v>2.7222222222222223</v>
      </c>
      <c r="GD81" s="14">
        <f t="shared" si="1893"/>
        <v>259.77777777777806</v>
      </c>
      <c r="GE81" s="53">
        <v>5</v>
      </c>
      <c r="GF81" s="2">
        <v>447</v>
      </c>
      <c r="GG81" s="56">
        <v>2</v>
      </c>
      <c r="GH81" s="2">
        <f t="shared" si="1894"/>
        <v>130</v>
      </c>
      <c r="GI81" s="2">
        <f t="shared" si="1772"/>
        <v>0</v>
      </c>
      <c r="GJ81" s="2">
        <f t="shared" si="1895"/>
        <v>1</v>
      </c>
      <c r="GK81" s="2">
        <f t="shared" si="1773"/>
        <v>0</v>
      </c>
      <c r="GL81" s="2">
        <f t="shared" si="1896"/>
        <v>1</v>
      </c>
      <c r="GM81" s="2"/>
      <c r="GN81" s="2">
        <f t="shared" si="1774"/>
        <v>0</v>
      </c>
      <c r="GO81" s="2">
        <f t="shared" si="1897"/>
        <v>0</v>
      </c>
      <c r="GP81" s="2">
        <f t="shared" si="1898"/>
        <v>0</v>
      </c>
      <c r="GQ81" s="2">
        <f t="shared" si="1899"/>
        <v>0</v>
      </c>
      <c r="GR81" s="2">
        <f t="shared" si="1900"/>
        <v>0</v>
      </c>
      <c r="GS81" s="2">
        <f t="shared" si="1901"/>
        <v>2</v>
      </c>
      <c r="GT81" s="2">
        <f t="shared" si="1902"/>
        <v>1</v>
      </c>
      <c r="GU81" s="2">
        <f t="shared" si="1903"/>
        <v>6</v>
      </c>
      <c r="GV81" s="2">
        <f t="shared" si="1904"/>
        <v>0</v>
      </c>
      <c r="GW81" s="2">
        <f t="shared" si="1905"/>
        <v>0</v>
      </c>
      <c r="GX81" s="2">
        <f t="shared" si="1775"/>
        <v>0</v>
      </c>
      <c r="GY81" s="2">
        <f t="shared" si="1906"/>
        <v>6</v>
      </c>
      <c r="GZ81" s="2">
        <f t="shared" si="1907"/>
        <v>1</v>
      </c>
      <c r="HA81" s="2">
        <f t="shared" si="1908"/>
        <v>8</v>
      </c>
      <c r="HB81" s="2">
        <f t="shared" si="1776"/>
        <v>0</v>
      </c>
      <c r="HC81" s="2">
        <f t="shared" si="1909"/>
        <v>12</v>
      </c>
      <c r="HD81" s="2">
        <f t="shared" ref="HD81" si="2003">IF($E81=3,GE81-3,NA())</f>
        <v>2</v>
      </c>
      <c r="HE81" s="2"/>
      <c r="HF81" s="2"/>
      <c r="HG81" s="41">
        <f>GE81-'Zusammenfassung Tag1-4'!$H$2/18</f>
        <v>3.2222222222222223</v>
      </c>
      <c r="HH81" s="14">
        <f t="shared" si="1911"/>
        <v>295.77777777777806</v>
      </c>
      <c r="HI81" s="53">
        <v>4</v>
      </c>
      <c r="HJ81" s="2">
        <v>332</v>
      </c>
      <c r="HK81" s="56">
        <v>1</v>
      </c>
      <c r="HL81" s="2">
        <f t="shared" si="1912"/>
        <v>115</v>
      </c>
      <c r="HM81" s="2">
        <f t="shared" si="1777"/>
        <v>0</v>
      </c>
      <c r="HN81" s="2">
        <f t="shared" si="1913"/>
        <v>13</v>
      </c>
      <c r="HO81" s="2">
        <f t="shared" si="1778"/>
        <v>0</v>
      </c>
      <c r="HP81" s="2">
        <f t="shared" si="1914"/>
        <v>8</v>
      </c>
      <c r="HQ81" s="2"/>
      <c r="HR81" s="2">
        <f t="shared" si="1779"/>
        <v>0</v>
      </c>
      <c r="HS81" s="2">
        <f t="shared" si="1915"/>
        <v>1</v>
      </c>
      <c r="HT81" s="2">
        <f t="shared" si="1916"/>
        <v>0</v>
      </c>
      <c r="HU81" s="2">
        <f t="shared" si="1917"/>
        <v>3</v>
      </c>
      <c r="HV81" s="2">
        <f t="shared" si="1918"/>
        <v>1</v>
      </c>
      <c r="HW81" s="2">
        <f t="shared" si="1919"/>
        <v>3</v>
      </c>
      <c r="HX81" s="2">
        <f t="shared" si="1920"/>
        <v>0</v>
      </c>
      <c r="HY81" s="2">
        <f t="shared" si="1921"/>
        <v>1</v>
      </c>
      <c r="HZ81" s="2">
        <f t="shared" si="1922"/>
        <v>0</v>
      </c>
      <c r="IA81" s="2">
        <f t="shared" si="1923"/>
        <v>0</v>
      </c>
      <c r="IB81" s="2">
        <f t="shared" si="1780"/>
        <v>1</v>
      </c>
      <c r="IC81" s="2">
        <f t="shared" si="1924"/>
        <v>16</v>
      </c>
      <c r="ID81" s="2">
        <f t="shared" si="1925"/>
        <v>0</v>
      </c>
      <c r="IE81" s="2">
        <f t="shared" si="1926"/>
        <v>5</v>
      </c>
      <c r="IF81" s="2">
        <f t="shared" si="1781"/>
        <v>0</v>
      </c>
      <c r="IG81" s="2">
        <f t="shared" si="1927"/>
        <v>9</v>
      </c>
      <c r="IH81" s="2">
        <f t="shared" ref="IH81" si="2004">IF($E81=3,HI81-3,NA())</f>
        <v>1</v>
      </c>
      <c r="II81" s="2"/>
      <c r="IJ81" s="2"/>
      <c r="IK81" s="41">
        <f>HI81-'Zusammenfassung Tag1-4'!$I$2/18</f>
        <v>3.1111111111111112</v>
      </c>
      <c r="IL81" s="14">
        <f t="shared" si="1929"/>
        <v>265.88888888888897</v>
      </c>
      <c r="IM81" s="53">
        <v>4</v>
      </c>
      <c r="IN81" s="2">
        <v>62</v>
      </c>
      <c r="IO81" s="56">
        <v>2</v>
      </c>
      <c r="IP81" s="2">
        <f t="shared" si="1930"/>
        <v>147</v>
      </c>
      <c r="IQ81" s="2">
        <f t="shared" si="1782"/>
        <v>0</v>
      </c>
      <c r="IR81" s="2">
        <f t="shared" si="1931"/>
        <v>8</v>
      </c>
      <c r="IS81" s="2">
        <f t="shared" si="1783"/>
        <v>0</v>
      </c>
      <c r="IT81" s="2">
        <f t="shared" si="1932"/>
        <v>1</v>
      </c>
      <c r="IU81" s="2"/>
      <c r="IV81" s="2">
        <f t="shared" si="1784"/>
        <v>0</v>
      </c>
      <c r="IW81" s="2">
        <f t="shared" si="1933"/>
        <v>0</v>
      </c>
      <c r="IX81" s="2">
        <f t="shared" si="1934"/>
        <v>0</v>
      </c>
      <c r="IY81" s="2">
        <f t="shared" si="1935"/>
        <v>0</v>
      </c>
      <c r="IZ81" s="2">
        <f t="shared" si="1936"/>
        <v>1</v>
      </c>
      <c r="JA81" s="2">
        <f t="shared" si="1937"/>
        <v>2</v>
      </c>
      <c r="JB81" s="2">
        <f t="shared" si="1938"/>
        <v>0</v>
      </c>
      <c r="JC81" s="2">
        <f t="shared" si="1939"/>
        <v>6</v>
      </c>
      <c r="JD81" s="2">
        <f t="shared" si="1940"/>
        <v>0</v>
      </c>
      <c r="JE81" s="2">
        <f t="shared" si="1941"/>
        <v>0</v>
      </c>
      <c r="JF81" s="2">
        <f t="shared" si="1785"/>
        <v>0</v>
      </c>
      <c r="JG81" s="2">
        <f t="shared" si="1942"/>
        <v>8</v>
      </c>
      <c r="JH81" s="2">
        <f t="shared" si="1943"/>
        <v>1</v>
      </c>
      <c r="JI81" s="2">
        <f t="shared" si="1944"/>
        <v>6</v>
      </c>
      <c r="JJ81" s="2">
        <f t="shared" si="1786"/>
        <v>0</v>
      </c>
      <c r="JK81" s="2">
        <f t="shared" si="1945"/>
        <v>24</v>
      </c>
      <c r="JL81" s="2">
        <f t="shared" ref="JL81" si="2005">IF($E81=3,IM81-3,NA())</f>
        <v>1</v>
      </c>
      <c r="JM81" s="2"/>
      <c r="JN81" s="2"/>
      <c r="JO81" s="41">
        <f>IM81-'Zusammenfassung Tag1-4'!$J$2/18</f>
        <v>1.6666666666666665</v>
      </c>
      <c r="JP81" s="14">
        <f t="shared" si="1947"/>
        <v>282.33333333333326</v>
      </c>
      <c r="JQ81" s="53"/>
      <c r="JR81" s="2"/>
      <c r="JS81" s="56"/>
      <c r="JT81" s="2">
        <f t="shared" si="1948"/>
        <v>0</v>
      </c>
      <c r="JU81" s="2">
        <f t="shared" si="1787"/>
        <v>1</v>
      </c>
      <c r="JV81" s="2">
        <f t="shared" si="1949"/>
        <v>62</v>
      </c>
      <c r="JW81" s="2">
        <f t="shared" si="1788"/>
        <v>0</v>
      </c>
      <c r="JX81" s="2">
        <f t="shared" si="1950"/>
        <v>0</v>
      </c>
      <c r="JY81" s="2"/>
      <c r="JZ81" s="2">
        <f t="shared" si="1789"/>
        <v>0</v>
      </c>
      <c r="KA81" s="2">
        <f t="shared" si="1951"/>
        <v>0</v>
      </c>
      <c r="KB81" s="2">
        <f t="shared" si="1952"/>
        <v>0</v>
      </c>
      <c r="KC81" s="2">
        <f t="shared" si="1953"/>
        <v>0</v>
      </c>
      <c r="KD81" s="2">
        <f t="shared" si="1954"/>
        <v>0</v>
      </c>
      <c r="KE81" s="2">
        <f t="shared" si="1955"/>
        <v>0</v>
      </c>
      <c r="KF81" s="2">
        <f t="shared" si="1956"/>
        <v>0</v>
      </c>
      <c r="KG81" s="2">
        <f t="shared" si="1957"/>
        <v>0</v>
      </c>
      <c r="KH81" s="2">
        <f t="shared" si="1958"/>
        <v>1</v>
      </c>
      <c r="KI81" s="2">
        <f t="shared" si="1959"/>
        <v>8</v>
      </c>
      <c r="KJ81" s="2">
        <f t="shared" si="1790"/>
        <v>0</v>
      </c>
      <c r="KK81" s="2">
        <f t="shared" si="1960"/>
        <v>0</v>
      </c>
      <c r="KL81" s="2">
        <f t="shared" si="1961"/>
        <v>0</v>
      </c>
      <c r="KM81" s="2">
        <f t="shared" si="1962"/>
        <v>0</v>
      </c>
      <c r="KN81" s="2">
        <f t="shared" si="1791"/>
        <v>0</v>
      </c>
      <c r="KO81" s="2">
        <f t="shared" si="1963"/>
        <v>0</v>
      </c>
      <c r="KP81" s="2">
        <f t="shared" ref="KP81" si="2006">IF($E81=3,JQ81-3,NA())</f>
        <v>-3</v>
      </c>
      <c r="KQ81" s="2"/>
      <c r="KR81" s="2"/>
      <c r="KS81" s="41" t="e">
        <f>JQ81-'Zusammenfassung Tag1-4'!#REF!/18</f>
        <v>#REF!</v>
      </c>
      <c r="KT81" s="14" t="e">
        <f t="shared" si="1965"/>
        <v>#REF!</v>
      </c>
    </row>
    <row r="82" spans="1:306" ht="13.2" x14ac:dyDescent="0.25">
      <c r="A82" s="179"/>
      <c r="B82" s="176"/>
      <c r="C82" s="15">
        <v>9</v>
      </c>
      <c r="D82" s="3">
        <f t="shared" si="1966"/>
        <v>63</v>
      </c>
      <c r="E82" s="15">
        <v>4</v>
      </c>
      <c r="F82" s="1">
        <f t="shared" si="1792"/>
        <v>252</v>
      </c>
      <c r="G82" s="57">
        <v>5</v>
      </c>
      <c r="H82" s="3">
        <f t="shared" si="1967"/>
        <v>306</v>
      </c>
      <c r="I82" s="57">
        <v>2</v>
      </c>
      <c r="J82" s="3">
        <f t="shared" si="1793"/>
        <v>119</v>
      </c>
      <c r="K82" s="3">
        <f t="shared" si="1737"/>
        <v>0</v>
      </c>
      <c r="L82" s="3">
        <f t="shared" si="1794"/>
        <v>19</v>
      </c>
      <c r="M82" s="3">
        <f t="shared" si="1738"/>
        <v>0</v>
      </c>
      <c r="N82" s="3">
        <f t="shared" si="1795"/>
        <v>10</v>
      </c>
      <c r="O82" s="3"/>
      <c r="P82" s="3">
        <f t="shared" si="1739"/>
        <v>0</v>
      </c>
      <c r="Q82" s="3">
        <f t="shared" si="1796"/>
        <v>3</v>
      </c>
      <c r="R82" s="3">
        <f t="shared" si="1740"/>
        <v>0</v>
      </c>
      <c r="S82" s="3">
        <f t="shared" si="1797"/>
        <v>4</v>
      </c>
      <c r="T82" s="3">
        <f t="shared" si="1741"/>
        <v>1</v>
      </c>
      <c r="U82" s="63">
        <f t="shared" si="1798"/>
        <v>3</v>
      </c>
      <c r="V82" s="3">
        <f t="shared" si="1742"/>
        <v>0</v>
      </c>
      <c r="W82" s="63">
        <f t="shared" si="1799"/>
        <v>2</v>
      </c>
      <c r="X82" s="3">
        <f t="shared" si="1743"/>
        <v>0</v>
      </c>
      <c r="Y82" s="3">
        <f t="shared" si="1800"/>
        <v>0</v>
      </c>
      <c r="Z82" s="3">
        <f t="shared" si="1744"/>
        <v>0</v>
      </c>
      <c r="AA82" s="3">
        <f t="shared" si="1801"/>
        <v>13</v>
      </c>
      <c r="AB82" s="3">
        <f t="shared" si="1745"/>
        <v>1</v>
      </c>
      <c r="AC82" s="3">
        <f t="shared" si="1802"/>
        <v>4</v>
      </c>
      <c r="AD82" s="3">
        <f t="shared" si="1746"/>
        <v>0</v>
      </c>
      <c r="AE82" s="3">
        <f t="shared" si="1803"/>
        <v>9</v>
      </c>
      <c r="AF82" s="2"/>
      <c r="AG82" s="2">
        <f>IF($E82=4,G82-4,NA())</f>
        <v>1</v>
      </c>
      <c r="AH82" s="2"/>
      <c r="AI82" s="17">
        <f>G82-'Zusammenfassung Tag1-4'!$B$2/18</f>
        <v>4.166666666666667</v>
      </c>
      <c r="AJ82" s="50">
        <f t="shared" si="1804"/>
        <v>253.49999999999974</v>
      </c>
      <c r="AK82" s="54">
        <v>6</v>
      </c>
      <c r="AL82" s="3">
        <f t="shared" si="1968"/>
        <v>304</v>
      </c>
      <c r="AM82" s="57">
        <v>3</v>
      </c>
      <c r="AN82" s="3">
        <f t="shared" si="1805"/>
        <v>114</v>
      </c>
      <c r="AO82" s="3">
        <f t="shared" si="1747"/>
        <v>0</v>
      </c>
      <c r="AP82" s="3">
        <f t="shared" si="1806"/>
        <v>27</v>
      </c>
      <c r="AQ82" s="3">
        <f t="shared" si="1748"/>
        <v>0</v>
      </c>
      <c r="AR82" s="3">
        <f t="shared" si="1807"/>
        <v>10</v>
      </c>
      <c r="AS82" s="3"/>
      <c r="AT82" s="3">
        <f t="shared" si="1749"/>
        <v>0</v>
      </c>
      <c r="AU82" s="3">
        <f t="shared" si="1808"/>
        <v>0</v>
      </c>
      <c r="AV82" s="3">
        <f>IF(AK82=$E82,1,0)</f>
        <v>0</v>
      </c>
      <c r="AW82" s="3">
        <f t="shared" si="1810"/>
        <v>6</v>
      </c>
      <c r="AX82" s="3">
        <f t="shared" si="1811"/>
        <v>0</v>
      </c>
      <c r="AY82" s="63">
        <f t="shared" si="1812"/>
        <v>1</v>
      </c>
      <c r="AZ82" s="3">
        <f t="shared" si="1813"/>
        <v>1</v>
      </c>
      <c r="BA82" s="63">
        <f t="shared" si="1814"/>
        <v>2</v>
      </c>
      <c r="BB82" s="3">
        <f t="shared" si="1815"/>
        <v>0</v>
      </c>
      <c r="BC82" s="3">
        <f t="shared" si="1816"/>
        <v>0</v>
      </c>
      <c r="BD82" s="3">
        <f t="shared" si="1750"/>
        <v>0</v>
      </c>
      <c r="BE82" s="3">
        <f t="shared" si="1817"/>
        <v>17</v>
      </c>
      <c r="BF82" s="3">
        <f t="shared" si="1818"/>
        <v>0</v>
      </c>
      <c r="BG82" s="3">
        <f t="shared" si="1819"/>
        <v>5</v>
      </c>
      <c r="BH82" s="3">
        <f t="shared" si="1751"/>
        <v>1</v>
      </c>
      <c r="BI82" s="3">
        <f t="shared" si="1820"/>
        <v>5</v>
      </c>
      <c r="BJ82" s="2"/>
      <c r="BK82" s="2">
        <f t="shared" ref="BK82" si="2007">IF($E82=4,AK82-4,NA())</f>
        <v>2</v>
      </c>
      <c r="BL82" s="2"/>
      <c r="BM82" s="17">
        <f>AK82-'Zusammenfassung Tag1-4'!$C$2/18</f>
        <v>5.4444444444444446</v>
      </c>
      <c r="BN82" s="50">
        <f t="shared" si="1822"/>
        <v>269.0000000000004</v>
      </c>
      <c r="BO82" s="54">
        <v>5</v>
      </c>
      <c r="BP82" s="3">
        <f t="shared" si="1970"/>
        <v>363</v>
      </c>
      <c r="BQ82" s="57">
        <v>2</v>
      </c>
      <c r="BR82" s="3">
        <f t="shared" si="1823"/>
        <v>140</v>
      </c>
      <c r="BS82" s="3">
        <f t="shared" si="1752"/>
        <v>0</v>
      </c>
      <c r="BT82" s="3">
        <f t="shared" si="1824"/>
        <v>12</v>
      </c>
      <c r="BU82" s="3">
        <f t="shared" si="1753"/>
        <v>0</v>
      </c>
      <c r="BV82" s="3">
        <f t="shared" si="1825"/>
        <v>0</v>
      </c>
      <c r="BW82" s="3"/>
      <c r="BX82" s="3">
        <f t="shared" si="1754"/>
        <v>0</v>
      </c>
      <c r="BY82" s="3">
        <f t="shared" si="1826"/>
        <v>0</v>
      </c>
      <c r="BZ82" s="3">
        <f>IF(BO82=$E82,1,0)</f>
        <v>0</v>
      </c>
      <c r="CA82" s="3">
        <f t="shared" si="1828"/>
        <v>2</v>
      </c>
      <c r="CB82" s="3">
        <f t="shared" si="1829"/>
        <v>1</v>
      </c>
      <c r="CC82" s="63">
        <f t="shared" si="1830"/>
        <v>6</v>
      </c>
      <c r="CD82" s="3">
        <f t="shared" si="1831"/>
        <v>0</v>
      </c>
      <c r="CE82" s="63">
        <f t="shared" si="1832"/>
        <v>1</v>
      </c>
      <c r="CF82" s="3">
        <f t="shared" si="1833"/>
        <v>0</v>
      </c>
      <c r="CG82" s="3">
        <f t="shared" si="1826"/>
        <v>0</v>
      </c>
      <c r="CH82" s="3">
        <f t="shared" si="1755"/>
        <v>0</v>
      </c>
      <c r="CI82" s="3">
        <f t="shared" si="1834"/>
        <v>2</v>
      </c>
      <c r="CJ82" s="3">
        <f t="shared" si="1835"/>
        <v>1</v>
      </c>
      <c r="CK82" s="3">
        <f t="shared" si="1836"/>
        <v>9</v>
      </c>
      <c r="CL82" s="3">
        <f t="shared" si="1756"/>
        <v>0</v>
      </c>
      <c r="CM82" s="3">
        <f t="shared" si="1837"/>
        <v>16</v>
      </c>
      <c r="CN82" s="2"/>
      <c r="CO82" s="2">
        <f t="shared" ref="CO82" si="2008">IF($E82=4,BO82-4,NA())</f>
        <v>1</v>
      </c>
      <c r="CP82" s="2"/>
      <c r="CQ82" s="17">
        <f>BO82-'Zusammenfassung Tag1-4'!$D$2/18</f>
        <v>3.9444444444444446</v>
      </c>
      <c r="CR82" s="50">
        <f t="shared" si="1839"/>
        <v>296.5000000000004</v>
      </c>
      <c r="CS82" s="54">
        <v>5</v>
      </c>
      <c r="CT82" s="3">
        <f t="shared" si="1972"/>
        <v>329</v>
      </c>
      <c r="CU82" s="57">
        <v>2</v>
      </c>
      <c r="CV82" s="3">
        <f t="shared" si="1840"/>
        <v>131</v>
      </c>
      <c r="CW82" s="3">
        <f t="shared" si="1757"/>
        <v>0</v>
      </c>
      <c r="CX82" s="3">
        <f t="shared" si="1841"/>
        <v>18</v>
      </c>
      <c r="CY82" s="3">
        <f t="shared" si="1758"/>
        <v>0</v>
      </c>
      <c r="CZ82" s="3">
        <f t="shared" si="1842"/>
        <v>6</v>
      </c>
      <c r="DA82" s="3"/>
      <c r="DB82" s="3">
        <f t="shared" si="1759"/>
        <v>0</v>
      </c>
      <c r="DC82" s="3">
        <f t="shared" si="1843"/>
        <v>0</v>
      </c>
      <c r="DD82" s="3">
        <f>IF(CS82=$E82,1,0)</f>
        <v>0</v>
      </c>
      <c r="DE82" s="3">
        <f t="shared" si="1845"/>
        <v>1</v>
      </c>
      <c r="DF82" s="3">
        <f t="shared" si="1846"/>
        <v>1</v>
      </c>
      <c r="DG82" s="63">
        <f t="shared" si="1847"/>
        <v>4</v>
      </c>
      <c r="DH82" s="3">
        <f t="shared" si="1848"/>
        <v>0</v>
      </c>
      <c r="DI82" s="63">
        <f t="shared" si="1849"/>
        <v>4</v>
      </c>
      <c r="DJ82" s="3">
        <f t="shared" si="1850"/>
        <v>0</v>
      </c>
      <c r="DK82" s="3">
        <f t="shared" si="1851"/>
        <v>0</v>
      </c>
      <c r="DL82" s="3">
        <f t="shared" si="1760"/>
        <v>0</v>
      </c>
      <c r="DM82" s="3">
        <f t="shared" si="1852"/>
        <v>12</v>
      </c>
      <c r="DN82" s="3">
        <f t="shared" si="1853"/>
        <v>1</v>
      </c>
      <c r="DO82" s="3">
        <f t="shared" si="1854"/>
        <v>6</v>
      </c>
      <c r="DP82" s="3">
        <f t="shared" si="1761"/>
        <v>0</v>
      </c>
      <c r="DQ82" s="3">
        <f t="shared" si="1855"/>
        <v>16</v>
      </c>
      <c r="DR82" s="2"/>
      <c r="DS82" s="2">
        <f t="shared" ref="DS82" si="2009">IF($E82=4,CS82-4,NA())</f>
        <v>1</v>
      </c>
      <c r="DT82" s="2"/>
      <c r="DU82" s="17">
        <f>CS82-'Zusammenfassung Tag1-4'!$E$2/18</f>
        <v>4</v>
      </c>
      <c r="DV82" s="51">
        <f t="shared" si="1857"/>
        <v>266</v>
      </c>
      <c r="DW82" s="54">
        <v>5</v>
      </c>
      <c r="DX82" s="3">
        <v>126</v>
      </c>
      <c r="DY82" s="57">
        <v>2</v>
      </c>
      <c r="DZ82" s="3">
        <f t="shared" si="1858"/>
        <v>139</v>
      </c>
      <c r="EA82" s="3">
        <f t="shared" si="1762"/>
        <v>0</v>
      </c>
      <c r="EB82" s="3">
        <f t="shared" si="1859"/>
        <v>0</v>
      </c>
      <c r="EC82" s="3">
        <f t="shared" si="1763"/>
        <v>0</v>
      </c>
      <c r="ED82" s="3">
        <f t="shared" si="1860"/>
        <v>1</v>
      </c>
      <c r="EE82" s="3"/>
      <c r="EF82" s="3">
        <f t="shared" si="1764"/>
        <v>0</v>
      </c>
      <c r="EG82" s="3">
        <f t="shared" si="1861"/>
        <v>0</v>
      </c>
      <c r="EH82" s="3">
        <f>IF(DW82=$E82,1,0)</f>
        <v>0</v>
      </c>
      <c r="EI82" s="3">
        <f t="shared" si="1863"/>
        <v>0</v>
      </c>
      <c r="EJ82" s="3">
        <f t="shared" si="1864"/>
        <v>1</v>
      </c>
      <c r="EK82" s="63">
        <f t="shared" si="1865"/>
        <v>4</v>
      </c>
      <c r="EL82" s="3">
        <f t="shared" si="1866"/>
        <v>0</v>
      </c>
      <c r="EM82" s="63">
        <f t="shared" si="1867"/>
        <v>5</v>
      </c>
      <c r="EN82" s="3">
        <f t="shared" si="1868"/>
        <v>0</v>
      </c>
      <c r="EO82" s="3">
        <f t="shared" si="1869"/>
        <v>0</v>
      </c>
      <c r="EP82" s="3">
        <f t="shared" si="1765"/>
        <v>0</v>
      </c>
      <c r="EQ82" s="3">
        <f t="shared" si="1870"/>
        <v>6</v>
      </c>
      <c r="ER82" s="3">
        <f t="shared" si="1871"/>
        <v>1</v>
      </c>
      <c r="ES82" s="3">
        <f t="shared" si="1872"/>
        <v>6</v>
      </c>
      <c r="ET82" s="3">
        <f t="shared" si="1766"/>
        <v>0</v>
      </c>
      <c r="EU82" s="3">
        <f t="shared" si="1873"/>
        <v>18</v>
      </c>
      <c r="EV82" s="2"/>
      <c r="EW82" s="2">
        <f t="shared" ref="EW82" si="2010">IF($E82=4,DW82-4,NA())</f>
        <v>1</v>
      </c>
      <c r="EX82" s="2"/>
      <c r="EY82" s="17">
        <f>DW82-'Zusammenfassung Tag1-4'!$F$2/18</f>
        <v>2.5</v>
      </c>
      <c r="EZ82" s="51">
        <f t="shared" si="1875"/>
        <v>268.5</v>
      </c>
      <c r="FA82" s="54">
        <v>5</v>
      </c>
      <c r="FB82" s="3">
        <v>355</v>
      </c>
      <c r="FC82" s="57">
        <v>2</v>
      </c>
      <c r="FD82" s="3">
        <f t="shared" si="1876"/>
        <v>120</v>
      </c>
      <c r="FE82" s="3">
        <f t="shared" si="1767"/>
        <v>0</v>
      </c>
      <c r="FF82" s="3">
        <f t="shared" si="1877"/>
        <v>11</v>
      </c>
      <c r="FG82" s="3">
        <f t="shared" si="1768"/>
        <v>0</v>
      </c>
      <c r="FH82" s="3">
        <f t="shared" si="1878"/>
        <v>4</v>
      </c>
      <c r="FI82" s="3"/>
      <c r="FJ82" s="3">
        <f t="shared" si="1769"/>
        <v>0</v>
      </c>
      <c r="FK82" s="3">
        <f t="shared" si="1879"/>
        <v>0</v>
      </c>
      <c r="FL82" s="3">
        <f>IF(FA82=$E82,1,0)</f>
        <v>0</v>
      </c>
      <c r="FM82" s="3">
        <f t="shared" si="1881"/>
        <v>1</v>
      </c>
      <c r="FN82" s="3">
        <f t="shared" si="1882"/>
        <v>1</v>
      </c>
      <c r="FO82" s="63">
        <f t="shared" si="1883"/>
        <v>6</v>
      </c>
      <c r="FP82" s="3">
        <f t="shared" si="1884"/>
        <v>0</v>
      </c>
      <c r="FQ82" s="63">
        <f t="shared" si="1885"/>
        <v>2</v>
      </c>
      <c r="FR82" s="3">
        <f t="shared" si="1886"/>
        <v>0</v>
      </c>
      <c r="FS82" s="3">
        <f t="shared" si="1887"/>
        <v>0</v>
      </c>
      <c r="FT82" s="3">
        <f t="shared" si="1770"/>
        <v>0</v>
      </c>
      <c r="FU82" s="3">
        <f t="shared" si="1888"/>
        <v>18</v>
      </c>
      <c r="FV82" s="3">
        <f t="shared" si="1889"/>
        <v>1</v>
      </c>
      <c r="FW82" s="3">
        <f t="shared" si="1890"/>
        <v>6</v>
      </c>
      <c r="FX82" s="3">
        <f t="shared" si="1771"/>
        <v>0</v>
      </c>
      <c r="FY82" s="3">
        <f t="shared" si="1891"/>
        <v>12</v>
      </c>
      <c r="FZ82" s="2"/>
      <c r="GA82" s="2">
        <f t="shared" ref="GA82" si="2011">IF($E82=4,FA82-4,NA())</f>
        <v>1</v>
      </c>
      <c r="GB82" s="2"/>
      <c r="GC82" s="17">
        <f>FA82-'Zusammenfassung Tag1-4'!$G$2/18</f>
        <v>3.7222222222222223</v>
      </c>
      <c r="GD82" s="51">
        <f t="shared" si="1893"/>
        <v>263.50000000000028</v>
      </c>
      <c r="GE82" s="54">
        <v>5</v>
      </c>
      <c r="GF82" s="3">
        <v>453</v>
      </c>
      <c r="GG82" s="57">
        <v>2</v>
      </c>
      <c r="GH82" s="3">
        <f t="shared" si="1894"/>
        <v>132</v>
      </c>
      <c r="GI82" s="3">
        <f t="shared" si="1772"/>
        <v>0</v>
      </c>
      <c r="GJ82" s="3">
        <f t="shared" si="1895"/>
        <v>1</v>
      </c>
      <c r="GK82" s="3">
        <f t="shared" si="1773"/>
        <v>0</v>
      </c>
      <c r="GL82" s="3">
        <f t="shared" si="1896"/>
        <v>1</v>
      </c>
      <c r="GM82" s="3"/>
      <c r="GN82" s="3">
        <f t="shared" si="1774"/>
        <v>0</v>
      </c>
      <c r="GO82" s="3">
        <f t="shared" si="1897"/>
        <v>0</v>
      </c>
      <c r="GP82" s="3">
        <f>IF(GE82=$E82,1,0)</f>
        <v>0</v>
      </c>
      <c r="GQ82" s="3">
        <f t="shared" si="1899"/>
        <v>0</v>
      </c>
      <c r="GR82" s="3">
        <f t="shared" si="1900"/>
        <v>1</v>
      </c>
      <c r="GS82" s="63">
        <f t="shared" si="1901"/>
        <v>3</v>
      </c>
      <c r="GT82" s="3">
        <f t="shared" si="1902"/>
        <v>0</v>
      </c>
      <c r="GU82" s="63">
        <f t="shared" si="1903"/>
        <v>6</v>
      </c>
      <c r="GV82" s="3">
        <f t="shared" si="1904"/>
        <v>0</v>
      </c>
      <c r="GW82" s="3">
        <f t="shared" si="1905"/>
        <v>0</v>
      </c>
      <c r="GX82" s="3">
        <f t="shared" si="1775"/>
        <v>0</v>
      </c>
      <c r="GY82" s="3">
        <f t="shared" si="1906"/>
        <v>6</v>
      </c>
      <c r="GZ82" s="3">
        <f t="shared" si="1907"/>
        <v>1</v>
      </c>
      <c r="HA82" s="3">
        <f t="shared" si="1908"/>
        <v>9</v>
      </c>
      <c r="HB82" s="3">
        <f t="shared" si="1776"/>
        <v>0</v>
      </c>
      <c r="HC82" s="3">
        <f t="shared" si="1909"/>
        <v>12</v>
      </c>
      <c r="HD82" s="2"/>
      <c r="HE82" s="2">
        <f t="shared" ref="HE82" si="2012">IF($E82=4,GE82-4,NA())</f>
        <v>1</v>
      </c>
      <c r="HF82" s="2"/>
      <c r="HG82" s="17">
        <f>GE82-'Zusammenfassung Tag1-4'!$H$2/18</f>
        <v>3.2222222222222223</v>
      </c>
      <c r="HH82" s="51">
        <f t="shared" si="1911"/>
        <v>299.00000000000028</v>
      </c>
      <c r="HI82" s="54">
        <v>7</v>
      </c>
      <c r="HJ82" s="3">
        <v>335</v>
      </c>
      <c r="HK82" s="57">
        <v>2</v>
      </c>
      <c r="HL82" s="3">
        <f t="shared" si="1912"/>
        <v>117</v>
      </c>
      <c r="HM82" s="3">
        <f t="shared" si="1777"/>
        <v>0</v>
      </c>
      <c r="HN82" s="3">
        <f t="shared" si="1913"/>
        <v>13</v>
      </c>
      <c r="HO82" s="3">
        <f t="shared" si="1778"/>
        <v>0</v>
      </c>
      <c r="HP82" s="3">
        <f t="shared" si="1914"/>
        <v>8</v>
      </c>
      <c r="HQ82" s="3"/>
      <c r="HR82" s="3">
        <f t="shared" si="1779"/>
        <v>0</v>
      </c>
      <c r="HS82" s="3">
        <f t="shared" si="1915"/>
        <v>1</v>
      </c>
      <c r="HT82" s="3">
        <f>IF(HI82=$E82,1,0)</f>
        <v>0</v>
      </c>
      <c r="HU82" s="3">
        <f t="shared" si="1917"/>
        <v>3</v>
      </c>
      <c r="HV82" s="3">
        <f t="shared" si="1918"/>
        <v>0</v>
      </c>
      <c r="HW82" s="63">
        <f t="shared" si="1919"/>
        <v>3</v>
      </c>
      <c r="HX82" s="3">
        <f t="shared" si="1920"/>
        <v>1</v>
      </c>
      <c r="HY82" s="63">
        <f t="shared" si="1921"/>
        <v>2</v>
      </c>
      <c r="HZ82" s="3">
        <f t="shared" si="1922"/>
        <v>0</v>
      </c>
      <c r="IA82" s="3">
        <f t="shared" si="1923"/>
        <v>0</v>
      </c>
      <c r="IB82" s="3">
        <f t="shared" si="1780"/>
        <v>0</v>
      </c>
      <c r="IC82" s="3">
        <f t="shared" si="1924"/>
        <v>16</v>
      </c>
      <c r="ID82" s="3">
        <f t="shared" si="1925"/>
        <v>1</v>
      </c>
      <c r="IE82" s="3">
        <f t="shared" si="1926"/>
        <v>6</v>
      </c>
      <c r="IF82" s="3">
        <f t="shared" si="1781"/>
        <v>0</v>
      </c>
      <c r="IG82" s="3">
        <f t="shared" si="1927"/>
        <v>9</v>
      </c>
      <c r="IH82" s="2"/>
      <c r="II82" s="2">
        <f t="shared" ref="II82" si="2013">IF($E82=4,HI82-4,NA())</f>
        <v>3</v>
      </c>
      <c r="IJ82" s="2"/>
      <c r="IK82" s="17">
        <f>HI82-'Zusammenfassung Tag1-4'!$I$2/18</f>
        <v>6.1111111111111107</v>
      </c>
      <c r="IL82" s="51">
        <f t="shared" si="1929"/>
        <v>272.00000000000006</v>
      </c>
      <c r="IM82" s="54">
        <v>7</v>
      </c>
      <c r="IN82" s="3">
        <v>69</v>
      </c>
      <c r="IO82" s="57">
        <v>2</v>
      </c>
      <c r="IP82" s="3">
        <f t="shared" si="1930"/>
        <v>149</v>
      </c>
      <c r="IQ82" s="3">
        <f t="shared" si="1782"/>
        <v>0</v>
      </c>
      <c r="IR82" s="3">
        <f t="shared" si="1931"/>
        <v>8</v>
      </c>
      <c r="IS82" s="3">
        <f t="shared" si="1783"/>
        <v>0</v>
      </c>
      <c r="IT82" s="3">
        <f t="shared" si="1932"/>
        <v>1</v>
      </c>
      <c r="IU82" s="3"/>
      <c r="IV82" s="3">
        <f t="shared" si="1784"/>
        <v>0</v>
      </c>
      <c r="IW82" s="3">
        <f t="shared" si="1933"/>
        <v>0</v>
      </c>
      <c r="IX82" s="3">
        <f>IF(IM82=$E82,1,0)</f>
        <v>0</v>
      </c>
      <c r="IY82" s="3">
        <f t="shared" si="1935"/>
        <v>0</v>
      </c>
      <c r="IZ82" s="3">
        <f t="shared" si="1936"/>
        <v>0</v>
      </c>
      <c r="JA82" s="63">
        <f t="shared" si="1937"/>
        <v>2</v>
      </c>
      <c r="JB82" s="3">
        <f t="shared" si="1938"/>
        <v>1</v>
      </c>
      <c r="JC82" s="63">
        <f t="shared" si="1939"/>
        <v>7</v>
      </c>
      <c r="JD82" s="3">
        <f t="shared" si="1940"/>
        <v>0</v>
      </c>
      <c r="JE82" s="3">
        <f t="shared" si="1941"/>
        <v>0</v>
      </c>
      <c r="JF82" s="3">
        <f t="shared" si="1785"/>
        <v>0</v>
      </c>
      <c r="JG82" s="3">
        <f t="shared" si="1942"/>
        <v>8</v>
      </c>
      <c r="JH82" s="3">
        <f t="shared" si="1943"/>
        <v>1</v>
      </c>
      <c r="JI82" s="3">
        <f t="shared" si="1944"/>
        <v>7</v>
      </c>
      <c r="JJ82" s="3">
        <f t="shared" si="1786"/>
        <v>0</v>
      </c>
      <c r="JK82" s="3">
        <f t="shared" si="1945"/>
        <v>24</v>
      </c>
      <c r="JL82" s="2"/>
      <c r="JM82" s="2">
        <f t="shared" ref="JM82" si="2014">IF($E82=4,IM82-4,NA())</f>
        <v>3</v>
      </c>
      <c r="JN82" s="2"/>
      <c r="JO82" s="17">
        <f>IM82-'Zusammenfassung Tag1-4'!$J$2/18</f>
        <v>4.6666666666666661</v>
      </c>
      <c r="JP82" s="51">
        <f t="shared" si="1947"/>
        <v>286.99999999999994</v>
      </c>
      <c r="JQ82" s="54"/>
      <c r="JR82" s="3"/>
      <c r="JS82" s="57"/>
      <c r="JT82" s="3">
        <f t="shared" si="1948"/>
        <v>0</v>
      </c>
      <c r="JU82" s="3">
        <f t="shared" si="1787"/>
        <v>1</v>
      </c>
      <c r="JV82" s="3">
        <f t="shared" si="1949"/>
        <v>63</v>
      </c>
      <c r="JW82" s="3">
        <f t="shared" si="1788"/>
        <v>0</v>
      </c>
      <c r="JX82" s="3">
        <f t="shared" si="1950"/>
        <v>0</v>
      </c>
      <c r="JY82" s="3"/>
      <c r="JZ82" s="3">
        <f t="shared" si="1789"/>
        <v>0</v>
      </c>
      <c r="KA82" s="3">
        <f t="shared" si="1951"/>
        <v>0</v>
      </c>
      <c r="KB82" s="3">
        <f>IF(JQ82=$E82,1,0)</f>
        <v>0</v>
      </c>
      <c r="KC82" s="3">
        <f t="shared" si="1953"/>
        <v>0</v>
      </c>
      <c r="KD82" s="3">
        <f t="shared" si="1954"/>
        <v>0</v>
      </c>
      <c r="KE82" s="63">
        <f t="shared" si="1955"/>
        <v>0</v>
      </c>
      <c r="KF82" s="3">
        <f t="shared" si="1956"/>
        <v>0</v>
      </c>
      <c r="KG82" s="63">
        <f t="shared" si="1957"/>
        <v>0</v>
      </c>
      <c r="KH82" s="3">
        <f t="shared" si="1958"/>
        <v>1</v>
      </c>
      <c r="KI82" s="3">
        <f t="shared" si="1959"/>
        <v>9</v>
      </c>
      <c r="KJ82" s="3">
        <f t="shared" si="1790"/>
        <v>0</v>
      </c>
      <c r="KK82" s="3">
        <f t="shared" si="1960"/>
        <v>0</v>
      </c>
      <c r="KL82" s="3">
        <f t="shared" si="1961"/>
        <v>0</v>
      </c>
      <c r="KM82" s="3">
        <f t="shared" si="1962"/>
        <v>0</v>
      </c>
      <c r="KN82" s="3">
        <f t="shared" si="1791"/>
        <v>0</v>
      </c>
      <c r="KO82" s="3">
        <f t="shared" si="1963"/>
        <v>0</v>
      </c>
      <c r="KP82" s="2"/>
      <c r="KQ82" s="2">
        <f t="shared" ref="KQ82" si="2015">IF($E82=4,JQ82-4,NA())</f>
        <v>-4</v>
      </c>
      <c r="KR82" s="2"/>
      <c r="KS82" s="17" t="e">
        <f>JQ82-'Zusammenfassung Tag1-4'!#REF!/18</f>
        <v>#REF!</v>
      </c>
      <c r="KT82" s="51" t="e">
        <f t="shared" si="1965"/>
        <v>#REF!</v>
      </c>
    </row>
    <row r="83" spans="1:306" ht="13.2" x14ac:dyDescent="0.25">
      <c r="A83" s="179"/>
      <c r="B83" s="177"/>
      <c r="C83" s="15" t="s">
        <v>25</v>
      </c>
      <c r="D83" s="3"/>
      <c r="E83" s="15">
        <f>SUM(E74:E82)</f>
        <v>36</v>
      </c>
      <c r="F83" s="1"/>
      <c r="G83" s="16">
        <f>SUM(G74:G82)</f>
        <v>44</v>
      </c>
      <c r="H83" s="3"/>
      <c r="I83" s="3">
        <f>SUM(I74:I82)</f>
        <v>15</v>
      </c>
      <c r="J83" s="3"/>
      <c r="K83" s="3">
        <f>SUM(K74:K82)</f>
        <v>1</v>
      </c>
      <c r="L83" s="3"/>
      <c r="M83" s="3">
        <f>SUM(M74:M82)</f>
        <v>4</v>
      </c>
      <c r="N83" s="3"/>
      <c r="O83" s="3"/>
      <c r="P83" s="3">
        <f>SUM(P74:P82)</f>
        <v>0</v>
      </c>
      <c r="Q83" s="3"/>
      <c r="R83" s="3">
        <f>SUM(R74:R82)</f>
        <v>4</v>
      </c>
      <c r="S83" s="3"/>
      <c r="T83" s="3">
        <f>SUM(T74:T82)</f>
        <v>3</v>
      </c>
      <c r="U83" s="3"/>
      <c r="V83" s="3">
        <f>SUM(V74:V82)</f>
        <v>2</v>
      </c>
      <c r="W83" s="3"/>
      <c r="X83" s="3">
        <f>SUM(X74:X82)</f>
        <v>0</v>
      </c>
      <c r="Y83" s="3"/>
      <c r="Z83" s="3">
        <f>SUM(Z74:Z82)</f>
        <v>4</v>
      </c>
      <c r="AA83" s="3"/>
      <c r="AB83" s="3">
        <f>SUM(AB74:AB82)</f>
        <v>4</v>
      </c>
      <c r="AC83" s="3"/>
      <c r="AD83" s="3">
        <f>SUM(AD74:AD82)</f>
        <v>1</v>
      </c>
      <c r="AE83" s="3"/>
      <c r="AF83" s="83">
        <f t="shared" ref="AF83:AH83" si="2016">AVERAGE(AF74:AF82)</f>
        <v>0</v>
      </c>
      <c r="AG83" s="83">
        <f t="shared" si="2016"/>
        <v>1.4</v>
      </c>
      <c r="AH83" s="83">
        <f t="shared" si="2016"/>
        <v>0.5</v>
      </c>
      <c r="AI83" s="17">
        <f>SUM(AI74:AI82)</f>
        <v>36.5</v>
      </c>
      <c r="AJ83" s="1"/>
      <c r="AK83" s="16">
        <f>SUM(AK74:AK82)</f>
        <v>45</v>
      </c>
      <c r="AL83" s="3"/>
      <c r="AM83" s="3">
        <f>SUM(AM74:AM82)</f>
        <v>16</v>
      </c>
      <c r="AN83" s="3"/>
      <c r="AO83" s="3">
        <f>SUM(AO74:AO82)</f>
        <v>3</v>
      </c>
      <c r="AP83" s="3"/>
      <c r="AQ83" s="3">
        <f>SUM(AQ74:AQ82)</f>
        <v>3</v>
      </c>
      <c r="AR83" s="3"/>
      <c r="AS83" s="3"/>
      <c r="AT83" s="3">
        <f>SUM(AT74:AT82)</f>
        <v>0</v>
      </c>
      <c r="AU83" s="3"/>
      <c r="AV83" s="3">
        <f>SUM(AV74:AV82)</f>
        <v>6</v>
      </c>
      <c r="AW83" s="3"/>
      <c r="AX83" s="3">
        <f>SUM(AX74:AX82)</f>
        <v>1</v>
      </c>
      <c r="AY83" s="3"/>
      <c r="AZ83" s="3">
        <f>SUM(AZ74:AZ82)</f>
        <v>2</v>
      </c>
      <c r="BA83" s="3"/>
      <c r="BB83" s="3">
        <f>SUM(BB74:BB82)</f>
        <v>0</v>
      </c>
      <c r="BC83" s="3"/>
      <c r="BD83" s="3">
        <f>SUM(BD74:BD82)</f>
        <v>3</v>
      </c>
      <c r="BE83" s="3"/>
      <c r="BF83" s="3">
        <f>SUM(BF74:BF82)</f>
        <v>5</v>
      </c>
      <c r="BG83" s="3"/>
      <c r="BH83" s="3">
        <f>SUM(BH74:BH82)</f>
        <v>1</v>
      </c>
      <c r="BI83" s="3"/>
      <c r="BJ83" s="83">
        <f t="shared" ref="BJ83:BL83" si="2017">AVERAGE(BJ74:BJ82)</f>
        <v>0</v>
      </c>
      <c r="BK83" s="83">
        <f t="shared" si="2017"/>
        <v>1.6</v>
      </c>
      <c r="BL83" s="83">
        <f t="shared" si="2017"/>
        <v>0.5</v>
      </c>
      <c r="BM83" s="17">
        <f>SUM(BM74:BM82)</f>
        <v>39.999999999999993</v>
      </c>
      <c r="BN83" s="1"/>
      <c r="BO83" s="16">
        <f>SUM(BO74:BO82)</f>
        <v>44</v>
      </c>
      <c r="BP83" s="3"/>
      <c r="BQ83" s="3">
        <f>SUM(BQ74:BQ82)</f>
        <v>18</v>
      </c>
      <c r="BR83" s="3"/>
      <c r="BS83" s="3">
        <f>SUM(BS74:BS82)</f>
        <v>2</v>
      </c>
      <c r="BT83" s="3"/>
      <c r="BU83" s="3">
        <f>SUM(BU74:BU82)</f>
        <v>0</v>
      </c>
      <c r="BV83" s="3"/>
      <c r="BW83" s="3"/>
      <c r="BX83" s="3">
        <f>SUM(BX74:BX82)</f>
        <v>0</v>
      </c>
      <c r="BY83" s="3"/>
      <c r="BZ83" s="3">
        <f>SUM(BZ74:BZ82)</f>
        <v>2</v>
      </c>
      <c r="CA83" s="3"/>
      <c r="CB83" s="3">
        <f>SUM(CB74:CB82)</f>
        <v>6</v>
      </c>
      <c r="CC83" s="3"/>
      <c r="CD83" s="3">
        <f>SUM(CD74:CD82)</f>
        <v>1</v>
      </c>
      <c r="CE83" s="3"/>
      <c r="CF83" s="3">
        <f>SUM(CF74:CF82)</f>
        <v>0</v>
      </c>
      <c r="CG83" s="3"/>
      <c r="CH83" s="3">
        <f>SUM(CH74:CH82)</f>
        <v>0</v>
      </c>
      <c r="CI83" s="3"/>
      <c r="CJ83" s="3">
        <f>SUM(CJ74:CJ82)</f>
        <v>9</v>
      </c>
      <c r="CK83" s="3"/>
      <c r="CL83" s="3">
        <f>SUM(CL74:CL82)</f>
        <v>0</v>
      </c>
      <c r="CM83" s="3"/>
      <c r="CN83" s="83">
        <f t="shared" ref="CN83:CP83" si="2018">AVERAGE(CN74:CN82)</f>
        <v>0.5</v>
      </c>
      <c r="CO83" s="83">
        <f t="shared" si="2018"/>
        <v>0.8</v>
      </c>
      <c r="CP83" s="83">
        <f t="shared" si="2018"/>
        <v>1.5</v>
      </c>
      <c r="CQ83" s="17">
        <f>SUM(CQ74:CQ82)</f>
        <v>34.499999999999993</v>
      </c>
      <c r="CR83" s="1"/>
      <c r="CS83" s="16">
        <f>SUM(CS74:CS82)</f>
        <v>51</v>
      </c>
      <c r="CT83" s="3"/>
      <c r="CU83" s="3">
        <f>SUM(CU74:CU82)</f>
        <v>19</v>
      </c>
      <c r="CV83" s="3"/>
      <c r="CW83" s="3">
        <f>SUM(CW74:CW82)</f>
        <v>1</v>
      </c>
      <c r="CX83" s="3"/>
      <c r="CY83" s="3">
        <f>SUM(CY74:CY82)</f>
        <v>1</v>
      </c>
      <c r="CZ83" s="3"/>
      <c r="DA83" s="3"/>
      <c r="DB83" s="3">
        <f>SUM(DB74:DB82)</f>
        <v>0</v>
      </c>
      <c r="DC83" s="3"/>
      <c r="DD83" s="3">
        <f>SUM(DD74:DD82)</f>
        <v>1</v>
      </c>
      <c r="DE83" s="3"/>
      <c r="DF83" s="3">
        <f>SUM(DF74:DF82)</f>
        <v>4</v>
      </c>
      <c r="DG83" s="3"/>
      <c r="DH83" s="3">
        <f>SUM(DH74:DH82)</f>
        <v>4</v>
      </c>
      <c r="DI83" s="3"/>
      <c r="DJ83" s="3">
        <f>SUM(DJ74:DJ82)</f>
        <v>0</v>
      </c>
      <c r="DK83" s="3"/>
      <c r="DL83" s="3">
        <f>SUM(DL74:DL82)</f>
        <v>1</v>
      </c>
      <c r="DM83" s="3"/>
      <c r="DN83" s="3">
        <f>SUM(DN74:DN82)</f>
        <v>6</v>
      </c>
      <c r="DO83" s="3"/>
      <c r="DP83" s="3">
        <f>SUM(DP74:DP82)</f>
        <v>2</v>
      </c>
      <c r="DQ83" s="3"/>
      <c r="DR83" s="83">
        <f t="shared" ref="DR83:DT83" si="2019">AVERAGE(DR74:DR82)</f>
        <v>1</v>
      </c>
      <c r="DS83" s="83">
        <f t="shared" si="2019"/>
        <v>1.4</v>
      </c>
      <c r="DT83" s="83">
        <f t="shared" si="2019"/>
        <v>3</v>
      </c>
      <c r="DU83" s="17">
        <f>SUM(DU74:DU82)</f>
        <v>42</v>
      </c>
      <c r="DV83" s="18"/>
      <c r="DW83" s="16">
        <f>SUM(DW74:DW82)</f>
        <v>52</v>
      </c>
      <c r="DX83" s="3"/>
      <c r="DY83" s="3">
        <f>SUM(DY74:DY82)</f>
        <v>21</v>
      </c>
      <c r="DZ83" s="3"/>
      <c r="EA83" s="3">
        <f>SUM(EA74:EA82)</f>
        <v>0</v>
      </c>
      <c r="EB83" s="3"/>
      <c r="EC83" s="3">
        <f>SUM(EC74:EC82)</f>
        <v>0</v>
      </c>
      <c r="ED83" s="3"/>
      <c r="EE83" s="3"/>
      <c r="EF83" s="3">
        <f>SUM(EF74:EF82)</f>
        <v>0</v>
      </c>
      <c r="EG83" s="3"/>
      <c r="EH83" s="3">
        <f>SUM(EH74:EH82)</f>
        <v>0</v>
      </c>
      <c r="EI83" s="3"/>
      <c r="EJ83" s="3">
        <f>SUM(EJ74:EJ82)</f>
        <v>4</v>
      </c>
      <c r="EK83" s="3"/>
      <c r="EL83" s="3">
        <f>SUM(EL74:EL82)</f>
        <v>5</v>
      </c>
      <c r="EM83" s="3"/>
      <c r="EN83" s="3">
        <f>SUM(EN74:EN82)</f>
        <v>0</v>
      </c>
      <c r="EO83" s="3"/>
      <c r="EP83" s="3">
        <f>SUM(EP74:EP82)</f>
        <v>0</v>
      </c>
      <c r="EQ83" s="3"/>
      <c r="ER83" s="3">
        <f>SUM(ER74:ER82)</f>
        <v>6</v>
      </c>
      <c r="ES83" s="3"/>
      <c r="ET83" s="3">
        <f>SUM(ET74:ET82)</f>
        <v>3</v>
      </c>
      <c r="EU83" s="3"/>
      <c r="EV83" s="83">
        <f t="shared" ref="EV83:EX83" si="2020">AVERAGE(EV74:EV82)</f>
        <v>1.5</v>
      </c>
      <c r="EW83" s="83">
        <f t="shared" si="2020"/>
        <v>1.8</v>
      </c>
      <c r="EX83" s="83">
        <f t="shared" si="2020"/>
        <v>2</v>
      </c>
      <c r="EY83" s="17">
        <f>SUM(EY74:EY82)</f>
        <v>29.5</v>
      </c>
      <c r="EZ83" s="18"/>
      <c r="FA83" s="3">
        <f>SUM(FA74:FA82)</f>
        <v>47</v>
      </c>
      <c r="FB83" s="3"/>
      <c r="FC83" s="3">
        <f>SUM(FC74:FC82)</f>
        <v>15</v>
      </c>
      <c r="FD83" s="3"/>
      <c r="FE83" s="3">
        <f>SUM(FE74:FE82)</f>
        <v>1</v>
      </c>
      <c r="FF83" s="3"/>
      <c r="FG83" s="3">
        <f>SUM(FG74:FG82)</f>
        <v>0</v>
      </c>
      <c r="FH83" s="3"/>
      <c r="FI83" s="3"/>
      <c r="FJ83" s="3">
        <f>SUM(FJ74:FJ82)</f>
        <v>0</v>
      </c>
      <c r="FK83" s="3"/>
      <c r="FL83" s="3">
        <f>SUM(FL74:FL82)</f>
        <v>1</v>
      </c>
      <c r="FM83" s="3"/>
      <c r="FN83" s="3">
        <f>SUM(FN74:FN82)</f>
        <v>6</v>
      </c>
      <c r="FO83" s="3"/>
      <c r="FP83" s="3">
        <f>SUM(FP74:FP82)</f>
        <v>2</v>
      </c>
      <c r="FQ83" s="3"/>
      <c r="FR83" s="3">
        <f>SUM(FR74:FR82)</f>
        <v>0</v>
      </c>
      <c r="FS83" s="3"/>
      <c r="FT83" s="3">
        <f>SUM(FT74:FT82)</f>
        <v>3</v>
      </c>
      <c r="FU83" s="3"/>
      <c r="FV83" s="3">
        <f>SUM(FV74:FV82)</f>
        <v>6</v>
      </c>
      <c r="FW83" s="3"/>
      <c r="FX83" s="3">
        <f>SUM(FX74:FX82)</f>
        <v>0</v>
      </c>
      <c r="FY83" s="3"/>
      <c r="FZ83" s="83">
        <f t="shared" ref="FZ83:GB83" si="2021">AVERAGE(FZ74:FZ82)</f>
        <v>1</v>
      </c>
      <c r="GA83" s="83">
        <f t="shared" si="2021"/>
        <v>1.4</v>
      </c>
      <c r="GB83" s="83">
        <f t="shared" si="2021"/>
        <v>1</v>
      </c>
      <c r="GC83" s="17">
        <f>SUM(GC74:GC82)</f>
        <v>35.5</v>
      </c>
      <c r="GD83" s="18"/>
      <c r="GE83" s="3">
        <f>SUM(GE74:GE82)</f>
        <v>55</v>
      </c>
      <c r="GF83" s="3"/>
      <c r="GG83" s="3">
        <f>SUM(GG74:GG82)</f>
        <v>18</v>
      </c>
      <c r="GH83" s="3"/>
      <c r="GI83" s="3">
        <f>SUM(GI74:GI82)</f>
        <v>0</v>
      </c>
      <c r="GJ83" s="3"/>
      <c r="GK83" s="3">
        <f>SUM(GK74:GK82)</f>
        <v>0</v>
      </c>
      <c r="GL83" s="3"/>
      <c r="GM83" s="3"/>
      <c r="GN83" s="3">
        <f>SUM(GN74:GN82)</f>
        <v>0</v>
      </c>
      <c r="GO83" s="3"/>
      <c r="GP83" s="3">
        <f>SUM(GP74:GP82)</f>
        <v>0</v>
      </c>
      <c r="GQ83" s="3"/>
      <c r="GR83" s="3">
        <f>SUM(GR74:GR82)</f>
        <v>3</v>
      </c>
      <c r="GS83" s="3"/>
      <c r="GT83" s="3">
        <f>SUM(GT74:GT82)</f>
        <v>6</v>
      </c>
      <c r="GU83" s="3"/>
      <c r="GV83" s="3">
        <f>SUM(GV74:GV82)</f>
        <v>0</v>
      </c>
      <c r="GW83" s="3"/>
      <c r="GX83" s="3">
        <f>SUM(GX74:GX82)</f>
        <v>0</v>
      </c>
      <c r="GY83" s="3"/>
      <c r="GZ83" s="3">
        <f>SUM(GZ74:GZ82)</f>
        <v>9</v>
      </c>
      <c r="HA83" s="3"/>
      <c r="HB83" s="3">
        <f>SUM(HB74:HB82)</f>
        <v>0</v>
      </c>
      <c r="HC83" s="3"/>
      <c r="HD83" s="83">
        <f t="shared" ref="HD83:HF83" si="2022">AVERAGE(HD74:HD82)</f>
        <v>2.5</v>
      </c>
      <c r="HE83" s="83">
        <f t="shared" si="2022"/>
        <v>1.4</v>
      </c>
      <c r="HF83" s="83">
        <f t="shared" si="2022"/>
        <v>3.5</v>
      </c>
      <c r="HG83" s="17">
        <f>SUM(HG74:HG82)</f>
        <v>39</v>
      </c>
      <c r="HH83" s="18"/>
      <c r="HI83" s="3">
        <f>SUM(HI74:HI82)</f>
        <v>43</v>
      </c>
      <c r="HJ83" s="3"/>
      <c r="HK83" s="3">
        <f>SUM(HK74:HK82)</f>
        <v>15</v>
      </c>
      <c r="HL83" s="3"/>
      <c r="HM83" s="3">
        <f>SUM(HM74:HM82)</f>
        <v>3</v>
      </c>
      <c r="HN83" s="3"/>
      <c r="HO83" s="3">
        <f>SUM(HO74:HO82)</f>
        <v>1</v>
      </c>
      <c r="HP83" s="3"/>
      <c r="HQ83" s="3"/>
      <c r="HR83" s="3">
        <f>SUM(HR74:HR82)</f>
        <v>1</v>
      </c>
      <c r="HS83" s="3"/>
      <c r="HT83" s="3">
        <f>SUM(HT74:HT82)</f>
        <v>3</v>
      </c>
      <c r="HU83" s="3"/>
      <c r="HV83" s="3">
        <f>SUM(HV74:HV82)</f>
        <v>3</v>
      </c>
      <c r="HW83" s="3"/>
      <c r="HX83" s="3">
        <f>SUM(HX74:HX82)</f>
        <v>2</v>
      </c>
      <c r="HY83" s="3"/>
      <c r="HZ83" s="3">
        <f>SUM(HZ74:HZ82)</f>
        <v>0</v>
      </c>
      <c r="IA83" s="3"/>
      <c r="IB83" s="3">
        <f>SUM(IB74:IB82)</f>
        <v>3</v>
      </c>
      <c r="IC83" s="3"/>
      <c r="ID83" s="3">
        <f>SUM(ID74:ID82)</f>
        <v>6</v>
      </c>
      <c r="IE83" s="3"/>
      <c r="IF83" s="3">
        <f>SUM(IF74:IF82)</f>
        <v>0</v>
      </c>
      <c r="IG83" s="3"/>
      <c r="IH83" s="83">
        <f t="shared" ref="IH83:IJ83" si="2023">AVERAGE(IH74:IH82)</f>
        <v>1</v>
      </c>
      <c r="II83" s="83">
        <f t="shared" si="2023"/>
        <v>0.4</v>
      </c>
      <c r="IJ83" s="83">
        <f t="shared" si="2023"/>
        <v>1.5</v>
      </c>
      <c r="IK83" s="17">
        <f>SUM(IK74:IK82)</f>
        <v>35</v>
      </c>
      <c r="IL83" s="18"/>
      <c r="IM83" s="3">
        <f>SUM(IM74:IM82)</f>
        <v>62</v>
      </c>
      <c r="IN83" s="3"/>
      <c r="IO83" s="3">
        <f>SUM(IO74:IO82)</f>
        <v>20</v>
      </c>
      <c r="IP83" s="3"/>
      <c r="IQ83" s="3">
        <f>SUM(IQ74:IQ82)</f>
        <v>1</v>
      </c>
      <c r="IR83" s="3"/>
      <c r="IS83" s="3">
        <f>SUM(IS74:IS82)</f>
        <v>0</v>
      </c>
      <c r="IT83" s="3"/>
      <c r="IU83" s="3"/>
      <c r="IV83" s="3">
        <f>SUM(IV74:IV82)</f>
        <v>0</v>
      </c>
      <c r="IW83" s="3"/>
      <c r="IX83" s="3">
        <f>SUM(IX74:IX82)</f>
        <v>0</v>
      </c>
      <c r="IY83" s="3"/>
      <c r="IZ83" s="3">
        <f>SUM(IZ74:IZ82)</f>
        <v>2</v>
      </c>
      <c r="JA83" s="3"/>
      <c r="JB83" s="3">
        <f>SUM(JB74:JB82)</f>
        <v>7</v>
      </c>
      <c r="JC83" s="3"/>
      <c r="JD83" s="3">
        <f>SUM(JD74:JD82)</f>
        <v>0</v>
      </c>
      <c r="JE83" s="3"/>
      <c r="JF83" s="3">
        <f>SUM(JF74:JF82)</f>
        <v>0</v>
      </c>
      <c r="JG83" s="3"/>
      <c r="JH83" s="3">
        <f>SUM(JH74:JH82)</f>
        <v>7</v>
      </c>
      <c r="JI83" s="3"/>
      <c r="JJ83" s="3">
        <f>SUM(JJ74:JJ82)</f>
        <v>2</v>
      </c>
      <c r="JK83" s="3"/>
      <c r="JL83" s="83">
        <f t="shared" ref="JL83:JN83" si="2024">AVERAGE(JL74:JL82)</f>
        <v>1</v>
      </c>
      <c r="JM83" s="83">
        <f t="shared" si="2024"/>
        <v>3.6</v>
      </c>
      <c r="JN83" s="83">
        <f t="shared" si="2024"/>
        <v>3</v>
      </c>
      <c r="JO83" s="17">
        <f>SUM(JO74:JO82)</f>
        <v>40.999999999999986</v>
      </c>
      <c r="JP83" s="18"/>
      <c r="JQ83" s="16">
        <v>59</v>
      </c>
      <c r="JR83" s="3"/>
      <c r="JS83" s="3">
        <v>21</v>
      </c>
      <c r="JT83" s="3"/>
      <c r="JU83" s="3">
        <f>SUM(JU74:JU82)</f>
        <v>9</v>
      </c>
      <c r="JV83" s="3"/>
      <c r="JW83" s="3">
        <f>SUM(JW74:JW82)</f>
        <v>0</v>
      </c>
      <c r="JX83" s="3"/>
      <c r="JY83" s="3"/>
      <c r="JZ83" s="3">
        <f>SUM(JZ74:JZ82)</f>
        <v>0</v>
      </c>
      <c r="KA83" s="3"/>
      <c r="KB83" s="3">
        <f>SUM(KB74:KB82)</f>
        <v>0</v>
      </c>
      <c r="KC83" s="3"/>
      <c r="KD83" s="3">
        <f>SUM(KD74:KD82)</f>
        <v>0</v>
      </c>
      <c r="KE83" s="3"/>
      <c r="KF83" s="3">
        <f>SUM(KF74:KF82)</f>
        <v>0</v>
      </c>
      <c r="KG83" s="3"/>
      <c r="KH83" s="3">
        <f>SUM(KH74:KH82)</f>
        <v>9</v>
      </c>
      <c r="KI83" s="3"/>
      <c r="KJ83" s="3">
        <f>SUM(KJ74:KJ82)</f>
        <v>0</v>
      </c>
      <c r="KK83" s="3"/>
      <c r="KL83" s="3">
        <f>SUM(KL74:KL82)</f>
        <v>0</v>
      </c>
      <c r="KM83" s="3"/>
      <c r="KN83" s="3">
        <f>SUM(KN74:KN82)</f>
        <v>0</v>
      </c>
      <c r="KO83" s="3"/>
      <c r="KP83" s="83">
        <f t="shared" ref="KP83:KR83" si="2025">AVERAGE(KP74:KP82)</f>
        <v>-3</v>
      </c>
      <c r="KQ83" s="83">
        <f t="shared" si="2025"/>
        <v>-4</v>
      </c>
      <c r="KR83" s="83">
        <f t="shared" si="2025"/>
        <v>-5</v>
      </c>
      <c r="KS83" s="17" t="e">
        <f>SUM(KS74:KS82)</f>
        <v>#REF!</v>
      </c>
      <c r="KT83" s="18"/>
    </row>
    <row r="84" spans="1:306" ht="13.2" x14ac:dyDescent="0.25">
      <c r="A84" s="179"/>
      <c r="B84" s="175" t="s">
        <v>26</v>
      </c>
      <c r="C84" s="7">
        <v>10</v>
      </c>
      <c r="D84" s="2">
        <f>D82+1</f>
        <v>64</v>
      </c>
      <c r="E84" s="7">
        <v>4</v>
      </c>
      <c r="F84" s="8">
        <f>E84+F82</f>
        <v>256</v>
      </c>
      <c r="G84" s="55">
        <v>4</v>
      </c>
      <c r="H84" s="9">
        <f>G84+H82</f>
        <v>310</v>
      </c>
      <c r="I84" s="55">
        <v>2</v>
      </c>
      <c r="J84" s="9">
        <f>I84+J82</f>
        <v>121</v>
      </c>
      <c r="K84" s="9">
        <f t="shared" ref="K84:K92" si="2026">IF(G84-I84&lt;=$E84-2,1,0)</f>
        <v>1</v>
      </c>
      <c r="L84" s="9">
        <f>K84+L82</f>
        <v>20</v>
      </c>
      <c r="M84" s="9">
        <f t="shared" ref="M84:M92" si="2027">IF(K84=0,IF(G84=$E84,1,0),0)</f>
        <v>0</v>
      </c>
      <c r="N84" s="9">
        <f>M84+N82</f>
        <v>10</v>
      </c>
      <c r="O84" s="9"/>
      <c r="P84" s="9">
        <f t="shared" ref="P84:P92" si="2028">IF($E84-G84=1,1,0)</f>
        <v>0</v>
      </c>
      <c r="Q84" s="9">
        <f>P84+Q82</f>
        <v>3</v>
      </c>
      <c r="R84" s="9">
        <f t="shared" ref="R84:R92" si="2029">IF(G84=$E84,1,0)</f>
        <v>1</v>
      </c>
      <c r="S84" s="9">
        <f>R84+S82</f>
        <v>5</v>
      </c>
      <c r="T84" s="9">
        <f t="shared" ref="T84:T92" si="2030">IF(G84-$E84=1,1,0)</f>
        <v>0</v>
      </c>
      <c r="U84" s="9">
        <f>T84+U82</f>
        <v>3</v>
      </c>
      <c r="V84" s="9">
        <f t="shared" ref="V84:V92" si="2031">IF(G84-$E84&gt;=2,1,0)</f>
        <v>0</v>
      </c>
      <c r="W84" s="9">
        <f>V84+W82</f>
        <v>2</v>
      </c>
      <c r="X84" s="9">
        <f t="shared" ref="X84:X92" si="2032">IF(I84=0,1,0)</f>
        <v>0</v>
      </c>
      <c r="Y84" s="9">
        <f>X84+Y82</f>
        <v>0</v>
      </c>
      <c r="Z84" s="9">
        <f t="shared" ref="Z84:Z92" si="2033">IF(I84=1,1,0)</f>
        <v>0</v>
      </c>
      <c r="AA84" s="9">
        <f>Z84+AA82</f>
        <v>13</v>
      </c>
      <c r="AB84" s="9">
        <f t="shared" ref="AB84:AB92" si="2034">IF(I84=2,1,0)</f>
        <v>1</v>
      </c>
      <c r="AC84" s="9">
        <f>AB84+AC82</f>
        <v>5</v>
      </c>
      <c r="AD84" s="9">
        <f t="shared" ref="AD84:AD92" si="2035">IF(I84&gt;=3,1,0)</f>
        <v>0</v>
      </c>
      <c r="AE84" s="9">
        <f>AD84+AE82</f>
        <v>9</v>
      </c>
      <c r="AF84" s="2"/>
      <c r="AG84" s="2">
        <f>IF($E84=4,G84-4,NA())</f>
        <v>0</v>
      </c>
      <c r="AH84" s="9"/>
      <c r="AI84" s="10">
        <f>G84-'Zusammenfassung Tag1-4'!$B$2/18</f>
        <v>3.1666666666666665</v>
      </c>
      <c r="AJ84" s="11">
        <f>AI84+AJ82</f>
        <v>256.6666666666664</v>
      </c>
      <c r="AK84" s="52">
        <v>5</v>
      </c>
      <c r="AL84" s="9">
        <f>AK84+AL82</f>
        <v>309</v>
      </c>
      <c r="AM84" s="55">
        <v>2</v>
      </c>
      <c r="AN84" s="9">
        <f>AM84+AN82</f>
        <v>116</v>
      </c>
      <c r="AO84" s="9">
        <f t="shared" ref="AO84:AO92" si="2036">IF(AK84-AM84&lt;=$E84-2,1,0)</f>
        <v>0</v>
      </c>
      <c r="AP84" s="9">
        <f>AO84+AP82</f>
        <v>27</v>
      </c>
      <c r="AQ84" s="9">
        <f t="shared" ref="AQ84:AQ92" si="2037">IF(AO84=0,IF(AK84=$E84,1,0),0)</f>
        <v>0</v>
      </c>
      <c r="AR84" s="9">
        <f>AQ84+AR82</f>
        <v>10</v>
      </c>
      <c r="AS84" s="9"/>
      <c r="AT84" s="9">
        <f t="shared" ref="AT84:AT92" si="2038">IF($E84-AK84=1,1,0)</f>
        <v>0</v>
      </c>
      <c r="AU84" s="9">
        <f>AT84+AU82</f>
        <v>0</v>
      </c>
      <c r="AV84" s="9">
        <f>IF(AK84=$E84,1,0)</f>
        <v>0</v>
      </c>
      <c r="AW84" s="9">
        <f>AV84+AW82</f>
        <v>6</v>
      </c>
      <c r="AX84" s="9">
        <f>IF(AK84-$E84=1,1,0)</f>
        <v>1</v>
      </c>
      <c r="AY84" s="9">
        <f>AX84+AY82</f>
        <v>2</v>
      </c>
      <c r="AZ84" s="9">
        <f>IF(AK84-$E84&gt;=2,1,0)</f>
        <v>0</v>
      </c>
      <c r="BA84" s="9">
        <f>AZ84+BA82</f>
        <v>2</v>
      </c>
      <c r="BB84" s="9">
        <f>IF(AM84=0,1,0)</f>
        <v>0</v>
      </c>
      <c r="BC84" s="9">
        <f>BB84+BC82</f>
        <v>0</v>
      </c>
      <c r="BD84" s="9">
        <f t="shared" ref="BD84:BD92" si="2039">IF(AM84=1,1,0)</f>
        <v>0</v>
      </c>
      <c r="BE84" s="9">
        <f>BD84+BE82</f>
        <v>17</v>
      </c>
      <c r="BF84" s="9">
        <f>IF(AM84=2,1,0)</f>
        <v>1</v>
      </c>
      <c r="BG84" s="9">
        <f>BF84+BG82</f>
        <v>6</v>
      </c>
      <c r="BH84" s="9">
        <f t="shared" ref="BH84:BH92" si="2040">IF(AM84&gt;=3,1,0)</f>
        <v>0</v>
      </c>
      <c r="BI84" s="9">
        <f>BH84+BI82</f>
        <v>5</v>
      </c>
      <c r="BJ84" s="2"/>
      <c r="BK84" s="2">
        <f t="shared" ref="BK84:BK88" si="2041">IF($E84=4,AK84-4,NA())</f>
        <v>1</v>
      </c>
      <c r="BL84" s="9"/>
      <c r="BM84" s="10">
        <f>AK84-'Zusammenfassung Tag1-4'!$C$2/18</f>
        <v>4.4444444444444446</v>
      </c>
      <c r="BN84" s="11">
        <f>BM84+BN82</f>
        <v>273.44444444444485</v>
      </c>
      <c r="BO84" s="52">
        <v>7</v>
      </c>
      <c r="BP84" s="9">
        <f>BO84+BP82</f>
        <v>370</v>
      </c>
      <c r="BQ84" s="55">
        <v>3</v>
      </c>
      <c r="BR84" s="9">
        <f>BQ84+BR82</f>
        <v>143</v>
      </c>
      <c r="BS84" s="9">
        <f t="shared" ref="BS84:BS92" si="2042">IF(BO84-BQ84&lt;=$E84-2,1,0)</f>
        <v>0</v>
      </c>
      <c r="BT84" s="9">
        <f>BS84+BT82</f>
        <v>12</v>
      </c>
      <c r="BU84" s="9">
        <f t="shared" ref="BU84:BU92" si="2043">IF(BS84=0,IF(BO84=$E84,1,0),0)</f>
        <v>0</v>
      </c>
      <c r="BV84" s="9">
        <f>BU84+BV82</f>
        <v>0</v>
      </c>
      <c r="BW84" s="9"/>
      <c r="BX84" s="9">
        <f t="shared" ref="BX84:BX92" si="2044">IF($E84-BO84=1,1,0)</f>
        <v>0</v>
      </c>
      <c r="BY84" s="9">
        <f>BX84+BY82</f>
        <v>0</v>
      </c>
      <c r="BZ84" s="9">
        <f>IF(BO84=$E84,1,0)</f>
        <v>0</v>
      </c>
      <c r="CA84" s="9">
        <f>BZ84+CA82</f>
        <v>2</v>
      </c>
      <c r="CB84" s="9">
        <f>IF(BO84-$E84=1,1,0)</f>
        <v>0</v>
      </c>
      <c r="CC84" s="9">
        <f>CB84+CC82</f>
        <v>6</v>
      </c>
      <c r="CD84" s="9">
        <f>IF(BO84-$E84&gt;=2,1,0)</f>
        <v>1</v>
      </c>
      <c r="CE84" s="9">
        <f>CD84+CE82</f>
        <v>2</v>
      </c>
      <c r="CF84" s="9">
        <f>IF(BQ84=0,1,0)</f>
        <v>0</v>
      </c>
      <c r="CG84" s="9">
        <f>CF84+CG82</f>
        <v>0</v>
      </c>
      <c r="CH84" s="9">
        <f t="shared" ref="CH84:CH92" si="2045">IF(BQ84=1,1,0)</f>
        <v>0</v>
      </c>
      <c r="CI84" s="9">
        <f>CH84+CI82</f>
        <v>2</v>
      </c>
      <c r="CJ84" s="9">
        <f>IF(BQ84=2,1,0)</f>
        <v>0</v>
      </c>
      <c r="CK84" s="9">
        <f>CJ84+CK82</f>
        <v>9</v>
      </c>
      <c r="CL84" s="9">
        <f t="shared" ref="CL84:CL92" si="2046">IF(BQ84&gt;=3,1,0)</f>
        <v>1</v>
      </c>
      <c r="CM84" s="9">
        <f>CL84+CM82</f>
        <v>17</v>
      </c>
      <c r="CN84" s="2"/>
      <c r="CO84" s="2">
        <f t="shared" ref="CO84:CO88" si="2047">IF($E84=4,BO84-4,NA())</f>
        <v>3</v>
      </c>
      <c r="CP84" s="9"/>
      <c r="CQ84" s="10">
        <f>BO84-'Zusammenfassung Tag1-4'!$D$2/18</f>
        <v>5.9444444444444446</v>
      </c>
      <c r="CR84" s="11">
        <f>CQ84+CR82</f>
        <v>302.44444444444485</v>
      </c>
      <c r="CS84" s="52">
        <v>4</v>
      </c>
      <c r="CT84" s="9">
        <f>CS84+CT82</f>
        <v>333</v>
      </c>
      <c r="CU84" s="55">
        <v>2</v>
      </c>
      <c r="CV84" s="9">
        <f>CU84+CV82</f>
        <v>133</v>
      </c>
      <c r="CW84" s="9">
        <f t="shared" ref="CW84:CW92" si="2048">IF(CS84-CU84&lt;=$E84-2,1,0)</f>
        <v>1</v>
      </c>
      <c r="CX84" s="9">
        <f>CW84+CX82</f>
        <v>19</v>
      </c>
      <c r="CY84" s="9">
        <f t="shared" ref="CY84:CY92" si="2049">IF(CW84=0,IF(CS84=$E84,1,0),0)</f>
        <v>0</v>
      </c>
      <c r="CZ84" s="9">
        <f>CY84+CZ82</f>
        <v>6</v>
      </c>
      <c r="DA84" s="9"/>
      <c r="DB84" s="9">
        <f t="shared" ref="DB84:DB92" si="2050">IF($E84-CS84=1,1,0)</f>
        <v>0</v>
      </c>
      <c r="DC84" s="9">
        <f>DB84+DC82</f>
        <v>0</v>
      </c>
      <c r="DD84" s="9">
        <f>IF(CS84=$E84,1,0)</f>
        <v>1</v>
      </c>
      <c r="DE84" s="9">
        <f>DD84+DE82</f>
        <v>2</v>
      </c>
      <c r="DF84" s="9">
        <f>IF(CS84-$E84=1,1,0)</f>
        <v>0</v>
      </c>
      <c r="DG84" s="9">
        <f>DF84+DG82</f>
        <v>4</v>
      </c>
      <c r="DH84" s="9">
        <f>IF(CS84-$E84&gt;=2,1,0)</f>
        <v>0</v>
      </c>
      <c r="DI84" s="9">
        <f>DH84+DI82</f>
        <v>4</v>
      </c>
      <c r="DJ84" s="9">
        <f>IF(CU84=0,1,0)</f>
        <v>0</v>
      </c>
      <c r="DK84" s="9">
        <f>DJ84+DK82</f>
        <v>0</v>
      </c>
      <c r="DL84" s="9">
        <f t="shared" ref="DL84:DL92" si="2051">IF(CU84=1,1,0)</f>
        <v>0</v>
      </c>
      <c r="DM84" s="9">
        <f>DL84+DM82</f>
        <v>12</v>
      </c>
      <c r="DN84" s="9">
        <f>IF(CU84=2,1,0)</f>
        <v>1</v>
      </c>
      <c r="DO84" s="9">
        <f>DN84+DO82</f>
        <v>7</v>
      </c>
      <c r="DP84" s="9">
        <f t="shared" ref="DP84:DP92" si="2052">IF(CU84&gt;=3,1,0)</f>
        <v>0</v>
      </c>
      <c r="DQ84" s="9">
        <f>DP84+DQ82</f>
        <v>16</v>
      </c>
      <c r="DR84" s="2"/>
      <c r="DS84" s="2">
        <f t="shared" ref="DS84:DS88" si="2053">IF($E84=4,CS84-4,NA())</f>
        <v>0</v>
      </c>
      <c r="DT84" s="9"/>
      <c r="DU84" s="10">
        <f>CS84-'Zusammenfassung Tag1-4'!$E$2/18</f>
        <v>3</v>
      </c>
      <c r="DV84" s="12">
        <f>DU84+DV82</f>
        <v>269</v>
      </c>
      <c r="DW84" s="55">
        <v>7</v>
      </c>
      <c r="DX84" s="9">
        <v>132</v>
      </c>
      <c r="DY84" s="55">
        <v>2</v>
      </c>
      <c r="DZ84" s="9">
        <f>DY84+DZ82</f>
        <v>141</v>
      </c>
      <c r="EA84" s="9">
        <f t="shared" ref="EA84:EA92" si="2054">IF(DW84-DY84&lt;=$E84-2,1,0)</f>
        <v>0</v>
      </c>
      <c r="EB84" s="9">
        <f>EA84+EB82</f>
        <v>0</v>
      </c>
      <c r="EC84" s="9">
        <f t="shared" ref="EC84:EC92" si="2055">IF(EA84=0,IF(DW84=$E84,1,0),0)</f>
        <v>0</v>
      </c>
      <c r="ED84" s="9">
        <f>EC84+ED82</f>
        <v>1</v>
      </c>
      <c r="EE84" s="9"/>
      <c r="EF84" s="9">
        <f t="shared" ref="EF84:EF92" si="2056">IF($E84-DW84=1,1,0)</f>
        <v>0</v>
      </c>
      <c r="EG84" s="9">
        <f>EF84+EG82</f>
        <v>0</v>
      </c>
      <c r="EH84" s="9">
        <f>IF(DW84=$E84,1,0)</f>
        <v>0</v>
      </c>
      <c r="EI84" s="9">
        <f>EH84+EI82</f>
        <v>0</v>
      </c>
      <c r="EJ84" s="9">
        <f>IF(DW84-$E84=1,1,0)</f>
        <v>0</v>
      </c>
      <c r="EK84" s="9">
        <f>EJ84+EK82</f>
        <v>4</v>
      </c>
      <c r="EL84" s="9">
        <f>IF(DW84-$E84&gt;=2,1,0)</f>
        <v>1</v>
      </c>
      <c r="EM84" s="9">
        <f>EL84+EM82</f>
        <v>6</v>
      </c>
      <c r="EN84" s="9">
        <f>IF(DY84=0,1,0)</f>
        <v>0</v>
      </c>
      <c r="EO84" s="9">
        <f>EN84+EO82</f>
        <v>0</v>
      </c>
      <c r="EP84" s="9">
        <f t="shared" ref="EP84:EP92" si="2057">IF(DY84=1,1,0)</f>
        <v>0</v>
      </c>
      <c r="EQ84" s="9">
        <f>EP84+EQ82</f>
        <v>6</v>
      </c>
      <c r="ER84" s="9">
        <f>IF(DY84=2,1,0)</f>
        <v>1</v>
      </c>
      <c r="ES84" s="9">
        <f>ER84+ES82</f>
        <v>7</v>
      </c>
      <c r="ET84" s="9">
        <f t="shared" ref="ET84:ET92" si="2058">IF(DY84&gt;=3,1,0)</f>
        <v>0</v>
      </c>
      <c r="EU84" s="9">
        <f>ET84+EU82</f>
        <v>18</v>
      </c>
      <c r="EV84" s="2"/>
      <c r="EW84" s="2">
        <f t="shared" ref="EW84:EW86" si="2059">IF($E84=4,DW84-4,NA())</f>
        <v>3</v>
      </c>
      <c r="EX84" s="9"/>
      <c r="EY84" s="10">
        <f>DW84-'Zusammenfassung Tag1-4'!$F$2/18</f>
        <v>4.5</v>
      </c>
      <c r="EZ84" s="12">
        <f>EY84+EZ82</f>
        <v>273</v>
      </c>
      <c r="FA84" s="52">
        <v>4</v>
      </c>
      <c r="FB84" s="9">
        <v>359</v>
      </c>
      <c r="FC84" s="55">
        <v>2</v>
      </c>
      <c r="FD84" s="9">
        <f>FC84+FD82</f>
        <v>122</v>
      </c>
      <c r="FE84" s="9">
        <f t="shared" ref="FE84:FE92" si="2060">IF(FA84-FC84&lt;=$E84-2,1,0)</f>
        <v>1</v>
      </c>
      <c r="FF84" s="9">
        <f>FE84+FF82</f>
        <v>12</v>
      </c>
      <c r="FG84" s="9">
        <f t="shared" ref="FG84:FG92" si="2061">IF(FE84=0,IF(FA84=$E84,1,0),0)</f>
        <v>0</v>
      </c>
      <c r="FH84" s="9">
        <f>FG84+FH82</f>
        <v>4</v>
      </c>
      <c r="FI84" s="9"/>
      <c r="FJ84" s="9">
        <f t="shared" ref="FJ84:FJ92" si="2062">IF($E84-FA84=1,1,0)</f>
        <v>0</v>
      </c>
      <c r="FK84" s="9">
        <f>FJ84+FK82</f>
        <v>0</v>
      </c>
      <c r="FL84" s="9">
        <f>IF(FA84=$E84,1,0)</f>
        <v>1</v>
      </c>
      <c r="FM84" s="9">
        <f>FL84+FM82</f>
        <v>2</v>
      </c>
      <c r="FN84" s="9">
        <f>IF(FA84-$E84=1,1,0)</f>
        <v>0</v>
      </c>
      <c r="FO84" s="9">
        <f>FN84+FO82</f>
        <v>6</v>
      </c>
      <c r="FP84" s="9">
        <f>IF(FA84-$E84&gt;=2,1,0)</f>
        <v>0</v>
      </c>
      <c r="FQ84" s="9">
        <f>FP84+FQ82</f>
        <v>2</v>
      </c>
      <c r="FR84" s="9">
        <f>IF(FC84=0,1,0)</f>
        <v>0</v>
      </c>
      <c r="FS84" s="9">
        <f>FR84+FS82</f>
        <v>0</v>
      </c>
      <c r="FT84" s="9">
        <f t="shared" ref="FT84:FT92" si="2063">IF(FC84=1,1,0)</f>
        <v>0</v>
      </c>
      <c r="FU84" s="9">
        <f>FT84+FU82</f>
        <v>18</v>
      </c>
      <c r="FV84" s="9">
        <f>IF(FC84=2,1,0)</f>
        <v>1</v>
      </c>
      <c r="FW84" s="9">
        <f>FV84+FW82</f>
        <v>7</v>
      </c>
      <c r="FX84" s="9">
        <f t="shared" ref="FX84:FX92" si="2064">IF(FC84&gt;=3,1,0)</f>
        <v>0</v>
      </c>
      <c r="FY84" s="9">
        <f>FX84+FY82</f>
        <v>12</v>
      </c>
      <c r="FZ84" s="2"/>
      <c r="GA84" s="2">
        <f t="shared" ref="GA84:GA88" si="2065">IF($E84=4,FA84-4,NA())</f>
        <v>0</v>
      </c>
      <c r="GB84" s="9"/>
      <c r="GC84" s="10">
        <f>FA84-'Zusammenfassung Tag1-4'!$G$2/18</f>
        <v>2.7222222222222223</v>
      </c>
      <c r="GD84" s="12">
        <f>GC84+GD82</f>
        <v>266.22222222222251</v>
      </c>
      <c r="GE84" s="52">
        <v>5</v>
      </c>
      <c r="GF84" s="9">
        <v>458</v>
      </c>
      <c r="GG84" s="55">
        <v>1</v>
      </c>
      <c r="GH84" s="9">
        <f>GG84+GH82</f>
        <v>133</v>
      </c>
      <c r="GI84" s="9">
        <f t="shared" ref="GI84:GI92" si="2066">IF(GE84-GG84&lt;=$E84-2,1,0)</f>
        <v>0</v>
      </c>
      <c r="GJ84" s="9">
        <f>GI84+GJ82</f>
        <v>1</v>
      </c>
      <c r="GK84" s="9">
        <f t="shared" ref="GK84:GK92" si="2067">IF(GI84=0,IF(GE84=$E84,1,0),0)</f>
        <v>0</v>
      </c>
      <c r="GL84" s="9">
        <f>GK84+GL82</f>
        <v>1</v>
      </c>
      <c r="GM84" s="9"/>
      <c r="GN84" s="9">
        <f t="shared" ref="GN84:GN92" si="2068">IF($E84-GE84=1,1,0)</f>
        <v>0</v>
      </c>
      <c r="GO84" s="9">
        <f>GN84+GO82</f>
        <v>0</v>
      </c>
      <c r="GP84" s="9">
        <f>IF(GE84=$E84,1,0)</f>
        <v>0</v>
      </c>
      <c r="GQ84" s="9">
        <f>GP84+GQ82</f>
        <v>0</v>
      </c>
      <c r="GR84" s="9">
        <f>IF(GE84-$E84=1,1,0)</f>
        <v>1</v>
      </c>
      <c r="GS84" s="9">
        <f>GR84+GS82</f>
        <v>4</v>
      </c>
      <c r="GT84" s="9">
        <f>IF(GE84-$E84&gt;=2,1,0)</f>
        <v>0</v>
      </c>
      <c r="GU84" s="9">
        <f>GT84+GU82</f>
        <v>6</v>
      </c>
      <c r="GV84" s="9">
        <f>IF(GG84=0,1,0)</f>
        <v>0</v>
      </c>
      <c r="GW84" s="9">
        <f>GV84+GW82</f>
        <v>0</v>
      </c>
      <c r="GX84" s="9">
        <f t="shared" ref="GX84:GX92" si="2069">IF(GG84=1,1,0)</f>
        <v>1</v>
      </c>
      <c r="GY84" s="9">
        <f>GX84+GY82</f>
        <v>7</v>
      </c>
      <c r="GZ84" s="9">
        <f>IF(GG84=2,1,0)</f>
        <v>0</v>
      </c>
      <c r="HA84" s="9">
        <f>GZ84+HA82</f>
        <v>9</v>
      </c>
      <c r="HB84" s="9">
        <f t="shared" ref="HB84:HB92" si="2070">IF(GG84&gt;=3,1,0)</f>
        <v>0</v>
      </c>
      <c r="HC84" s="9">
        <f>HB84+HC82</f>
        <v>12</v>
      </c>
      <c r="HD84" s="2"/>
      <c r="HE84" s="2">
        <f t="shared" ref="HE84:HE88" si="2071">IF($E84=4,GE84-4,NA())</f>
        <v>1</v>
      </c>
      <c r="HF84" s="9"/>
      <c r="HG84" s="10">
        <f>GE84-'Zusammenfassung Tag1-4'!$H$2/18</f>
        <v>3.2222222222222223</v>
      </c>
      <c r="HH84" s="12">
        <f>HG84+HH82</f>
        <v>302.22222222222251</v>
      </c>
      <c r="HI84" s="52">
        <v>5</v>
      </c>
      <c r="HJ84" s="9">
        <v>339</v>
      </c>
      <c r="HK84" s="55">
        <v>2</v>
      </c>
      <c r="HL84" s="9">
        <f>HK84+HL82</f>
        <v>119</v>
      </c>
      <c r="HM84" s="9">
        <f t="shared" ref="HM84:HM92" si="2072">IF(HI84-HK84&lt;=$E84-2,1,0)</f>
        <v>0</v>
      </c>
      <c r="HN84" s="9">
        <f>HM84+HN82</f>
        <v>13</v>
      </c>
      <c r="HO84" s="9">
        <f t="shared" ref="HO84:HO92" si="2073">IF(HM84=0,IF(HI84=$E84,1,0),0)</f>
        <v>0</v>
      </c>
      <c r="HP84" s="9">
        <f>HO84+HP82</f>
        <v>8</v>
      </c>
      <c r="HQ84" s="9"/>
      <c r="HR84" s="9">
        <f t="shared" ref="HR84:HR92" si="2074">IF($E84-HI84=1,1,0)</f>
        <v>0</v>
      </c>
      <c r="HS84" s="9">
        <f>HR84+HS82</f>
        <v>1</v>
      </c>
      <c r="HT84" s="9">
        <f>IF(HI84=$E84,1,0)</f>
        <v>0</v>
      </c>
      <c r="HU84" s="9">
        <f>HT84+HU82</f>
        <v>3</v>
      </c>
      <c r="HV84" s="9">
        <f>IF(HI84-$E84=1,1,0)</f>
        <v>1</v>
      </c>
      <c r="HW84" s="9">
        <f>HV84+HW82</f>
        <v>4</v>
      </c>
      <c r="HX84" s="9">
        <f>IF(HI84-$E84&gt;=2,1,0)</f>
        <v>0</v>
      </c>
      <c r="HY84" s="9">
        <f>HX84+HY82</f>
        <v>2</v>
      </c>
      <c r="HZ84" s="9">
        <f>IF(HK84=0,1,0)</f>
        <v>0</v>
      </c>
      <c r="IA84" s="9">
        <f>HZ84+IA82</f>
        <v>0</v>
      </c>
      <c r="IB84" s="9">
        <f t="shared" ref="IB84:IB92" si="2075">IF(HK84=1,1,0)</f>
        <v>0</v>
      </c>
      <c r="IC84" s="9">
        <f>IB84+IC82</f>
        <v>16</v>
      </c>
      <c r="ID84" s="9">
        <f>IF(HK84=2,1,0)</f>
        <v>1</v>
      </c>
      <c r="IE84" s="9">
        <f>ID84+IE82</f>
        <v>7</v>
      </c>
      <c r="IF84" s="9">
        <f t="shared" ref="IF84:IF92" si="2076">IF(HK84&gt;=3,1,0)</f>
        <v>0</v>
      </c>
      <c r="IG84" s="9">
        <f>IF84+IG82</f>
        <v>9</v>
      </c>
      <c r="IH84" s="2"/>
      <c r="II84" s="2">
        <f t="shared" ref="II84:II88" si="2077">IF($E84=4,HI84-4,NA())</f>
        <v>1</v>
      </c>
      <c r="IJ84" s="9"/>
      <c r="IK84" s="10">
        <f>HI84-'Zusammenfassung Tag1-4'!$I$2/18</f>
        <v>4.1111111111111107</v>
      </c>
      <c r="IL84" s="12">
        <f>IK84+IL82</f>
        <v>276.11111111111114</v>
      </c>
      <c r="IM84" s="52">
        <v>7</v>
      </c>
      <c r="IN84" s="9">
        <v>73</v>
      </c>
      <c r="IO84" s="55">
        <v>3</v>
      </c>
      <c r="IP84" s="9">
        <f>IO84+IP82</f>
        <v>152</v>
      </c>
      <c r="IQ84" s="9">
        <f t="shared" ref="IQ84:IQ92" si="2078">IF(IM84-IO84&lt;=$E84-2,1,0)</f>
        <v>0</v>
      </c>
      <c r="IR84" s="9">
        <f>IQ84+IR82</f>
        <v>8</v>
      </c>
      <c r="IS84" s="9">
        <f t="shared" ref="IS84:IS92" si="2079">IF(IQ84=0,IF(IM84=$E84,1,0),0)</f>
        <v>0</v>
      </c>
      <c r="IT84" s="9">
        <f>IS84+IT82</f>
        <v>1</v>
      </c>
      <c r="IU84" s="9"/>
      <c r="IV84" s="9">
        <f t="shared" ref="IV84:IV92" si="2080">IF($E84-IM84=1,1,0)</f>
        <v>0</v>
      </c>
      <c r="IW84" s="9">
        <f>IV84+IW82</f>
        <v>0</v>
      </c>
      <c r="IX84" s="9">
        <f>IF(IM84=$E84,1,0)</f>
        <v>0</v>
      </c>
      <c r="IY84" s="9">
        <f>IX84+IY82</f>
        <v>0</v>
      </c>
      <c r="IZ84" s="9">
        <f>IF(IM84-$E84=1,1,0)</f>
        <v>0</v>
      </c>
      <c r="JA84" s="9">
        <f>IZ84+JA82</f>
        <v>2</v>
      </c>
      <c r="JB84" s="9">
        <f>IF(IM84-$E84&gt;=2,1,0)</f>
        <v>1</v>
      </c>
      <c r="JC84" s="9">
        <f>JB84+JC82</f>
        <v>8</v>
      </c>
      <c r="JD84" s="9">
        <f>IF(IO84=0,1,0)</f>
        <v>0</v>
      </c>
      <c r="JE84" s="9">
        <f>JD84+JE82</f>
        <v>0</v>
      </c>
      <c r="JF84" s="9">
        <f t="shared" ref="JF84:JF92" si="2081">IF(IO84=1,1,0)</f>
        <v>0</v>
      </c>
      <c r="JG84" s="9">
        <f>JF84+JG82</f>
        <v>8</v>
      </c>
      <c r="JH84" s="9">
        <f>IF(IO84=2,1,0)</f>
        <v>0</v>
      </c>
      <c r="JI84" s="9">
        <f>JH84+JI82</f>
        <v>7</v>
      </c>
      <c r="JJ84" s="9">
        <f t="shared" ref="JJ84:JJ92" si="2082">IF(IO84&gt;=3,1,0)</f>
        <v>1</v>
      </c>
      <c r="JK84" s="9">
        <f>JJ84+JK82</f>
        <v>25</v>
      </c>
      <c r="JL84" s="2"/>
      <c r="JM84" s="2">
        <f t="shared" ref="JM84:JM88" si="2083">IF($E84=4,IM84-4,NA())</f>
        <v>3</v>
      </c>
      <c r="JN84" s="9"/>
      <c r="JO84" s="10">
        <f>IM84-'Zusammenfassung Tag1-4'!$J$2/18</f>
        <v>4.6666666666666661</v>
      </c>
      <c r="JP84" s="12">
        <f>JO84+JP82</f>
        <v>291.66666666666663</v>
      </c>
      <c r="JQ84" s="52"/>
      <c r="JR84" s="9"/>
      <c r="JS84" s="55"/>
      <c r="JT84" s="9">
        <f>JS84+JT82</f>
        <v>0</v>
      </c>
      <c r="JU84" s="9">
        <f t="shared" ref="JU84:JU92" si="2084">IF(JQ84-JS84&lt;=$E84-2,1,0)</f>
        <v>1</v>
      </c>
      <c r="JV84" s="9">
        <f>JU84+JV82</f>
        <v>64</v>
      </c>
      <c r="JW84" s="9">
        <f t="shared" ref="JW84:JW92" si="2085">IF(JU84=0,IF(JQ84=$E84,1,0),0)</f>
        <v>0</v>
      </c>
      <c r="JX84" s="9">
        <f>JW84+JX82</f>
        <v>0</v>
      </c>
      <c r="JY84" s="9"/>
      <c r="JZ84" s="9">
        <f t="shared" ref="JZ84:JZ92" si="2086">IF($E84-JQ84=1,1,0)</f>
        <v>0</v>
      </c>
      <c r="KA84" s="9">
        <f>JZ84+KA82</f>
        <v>0</v>
      </c>
      <c r="KB84" s="9">
        <f>IF(JQ84=$E84,1,0)</f>
        <v>0</v>
      </c>
      <c r="KC84" s="9">
        <f>KB84+KC82</f>
        <v>0</v>
      </c>
      <c r="KD84" s="9">
        <f>IF(JQ84-$E84=1,1,0)</f>
        <v>0</v>
      </c>
      <c r="KE84" s="9">
        <f>KD84+KE82</f>
        <v>0</v>
      </c>
      <c r="KF84" s="9">
        <f>IF(JQ84-$E84&gt;=2,1,0)</f>
        <v>0</v>
      </c>
      <c r="KG84" s="9">
        <f>KF84+KG82</f>
        <v>0</v>
      </c>
      <c r="KH84" s="9">
        <f>IF(JS84=0,1,0)</f>
        <v>1</v>
      </c>
      <c r="KI84" s="9">
        <f>KH84+KI82</f>
        <v>10</v>
      </c>
      <c r="KJ84" s="9">
        <f t="shared" ref="KJ84:KJ92" si="2087">IF(JS84=1,1,0)</f>
        <v>0</v>
      </c>
      <c r="KK84" s="9">
        <f>KJ84+KK82</f>
        <v>0</v>
      </c>
      <c r="KL84" s="9">
        <f>IF(JS84=2,1,0)</f>
        <v>0</v>
      </c>
      <c r="KM84" s="9">
        <f>KL84+KM82</f>
        <v>0</v>
      </c>
      <c r="KN84" s="9">
        <f t="shared" ref="KN84:KN92" si="2088">IF(JS84&gt;=3,1,0)</f>
        <v>0</v>
      </c>
      <c r="KO84" s="9">
        <f>KN84+KO82</f>
        <v>0</v>
      </c>
      <c r="KP84" s="2"/>
      <c r="KQ84" s="2">
        <f t="shared" ref="KQ84:KQ86" si="2089">IF($E84=4,JQ84-4,NA())</f>
        <v>-4</v>
      </c>
      <c r="KR84" s="9"/>
      <c r="KS84" s="10" t="e">
        <f>JQ84-'Zusammenfassung Tag1-4'!#REF!/18</f>
        <v>#REF!</v>
      </c>
      <c r="KT84" s="12" t="e">
        <f>KS84+KT82</f>
        <v>#REF!</v>
      </c>
    </row>
    <row r="85" spans="1:306" ht="13.2" x14ac:dyDescent="0.25">
      <c r="A85" s="179"/>
      <c r="B85" s="176"/>
      <c r="C85" s="44">
        <v>11</v>
      </c>
      <c r="D85" s="2">
        <f t="shared" ref="D85:D92" si="2090">D84+1</f>
        <v>65</v>
      </c>
      <c r="E85" s="44">
        <v>4</v>
      </c>
      <c r="F85" s="4">
        <f t="shared" ref="F85:F92" si="2091">E85+F84</f>
        <v>260</v>
      </c>
      <c r="G85" s="56">
        <v>5</v>
      </c>
      <c r="H85" s="2">
        <f t="shared" ref="H85:H92" si="2092">G85+H84</f>
        <v>315</v>
      </c>
      <c r="I85" s="56">
        <v>2</v>
      </c>
      <c r="J85" s="2">
        <f t="shared" ref="J85:J92" si="2093">I85+J84</f>
        <v>123</v>
      </c>
      <c r="K85" s="2">
        <f t="shared" si="2026"/>
        <v>0</v>
      </c>
      <c r="L85" s="2">
        <f t="shared" ref="L85:L92" si="2094">K85+L84</f>
        <v>20</v>
      </c>
      <c r="M85" s="2">
        <f t="shared" si="2027"/>
        <v>0</v>
      </c>
      <c r="N85" s="2">
        <f t="shared" ref="N85:N92" si="2095">M85+N84</f>
        <v>10</v>
      </c>
      <c r="O85" s="2"/>
      <c r="P85" s="2">
        <f t="shared" si="2028"/>
        <v>0</v>
      </c>
      <c r="Q85" s="2">
        <f t="shared" ref="Q85:Q92" si="2096">P85+Q84</f>
        <v>3</v>
      </c>
      <c r="R85" s="2">
        <f t="shared" si="2029"/>
        <v>0</v>
      </c>
      <c r="S85" s="2">
        <f t="shared" ref="S85:S92" si="2097">R85+S84</f>
        <v>5</v>
      </c>
      <c r="T85" s="2">
        <f t="shared" si="2030"/>
        <v>1</v>
      </c>
      <c r="U85" s="2">
        <f t="shared" ref="U85:U92" si="2098">T85+U84</f>
        <v>4</v>
      </c>
      <c r="V85" s="2">
        <f t="shared" si="2031"/>
        <v>0</v>
      </c>
      <c r="W85" s="2">
        <f t="shared" ref="W85:W92" si="2099">V85+W84</f>
        <v>2</v>
      </c>
      <c r="X85" s="2">
        <f t="shared" si="2032"/>
        <v>0</v>
      </c>
      <c r="Y85" s="2">
        <f t="shared" ref="Y85:Y92" si="2100">X85+Y84</f>
        <v>0</v>
      </c>
      <c r="Z85" s="2">
        <f t="shared" si="2033"/>
        <v>0</v>
      </c>
      <c r="AA85" s="2">
        <f t="shared" ref="AA85:AA92" si="2101">Z85+AA84</f>
        <v>13</v>
      </c>
      <c r="AB85" s="2">
        <f t="shared" si="2034"/>
        <v>1</v>
      </c>
      <c r="AC85" s="2">
        <f t="shared" ref="AC85:AC92" si="2102">AB85+AC84</f>
        <v>6</v>
      </c>
      <c r="AD85" s="2">
        <f t="shared" si="2035"/>
        <v>0</v>
      </c>
      <c r="AE85" s="2">
        <f t="shared" ref="AE85:AE92" si="2103">AD85+AE84</f>
        <v>9</v>
      </c>
      <c r="AF85" s="2"/>
      <c r="AG85" s="2">
        <f>IF($E85=4,G85-4,NA())</f>
        <v>1</v>
      </c>
      <c r="AH85" s="2"/>
      <c r="AI85" s="41">
        <f>G85-'Zusammenfassung Tag1-4'!$B$2/18</f>
        <v>4.166666666666667</v>
      </c>
      <c r="AJ85" s="13">
        <f t="shared" ref="AJ85:AJ92" si="2104">AI85+AJ84</f>
        <v>260.83333333333309</v>
      </c>
      <c r="AK85" s="53">
        <v>3</v>
      </c>
      <c r="AL85" s="2">
        <f t="shared" ref="AL85:AL92" si="2105">AK85+AL84</f>
        <v>312</v>
      </c>
      <c r="AM85" s="56">
        <v>1</v>
      </c>
      <c r="AN85" s="2">
        <f t="shared" ref="AN85:AN92" si="2106">AM85+AN84</f>
        <v>117</v>
      </c>
      <c r="AO85" s="2">
        <f t="shared" si="2036"/>
        <v>1</v>
      </c>
      <c r="AP85" s="2">
        <f t="shared" ref="AP85:AP92" si="2107">AO85+AP84</f>
        <v>28</v>
      </c>
      <c r="AQ85" s="2">
        <f t="shared" si="2037"/>
        <v>0</v>
      </c>
      <c r="AR85" s="2">
        <f t="shared" ref="AR85:AR92" si="2108">AQ85+AR84</f>
        <v>10</v>
      </c>
      <c r="AS85" s="2"/>
      <c r="AT85" s="2">
        <f t="shared" si="2038"/>
        <v>1</v>
      </c>
      <c r="AU85" s="2">
        <f t="shared" ref="AU85:AU92" si="2109">AT85+AU84</f>
        <v>1</v>
      </c>
      <c r="AV85" s="2">
        <f t="shared" ref="AV85:AV91" si="2110">IF(AK85=$E85,1,0)</f>
        <v>0</v>
      </c>
      <c r="AW85" s="2">
        <f t="shared" ref="AW85:AW92" si="2111">AV85+AW84</f>
        <v>6</v>
      </c>
      <c r="AX85" s="2">
        <f t="shared" ref="AX85:AX92" si="2112">IF(AK85-$E85=1,1,0)</f>
        <v>0</v>
      </c>
      <c r="AY85" s="2">
        <f t="shared" ref="AY85:AY92" si="2113">AX85+AY84</f>
        <v>2</v>
      </c>
      <c r="AZ85" s="2">
        <f t="shared" ref="AZ85:AZ92" si="2114">IF(AK85-$E85&gt;=2,1,0)</f>
        <v>0</v>
      </c>
      <c r="BA85" s="2">
        <f t="shared" ref="BA85:BA92" si="2115">AZ85+BA84</f>
        <v>2</v>
      </c>
      <c r="BB85" s="2">
        <f t="shared" ref="BB85:BB92" si="2116">IF(AM85=0,1,0)</f>
        <v>0</v>
      </c>
      <c r="BC85" s="2">
        <f t="shared" ref="BC85:BC92" si="2117">BB85+BC84</f>
        <v>0</v>
      </c>
      <c r="BD85" s="2">
        <f t="shared" si="2039"/>
        <v>1</v>
      </c>
      <c r="BE85" s="2">
        <f t="shared" ref="BE85:BE92" si="2118">BD85+BE84</f>
        <v>18</v>
      </c>
      <c r="BF85" s="2">
        <f t="shared" ref="BF85:BF92" si="2119">IF(AM85=2,1,0)</f>
        <v>0</v>
      </c>
      <c r="BG85" s="2">
        <f t="shared" ref="BG85:BG92" si="2120">BF85+BG84</f>
        <v>6</v>
      </c>
      <c r="BH85" s="2">
        <f t="shared" si="2040"/>
        <v>0</v>
      </c>
      <c r="BI85" s="2">
        <f t="shared" ref="BI85:BI92" si="2121">BH85+BI84</f>
        <v>5</v>
      </c>
      <c r="BJ85" s="2"/>
      <c r="BK85" s="2">
        <f t="shared" si="2041"/>
        <v>-1</v>
      </c>
      <c r="BL85" s="2"/>
      <c r="BM85" s="41">
        <f>AK85-'Zusammenfassung Tag1-4'!$C$2/18</f>
        <v>2.4444444444444446</v>
      </c>
      <c r="BN85" s="13">
        <f t="shared" ref="BN85:BN92" si="2122">BM85+BN84</f>
        <v>275.88888888888931</v>
      </c>
      <c r="BO85" s="53">
        <v>4</v>
      </c>
      <c r="BP85" s="2">
        <f t="shared" ref="BP85:BP92" si="2123">BO85+BP84</f>
        <v>374</v>
      </c>
      <c r="BQ85" s="56">
        <v>2</v>
      </c>
      <c r="BR85" s="2">
        <f t="shared" ref="BR85:BR92" si="2124">BQ85+BR84</f>
        <v>145</v>
      </c>
      <c r="BS85" s="2">
        <f t="shared" si="2042"/>
        <v>1</v>
      </c>
      <c r="BT85" s="2">
        <f t="shared" ref="BT85:BT92" si="2125">BS85+BT84</f>
        <v>13</v>
      </c>
      <c r="BU85" s="2">
        <f t="shared" si="2043"/>
        <v>0</v>
      </c>
      <c r="BV85" s="2">
        <f t="shared" ref="BV85:BV92" si="2126">BU85+BV84</f>
        <v>0</v>
      </c>
      <c r="BW85" s="2"/>
      <c r="BX85" s="2">
        <f t="shared" si="2044"/>
        <v>0</v>
      </c>
      <c r="BY85" s="2">
        <f t="shared" ref="BY85:CG92" si="2127">BX85+BY84</f>
        <v>0</v>
      </c>
      <c r="BZ85" s="2">
        <f t="shared" ref="BZ85:BZ91" si="2128">IF(BO85=$E85,1,0)</f>
        <v>1</v>
      </c>
      <c r="CA85" s="2">
        <f t="shared" ref="CA85:CA92" si="2129">BZ85+CA84</f>
        <v>3</v>
      </c>
      <c r="CB85" s="2">
        <f t="shared" ref="CB85:CB92" si="2130">IF(BO85-$E85=1,1,0)</f>
        <v>0</v>
      </c>
      <c r="CC85" s="2">
        <f t="shared" ref="CC85:CC92" si="2131">CB85+CC84</f>
        <v>6</v>
      </c>
      <c r="CD85" s="2">
        <f t="shared" ref="CD85:CD92" si="2132">IF(BO85-$E85&gt;=2,1,0)</f>
        <v>0</v>
      </c>
      <c r="CE85" s="2">
        <f t="shared" ref="CE85:CE92" si="2133">CD85+CE84</f>
        <v>2</v>
      </c>
      <c r="CF85" s="2">
        <f t="shared" ref="CF85:CF92" si="2134">IF(BQ85=0,1,0)</f>
        <v>0</v>
      </c>
      <c r="CG85" s="2">
        <f t="shared" si="2127"/>
        <v>0</v>
      </c>
      <c r="CH85" s="2">
        <f t="shared" si="2045"/>
        <v>0</v>
      </c>
      <c r="CI85" s="2">
        <f t="shared" ref="CI85:CI92" si="2135">CH85+CI84</f>
        <v>2</v>
      </c>
      <c r="CJ85" s="2">
        <f t="shared" ref="CJ85:CJ92" si="2136">IF(BQ85=2,1,0)</f>
        <v>1</v>
      </c>
      <c r="CK85" s="2">
        <f t="shared" ref="CK85:CK92" si="2137">CJ85+CK84</f>
        <v>10</v>
      </c>
      <c r="CL85" s="2">
        <f t="shared" si="2046"/>
        <v>0</v>
      </c>
      <c r="CM85" s="2">
        <f t="shared" ref="CM85:CM92" si="2138">CL85+CM84</f>
        <v>17</v>
      </c>
      <c r="CN85" s="2"/>
      <c r="CO85" s="2">
        <f t="shared" si="2047"/>
        <v>0</v>
      </c>
      <c r="CP85" s="2"/>
      <c r="CQ85" s="41">
        <f>BO85-'Zusammenfassung Tag1-4'!$D$2/18</f>
        <v>2.9444444444444446</v>
      </c>
      <c r="CR85" s="13">
        <f t="shared" ref="CR85:CR92" si="2139">CQ85+CR84</f>
        <v>305.38888888888931</v>
      </c>
      <c r="CS85" s="53">
        <v>4</v>
      </c>
      <c r="CT85" s="2">
        <f t="shared" ref="CT85:CT92" si="2140">CS85+CT84</f>
        <v>337</v>
      </c>
      <c r="CU85" s="56">
        <v>2</v>
      </c>
      <c r="CV85" s="2">
        <f t="shared" ref="CV85:CV92" si="2141">CU85+CV84</f>
        <v>135</v>
      </c>
      <c r="CW85" s="2">
        <f t="shared" si="2048"/>
        <v>1</v>
      </c>
      <c r="CX85" s="2">
        <f t="shared" ref="CX85:CX92" si="2142">CW85+CX84</f>
        <v>20</v>
      </c>
      <c r="CY85" s="2">
        <f t="shared" si="2049"/>
        <v>0</v>
      </c>
      <c r="CZ85" s="2">
        <f t="shared" ref="CZ85:CZ92" si="2143">CY85+CZ84</f>
        <v>6</v>
      </c>
      <c r="DA85" s="2"/>
      <c r="DB85" s="2">
        <f t="shared" si="2050"/>
        <v>0</v>
      </c>
      <c r="DC85" s="2">
        <f t="shared" ref="DC85:DC92" si="2144">DB85+DC84</f>
        <v>0</v>
      </c>
      <c r="DD85" s="2">
        <f t="shared" ref="DD85:DD91" si="2145">IF(CS85=$E85,1,0)</f>
        <v>1</v>
      </c>
      <c r="DE85" s="2">
        <f t="shared" ref="DE85:DE92" si="2146">DD85+DE84</f>
        <v>3</v>
      </c>
      <c r="DF85" s="2">
        <f t="shared" ref="DF85:DF92" si="2147">IF(CS85-$E85=1,1,0)</f>
        <v>0</v>
      </c>
      <c r="DG85" s="2">
        <f t="shared" ref="DG85:DG92" si="2148">DF85+DG84</f>
        <v>4</v>
      </c>
      <c r="DH85" s="2">
        <f t="shared" ref="DH85:DH92" si="2149">IF(CS85-$E85&gt;=2,1,0)</f>
        <v>0</v>
      </c>
      <c r="DI85" s="2">
        <f t="shared" ref="DI85:DI92" si="2150">DH85+DI84</f>
        <v>4</v>
      </c>
      <c r="DJ85" s="2">
        <f t="shared" ref="DJ85:DJ92" si="2151">IF(CU85=0,1,0)</f>
        <v>0</v>
      </c>
      <c r="DK85" s="2">
        <f t="shared" ref="DK85:DK92" si="2152">DJ85+DK84</f>
        <v>0</v>
      </c>
      <c r="DL85" s="2">
        <f t="shared" si="2051"/>
        <v>0</v>
      </c>
      <c r="DM85" s="2">
        <f t="shared" ref="DM85:DM92" si="2153">DL85+DM84</f>
        <v>12</v>
      </c>
      <c r="DN85" s="2">
        <f t="shared" ref="DN85:DN92" si="2154">IF(CU85=2,1,0)</f>
        <v>1</v>
      </c>
      <c r="DO85" s="2">
        <f t="shared" ref="DO85:DO92" si="2155">DN85+DO84</f>
        <v>8</v>
      </c>
      <c r="DP85" s="2">
        <f t="shared" si="2052"/>
        <v>0</v>
      </c>
      <c r="DQ85" s="2">
        <f t="shared" ref="DQ85:DQ92" si="2156">DP85+DQ84</f>
        <v>16</v>
      </c>
      <c r="DR85" s="2"/>
      <c r="DS85" s="2">
        <f t="shared" si="2053"/>
        <v>0</v>
      </c>
      <c r="DT85" s="2"/>
      <c r="DU85" s="41">
        <f>CS85-'Zusammenfassung Tag1-4'!$E$2/18</f>
        <v>3</v>
      </c>
      <c r="DV85" s="14">
        <f t="shared" ref="DV85:DV92" si="2157">DU85+DV84</f>
        <v>272</v>
      </c>
      <c r="DW85" s="56">
        <v>7</v>
      </c>
      <c r="DX85" s="2">
        <v>136</v>
      </c>
      <c r="DY85" s="56">
        <v>2</v>
      </c>
      <c r="DZ85" s="2">
        <f t="shared" ref="DZ85:DZ92" si="2158">DY85+DZ84</f>
        <v>143</v>
      </c>
      <c r="EA85" s="2">
        <f t="shared" si="2054"/>
        <v>0</v>
      </c>
      <c r="EB85" s="2">
        <f t="shared" ref="EB85:EB92" si="2159">EA85+EB84</f>
        <v>0</v>
      </c>
      <c r="EC85" s="2">
        <f t="shared" si="2055"/>
        <v>0</v>
      </c>
      <c r="ED85" s="2">
        <f t="shared" ref="ED85:ED92" si="2160">EC85+ED84</f>
        <v>1</v>
      </c>
      <c r="EE85" s="2"/>
      <c r="EF85" s="2">
        <f t="shared" si="2056"/>
        <v>0</v>
      </c>
      <c r="EG85" s="2">
        <f t="shared" ref="EG85:EG92" si="2161">EF85+EG84</f>
        <v>0</v>
      </c>
      <c r="EH85" s="2">
        <f t="shared" ref="EH85:EH91" si="2162">IF(DW85=$E85,1,0)</f>
        <v>0</v>
      </c>
      <c r="EI85" s="2">
        <f t="shared" ref="EI85:EI92" si="2163">EH85+EI84</f>
        <v>0</v>
      </c>
      <c r="EJ85" s="2">
        <f t="shared" ref="EJ85:EJ92" si="2164">IF(DW85-$E85=1,1,0)</f>
        <v>0</v>
      </c>
      <c r="EK85" s="2">
        <f t="shared" ref="EK85:EK92" si="2165">EJ85+EK84</f>
        <v>4</v>
      </c>
      <c r="EL85" s="2">
        <f t="shared" ref="EL85:EL92" si="2166">IF(DW85-$E85&gt;=2,1,0)</f>
        <v>1</v>
      </c>
      <c r="EM85" s="2">
        <f t="shared" ref="EM85:EM92" si="2167">EL85+EM84</f>
        <v>7</v>
      </c>
      <c r="EN85" s="2">
        <f t="shared" ref="EN85:EN92" si="2168">IF(DY85=0,1,0)</f>
        <v>0</v>
      </c>
      <c r="EO85" s="2">
        <f t="shared" ref="EO85:EO92" si="2169">EN85+EO84</f>
        <v>0</v>
      </c>
      <c r="EP85" s="2">
        <f t="shared" si="2057"/>
        <v>0</v>
      </c>
      <c r="EQ85" s="2">
        <f t="shared" ref="EQ85:EQ92" si="2170">EP85+EQ84</f>
        <v>6</v>
      </c>
      <c r="ER85" s="2">
        <f t="shared" ref="ER85:ER92" si="2171">IF(DY85=2,1,0)</f>
        <v>1</v>
      </c>
      <c r="ES85" s="2">
        <f t="shared" ref="ES85:ES92" si="2172">ER85+ES84</f>
        <v>8</v>
      </c>
      <c r="ET85" s="2">
        <f t="shared" si="2058"/>
        <v>0</v>
      </c>
      <c r="EU85" s="2">
        <f t="shared" ref="EU85:EU92" si="2173">ET85+EU84</f>
        <v>18</v>
      </c>
      <c r="EV85" s="2"/>
      <c r="EW85" s="2">
        <f t="shared" si="2059"/>
        <v>3</v>
      </c>
      <c r="EX85" s="2"/>
      <c r="EY85" s="41">
        <f>DW85-'Zusammenfassung Tag1-4'!$F$2/18</f>
        <v>4.5</v>
      </c>
      <c r="EZ85" s="14">
        <f t="shared" ref="EZ85:EZ92" si="2174">EY85+EZ84</f>
        <v>277.5</v>
      </c>
      <c r="FA85" s="53">
        <v>4</v>
      </c>
      <c r="FB85" s="2">
        <v>366</v>
      </c>
      <c r="FC85" s="56">
        <v>1</v>
      </c>
      <c r="FD85" s="2">
        <f t="shared" ref="FD85:FD92" si="2175">FC85+FD84</f>
        <v>123</v>
      </c>
      <c r="FE85" s="2">
        <f t="shared" si="2060"/>
        <v>0</v>
      </c>
      <c r="FF85" s="2">
        <f t="shared" ref="FF85:FF92" si="2176">FE85+FF84</f>
        <v>12</v>
      </c>
      <c r="FG85" s="2">
        <f t="shared" si="2061"/>
        <v>1</v>
      </c>
      <c r="FH85" s="2">
        <f t="shared" ref="FH85:FH92" si="2177">FG85+FH84</f>
        <v>5</v>
      </c>
      <c r="FI85" s="2"/>
      <c r="FJ85" s="2">
        <f t="shared" si="2062"/>
        <v>0</v>
      </c>
      <c r="FK85" s="2">
        <f t="shared" ref="FK85:FK92" si="2178">FJ85+FK84</f>
        <v>0</v>
      </c>
      <c r="FL85" s="2">
        <f t="shared" ref="FL85:FL91" si="2179">IF(FA85=$E85,1,0)</f>
        <v>1</v>
      </c>
      <c r="FM85" s="2">
        <f t="shared" ref="FM85:FM92" si="2180">FL85+FM84</f>
        <v>3</v>
      </c>
      <c r="FN85" s="2">
        <f t="shared" ref="FN85:FN92" si="2181">IF(FA85-$E85=1,1,0)</f>
        <v>0</v>
      </c>
      <c r="FO85" s="2">
        <f t="shared" ref="FO85:FO92" si="2182">FN85+FO84</f>
        <v>6</v>
      </c>
      <c r="FP85" s="2">
        <f t="shared" ref="FP85:FP92" si="2183">IF(FA85-$E85&gt;=2,1,0)</f>
        <v>0</v>
      </c>
      <c r="FQ85" s="2">
        <f t="shared" ref="FQ85:FQ92" si="2184">FP85+FQ84</f>
        <v>2</v>
      </c>
      <c r="FR85" s="2">
        <f t="shared" ref="FR85:FR92" si="2185">IF(FC85=0,1,0)</f>
        <v>0</v>
      </c>
      <c r="FS85" s="2">
        <f t="shared" ref="FS85:FS92" si="2186">FR85+FS84</f>
        <v>0</v>
      </c>
      <c r="FT85" s="2">
        <f t="shared" si="2063"/>
        <v>1</v>
      </c>
      <c r="FU85" s="2">
        <f t="shared" ref="FU85:FU92" si="2187">FT85+FU84</f>
        <v>19</v>
      </c>
      <c r="FV85" s="2">
        <f t="shared" ref="FV85:FV92" si="2188">IF(FC85=2,1,0)</f>
        <v>0</v>
      </c>
      <c r="FW85" s="2">
        <f t="shared" ref="FW85:FW92" si="2189">FV85+FW84</f>
        <v>7</v>
      </c>
      <c r="FX85" s="2">
        <f t="shared" si="2064"/>
        <v>0</v>
      </c>
      <c r="FY85" s="2">
        <f t="shared" ref="FY85:FY92" si="2190">FX85+FY84</f>
        <v>12</v>
      </c>
      <c r="FZ85" s="2"/>
      <c r="GA85" s="2">
        <f t="shared" si="2065"/>
        <v>0</v>
      </c>
      <c r="GB85" s="2"/>
      <c r="GC85" s="41">
        <f>FA85-'Zusammenfassung Tag1-4'!$G$2/18</f>
        <v>2.7222222222222223</v>
      </c>
      <c r="GD85" s="14">
        <f t="shared" ref="GD85:GD92" si="2191">GC85+GD84</f>
        <v>268.94444444444474</v>
      </c>
      <c r="GE85" s="53">
        <v>5</v>
      </c>
      <c r="GF85" s="2">
        <v>466</v>
      </c>
      <c r="GG85" s="56">
        <v>2</v>
      </c>
      <c r="GH85" s="2">
        <f t="shared" ref="GH85:GH92" si="2192">GG85+GH84</f>
        <v>135</v>
      </c>
      <c r="GI85" s="2">
        <f t="shared" si="2066"/>
        <v>0</v>
      </c>
      <c r="GJ85" s="2">
        <f t="shared" ref="GJ85:GJ92" si="2193">GI85+GJ84</f>
        <v>1</v>
      </c>
      <c r="GK85" s="2">
        <f t="shared" si="2067"/>
        <v>0</v>
      </c>
      <c r="GL85" s="2">
        <f t="shared" ref="GL85:GL92" si="2194">GK85+GL84</f>
        <v>1</v>
      </c>
      <c r="GM85" s="2"/>
      <c r="GN85" s="2">
        <f t="shared" si="2068"/>
        <v>0</v>
      </c>
      <c r="GO85" s="2">
        <f t="shared" ref="GO85:GO92" si="2195">GN85+GO84</f>
        <v>0</v>
      </c>
      <c r="GP85" s="2">
        <f t="shared" ref="GP85:GP91" si="2196">IF(GE85=$E85,1,0)</f>
        <v>0</v>
      </c>
      <c r="GQ85" s="2">
        <f t="shared" ref="GQ85:GQ92" si="2197">GP85+GQ84</f>
        <v>0</v>
      </c>
      <c r="GR85" s="2">
        <f t="shared" ref="GR85:GR92" si="2198">IF(GE85-$E85=1,1,0)</f>
        <v>1</v>
      </c>
      <c r="GS85" s="2">
        <f t="shared" ref="GS85:GS92" si="2199">GR85+GS84</f>
        <v>5</v>
      </c>
      <c r="GT85" s="2">
        <f t="shared" ref="GT85:GT92" si="2200">IF(GE85-$E85&gt;=2,1,0)</f>
        <v>0</v>
      </c>
      <c r="GU85" s="2">
        <f t="shared" ref="GU85:GU92" si="2201">GT85+GU84</f>
        <v>6</v>
      </c>
      <c r="GV85" s="2">
        <f t="shared" ref="GV85:GV92" si="2202">IF(GG85=0,1,0)</f>
        <v>0</v>
      </c>
      <c r="GW85" s="2">
        <f t="shared" ref="GW85:GW92" si="2203">GV85+GW84</f>
        <v>0</v>
      </c>
      <c r="GX85" s="2">
        <f t="shared" si="2069"/>
        <v>0</v>
      </c>
      <c r="GY85" s="2">
        <f t="shared" ref="GY85:GY92" si="2204">GX85+GY84</f>
        <v>7</v>
      </c>
      <c r="GZ85" s="2">
        <f t="shared" ref="GZ85:GZ92" si="2205">IF(GG85=2,1,0)</f>
        <v>1</v>
      </c>
      <c r="HA85" s="2">
        <f t="shared" ref="HA85:HA92" si="2206">GZ85+HA84</f>
        <v>10</v>
      </c>
      <c r="HB85" s="2">
        <f t="shared" si="2070"/>
        <v>0</v>
      </c>
      <c r="HC85" s="2">
        <f t="shared" ref="HC85:HC92" si="2207">HB85+HC84</f>
        <v>12</v>
      </c>
      <c r="HD85" s="2"/>
      <c r="HE85" s="2">
        <f t="shared" si="2071"/>
        <v>1</v>
      </c>
      <c r="HF85" s="2"/>
      <c r="HG85" s="41">
        <f>GE85-'Zusammenfassung Tag1-4'!$H$2/18</f>
        <v>3.2222222222222223</v>
      </c>
      <c r="HH85" s="14">
        <f t="shared" ref="HH85:HH92" si="2208">HG85+HH84</f>
        <v>305.44444444444474</v>
      </c>
      <c r="HI85" s="53">
        <v>4</v>
      </c>
      <c r="HJ85" s="2">
        <v>342</v>
      </c>
      <c r="HK85" s="56">
        <v>1</v>
      </c>
      <c r="HL85" s="2">
        <f t="shared" ref="HL85:HL92" si="2209">HK85+HL84</f>
        <v>120</v>
      </c>
      <c r="HM85" s="2">
        <f t="shared" si="2072"/>
        <v>0</v>
      </c>
      <c r="HN85" s="2">
        <f t="shared" ref="HN85:HN92" si="2210">HM85+HN84</f>
        <v>13</v>
      </c>
      <c r="HO85" s="2">
        <f t="shared" si="2073"/>
        <v>1</v>
      </c>
      <c r="HP85" s="2">
        <f t="shared" ref="HP85:HP92" si="2211">HO85+HP84</f>
        <v>9</v>
      </c>
      <c r="HQ85" s="2"/>
      <c r="HR85" s="2">
        <f t="shared" si="2074"/>
        <v>0</v>
      </c>
      <c r="HS85" s="2">
        <f t="shared" ref="HS85:HS92" si="2212">HR85+HS84</f>
        <v>1</v>
      </c>
      <c r="HT85" s="2">
        <f t="shared" ref="HT85:HT91" si="2213">IF(HI85=$E85,1,0)</f>
        <v>1</v>
      </c>
      <c r="HU85" s="2">
        <f t="shared" ref="HU85:HU92" si="2214">HT85+HU84</f>
        <v>4</v>
      </c>
      <c r="HV85" s="2">
        <f t="shared" ref="HV85:HV92" si="2215">IF(HI85-$E85=1,1,0)</f>
        <v>0</v>
      </c>
      <c r="HW85" s="2">
        <f t="shared" ref="HW85:HW92" si="2216">HV85+HW84</f>
        <v>4</v>
      </c>
      <c r="HX85" s="2">
        <f t="shared" ref="HX85:HX92" si="2217">IF(HI85-$E85&gt;=2,1,0)</f>
        <v>0</v>
      </c>
      <c r="HY85" s="2">
        <f t="shared" ref="HY85:HY92" si="2218">HX85+HY84</f>
        <v>2</v>
      </c>
      <c r="HZ85" s="2">
        <f t="shared" ref="HZ85:HZ92" si="2219">IF(HK85=0,1,0)</f>
        <v>0</v>
      </c>
      <c r="IA85" s="2">
        <f t="shared" ref="IA85:IA92" si="2220">HZ85+IA84</f>
        <v>0</v>
      </c>
      <c r="IB85" s="2">
        <f t="shared" si="2075"/>
        <v>1</v>
      </c>
      <c r="IC85" s="2">
        <f t="shared" ref="IC85:IC92" si="2221">IB85+IC84</f>
        <v>17</v>
      </c>
      <c r="ID85" s="2">
        <f t="shared" ref="ID85:ID92" si="2222">IF(HK85=2,1,0)</f>
        <v>0</v>
      </c>
      <c r="IE85" s="2">
        <f t="shared" ref="IE85:IE92" si="2223">ID85+IE84</f>
        <v>7</v>
      </c>
      <c r="IF85" s="2">
        <f t="shared" si="2076"/>
        <v>0</v>
      </c>
      <c r="IG85" s="2">
        <f t="shared" ref="IG85:IG92" si="2224">IF85+IG84</f>
        <v>9</v>
      </c>
      <c r="IH85" s="2"/>
      <c r="II85" s="2">
        <f t="shared" si="2077"/>
        <v>0</v>
      </c>
      <c r="IJ85" s="2"/>
      <c r="IK85" s="41">
        <f>HI85-'Zusammenfassung Tag1-4'!$I$2/18</f>
        <v>3.1111111111111112</v>
      </c>
      <c r="IL85" s="14">
        <f t="shared" ref="IL85:IL92" si="2225">IK85+IL84</f>
        <v>279.22222222222223</v>
      </c>
      <c r="IM85" s="53">
        <v>7</v>
      </c>
      <c r="IN85" s="2">
        <v>79</v>
      </c>
      <c r="IO85" s="56">
        <v>2</v>
      </c>
      <c r="IP85" s="2">
        <f t="shared" ref="IP85:IP92" si="2226">IO85+IP84</f>
        <v>154</v>
      </c>
      <c r="IQ85" s="2">
        <f t="shared" si="2078"/>
        <v>0</v>
      </c>
      <c r="IR85" s="2">
        <f t="shared" ref="IR85:IR92" si="2227">IQ85+IR84</f>
        <v>8</v>
      </c>
      <c r="IS85" s="2">
        <f t="shared" si="2079"/>
        <v>0</v>
      </c>
      <c r="IT85" s="2">
        <f t="shared" ref="IT85:IT92" si="2228">IS85+IT84</f>
        <v>1</v>
      </c>
      <c r="IU85" s="2"/>
      <c r="IV85" s="2">
        <f t="shared" si="2080"/>
        <v>0</v>
      </c>
      <c r="IW85" s="2">
        <f t="shared" ref="IW85:IW92" si="2229">IV85+IW84</f>
        <v>0</v>
      </c>
      <c r="IX85" s="2">
        <f t="shared" ref="IX85:IX91" si="2230">IF(IM85=$E85,1,0)</f>
        <v>0</v>
      </c>
      <c r="IY85" s="2">
        <f t="shared" ref="IY85:IY92" si="2231">IX85+IY84</f>
        <v>0</v>
      </c>
      <c r="IZ85" s="2">
        <f t="shared" ref="IZ85:IZ92" si="2232">IF(IM85-$E85=1,1,0)</f>
        <v>0</v>
      </c>
      <c r="JA85" s="2">
        <f t="shared" ref="JA85:JA92" si="2233">IZ85+JA84</f>
        <v>2</v>
      </c>
      <c r="JB85" s="2">
        <f t="shared" ref="JB85:JB92" si="2234">IF(IM85-$E85&gt;=2,1,0)</f>
        <v>1</v>
      </c>
      <c r="JC85" s="2">
        <f t="shared" ref="JC85:JC92" si="2235">JB85+JC84</f>
        <v>9</v>
      </c>
      <c r="JD85" s="2">
        <f t="shared" ref="JD85:JD92" si="2236">IF(IO85=0,1,0)</f>
        <v>0</v>
      </c>
      <c r="JE85" s="2">
        <f t="shared" ref="JE85:JE92" si="2237">JD85+JE84</f>
        <v>0</v>
      </c>
      <c r="JF85" s="2">
        <f t="shared" si="2081"/>
        <v>0</v>
      </c>
      <c r="JG85" s="2">
        <f t="shared" ref="JG85:JG92" si="2238">JF85+JG84</f>
        <v>8</v>
      </c>
      <c r="JH85" s="2">
        <f t="shared" ref="JH85:JH92" si="2239">IF(IO85=2,1,0)</f>
        <v>1</v>
      </c>
      <c r="JI85" s="2">
        <f t="shared" ref="JI85:JI92" si="2240">JH85+JI84</f>
        <v>8</v>
      </c>
      <c r="JJ85" s="2">
        <f t="shared" si="2082"/>
        <v>0</v>
      </c>
      <c r="JK85" s="2">
        <f t="shared" ref="JK85:JK92" si="2241">JJ85+JK84</f>
        <v>25</v>
      </c>
      <c r="JL85" s="2"/>
      <c r="JM85" s="2">
        <f t="shared" si="2083"/>
        <v>3</v>
      </c>
      <c r="JN85" s="2"/>
      <c r="JO85" s="41">
        <f>IM85-'Zusammenfassung Tag1-4'!$J$2/18</f>
        <v>4.6666666666666661</v>
      </c>
      <c r="JP85" s="14">
        <f t="shared" ref="JP85:JP92" si="2242">JO85+JP84</f>
        <v>296.33333333333331</v>
      </c>
      <c r="JQ85" s="53"/>
      <c r="JR85" s="2"/>
      <c r="JS85" s="56"/>
      <c r="JT85" s="2">
        <f t="shared" ref="JT85:JT92" si="2243">JS85+JT84</f>
        <v>0</v>
      </c>
      <c r="JU85" s="2">
        <f t="shared" si="2084"/>
        <v>1</v>
      </c>
      <c r="JV85" s="2">
        <f t="shared" ref="JV85:JV92" si="2244">JU85+JV84</f>
        <v>65</v>
      </c>
      <c r="JW85" s="2">
        <f t="shared" si="2085"/>
        <v>0</v>
      </c>
      <c r="JX85" s="2">
        <f t="shared" ref="JX85:JX92" si="2245">JW85+JX84</f>
        <v>0</v>
      </c>
      <c r="JY85" s="2"/>
      <c r="JZ85" s="2">
        <f t="shared" si="2086"/>
        <v>0</v>
      </c>
      <c r="KA85" s="2">
        <f t="shared" ref="KA85:KA92" si="2246">JZ85+KA84</f>
        <v>0</v>
      </c>
      <c r="KB85" s="2">
        <f t="shared" ref="KB85:KB91" si="2247">IF(JQ85=$E85,1,0)</f>
        <v>0</v>
      </c>
      <c r="KC85" s="2">
        <f t="shared" ref="KC85:KC92" si="2248">KB85+KC84</f>
        <v>0</v>
      </c>
      <c r="KD85" s="2">
        <f t="shared" ref="KD85:KD92" si="2249">IF(JQ85-$E85=1,1,0)</f>
        <v>0</v>
      </c>
      <c r="KE85" s="2">
        <f t="shared" ref="KE85:KE92" si="2250">KD85+KE84</f>
        <v>0</v>
      </c>
      <c r="KF85" s="2">
        <f t="shared" ref="KF85:KF92" si="2251">IF(JQ85-$E85&gt;=2,1,0)</f>
        <v>0</v>
      </c>
      <c r="KG85" s="2">
        <f t="shared" ref="KG85:KG92" si="2252">KF85+KG84</f>
        <v>0</v>
      </c>
      <c r="KH85" s="2">
        <f t="shared" ref="KH85:KH92" si="2253">IF(JS85=0,1,0)</f>
        <v>1</v>
      </c>
      <c r="KI85" s="2">
        <f t="shared" ref="KI85:KI92" si="2254">KH85+KI84</f>
        <v>11</v>
      </c>
      <c r="KJ85" s="2">
        <f t="shared" si="2087"/>
        <v>0</v>
      </c>
      <c r="KK85" s="2">
        <f t="shared" ref="KK85:KK92" si="2255">KJ85+KK84</f>
        <v>0</v>
      </c>
      <c r="KL85" s="2">
        <f t="shared" ref="KL85:KL92" si="2256">IF(JS85=2,1,0)</f>
        <v>0</v>
      </c>
      <c r="KM85" s="2">
        <f t="shared" ref="KM85:KM92" si="2257">KL85+KM84</f>
        <v>0</v>
      </c>
      <c r="KN85" s="2">
        <f t="shared" si="2088"/>
        <v>0</v>
      </c>
      <c r="KO85" s="2">
        <f t="shared" ref="KO85:KO92" si="2258">KN85+KO84</f>
        <v>0</v>
      </c>
      <c r="KP85" s="2"/>
      <c r="KQ85" s="2">
        <f t="shared" si="2089"/>
        <v>-4</v>
      </c>
      <c r="KR85" s="2"/>
      <c r="KS85" s="41" t="e">
        <f>JQ85-'Zusammenfassung Tag1-4'!#REF!/18</f>
        <v>#REF!</v>
      </c>
      <c r="KT85" s="14" t="e">
        <f t="shared" ref="KT85:KT92" si="2259">KS85+KT84</f>
        <v>#REF!</v>
      </c>
    </row>
    <row r="86" spans="1:306" ht="13.2" x14ac:dyDescent="0.25">
      <c r="A86" s="179"/>
      <c r="B86" s="176"/>
      <c r="C86" s="44">
        <v>12</v>
      </c>
      <c r="D86" s="2">
        <f t="shared" si="2090"/>
        <v>66</v>
      </c>
      <c r="E86" s="44">
        <v>4</v>
      </c>
      <c r="F86" s="4">
        <f t="shared" si="2091"/>
        <v>264</v>
      </c>
      <c r="G86" s="56">
        <v>6</v>
      </c>
      <c r="H86" s="2">
        <f t="shared" si="2092"/>
        <v>321</v>
      </c>
      <c r="I86" s="56">
        <v>2</v>
      </c>
      <c r="J86" s="2">
        <f t="shared" si="2093"/>
        <v>125</v>
      </c>
      <c r="K86" s="2">
        <f t="shared" si="2026"/>
        <v>0</v>
      </c>
      <c r="L86" s="2">
        <f t="shared" si="2094"/>
        <v>20</v>
      </c>
      <c r="M86" s="2">
        <f t="shared" si="2027"/>
        <v>0</v>
      </c>
      <c r="N86" s="2">
        <f t="shared" si="2095"/>
        <v>10</v>
      </c>
      <c r="O86" s="2"/>
      <c r="P86" s="2">
        <f t="shared" si="2028"/>
        <v>0</v>
      </c>
      <c r="Q86" s="2">
        <f t="shared" si="2096"/>
        <v>3</v>
      </c>
      <c r="R86" s="2">
        <f t="shared" si="2029"/>
        <v>0</v>
      </c>
      <c r="S86" s="2">
        <f t="shared" si="2097"/>
        <v>5</v>
      </c>
      <c r="T86" s="2">
        <f t="shared" si="2030"/>
        <v>0</v>
      </c>
      <c r="U86" s="2">
        <f t="shared" si="2098"/>
        <v>4</v>
      </c>
      <c r="V86" s="2">
        <f t="shared" si="2031"/>
        <v>1</v>
      </c>
      <c r="W86" s="2">
        <f t="shared" si="2099"/>
        <v>3</v>
      </c>
      <c r="X86" s="2">
        <f t="shared" si="2032"/>
        <v>0</v>
      </c>
      <c r="Y86" s="2">
        <f t="shared" si="2100"/>
        <v>0</v>
      </c>
      <c r="Z86" s="2">
        <f t="shared" si="2033"/>
        <v>0</v>
      </c>
      <c r="AA86" s="2">
        <f t="shared" si="2101"/>
        <v>13</v>
      </c>
      <c r="AB86" s="2">
        <f t="shared" si="2034"/>
        <v>1</v>
      </c>
      <c r="AC86" s="2">
        <f t="shared" si="2102"/>
        <v>7</v>
      </c>
      <c r="AD86" s="2">
        <f t="shared" si="2035"/>
        <v>0</v>
      </c>
      <c r="AE86" s="2">
        <f t="shared" si="2103"/>
        <v>9</v>
      </c>
      <c r="AF86" s="2"/>
      <c r="AG86" s="2">
        <f>IF($E86=4,G86-4,NA())</f>
        <v>2</v>
      </c>
      <c r="AH86" s="2"/>
      <c r="AI86" s="41">
        <f>G86-'Zusammenfassung Tag1-4'!$B$2/18</f>
        <v>5.166666666666667</v>
      </c>
      <c r="AJ86" s="13">
        <f t="shared" si="2104"/>
        <v>265.99999999999977</v>
      </c>
      <c r="AK86" s="53">
        <v>5</v>
      </c>
      <c r="AL86" s="2">
        <f t="shared" si="2105"/>
        <v>317</v>
      </c>
      <c r="AM86" s="56">
        <v>2</v>
      </c>
      <c r="AN86" s="2">
        <f t="shared" si="2106"/>
        <v>119</v>
      </c>
      <c r="AO86" s="2">
        <f t="shared" si="2036"/>
        <v>0</v>
      </c>
      <c r="AP86" s="2">
        <f t="shared" si="2107"/>
        <v>28</v>
      </c>
      <c r="AQ86" s="2">
        <f t="shared" si="2037"/>
        <v>0</v>
      </c>
      <c r="AR86" s="2">
        <f t="shared" si="2108"/>
        <v>10</v>
      </c>
      <c r="AS86" s="2"/>
      <c r="AT86" s="2">
        <f t="shared" si="2038"/>
        <v>0</v>
      </c>
      <c r="AU86" s="2">
        <f t="shared" si="2109"/>
        <v>1</v>
      </c>
      <c r="AV86" s="2">
        <f t="shared" si="2110"/>
        <v>0</v>
      </c>
      <c r="AW86" s="2">
        <f t="shared" si="2111"/>
        <v>6</v>
      </c>
      <c r="AX86" s="2">
        <f t="shared" si="2112"/>
        <v>1</v>
      </c>
      <c r="AY86" s="2">
        <f t="shared" si="2113"/>
        <v>3</v>
      </c>
      <c r="AZ86" s="2">
        <f t="shared" si="2114"/>
        <v>0</v>
      </c>
      <c r="BA86" s="2">
        <f t="shared" si="2115"/>
        <v>2</v>
      </c>
      <c r="BB86" s="2">
        <f t="shared" si="2116"/>
        <v>0</v>
      </c>
      <c r="BC86" s="2">
        <f t="shared" si="2117"/>
        <v>0</v>
      </c>
      <c r="BD86" s="2">
        <f t="shared" si="2039"/>
        <v>0</v>
      </c>
      <c r="BE86" s="2">
        <f t="shared" si="2118"/>
        <v>18</v>
      </c>
      <c r="BF86" s="2">
        <f t="shared" si="2119"/>
        <v>1</v>
      </c>
      <c r="BG86" s="2">
        <f t="shared" si="2120"/>
        <v>7</v>
      </c>
      <c r="BH86" s="2">
        <f t="shared" si="2040"/>
        <v>0</v>
      </c>
      <c r="BI86" s="2">
        <f t="shared" si="2121"/>
        <v>5</v>
      </c>
      <c r="BJ86" s="2"/>
      <c r="BK86" s="2">
        <f t="shared" si="2041"/>
        <v>1</v>
      </c>
      <c r="BL86" s="2"/>
      <c r="BM86" s="41">
        <f>AK86-'Zusammenfassung Tag1-4'!$C$2/18</f>
        <v>4.4444444444444446</v>
      </c>
      <c r="BN86" s="13">
        <f t="shared" si="2122"/>
        <v>280.33333333333377</v>
      </c>
      <c r="BO86" s="53">
        <v>5</v>
      </c>
      <c r="BP86" s="2">
        <f t="shared" si="2123"/>
        <v>379</v>
      </c>
      <c r="BQ86" s="56">
        <v>2</v>
      </c>
      <c r="BR86" s="2">
        <f t="shared" si="2124"/>
        <v>147</v>
      </c>
      <c r="BS86" s="2">
        <f t="shared" si="2042"/>
        <v>0</v>
      </c>
      <c r="BT86" s="2">
        <f t="shared" si="2125"/>
        <v>13</v>
      </c>
      <c r="BU86" s="2">
        <f t="shared" si="2043"/>
        <v>0</v>
      </c>
      <c r="BV86" s="2">
        <f t="shared" si="2126"/>
        <v>0</v>
      </c>
      <c r="BW86" s="2"/>
      <c r="BX86" s="2">
        <f t="shared" si="2044"/>
        <v>0</v>
      </c>
      <c r="BY86" s="2">
        <f t="shared" si="2127"/>
        <v>0</v>
      </c>
      <c r="BZ86" s="2">
        <f t="shared" si="2128"/>
        <v>0</v>
      </c>
      <c r="CA86" s="2">
        <f t="shared" si="2129"/>
        <v>3</v>
      </c>
      <c r="CB86" s="2">
        <f t="shared" si="2130"/>
        <v>1</v>
      </c>
      <c r="CC86" s="2">
        <f t="shared" si="2131"/>
        <v>7</v>
      </c>
      <c r="CD86" s="2">
        <f t="shared" si="2132"/>
        <v>0</v>
      </c>
      <c r="CE86" s="2">
        <f t="shared" si="2133"/>
        <v>2</v>
      </c>
      <c r="CF86" s="2">
        <f t="shared" si="2134"/>
        <v>0</v>
      </c>
      <c r="CG86" s="2">
        <f t="shared" si="2127"/>
        <v>0</v>
      </c>
      <c r="CH86" s="2">
        <f t="shared" si="2045"/>
        <v>0</v>
      </c>
      <c r="CI86" s="2">
        <f t="shared" si="2135"/>
        <v>2</v>
      </c>
      <c r="CJ86" s="2">
        <f t="shared" si="2136"/>
        <v>1</v>
      </c>
      <c r="CK86" s="2">
        <f t="shared" si="2137"/>
        <v>11</v>
      </c>
      <c r="CL86" s="2">
        <f t="shared" si="2046"/>
        <v>0</v>
      </c>
      <c r="CM86" s="2">
        <f t="shared" si="2138"/>
        <v>17</v>
      </c>
      <c r="CN86" s="2"/>
      <c r="CO86" s="2">
        <f t="shared" si="2047"/>
        <v>1</v>
      </c>
      <c r="CP86" s="2"/>
      <c r="CQ86" s="41">
        <f>BO86-'Zusammenfassung Tag1-4'!$D$2/18</f>
        <v>3.9444444444444446</v>
      </c>
      <c r="CR86" s="13">
        <f t="shared" si="2139"/>
        <v>309.33333333333377</v>
      </c>
      <c r="CS86" s="53">
        <v>4</v>
      </c>
      <c r="CT86" s="2">
        <f t="shared" si="2140"/>
        <v>341</v>
      </c>
      <c r="CU86" s="56">
        <v>2</v>
      </c>
      <c r="CV86" s="2">
        <f t="shared" si="2141"/>
        <v>137</v>
      </c>
      <c r="CW86" s="2">
        <f t="shared" si="2048"/>
        <v>1</v>
      </c>
      <c r="CX86" s="2">
        <f t="shared" si="2142"/>
        <v>21</v>
      </c>
      <c r="CY86" s="2">
        <f t="shared" si="2049"/>
        <v>0</v>
      </c>
      <c r="CZ86" s="2">
        <f t="shared" si="2143"/>
        <v>6</v>
      </c>
      <c r="DA86" s="2"/>
      <c r="DB86" s="2">
        <f t="shared" si="2050"/>
        <v>0</v>
      </c>
      <c r="DC86" s="2">
        <f t="shared" si="2144"/>
        <v>0</v>
      </c>
      <c r="DD86" s="2">
        <f t="shared" si="2145"/>
        <v>1</v>
      </c>
      <c r="DE86" s="2">
        <f t="shared" si="2146"/>
        <v>4</v>
      </c>
      <c r="DF86" s="2">
        <f t="shared" si="2147"/>
        <v>0</v>
      </c>
      <c r="DG86" s="2">
        <f t="shared" si="2148"/>
        <v>4</v>
      </c>
      <c r="DH86" s="2">
        <f t="shared" si="2149"/>
        <v>0</v>
      </c>
      <c r="DI86" s="2">
        <f t="shared" si="2150"/>
        <v>4</v>
      </c>
      <c r="DJ86" s="2">
        <f t="shared" si="2151"/>
        <v>0</v>
      </c>
      <c r="DK86" s="2">
        <f t="shared" si="2152"/>
        <v>0</v>
      </c>
      <c r="DL86" s="2">
        <f t="shared" si="2051"/>
        <v>0</v>
      </c>
      <c r="DM86" s="2">
        <f t="shared" si="2153"/>
        <v>12</v>
      </c>
      <c r="DN86" s="2">
        <f t="shared" si="2154"/>
        <v>1</v>
      </c>
      <c r="DO86" s="2">
        <f t="shared" si="2155"/>
        <v>9</v>
      </c>
      <c r="DP86" s="2">
        <f t="shared" si="2052"/>
        <v>0</v>
      </c>
      <c r="DQ86" s="2">
        <f t="shared" si="2156"/>
        <v>16</v>
      </c>
      <c r="DR86" s="2"/>
      <c r="DS86" s="2">
        <f t="shared" si="2053"/>
        <v>0</v>
      </c>
      <c r="DT86" s="2"/>
      <c r="DU86" s="41">
        <f>CS86-'Zusammenfassung Tag1-4'!$E$2/18</f>
        <v>3</v>
      </c>
      <c r="DV86" s="14">
        <f t="shared" si="2157"/>
        <v>275</v>
      </c>
      <c r="DW86" s="56">
        <v>6</v>
      </c>
      <c r="DX86" s="2">
        <v>140</v>
      </c>
      <c r="DY86" s="56">
        <v>3</v>
      </c>
      <c r="DZ86" s="2">
        <f t="shared" si="2158"/>
        <v>146</v>
      </c>
      <c r="EA86" s="2">
        <f t="shared" si="2054"/>
        <v>0</v>
      </c>
      <c r="EB86" s="2">
        <f t="shared" si="2159"/>
        <v>0</v>
      </c>
      <c r="EC86" s="2">
        <f t="shared" si="2055"/>
        <v>0</v>
      </c>
      <c r="ED86" s="2">
        <f t="shared" si="2160"/>
        <v>1</v>
      </c>
      <c r="EE86" s="2"/>
      <c r="EF86" s="2">
        <f t="shared" si="2056"/>
        <v>0</v>
      </c>
      <c r="EG86" s="2">
        <f t="shared" si="2161"/>
        <v>0</v>
      </c>
      <c r="EH86" s="2">
        <f t="shared" si="2162"/>
        <v>0</v>
      </c>
      <c r="EI86" s="2">
        <f t="shared" si="2163"/>
        <v>0</v>
      </c>
      <c r="EJ86" s="2">
        <f t="shared" si="2164"/>
        <v>0</v>
      </c>
      <c r="EK86" s="2">
        <f t="shared" si="2165"/>
        <v>4</v>
      </c>
      <c r="EL86" s="2">
        <f t="shared" si="2166"/>
        <v>1</v>
      </c>
      <c r="EM86" s="2">
        <f t="shared" si="2167"/>
        <v>8</v>
      </c>
      <c r="EN86" s="2">
        <f t="shared" si="2168"/>
        <v>0</v>
      </c>
      <c r="EO86" s="2">
        <f t="shared" si="2169"/>
        <v>0</v>
      </c>
      <c r="EP86" s="2">
        <f t="shared" si="2057"/>
        <v>0</v>
      </c>
      <c r="EQ86" s="2">
        <f t="shared" si="2170"/>
        <v>6</v>
      </c>
      <c r="ER86" s="2">
        <f t="shared" si="2171"/>
        <v>0</v>
      </c>
      <c r="ES86" s="2">
        <f t="shared" si="2172"/>
        <v>8</v>
      </c>
      <c r="ET86" s="2">
        <f t="shared" si="2058"/>
        <v>1</v>
      </c>
      <c r="EU86" s="2">
        <f t="shared" si="2173"/>
        <v>19</v>
      </c>
      <c r="EV86" s="2"/>
      <c r="EW86" s="2">
        <f t="shared" si="2059"/>
        <v>2</v>
      </c>
      <c r="EX86" s="2"/>
      <c r="EY86" s="41">
        <f>DW86-'Zusammenfassung Tag1-4'!$F$2/18</f>
        <v>3.5</v>
      </c>
      <c r="EZ86" s="14">
        <f t="shared" si="2174"/>
        <v>281</v>
      </c>
      <c r="FA86" s="53">
        <v>5</v>
      </c>
      <c r="FB86" s="2">
        <v>372</v>
      </c>
      <c r="FC86" s="56">
        <v>2</v>
      </c>
      <c r="FD86" s="2">
        <f t="shared" si="2175"/>
        <v>125</v>
      </c>
      <c r="FE86" s="2">
        <f t="shared" si="2060"/>
        <v>0</v>
      </c>
      <c r="FF86" s="2">
        <f t="shared" si="2176"/>
        <v>12</v>
      </c>
      <c r="FG86" s="2">
        <f t="shared" si="2061"/>
        <v>0</v>
      </c>
      <c r="FH86" s="2">
        <f t="shared" si="2177"/>
        <v>5</v>
      </c>
      <c r="FI86" s="2"/>
      <c r="FJ86" s="2">
        <f t="shared" si="2062"/>
        <v>0</v>
      </c>
      <c r="FK86" s="2">
        <f t="shared" si="2178"/>
        <v>0</v>
      </c>
      <c r="FL86" s="2">
        <f t="shared" si="2179"/>
        <v>0</v>
      </c>
      <c r="FM86" s="2">
        <f t="shared" si="2180"/>
        <v>3</v>
      </c>
      <c r="FN86" s="2">
        <f t="shared" si="2181"/>
        <v>1</v>
      </c>
      <c r="FO86" s="2">
        <f t="shared" si="2182"/>
        <v>7</v>
      </c>
      <c r="FP86" s="2">
        <f t="shared" si="2183"/>
        <v>0</v>
      </c>
      <c r="FQ86" s="2">
        <f t="shared" si="2184"/>
        <v>2</v>
      </c>
      <c r="FR86" s="2">
        <f t="shared" si="2185"/>
        <v>0</v>
      </c>
      <c r="FS86" s="2">
        <f t="shared" si="2186"/>
        <v>0</v>
      </c>
      <c r="FT86" s="2">
        <f t="shared" si="2063"/>
        <v>0</v>
      </c>
      <c r="FU86" s="2">
        <f t="shared" si="2187"/>
        <v>19</v>
      </c>
      <c r="FV86" s="2">
        <f t="shared" si="2188"/>
        <v>1</v>
      </c>
      <c r="FW86" s="2">
        <f t="shared" si="2189"/>
        <v>8</v>
      </c>
      <c r="FX86" s="2">
        <f t="shared" si="2064"/>
        <v>0</v>
      </c>
      <c r="FY86" s="2">
        <f t="shared" si="2190"/>
        <v>12</v>
      </c>
      <c r="FZ86" s="2"/>
      <c r="GA86" s="2">
        <f t="shared" si="2065"/>
        <v>1</v>
      </c>
      <c r="GB86" s="2"/>
      <c r="GC86" s="41">
        <f>FA86-'Zusammenfassung Tag1-4'!$G$2/18</f>
        <v>3.7222222222222223</v>
      </c>
      <c r="GD86" s="14">
        <f t="shared" si="2191"/>
        <v>272.66666666666697</v>
      </c>
      <c r="GE86" s="53">
        <v>6</v>
      </c>
      <c r="GF86" s="2">
        <v>474</v>
      </c>
      <c r="GG86" s="56">
        <v>2</v>
      </c>
      <c r="GH86" s="2">
        <f t="shared" si="2192"/>
        <v>137</v>
      </c>
      <c r="GI86" s="2">
        <f t="shared" si="2066"/>
        <v>0</v>
      </c>
      <c r="GJ86" s="2">
        <f t="shared" si="2193"/>
        <v>1</v>
      </c>
      <c r="GK86" s="2">
        <f t="shared" si="2067"/>
        <v>0</v>
      </c>
      <c r="GL86" s="2">
        <f t="shared" si="2194"/>
        <v>1</v>
      </c>
      <c r="GM86" s="2"/>
      <c r="GN86" s="2">
        <f t="shared" si="2068"/>
        <v>0</v>
      </c>
      <c r="GO86" s="2">
        <f t="shared" si="2195"/>
        <v>0</v>
      </c>
      <c r="GP86" s="2">
        <f t="shared" si="2196"/>
        <v>0</v>
      </c>
      <c r="GQ86" s="2">
        <f t="shared" si="2197"/>
        <v>0</v>
      </c>
      <c r="GR86" s="2">
        <f t="shared" si="2198"/>
        <v>0</v>
      </c>
      <c r="GS86" s="2">
        <f t="shared" si="2199"/>
        <v>5</v>
      </c>
      <c r="GT86" s="2">
        <f t="shared" si="2200"/>
        <v>1</v>
      </c>
      <c r="GU86" s="2">
        <f t="shared" si="2201"/>
        <v>7</v>
      </c>
      <c r="GV86" s="2">
        <f t="shared" si="2202"/>
        <v>0</v>
      </c>
      <c r="GW86" s="2">
        <f t="shared" si="2203"/>
        <v>0</v>
      </c>
      <c r="GX86" s="2">
        <f t="shared" si="2069"/>
        <v>0</v>
      </c>
      <c r="GY86" s="2">
        <f t="shared" si="2204"/>
        <v>7</v>
      </c>
      <c r="GZ86" s="2">
        <f t="shared" si="2205"/>
        <v>1</v>
      </c>
      <c r="HA86" s="2">
        <f t="shared" si="2206"/>
        <v>11</v>
      </c>
      <c r="HB86" s="2">
        <f t="shared" si="2070"/>
        <v>0</v>
      </c>
      <c r="HC86" s="2">
        <f t="shared" si="2207"/>
        <v>12</v>
      </c>
      <c r="HD86" s="2"/>
      <c r="HE86" s="2">
        <f t="shared" si="2071"/>
        <v>2</v>
      </c>
      <c r="HF86" s="2"/>
      <c r="HG86" s="41">
        <f>GE86-'Zusammenfassung Tag1-4'!$H$2/18</f>
        <v>4.2222222222222223</v>
      </c>
      <c r="HH86" s="14">
        <f t="shared" si="2208"/>
        <v>309.66666666666697</v>
      </c>
      <c r="HI86" s="53">
        <v>4</v>
      </c>
      <c r="HJ86" s="2">
        <v>346</v>
      </c>
      <c r="HK86" s="56">
        <v>2</v>
      </c>
      <c r="HL86" s="2">
        <f t="shared" si="2209"/>
        <v>122</v>
      </c>
      <c r="HM86" s="2">
        <f t="shared" si="2072"/>
        <v>1</v>
      </c>
      <c r="HN86" s="2">
        <f t="shared" si="2210"/>
        <v>14</v>
      </c>
      <c r="HO86" s="2">
        <f t="shared" si="2073"/>
        <v>0</v>
      </c>
      <c r="HP86" s="2">
        <f t="shared" si="2211"/>
        <v>9</v>
      </c>
      <c r="HQ86" s="2"/>
      <c r="HR86" s="2">
        <f t="shared" si="2074"/>
        <v>0</v>
      </c>
      <c r="HS86" s="2">
        <f t="shared" si="2212"/>
        <v>1</v>
      </c>
      <c r="HT86" s="2">
        <f t="shared" si="2213"/>
        <v>1</v>
      </c>
      <c r="HU86" s="2">
        <f t="shared" si="2214"/>
        <v>5</v>
      </c>
      <c r="HV86" s="2">
        <f t="shared" si="2215"/>
        <v>0</v>
      </c>
      <c r="HW86" s="2">
        <f t="shared" si="2216"/>
        <v>4</v>
      </c>
      <c r="HX86" s="2">
        <f t="shared" si="2217"/>
        <v>0</v>
      </c>
      <c r="HY86" s="2">
        <f t="shared" si="2218"/>
        <v>2</v>
      </c>
      <c r="HZ86" s="2">
        <f t="shared" si="2219"/>
        <v>0</v>
      </c>
      <c r="IA86" s="2">
        <f t="shared" si="2220"/>
        <v>0</v>
      </c>
      <c r="IB86" s="2">
        <f t="shared" si="2075"/>
        <v>0</v>
      </c>
      <c r="IC86" s="2">
        <f t="shared" si="2221"/>
        <v>17</v>
      </c>
      <c r="ID86" s="2">
        <f t="shared" si="2222"/>
        <v>1</v>
      </c>
      <c r="IE86" s="2">
        <f t="shared" si="2223"/>
        <v>8</v>
      </c>
      <c r="IF86" s="2">
        <f t="shared" si="2076"/>
        <v>0</v>
      </c>
      <c r="IG86" s="2">
        <f t="shared" si="2224"/>
        <v>9</v>
      </c>
      <c r="IH86" s="2"/>
      <c r="II86" s="2">
        <f t="shared" si="2077"/>
        <v>0</v>
      </c>
      <c r="IJ86" s="2"/>
      <c r="IK86" s="41">
        <f>HI86-'Zusammenfassung Tag1-4'!$I$2/18</f>
        <v>3.1111111111111112</v>
      </c>
      <c r="IL86" s="14">
        <f t="shared" si="2225"/>
        <v>282.33333333333331</v>
      </c>
      <c r="IM86" s="53">
        <v>7</v>
      </c>
      <c r="IN86" s="2">
        <v>86</v>
      </c>
      <c r="IO86" s="56">
        <v>2</v>
      </c>
      <c r="IP86" s="2">
        <f t="shared" si="2226"/>
        <v>156</v>
      </c>
      <c r="IQ86" s="2">
        <f t="shared" si="2078"/>
        <v>0</v>
      </c>
      <c r="IR86" s="2">
        <f t="shared" si="2227"/>
        <v>8</v>
      </c>
      <c r="IS86" s="2">
        <f t="shared" si="2079"/>
        <v>0</v>
      </c>
      <c r="IT86" s="2">
        <f t="shared" si="2228"/>
        <v>1</v>
      </c>
      <c r="IU86" s="2"/>
      <c r="IV86" s="2">
        <f t="shared" si="2080"/>
        <v>0</v>
      </c>
      <c r="IW86" s="2">
        <f t="shared" si="2229"/>
        <v>0</v>
      </c>
      <c r="IX86" s="2">
        <f t="shared" si="2230"/>
        <v>0</v>
      </c>
      <c r="IY86" s="2">
        <f t="shared" si="2231"/>
        <v>0</v>
      </c>
      <c r="IZ86" s="2">
        <f t="shared" si="2232"/>
        <v>0</v>
      </c>
      <c r="JA86" s="2">
        <f t="shared" si="2233"/>
        <v>2</v>
      </c>
      <c r="JB86" s="2">
        <f t="shared" si="2234"/>
        <v>1</v>
      </c>
      <c r="JC86" s="2">
        <f t="shared" si="2235"/>
        <v>10</v>
      </c>
      <c r="JD86" s="2">
        <f t="shared" si="2236"/>
        <v>0</v>
      </c>
      <c r="JE86" s="2">
        <f t="shared" si="2237"/>
        <v>0</v>
      </c>
      <c r="JF86" s="2">
        <f t="shared" si="2081"/>
        <v>0</v>
      </c>
      <c r="JG86" s="2">
        <f t="shared" si="2238"/>
        <v>8</v>
      </c>
      <c r="JH86" s="2">
        <f t="shared" si="2239"/>
        <v>1</v>
      </c>
      <c r="JI86" s="2">
        <f t="shared" si="2240"/>
        <v>9</v>
      </c>
      <c r="JJ86" s="2">
        <f t="shared" si="2082"/>
        <v>0</v>
      </c>
      <c r="JK86" s="2">
        <f t="shared" si="2241"/>
        <v>25</v>
      </c>
      <c r="JL86" s="2"/>
      <c r="JM86" s="2">
        <f t="shared" si="2083"/>
        <v>3</v>
      </c>
      <c r="JN86" s="2"/>
      <c r="JO86" s="41">
        <f>IM86-'Zusammenfassung Tag1-4'!$J$2/18</f>
        <v>4.6666666666666661</v>
      </c>
      <c r="JP86" s="14">
        <f t="shared" si="2242"/>
        <v>301</v>
      </c>
      <c r="JQ86" s="53"/>
      <c r="JR86" s="2"/>
      <c r="JS86" s="56"/>
      <c r="JT86" s="2">
        <f t="shared" si="2243"/>
        <v>0</v>
      </c>
      <c r="JU86" s="2">
        <f t="shared" si="2084"/>
        <v>1</v>
      </c>
      <c r="JV86" s="2">
        <f t="shared" si="2244"/>
        <v>66</v>
      </c>
      <c r="JW86" s="2">
        <f t="shared" si="2085"/>
        <v>0</v>
      </c>
      <c r="JX86" s="2">
        <f t="shared" si="2245"/>
        <v>0</v>
      </c>
      <c r="JY86" s="2"/>
      <c r="JZ86" s="2">
        <f t="shared" si="2086"/>
        <v>0</v>
      </c>
      <c r="KA86" s="2">
        <f t="shared" si="2246"/>
        <v>0</v>
      </c>
      <c r="KB86" s="2">
        <f t="shared" si="2247"/>
        <v>0</v>
      </c>
      <c r="KC86" s="2">
        <f t="shared" si="2248"/>
        <v>0</v>
      </c>
      <c r="KD86" s="2">
        <f t="shared" si="2249"/>
        <v>0</v>
      </c>
      <c r="KE86" s="2">
        <f t="shared" si="2250"/>
        <v>0</v>
      </c>
      <c r="KF86" s="2">
        <f t="shared" si="2251"/>
        <v>0</v>
      </c>
      <c r="KG86" s="2">
        <f t="shared" si="2252"/>
        <v>0</v>
      </c>
      <c r="KH86" s="2">
        <f t="shared" si="2253"/>
        <v>1</v>
      </c>
      <c r="KI86" s="2">
        <f t="shared" si="2254"/>
        <v>12</v>
      </c>
      <c r="KJ86" s="2">
        <f t="shared" si="2087"/>
        <v>0</v>
      </c>
      <c r="KK86" s="2">
        <f t="shared" si="2255"/>
        <v>0</v>
      </c>
      <c r="KL86" s="2">
        <f t="shared" si="2256"/>
        <v>0</v>
      </c>
      <c r="KM86" s="2">
        <f t="shared" si="2257"/>
        <v>0</v>
      </c>
      <c r="KN86" s="2">
        <f t="shared" si="2088"/>
        <v>0</v>
      </c>
      <c r="KO86" s="2">
        <f t="shared" si="2258"/>
        <v>0</v>
      </c>
      <c r="KP86" s="2"/>
      <c r="KQ86" s="2">
        <f t="shared" si="2089"/>
        <v>-4</v>
      </c>
      <c r="KR86" s="2"/>
      <c r="KS86" s="41" t="e">
        <f>JQ86-'Zusammenfassung Tag1-4'!#REF!/18</f>
        <v>#REF!</v>
      </c>
      <c r="KT86" s="14" t="e">
        <f t="shared" si="2259"/>
        <v>#REF!</v>
      </c>
    </row>
    <row r="87" spans="1:306" ht="13.2" x14ac:dyDescent="0.25">
      <c r="A87" s="179"/>
      <c r="B87" s="176"/>
      <c r="C87" s="44">
        <v>13</v>
      </c>
      <c r="D87" s="2">
        <f t="shared" si="2090"/>
        <v>67</v>
      </c>
      <c r="E87" s="44">
        <v>5</v>
      </c>
      <c r="F87" s="4">
        <f t="shared" si="2091"/>
        <v>269</v>
      </c>
      <c r="G87" s="56">
        <v>5</v>
      </c>
      <c r="H87" s="2">
        <f t="shared" si="2092"/>
        <v>326</v>
      </c>
      <c r="I87" s="56">
        <v>2</v>
      </c>
      <c r="J87" s="2">
        <f t="shared" si="2093"/>
        <v>127</v>
      </c>
      <c r="K87" s="2">
        <f t="shared" si="2026"/>
        <v>1</v>
      </c>
      <c r="L87" s="2">
        <f t="shared" si="2094"/>
        <v>21</v>
      </c>
      <c r="M87" s="2">
        <f t="shared" si="2027"/>
        <v>0</v>
      </c>
      <c r="N87" s="2">
        <f t="shared" si="2095"/>
        <v>10</v>
      </c>
      <c r="O87" s="2"/>
      <c r="P87" s="2">
        <f t="shared" si="2028"/>
        <v>0</v>
      </c>
      <c r="Q87" s="2">
        <f t="shared" si="2096"/>
        <v>3</v>
      </c>
      <c r="R87" s="2">
        <f t="shared" si="2029"/>
        <v>1</v>
      </c>
      <c r="S87" s="2">
        <f t="shared" si="2097"/>
        <v>6</v>
      </c>
      <c r="T87" s="2">
        <f t="shared" si="2030"/>
        <v>0</v>
      </c>
      <c r="U87" s="2">
        <f t="shared" si="2098"/>
        <v>4</v>
      </c>
      <c r="V87" s="2">
        <f t="shared" si="2031"/>
        <v>0</v>
      </c>
      <c r="W87" s="2">
        <f t="shared" si="2099"/>
        <v>3</v>
      </c>
      <c r="X87" s="2">
        <f t="shared" si="2032"/>
        <v>0</v>
      </c>
      <c r="Y87" s="2">
        <f t="shared" si="2100"/>
        <v>0</v>
      </c>
      <c r="Z87" s="2">
        <f t="shared" si="2033"/>
        <v>0</v>
      </c>
      <c r="AA87" s="2">
        <f t="shared" si="2101"/>
        <v>13</v>
      </c>
      <c r="AB87" s="2">
        <f t="shared" si="2034"/>
        <v>1</v>
      </c>
      <c r="AC87" s="2">
        <f t="shared" si="2102"/>
        <v>8</v>
      </c>
      <c r="AD87" s="2">
        <f t="shared" si="2035"/>
        <v>0</v>
      </c>
      <c r="AE87" s="2">
        <f t="shared" si="2103"/>
        <v>9</v>
      </c>
      <c r="AF87" s="2"/>
      <c r="AG87" s="2"/>
      <c r="AH87" s="2">
        <f>IF($E87=5,G87-5,NA())</f>
        <v>0</v>
      </c>
      <c r="AI87" s="41">
        <f>G87-'Zusammenfassung Tag1-4'!$B$2/18</f>
        <v>4.166666666666667</v>
      </c>
      <c r="AJ87" s="13">
        <f t="shared" si="2104"/>
        <v>270.16666666666646</v>
      </c>
      <c r="AK87" s="53">
        <v>8</v>
      </c>
      <c r="AL87" s="2">
        <f t="shared" si="2105"/>
        <v>325</v>
      </c>
      <c r="AM87" s="56">
        <v>2</v>
      </c>
      <c r="AN87" s="2">
        <f t="shared" si="2106"/>
        <v>121</v>
      </c>
      <c r="AO87" s="2">
        <f t="shared" si="2036"/>
        <v>0</v>
      </c>
      <c r="AP87" s="2">
        <f t="shared" si="2107"/>
        <v>28</v>
      </c>
      <c r="AQ87" s="2">
        <f t="shared" si="2037"/>
        <v>0</v>
      </c>
      <c r="AR87" s="2">
        <f t="shared" si="2108"/>
        <v>10</v>
      </c>
      <c r="AS87" s="2"/>
      <c r="AT87" s="2">
        <f t="shared" si="2038"/>
        <v>0</v>
      </c>
      <c r="AU87" s="2">
        <f t="shared" si="2109"/>
        <v>1</v>
      </c>
      <c r="AV87" s="2">
        <f t="shared" si="2110"/>
        <v>0</v>
      </c>
      <c r="AW87" s="2">
        <f t="shared" si="2111"/>
        <v>6</v>
      </c>
      <c r="AX87" s="2">
        <f t="shared" si="2112"/>
        <v>0</v>
      </c>
      <c r="AY87" s="2">
        <f t="shared" si="2113"/>
        <v>3</v>
      </c>
      <c r="AZ87" s="2">
        <f t="shared" si="2114"/>
        <v>1</v>
      </c>
      <c r="BA87" s="2">
        <f t="shared" si="2115"/>
        <v>3</v>
      </c>
      <c r="BB87" s="2">
        <f t="shared" si="2116"/>
        <v>0</v>
      </c>
      <c r="BC87" s="2">
        <f t="shared" si="2117"/>
        <v>0</v>
      </c>
      <c r="BD87" s="2">
        <f t="shared" si="2039"/>
        <v>0</v>
      </c>
      <c r="BE87" s="2">
        <f t="shared" si="2118"/>
        <v>18</v>
      </c>
      <c r="BF87" s="2">
        <f t="shared" si="2119"/>
        <v>1</v>
      </c>
      <c r="BG87" s="2">
        <f t="shared" si="2120"/>
        <v>8</v>
      </c>
      <c r="BH87" s="2">
        <f t="shared" si="2040"/>
        <v>0</v>
      </c>
      <c r="BI87" s="2">
        <f t="shared" si="2121"/>
        <v>5</v>
      </c>
      <c r="BJ87" s="2"/>
      <c r="BK87" s="2"/>
      <c r="BL87" s="2">
        <f t="shared" ref="BL87" si="2260">IF($E87=5,AK87-5,NA())</f>
        <v>3</v>
      </c>
      <c r="BM87" s="41">
        <f>AK87-'Zusammenfassung Tag1-4'!$C$2/18</f>
        <v>7.4444444444444446</v>
      </c>
      <c r="BN87" s="13">
        <f t="shared" si="2122"/>
        <v>287.77777777777823</v>
      </c>
      <c r="BO87" s="53">
        <v>6</v>
      </c>
      <c r="BP87" s="2">
        <f t="shared" si="2123"/>
        <v>385</v>
      </c>
      <c r="BQ87" s="56">
        <v>2</v>
      </c>
      <c r="BR87" s="2">
        <f t="shared" si="2124"/>
        <v>149</v>
      </c>
      <c r="BS87" s="2">
        <f t="shared" si="2042"/>
        <v>0</v>
      </c>
      <c r="BT87" s="2">
        <f t="shared" si="2125"/>
        <v>13</v>
      </c>
      <c r="BU87" s="2">
        <f t="shared" si="2043"/>
        <v>0</v>
      </c>
      <c r="BV87" s="2">
        <f t="shared" si="2126"/>
        <v>0</v>
      </c>
      <c r="BW87" s="2"/>
      <c r="BX87" s="2">
        <f t="shared" si="2044"/>
        <v>0</v>
      </c>
      <c r="BY87" s="2">
        <f t="shared" si="2127"/>
        <v>0</v>
      </c>
      <c r="BZ87" s="2">
        <f t="shared" si="2128"/>
        <v>0</v>
      </c>
      <c r="CA87" s="2">
        <f t="shared" si="2129"/>
        <v>3</v>
      </c>
      <c r="CB87" s="2">
        <f t="shared" si="2130"/>
        <v>1</v>
      </c>
      <c r="CC87" s="2">
        <f t="shared" si="2131"/>
        <v>8</v>
      </c>
      <c r="CD87" s="2">
        <f t="shared" si="2132"/>
        <v>0</v>
      </c>
      <c r="CE87" s="2">
        <f t="shared" si="2133"/>
        <v>2</v>
      </c>
      <c r="CF87" s="2">
        <f t="shared" si="2134"/>
        <v>0</v>
      </c>
      <c r="CG87" s="2">
        <f t="shared" si="2127"/>
        <v>0</v>
      </c>
      <c r="CH87" s="2">
        <f t="shared" si="2045"/>
        <v>0</v>
      </c>
      <c r="CI87" s="2">
        <f t="shared" si="2135"/>
        <v>2</v>
      </c>
      <c r="CJ87" s="2">
        <f t="shared" si="2136"/>
        <v>1</v>
      </c>
      <c r="CK87" s="2">
        <f t="shared" si="2137"/>
        <v>12</v>
      </c>
      <c r="CL87" s="2">
        <f t="shared" si="2046"/>
        <v>0</v>
      </c>
      <c r="CM87" s="2">
        <f t="shared" si="2138"/>
        <v>17</v>
      </c>
      <c r="CN87" s="2"/>
      <c r="CO87" s="2"/>
      <c r="CP87" s="2">
        <f t="shared" ref="CP87" si="2261">IF($E87=5,BO87-5,NA())</f>
        <v>1</v>
      </c>
      <c r="CQ87" s="41">
        <f>BO87-'Zusammenfassung Tag1-4'!$D$2/18</f>
        <v>4.9444444444444446</v>
      </c>
      <c r="CR87" s="13">
        <f t="shared" si="2139"/>
        <v>314.27777777777823</v>
      </c>
      <c r="CS87" s="53">
        <v>6</v>
      </c>
      <c r="CT87" s="2">
        <f t="shared" si="2140"/>
        <v>347</v>
      </c>
      <c r="CU87" s="56">
        <v>2</v>
      </c>
      <c r="CV87" s="2">
        <f t="shared" si="2141"/>
        <v>139</v>
      </c>
      <c r="CW87" s="2">
        <f t="shared" si="2048"/>
        <v>0</v>
      </c>
      <c r="CX87" s="2">
        <f t="shared" si="2142"/>
        <v>21</v>
      </c>
      <c r="CY87" s="2">
        <f t="shared" si="2049"/>
        <v>0</v>
      </c>
      <c r="CZ87" s="2">
        <f t="shared" si="2143"/>
        <v>6</v>
      </c>
      <c r="DA87" s="2"/>
      <c r="DB87" s="2">
        <f t="shared" si="2050"/>
        <v>0</v>
      </c>
      <c r="DC87" s="2">
        <f t="shared" si="2144"/>
        <v>0</v>
      </c>
      <c r="DD87" s="2">
        <f t="shared" si="2145"/>
        <v>0</v>
      </c>
      <c r="DE87" s="2">
        <f t="shared" si="2146"/>
        <v>4</v>
      </c>
      <c r="DF87" s="2">
        <f t="shared" si="2147"/>
        <v>1</v>
      </c>
      <c r="DG87" s="2">
        <f t="shared" si="2148"/>
        <v>5</v>
      </c>
      <c r="DH87" s="2">
        <f t="shared" si="2149"/>
        <v>0</v>
      </c>
      <c r="DI87" s="2">
        <f t="shared" si="2150"/>
        <v>4</v>
      </c>
      <c r="DJ87" s="2">
        <f t="shared" si="2151"/>
        <v>0</v>
      </c>
      <c r="DK87" s="2">
        <f t="shared" si="2152"/>
        <v>0</v>
      </c>
      <c r="DL87" s="2">
        <f t="shared" si="2051"/>
        <v>0</v>
      </c>
      <c r="DM87" s="2">
        <f t="shared" si="2153"/>
        <v>12</v>
      </c>
      <c r="DN87" s="2">
        <f t="shared" si="2154"/>
        <v>1</v>
      </c>
      <c r="DO87" s="2">
        <f t="shared" si="2155"/>
        <v>10</v>
      </c>
      <c r="DP87" s="2">
        <f t="shared" si="2052"/>
        <v>0</v>
      </c>
      <c r="DQ87" s="2">
        <f t="shared" si="2156"/>
        <v>16</v>
      </c>
      <c r="DR87" s="2"/>
      <c r="DS87" s="2"/>
      <c r="DT87" s="2">
        <f t="shared" ref="DT87" si="2262">IF($E87=5,CS87-5,NA())</f>
        <v>1</v>
      </c>
      <c r="DU87" s="41">
        <f>CS87-'Zusammenfassung Tag1-4'!$E$2/18</f>
        <v>5</v>
      </c>
      <c r="DV87" s="14">
        <f t="shared" si="2157"/>
        <v>280</v>
      </c>
      <c r="DW87" s="56">
        <v>7</v>
      </c>
      <c r="DX87" s="2">
        <v>146</v>
      </c>
      <c r="DY87" s="56">
        <v>3</v>
      </c>
      <c r="DZ87" s="2">
        <f t="shared" si="2158"/>
        <v>149</v>
      </c>
      <c r="EA87" s="2">
        <f t="shared" si="2054"/>
        <v>0</v>
      </c>
      <c r="EB87" s="2">
        <f t="shared" si="2159"/>
        <v>0</v>
      </c>
      <c r="EC87" s="2">
        <f t="shared" si="2055"/>
        <v>0</v>
      </c>
      <c r="ED87" s="2">
        <f t="shared" si="2160"/>
        <v>1</v>
      </c>
      <c r="EE87" s="2"/>
      <c r="EF87" s="2">
        <f t="shared" si="2056"/>
        <v>0</v>
      </c>
      <c r="EG87" s="2">
        <f t="shared" si="2161"/>
        <v>0</v>
      </c>
      <c r="EH87" s="2">
        <f t="shared" si="2162"/>
        <v>0</v>
      </c>
      <c r="EI87" s="2">
        <f t="shared" si="2163"/>
        <v>0</v>
      </c>
      <c r="EJ87" s="2">
        <f t="shared" si="2164"/>
        <v>0</v>
      </c>
      <c r="EK87" s="2">
        <f t="shared" si="2165"/>
        <v>4</v>
      </c>
      <c r="EL87" s="2">
        <f t="shared" si="2166"/>
        <v>1</v>
      </c>
      <c r="EM87" s="2">
        <f t="shared" si="2167"/>
        <v>9</v>
      </c>
      <c r="EN87" s="2">
        <f t="shared" si="2168"/>
        <v>0</v>
      </c>
      <c r="EO87" s="2">
        <f t="shared" si="2169"/>
        <v>0</v>
      </c>
      <c r="EP87" s="2">
        <f t="shared" si="2057"/>
        <v>0</v>
      </c>
      <c r="EQ87" s="2">
        <f t="shared" si="2170"/>
        <v>6</v>
      </c>
      <c r="ER87" s="2">
        <f t="shared" si="2171"/>
        <v>0</v>
      </c>
      <c r="ES87" s="2">
        <f t="shared" si="2172"/>
        <v>8</v>
      </c>
      <c r="ET87" s="2">
        <f t="shared" si="2058"/>
        <v>1</v>
      </c>
      <c r="EU87" s="2">
        <f t="shared" si="2173"/>
        <v>20</v>
      </c>
      <c r="EV87" s="2"/>
      <c r="EW87" s="2"/>
      <c r="EX87" s="2">
        <f t="shared" ref="EX87" si="2263">IF($E87=5,DW87-5,NA())</f>
        <v>2</v>
      </c>
      <c r="EY87" s="41">
        <f>DW87-'Zusammenfassung Tag1-4'!$F$2/18</f>
        <v>4.5</v>
      </c>
      <c r="EZ87" s="14">
        <f t="shared" si="2174"/>
        <v>285.5</v>
      </c>
      <c r="FA87" s="53">
        <v>7</v>
      </c>
      <c r="FB87" s="2">
        <v>377</v>
      </c>
      <c r="FC87" s="56">
        <v>1</v>
      </c>
      <c r="FD87" s="2">
        <f t="shared" si="2175"/>
        <v>126</v>
      </c>
      <c r="FE87" s="2">
        <f t="shared" si="2060"/>
        <v>0</v>
      </c>
      <c r="FF87" s="2">
        <f t="shared" si="2176"/>
        <v>12</v>
      </c>
      <c r="FG87" s="2">
        <f t="shared" si="2061"/>
        <v>0</v>
      </c>
      <c r="FH87" s="2">
        <f t="shared" si="2177"/>
        <v>5</v>
      </c>
      <c r="FI87" s="2"/>
      <c r="FJ87" s="2">
        <f t="shared" si="2062"/>
        <v>0</v>
      </c>
      <c r="FK87" s="2">
        <f t="shared" si="2178"/>
        <v>0</v>
      </c>
      <c r="FL87" s="2">
        <f t="shared" si="2179"/>
        <v>0</v>
      </c>
      <c r="FM87" s="2">
        <f t="shared" si="2180"/>
        <v>3</v>
      </c>
      <c r="FN87" s="2">
        <f t="shared" si="2181"/>
        <v>0</v>
      </c>
      <c r="FO87" s="2">
        <f t="shared" si="2182"/>
        <v>7</v>
      </c>
      <c r="FP87" s="2">
        <f t="shared" si="2183"/>
        <v>1</v>
      </c>
      <c r="FQ87" s="2">
        <f t="shared" si="2184"/>
        <v>3</v>
      </c>
      <c r="FR87" s="2">
        <f t="shared" si="2185"/>
        <v>0</v>
      </c>
      <c r="FS87" s="2">
        <f t="shared" si="2186"/>
        <v>0</v>
      </c>
      <c r="FT87" s="2">
        <f t="shared" si="2063"/>
        <v>1</v>
      </c>
      <c r="FU87" s="2">
        <f t="shared" si="2187"/>
        <v>20</v>
      </c>
      <c r="FV87" s="2">
        <f t="shared" si="2188"/>
        <v>0</v>
      </c>
      <c r="FW87" s="2">
        <f t="shared" si="2189"/>
        <v>8</v>
      </c>
      <c r="FX87" s="2">
        <f t="shared" si="2064"/>
        <v>0</v>
      </c>
      <c r="FY87" s="2">
        <f t="shared" si="2190"/>
        <v>12</v>
      </c>
      <c r="FZ87" s="2"/>
      <c r="GA87" s="2"/>
      <c r="GB87" s="2">
        <f t="shared" ref="GB87" si="2264">IF($E87=5,FA87-5,NA())</f>
        <v>2</v>
      </c>
      <c r="GC87" s="41">
        <f>FA87-'Zusammenfassung Tag1-4'!$G$2/18</f>
        <v>5.7222222222222223</v>
      </c>
      <c r="GD87" s="14">
        <f t="shared" si="2191"/>
        <v>278.3888888888892</v>
      </c>
      <c r="GE87" s="53">
        <v>6</v>
      </c>
      <c r="GF87" s="2">
        <v>483</v>
      </c>
      <c r="GG87" s="56">
        <v>2</v>
      </c>
      <c r="GH87" s="2">
        <f t="shared" si="2192"/>
        <v>139</v>
      </c>
      <c r="GI87" s="2">
        <f t="shared" si="2066"/>
        <v>0</v>
      </c>
      <c r="GJ87" s="2">
        <f t="shared" si="2193"/>
        <v>1</v>
      </c>
      <c r="GK87" s="2">
        <f t="shared" si="2067"/>
        <v>0</v>
      </c>
      <c r="GL87" s="2">
        <f t="shared" si="2194"/>
        <v>1</v>
      </c>
      <c r="GM87" s="2"/>
      <c r="GN87" s="2">
        <f t="shared" si="2068"/>
        <v>0</v>
      </c>
      <c r="GO87" s="2">
        <f t="shared" si="2195"/>
        <v>0</v>
      </c>
      <c r="GP87" s="2">
        <f t="shared" si="2196"/>
        <v>0</v>
      </c>
      <c r="GQ87" s="2">
        <f t="shared" si="2197"/>
        <v>0</v>
      </c>
      <c r="GR87" s="2">
        <f t="shared" si="2198"/>
        <v>1</v>
      </c>
      <c r="GS87" s="2">
        <f t="shared" si="2199"/>
        <v>6</v>
      </c>
      <c r="GT87" s="2">
        <f t="shared" si="2200"/>
        <v>0</v>
      </c>
      <c r="GU87" s="2">
        <f t="shared" si="2201"/>
        <v>7</v>
      </c>
      <c r="GV87" s="2">
        <f t="shared" si="2202"/>
        <v>0</v>
      </c>
      <c r="GW87" s="2">
        <f t="shared" si="2203"/>
        <v>0</v>
      </c>
      <c r="GX87" s="2">
        <f t="shared" si="2069"/>
        <v>0</v>
      </c>
      <c r="GY87" s="2">
        <f t="shared" si="2204"/>
        <v>7</v>
      </c>
      <c r="GZ87" s="2">
        <f t="shared" si="2205"/>
        <v>1</v>
      </c>
      <c r="HA87" s="2">
        <f t="shared" si="2206"/>
        <v>12</v>
      </c>
      <c r="HB87" s="2">
        <f t="shared" si="2070"/>
        <v>0</v>
      </c>
      <c r="HC87" s="2">
        <f t="shared" si="2207"/>
        <v>12</v>
      </c>
      <c r="HD87" s="2"/>
      <c r="HE87" s="2"/>
      <c r="HF87" s="2">
        <f t="shared" ref="HF87" si="2265">IF($E87=5,GE87-5,NA())</f>
        <v>1</v>
      </c>
      <c r="HG87" s="41">
        <f>GE87-'Zusammenfassung Tag1-4'!$H$2/18</f>
        <v>4.2222222222222223</v>
      </c>
      <c r="HH87" s="14">
        <f t="shared" si="2208"/>
        <v>313.8888888888892</v>
      </c>
      <c r="HI87" s="53">
        <v>7</v>
      </c>
      <c r="HJ87" s="2">
        <v>352</v>
      </c>
      <c r="HK87" s="56">
        <v>3</v>
      </c>
      <c r="HL87" s="2">
        <f t="shared" si="2209"/>
        <v>125</v>
      </c>
      <c r="HM87" s="2">
        <f t="shared" si="2072"/>
        <v>0</v>
      </c>
      <c r="HN87" s="2">
        <f t="shared" si="2210"/>
        <v>14</v>
      </c>
      <c r="HO87" s="2">
        <f t="shared" si="2073"/>
        <v>0</v>
      </c>
      <c r="HP87" s="2">
        <f t="shared" si="2211"/>
        <v>9</v>
      </c>
      <c r="HQ87" s="2"/>
      <c r="HR87" s="2">
        <f t="shared" si="2074"/>
        <v>0</v>
      </c>
      <c r="HS87" s="2">
        <f t="shared" si="2212"/>
        <v>1</v>
      </c>
      <c r="HT87" s="2">
        <f t="shared" si="2213"/>
        <v>0</v>
      </c>
      <c r="HU87" s="2">
        <f t="shared" si="2214"/>
        <v>5</v>
      </c>
      <c r="HV87" s="2">
        <f t="shared" si="2215"/>
        <v>0</v>
      </c>
      <c r="HW87" s="2">
        <f t="shared" si="2216"/>
        <v>4</v>
      </c>
      <c r="HX87" s="2">
        <f t="shared" si="2217"/>
        <v>1</v>
      </c>
      <c r="HY87" s="2">
        <f t="shared" si="2218"/>
        <v>3</v>
      </c>
      <c r="HZ87" s="2">
        <f t="shared" si="2219"/>
        <v>0</v>
      </c>
      <c r="IA87" s="2">
        <f t="shared" si="2220"/>
        <v>0</v>
      </c>
      <c r="IB87" s="2">
        <f t="shared" si="2075"/>
        <v>0</v>
      </c>
      <c r="IC87" s="2">
        <f t="shared" si="2221"/>
        <v>17</v>
      </c>
      <c r="ID87" s="2">
        <f t="shared" si="2222"/>
        <v>0</v>
      </c>
      <c r="IE87" s="2">
        <f t="shared" si="2223"/>
        <v>8</v>
      </c>
      <c r="IF87" s="2">
        <f t="shared" si="2076"/>
        <v>1</v>
      </c>
      <c r="IG87" s="2">
        <f t="shared" si="2224"/>
        <v>10</v>
      </c>
      <c r="IH87" s="2"/>
      <c r="II87" s="2"/>
      <c r="IJ87" s="2">
        <f t="shared" ref="IJ87" si="2266">IF($E87=5,HI87-5,NA())</f>
        <v>2</v>
      </c>
      <c r="IK87" s="41">
        <f>HI87-'Zusammenfassung Tag1-4'!$I$2/18</f>
        <v>6.1111111111111107</v>
      </c>
      <c r="IL87" s="14">
        <f t="shared" si="2225"/>
        <v>288.4444444444444</v>
      </c>
      <c r="IM87" s="53">
        <v>10</v>
      </c>
      <c r="IN87" s="2">
        <v>94</v>
      </c>
      <c r="IO87" s="56">
        <v>2</v>
      </c>
      <c r="IP87" s="2">
        <f t="shared" si="2226"/>
        <v>158</v>
      </c>
      <c r="IQ87" s="2">
        <f t="shared" si="2078"/>
        <v>0</v>
      </c>
      <c r="IR87" s="2">
        <f t="shared" si="2227"/>
        <v>8</v>
      </c>
      <c r="IS87" s="2">
        <f t="shared" si="2079"/>
        <v>0</v>
      </c>
      <c r="IT87" s="2">
        <f t="shared" si="2228"/>
        <v>1</v>
      </c>
      <c r="IU87" s="2"/>
      <c r="IV87" s="2">
        <f t="shared" si="2080"/>
        <v>0</v>
      </c>
      <c r="IW87" s="2">
        <f t="shared" si="2229"/>
        <v>0</v>
      </c>
      <c r="IX87" s="2">
        <f t="shared" si="2230"/>
        <v>0</v>
      </c>
      <c r="IY87" s="2">
        <f t="shared" si="2231"/>
        <v>0</v>
      </c>
      <c r="IZ87" s="2">
        <f t="shared" si="2232"/>
        <v>0</v>
      </c>
      <c r="JA87" s="2">
        <f t="shared" si="2233"/>
        <v>2</v>
      </c>
      <c r="JB87" s="2">
        <f t="shared" si="2234"/>
        <v>1</v>
      </c>
      <c r="JC87" s="2">
        <f t="shared" si="2235"/>
        <v>11</v>
      </c>
      <c r="JD87" s="2">
        <f t="shared" si="2236"/>
        <v>0</v>
      </c>
      <c r="JE87" s="2">
        <f t="shared" si="2237"/>
        <v>0</v>
      </c>
      <c r="JF87" s="2">
        <f t="shared" si="2081"/>
        <v>0</v>
      </c>
      <c r="JG87" s="2">
        <f t="shared" si="2238"/>
        <v>8</v>
      </c>
      <c r="JH87" s="2">
        <f t="shared" si="2239"/>
        <v>1</v>
      </c>
      <c r="JI87" s="2">
        <f t="shared" si="2240"/>
        <v>10</v>
      </c>
      <c r="JJ87" s="2">
        <f t="shared" si="2082"/>
        <v>0</v>
      </c>
      <c r="JK87" s="2">
        <f t="shared" si="2241"/>
        <v>25</v>
      </c>
      <c r="JL87" s="2"/>
      <c r="JM87" s="2"/>
      <c r="JN87" s="2">
        <f t="shared" ref="JN87" si="2267">IF($E87=5,IM87-5,NA())</f>
        <v>5</v>
      </c>
      <c r="JO87" s="41">
        <f>IM87-'Zusammenfassung Tag1-4'!$J$2/18</f>
        <v>7.6666666666666661</v>
      </c>
      <c r="JP87" s="14">
        <f t="shared" si="2242"/>
        <v>308.66666666666669</v>
      </c>
      <c r="JQ87" s="53"/>
      <c r="JR87" s="2"/>
      <c r="JS87" s="56"/>
      <c r="JT87" s="2">
        <f t="shared" si="2243"/>
        <v>0</v>
      </c>
      <c r="JU87" s="2">
        <f t="shared" si="2084"/>
        <v>1</v>
      </c>
      <c r="JV87" s="2">
        <f t="shared" si="2244"/>
        <v>67</v>
      </c>
      <c r="JW87" s="2">
        <f t="shared" si="2085"/>
        <v>0</v>
      </c>
      <c r="JX87" s="2">
        <f t="shared" si="2245"/>
        <v>0</v>
      </c>
      <c r="JY87" s="2"/>
      <c r="JZ87" s="2">
        <f t="shared" si="2086"/>
        <v>0</v>
      </c>
      <c r="KA87" s="2">
        <f t="shared" si="2246"/>
        <v>0</v>
      </c>
      <c r="KB87" s="2">
        <f t="shared" si="2247"/>
        <v>0</v>
      </c>
      <c r="KC87" s="2">
        <f t="shared" si="2248"/>
        <v>0</v>
      </c>
      <c r="KD87" s="2">
        <f t="shared" si="2249"/>
        <v>0</v>
      </c>
      <c r="KE87" s="2">
        <f t="shared" si="2250"/>
        <v>0</v>
      </c>
      <c r="KF87" s="2">
        <f t="shared" si="2251"/>
        <v>0</v>
      </c>
      <c r="KG87" s="2">
        <f t="shared" si="2252"/>
        <v>0</v>
      </c>
      <c r="KH87" s="2">
        <f t="shared" si="2253"/>
        <v>1</v>
      </c>
      <c r="KI87" s="2">
        <f t="shared" si="2254"/>
        <v>13</v>
      </c>
      <c r="KJ87" s="2">
        <f t="shared" si="2087"/>
        <v>0</v>
      </c>
      <c r="KK87" s="2">
        <f t="shared" si="2255"/>
        <v>0</v>
      </c>
      <c r="KL87" s="2">
        <f t="shared" si="2256"/>
        <v>0</v>
      </c>
      <c r="KM87" s="2">
        <f t="shared" si="2257"/>
        <v>0</v>
      </c>
      <c r="KN87" s="2">
        <f t="shared" si="2088"/>
        <v>0</v>
      </c>
      <c r="KO87" s="2">
        <f t="shared" si="2258"/>
        <v>0</v>
      </c>
      <c r="KP87" s="2"/>
      <c r="KQ87" s="2"/>
      <c r="KR87" s="2">
        <f t="shared" ref="KR87" si="2268">IF($E87=5,JQ87-5,NA())</f>
        <v>-5</v>
      </c>
      <c r="KS87" s="41" t="e">
        <f>JQ87-'Zusammenfassung Tag1-4'!#REF!/18</f>
        <v>#REF!</v>
      </c>
      <c r="KT87" s="14" t="e">
        <f t="shared" si="2259"/>
        <v>#REF!</v>
      </c>
    </row>
    <row r="88" spans="1:306" ht="13.2" x14ac:dyDescent="0.25">
      <c r="A88" s="179"/>
      <c r="B88" s="176"/>
      <c r="C88" s="44">
        <v>14</v>
      </c>
      <c r="D88" s="2">
        <f t="shared" si="2090"/>
        <v>68</v>
      </c>
      <c r="E88" s="44">
        <v>3</v>
      </c>
      <c r="F88" s="4">
        <f t="shared" si="2091"/>
        <v>272</v>
      </c>
      <c r="G88" s="56">
        <v>5</v>
      </c>
      <c r="H88" s="2">
        <f t="shared" si="2092"/>
        <v>331</v>
      </c>
      <c r="I88" s="56">
        <v>2</v>
      </c>
      <c r="J88" s="2">
        <f t="shared" si="2093"/>
        <v>129</v>
      </c>
      <c r="K88" s="2">
        <f t="shared" si="2026"/>
        <v>0</v>
      </c>
      <c r="L88" s="2">
        <f t="shared" si="2094"/>
        <v>21</v>
      </c>
      <c r="M88" s="2">
        <f t="shared" si="2027"/>
        <v>0</v>
      </c>
      <c r="N88" s="2">
        <f t="shared" si="2095"/>
        <v>10</v>
      </c>
      <c r="O88" s="2"/>
      <c r="P88" s="2">
        <f t="shared" si="2028"/>
        <v>0</v>
      </c>
      <c r="Q88" s="2">
        <f t="shared" si="2096"/>
        <v>3</v>
      </c>
      <c r="R88" s="2">
        <f t="shared" si="2029"/>
        <v>0</v>
      </c>
      <c r="S88" s="2">
        <f t="shared" si="2097"/>
        <v>6</v>
      </c>
      <c r="T88" s="2">
        <f t="shared" si="2030"/>
        <v>0</v>
      </c>
      <c r="U88" s="2">
        <f t="shared" si="2098"/>
        <v>4</v>
      </c>
      <c r="V88" s="2">
        <f t="shared" si="2031"/>
        <v>1</v>
      </c>
      <c r="W88" s="2">
        <f t="shared" si="2099"/>
        <v>4</v>
      </c>
      <c r="X88" s="2">
        <f t="shared" si="2032"/>
        <v>0</v>
      </c>
      <c r="Y88" s="2">
        <f t="shared" si="2100"/>
        <v>0</v>
      </c>
      <c r="Z88" s="2">
        <f t="shared" si="2033"/>
        <v>0</v>
      </c>
      <c r="AA88" s="2">
        <f t="shared" si="2101"/>
        <v>13</v>
      </c>
      <c r="AB88" s="2">
        <f t="shared" si="2034"/>
        <v>1</v>
      </c>
      <c r="AC88" s="2">
        <f t="shared" si="2102"/>
        <v>9</v>
      </c>
      <c r="AD88" s="2">
        <f t="shared" si="2035"/>
        <v>0</v>
      </c>
      <c r="AE88" s="2">
        <f t="shared" si="2103"/>
        <v>9</v>
      </c>
      <c r="AF88" s="2">
        <f>IF($E88=3,G88-3,NA())</f>
        <v>2</v>
      </c>
      <c r="AG88" s="2"/>
      <c r="AH88" s="2"/>
      <c r="AI88" s="41">
        <f>G88-'Zusammenfassung Tag1-4'!$B$2/18</f>
        <v>4.166666666666667</v>
      </c>
      <c r="AJ88" s="13">
        <f t="shared" si="2104"/>
        <v>274.33333333333314</v>
      </c>
      <c r="AK88" s="53">
        <v>3</v>
      </c>
      <c r="AL88" s="2">
        <f t="shared" si="2105"/>
        <v>328</v>
      </c>
      <c r="AM88" s="56">
        <v>2</v>
      </c>
      <c r="AN88" s="2">
        <f t="shared" si="2106"/>
        <v>123</v>
      </c>
      <c r="AO88" s="2">
        <f t="shared" si="2036"/>
        <v>1</v>
      </c>
      <c r="AP88" s="2">
        <f t="shared" si="2107"/>
        <v>29</v>
      </c>
      <c r="AQ88" s="2">
        <f t="shared" si="2037"/>
        <v>0</v>
      </c>
      <c r="AR88" s="2">
        <f t="shared" si="2108"/>
        <v>10</v>
      </c>
      <c r="AS88" s="2"/>
      <c r="AT88" s="2">
        <f t="shared" si="2038"/>
        <v>0</v>
      </c>
      <c r="AU88" s="2">
        <f t="shared" si="2109"/>
        <v>1</v>
      </c>
      <c r="AV88" s="2">
        <f t="shared" si="2110"/>
        <v>1</v>
      </c>
      <c r="AW88" s="2">
        <f t="shared" si="2111"/>
        <v>7</v>
      </c>
      <c r="AX88" s="2">
        <f t="shared" si="2112"/>
        <v>0</v>
      </c>
      <c r="AY88" s="2">
        <f t="shared" si="2113"/>
        <v>3</v>
      </c>
      <c r="AZ88" s="2">
        <f t="shared" si="2114"/>
        <v>0</v>
      </c>
      <c r="BA88" s="2">
        <f t="shared" si="2115"/>
        <v>3</v>
      </c>
      <c r="BB88" s="2">
        <f t="shared" si="2116"/>
        <v>0</v>
      </c>
      <c r="BC88" s="2">
        <f t="shared" si="2117"/>
        <v>0</v>
      </c>
      <c r="BD88" s="2">
        <f t="shared" si="2039"/>
        <v>0</v>
      </c>
      <c r="BE88" s="2">
        <f t="shared" si="2118"/>
        <v>18</v>
      </c>
      <c r="BF88" s="2">
        <f t="shared" si="2119"/>
        <v>1</v>
      </c>
      <c r="BG88" s="2">
        <f t="shared" si="2120"/>
        <v>9</v>
      </c>
      <c r="BH88" s="2">
        <f t="shared" si="2040"/>
        <v>0</v>
      </c>
      <c r="BI88" s="2">
        <f t="shared" si="2121"/>
        <v>5</v>
      </c>
      <c r="BJ88" s="2">
        <f t="shared" ref="BJ88" si="2269">IF($E88=3,AK88-3,NA())</f>
        <v>0</v>
      </c>
      <c r="BK88" s="2"/>
      <c r="BL88" s="2"/>
      <c r="BM88" s="41">
        <f>AK88-'Zusammenfassung Tag1-4'!$C$2/18</f>
        <v>2.4444444444444446</v>
      </c>
      <c r="BN88" s="13">
        <f t="shared" si="2122"/>
        <v>290.22222222222268</v>
      </c>
      <c r="BO88" s="53">
        <v>4</v>
      </c>
      <c r="BP88" s="2">
        <f t="shared" si="2123"/>
        <v>389</v>
      </c>
      <c r="BQ88" s="56">
        <v>2</v>
      </c>
      <c r="BR88" s="2">
        <f t="shared" si="2124"/>
        <v>151</v>
      </c>
      <c r="BS88" s="2">
        <f t="shared" si="2042"/>
        <v>0</v>
      </c>
      <c r="BT88" s="2">
        <f t="shared" si="2125"/>
        <v>13</v>
      </c>
      <c r="BU88" s="2">
        <f t="shared" si="2043"/>
        <v>0</v>
      </c>
      <c r="BV88" s="2">
        <f t="shared" si="2126"/>
        <v>0</v>
      </c>
      <c r="BW88" s="2"/>
      <c r="BX88" s="2">
        <f t="shared" si="2044"/>
        <v>0</v>
      </c>
      <c r="BY88" s="2">
        <f t="shared" si="2127"/>
        <v>0</v>
      </c>
      <c r="BZ88" s="2">
        <f t="shared" si="2128"/>
        <v>0</v>
      </c>
      <c r="CA88" s="2">
        <f t="shared" si="2129"/>
        <v>3</v>
      </c>
      <c r="CB88" s="2">
        <f t="shared" si="2130"/>
        <v>1</v>
      </c>
      <c r="CC88" s="2">
        <f t="shared" si="2131"/>
        <v>9</v>
      </c>
      <c r="CD88" s="2">
        <f t="shared" si="2132"/>
        <v>0</v>
      </c>
      <c r="CE88" s="2">
        <f t="shared" si="2133"/>
        <v>2</v>
      </c>
      <c r="CF88" s="2">
        <f t="shared" si="2134"/>
        <v>0</v>
      </c>
      <c r="CG88" s="2">
        <f t="shared" si="2127"/>
        <v>0</v>
      </c>
      <c r="CH88" s="2">
        <f t="shared" si="2045"/>
        <v>0</v>
      </c>
      <c r="CI88" s="2">
        <f t="shared" si="2135"/>
        <v>2</v>
      </c>
      <c r="CJ88" s="2">
        <f t="shared" si="2136"/>
        <v>1</v>
      </c>
      <c r="CK88" s="2">
        <f t="shared" si="2137"/>
        <v>13</v>
      </c>
      <c r="CL88" s="2">
        <f t="shared" si="2046"/>
        <v>0</v>
      </c>
      <c r="CM88" s="2">
        <f t="shared" si="2138"/>
        <v>17</v>
      </c>
      <c r="CN88" s="2">
        <f t="shared" ref="CN88" si="2270">IF($E88=3,BO88-3,NA())</f>
        <v>1</v>
      </c>
      <c r="CO88" s="2"/>
      <c r="CP88" s="2"/>
      <c r="CQ88" s="41">
        <f>BO88-'Zusammenfassung Tag1-4'!$D$2/18</f>
        <v>2.9444444444444446</v>
      </c>
      <c r="CR88" s="13">
        <f t="shared" si="2139"/>
        <v>317.22222222222268</v>
      </c>
      <c r="CS88" s="53">
        <v>5</v>
      </c>
      <c r="CT88" s="2">
        <f t="shared" si="2140"/>
        <v>352</v>
      </c>
      <c r="CU88" s="56">
        <v>2</v>
      </c>
      <c r="CV88" s="2">
        <f t="shared" si="2141"/>
        <v>141</v>
      </c>
      <c r="CW88" s="2">
        <f t="shared" si="2048"/>
        <v>0</v>
      </c>
      <c r="CX88" s="2">
        <f t="shared" si="2142"/>
        <v>21</v>
      </c>
      <c r="CY88" s="2">
        <f t="shared" si="2049"/>
        <v>0</v>
      </c>
      <c r="CZ88" s="2">
        <f t="shared" si="2143"/>
        <v>6</v>
      </c>
      <c r="DA88" s="2"/>
      <c r="DB88" s="2">
        <f t="shared" si="2050"/>
        <v>0</v>
      </c>
      <c r="DC88" s="2">
        <f t="shared" si="2144"/>
        <v>0</v>
      </c>
      <c r="DD88" s="2">
        <f t="shared" si="2145"/>
        <v>0</v>
      </c>
      <c r="DE88" s="2">
        <f t="shared" si="2146"/>
        <v>4</v>
      </c>
      <c r="DF88" s="2">
        <f t="shared" si="2147"/>
        <v>0</v>
      </c>
      <c r="DG88" s="2">
        <f t="shared" si="2148"/>
        <v>5</v>
      </c>
      <c r="DH88" s="2">
        <f t="shared" si="2149"/>
        <v>1</v>
      </c>
      <c r="DI88" s="2">
        <f t="shared" si="2150"/>
        <v>5</v>
      </c>
      <c r="DJ88" s="2">
        <f t="shared" si="2151"/>
        <v>0</v>
      </c>
      <c r="DK88" s="2">
        <f t="shared" si="2152"/>
        <v>0</v>
      </c>
      <c r="DL88" s="2">
        <f t="shared" si="2051"/>
        <v>0</v>
      </c>
      <c r="DM88" s="2">
        <f t="shared" si="2153"/>
        <v>12</v>
      </c>
      <c r="DN88" s="2">
        <f t="shared" si="2154"/>
        <v>1</v>
      </c>
      <c r="DO88" s="2">
        <f t="shared" si="2155"/>
        <v>11</v>
      </c>
      <c r="DP88" s="2">
        <f t="shared" si="2052"/>
        <v>0</v>
      </c>
      <c r="DQ88" s="2">
        <f t="shared" si="2156"/>
        <v>16</v>
      </c>
      <c r="DR88" s="2">
        <f t="shared" ref="DR88" si="2271">IF($E88=3,CS88-3,NA())</f>
        <v>2</v>
      </c>
      <c r="DS88" s="2"/>
      <c r="DT88" s="2"/>
      <c r="DU88" s="41">
        <f>CS88-'Zusammenfassung Tag1-4'!$E$2/18</f>
        <v>4</v>
      </c>
      <c r="DV88" s="14">
        <f t="shared" si="2157"/>
        <v>284</v>
      </c>
      <c r="DW88" s="56">
        <v>5</v>
      </c>
      <c r="DX88" s="2">
        <v>149</v>
      </c>
      <c r="DY88" s="56">
        <v>3</v>
      </c>
      <c r="DZ88" s="2">
        <f t="shared" si="2158"/>
        <v>152</v>
      </c>
      <c r="EA88" s="2">
        <f t="shared" si="2054"/>
        <v>0</v>
      </c>
      <c r="EB88" s="2">
        <f t="shared" si="2159"/>
        <v>0</v>
      </c>
      <c r="EC88" s="2">
        <f t="shared" si="2055"/>
        <v>0</v>
      </c>
      <c r="ED88" s="2">
        <f t="shared" si="2160"/>
        <v>1</v>
      </c>
      <c r="EE88" s="2"/>
      <c r="EF88" s="2">
        <f t="shared" si="2056"/>
        <v>0</v>
      </c>
      <c r="EG88" s="2">
        <f t="shared" si="2161"/>
        <v>0</v>
      </c>
      <c r="EH88" s="2">
        <f t="shared" si="2162"/>
        <v>0</v>
      </c>
      <c r="EI88" s="2">
        <f t="shared" si="2163"/>
        <v>0</v>
      </c>
      <c r="EJ88" s="2">
        <f t="shared" si="2164"/>
        <v>0</v>
      </c>
      <c r="EK88" s="2">
        <f t="shared" si="2165"/>
        <v>4</v>
      </c>
      <c r="EL88" s="2">
        <f t="shared" si="2166"/>
        <v>1</v>
      </c>
      <c r="EM88" s="2">
        <f t="shared" si="2167"/>
        <v>10</v>
      </c>
      <c r="EN88" s="2">
        <f t="shared" si="2168"/>
        <v>0</v>
      </c>
      <c r="EO88" s="2">
        <f t="shared" si="2169"/>
        <v>0</v>
      </c>
      <c r="EP88" s="2">
        <f t="shared" si="2057"/>
        <v>0</v>
      </c>
      <c r="EQ88" s="2">
        <f t="shared" si="2170"/>
        <v>6</v>
      </c>
      <c r="ER88" s="2">
        <f t="shared" si="2171"/>
        <v>0</v>
      </c>
      <c r="ES88" s="2">
        <f t="shared" si="2172"/>
        <v>8</v>
      </c>
      <c r="ET88" s="2">
        <f t="shared" si="2058"/>
        <v>1</v>
      </c>
      <c r="EU88" s="2">
        <f t="shared" si="2173"/>
        <v>21</v>
      </c>
      <c r="EV88" s="2">
        <f t="shared" ref="EV88" si="2272">IF($E88=3,DW88-3,NA())</f>
        <v>2</v>
      </c>
      <c r="EW88" s="2"/>
      <c r="EX88" s="2"/>
      <c r="EY88" s="41">
        <f>DW88-'Zusammenfassung Tag1-4'!$F$2/18</f>
        <v>2.5</v>
      </c>
      <c r="EZ88" s="14">
        <f t="shared" si="2174"/>
        <v>288</v>
      </c>
      <c r="FA88" s="53">
        <v>5</v>
      </c>
      <c r="FB88" s="2">
        <v>381</v>
      </c>
      <c r="FC88" s="56">
        <v>2</v>
      </c>
      <c r="FD88" s="2">
        <f t="shared" si="2175"/>
        <v>128</v>
      </c>
      <c r="FE88" s="2">
        <f t="shared" si="2060"/>
        <v>0</v>
      </c>
      <c r="FF88" s="2">
        <f t="shared" si="2176"/>
        <v>12</v>
      </c>
      <c r="FG88" s="2">
        <f t="shared" si="2061"/>
        <v>0</v>
      </c>
      <c r="FH88" s="2">
        <f t="shared" si="2177"/>
        <v>5</v>
      </c>
      <c r="FI88" s="2"/>
      <c r="FJ88" s="2">
        <f t="shared" si="2062"/>
        <v>0</v>
      </c>
      <c r="FK88" s="2">
        <f t="shared" si="2178"/>
        <v>0</v>
      </c>
      <c r="FL88" s="2">
        <f t="shared" si="2179"/>
        <v>0</v>
      </c>
      <c r="FM88" s="2">
        <f t="shared" si="2180"/>
        <v>3</v>
      </c>
      <c r="FN88" s="2">
        <f t="shared" si="2181"/>
        <v>0</v>
      </c>
      <c r="FO88" s="2">
        <f t="shared" si="2182"/>
        <v>7</v>
      </c>
      <c r="FP88" s="2">
        <f t="shared" si="2183"/>
        <v>1</v>
      </c>
      <c r="FQ88" s="2">
        <f t="shared" si="2184"/>
        <v>4</v>
      </c>
      <c r="FR88" s="2">
        <f t="shared" si="2185"/>
        <v>0</v>
      </c>
      <c r="FS88" s="2">
        <f t="shared" si="2186"/>
        <v>0</v>
      </c>
      <c r="FT88" s="2">
        <f t="shared" si="2063"/>
        <v>0</v>
      </c>
      <c r="FU88" s="2">
        <f t="shared" si="2187"/>
        <v>20</v>
      </c>
      <c r="FV88" s="2">
        <f t="shared" si="2188"/>
        <v>1</v>
      </c>
      <c r="FW88" s="2">
        <f t="shared" si="2189"/>
        <v>9</v>
      </c>
      <c r="FX88" s="2">
        <f t="shared" si="2064"/>
        <v>0</v>
      </c>
      <c r="FY88" s="2">
        <f t="shared" si="2190"/>
        <v>12</v>
      </c>
      <c r="FZ88" s="2">
        <f t="shared" ref="FZ88" si="2273">IF($E88=3,FA88-3,NA())</f>
        <v>2</v>
      </c>
      <c r="GA88" s="2"/>
      <c r="GB88" s="2"/>
      <c r="GC88" s="41">
        <f>FA88-'Zusammenfassung Tag1-4'!$G$2/18</f>
        <v>3.7222222222222223</v>
      </c>
      <c r="GD88" s="14">
        <f t="shared" si="2191"/>
        <v>282.11111111111143</v>
      </c>
      <c r="GE88" s="53">
        <v>4</v>
      </c>
      <c r="GF88" s="2">
        <v>487</v>
      </c>
      <c r="GG88" s="56">
        <v>2</v>
      </c>
      <c r="GH88" s="2">
        <f t="shared" si="2192"/>
        <v>141</v>
      </c>
      <c r="GI88" s="2">
        <f t="shared" si="2066"/>
        <v>0</v>
      </c>
      <c r="GJ88" s="2">
        <f t="shared" si="2193"/>
        <v>1</v>
      </c>
      <c r="GK88" s="2">
        <f t="shared" si="2067"/>
        <v>0</v>
      </c>
      <c r="GL88" s="2">
        <f t="shared" si="2194"/>
        <v>1</v>
      </c>
      <c r="GM88" s="2"/>
      <c r="GN88" s="2">
        <f t="shared" si="2068"/>
        <v>0</v>
      </c>
      <c r="GO88" s="2">
        <f t="shared" si="2195"/>
        <v>0</v>
      </c>
      <c r="GP88" s="2">
        <f t="shared" si="2196"/>
        <v>0</v>
      </c>
      <c r="GQ88" s="2">
        <f t="shared" si="2197"/>
        <v>0</v>
      </c>
      <c r="GR88" s="2">
        <f t="shared" si="2198"/>
        <v>1</v>
      </c>
      <c r="GS88" s="2">
        <f t="shared" si="2199"/>
        <v>7</v>
      </c>
      <c r="GT88" s="2">
        <f t="shared" si="2200"/>
        <v>0</v>
      </c>
      <c r="GU88" s="2">
        <f t="shared" si="2201"/>
        <v>7</v>
      </c>
      <c r="GV88" s="2">
        <f t="shared" si="2202"/>
        <v>0</v>
      </c>
      <c r="GW88" s="2">
        <f t="shared" si="2203"/>
        <v>0</v>
      </c>
      <c r="GX88" s="2">
        <f t="shared" si="2069"/>
        <v>0</v>
      </c>
      <c r="GY88" s="2">
        <f t="shared" si="2204"/>
        <v>7</v>
      </c>
      <c r="GZ88" s="2">
        <f t="shared" si="2205"/>
        <v>1</v>
      </c>
      <c r="HA88" s="2">
        <f t="shared" si="2206"/>
        <v>13</v>
      </c>
      <c r="HB88" s="2">
        <f t="shared" si="2070"/>
        <v>0</v>
      </c>
      <c r="HC88" s="2">
        <f t="shared" si="2207"/>
        <v>12</v>
      </c>
      <c r="HD88" s="2">
        <f t="shared" ref="HD88" si="2274">IF($E88=3,GE88-3,NA())</f>
        <v>1</v>
      </c>
      <c r="HE88" s="2"/>
      <c r="HF88" s="2"/>
      <c r="HG88" s="41">
        <f>GE88-'Zusammenfassung Tag1-4'!$H$2/18</f>
        <v>2.2222222222222223</v>
      </c>
      <c r="HH88" s="14">
        <f t="shared" si="2208"/>
        <v>316.11111111111143</v>
      </c>
      <c r="HI88" s="53">
        <v>4</v>
      </c>
      <c r="HJ88" s="2">
        <v>356</v>
      </c>
      <c r="HK88" s="56">
        <v>1</v>
      </c>
      <c r="HL88" s="2">
        <f t="shared" si="2209"/>
        <v>126</v>
      </c>
      <c r="HM88" s="2">
        <f t="shared" si="2072"/>
        <v>0</v>
      </c>
      <c r="HN88" s="2">
        <f t="shared" si="2210"/>
        <v>14</v>
      </c>
      <c r="HO88" s="2">
        <f t="shared" si="2073"/>
        <v>0</v>
      </c>
      <c r="HP88" s="2">
        <f t="shared" si="2211"/>
        <v>9</v>
      </c>
      <c r="HQ88" s="2"/>
      <c r="HR88" s="2">
        <f t="shared" si="2074"/>
        <v>0</v>
      </c>
      <c r="HS88" s="2">
        <f t="shared" si="2212"/>
        <v>1</v>
      </c>
      <c r="HT88" s="2">
        <f t="shared" si="2213"/>
        <v>0</v>
      </c>
      <c r="HU88" s="2">
        <f t="shared" si="2214"/>
        <v>5</v>
      </c>
      <c r="HV88" s="2">
        <f t="shared" si="2215"/>
        <v>1</v>
      </c>
      <c r="HW88" s="2">
        <f t="shared" si="2216"/>
        <v>5</v>
      </c>
      <c r="HX88" s="2">
        <f t="shared" si="2217"/>
        <v>0</v>
      </c>
      <c r="HY88" s="2">
        <f t="shared" si="2218"/>
        <v>3</v>
      </c>
      <c r="HZ88" s="2">
        <f t="shared" si="2219"/>
        <v>0</v>
      </c>
      <c r="IA88" s="2">
        <f t="shared" si="2220"/>
        <v>0</v>
      </c>
      <c r="IB88" s="2">
        <f t="shared" si="2075"/>
        <v>1</v>
      </c>
      <c r="IC88" s="2">
        <f t="shared" si="2221"/>
        <v>18</v>
      </c>
      <c r="ID88" s="2">
        <f t="shared" si="2222"/>
        <v>0</v>
      </c>
      <c r="IE88" s="2">
        <f t="shared" si="2223"/>
        <v>8</v>
      </c>
      <c r="IF88" s="2">
        <f t="shared" si="2076"/>
        <v>0</v>
      </c>
      <c r="IG88" s="2">
        <f t="shared" si="2224"/>
        <v>10</v>
      </c>
      <c r="IH88" s="2">
        <f t="shared" ref="IH88" si="2275">IF($E88=3,HI88-3,NA())</f>
        <v>1</v>
      </c>
      <c r="II88" s="2"/>
      <c r="IJ88" s="2"/>
      <c r="IK88" s="41">
        <f>HI88-'Zusammenfassung Tag1-4'!$I$2/18</f>
        <v>3.1111111111111112</v>
      </c>
      <c r="IL88" s="14">
        <f t="shared" si="2225"/>
        <v>291.55555555555549</v>
      </c>
      <c r="IM88" s="53">
        <v>4</v>
      </c>
      <c r="IN88" s="2">
        <v>103</v>
      </c>
      <c r="IO88" s="56">
        <v>2</v>
      </c>
      <c r="IP88" s="2">
        <f t="shared" si="2226"/>
        <v>160</v>
      </c>
      <c r="IQ88" s="2">
        <f t="shared" si="2078"/>
        <v>0</v>
      </c>
      <c r="IR88" s="2">
        <f t="shared" si="2227"/>
        <v>8</v>
      </c>
      <c r="IS88" s="2">
        <f t="shared" si="2079"/>
        <v>0</v>
      </c>
      <c r="IT88" s="2">
        <f t="shared" si="2228"/>
        <v>1</v>
      </c>
      <c r="IU88" s="2"/>
      <c r="IV88" s="2">
        <f t="shared" si="2080"/>
        <v>0</v>
      </c>
      <c r="IW88" s="2">
        <f t="shared" si="2229"/>
        <v>0</v>
      </c>
      <c r="IX88" s="2">
        <f t="shared" si="2230"/>
        <v>0</v>
      </c>
      <c r="IY88" s="2">
        <f t="shared" si="2231"/>
        <v>0</v>
      </c>
      <c r="IZ88" s="2">
        <f t="shared" si="2232"/>
        <v>1</v>
      </c>
      <c r="JA88" s="2">
        <f t="shared" si="2233"/>
        <v>3</v>
      </c>
      <c r="JB88" s="2">
        <f t="shared" si="2234"/>
        <v>0</v>
      </c>
      <c r="JC88" s="2">
        <f t="shared" si="2235"/>
        <v>11</v>
      </c>
      <c r="JD88" s="2">
        <f t="shared" si="2236"/>
        <v>0</v>
      </c>
      <c r="JE88" s="2">
        <f t="shared" si="2237"/>
        <v>0</v>
      </c>
      <c r="JF88" s="2">
        <f t="shared" si="2081"/>
        <v>0</v>
      </c>
      <c r="JG88" s="2">
        <f t="shared" si="2238"/>
        <v>8</v>
      </c>
      <c r="JH88" s="2">
        <f t="shared" si="2239"/>
        <v>1</v>
      </c>
      <c r="JI88" s="2">
        <f t="shared" si="2240"/>
        <v>11</v>
      </c>
      <c r="JJ88" s="2">
        <f t="shared" si="2082"/>
        <v>0</v>
      </c>
      <c r="JK88" s="2">
        <f t="shared" si="2241"/>
        <v>25</v>
      </c>
      <c r="JL88" s="2">
        <f t="shared" ref="JL88" si="2276">IF($E88=3,IM88-3,NA())</f>
        <v>1</v>
      </c>
      <c r="JM88" s="2"/>
      <c r="JN88" s="2"/>
      <c r="JO88" s="41">
        <f>IM88-'Zusammenfassung Tag1-4'!$J$2/18</f>
        <v>1.6666666666666665</v>
      </c>
      <c r="JP88" s="14">
        <f t="shared" si="2242"/>
        <v>310.33333333333337</v>
      </c>
      <c r="JQ88" s="53"/>
      <c r="JR88" s="2"/>
      <c r="JS88" s="56"/>
      <c r="JT88" s="2">
        <f t="shared" si="2243"/>
        <v>0</v>
      </c>
      <c r="JU88" s="2">
        <f t="shared" si="2084"/>
        <v>1</v>
      </c>
      <c r="JV88" s="2">
        <f t="shared" si="2244"/>
        <v>68</v>
      </c>
      <c r="JW88" s="2">
        <f t="shared" si="2085"/>
        <v>0</v>
      </c>
      <c r="JX88" s="2">
        <f t="shared" si="2245"/>
        <v>0</v>
      </c>
      <c r="JY88" s="2"/>
      <c r="JZ88" s="2">
        <f t="shared" si="2086"/>
        <v>0</v>
      </c>
      <c r="KA88" s="2">
        <f t="shared" si="2246"/>
        <v>0</v>
      </c>
      <c r="KB88" s="2">
        <f t="shared" si="2247"/>
        <v>0</v>
      </c>
      <c r="KC88" s="2">
        <f t="shared" si="2248"/>
        <v>0</v>
      </c>
      <c r="KD88" s="2">
        <f t="shared" si="2249"/>
        <v>0</v>
      </c>
      <c r="KE88" s="2">
        <f t="shared" si="2250"/>
        <v>0</v>
      </c>
      <c r="KF88" s="2">
        <f t="shared" si="2251"/>
        <v>0</v>
      </c>
      <c r="KG88" s="2">
        <f t="shared" si="2252"/>
        <v>0</v>
      </c>
      <c r="KH88" s="2">
        <f t="shared" si="2253"/>
        <v>1</v>
      </c>
      <c r="KI88" s="2">
        <f t="shared" si="2254"/>
        <v>14</v>
      </c>
      <c r="KJ88" s="2">
        <f t="shared" si="2087"/>
        <v>0</v>
      </c>
      <c r="KK88" s="2">
        <f t="shared" si="2255"/>
        <v>0</v>
      </c>
      <c r="KL88" s="2">
        <f t="shared" si="2256"/>
        <v>0</v>
      </c>
      <c r="KM88" s="2">
        <f t="shared" si="2257"/>
        <v>0</v>
      </c>
      <c r="KN88" s="2">
        <f t="shared" si="2088"/>
        <v>0</v>
      </c>
      <c r="KO88" s="2">
        <f t="shared" si="2258"/>
        <v>0</v>
      </c>
      <c r="KP88" s="2">
        <f t="shared" ref="KP88" si="2277">IF($E88=3,JQ88-3,NA())</f>
        <v>-3</v>
      </c>
      <c r="KQ88" s="2"/>
      <c r="KR88" s="2"/>
      <c r="KS88" s="41" t="e">
        <f>JQ88-'Zusammenfassung Tag1-4'!#REF!/18</f>
        <v>#REF!</v>
      </c>
      <c r="KT88" s="14" t="e">
        <f t="shared" si="2259"/>
        <v>#REF!</v>
      </c>
    </row>
    <row r="89" spans="1:306" ht="13.2" x14ac:dyDescent="0.25">
      <c r="A89" s="179"/>
      <c r="B89" s="176"/>
      <c r="C89" s="44">
        <v>15</v>
      </c>
      <c r="D89" s="2">
        <f t="shared" si="2090"/>
        <v>69</v>
      </c>
      <c r="E89" s="44">
        <v>4</v>
      </c>
      <c r="F89" s="4">
        <f t="shared" si="2091"/>
        <v>276</v>
      </c>
      <c r="G89" s="56">
        <v>5</v>
      </c>
      <c r="H89" s="2">
        <f t="shared" si="2092"/>
        <v>336</v>
      </c>
      <c r="I89" s="56">
        <v>3</v>
      </c>
      <c r="J89" s="2">
        <f t="shared" si="2093"/>
        <v>132</v>
      </c>
      <c r="K89" s="2">
        <f t="shared" si="2026"/>
        <v>1</v>
      </c>
      <c r="L89" s="2">
        <f t="shared" si="2094"/>
        <v>22</v>
      </c>
      <c r="M89" s="2">
        <f t="shared" si="2027"/>
        <v>0</v>
      </c>
      <c r="N89" s="2">
        <f t="shared" si="2095"/>
        <v>10</v>
      </c>
      <c r="O89" s="2"/>
      <c r="P89" s="2">
        <f t="shared" si="2028"/>
        <v>0</v>
      </c>
      <c r="Q89" s="2">
        <f t="shared" si="2096"/>
        <v>3</v>
      </c>
      <c r="R89" s="2">
        <f t="shared" si="2029"/>
        <v>0</v>
      </c>
      <c r="S89" s="2">
        <f t="shared" si="2097"/>
        <v>6</v>
      </c>
      <c r="T89" s="2">
        <f t="shared" si="2030"/>
        <v>1</v>
      </c>
      <c r="U89" s="2">
        <f t="shared" si="2098"/>
        <v>5</v>
      </c>
      <c r="V89" s="2">
        <f t="shared" si="2031"/>
        <v>0</v>
      </c>
      <c r="W89" s="2">
        <f t="shared" si="2099"/>
        <v>4</v>
      </c>
      <c r="X89" s="2">
        <f t="shared" si="2032"/>
        <v>0</v>
      </c>
      <c r="Y89" s="2">
        <f t="shared" si="2100"/>
        <v>0</v>
      </c>
      <c r="Z89" s="2">
        <f t="shared" si="2033"/>
        <v>0</v>
      </c>
      <c r="AA89" s="2">
        <f t="shared" si="2101"/>
        <v>13</v>
      </c>
      <c r="AB89" s="2">
        <f t="shared" si="2034"/>
        <v>0</v>
      </c>
      <c r="AC89" s="2">
        <f t="shared" si="2102"/>
        <v>9</v>
      </c>
      <c r="AD89" s="2">
        <f t="shared" si="2035"/>
        <v>1</v>
      </c>
      <c r="AE89" s="2">
        <f t="shared" si="2103"/>
        <v>10</v>
      </c>
      <c r="AF89" s="2"/>
      <c r="AG89" s="2">
        <f>IF($E89=4,G89-4,NA())</f>
        <v>1</v>
      </c>
      <c r="AH89" s="2"/>
      <c r="AI89" s="41">
        <f>G89-'Zusammenfassung Tag1-4'!$B$2/18</f>
        <v>4.166666666666667</v>
      </c>
      <c r="AJ89" s="13">
        <f t="shared" si="2104"/>
        <v>278.49999999999983</v>
      </c>
      <c r="AK89" s="53">
        <v>5</v>
      </c>
      <c r="AL89" s="2">
        <f t="shared" si="2105"/>
        <v>333</v>
      </c>
      <c r="AM89" s="56">
        <v>2</v>
      </c>
      <c r="AN89" s="2">
        <f t="shared" si="2106"/>
        <v>125</v>
      </c>
      <c r="AO89" s="2">
        <f t="shared" si="2036"/>
        <v>0</v>
      </c>
      <c r="AP89" s="2">
        <f t="shared" si="2107"/>
        <v>29</v>
      </c>
      <c r="AQ89" s="2">
        <f t="shared" si="2037"/>
        <v>0</v>
      </c>
      <c r="AR89" s="2">
        <f t="shared" si="2108"/>
        <v>10</v>
      </c>
      <c r="AS89" s="2"/>
      <c r="AT89" s="2">
        <f t="shared" si="2038"/>
        <v>0</v>
      </c>
      <c r="AU89" s="2">
        <f t="shared" si="2109"/>
        <v>1</v>
      </c>
      <c r="AV89" s="2">
        <f t="shared" si="2110"/>
        <v>0</v>
      </c>
      <c r="AW89" s="2">
        <f t="shared" si="2111"/>
        <v>7</v>
      </c>
      <c r="AX89" s="2">
        <f t="shared" si="2112"/>
        <v>1</v>
      </c>
      <c r="AY89" s="2">
        <f t="shared" si="2113"/>
        <v>4</v>
      </c>
      <c r="AZ89" s="2">
        <f t="shared" si="2114"/>
        <v>0</v>
      </c>
      <c r="BA89" s="2">
        <f t="shared" si="2115"/>
        <v>3</v>
      </c>
      <c r="BB89" s="2">
        <f t="shared" si="2116"/>
        <v>0</v>
      </c>
      <c r="BC89" s="2">
        <f t="shared" si="2117"/>
        <v>0</v>
      </c>
      <c r="BD89" s="2">
        <f t="shared" si="2039"/>
        <v>0</v>
      </c>
      <c r="BE89" s="2">
        <f t="shared" si="2118"/>
        <v>18</v>
      </c>
      <c r="BF89" s="2">
        <f t="shared" si="2119"/>
        <v>1</v>
      </c>
      <c r="BG89" s="2">
        <f t="shared" si="2120"/>
        <v>10</v>
      </c>
      <c r="BH89" s="2">
        <f t="shared" si="2040"/>
        <v>0</v>
      </c>
      <c r="BI89" s="2">
        <f t="shared" si="2121"/>
        <v>5</v>
      </c>
      <c r="BJ89" s="2"/>
      <c r="BK89" s="2">
        <f t="shared" ref="BK89:BK91" si="2278">IF($E89=4,AK89-4,NA())</f>
        <v>1</v>
      </c>
      <c r="BL89" s="2"/>
      <c r="BM89" s="41">
        <f>AK89-'Zusammenfassung Tag1-4'!$C$2/18</f>
        <v>4.4444444444444446</v>
      </c>
      <c r="BN89" s="13">
        <f t="shared" si="2122"/>
        <v>294.66666666666714</v>
      </c>
      <c r="BO89" s="53">
        <v>5</v>
      </c>
      <c r="BP89" s="2">
        <f t="shared" si="2123"/>
        <v>394</v>
      </c>
      <c r="BQ89" s="56">
        <v>2</v>
      </c>
      <c r="BR89" s="2">
        <f t="shared" si="2124"/>
        <v>153</v>
      </c>
      <c r="BS89" s="2">
        <f t="shared" si="2042"/>
        <v>0</v>
      </c>
      <c r="BT89" s="2">
        <f t="shared" si="2125"/>
        <v>13</v>
      </c>
      <c r="BU89" s="2">
        <f t="shared" si="2043"/>
        <v>0</v>
      </c>
      <c r="BV89" s="2">
        <f t="shared" si="2126"/>
        <v>0</v>
      </c>
      <c r="BW89" s="2"/>
      <c r="BX89" s="2">
        <f t="shared" si="2044"/>
        <v>0</v>
      </c>
      <c r="BY89" s="2">
        <f t="shared" si="2127"/>
        <v>0</v>
      </c>
      <c r="BZ89" s="2">
        <f t="shared" si="2128"/>
        <v>0</v>
      </c>
      <c r="CA89" s="2">
        <f t="shared" si="2129"/>
        <v>3</v>
      </c>
      <c r="CB89" s="2">
        <f t="shared" si="2130"/>
        <v>1</v>
      </c>
      <c r="CC89" s="2">
        <f t="shared" si="2131"/>
        <v>10</v>
      </c>
      <c r="CD89" s="2">
        <f t="shared" si="2132"/>
        <v>0</v>
      </c>
      <c r="CE89" s="2">
        <f t="shared" si="2133"/>
        <v>2</v>
      </c>
      <c r="CF89" s="2">
        <f t="shared" si="2134"/>
        <v>0</v>
      </c>
      <c r="CG89" s="2">
        <f t="shared" si="2127"/>
        <v>0</v>
      </c>
      <c r="CH89" s="2">
        <f t="shared" si="2045"/>
        <v>0</v>
      </c>
      <c r="CI89" s="2">
        <f t="shared" si="2135"/>
        <v>2</v>
      </c>
      <c r="CJ89" s="2">
        <f t="shared" si="2136"/>
        <v>1</v>
      </c>
      <c r="CK89" s="2">
        <f t="shared" si="2137"/>
        <v>14</v>
      </c>
      <c r="CL89" s="2">
        <f t="shared" si="2046"/>
        <v>0</v>
      </c>
      <c r="CM89" s="2">
        <f t="shared" si="2138"/>
        <v>17</v>
      </c>
      <c r="CN89" s="2"/>
      <c r="CO89" s="2">
        <f t="shared" ref="CO89:CO91" si="2279">IF($E89=4,BO89-4,NA())</f>
        <v>1</v>
      </c>
      <c r="CP89" s="2"/>
      <c r="CQ89" s="41">
        <f>BO89-'Zusammenfassung Tag1-4'!$D$2/18</f>
        <v>3.9444444444444446</v>
      </c>
      <c r="CR89" s="13">
        <f t="shared" si="2139"/>
        <v>321.16666666666714</v>
      </c>
      <c r="CS89" s="53">
        <v>5</v>
      </c>
      <c r="CT89" s="2">
        <f t="shared" si="2140"/>
        <v>357</v>
      </c>
      <c r="CU89" s="56">
        <v>1</v>
      </c>
      <c r="CV89" s="2">
        <f t="shared" si="2141"/>
        <v>142</v>
      </c>
      <c r="CW89" s="2">
        <f t="shared" si="2048"/>
        <v>0</v>
      </c>
      <c r="CX89" s="2">
        <f t="shared" si="2142"/>
        <v>21</v>
      </c>
      <c r="CY89" s="2">
        <f t="shared" si="2049"/>
        <v>0</v>
      </c>
      <c r="CZ89" s="2">
        <f t="shared" si="2143"/>
        <v>6</v>
      </c>
      <c r="DA89" s="2"/>
      <c r="DB89" s="2">
        <f t="shared" si="2050"/>
        <v>0</v>
      </c>
      <c r="DC89" s="2">
        <f t="shared" si="2144"/>
        <v>0</v>
      </c>
      <c r="DD89" s="2">
        <f t="shared" si="2145"/>
        <v>0</v>
      </c>
      <c r="DE89" s="2">
        <f t="shared" si="2146"/>
        <v>4</v>
      </c>
      <c r="DF89" s="2">
        <f t="shared" si="2147"/>
        <v>1</v>
      </c>
      <c r="DG89" s="2">
        <f t="shared" si="2148"/>
        <v>6</v>
      </c>
      <c r="DH89" s="2">
        <f t="shared" si="2149"/>
        <v>0</v>
      </c>
      <c r="DI89" s="2">
        <f t="shared" si="2150"/>
        <v>5</v>
      </c>
      <c r="DJ89" s="2">
        <f t="shared" si="2151"/>
        <v>0</v>
      </c>
      <c r="DK89" s="2">
        <f t="shared" si="2152"/>
        <v>0</v>
      </c>
      <c r="DL89" s="2">
        <f t="shared" si="2051"/>
        <v>1</v>
      </c>
      <c r="DM89" s="2">
        <f t="shared" si="2153"/>
        <v>13</v>
      </c>
      <c r="DN89" s="2">
        <f t="shared" si="2154"/>
        <v>0</v>
      </c>
      <c r="DO89" s="2">
        <f t="shared" si="2155"/>
        <v>11</v>
      </c>
      <c r="DP89" s="2">
        <f t="shared" si="2052"/>
        <v>0</v>
      </c>
      <c r="DQ89" s="2">
        <f t="shared" si="2156"/>
        <v>16</v>
      </c>
      <c r="DR89" s="2"/>
      <c r="DS89" s="2">
        <f t="shared" ref="DS89:DS91" si="2280">IF($E89=4,CS89-4,NA())</f>
        <v>1</v>
      </c>
      <c r="DT89" s="2"/>
      <c r="DU89" s="41">
        <f>CS89-'Zusammenfassung Tag1-4'!$E$2/18</f>
        <v>4</v>
      </c>
      <c r="DV89" s="14">
        <f t="shared" si="2157"/>
        <v>288</v>
      </c>
      <c r="DW89" s="56">
        <v>8</v>
      </c>
      <c r="DX89" s="2">
        <v>154</v>
      </c>
      <c r="DY89" s="56">
        <v>2</v>
      </c>
      <c r="DZ89" s="2">
        <f t="shared" si="2158"/>
        <v>154</v>
      </c>
      <c r="EA89" s="2">
        <f t="shared" si="2054"/>
        <v>0</v>
      </c>
      <c r="EB89" s="2">
        <f t="shared" si="2159"/>
        <v>0</v>
      </c>
      <c r="EC89" s="2">
        <f t="shared" si="2055"/>
        <v>0</v>
      </c>
      <c r="ED89" s="2">
        <f t="shared" si="2160"/>
        <v>1</v>
      </c>
      <c r="EE89" s="2"/>
      <c r="EF89" s="2">
        <f t="shared" si="2056"/>
        <v>0</v>
      </c>
      <c r="EG89" s="2">
        <f t="shared" si="2161"/>
        <v>0</v>
      </c>
      <c r="EH89" s="2">
        <f t="shared" si="2162"/>
        <v>0</v>
      </c>
      <c r="EI89" s="2">
        <f t="shared" si="2163"/>
        <v>0</v>
      </c>
      <c r="EJ89" s="2">
        <f t="shared" si="2164"/>
        <v>0</v>
      </c>
      <c r="EK89" s="2">
        <f t="shared" si="2165"/>
        <v>4</v>
      </c>
      <c r="EL89" s="2">
        <f t="shared" si="2166"/>
        <v>1</v>
      </c>
      <c r="EM89" s="2">
        <f t="shared" si="2167"/>
        <v>11</v>
      </c>
      <c r="EN89" s="2">
        <f t="shared" si="2168"/>
        <v>0</v>
      </c>
      <c r="EO89" s="2">
        <f t="shared" si="2169"/>
        <v>0</v>
      </c>
      <c r="EP89" s="2">
        <f t="shared" si="2057"/>
        <v>0</v>
      </c>
      <c r="EQ89" s="2">
        <f t="shared" si="2170"/>
        <v>6</v>
      </c>
      <c r="ER89" s="2">
        <f t="shared" si="2171"/>
        <v>1</v>
      </c>
      <c r="ES89" s="2">
        <f t="shared" si="2172"/>
        <v>9</v>
      </c>
      <c r="ET89" s="2">
        <f t="shared" si="2058"/>
        <v>0</v>
      </c>
      <c r="EU89" s="2">
        <f t="shared" si="2173"/>
        <v>21</v>
      </c>
      <c r="EV89" s="2"/>
      <c r="EW89" s="2">
        <f t="shared" ref="EW89" si="2281">IF($E89=4,DW89-4,NA())</f>
        <v>4</v>
      </c>
      <c r="EX89" s="2"/>
      <c r="EY89" s="41">
        <f>DW89-'Zusammenfassung Tag1-4'!$F$2/18</f>
        <v>5.5</v>
      </c>
      <c r="EZ89" s="14">
        <f t="shared" si="2174"/>
        <v>293.5</v>
      </c>
      <c r="FA89" s="53">
        <v>6</v>
      </c>
      <c r="FB89" s="2">
        <v>388</v>
      </c>
      <c r="FC89" s="56">
        <v>2</v>
      </c>
      <c r="FD89" s="2">
        <f t="shared" si="2175"/>
        <v>130</v>
      </c>
      <c r="FE89" s="2">
        <f t="shared" si="2060"/>
        <v>0</v>
      </c>
      <c r="FF89" s="2">
        <f t="shared" si="2176"/>
        <v>12</v>
      </c>
      <c r="FG89" s="2">
        <f t="shared" si="2061"/>
        <v>0</v>
      </c>
      <c r="FH89" s="2">
        <f t="shared" si="2177"/>
        <v>5</v>
      </c>
      <c r="FI89" s="2"/>
      <c r="FJ89" s="2">
        <f t="shared" si="2062"/>
        <v>0</v>
      </c>
      <c r="FK89" s="2">
        <f t="shared" si="2178"/>
        <v>0</v>
      </c>
      <c r="FL89" s="2">
        <f t="shared" si="2179"/>
        <v>0</v>
      </c>
      <c r="FM89" s="2">
        <f t="shared" si="2180"/>
        <v>3</v>
      </c>
      <c r="FN89" s="2">
        <f t="shared" si="2181"/>
        <v>0</v>
      </c>
      <c r="FO89" s="2">
        <f t="shared" si="2182"/>
        <v>7</v>
      </c>
      <c r="FP89" s="2">
        <f t="shared" si="2183"/>
        <v>1</v>
      </c>
      <c r="FQ89" s="2">
        <f t="shared" si="2184"/>
        <v>5</v>
      </c>
      <c r="FR89" s="2">
        <f t="shared" si="2185"/>
        <v>0</v>
      </c>
      <c r="FS89" s="2">
        <f t="shared" si="2186"/>
        <v>0</v>
      </c>
      <c r="FT89" s="2">
        <f t="shared" si="2063"/>
        <v>0</v>
      </c>
      <c r="FU89" s="2">
        <f t="shared" si="2187"/>
        <v>20</v>
      </c>
      <c r="FV89" s="2">
        <f t="shared" si="2188"/>
        <v>1</v>
      </c>
      <c r="FW89" s="2">
        <f t="shared" si="2189"/>
        <v>10</v>
      </c>
      <c r="FX89" s="2">
        <f t="shared" si="2064"/>
        <v>0</v>
      </c>
      <c r="FY89" s="2">
        <f t="shared" si="2190"/>
        <v>12</v>
      </c>
      <c r="FZ89" s="2"/>
      <c r="GA89" s="2">
        <f t="shared" ref="GA89:GA91" si="2282">IF($E89=4,FA89-4,NA())</f>
        <v>2</v>
      </c>
      <c r="GB89" s="2"/>
      <c r="GC89" s="41">
        <f>FA89-'Zusammenfassung Tag1-4'!$G$2/18</f>
        <v>4.7222222222222223</v>
      </c>
      <c r="GD89" s="14">
        <f t="shared" si="2191"/>
        <v>286.83333333333366</v>
      </c>
      <c r="GE89" s="53">
        <v>7</v>
      </c>
      <c r="GF89" s="2">
        <v>493</v>
      </c>
      <c r="GG89" s="56">
        <v>3</v>
      </c>
      <c r="GH89" s="2">
        <f t="shared" si="2192"/>
        <v>144</v>
      </c>
      <c r="GI89" s="2">
        <f t="shared" si="2066"/>
        <v>0</v>
      </c>
      <c r="GJ89" s="2">
        <f t="shared" si="2193"/>
        <v>1</v>
      </c>
      <c r="GK89" s="2">
        <f t="shared" si="2067"/>
        <v>0</v>
      </c>
      <c r="GL89" s="2">
        <f t="shared" si="2194"/>
        <v>1</v>
      </c>
      <c r="GM89" s="2"/>
      <c r="GN89" s="2">
        <f t="shared" si="2068"/>
        <v>0</v>
      </c>
      <c r="GO89" s="2">
        <f t="shared" si="2195"/>
        <v>0</v>
      </c>
      <c r="GP89" s="2">
        <f t="shared" si="2196"/>
        <v>0</v>
      </c>
      <c r="GQ89" s="2">
        <f t="shared" si="2197"/>
        <v>0</v>
      </c>
      <c r="GR89" s="2">
        <f t="shared" si="2198"/>
        <v>0</v>
      </c>
      <c r="GS89" s="2">
        <f t="shared" si="2199"/>
        <v>7</v>
      </c>
      <c r="GT89" s="2">
        <f t="shared" si="2200"/>
        <v>1</v>
      </c>
      <c r="GU89" s="2">
        <f t="shared" si="2201"/>
        <v>8</v>
      </c>
      <c r="GV89" s="2">
        <f t="shared" si="2202"/>
        <v>0</v>
      </c>
      <c r="GW89" s="2">
        <f t="shared" si="2203"/>
        <v>0</v>
      </c>
      <c r="GX89" s="2">
        <f t="shared" si="2069"/>
        <v>0</v>
      </c>
      <c r="GY89" s="2">
        <f t="shared" si="2204"/>
        <v>7</v>
      </c>
      <c r="GZ89" s="2">
        <f t="shared" si="2205"/>
        <v>0</v>
      </c>
      <c r="HA89" s="2">
        <f t="shared" si="2206"/>
        <v>13</v>
      </c>
      <c r="HB89" s="2">
        <f t="shared" si="2070"/>
        <v>1</v>
      </c>
      <c r="HC89" s="2">
        <f t="shared" si="2207"/>
        <v>13</v>
      </c>
      <c r="HD89" s="2"/>
      <c r="HE89" s="2">
        <f t="shared" ref="HE89:HE91" si="2283">IF($E89=4,GE89-4,NA())</f>
        <v>3</v>
      </c>
      <c r="HF89" s="2"/>
      <c r="HG89" s="41">
        <f>GE89-'Zusammenfassung Tag1-4'!$H$2/18</f>
        <v>5.2222222222222223</v>
      </c>
      <c r="HH89" s="14">
        <f t="shared" si="2208"/>
        <v>321.33333333333366</v>
      </c>
      <c r="HI89" s="53">
        <v>6</v>
      </c>
      <c r="HJ89" s="2">
        <v>362</v>
      </c>
      <c r="HK89" s="56">
        <v>3</v>
      </c>
      <c r="HL89" s="2">
        <f t="shared" si="2209"/>
        <v>129</v>
      </c>
      <c r="HM89" s="2">
        <f t="shared" si="2072"/>
        <v>0</v>
      </c>
      <c r="HN89" s="2">
        <f t="shared" si="2210"/>
        <v>14</v>
      </c>
      <c r="HO89" s="2">
        <f t="shared" si="2073"/>
        <v>0</v>
      </c>
      <c r="HP89" s="2">
        <f t="shared" si="2211"/>
        <v>9</v>
      </c>
      <c r="HQ89" s="2"/>
      <c r="HR89" s="2">
        <f t="shared" si="2074"/>
        <v>0</v>
      </c>
      <c r="HS89" s="2">
        <f t="shared" si="2212"/>
        <v>1</v>
      </c>
      <c r="HT89" s="2">
        <f t="shared" si="2213"/>
        <v>0</v>
      </c>
      <c r="HU89" s="2">
        <f t="shared" si="2214"/>
        <v>5</v>
      </c>
      <c r="HV89" s="2">
        <f t="shared" si="2215"/>
        <v>0</v>
      </c>
      <c r="HW89" s="2">
        <f t="shared" si="2216"/>
        <v>5</v>
      </c>
      <c r="HX89" s="2">
        <f t="shared" si="2217"/>
        <v>1</v>
      </c>
      <c r="HY89" s="2">
        <f t="shared" si="2218"/>
        <v>4</v>
      </c>
      <c r="HZ89" s="2">
        <f t="shared" si="2219"/>
        <v>0</v>
      </c>
      <c r="IA89" s="2">
        <f t="shared" si="2220"/>
        <v>0</v>
      </c>
      <c r="IB89" s="2">
        <f t="shared" si="2075"/>
        <v>0</v>
      </c>
      <c r="IC89" s="2">
        <f t="shared" si="2221"/>
        <v>18</v>
      </c>
      <c r="ID89" s="2">
        <f t="shared" si="2222"/>
        <v>0</v>
      </c>
      <c r="IE89" s="2">
        <f t="shared" si="2223"/>
        <v>8</v>
      </c>
      <c r="IF89" s="2">
        <f t="shared" si="2076"/>
        <v>1</v>
      </c>
      <c r="IG89" s="2">
        <f t="shared" si="2224"/>
        <v>11</v>
      </c>
      <c r="IH89" s="2"/>
      <c r="II89" s="2">
        <f t="shared" ref="II89:II91" si="2284">IF($E89=4,HI89-4,NA())</f>
        <v>2</v>
      </c>
      <c r="IJ89" s="2"/>
      <c r="IK89" s="41">
        <f>HI89-'Zusammenfassung Tag1-4'!$I$2/18</f>
        <v>5.1111111111111107</v>
      </c>
      <c r="IL89" s="14">
        <f t="shared" si="2225"/>
        <v>296.66666666666657</v>
      </c>
      <c r="IM89" s="53">
        <v>7</v>
      </c>
      <c r="IN89" s="2">
        <v>111</v>
      </c>
      <c r="IO89" s="56">
        <v>3</v>
      </c>
      <c r="IP89" s="2">
        <f t="shared" si="2226"/>
        <v>163</v>
      </c>
      <c r="IQ89" s="2">
        <f t="shared" si="2078"/>
        <v>0</v>
      </c>
      <c r="IR89" s="2">
        <f t="shared" si="2227"/>
        <v>8</v>
      </c>
      <c r="IS89" s="2">
        <f t="shared" si="2079"/>
        <v>0</v>
      </c>
      <c r="IT89" s="2">
        <f t="shared" si="2228"/>
        <v>1</v>
      </c>
      <c r="IU89" s="2"/>
      <c r="IV89" s="2">
        <f t="shared" si="2080"/>
        <v>0</v>
      </c>
      <c r="IW89" s="2">
        <f t="shared" si="2229"/>
        <v>0</v>
      </c>
      <c r="IX89" s="2">
        <f t="shared" si="2230"/>
        <v>0</v>
      </c>
      <c r="IY89" s="2">
        <f t="shared" si="2231"/>
        <v>0</v>
      </c>
      <c r="IZ89" s="2">
        <f t="shared" si="2232"/>
        <v>0</v>
      </c>
      <c r="JA89" s="2">
        <f t="shared" si="2233"/>
        <v>3</v>
      </c>
      <c r="JB89" s="2">
        <f t="shared" si="2234"/>
        <v>1</v>
      </c>
      <c r="JC89" s="2">
        <f t="shared" si="2235"/>
        <v>12</v>
      </c>
      <c r="JD89" s="2">
        <f t="shared" si="2236"/>
        <v>0</v>
      </c>
      <c r="JE89" s="2">
        <f t="shared" si="2237"/>
        <v>0</v>
      </c>
      <c r="JF89" s="2">
        <f t="shared" si="2081"/>
        <v>0</v>
      </c>
      <c r="JG89" s="2">
        <f t="shared" si="2238"/>
        <v>8</v>
      </c>
      <c r="JH89" s="2">
        <f t="shared" si="2239"/>
        <v>0</v>
      </c>
      <c r="JI89" s="2">
        <f t="shared" si="2240"/>
        <v>11</v>
      </c>
      <c r="JJ89" s="2">
        <f t="shared" si="2082"/>
        <v>1</v>
      </c>
      <c r="JK89" s="2">
        <f t="shared" si="2241"/>
        <v>26</v>
      </c>
      <c r="JL89" s="2"/>
      <c r="JM89" s="2">
        <f t="shared" ref="JM89:JM91" si="2285">IF($E89=4,IM89-4,NA())</f>
        <v>3</v>
      </c>
      <c r="JN89" s="2"/>
      <c r="JO89" s="41">
        <f>IM89-'Zusammenfassung Tag1-4'!$J$2/18</f>
        <v>4.6666666666666661</v>
      </c>
      <c r="JP89" s="14">
        <f t="shared" si="2242"/>
        <v>315.00000000000006</v>
      </c>
      <c r="JQ89" s="53"/>
      <c r="JR89" s="2"/>
      <c r="JS89" s="56"/>
      <c r="JT89" s="2">
        <f t="shared" si="2243"/>
        <v>0</v>
      </c>
      <c r="JU89" s="2">
        <f t="shared" si="2084"/>
        <v>1</v>
      </c>
      <c r="JV89" s="2">
        <f t="shared" si="2244"/>
        <v>69</v>
      </c>
      <c r="JW89" s="2">
        <f t="shared" si="2085"/>
        <v>0</v>
      </c>
      <c r="JX89" s="2">
        <f t="shared" si="2245"/>
        <v>0</v>
      </c>
      <c r="JY89" s="2"/>
      <c r="JZ89" s="2">
        <f t="shared" si="2086"/>
        <v>0</v>
      </c>
      <c r="KA89" s="2">
        <f t="shared" si="2246"/>
        <v>0</v>
      </c>
      <c r="KB89" s="2">
        <f t="shared" si="2247"/>
        <v>0</v>
      </c>
      <c r="KC89" s="2">
        <f t="shared" si="2248"/>
        <v>0</v>
      </c>
      <c r="KD89" s="2">
        <f t="shared" si="2249"/>
        <v>0</v>
      </c>
      <c r="KE89" s="2">
        <f t="shared" si="2250"/>
        <v>0</v>
      </c>
      <c r="KF89" s="2">
        <f t="shared" si="2251"/>
        <v>0</v>
      </c>
      <c r="KG89" s="2">
        <f t="shared" si="2252"/>
        <v>0</v>
      </c>
      <c r="KH89" s="2">
        <f t="shared" si="2253"/>
        <v>1</v>
      </c>
      <c r="KI89" s="2">
        <f t="shared" si="2254"/>
        <v>15</v>
      </c>
      <c r="KJ89" s="2">
        <f t="shared" si="2087"/>
        <v>0</v>
      </c>
      <c r="KK89" s="2">
        <f t="shared" si="2255"/>
        <v>0</v>
      </c>
      <c r="KL89" s="2">
        <f t="shared" si="2256"/>
        <v>0</v>
      </c>
      <c r="KM89" s="2">
        <f t="shared" si="2257"/>
        <v>0</v>
      </c>
      <c r="KN89" s="2">
        <f t="shared" si="2088"/>
        <v>0</v>
      </c>
      <c r="KO89" s="2">
        <f t="shared" si="2258"/>
        <v>0</v>
      </c>
      <c r="KP89" s="2"/>
      <c r="KQ89" s="2">
        <f t="shared" ref="KQ89" si="2286">IF($E89=4,JQ89-4,NA())</f>
        <v>-4</v>
      </c>
      <c r="KR89" s="2"/>
      <c r="KS89" s="41" t="e">
        <f>JQ89-'Zusammenfassung Tag1-4'!#REF!/18</f>
        <v>#REF!</v>
      </c>
      <c r="KT89" s="14" t="e">
        <f t="shared" si="2259"/>
        <v>#REF!</v>
      </c>
    </row>
    <row r="90" spans="1:306" ht="13.2" x14ac:dyDescent="0.25">
      <c r="A90" s="179"/>
      <c r="B90" s="176"/>
      <c r="C90" s="44">
        <v>16</v>
      </c>
      <c r="D90" s="2">
        <f t="shared" si="2090"/>
        <v>70</v>
      </c>
      <c r="E90" s="44">
        <v>3</v>
      </c>
      <c r="F90" s="4">
        <f t="shared" si="2091"/>
        <v>279</v>
      </c>
      <c r="G90" s="56">
        <v>4</v>
      </c>
      <c r="H90" s="2">
        <f t="shared" si="2092"/>
        <v>340</v>
      </c>
      <c r="I90" s="56">
        <v>1</v>
      </c>
      <c r="J90" s="2">
        <f t="shared" si="2093"/>
        <v>133</v>
      </c>
      <c r="K90" s="2">
        <f t="shared" si="2026"/>
        <v>0</v>
      </c>
      <c r="L90" s="2">
        <f t="shared" si="2094"/>
        <v>22</v>
      </c>
      <c r="M90" s="2">
        <f t="shared" si="2027"/>
        <v>0</v>
      </c>
      <c r="N90" s="2">
        <f t="shared" si="2095"/>
        <v>10</v>
      </c>
      <c r="O90" s="2"/>
      <c r="P90" s="2">
        <f t="shared" si="2028"/>
        <v>0</v>
      </c>
      <c r="Q90" s="2">
        <f t="shared" si="2096"/>
        <v>3</v>
      </c>
      <c r="R90" s="2">
        <f t="shared" si="2029"/>
        <v>0</v>
      </c>
      <c r="S90" s="2">
        <f t="shared" si="2097"/>
        <v>6</v>
      </c>
      <c r="T90" s="2">
        <f t="shared" si="2030"/>
        <v>1</v>
      </c>
      <c r="U90" s="2">
        <f t="shared" si="2098"/>
        <v>6</v>
      </c>
      <c r="V90" s="2">
        <f t="shared" si="2031"/>
        <v>0</v>
      </c>
      <c r="W90" s="2">
        <f t="shared" si="2099"/>
        <v>4</v>
      </c>
      <c r="X90" s="2">
        <f t="shared" si="2032"/>
        <v>0</v>
      </c>
      <c r="Y90" s="2">
        <f t="shared" si="2100"/>
        <v>0</v>
      </c>
      <c r="Z90" s="2">
        <f t="shared" si="2033"/>
        <v>1</v>
      </c>
      <c r="AA90" s="2">
        <f t="shared" si="2101"/>
        <v>14</v>
      </c>
      <c r="AB90" s="2">
        <f t="shared" si="2034"/>
        <v>0</v>
      </c>
      <c r="AC90" s="2">
        <f t="shared" si="2102"/>
        <v>9</v>
      </c>
      <c r="AD90" s="2">
        <f t="shared" si="2035"/>
        <v>0</v>
      </c>
      <c r="AE90" s="2">
        <f t="shared" si="2103"/>
        <v>10</v>
      </c>
      <c r="AF90" s="2">
        <f>IF($E90=3,G90-3,NA())</f>
        <v>1</v>
      </c>
      <c r="AG90" s="2"/>
      <c r="AH90" s="2"/>
      <c r="AI90" s="41">
        <f>G90-'Zusammenfassung Tag1-4'!$B$2/18</f>
        <v>3.1666666666666665</v>
      </c>
      <c r="AJ90" s="13">
        <f t="shared" si="2104"/>
        <v>281.66666666666652</v>
      </c>
      <c r="AK90" s="53">
        <v>3</v>
      </c>
      <c r="AL90" s="2">
        <f t="shared" si="2105"/>
        <v>336</v>
      </c>
      <c r="AM90" s="56">
        <v>2</v>
      </c>
      <c r="AN90" s="2">
        <f t="shared" si="2106"/>
        <v>127</v>
      </c>
      <c r="AO90" s="2">
        <f t="shared" si="2036"/>
        <v>1</v>
      </c>
      <c r="AP90" s="2">
        <f t="shared" si="2107"/>
        <v>30</v>
      </c>
      <c r="AQ90" s="2">
        <f t="shared" si="2037"/>
        <v>0</v>
      </c>
      <c r="AR90" s="2">
        <f t="shared" si="2108"/>
        <v>10</v>
      </c>
      <c r="AS90" s="2"/>
      <c r="AT90" s="2">
        <f t="shared" si="2038"/>
        <v>0</v>
      </c>
      <c r="AU90" s="2">
        <f t="shared" si="2109"/>
        <v>1</v>
      </c>
      <c r="AV90" s="2">
        <f t="shared" si="2110"/>
        <v>1</v>
      </c>
      <c r="AW90" s="2">
        <f t="shared" si="2111"/>
        <v>8</v>
      </c>
      <c r="AX90" s="2">
        <f t="shared" si="2112"/>
        <v>0</v>
      </c>
      <c r="AY90" s="2">
        <f t="shared" si="2113"/>
        <v>4</v>
      </c>
      <c r="AZ90" s="2">
        <f t="shared" si="2114"/>
        <v>0</v>
      </c>
      <c r="BA90" s="2">
        <f t="shared" si="2115"/>
        <v>3</v>
      </c>
      <c r="BB90" s="2">
        <f t="shared" si="2116"/>
        <v>0</v>
      </c>
      <c r="BC90" s="2">
        <f t="shared" si="2117"/>
        <v>0</v>
      </c>
      <c r="BD90" s="2">
        <f t="shared" si="2039"/>
        <v>0</v>
      </c>
      <c r="BE90" s="2">
        <f t="shared" si="2118"/>
        <v>18</v>
      </c>
      <c r="BF90" s="2">
        <f t="shared" si="2119"/>
        <v>1</v>
      </c>
      <c r="BG90" s="2">
        <f t="shared" si="2120"/>
        <v>11</v>
      </c>
      <c r="BH90" s="2">
        <f t="shared" si="2040"/>
        <v>0</v>
      </c>
      <c r="BI90" s="2">
        <f t="shared" si="2121"/>
        <v>5</v>
      </c>
      <c r="BJ90" s="2">
        <f t="shared" ref="BJ90" si="2287">IF($E90=3,AK90-3,NA())</f>
        <v>0</v>
      </c>
      <c r="BK90" s="2"/>
      <c r="BL90" s="2"/>
      <c r="BM90" s="41">
        <f>AK90-'Zusammenfassung Tag1-4'!$C$2/18</f>
        <v>2.4444444444444446</v>
      </c>
      <c r="BN90" s="13">
        <f t="shared" si="2122"/>
        <v>297.1111111111116</v>
      </c>
      <c r="BO90" s="53">
        <v>5</v>
      </c>
      <c r="BP90" s="2">
        <f t="shared" si="2123"/>
        <v>399</v>
      </c>
      <c r="BQ90" s="56">
        <v>3</v>
      </c>
      <c r="BR90" s="2">
        <f t="shared" si="2124"/>
        <v>156</v>
      </c>
      <c r="BS90" s="2">
        <f t="shared" si="2042"/>
        <v>0</v>
      </c>
      <c r="BT90" s="2">
        <f t="shared" si="2125"/>
        <v>13</v>
      </c>
      <c r="BU90" s="2">
        <f t="shared" si="2043"/>
        <v>0</v>
      </c>
      <c r="BV90" s="2">
        <f t="shared" si="2126"/>
        <v>0</v>
      </c>
      <c r="BW90" s="2"/>
      <c r="BX90" s="2">
        <f t="shared" si="2044"/>
        <v>0</v>
      </c>
      <c r="BY90" s="2">
        <f t="shared" si="2127"/>
        <v>0</v>
      </c>
      <c r="BZ90" s="2">
        <f t="shared" si="2128"/>
        <v>0</v>
      </c>
      <c r="CA90" s="2">
        <f t="shared" si="2129"/>
        <v>3</v>
      </c>
      <c r="CB90" s="2">
        <f t="shared" si="2130"/>
        <v>0</v>
      </c>
      <c r="CC90" s="2">
        <f t="shared" si="2131"/>
        <v>10</v>
      </c>
      <c r="CD90" s="2">
        <f t="shared" si="2132"/>
        <v>1</v>
      </c>
      <c r="CE90" s="2">
        <f t="shared" si="2133"/>
        <v>3</v>
      </c>
      <c r="CF90" s="2">
        <f t="shared" si="2134"/>
        <v>0</v>
      </c>
      <c r="CG90" s="2">
        <f t="shared" si="2127"/>
        <v>0</v>
      </c>
      <c r="CH90" s="2">
        <f t="shared" si="2045"/>
        <v>0</v>
      </c>
      <c r="CI90" s="2">
        <f t="shared" si="2135"/>
        <v>2</v>
      </c>
      <c r="CJ90" s="2">
        <f t="shared" si="2136"/>
        <v>0</v>
      </c>
      <c r="CK90" s="2">
        <f t="shared" si="2137"/>
        <v>14</v>
      </c>
      <c r="CL90" s="2">
        <f t="shared" si="2046"/>
        <v>1</v>
      </c>
      <c r="CM90" s="2">
        <f t="shared" si="2138"/>
        <v>18</v>
      </c>
      <c r="CN90" s="2">
        <f t="shared" ref="CN90" si="2288">IF($E90=3,BO90-3,NA())</f>
        <v>2</v>
      </c>
      <c r="CO90" s="2"/>
      <c r="CP90" s="2"/>
      <c r="CQ90" s="41">
        <f>BO90-'Zusammenfassung Tag1-4'!$D$2/18</f>
        <v>3.9444444444444446</v>
      </c>
      <c r="CR90" s="13">
        <f t="shared" si="2139"/>
        <v>325.1111111111116</v>
      </c>
      <c r="CS90" s="53">
        <v>4</v>
      </c>
      <c r="CT90" s="2">
        <f t="shared" si="2140"/>
        <v>361</v>
      </c>
      <c r="CU90" s="56">
        <v>1</v>
      </c>
      <c r="CV90" s="2">
        <f t="shared" si="2141"/>
        <v>143</v>
      </c>
      <c r="CW90" s="2">
        <f t="shared" si="2048"/>
        <v>0</v>
      </c>
      <c r="CX90" s="2">
        <f t="shared" si="2142"/>
        <v>21</v>
      </c>
      <c r="CY90" s="2">
        <f t="shared" si="2049"/>
        <v>0</v>
      </c>
      <c r="CZ90" s="2">
        <f t="shared" si="2143"/>
        <v>6</v>
      </c>
      <c r="DA90" s="2"/>
      <c r="DB90" s="2">
        <f t="shared" si="2050"/>
        <v>0</v>
      </c>
      <c r="DC90" s="2">
        <f t="shared" si="2144"/>
        <v>0</v>
      </c>
      <c r="DD90" s="2">
        <f t="shared" si="2145"/>
        <v>0</v>
      </c>
      <c r="DE90" s="2">
        <f t="shared" si="2146"/>
        <v>4</v>
      </c>
      <c r="DF90" s="2">
        <f t="shared" si="2147"/>
        <v>1</v>
      </c>
      <c r="DG90" s="2">
        <f t="shared" si="2148"/>
        <v>7</v>
      </c>
      <c r="DH90" s="2">
        <f t="shared" si="2149"/>
        <v>0</v>
      </c>
      <c r="DI90" s="2">
        <f t="shared" si="2150"/>
        <v>5</v>
      </c>
      <c r="DJ90" s="2">
        <f t="shared" si="2151"/>
        <v>0</v>
      </c>
      <c r="DK90" s="2">
        <f t="shared" si="2152"/>
        <v>0</v>
      </c>
      <c r="DL90" s="2">
        <f t="shared" si="2051"/>
        <v>1</v>
      </c>
      <c r="DM90" s="2">
        <f t="shared" si="2153"/>
        <v>14</v>
      </c>
      <c r="DN90" s="2">
        <f t="shared" si="2154"/>
        <v>0</v>
      </c>
      <c r="DO90" s="2">
        <f t="shared" si="2155"/>
        <v>11</v>
      </c>
      <c r="DP90" s="2">
        <f t="shared" si="2052"/>
        <v>0</v>
      </c>
      <c r="DQ90" s="2">
        <f t="shared" si="2156"/>
        <v>16</v>
      </c>
      <c r="DR90" s="2">
        <f t="shared" ref="DR90" si="2289">IF($E90=3,CS90-3,NA())</f>
        <v>1</v>
      </c>
      <c r="DS90" s="2"/>
      <c r="DT90" s="2"/>
      <c r="DU90" s="41">
        <f>CS90-'Zusammenfassung Tag1-4'!$E$2/18</f>
        <v>3</v>
      </c>
      <c r="DV90" s="14">
        <f t="shared" si="2157"/>
        <v>291</v>
      </c>
      <c r="DW90" s="56">
        <v>4</v>
      </c>
      <c r="DX90" s="2">
        <v>157</v>
      </c>
      <c r="DY90" s="56">
        <v>2</v>
      </c>
      <c r="DZ90" s="2">
        <f t="shared" si="2158"/>
        <v>156</v>
      </c>
      <c r="EA90" s="2">
        <f t="shared" si="2054"/>
        <v>0</v>
      </c>
      <c r="EB90" s="2">
        <f t="shared" si="2159"/>
        <v>0</v>
      </c>
      <c r="EC90" s="2">
        <f t="shared" si="2055"/>
        <v>0</v>
      </c>
      <c r="ED90" s="2">
        <f t="shared" si="2160"/>
        <v>1</v>
      </c>
      <c r="EE90" s="2"/>
      <c r="EF90" s="2">
        <f t="shared" si="2056"/>
        <v>0</v>
      </c>
      <c r="EG90" s="2">
        <f t="shared" si="2161"/>
        <v>0</v>
      </c>
      <c r="EH90" s="2">
        <f t="shared" si="2162"/>
        <v>0</v>
      </c>
      <c r="EI90" s="2">
        <f t="shared" si="2163"/>
        <v>0</v>
      </c>
      <c r="EJ90" s="2">
        <f t="shared" si="2164"/>
        <v>1</v>
      </c>
      <c r="EK90" s="2">
        <f t="shared" si="2165"/>
        <v>5</v>
      </c>
      <c r="EL90" s="2">
        <f t="shared" si="2166"/>
        <v>0</v>
      </c>
      <c r="EM90" s="2">
        <f t="shared" si="2167"/>
        <v>11</v>
      </c>
      <c r="EN90" s="2">
        <f t="shared" si="2168"/>
        <v>0</v>
      </c>
      <c r="EO90" s="2">
        <f t="shared" si="2169"/>
        <v>0</v>
      </c>
      <c r="EP90" s="2">
        <f t="shared" si="2057"/>
        <v>0</v>
      </c>
      <c r="EQ90" s="2">
        <f t="shared" si="2170"/>
        <v>6</v>
      </c>
      <c r="ER90" s="2">
        <f t="shared" si="2171"/>
        <v>1</v>
      </c>
      <c r="ES90" s="2">
        <f t="shared" si="2172"/>
        <v>10</v>
      </c>
      <c r="ET90" s="2">
        <f t="shared" si="2058"/>
        <v>0</v>
      </c>
      <c r="EU90" s="2">
        <f t="shared" si="2173"/>
        <v>21</v>
      </c>
      <c r="EV90" s="2">
        <f t="shared" ref="EV90" si="2290">IF($E90=3,DW90-3,NA())</f>
        <v>1</v>
      </c>
      <c r="EW90" s="2"/>
      <c r="EX90" s="2"/>
      <c r="EY90" s="41">
        <f>DW90-'Zusammenfassung Tag1-4'!$F$2/18</f>
        <v>1.5</v>
      </c>
      <c r="EZ90" s="14">
        <f t="shared" si="2174"/>
        <v>295</v>
      </c>
      <c r="FA90" s="53">
        <v>4</v>
      </c>
      <c r="FB90" s="2">
        <v>391</v>
      </c>
      <c r="FC90" s="56">
        <v>1</v>
      </c>
      <c r="FD90" s="2">
        <f t="shared" si="2175"/>
        <v>131</v>
      </c>
      <c r="FE90" s="2">
        <f t="shared" si="2060"/>
        <v>0</v>
      </c>
      <c r="FF90" s="2">
        <f t="shared" si="2176"/>
        <v>12</v>
      </c>
      <c r="FG90" s="2">
        <f t="shared" si="2061"/>
        <v>0</v>
      </c>
      <c r="FH90" s="2">
        <f t="shared" si="2177"/>
        <v>5</v>
      </c>
      <c r="FI90" s="2"/>
      <c r="FJ90" s="2">
        <f t="shared" si="2062"/>
        <v>0</v>
      </c>
      <c r="FK90" s="2">
        <f t="shared" si="2178"/>
        <v>0</v>
      </c>
      <c r="FL90" s="2">
        <f t="shared" si="2179"/>
        <v>0</v>
      </c>
      <c r="FM90" s="2">
        <f t="shared" si="2180"/>
        <v>3</v>
      </c>
      <c r="FN90" s="2">
        <f t="shared" si="2181"/>
        <v>1</v>
      </c>
      <c r="FO90" s="2">
        <f t="shared" si="2182"/>
        <v>8</v>
      </c>
      <c r="FP90" s="2">
        <f t="shared" si="2183"/>
        <v>0</v>
      </c>
      <c r="FQ90" s="2">
        <f t="shared" si="2184"/>
        <v>5</v>
      </c>
      <c r="FR90" s="2">
        <f t="shared" si="2185"/>
        <v>0</v>
      </c>
      <c r="FS90" s="2">
        <f t="shared" si="2186"/>
        <v>0</v>
      </c>
      <c r="FT90" s="2">
        <f t="shared" si="2063"/>
        <v>1</v>
      </c>
      <c r="FU90" s="2">
        <f t="shared" si="2187"/>
        <v>21</v>
      </c>
      <c r="FV90" s="2">
        <f t="shared" si="2188"/>
        <v>0</v>
      </c>
      <c r="FW90" s="2">
        <f t="shared" si="2189"/>
        <v>10</v>
      </c>
      <c r="FX90" s="2">
        <f t="shared" si="2064"/>
        <v>0</v>
      </c>
      <c r="FY90" s="2">
        <f t="shared" si="2190"/>
        <v>12</v>
      </c>
      <c r="FZ90" s="2">
        <f t="shared" ref="FZ90" si="2291">IF($E90=3,FA90-3,NA())</f>
        <v>1</v>
      </c>
      <c r="GA90" s="2"/>
      <c r="GB90" s="2"/>
      <c r="GC90" s="41">
        <f>FA90-'Zusammenfassung Tag1-4'!$G$2/18</f>
        <v>2.7222222222222223</v>
      </c>
      <c r="GD90" s="14">
        <f t="shared" si="2191"/>
        <v>289.55555555555588</v>
      </c>
      <c r="GE90" s="53">
        <v>5</v>
      </c>
      <c r="GF90" s="2">
        <v>497</v>
      </c>
      <c r="GG90" s="56">
        <v>4</v>
      </c>
      <c r="GH90" s="2">
        <f t="shared" si="2192"/>
        <v>148</v>
      </c>
      <c r="GI90" s="2">
        <f t="shared" si="2066"/>
        <v>1</v>
      </c>
      <c r="GJ90" s="2">
        <f t="shared" si="2193"/>
        <v>2</v>
      </c>
      <c r="GK90" s="2">
        <f t="shared" si="2067"/>
        <v>0</v>
      </c>
      <c r="GL90" s="2">
        <f t="shared" si="2194"/>
        <v>1</v>
      </c>
      <c r="GM90" s="2"/>
      <c r="GN90" s="2">
        <f t="shared" si="2068"/>
        <v>0</v>
      </c>
      <c r="GO90" s="2">
        <f t="shared" si="2195"/>
        <v>0</v>
      </c>
      <c r="GP90" s="2">
        <f t="shared" si="2196"/>
        <v>0</v>
      </c>
      <c r="GQ90" s="2">
        <f t="shared" si="2197"/>
        <v>0</v>
      </c>
      <c r="GR90" s="2">
        <f t="shared" si="2198"/>
        <v>0</v>
      </c>
      <c r="GS90" s="2">
        <f t="shared" si="2199"/>
        <v>7</v>
      </c>
      <c r="GT90" s="2">
        <f t="shared" si="2200"/>
        <v>1</v>
      </c>
      <c r="GU90" s="2">
        <f t="shared" si="2201"/>
        <v>9</v>
      </c>
      <c r="GV90" s="2">
        <f t="shared" si="2202"/>
        <v>0</v>
      </c>
      <c r="GW90" s="2">
        <f t="shared" si="2203"/>
        <v>0</v>
      </c>
      <c r="GX90" s="2">
        <f t="shared" si="2069"/>
        <v>0</v>
      </c>
      <c r="GY90" s="2">
        <f t="shared" si="2204"/>
        <v>7</v>
      </c>
      <c r="GZ90" s="2">
        <f t="shared" si="2205"/>
        <v>0</v>
      </c>
      <c r="HA90" s="2">
        <f t="shared" si="2206"/>
        <v>13</v>
      </c>
      <c r="HB90" s="2">
        <f t="shared" si="2070"/>
        <v>1</v>
      </c>
      <c r="HC90" s="2">
        <f t="shared" si="2207"/>
        <v>14</v>
      </c>
      <c r="HD90" s="2">
        <f t="shared" ref="HD90" si="2292">IF($E90=3,GE90-3,NA())</f>
        <v>2</v>
      </c>
      <c r="HE90" s="2"/>
      <c r="HF90" s="2"/>
      <c r="HG90" s="41">
        <f>GE90-'Zusammenfassung Tag1-4'!$H$2/18</f>
        <v>3.2222222222222223</v>
      </c>
      <c r="HH90" s="14">
        <f t="shared" si="2208"/>
        <v>324.55555555555588</v>
      </c>
      <c r="HI90" s="53">
        <v>6</v>
      </c>
      <c r="HJ90" s="2">
        <v>366</v>
      </c>
      <c r="HK90" s="56">
        <v>1</v>
      </c>
      <c r="HL90" s="2">
        <f t="shared" si="2209"/>
        <v>130</v>
      </c>
      <c r="HM90" s="2">
        <f t="shared" si="2072"/>
        <v>0</v>
      </c>
      <c r="HN90" s="2">
        <f t="shared" si="2210"/>
        <v>14</v>
      </c>
      <c r="HO90" s="2">
        <f t="shared" si="2073"/>
        <v>0</v>
      </c>
      <c r="HP90" s="2">
        <f t="shared" si="2211"/>
        <v>9</v>
      </c>
      <c r="HQ90" s="2"/>
      <c r="HR90" s="2">
        <f t="shared" si="2074"/>
        <v>0</v>
      </c>
      <c r="HS90" s="2">
        <f t="shared" si="2212"/>
        <v>1</v>
      </c>
      <c r="HT90" s="2">
        <f t="shared" si="2213"/>
        <v>0</v>
      </c>
      <c r="HU90" s="2">
        <f t="shared" si="2214"/>
        <v>5</v>
      </c>
      <c r="HV90" s="2">
        <f t="shared" si="2215"/>
        <v>0</v>
      </c>
      <c r="HW90" s="2">
        <f t="shared" si="2216"/>
        <v>5</v>
      </c>
      <c r="HX90" s="2">
        <f t="shared" si="2217"/>
        <v>1</v>
      </c>
      <c r="HY90" s="2">
        <f t="shared" si="2218"/>
        <v>5</v>
      </c>
      <c r="HZ90" s="2">
        <f t="shared" si="2219"/>
        <v>0</v>
      </c>
      <c r="IA90" s="2">
        <f t="shared" si="2220"/>
        <v>0</v>
      </c>
      <c r="IB90" s="2">
        <f t="shared" si="2075"/>
        <v>1</v>
      </c>
      <c r="IC90" s="2">
        <f t="shared" si="2221"/>
        <v>19</v>
      </c>
      <c r="ID90" s="2">
        <f t="shared" si="2222"/>
        <v>0</v>
      </c>
      <c r="IE90" s="2">
        <f t="shared" si="2223"/>
        <v>8</v>
      </c>
      <c r="IF90" s="2">
        <f t="shared" si="2076"/>
        <v>0</v>
      </c>
      <c r="IG90" s="2">
        <f t="shared" si="2224"/>
        <v>11</v>
      </c>
      <c r="IH90" s="2">
        <f t="shared" ref="IH90" si="2293">IF($E90=3,HI90-3,NA())</f>
        <v>3</v>
      </c>
      <c r="II90" s="2"/>
      <c r="IJ90" s="2"/>
      <c r="IK90" s="41">
        <f>HI90-'Zusammenfassung Tag1-4'!$I$2/18</f>
        <v>5.1111111111111107</v>
      </c>
      <c r="IL90" s="14">
        <f t="shared" si="2225"/>
        <v>301.77777777777766</v>
      </c>
      <c r="IM90" s="53">
        <v>4</v>
      </c>
      <c r="IN90" s="2">
        <v>118</v>
      </c>
      <c r="IO90" s="56">
        <v>2</v>
      </c>
      <c r="IP90" s="2">
        <f t="shared" si="2226"/>
        <v>165</v>
      </c>
      <c r="IQ90" s="2">
        <f t="shared" si="2078"/>
        <v>0</v>
      </c>
      <c r="IR90" s="2">
        <f t="shared" si="2227"/>
        <v>8</v>
      </c>
      <c r="IS90" s="2">
        <f t="shared" si="2079"/>
        <v>0</v>
      </c>
      <c r="IT90" s="2">
        <f t="shared" si="2228"/>
        <v>1</v>
      </c>
      <c r="IU90" s="2"/>
      <c r="IV90" s="2">
        <f t="shared" si="2080"/>
        <v>0</v>
      </c>
      <c r="IW90" s="2">
        <f t="shared" si="2229"/>
        <v>0</v>
      </c>
      <c r="IX90" s="2">
        <f t="shared" si="2230"/>
        <v>0</v>
      </c>
      <c r="IY90" s="2">
        <f t="shared" si="2231"/>
        <v>0</v>
      </c>
      <c r="IZ90" s="2">
        <f t="shared" si="2232"/>
        <v>1</v>
      </c>
      <c r="JA90" s="2">
        <f t="shared" si="2233"/>
        <v>4</v>
      </c>
      <c r="JB90" s="2">
        <f t="shared" si="2234"/>
        <v>0</v>
      </c>
      <c r="JC90" s="2">
        <f t="shared" si="2235"/>
        <v>12</v>
      </c>
      <c r="JD90" s="2">
        <f t="shared" si="2236"/>
        <v>0</v>
      </c>
      <c r="JE90" s="2">
        <f t="shared" si="2237"/>
        <v>0</v>
      </c>
      <c r="JF90" s="2">
        <f t="shared" si="2081"/>
        <v>0</v>
      </c>
      <c r="JG90" s="2">
        <f t="shared" si="2238"/>
        <v>8</v>
      </c>
      <c r="JH90" s="2">
        <f t="shared" si="2239"/>
        <v>1</v>
      </c>
      <c r="JI90" s="2">
        <f t="shared" si="2240"/>
        <v>12</v>
      </c>
      <c r="JJ90" s="2">
        <f t="shared" si="2082"/>
        <v>0</v>
      </c>
      <c r="JK90" s="2">
        <f t="shared" si="2241"/>
        <v>26</v>
      </c>
      <c r="JL90" s="2">
        <f t="shared" ref="JL90" si="2294">IF($E90=3,IM90-3,NA())</f>
        <v>1</v>
      </c>
      <c r="JM90" s="2"/>
      <c r="JN90" s="2"/>
      <c r="JO90" s="41">
        <f>IM90-'Zusammenfassung Tag1-4'!$J$2/18</f>
        <v>1.6666666666666665</v>
      </c>
      <c r="JP90" s="14">
        <f t="shared" si="2242"/>
        <v>316.66666666666674</v>
      </c>
      <c r="JQ90" s="53"/>
      <c r="JR90" s="2"/>
      <c r="JS90" s="56"/>
      <c r="JT90" s="2">
        <f t="shared" si="2243"/>
        <v>0</v>
      </c>
      <c r="JU90" s="2">
        <f t="shared" si="2084"/>
        <v>1</v>
      </c>
      <c r="JV90" s="2">
        <f t="shared" si="2244"/>
        <v>70</v>
      </c>
      <c r="JW90" s="2">
        <f t="shared" si="2085"/>
        <v>0</v>
      </c>
      <c r="JX90" s="2">
        <f t="shared" si="2245"/>
        <v>0</v>
      </c>
      <c r="JY90" s="2"/>
      <c r="JZ90" s="2">
        <f t="shared" si="2086"/>
        <v>0</v>
      </c>
      <c r="KA90" s="2">
        <f t="shared" si="2246"/>
        <v>0</v>
      </c>
      <c r="KB90" s="2">
        <f t="shared" si="2247"/>
        <v>0</v>
      </c>
      <c r="KC90" s="2">
        <f t="shared" si="2248"/>
        <v>0</v>
      </c>
      <c r="KD90" s="2">
        <f t="shared" si="2249"/>
        <v>0</v>
      </c>
      <c r="KE90" s="2">
        <f t="shared" si="2250"/>
        <v>0</v>
      </c>
      <c r="KF90" s="2">
        <f t="shared" si="2251"/>
        <v>0</v>
      </c>
      <c r="KG90" s="2">
        <f t="shared" si="2252"/>
        <v>0</v>
      </c>
      <c r="KH90" s="2">
        <f t="shared" si="2253"/>
        <v>1</v>
      </c>
      <c r="KI90" s="2">
        <f t="shared" si="2254"/>
        <v>16</v>
      </c>
      <c r="KJ90" s="2">
        <f t="shared" si="2087"/>
        <v>0</v>
      </c>
      <c r="KK90" s="2">
        <f t="shared" si="2255"/>
        <v>0</v>
      </c>
      <c r="KL90" s="2">
        <f t="shared" si="2256"/>
        <v>0</v>
      </c>
      <c r="KM90" s="2">
        <f t="shared" si="2257"/>
        <v>0</v>
      </c>
      <c r="KN90" s="2">
        <f t="shared" si="2088"/>
        <v>0</v>
      </c>
      <c r="KO90" s="2">
        <f t="shared" si="2258"/>
        <v>0</v>
      </c>
      <c r="KP90" s="2">
        <f t="shared" ref="KP90" si="2295">IF($E90=3,JQ90-3,NA())</f>
        <v>-3</v>
      </c>
      <c r="KQ90" s="2"/>
      <c r="KR90" s="2"/>
      <c r="KS90" s="41" t="e">
        <f>JQ90-'Zusammenfassung Tag1-4'!#REF!/18</f>
        <v>#REF!</v>
      </c>
      <c r="KT90" s="14" t="e">
        <f t="shared" si="2259"/>
        <v>#REF!</v>
      </c>
    </row>
    <row r="91" spans="1:306" ht="13.2" x14ac:dyDescent="0.25">
      <c r="A91" s="179"/>
      <c r="B91" s="176"/>
      <c r="C91" s="44">
        <v>17</v>
      </c>
      <c r="D91" s="2">
        <f t="shared" si="2090"/>
        <v>71</v>
      </c>
      <c r="E91" s="44">
        <v>5</v>
      </c>
      <c r="F91" s="4">
        <f t="shared" si="2091"/>
        <v>284</v>
      </c>
      <c r="G91" s="56">
        <v>6</v>
      </c>
      <c r="H91" s="2">
        <f t="shared" si="2092"/>
        <v>346</v>
      </c>
      <c r="I91" s="56">
        <v>1</v>
      </c>
      <c r="J91" s="2">
        <f t="shared" si="2093"/>
        <v>134</v>
      </c>
      <c r="K91" s="2">
        <f t="shared" si="2026"/>
        <v>0</v>
      </c>
      <c r="L91" s="2">
        <f t="shared" si="2094"/>
        <v>22</v>
      </c>
      <c r="M91" s="2">
        <f t="shared" si="2027"/>
        <v>0</v>
      </c>
      <c r="N91" s="2">
        <f t="shared" si="2095"/>
        <v>10</v>
      </c>
      <c r="O91" s="2"/>
      <c r="P91" s="2">
        <f t="shared" si="2028"/>
        <v>0</v>
      </c>
      <c r="Q91" s="2">
        <f t="shared" si="2096"/>
        <v>3</v>
      </c>
      <c r="R91" s="2">
        <f t="shared" si="2029"/>
        <v>0</v>
      </c>
      <c r="S91" s="2">
        <f t="shared" si="2097"/>
        <v>6</v>
      </c>
      <c r="T91" s="2">
        <f t="shared" si="2030"/>
        <v>1</v>
      </c>
      <c r="U91" s="2">
        <f t="shared" si="2098"/>
        <v>7</v>
      </c>
      <c r="V91" s="2">
        <f t="shared" si="2031"/>
        <v>0</v>
      </c>
      <c r="W91" s="2">
        <f t="shared" si="2099"/>
        <v>4</v>
      </c>
      <c r="X91" s="2">
        <f t="shared" si="2032"/>
        <v>0</v>
      </c>
      <c r="Y91" s="2">
        <f t="shared" si="2100"/>
        <v>0</v>
      </c>
      <c r="Z91" s="2">
        <f t="shared" si="2033"/>
        <v>1</v>
      </c>
      <c r="AA91" s="2">
        <f t="shared" si="2101"/>
        <v>15</v>
      </c>
      <c r="AB91" s="2">
        <f t="shared" si="2034"/>
        <v>0</v>
      </c>
      <c r="AC91" s="2">
        <f t="shared" si="2102"/>
        <v>9</v>
      </c>
      <c r="AD91" s="2">
        <f t="shared" si="2035"/>
        <v>0</v>
      </c>
      <c r="AE91" s="2">
        <f t="shared" si="2103"/>
        <v>10</v>
      </c>
      <c r="AF91" s="2"/>
      <c r="AG91" s="2"/>
      <c r="AH91" s="2">
        <f>IF($E91=5,G91-5,NA())</f>
        <v>1</v>
      </c>
      <c r="AI91" s="41">
        <f>G91-'Zusammenfassung Tag1-4'!$B$2/18</f>
        <v>5.166666666666667</v>
      </c>
      <c r="AJ91" s="13">
        <f t="shared" si="2104"/>
        <v>286.8333333333332</v>
      </c>
      <c r="AK91" s="53">
        <v>7</v>
      </c>
      <c r="AL91" s="2">
        <f t="shared" si="2105"/>
        <v>343</v>
      </c>
      <c r="AM91" s="56">
        <v>2</v>
      </c>
      <c r="AN91" s="2">
        <f t="shared" si="2106"/>
        <v>129</v>
      </c>
      <c r="AO91" s="2">
        <f t="shared" si="2036"/>
        <v>0</v>
      </c>
      <c r="AP91" s="2">
        <f t="shared" si="2107"/>
        <v>30</v>
      </c>
      <c r="AQ91" s="2">
        <f t="shared" si="2037"/>
        <v>0</v>
      </c>
      <c r="AR91" s="2">
        <f t="shared" si="2108"/>
        <v>10</v>
      </c>
      <c r="AS91" s="2"/>
      <c r="AT91" s="2">
        <f t="shared" si="2038"/>
        <v>0</v>
      </c>
      <c r="AU91" s="2">
        <f t="shared" si="2109"/>
        <v>1</v>
      </c>
      <c r="AV91" s="2">
        <f t="shared" si="2110"/>
        <v>0</v>
      </c>
      <c r="AW91" s="2">
        <f t="shared" si="2111"/>
        <v>8</v>
      </c>
      <c r="AX91" s="2">
        <f t="shared" si="2112"/>
        <v>0</v>
      </c>
      <c r="AY91" s="2">
        <f t="shared" si="2113"/>
        <v>4</v>
      </c>
      <c r="AZ91" s="2">
        <f t="shared" si="2114"/>
        <v>1</v>
      </c>
      <c r="BA91" s="2">
        <f t="shared" si="2115"/>
        <v>4</v>
      </c>
      <c r="BB91" s="2">
        <f t="shared" si="2116"/>
        <v>0</v>
      </c>
      <c r="BC91" s="2">
        <f t="shared" si="2117"/>
        <v>0</v>
      </c>
      <c r="BD91" s="2">
        <f t="shared" si="2039"/>
        <v>0</v>
      </c>
      <c r="BE91" s="2">
        <f t="shared" si="2118"/>
        <v>18</v>
      </c>
      <c r="BF91" s="2">
        <f t="shared" si="2119"/>
        <v>1</v>
      </c>
      <c r="BG91" s="2">
        <f t="shared" si="2120"/>
        <v>12</v>
      </c>
      <c r="BH91" s="2">
        <f t="shared" si="2040"/>
        <v>0</v>
      </c>
      <c r="BI91" s="2">
        <f t="shared" si="2121"/>
        <v>5</v>
      </c>
      <c r="BJ91" s="2"/>
      <c r="BK91" s="2"/>
      <c r="BL91" s="2">
        <f t="shared" ref="BL91" si="2296">IF($E91=5,AK91-5,NA())</f>
        <v>2</v>
      </c>
      <c r="BM91" s="41">
        <f>AK91-'Zusammenfassung Tag1-4'!$C$2/18</f>
        <v>6.4444444444444446</v>
      </c>
      <c r="BN91" s="13">
        <f t="shared" si="2122"/>
        <v>303.55555555555605</v>
      </c>
      <c r="BO91" s="53">
        <v>7</v>
      </c>
      <c r="BP91" s="2">
        <f t="shared" si="2123"/>
        <v>406</v>
      </c>
      <c r="BQ91" s="56">
        <v>2</v>
      </c>
      <c r="BR91" s="2">
        <f t="shared" si="2124"/>
        <v>158</v>
      </c>
      <c r="BS91" s="2">
        <f t="shared" si="2042"/>
        <v>0</v>
      </c>
      <c r="BT91" s="2">
        <f t="shared" si="2125"/>
        <v>13</v>
      </c>
      <c r="BU91" s="2">
        <f t="shared" si="2043"/>
        <v>0</v>
      </c>
      <c r="BV91" s="2">
        <f t="shared" si="2126"/>
        <v>0</v>
      </c>
      <c r="BW91" s="2"/>
      <c r="BX91" s="2">
        <f t="shared" si="2044"/>
        <v>0</v>
      </c>
      <c r="BY91" s="2">
        <f t="shared" si="2127"/>
        <v>0</v>
      </c>
      <c r="BZ91" s="2">
        <f t="shared" si="2128"/>
        <v>0</v>
      </c>
      <c r="CA91" s="2">
        <f t="shared" si="2129"/>
        <v>3</v>
      </c>
      <c r="CB91" s="2">
        <f t="shared" si="2130"/>
        <v>0</v>
      </c>
      <c r="CC91" s="2">
        <f t="shared" si="2131"/>
        <v>10</v>
      </c>
      <c r="CD91" s="2">
        <f t="shared" si="2132"/>
        <v>1</v>
      </c>
      <c r="CE91" s="2">
        <f t="shared" si="2133"/>
        <v>4</v>
      </c>
      <c r="CF91" s="2">
        <f t="shared" si="2134"/>
        <v>0</v>
      </c>
      <c r="CG91" s="2">
        <f t="shared" si="2127"/>
        <v>0</v>
      </c>
      <c r="CH91" s="2">
        <f t="shared" si="2045"/>
        <v>0</v>
      </c>
      <c r="CI91" s="2">
        <f t="shared" si="2135"/>
        <v>2</v>
      </c>
      <c r="CJ91" s="2">
        <f t="shared" si="2136"/>
        <v>1</v>
      </c>
      <c r="CK91" s="2">
        <f t="shared" si="2137"/>
        <v>15</v>
      </c>
      <c r="CL91" s="2">
        <f t="shared" si="2046"/>
        <v>0</v>
      </c>
      <c r="CM91" s="2">
        <f t="shared" si="2138"/>
        <v>18</v>
      </c>
      <c r="CN91" s="2"/>
      <c r="CO91" s="2"/>
      <c r="CP91" s="2">
        <f t="shared" ref="CP91" si="2297">IF($E91=5,BO91-5,NA())</f>
        <v>2</v>
      </c>
      <c r="CQ91" s="41">
        <f>BO91-'Zusammenfassung Tag1-4'!$D$2/18</f>
        <v>5.9444444444444446</v>
      </c>
      <c r="CR91" s="13">
        <f t="shared" si="2139"/>
        <v>331.05555555555605</v>
      </c>
      <c r="CS91" s="53">
        <v>7</v>
      </c>
      <c r="CT91" s="2">
        <f t="shared" si="2140"/>
        <v>368</v>
      </c>
      <c r="CU91" s="56">
        <v>2</v>
      </c>
      <c r="CV91" s="2">
        <f t="shared" si="2141"/>
        <v>145</v>
      </c>
      <c r="CW91" s="2">
        <f t="shared" si="2048"/>
        <v>0</v>
      </c>
      <c r="CX91" s="2">
        <f t="shared" si="2142"/>
        <v>21</v>
      </c>
      <c r="CY91" s="2">
        <f t="shared" si="2049"/>
        <v>0</v>
      </c>
      <c r="CZ91" s="2">
        <f t="shared" si="2143"/>
        <v>6</v>
      </c>
      <c r="DA91" s="2"/>
      <c r="DB91" s="2">
        <f t="shared" si="2050"/>
        <v>0</v>
      </c>
      <c r="DC91" s="2">
        <f t="shared" si="2144"/>
        <v>0</v>
      </c>
      <c r="DD91" s="2">
        <f t="shared" si="2145"/>
        <v>0</v>
      </c>
      <c r="DE91" s="2">
        <f t="shared" si="2146"/>
        <v>4</v>
      </c>
      <c r="DF91" s="2">
        <f t="shared" si="2147"/>
        <v>0</v>
      </c>
      <c r="DG91" s="2">
        <f t="shared" si="2148"/>
        <v>7</v>
      </c>
      <c r="DH91" s="2">
        <f t="shared" si="2149"/>
        <v>1</v>
      </c>
      <c r="DI91" s="2">
        <f t="shared" si="2150"/>
        <v>6</v>
      </c>
      <c r="DJ91" s="2">
        <f t="shared" si="2151"/>
        <v>0</v>
      </c>
      <c r="DK91" s="2">
        <f t="shared" si="2152"/>
        <v>0</v>
      </c>
      <c r="DL91" s="2">
        <f t="shared" si="2051"/>
        <v>0</v>
      </c>
      <c r="DM91" s="2">
        <f t="shared" si="2153"/>
        <v>14</v>
      </c>
      <c r="DN91" s="2">
        <f t="shared" si="2154"/>
        <v>1</v>
      </c>
      <c r="DO91" s="2">
        <f t="shared" si="2155"/>
        <v>12</v>
      </c>
      <c r="DP91" s="2">
        <f t="shared" si="2052"/>
        <v>0</v>
      </c>
      <c r="DQ91" s="2">
        <f t="shared" si="2156"/>
        <v>16</v>
      </c>
      <c r="DR91" s="2"/>
      <c r="DS91" s="2"/>
      <c r="DT91" s="2">
        <f t="shared" ref="DT91" si="2298">IF($E91=5,CS91-5,NA())</f>
        <v>2</v>
      </c>
      <c r="DU91" s="41">
        <f>CS91-'Zusammenfassung Tag1-4'!$E$2/18</f>
        <v>6</v>
      </c>
      <c r="DV91" s="14">
        <f t="shared" si="2157"/>
        <v>297</v>
      </c>
      <c r="DW91" s="56">
        <v>8</v>
      </c>
      <c r="DX91" s="2">
        <v>161</v>
      </c>
      <c r="DY91" s="56">
        <v>2</v>
      </c>
      <c r="DZ91" s="2">
        <f t="shared" si="2158"/>
        <v>158</v>
      </c>
      <c r="EA91" s="2">
        <f t="shared" si="2054"/>
        <v>0</v>
      </c>
      <c r="EB91" s="2">
        <f t="shared" si="2159"/>
        <v>0</v>
      </c>
      <c r="EC91" s="2">
        <f t="shared" si="2055"/>
        <v>0</v>
      </c>
      <c r="ED91" s="2">
        <f t="shared" si="2160"/>
        <v>1</v>
      </c>
      <c r="EE91" s="2"/>
      <c r="EF91" s="2">
        <f t="shared" si="2056"/>
        <v>0</v>
      </c>
      <c r="EG91" s="2">
        <f t="shared" si="2161"/>
        <v>0</v>
      </c>
      <c r="EH91" s="2">
        <f t="shared" si="2162"/>
        <v>0</v>
      </c>
      <c r="EI91" s="2">
        <f t="shared" si="2163"/>
        <v>0</v>
      </c>
      <c r="EJ91" s="2">
        <f t="shared" si="2164"/>
        <v>0</v>
      </c>
      <c r="EK91" s="2">
        <f t="shared" si="2165"/>
        <v>5</v>
      </c>
      <c r="EL91" s="2">
        <f t="shared" si="2166"/>
        <v>1</v>
      </c>
      <c r="EM91" s="2">
        <f t="shared" si="2167"/>
        <v>12</v>
      </c>
      <c r="EN91" s="2">
        <f t="shared" si="2168"/>
        <v>0</v>
      </c>
      <c r="EO91" s="2">
        <f t="shared" si="2169"/>
        <v>0</v>
      </c>
      <c r="EP91" s="2">
        <f t="shared" si="2057"/>
        <v>0</v>
      </c>
      <c r="EQ91" s="2">
        <f t="shared" si="2170"/>
        <v>6</v>
      </c>
      <c r="ER91" s="2">
        <f t="shared" si="2171"/>
        <v>1</v>
      </c>
      <c r="ES91" s="2">
        <f t="shared" si="2172"/>
        <v>11</v>
      </c>
      <c r="ET91" s="2">
        <f t="shared" si="2058"/>
        <v>0</v>
      </c>
      <c r="EU91" s="2">
        <f t="shared" si="2173"/>
        <v>21</v>
      </c>
      <c r="EV91" s="2"/>
      <c r="EW91" s="2"/>
      <c r="EX91" s="2">
        <f t="shared" ref="EX91" si="2299">IF($E91=5,DW91-5,NA())</f>
        <v>3</v>
      </c>
      <c r="EY91" s="41">
        <f>DW91-'Zusammenfassung Tag1-4'!$F$2/18</f>
        <v>5.5</v>
      </c>
      <c r="EZ91" s="14">
        <f t="shared" si="2174"/>
        <v>300.5</v>
      </c>
      <c r="FA91" s="53">
        <v>6</v>
      </c>
      <c r="FB91" s="2">
        <v>397</v>
      </c>
      <c r="FC91" s="56">
        <v>1</v>
      </c>
      <c r="FD91" s="2">
        <f t="shared" si="2175"/>
        <v>132</v>
      </c>
      <c r="FE91" s="2">
        <f t="shared" si="2060"/>
        <v>0</v>
      </c>
      <c r="FF91" s="2">
        <f t="shared" si="2176"/>
        <v>12</v>
      </c>
      <c r="FG91" s="2">
        <f t="shared" si="2061"/>
        <v>0</v>
      </c>
      <c r="FH91" s="2">
        <f t="shared" si="2177"/>
        <v>5</v>
      </c>
      <c r="FI91" s="2"/>
      <c r="FJ91" s="2">
        <f t="shared" si="2062"/>
        <v>0</v>
      </c>
      <c r="FK91" s="2">
        <f t="shared" si="2178"/>
        <v>0</v>
      </c>
      <c r="FL91" s="2">
        <f t="shared" si="2179"/>
        <v>0</v>
      </c>
      <c r="FM91" s="2">
        <f t="shared" si="2180"/>
        <v>3</v>
      </c>
      <c r="FN91" s="2">
        <f t="shared" si="2181"/>
        <v>1</v>
      </c>
      <c r="FO91" s="2">
        <f t="shared" si="2182"/>
        <v>9</v>
      </c>
      <c r="FP91" s="2">
        <f t="shared" si="2183"/>
        <v>0</v>
      </c>
      <c r="FQ91" s="2">
        <f t="shared" si="2184"/>
        <v>5</v>
      </c>
      <c r="FR91" s="2">
        <f t="shared" si="2185"/>
        <v>0</v>
      </c>
      <c r="FS91" s="2">
        <f t="shared" si="2186"/>
        <v>0</v>
      </c>
      <c r="FT91" s="2">
        <f t="shared" si="2063"/>
        <v>1</v>
      </c>
      <c r="FU91" s="2">
        <f t="shared" si="2187"/>
        <v>22</v>
      </c>
      <c r="FV91" s="2">
        <f t="shared" si="2188"/>
        <v>0</v>
      </c>
      <c r="FW91" s="2">
        <f t="shared" si="2189"/>
        <v>10</v>
      </c>
      <c r="FX91" s="2">
        <f t="shared" si="2064"/>
        <v>0</v>
      </c>
      <c r="FY91" s="2">
        <f t="shared" si="2190"/>
        <v>12</v>
      </c>
      <c r="FZ91" s="2"/>
      <c r="GA91" s="2"/>
      <c r="GB91" s="2">
        <f t="shared" ref="GB91" si="2300">IF($E91=5,FA91-5,NA())</f>
        <v>1</v>
      </c>
      <c r="GC91" s="41">
        <f>FA91-'Zusammenfassung Tag1-4'!$G$2/18</f>
        <v>4.7222222222222223</v>
      </c>
      <c r="GD91" s="14">
        <f t="shared" si="2191"/>
        <v>294.27777777777811</v>
      </c>
      <c r="GE91" s="53">
        <v>7</v>
      </c>
      <c r="GF91" s="2">
        <v>507</v>
      </c>
      <c r="GG91" s="56">
        <v>2</v>
      </c>
      <c r="GH91" s="2">
        <f t="shared" si="2192"/>
        <v>150</v>
      </c>
      <c r="GI91" s="2">
        <f t="shared" si="2066"/>
        <v>0</v>
      </c>
      <c r="GJ91" s="2">
        <f t="shared" si="2193"/>
        <v>2</v>
      </c>
      <c r="GK91" s="2">
        <f t="shared" si="2067"/>
        <v>0</v>
      </c>
      <c r="GL91" s="2">
        <f t="shared" si="2194"/>
        <v>1</v>
      </c>
      <c r="GM91" s="2"/>
      <c r="GN91" s="2">
        <f t="shared" si="2068"/>
        <v>0</v>
      </c>
      <c r="GO91" s="2">
        <f t="shared" si="2195"/>
        <v>0</v>
      </c>
      <c r="GP91" s="2">
        <f t="shared" si="2196"/>
        <v>0</v>
      </c>
      <c r="GQ91" s="2">
        <f t="shared" si="2197"/>
        <v>0</v>
      </c>
      <c r="GR91" s="2">
        <f t="shared" si="2198"/>
        <v>0</v>
      </c>
      <c r="GS91" s="2">
        <f t="shared" si="2199"/>
        <v>7</v>
      </c>
      <c r="GT91" s="2">
        <f t="shared" si="2200"/>
        <v>1</v>
      </c>
      <c r="GU91" s="2">
        <f t="shared" si="2201"/>
        <v>10</v>
      </c>
      <c r="GV91" s="2">
        <f t="shared" si="2202"/>
        <v>0</v>
      </c>
      <c r="GW91" s="2">
        <f t="shared" si="2203"/>
        <v>0</v>
      </c>
      <c r="GX91" s="2">
        <f t="shared" si="2069"/>
        <v>0</v>
      </c>
      <c r="GY91" s="2">
        <f t="shared" si="2204"/>
        <v>7</v>
      </c>
      <c r="GZ91" s="2">
        <f t="shared" si="2205"/>
        <v>1</v>
      </c>
      <c r="HA91" s="2">
        <f t="shared" si="2206"/>
        <v>14</v>
      </c>
      <c r="HB91" s="2">
        <f t="shared" si="2070"/>
        <v>0</v>
      </c>
      <c r="HC91" s="2">
        <f t="shared" si="2207"/>
        <v>14</v>
      </c>
      <c r="HD91" s="2"/>
      <c r="HE91" s="2"/>
      <c r="HF91" s="2">
        <f t="shared" ref="HF91" si="2301">IF($E91=5,GE91-5,NA())</f>
        <v>2</v>
      </c>
      <c r="HG91" s="41">
        <f>GE91-'Zusammenfassung Tag1-4'!$H$2/18</f>
        <v>5.2222222222222223</v>
      </c>
      <c r="HH91" s="14">
        <f t="shared" si="2208"/>
        <v>329.77777777777811</v>
      </c>
      <c r="HI91" s="53">
        <v>6</v>
      </c>
      <c r="HJ91" s="2">
        <v>371</v>
      </c>
      <c r="HK91" s="56">
        <v>3</v>
      </c>
      <c r="HL91" s="2">
        <f t="shared" si="2209"/>
        <v>133</v>
      </c>
      <c r="HM91" s="2">
        <f t="shared" si="2072"/>
        <v>1</v>
      </c>
      <c r="HN91" s="2">
        <f t="shared" si="2210"/>
        <v>15</v>
      </c>
      <c r="HO91" s="2">
        <f t="shared" si="2073"/>
        <v>0</v>
      </c>
      <c r="HP91" s="2">
        <f t="shared" si="2211"/>
        <v>9</v>
      </c>
      <c r="HQ91" s="2"/>
      <c r="HR91" s="2">
        <f t="shared" si="2074"/>
        <v>0</v>
      </c>
      <c r="HS91" s="2">
        <f t="shared" si="2212"/>
        <v>1</v>
      </c>
      <c r="HT91" s="2">
        <f t="shared" si="2213"/>
        <v>0</v>
      </c>
      <c r="HU91" s="2">
        <f t="shared" si="2214"/>
        <v>5</v>
      </c>
      <c r="HV91" s="2">
        <f t="shared" si="2215"/>
        <v>1</v>
      </c>
      <c r="HW91" s="2">
        <f t="shared" si="2216"/>
        <v>6</v>
      </c>
      <c r="HX91" s="2">
        <f t="shared" si="2217"/>
        <v>0</v>
      </c>
      <c r="HY91" s="2">
        <f t="shared" si="2218"/>
        <v>5</v>
      </c>
      <c r="HZ91" s="2">
        <f t="shared" si="2219"/>
        <v>0</v>
      </c>
      <c r="IA91" s="2">
        <f t="shared" si="2220"/>
        <v>0</v>
      </c>
      <c r="IB91" s="2">
        <f t="shared" si="2075"/>
        <v>0</v>
      </c>
      <c r="IC91" s="2">
        <f t="shared" si="2221"/>
        <v>19</v>
      </c>
      <c r="ID91" s="2">
        <f t="shared" si="2222"/>
        <v>0</v>
      </c>
      <c r="IE91" s="2">
        <f t="shared" si="2223"/>
        <v>8</v>
      </c>
      <c r="IF91" s="2">
        <f t="shared" si="2076"/>
        <v>1</v>
      </c>
      <c r="IG91" s="2">
        <f t="shared" si="2224"/>
        <v>12</v>
      </c>
      <c r="IH91" s="2"/>
      <c r="II91" s="2"/>
      <c r="IJ91" s="2">
        <f t="shared" ref="IJ91" si="2302">IF($E91=5,HI91-5,NA())</f>
        <v>1</v>
      </c>
      <c r="IK91" s="41">
        <f>HI91-'Zusammenfassung Tag1-4'!$I$2/18</f>
        <v>5.1111111111111107</v>
      </c>
      <c r="IL91" s="14">
        <f t="shared" si="2225"/>
        <v>306.88888888888874</v>
      </c>
      <c r="IM91" s="53">
        <v>7</v>
      </c>
      <c r="IN91" s="2">
        <v>122</v>
      </c>
      <c r="IO91" s="56">
        <v>2</v>
      </c>
      <c r="IP91" s="2">
        <f t="shared" si="2226"/>
        <v>167</v>
      </c>
      <c r="IQ91" s="2">
        <f t="shared" si="2078"/>
        <v>0</v>
      </c>
      <c r="IR91" s="2">
        <f t="shared" si="2227"/>
        <v>8</v>
      </c>
      <c r="IS91" s="2">
        <f t="shared" si="2079"/>
        <v>0</v>
      </c>
      <c r="IT91" s="2">
        <f t="shared" si="2228"/>
        <v>1</v>
      </c>
      <c r="IU91" s="2"/>
      <c r="IV91" s="2">
        <f t="shared" si="2080"/>
        <v>0</v>
      </c>
      <c r="IW91" s="2">
        <f t="shared" si="2229"/>
        <v>0</v>
      </c>
      <c r="IX91" s="2">
        <f t="shared" si="2230"/>
        <v>0</v>
      </c>
      <c r="IY91" s="2">
        <f t="shared" si="2231"/>
        <v>0</v>
      </c>
      <c r="IZ91" s="2">
        <f t="shared" si="2232"/>
        <v>0</v>
      </c>
      <c r="JA91" s="2">
        <f t="shared" si="2233"/>
        <v>4</v>
      </c>
      <c r="JB91" s="2">
        <f t="shared" si="2234"/>
        <v>1</v>
      </c>
      <c r="JC91" s="2">
        <f t="shared" si="2235"/>
        <v>13</v>
      </c>
      <c r="JD91" s="2">
        <f t="shared" si="2236"/>
        <v>0</v>
      </c>
      <c r="JE91" s="2">
        <f t="shared" si="2237"/>
        <v>0</v>
      </c>
      <c r="JF91" s="2">
        <f t="shared" si="2081"/>
        <v>0</v>
      </c>
      <c r="JG91" s="2">
        <f t="shared" si="2238"/>
        <v>8</v>
      </c>
      <c r="JH91" s="2">
        <f t="shared" si="2239"/>
        <v>1</v>
      </c>
      <c r="JI91" s="2">
        <f t="shared" si="2240"/>
        <v>13</v>
      </c>
      <c r="JJ91" s="2">
        <f t="shared" si="2082"/>
        <v>0</v>
      </c>
      <c r="JK91" s="2">
        <f t="shared" si="2241"/>
        <v>26</v>
      </c>
      <c r="JL91" s="2"/>
      <c r="JM91" s="2"/>
      <c r="JN91" s="2">
        <f t="shared" ref="JN91" si="2303">IF($E91=5,IM91-5,NA())</f>
        <v>2</v>
      </c>
      <c r="JO91" s="41">
        <f>IM91-'Zusammenfassung Tag1-4'!$J$2/18</f>
        <v>4.6666666666666661</v>
      </c>
      <c r="JP91" s="14">
        <f t="shared" si="2242"/>
        <v>321.33333333333343</v>
      </c>
      <c r="JQ91" s="53"/>
      <c r="JR91" s="2"/>
      <c r="JS91" s="56"/>
      <c r="JT91" s="2">
        <f t="shared" si="2243"/>
        <v>0</v>
      </c>
      <c r="JU91" s="2">
        <f t="shared" si="2084"/>
        <v>1</v>
      </c>
      <c r="JV91" s="2">
        <f t="shared" si="2244"/>
        <v>71</v>
      </c>
      <c r="JW91" s="2">
        <f t="shared" si="2085"/>
        <v>0</v>
      </c>
      <c r="JX91" s="2">
        <f t="shared" si="2245"/>
        <v>0</v>
      </c>
      <c r="JY91" s="2"/>
      <c r="JZ91" s="2">
        <f t="shared" si="2086"/>
        <v>0</v>
      </c>
      <c r="KA91" s="2">
        <f t="shared" si="2246"/>
        <v>0</v>
      </c>
      <c r="KB91" s="2">
        <f t="shared" si="2247"/>
        <v>0</v>
      </c>
      <c r="KC91" s="2">
        <f t="shared" si="2248"/>
        <v>0</v>
      </c>
      <c r="KD91" s="2">
        <f t="shared" si="2249"/>
        <v>0</v>
      </c>
      <c r="KE91" s="2">
        <f t="shared" si="2250"/>
        <v>0</v>
      </c>
      <c r="KF91" s="2">
        <f t="shared" si="2251"/>
        <v>0</v>
      </c>
      <c r="KG91" s="2">
        <f t="shared" si="2252"/>
        <v>0</v>
      </c>
      <c r="KH91" s="2">
        <f t="shared" si="2253"/>
        <v>1</v>
      </c>
      <c r="KI91" s="2">
        <f t="shared" si="2254"/>
        <v>17</v>
      </c>
      <c r="KJ91" s="2">
        <f t="shared" si="2087"/>
        <v>0</v>
      </c>
      <c r="KK91" s="2">
        <f t="shared" si="2255"/>
        <v>0</v>
      </c>
      <c r="KL91" s="2">
        <f t="shared" si="2256"/>
        <v>0</v>
      </c>
      <c r="KM91" s="2">
        <f t="shared" si="2257"/>
        <v>0</v>
      </c>
      <c r="KN91" s="2">
        <f t="shared" si="2088"/>
        <v>0</v>
      </c>
      <c r="KO91" s="2">
        <f t="shared" si="2258"/>
        <v>0</v>
      </c>
      <c r="KP91" s="2"/>
      <c r="KQ91" s="2"/>
      <c r="KR91" s="2">
        <f t="shared" ref="KR91" si="2304">IF($E91=5,JQ91-5,NA())</f>
        <v>-5</v>
      </c>
      <c r="KS91" s="41" t="e">
        <f>JQ91-'Zusammenfassung Tag1-4'!#REF!/18</f>
        <v>#REF!</v>
      </c>
      <c r="KT91" s="14" t="e">
        <f t="shared" si="2259"/>
        <v>#REF!</v>
      </c>
    </row>
    <row r="92" spans="1:306" ht="13.2" x14ac:dyDescent="0.25">
      <c r="A92" s="179"/>
      <c r="B92" s="176"/>
      <c r="C92" s="15">
        <v>18</v>
      </c>
      <c r="D92" s="3">
        <f t="shared" si="2090"/>
        <v>72</v>
      </c>
      <c r="E92" s="15">
        <v>4</v>
      </c>
      <c r="F92" s="1">
        <f t="shared" si="2091"/>
        <v>288</v>
      </c>
      <c r="G92" s="57">
        <v>5</v>
      </c>
      <c r="H92" s="3">
        <f t="shared" si="2092"/>
        <v>351</v>
      </c>
      <c r="I92" s="57">
        <v>1</v>
      </c>
      <c r="J92" s="3">
        <f t="shared" si="2093"/>
        <v>135</v>
      </c>
      <c r="K92" s="3">
        <f t="shared" si="2026"/>
        <v>0</v>
      </c>
      <c r="L92" s="3">
        <f t="shared" si="2094"/>
        <v>22</v>
      </c>
      <c r="M92" s="3">
        <f t="shared" si="2027"/>
        <v>0</v>
      </c>
      <c r="N92" s="3">
        <f t="shared" si="2095"/>
        <v>10</v>
      </c>
      <c r="O92" s="3"/>
      <c r="P92" s="3">
        <f t="shared" si="2028"/>
        <v>0</v>
      </c>
      <c r="Q92" s="3">
        <f t="shared" si="2096"/>
        <v>3</v>
      </c>
      <c r="R92" s="3">
        <f t="shared" si="2029"/>
        <v>0</v>
      </c>
      <c r="S92" s="3">
        <f t="shared" si="2097"/>
        <v>6</v>
      </c>
      <c r="T92" s="3">
        <f t="shared" si="2030"/>
        <v>1</v>
      </c>
      <c r="U92" s="3">
        <f t="shared" si="2098"/>
        <v>8</v>
      </c>
      <c r="V92" s="3">
        <f t="shared" si="2031"/>
        <v>0</v>
      </c>
      <c r="W92" s="3">
        <f t="shared" si="2099"/>
        <v>4</v>
      </c>
      <c r="X92" s="3">
        <f t="shared" si="2032"/>
        <v>0</v>
      </c>
      <c r="Y92" s="3">
        <f t="shared" si="2100"/>
        <v>0</v>
      </c>
      <c r="Z92" s="3">
        <f t="shared" si="2033"/>
        <v>1</v>
      </c>
      <c r="AA92" s="3">
        <f t="shared" si="2101"/>
        <v>16</v>
      </c>
      <c r="AB92" s="3">
        <f t="shared" si="2034"/>
        <v>0</v>
      </c>
      <c r="AC92" s="3">
        <f t="shared" si="2102"/>
        <v>9</v>
      </c>
      <c r="AD92" s="3">
        <f t="shared" si="2035"/>
        <v>0</v>
      </c>
      <c r="AE92" s="3">
        <f t="shared" si="2103"/>
        <v>10</v>
      </c>
      <c r="AF92" s="63"/>
      <c r="AG92" s="63">
        <f>IF($E92=4,G92-4,NA())</f>
        <v>1</v>
      </c>
      <c r="AH92" s="3"/>
      <c r="AI92" s="17">
        <f>G92-'Zusammenfassung Tag1-4'!$B$2/18</f>
        <v>4.166666666666667</v>
      </c>
      <c r="AJ92" s="50">
        <f t="shared" si="2104"/>
        <v>290.99999999999989</v>
      </c>
      <c r="AK92" s="54">
        <v>6</v>
      </c>
      <c r="AL92" s="3">
        <f t="shared" si="2105"/>
        <v>349</v>
      </c>
      <c r="AM92" s="57">
        <v>2</v>
      </c>
      <c r="AN92" s="3">
        <f t="shared" si="2106"/>
        <v>131</v>
      </c>
      <c r="AO92" s="3">
        <f t="shared" si="2036"/>
        <v>0</v>
      </c>
      <c r="AP92" s="3">
        <f t="shared" si="2107"/>
        <v>30</v>
      </c>
      <c r="AQ92" s="3">
        <f t="shared" si="2037"/>
        <v>0</v>
      </c>
      <c r="AR92" s="3">
        <f t="shared" si="2108"/>
        <v>10</v>
      </c>
      <c r="AS92" s="3"/>
      <c r="AT92" s="3">
        <f t="shared" si="2038"/>
        <v>0</v>
      </c>
      <c r="AU92" s="3">
        <f t="shared" si="2109"/>
        <v>1</v>
      </c>
      <c r="AV92" s="3">
        <f>IF(AK92=$E92,1,0)</f>
        <v>0</v>
      </c>
      <c r="AW92" s="3">
        <f t="shared" si="2111"/>
        <v>8</v>
      </c>
      <c r="AX92" s="3">
        <f t="shared" si="2112"/>
        <v>0</v>
      </c>
      <c r="AY92" s="3">
        <f t="shared" si="2113"/>
        <v>4</v>
      </c>
      <c r="AZ92" s="3">
        <f t="shared" si="2114"/>
        <v>1</v>
      </c>
      <c r="BA92" s="3">
        <f t="shared" si="2115"/>
        <v>5</v>
      </c>
      <c r="BB92" s="3">
        <f t="shared" si="2116"/>
        <v>0</v>
      </c>
      <c r="BC92" s="3">
        <f t="shared" si="2117"/>
        <v>0</v>
      </c>
      <c r="BD92" s="3">
        <f t="shared" si="2039"/>
        <v>0</v>
      </c>
      <c r="BE92" s="3">
        <f t="shared" si="2118"/>
        <v>18</v>
      </c>
      <c r="BF92" s="3">
        <f t="shared" si="2119"/>
        <v>1</v>
      </c>
      <c r="BG92" s="3">
        <f t="shared" si="2120"/>
        <v>13</v>
      </c>
      <c r="BH92" s="3">
        <f t="shared" si="2040"/>
        <v>0</v>
      </c>
      <c r="BI92" s="3">
        <f t="shared" si="2121"/>
        <v>5</v>
      </c>
      <c r="BJ92" s="63"/>
      <c r="BK92" s="63">
        <f t="shared" ref="BK92" si="2305">IF($E92=4,AK92-4,NA())</f>
        <v>2</v>
      </c>
      <c r="BL92" s="3"/>
      <c r="BM92" s="17">
        <f>AK92-'Zusammenfassung Tag1-4'!$C$2/18</f>
        <v>5.4444444444444446</v>
      </c>
      <c r="BN92" s="50">
        <f t="shared" si="2122"/>
        <v>309.00000000000051</v>
      </c>
      <c r="BO92" s="54">
        <v>6</v>
      </c>
      <c r="BP92" s="3">
        <f t="shared" si="2123"/>
        <v>412</v>
      </c>
      <c r="BQ92" s="57">
        <v>1</v>
      </c>
      <c r="BR92" s="3">
        <f t="shared" si="2124"/>
        <v>159</v>
      </c>
      <c r="BS92" s="3">
        <f t="shared" si="2042"/>
        <v>0</v>
      </c>
      <c r="BT92" s="3">
        <f t="shared" si="2125"/>
        <v>13</v>
      </c>
      <c r="BU92" s="3">
        <f t="shared" si="2043"/>
        <v>0</v>
      </c>
      <c r="BV92" s="3">
        <f t="shared" si="2126"/>
        <v>0</v>
      </c>
      <c r="BW92" s="3"/>
      <c r="BX92" s="3">
        <f t="shared" si="2044"/>
        <v>0</v>
      </c>
      <c r="BY92" s="3">
        <f t="shared" si="2127"/>
        <v>0</v>
      </c>
      <c r="BZ92" s="3">
        <f>IF(BO92=$E92,1,0)</f>
        <v>0</v>
      </c>
      <c r="CA92" s="3">
        <f t="shared" si="2129"/>
        <v>3</v>
      </c>
      <c r="CB92" s="3">
        <f t="shared" si="2130"/>
        <v>0</v>
      </c>
      <c r="CC92" s="3">
        <f t="shared" si="2131"/>
        <v>10</v>
      </c>
      <c r="CD92" s="3">
        <f t="shared" si="2132"/>
        <v>1</v>
      </c>
      <c r="CE92" s="3">
        <f t="shared" si="2133"/>
        <v>5</v>
      </c>
      <c r="CF92" s="3">
        <f t="shared" si="2134"/>
        <v>0</v>
      </c>
      <c r="CG92" s="3">
        <f t="shared" si="2127"/>
        <v>0</v>
      </c>
      <c r="CH92" s="3">
        <f t="shared" si="2045"/>
        <v>1</v>
      </c>
      <c r="CI92" s="3">
        <f t="shared" si="2135"/>
        <v>3</v>
      </c>
      <c r="CJ92" s="3">
        <f t="shared" si="2136"/>
        <v>0</v>
      </c>
      <c r="CK92" s="3">
        <f t="shared" si="2137"/>
        <v>15</v>
      </c>
      <c r="CL92" s="3">
        <f t="shared" si="2046"/>
        <v>0</v>
      </c>
      <c r="CM92" s="3">
        <f t="shared" si="2138"/>
        <v>18</v>
      </c>
      <c r="CN92" s="63"/>
      <c r="CO92" s="63">
        <f t="shared" ref="CO92" si="2306">IF($E92=4,BO92-4,NA())</f>
        <v>2</v>
      </c>
      <c r="CP92" s="3"/>
      <c r="CQ92" s="17">
        <f>BO92-'Zusammenfassung Tag1-4'!$D$2/18</f>
        <v>4.9444444444444446</v>
      </c>
      <c r="CR92" s="50">
        <f t="shared" si="2139"/>
        <v>336.00000000000051</v>
      </c>
      <c r="CS92" s="54">
        <v>5</v>
      </c>
      <c r="CT92" s="3">
        <f t="shared" si="2140"/>
        <v>373</v>
      </c>
      <c r="CU92" s="57">
        <v>2</v>
      </c>
      <c r="CV92" s="3">
        <f t="shared" si="2141"/>
        <v>147</v>
      </c>
      <c r="CW92" s="3">
        <f t="shared" si="2048"/>
        <v>0</v>
      </c>
      <c r="CX92" s="3">
        <f t="shared" si="2142"/>
        <v>21</v>
      </c>
      <c r="CY92" s="3">
        <f t="shared" si="2049"/>
        <v>0</v>
      </c>
      <c r="CZ92" s="3">
        <f t="shared" si="2143"/>
        <v>6</v>
      </c>
      <c r="DA92" s="3"/>
      <c r="DB92" s="3">
        <f t="shared" si="2050"/>
        <v>0</v>
      </c>
      <c r="DC92" s="3">
        <f t="shared" si="2144"/>
        <v>0</v>
      </c>
      <c r="DD92" s="3">
        <f>IF(CS92=$E92,1,0)</f>
        <v>0</v>
      </c>
      <c r="DE92" s="3">
        <f t="shared" si="2146"/>
        <v>4</v>
      </c>
      <c r="DF92" s="3">
        <f t="shared" si="2147"/>
        <v>1</v>
      </c>
      <c r="DG92" s="3">
        <f t="shared" si="2148"/>
        <v>8</v>
      </c>
      <c r="DH92" s="3">
        <f t="shared" si="2149"/>
        <v>0</v>
      </c>
      <c r="DI92" s="3">
        <f t="shared" si="2150"/>
        <v>6</v>
      </c>
      <c r="DJ92" s="3">
        <f t="shared" si="2151"/>
        <v>0</v>
      </c>
      <c r="DK92" s="3">
        <f t="shared" si="2152"/>
        <v>0</v>
      </c>
      <c r="DL92" s="3">
        <f t="shared" si="2051"/>
        <v>0</v>
      </c>
      <c r="DM92" s="3">
        <f t="shared" si="2153"/>
        <v>14</v>
      </c>
      <c r="DN92" s="3">
        <f t="shared" si="2154"/>
        <v>1</v>
      </c>
      <c r="DO92" s="3">
        <f t="shared" si="2155"/>
        <v>13</v>
      </c>
      <c r="DP92" s="3">
        <f t="shared" si="2052"/>
        <v>0</v>
      </c>
      <c r="DQ92" s="3">
        <f t="shared" si="2156"/>
        <v>16</v>
      </c>
      <c r="DR92" s="63"/>
      <c r="DS92" s="63">
        <f t="shared" ref="DS92" si="2307">IF($E92=4,CS92-4,NA())</f>
        <v>1</v>
      </c>
      <c r="DT92" s="3"/>
      <c r="DU92" s="17">
        <f>CS92-'Zusammenfassung Tag1-4'!$E$2/18</f>
        <v>4</v>
      </c>
      <c r="DV92" s="51">
        <f t="shared" si="2157"/>
        <v>301</v>
      </c>
      <c r="DW92" s="57">
        <v>8</v>
      </c>
      <c r="DX92" s="3">
        <v>169</v>
      </c>
      <c r="DY92" s="57">
        <v>2</v>
      </c>
      <c r="DZ92" s="3">
        <f t="shared" si="2158"/>
        <v>160</v>
      </c>
      <c r="EA92" s="3">
        <f t="shared" si="2054"/>
        <v>0</v>
      </c>
      <c r="EB92" s="3">
        <f t="shared" si="2159"/>
        <v>0</v>
      </c>
      <c r="EC92" s="3">
        <f t="shared" si="2055"/>
        <v>0</v>
      </c>
      <c r="ED92" s="3">
        <f t="shared" si="2160"/>
        <v>1</v>
      </c>
      <c r="EE92" s="3"/>
      <c r="EF92" s="3">
        <f t="shared" si="2056"/>
        <v>0</v>
      </c>
      <c r="EG92" s="3">
        <f t="shared" si="2161"/>
        <v>0</v>
      </c>
      <c r="EH92" s="3">
        <f>IF(DW92=$E92,1,0)</f>
        <v>0</v>
      </c>
      <c r="EI92" s="3">
        <f t="shared" si="2163"/>
        <v>0</v>
      </c>
      <c r="EJ92" s="3">
        <f t="shared" si="2164"/>
        <v>0</v>
      </c>
      <c r="EK92" s="3">
        <f t="shared" si="2165"/>
        <v>5</v>
      </c>
      <c r="EL92" s="3">
        <f t="shared" si="2166"/>
        <v>1</v>
      </c>
      <c r="EM92" s="3">
        <f t="shared" si="2167"/>
        <v>13</v>
      </c>
      <c r="EN92" s="3">
        <f t="shared" si="2168"/>
        <v>0</v>
      </c>
      <c r="EO92" s="3">
        <f t="shared" si="2169"/>
        <v>0</v>
      </c>
      <c r="EP92" s="3">
        <f t="shared" si="2057"/>
        <v>0</v>
      </c>
      <c r="EQ92" s="3">
        <f t="shared" si="2170"/>
        <v>6</v>
      </c>
      <c r="ER92" s="3">
        <f t="shared" si="2171"/>
        <v>1</v>
      </c>
      <c r="ES92" s="3">
        <f t="shared" si="2172"/>
        <v>12</v>
      </c>
      <c r="ET92" s="3">
        <f t="shared" si="2058"/>
        <v>0</v>
      </c>
      <c r="EU92" s="3">
        <f t="shared" si="2173"/>
        <v>21</v>
      </c>
      <c r="EV92" s="63"/>
      <c r="EW92" s="63">
        <f t="shared" ref="EW92" si="2308">IF($E92=4,DW92-4,NA())</f>
        <v>4</v>
      </c>
      <c r="EX92" s="3"/>
      <c r="EY92" s="17">
        <f>DW92-'Zusammenfassung Tag1-4'!$F$2/18</f>
        <v>5.5</v>
      </c>
      <c r="EZ92" s="51">
        <f t="shared" si="2174"/>
        <v>306</v>
      </c>
      <c r="FA92" s="54">
        <v>5</v>
      </c>
      <c r="FB92" s="3">
        <v>402</v>
      </c>
      <c r="FC92" s="57">
        <v>2</v>
      </c>
      <c r="FD92" s="3">
        <f t="shared" si="2175"/>
        <v>134</v>
      </c>
      <c r="FE92" s="3">
        <f t="shared" si="2060"/>
        <v>0</v>
      </c>
      <c r="FF92" s="3">
        <f t="shared" si="2176"/>
        <v>12</v>
      </c>
      <c r="FG92" s="3">
        <f t="shared" si="2061"/>
        <v>0</v>
      </c>
      <c r="FH92" s="3">
        <f t="shared" si="2177"/>
        <v>5</v>
      </c>
      <c r="FI92" s="3"/>
      <c r="FJ92" s="3">
        <f t="shared" si="2062"/>
        <v>0</v>
      </c>
      <c r="FK92" s="3">
        <f t="shared" si="2178"/>
        <v>0</v>
      </c>
      <c r="FL92" s="3">
        <f>IF(FA92=$E92,1,0)</f>
        <v>0</v>
      </c>
      <c r="FM92" s="3">
        <f t="shared" si="2180"/>
        <v>3</v>
      </c>
      <c r="FN92" s="3">
        <f t="shared" si="2181"/>
        <v>1</v>
      </c>
      <c r="FO92" s="3">
        <f t="shared" si="2182"/>
        <v>10</v>
      </c>
      <c r="FP92" s="3">
        <f t="shared" si="2183"/>
        <v>0</v>
      </c>
      <c r="FQ92" s="3">
        <f t="shared" si="2184"/>
        <v>5</v>
      </c>
      <c r="FR92" s="3">
        <f t="shared" si="2185"/>
        <v>0</v>
      </c>
      <c r="FS92" s="3">
        <f t="shared" si="2186"/>
        <v>0</v>
      </c>
      <c r="FT92" s="3">
        <f t="shared" si="2063"/>
        <v>0</v>
      </c>
      <c r="FU92" s="3">
        <f t="shared" si="2187"/>
        <v>22</v>
      </c>
      <c r="FV92" s="3">
        <f t="shared" si="2188"/>
        <v>1</v>
      </c>
      <c r="FW92" s="3">
        <f t="shared" si="2189"/>
        <v>11</v>
      </c>
      <c r="FX92" s="3">
        <f t="shared" si="2064"/>
        <v>0</v>
      </c>
      <c r="FY92" s="3">
        <f t="shared" si="2190"/>
        <v>12</v>
      </c>
      <c r="FZ92" s="63"/>
      <c r="GA92" s="63">
        <f t="shared" ref="GA92" si="2309">IF($E92=4,FA92-4,NA())</f>
        <v>1</v>
      </c>
      <c r="GB92" s="3"/>
      <c r="GC92" s="17">
        <f>FA92-'Zusammenfassung Tag1-4'!$G$2/18</f>
        <v>3.7222222222222223</v>
      </c>
      <c r="GD92" s="51">
        <f t="shared" si="2191"/>
        <v>298.00000000000034</v>
      </c>
      <c r="GE92" s="54">
        <v>7</v>
      </c>
      <c r="GF92" s="3">
        <v>514</v>
      </c>
      <c r="GG92" s="57">
        <v>2</v>
      </c>
      <c r="GH92" s="3">
        <f t="shared" si="2192"/>
        <v>152</v>
      </c>
      <c r="GI92" s="3">
        <f t="shared" si="2066"/>
        <v>0</v>
      </c>
      <c r="GJ92" s="3">
        <f t="shared" si="2193"/>
        <v>2</v>
      </c>
      <c r="GK92" s="3">
        <f t="shared" si="2067"/>
        <v>0</v>
      </c>
      <c r="GL92" s="3">
        <f t="shared" si="2194"/>
        <v>1</v>
      </c>
      <c r="GM92" s="3"/>
      <c r="GN92" s="3">
        <f t="shared" si="2068"/>
        <v>0</v>
      </c>
      <c r="GO92" s="3">
        <f t="shared" si="2195"/>
        <v>0</v>
      </c>
      <c r="GP92" s="3">
        <f>IF(GE92=$E92,1,0)</f>
        <v>0</v>
      </c>
      <c r="GQ92" s="3">
        <f t="shared" si="2197"/>
        <v>0</v>
      </c>
      <c r="GR92" s="3">
        <f t="shared" si="2198"/>
        <v>0</v>
      </c>
      <c r="GS92" s="3">
        <f t="shared" si="2199"/>
        <v>7</v>
      </c>
      <c r="GT92" s="3">
        <f t="shared" si="2200"/>
        <v>1</v>
      </c>
      <c r="GU92" s="3">
        <f t="shared" si="2201"/>
        <v>11</v>
      </c>
      <c r="GV92" s="3">
        <f t="shared" si="2202"/>
        <v>0</v>
      </c>
      <c r="GW92" s="3">
        <f t="shared" si="2203"/>
        <v>0</v>
      </c>
      <c r="GX92" s="3">
        <f t="shared" si="2069"/>
        <v>0</v>
      </c>
      <c r="GY92" s="3">
        <f t="shared" si="2204"/>
        <v>7</v>
      </c>
      <c r="GZ92" s="3">
        <f t="shared" si="2205"/>
        <v>1</v>
      </c>
      <c r="HA92" s="3">
        <f t="shared" si="2206"/>
        <v>15</v>
      </c>
      <c r="HB92" s="3">
        <f t="shared" si="2070"/>
        <v>0</v>
      </c>
      <c r="HC92" s="3">
        <f t="shared" si="2207"/>
        <v>14</v>
      </c>
      <c r="HD92" s="63"/>
      <c r="HE92" s="63">
        <f t="shared" ref="HE92" si="2310">IF($E92=4,GE92-4,NA())</f>
        <v>3</v>
      </c>
      <c r="HF92" s="3"/>
      <c r="HG92" s="17">
        <f>GE92-'Zusammenfassung Tag1-4'!$H$2/18</f>
        <v>5.2222222222222223</v>
      </c>
      <c r="HH92" s="51">
        <f t="shared" si="2208"/>
        <v>335.00000000000034</v>
      </c>
      <c r="HI92" s="54">
        <v>5</v>
      </c>
      <c r="HJ92" s="3">
        <v>377</v>
      </c>
      <c r="HK92" s="57">
        <v>2</v>
      </c>
      <c r="HL92" s="3">
        <f t="shared" si="2209"/>
        <v>135</v>
      </c>
      <c r="HM92" s="3">
        <f t="shared" si="2072"/>
        <v>0</v>
      </c>
      <c r="HN92" s="3">
        <f t="shared" si="2210"/>
        <v>15</v>
      </c>
      <c r="HO92" s="3">
        <f t="shared" si="2073"/>
        <v>0</v>
      </c>
      <c r="HP92" s="3">
        <f t="shared" si="2211"/>
        <v>9</v>
      </c>
      <c r="HQ92" s="3"/>
      <c r="HR92" s="3">
        <f t="shared" si="2074"/>
        <v>0</v>
      </c>
      <c r="HS92" s="3">
        <f t="shared" si="2212"/>
        <v>1</v>
      </c>
      <c r="HT92" s="3">
        <f>IF(HI92=$E92,1,0)</f>
        <v>0</v>
      </c>
      <c r="HU92" s="3">
        <f t="shared" si="2214"/>
        <v>5</v>
      </c>
      <c r="HV92" s="3">
        <f t="shared" si="2215"/>
        <v>1</v>
      </c>
      <c r="HW92" s="3">
        <f t="shared" si="2216"/>
        <v>7</v>
      </c>
      <c r="HX92" s="3">
        <f t="shared" si="2217"/>
        <v>0</v>
      </c>
      <c r="HY92" s="3">
        <f t="shared" si="2218"/>
        <v>5</v>
      </c>
      <c r="HZ92" s="3">
        <f t="shared" si="2219"/>
        <v>0</v>
      </c>
      <c r="IA92" s="3">
        <f t="shared" si="2220"/>
        <v>0</v>
      </c>
      <c r="IB92" s="3">
        <f t="shared" si="2075"/>
        <v>0</v>
      </c>
      <c r="IC92" s="3">
        <f t="shared" si="2221"/>
        <v>19</v>
      </c>
      <c r="ID92" s="3">
        <f t="shared" si="2222"/>
        <v>1</v>
      </c>
      <c r="IE92" s="3">
        <f t="shared" si="2223"/>
        <v>9</v>
      </c>
      <c r="IF92" s="3">
        <f t="shared" si="2076"/>
        <v>0</v>
      </c>
      <c r="IG92" s="3">
        <f t="shared" si="2224"/>
        <v>12</v>
      </c>
      <c r="IH92" s="63"/>
      <c r="II92" s="63">
        <f t="shared" ref="II92" si="2311">IF($E92=4,HI92-4,NA())</f>
        <v>1</v>
      </c>
      <c r="IJ92" s="3"/>
      <c r="IK92" s="17">
        <f>HI92-'Zusammenfassung Tag1-4'!$I$2/18</f>
        <v>4.1111111111111107</v>
      </c>
      <c r="IL92" s="51">
        <f t="shared" si="2225"/>
        <v>310.99999999999983</v>
      </c>
      <c r="IM92" s="54">
        <v>6</v>
      </c>
      <c r="IN92" s="3">
        <v>131</v>
      </c>
      <c r="IO92" s="57">
        <v>2</v>
      </c>
      <c r="IP92" s="3">
        <f t="shared" si="2226"/>
        <v>169</v>
      </c>
      <c r="IQ92" s="3">
        <f t="shared" si="2078"/>
        <v>0</v>
      </c>
      <c r="IR92" s="3">
        <f t="shared" si="2227"/>
        <v>8</v>
      </c>
      <c r="IS92" s="3">
        <f t="shared" si="2079"/>
        <v>0</v>
      </c>
      <c r="IT92" s="3">
        <f t="shared" si="2228"/>
        <v>1</v>
      </c>
      <c r="IU92" s="3"/>
      <c r="IV92" s="3">
        <f t="shared" si="2080"/>
        <v>0</v>
      </c>
      <c r="IW92" s="3">
        <f t="shared" si="2229"/>
        <v>0</v>
      </c>
      <c r="IX92" s="3">
        <f>IF(IM92=$E92,1,0)</f>
        <v>0</v>
      </c>
      <c r="IY92" s="3">
        <f t="shared" si="2231"/>
        <v>0</v>
      </c>
      <c r="IZ92" s="3">
        <f t="shared" si="2232"/>
        <v>0</v>
      </c>
      <c r="JA92" s="3">
        <f t="shared" si="2233"/>
        <v>4</v>
      </c>
      <c r="JB92" s="3">
        <f t="shared" si="2234"/>
        <v>1</v>
      </c>
      <c r="JC92" s="3">
        <f t="shared" si="2235"/>
        <v>14</v>
      </c>
      <c r="JD92" s="3">
        <f t="shared" si="2236"/>
        <v>0</v>
      </c>
      <c r="JE92" s="3">
        <f t="shared" si="2237"/>
        <v>0</v>
      </c>
      <c r="JF92" s="3">
        <f t="shared" si="2081"/>
        <v>0</v>
      </c>
      <c r="JG92" s="3">
        <f t="shared" si="2238"/>
        <v>8</v>
      </c>
      <c r="JH92" s="3">
        <f t="shared" si="2239"/>
        <v>1</v>
      </c>
      <c r="JI92" s="3">
        <f t="shared" si="2240"/>
        <v>14</v>
      </c>
      <c r="JJ92" s="3">
        <f t="shared" si="2082"/>
        <v>0</v>
      </c>
      <c r="JK92" s="3">
        <f t="shared" si="2241"/>
        <v>26</v>
      </c>
      <c r="JL92" s="63"/>
      <c r="JM92" s="63">
        <f t="shared" ref="JM92" si="2312">IF($E92=4,IM92-4,NA())</f>
        <v>2</v>
      </c>
      <c r="JN92" s="3"/>
      <c r="JO92" s="17">
        <f>IM92-'Zusammenfassung Tag1-4'!$J$2/18</f>
        <v>3.6666666666666665</v>
      </c>
      <c r="JP92" s="51">
        <f t="shared" si="2242"/>
        <v>325.00000000000011</v>
      </c>
      <c r="JQ92" s="54"/>
      <c r="JR92" s="3"/>
      <c r="JS92" s="57"/>
      <c r="JT92" s="3">
        <f t="shared" si="2243"/>
        <v>0</v>
      </c>
      <c r="JU92" s="3">
        <f t="shared" si="2084"/>
        <v>1</v>
      </c>
      <c r="JV92" s="3">
        <f t="shared" si="2244"/>
        <v>72</v>
      </c>
      <c r="JW92" s="3">
        <f t="shared" si="2085"/>
        <v>0</v>
      </c>
      <c r="JX92" s="3">
        <f t="shared" si="2245"/>
        <v>0</v>
      </c>
      <c r="JY92" s="3"/>
      <c r="JZ92" s="3">
        <f t="shared" si="2086"/>
        <v>0</v>
      </c>
      <c r="KA92" s="3">
        <f t="shared" si="2246"/>
        <v>0</v>
      </c>
      <c r="KB92" s="3">
        <f>IF(JQ92=$E92,1,0)</f>
        <v>0</v>
      </c>
      <c r="KC92" s="3">
        <f t="shared" si="2248"/>
        <v>0</v>
      </c>
      <c r="KD92" s="3">
        <f t="shared" si="2249"/>
        <v>0</v>
      </c>
      <c r="KE92" s="3">
        <f t="shared" si="2250"/>
        <v>0</v>
      </c>
      <c r="KF92" s="3">
        <f t="shared" si="2251"/>
        <v>0</v>
      </c>
      <c r="KG92" s="3">
        <f t="shared" si="2252"/>
        <v>0</v>
      </c>
      <c r="KH92" s="3">
        <f t="shared" si="2253"/>
        <v>1</v>
      </c>
      <c r="KI92" s="3">
        <f t="shared" si="2254"/>
        <v>18</v>
      </c>
      <c r="KJ92" s="3">
        <f t="shared" si="2087"/>
        <v>0</v>
      </c>
      <c r="KK92" s="3">
        <f t="shared" si="2255"/>
        <v>0</v>
      </c>
      <c r="KL92" s="3">
        <f t="shared" si="2256"/>
        <v>0</v>
      </c>
      <c r="KM92" s="3">
        <f t="shared" si="2257"/>
        <v>0</v>
      </c>
      <c r="KN92" s="3">
        <f t="shared" si="2088"/>
        <v>0</v>
      </c>
      <c r="KO92" s="3">
        <f t="shared" si="2258"/>
        <v>0</v>
      </c>
      <c r="KP92" s="63"/>
      <c r="KQ92" s="63">
        <f t="shared" ref="KQ92" si="2313">IF($E92=4,JQ92-4,NA())</f>
        <v>-4</v>
      </c>
      <c r="KR92" s="3"/>
      <c r="KS92" s="17" t="e">
        <f>JQ92-'Zusammenfassung Tag1-4'!#REF!/18</f>
        <v>#REF!</v>
      </c>
      <c r="KT92" s="51" t="e">
        <f t="shared" si="2259"/>
        <v>#REF!</v>
      </c>
    </row>
    <row r="93" spans="1:306" ht="13.2" x14ac:dyDescent="0.25">
      <c r="A93" s="179"/>
      <c r="B93" s="177"/>
      <c r="C93" s="3" t="s">
        <v>25</v>
      </c>
      <c r="D93" s="3"/>
      <c r="E93" s="83">
        <f>SUM(E84:E92)</f>
        <v>36</v>
      </c>
      <c r="F93" s="91"/>
      <c r="G93" s="3">
        <f>SUM(G84:G92)</f>
        <v>45</v>
      </c>
      <c r="H93" s="3"/>
      <c r="I93" s="3">
        <f>SUM(I84:I92)</f>
        <v>16</v>
      </c>
      <c r="J93" s="3"/>
      <c r="K93" s="3">
        <f>SUM(K84:K92)</f>
        <v>3</v>
      </c>
      <c r="L93" s="3"/>
      <c r="M93" s="3">
        <f>SUM(M84:M92)</f>
        <v>0</v>
      </c>
      <c r="N93" s="3"/>
      <c r="O93" s="3"/>
      <c r="P93" s="3">
        <f>SUM(P84:P92)</f>
        <v>0</v>
      </c>
      <c r="Q93" s="3"/>
      <c r="R93" s="3">
        <f>SUM(R84:R92)</f>
        <v>2</v>
      </c>
      <c r="S93" s="3"/>
      <c r="T93" s="3">
        <f>SUM(T84:T92)</f>
        <v>5</v>
      </c>
      <c r="U93" s="3"/>
      <c r="V93" s="3">
        <f>SUM(V84:V92)</f>
        <v>2</v>
      </c>
      <c r="W93" s="3"/>
      <c r="X93" s="3">
        <f>SUM(X84:X92)</f>
        <v>0</v>
      </c>
      <c r="Y93" s="3"/>
      <c r="Z93" s="3">
        <f>SUM(Z84:Z92)</f>
        <v>3</v>
      </c>
      <c r="AA93" s="3"/>
      <c r="AB93" s="3">
        <f>SUM(AB84:AB92)</f>
        <v>5</v>
      </c>
      <c r="AC93" s="3"/>
      <c r="AD93" s="3">
        <f>SUM(AD84:AD92)</f>
        <v>1</v>
      </c>
      <c r="AE93" s="3"/>
      <c r="AF93" s="17">
        <f t="shared" ref="AF93" si="2314">AVERAGE(AF84:AF92)</f>
        <v>1.5</v>
      </c>
      <c r="AG93" s="17">
        <f t="shared" ref="AG93:AH93" si="2315">AVERAGE(AG84:AG92)</f>
        <v>1</v>
      </c>
      <c r="AH93" s="17">
        <f t="shared" si="2315"/>
        <v>0.5</v>
      </c>
      <c r="AI93" s="17">
        <f>SUM(AI84:AI92)</f>
        <v>37.5</v>
      </c>
      <c r="AJ93" s="1"/>
      <c r="AK93" s="16">
        <f>SUM(AK84:AK92)</f>
        <v>45</v>
      </c>
      <c r="AL93" s="3"/>
      <c r="AM93" s="3">
        <f>SUM(AM84:AM92)</f>
        <v>17</v>
      </c>
      <c r="AN93" s="3"/>
      <c r="AO93" s="3">
        <f>SUM(AO84:AO92)</f>
        <v>3</v>
      </c>
      <c r="AP93" s="3"/>
      <c r="AQ93" s="3">
        <f>SUM(AQ84:AQ92)</f>
        <v>0</v>
      </c>
      <c r="AR93" s="3"/>
      <c r="AS93" s="3"/>
      <c r="AT93" s="3">
        <f>SUM(AT84:AT92)</f>
        <v>1</v>
      </c>
      <c r="AU93" s="3"/>
      <c r="AV93" s="3">
        <f>SUM(AV84:AV92)</f>
        <v>2</v>
      </c>
      <c r="AW93" s="3"/>
      <c r="AX93" s="3">
        <f>SUM(AX84:AX92)</f>
        <v>3</v>
      </c>
      <c r="AY93" s="3"/>
      <c r="AZ93" s="3">
        <f>SUM(AZ84:AZ92)</f>
        <v>3</v>
      </c>
      <c r="BA93" s="3"/>
      <c r="BB93" s="3">
        <f>SUM(BB84:BB92)</f>
        <v>0</v>
      </c>
      <c r="BC93" s="3"/>
      <c r="BD93" s="3">
        <f>SUM(BD84:BD92)</f>
        <v>1</v>
      </c>
      <c r="BE93" s="3"/>
      <c r="BF93" s="3">
        <f>SUM(BF84:BF92)</f>
        <v>8</v>
      </c>
      <c r="BG93" s="3"/>
      <c r="BH93" s="3">
        <f>SUM(BH84:BH92)</f>
        <v>0</v>
      </c>
      <c r="BI93" s="3"/>
      <c r="BJ93" s="17">
        <f t="shared" ref="BJ93:BL93" si="2316">AVERAGE(BJ84:BJ92)</f>
        <v>0</v>
      </c>
      <c r="BK93" s="17">
        <f t="shared" si="2316"/>
        <v>0.8</v>
      </c>
      <c r="BL93" s="17">
        <f t="shared" si="2316"/>
        <v>2.5</v>
      </c>
      <c r="BM93" s="17">
        <f>SUM(BM84:BM92)</f>
        <v>39.999999999999993</v>
      </c>
      <c r="BN93" s="1"/>
      <c r="BO93" s="16">
        <f>SUM(BO84:BO92)</f>
        <v>49</v>
      </c>
      <c r="BP93" s="3"/>
      <c r="BQ93" s="3">
        <f>SUM(BQ84:BQ92)</f>
        <v>19</v>
      </c>
      <c r="BR93" s="3"/>
      <c r="BS93" s="3">
        <f>SUM(BS84:BS92)</f>
        <v>1</v>
      </c>
      <c r="BT93" s="3"/>
      <c r="BU93" s="3">
        <f>SUM(BU84:BU92)</f>
        <v>0</v>
      </c>
      <c r="BV93" s="3"/>
      <c r="BW93" s="3"/>
      <c r="BX93" s="3">
        <f>SUM(BX84:BX92)</f>
        <v>0</v>
      </c>
      <c r="BY93" s="3"/>
      <c r="BZ93" s="3">
        <f>SUM(BZ84:BZ92)</f>
        <v>1</v>
      </c>
      <c r="CA93" s="3"/>
      <c r="CB93" s="3">
        <f>SUM(CB84:CB92)</f>
        <v>4</v>
      </c>
      <c r="CC93" s="3"/>
      <c r="CD93" s="3">
        <f>SUM(CD84:CD92)</f>
        <v>4</v>
      </c>
      <c r="CE93" s="3"/>
      <c r="CF93" s="3">
        <f>SUM(CF84:CF92)</f>
        <v>0</v>
      </c>
      <c r="CG93" s="3"/>
      <c r="CH93" s="3">
        <f>SUM(CH84:CH92)</f>
        <v>1</v>
      </c>
      <c r="CI93" s="3"/>
      <c r="CJ93" s="3">
        <f>SUM(CJ84:CJ92)</f>
        <v>6</v>
      </c>
      <c r="CK93" s="3"/>
      <c r="CL93" s="3">
        <f>SUM(CL84:CL92)</f>
        <v>2</v>
      </c>
      <c r="CM93" s="3"/>
      <c r="CN93" s="17">
        <f t="shared" ref="CN93:CP93" si="2317">AVERAGE(CN84:CN92)</f>
        <v>1.5</v>
      </c>
      <c r="CO93" s="17">
        <f t="shared" si="2317"/>
        <v>1.4</v>
      </c>
      <c r="CP93" s="17">
        <f t="shared" si="2317"/>
        <v>1.5</v>
      </c>
      <c r="CQ93" s="17">
        <f>SUM(CQ84:CQ92)</f>
        <v>39.499999999999993</v>
      </c>
      <c r="CR93" s="1"/>
      <c r="CS93" s="16">
        <f>SUM(CS84:CS92)</f>
        <v>44</v>
      </c>
      <c r="CT93" s="3"/>
      <c r="CU93" s="3">
        <f>SUM(CU84:CU92)</f>
        <v>16</v>
      </c>
      <c r="CV93" s="3"/>
      <c r="CW93" s="3">
        <f>SUM(CW84:CW92)</f>
        <v>3</v>
      </c>
      <c r="CX93" s="3"/>
      <c r="CY93" s="3">
        <f>SUM(CY84:CY92)</f>
        <v>0</v>
      </c>
      <c r="CZ93" s="3"/>
      <c r="DA93" s="3"/>
      <c r="DB93" s="3">
        <f>SUM(DB84:DB92)</f>
        <v>0</v>
      </c>
      <c r="DC93" s="3"/>
      <c r="DD93" s="3">
        <f>SUM(DD84:DD92)</f>
        <v>3</v>
      </c>
      <c r="DE93" s="3"/>
      <c r="DF93" s="3">
        <f>SUM(DF84:DF92)</f>
        <v>4</v>
      </c>
      <c r="DG93" s="3"/>
      <c r="DH93" s="3">
        <f>SUM(DH84:DH92)</f>
        <v>2</v>
      </c>
      <c r="DI93" s="3"/>
      <c r="DJ93" s="3">
        <f>SUM(DJ84:DJ92)</f>
        <v>0</v>
      </c>
      <c r="DK93" s="3"/>
      <c r="DL93" s="3">
        <f>SUM(DL84:DL92)</f>
        <v>2</v>
      </c>
      <c r="DM93" s="3"/>
      <c r="DN93" s="3">
        <f>SUM(DN84:DN92)</f>
        <v>7</v>
      </c>
      <c r="DO93" s="3"/>
      <c r="DP93" s="3">
        <f>SUM(DP84:DP92)</f>
        <v>0</v>
      </c>
      <c r="DQ93" s="3"/>
      <c r="DR93" s="17">
        <f t="shared" ref="DR93:DT93" si="2318">AVERAGE(DR84:DR92)</f>
        <v>1.5</v>
      </c>
      <c r="DS93" s="17">
        <f t="shared" si="2318"/>
        <v>0.4</v>
      </c>
      <c r="DT93" s="17">
        <f t="shared" si="2318"/>
        <v>1.5</v>
      </c>
      <c r="DU93" s="17">
        <f>SUM(DU84:DU92)</f>
        <v>35</v>
      </c>
      <c r="DV93" s="18"/>
      <c r="DW93" s="16">
        <f>SUM(DW84:DW92)</f>
        <v>60</v>
      </c>
      <c r="DX93" s="3"/>
      <c r="DY93" s="3">
        <f>SUM(DY84:DY92)</f>
        <v>21</v>
      </c>
      <c r="DZ93" s="3"/>
      <c r="EA93" s="3">
        <f>SUM(EA84:EA92)</f>
        <v>0</v>
      </c>
      <c r="EB93" s="3"/>
      <c r="EC93" s="3">
        <f>SUM(EC84:EC92)</f>
        <v>0</v>
      </c>
      <c r="ED93" s="3"/>
      <c r="EE93" s="3"/>
      <c r="EF93" s="3">
        <f>SUM(EF84:EF92)</f>
        <v>0</v>
      </c>
      <c r="EG93" s="3"/>
      <c r="EH93" s="3">
        <f>SUM(EH84:EH92)</f>
        <v>0</v>
      </c>
      <c r="EI93" s="3"/>
      <c r="EJ93" s="3">
        <f>SUM(EJ84:EJ92)</f>
        <v>1</v>
      </c>
      <c r="EK93" s="3"/>
      <c r="EL93" s="3">
        <f>SUM(EL84:EL92)</f>
        <v>8</v>
      </c>
      <c r="EM93" s="3"/>
      <c r="EN93" s="3">
        <f>SUM(EN84:EN92)</f>
        <v>0</v>
      </c>
      <c r="EO93" s="3"/>
      <c r="EP93" s="3">
        <f>SUM(EP84:EP92)</f>
        <v>0</v>
      </c>
      <c r="EQ93" s="3"/>
      <c r="ER93" s="3">
        <f>SUM(ER84:ER92)</f>
        <v>6</v>
      </c>
      <c r="ES93" s="3"/>
      <c r="ET93" s="3">
        <f>SUM(ET84:ET92)</f>
        <v>3</v>
      </c>
      <c r="EU93" s="3"/>
      <c r="EV93" s="17">
        <f t="shared" ref="EV93:EX93" si="2319">AVERAGE(EV84:EV92)</f>
        <v>1.5</v>
      </c>
      <c r="EW93" s="17">
        <f t="shared" si="2319"/>
        <v>3.2</v>
      </c>
      <c r="EX93" s="17">
        <f t="shared" si="2319"/>
        <v>2.5</v>
      </c>
      <c r="EY93" s="17">
        <f>SUM(EY84:EY92)</f>
        <v>37.5</v>
      </c>
      <c r="EZ93" s="18"/>
      <c r="FA93" s="16">
        <f>SUM(FA84:FA92)</f>
        <v>46</v>
      </c>
      <c r="FB93" s="3"/>
      <c r="FC93" s="3">
        <f>SUM(FC84:FC92)</f>
        <v>14</v>
      </c>
      <c r="FD93" s="3"/>
      <c r="FE93" s="3">
        <f>SUM(FE84:FE92)</f>
        <v>1</v>
      </c>
      <c r="FF93" s="3"/>
      <c r="FG93" s="3">
        <f>SUM(FG84:FG92)</f>
        <v>1</v>
      </c>
      <c r="FH93" s="3"/>
      <c r="FI93" s="3"/>
      <c r="FJ93" s="3">
        <f>SUM(FJ84:FJ92)</f>
        <v>0</v>
      </c>
      <c r="FK93" s="3"/>
      <c r="FL93" s="3">
        <f>SUM(FL84:FL92)</f>
        <v>2</v>
      </c>
      <c r="FM93" s="3"/>
      <c r="FN93" s="3">
        <f>SUM(FN84:FN92)</f>
        <v>4</v>
      </c>
      <c r="FO93" s="3"/>
      <c r="FP93" s="3">
        <f>SUM(FP84:FP92)</f>
        <v>3</v>
      </c>
      <c r="FQ93" s="3"/>
      <c r="FR93" s="3">
        <f>SUM(FR84:FR92)</f>
        <v>0</v>
      </c>
      <c r="FS93" s="3"/>
      <c r="FT93" s="3">
        <f>SUM(FT84:FT92)</f>
        <v>4</v>
      </c>
      <c r="FU93" s="3"/>
      <c r="FV93" s="3">
        <f>SUM(FV84:FV92)</f>
        <v>5</v>
      </c>
      <c r="FW93" s="3"/>
      <c r="FX93" s="3">
        <f>SUM(FX84:FX92)</f>
        <v>0</v>
      </c>
      <c r="FY93" s="3"/>
      <c r="FZ93" s="17">
        <f t="shared" ref="FZ93:GB93" si="2320">AVERAGE(FZ84:FZ92)</f>
        <v>1.5</v>
      </c>
      <c r="GA93" s="17">
        <f t="shared" si="2320"/>
        <v>0.8</v>
      </c>
      <c r="GB93" s="17">
        <f t="shared" si="2320"/>
        <v>1.5</v>
      </c>
      <c r="GC93" s="17">
        <f>SUM(GC84:GC92)</f>
        <v>34.5</v>
      </c>
      <c r="GD93" s="18"/>
      <c r="GE93" s="16">
        <f>SUM(GE84:GE92)</f>
        <v>52</v>
      </c>
      <c r="GF93" s="3"/>
      <c r="GG93" s="3">
        <f>SUM(GG84:GG92)</f>
        <v>20</v>
      </c>
      <c r="GH93" s="3"/>
      <c r="GI93" s="3">
        <f>SUM(GI84:GI92)</f>
        <v>1</v>
      </c>
      <c r="GJ93" s="3"/>
      <c r="GK93" s="3">
        <f>SUM(GK84:GK92)</f>
        <v>0</v>
      </c>
      <c r="GL93" s="3"/>
      <c r="GM93" s="3"/>
      <c r="GN93" s="3">
        <f>SUM(GN84:GN92)</f>
        <v>0</v>
      </c>
      <c r="GO93" s="3"/>
      <c r="GP93" s="3">
        <f>SUM(GP84:GP92)</f>
        <v>0</v>
      </c>
      <c r="GQ93" s="3"/>
      <c r="GR93" s="3">
        <f>SUM(GR84:GR92)</f>
        <v>4</v>
      </c>
      <c r="GS93" s="3"/>
      <c r="GT93" s="3">
        <f>SUM(GT84:GT92)</f>
        <v>5</v>
      </c>
      <c r="GU93" s="3"/>
      <c r="GV93" s="3">
        <f>SUM(GV84:GV92)</f>
        <v>0</v>
      </c>
      <c r="GW93" s="3"/>
      <c r="GX93" s="3">
        <f>SUM(GX84:GX92)</f>
        <v>1</v>
      </c>
      <c r="GY93" s="3"/>
      <c r="GZ93" s="3">
        <f>SUM(GZ84:GZ92)</f>
        <v>6</v>
      </c>
      <c r="HA93" s="3"/>
      <c r="HB93" s="3">
        <f>SUM(HB84:HB92)</f>
        <v>2</v>
      </c>
      <c r="HC93" s="3"/>
      <c r="HD93" s="17">
        <f t="shared" ref="HD93:HF93" si="2321">AVERAGE(HD84:HD92)</f>
        <v>1.5</v>
      </c>
      <c r="HE93" s="17">
        <f t="shared" si="2321"/>
        <v>2</v>
      </c>
      <c r="HF93" s="17">
        <f t="shared" si="2321"/>
        <v>1.5</v>
      </c>
      <c r="HG93" s="17">
        <f>SUM(HG84:HG92)</f>
        <v>36</v>
      </c>
      <c r="HH93" s="18"/>
      <c r="HI93" s="16">
        <f>SUM(HI84:HI92)</f>
        <v>47</v>
      </c>
      <c r="HJ93" s="3"/>
      <c r="HK93" s="3">
        <f>SUM(HK84:HK92)</f>
        <v>18</v>
      </c>
      <c r="HL93" s="3"/>
      <c r="HM93" s="3">
        <f>SUM(HM84:HM92)</f>
        <v>2</v>
      </c>
      <c r="HN93" s="3"/>
      <c r="HO93" s="3">
        <f>SUM(HO84:HO92)</f>
        <v>1</v>
      </c>
      <c r="HP93" s="3"/>
      <c r="HQ93" s="3"/>
      <c r="HR93" s="3">
        <f>SUM(HR84:HR92)</f>
        <v>0</v>
      </c>
      <c r="HS93" s="3"/>
      <c r="HT93" s="3">
        <f>SUM(HT84:HT92)</f>
        <v>2</v>
      </c>
      <c r="HU93" s="3"/>
      <c r="HV93" s="3">
        <f>SUM(HV84:HV92)</f>
        <v>4</v>
      </c>
      <c r="HW93" s="3"/>
      <c r="HX93" s="3">
        <f>SUM(HX84:HX92)</f>
        <v>3</v>
      </c>
      <c r="HY93" s="3"/>
      <c r="HZ93" s="3">
        <f>SUM(HZ84:HZ92)</f>
        <v>0</v>
      </c>
      <c r="IA93" s="3"/>
      <c r="IB93" s="3">
        <f>SUM(IB84:IB92)</f>
        <v>3</v>
      </c>
      <c r="IC93" s="3"/>
      <c r="ID93" s="3">
        <f>SUM(ID84:ID92)</f>
        <v>3</v>
      </c>
      <c r="IE93" s="3"/>
      <c r="IF93" s="3">
        <f>SUM(IF84:IF92)</f>
        <v>3</v>
      </c>
      <c r="IG93" s="3"/>
      <c r="IH93" s="17">
        <f t="shared" ref="IH93:IJ93" si="2322">AVERAGE(IH84:IH92)</f>
        <v>2</v>
      </c>
      <c r="II93" s="17">
        <f t="shared" si="2322"/>
        <v>0.8</v>
      </c>
      <c r="IJ93" s="17">
        <f t="shared" si="2322"/>
        <v>1.5</v>
      </c>
      <c r="IK93" s="17">
        <f>SUM(IK84:IK92)</f>
        <v>39</v>
      </c>
      <c r="IL93" s="18"/>
      <c r="IM93" s="16">
        <f>SUM(IM84:IM92)</f>
        <v>59</v>
      </c>
      <c r="IN93" s="3"/>
      <c r="IO93" s="3">
        <f>SUM(IO84:IO92)</f>
        <v>20</v>
      </c>
      <c r="IP93" s="3"/>
      <c r="IQ93" s="3">
        <f>SUM(IQ84:IQ92)</f>
        <v>0</v>
      </c>
      <c r="IR93" s="3"/>
      <c r="IS93" s="3">
        <f>SUM(IS84:IS92)</f>
        <v>0</v>
      </c>
      <c r="IT93" s="3"/>
      <c r="IU93" s="3"/>
      <c r="IV93" s="3">
        <f>SUM(IV84:IV92)</f>
        <v>0</v>
      </c>
      <c r="IW93" s="3"/>
      <c r="IX93" s="3">
        <f>SUM(IX84:IX92)</f>
        <v>0</v>
      </c>
      <c r="IY93" s="3"/>
      <c r="IZ93" s="3">
        <f>SUM(IZ84:IZ92)</f>
        <v>2</v>
      </c>
      <c r="JA93" s="3"/>
      <c r="JB93" s="3">
        <f>SUM(JB84:JB92)</f>
        <v>7</v>
      </c>
      <c r="JC93" s="3"/>
      <c r="JD93" s="3">
        <f>SUM(JD84:JD92)</f>
        <v>0</v>
      </c>
      <c r="JE93" s="3"/>
      <c r="JF93" s="3">
        <f>SUM(JF84:JF92)</f>
        <v>0</v>
      </c>
      <c r="JG93" s="3"/>
      <c r="JH93" s="3">
        <f>SUM(JH84:JH92)</f>
        <v>7</v>
      </c>
      <c r="JI93" s="3"/>
      <c r="JJ93" s="3">
        <f>SUM(JJ84:JJ92)</f>
        <v>2</v>
      </c>
      <c r="JK93" s="3"/>
      <c r="JL93" s="17">
        <f t="shared" ref="JL93:JN93" si="2323">AVERAGE(JL84:JL92)</f>
        <v>1</v>
      </c>
      <c r="JM93" s="17">
        <f t="shared" si="2323"/>
        <v>2.8</v>
      </c>
      <c r="JN93" s="17">
        <f t="shared" si="2323"/>
        <v>3.5</v>
      </c>
      <c r="JO93" s="17">
        <f>SUM(JO84:JO92)</f>
        <v>38</v>
      </c>
      <c r="JP93" s="18"/>
      <c r="JQ93" s="16">
        <f>SUM(JQ84:JQ92)</f>
        <v>0</v>
      </c>
      <c r="JR93" s="3"/>
      <c r="JS93" s="3">
        <f>SUM(JS84:JS92)</f>
        <v>0</v>
      </c>
      <c r="JT93" s="3"/>
      <c r="JU93" s="3">
        <f>SUM(JU84:JU92)</f>
        <v>9</v>
      </c>
      <c r="JV93" s="3"/>
      <c r="JW93" s="3">
        <f>SUM(JW84:JW92)</f>
        <v>0</v>
      </c>
      <c r="JX93" s="3"/>
      <c r="JY93" s="3"/>
      <c r="JZ93" s="3">
        <f>SUM(JZ84:JZ92)</f>
        <v>0</v>
      </c>
      <c r="KA93" s="3"/>
      <c r="KB93" s="3">
        <f>SUM(KB84:KB92)</f>
        <v>0</v>
      </c>
      <c r="KC93" s="3"/>
      <c r="KD93" s="3">
        <f>SUM(KD84:KD92)</f>
        <v>0</v>
      </c>
      <c r="KE93" s="3"/>
      <c r="KF93" s="3">
        <f>SUM(KF84:KF92)</f>
        <v>0</v>
      </c>
      <c r="KG93" s="3"/>
      <c r="KH93" s="3">
        <f>SUM(KH84:KH92)</f>
        <v>9</v>
      </c>
      <c r="KI93" s="3"/>
      <c r="KJ93" s="3">
        <f>SUM(KJ84:KJ92)</f>
        <v>0</v>
      </c>
      <c r="KK93" s="3"/>
      <c r="KL93" s="3">
        <f>SUM(KL84:KL92)</f>
        <v>0</v>
      </c>
      <c r="KM93" s="3"/>
      <c r="KN93" s="3">
        <f>SUM(KN84:KN92)</f>
        <v>0</v>
      </c>
      <c r="KO93" s="3"/>
      <c r="KP93" s="17">
        <f t="shared" ref="KP93:KR93" si="2324">AVERAGE(KP84:KP92)</f>
        <v>-3</v>
      </c>
      <c r="KQ93" s="17">
        <f t="shared" si="2324"/>
        <v>-4</v>
      </c>
      <c r="KR93" s="17">
        <f t="shared" si="2324"/>
        <v>-5</v>
      </c>
      <c r="KS93" s="17" t="e">
        <f>SUM(KS84:KS92)</f>
        <v>#REF!</v>
      </c>
      <c r="KT93" s="18"/>
    </row>
    <row r="94" spans="1:306" ht="13.8" thickBot="1" x14ac:dyDescent="0.3">
      <c r="A94" s="180"/>
      <c r="B94" s="26" t="s">
        <v>27</v>
      </c>
      <c r="C94" s="89" t="s">
        <v>25</v>
      </c>
      <c r="D94" s="89"/>
      <c r="E94" s="2">
        <f>E83+E93</f>
        <v>72</v>
      </c>
      <c r="F94" s="4"/>
      <c r="G94" s="2">
        <f>G83+G93</f>
        <v>89</v>
      </c>
      <c r="H94" s="2"/>
      <c r="I94" s="2">
        <f>I83+I93</f>
        <v>31</v>
      </c>
      <c r="J94" s="2"/>
      <c r="K94" s="2">
        <f>K83+K93</f>
        <v>4</v>
      </c>
      <c r="L94" s="2"/>
      <c r="M94" s="2">
        <f>M83+M93</f>
        <v>4</v>
      </c>
      <c r="N94" s="2"/>
      <c r="O94" s="22">
        <f>I94-(0.45*K94+22.5)</f>
        <v>6.6999999999999993</v>
      </c>
      <c r="P94" s="2">
        <f>P83+P93</f>
        <v>0</v>
      </c>
      <c r="Q94" s="2"/>
      <c r="R94" s="22">
        <f>R83+R93</f>
        <v>6</v>
      </c>
      <c r="S94" s="22"/>
      <c r="T94" s="22">
        <f>T83+T93</f>
        <v>8</v>
      </c>
      <c r="U94" s="22"/>
      <c r="V94" s="22">
        <f>V83+V93</f>
        <v>4</v>
      </c>
      <c r="W94" s="22"/>
      <c r="X94" s="2">
        <f>X83+X93</f>
        <v>0</v>
      </c>
      <c r="Y94" s="2"/>
      <c r="Z94" s="2">
        <f>Z83+Z93</f>
        <v>7</v>
      </c>
      <c r="AA94" s="2"/>
      <c r="AB94" s="2">
        <f>AB83+AB93</f>
        <v>9</v>
      </c>
      <c r="AC94" s="2"/>
      <c r="AD94" s="2">
        <f>AD83+AD93</f>
        <v>2</v>
      </c>
      <c r="AE94" s="2"/>
      <c r="AF94" s="23">
        <f>AVERAGE(AF74:AF82,AF84:AF92)</f>
        <v>0.75</v>
      </c>
      <c r="AG94" s="23">
        <f>AVERAGE(AG74:AG82,AG84:AG92)</f>
        <v>1.2</v>
      </c>
      <c r="AH94" s="23">
        <f>AVERAGE(AH74:AH82,AH84:AH92)</f>
        <v>0.5</v>
      </c>
      <c r="AI94" s="41">
        <f>AI83+AI93</f>
        <v>74</v>
      </c>
      <c r="AJ94" s="4"/>
      <c r="AK94" s="5">
        <f>AK83+AK93</f>
        <v>90</v>
      </c>
      <c r="AL94" s="2"/>
      <c r="AM94" s="2">
        <f>AM83+AM93</f>
        <v>33</v>
      </c>
      <c r="AN94" s="2"/>
      <c r="AO94" s="2">
        <f>AO83+AO93</f>
        <v>6</v>
      </c>
      <c r="AP94" s="2"/>
      <c r="AQ94" s="2">
        <f>AQ83+AQ93</f>
        <v>3</v>
      </c>
      <c r="AR94" s="2"/>
      <c r="AS94" s="22">
        <f>AM94-(0.45*AO94+22.5)</f>
        <v>7.8000000000000007</v>
      </c>
      <c r="AT94" s="2">
        <f>AT83+AT93</f>
        <v>1</v>
      </c>
      <c r="AU94" s="2"/>
      <c r="AV94" s="22">
        <f>AV83+AV93</f>
        <v>8</v>
      </c>
      <c r="AW94" s="22"/>
      <c r="AX94" s="22">
        <f>AX83+AX93</f>
        <v>4</v>
      </c>
      <c r="AY94" s="22"/>
      <c r="AZ94" s="22">
        <f>AZ83+AZ93</f>
        <v>5</v>
      </c>
      <c r="BA94" s="22"/>
      <c r="BB94" s="2">
        <f>BB83+BB93</f>
        <v>0</v>
      </c>
      <c r="BC94" s="2"/>
      <c r="BD94" s="2">
        <f>BD83+BD93</f>
        <v>4</v>
      </c>
      <c r="BE94" s="2"/>
      <c r="BF94" s="2">
        <f>BF83+BF93</f>
        <v>13</v>
      </c>
      <c r="BG94" s="2"/>
      <c r="BH94" s="2">
        <f>BH83+BH93</f>
        <v>1</v>
      </c>
      <c r="BI94" s="2"/>
      <c r="BJ94" s="23">
        <f>AVERAGE(BJ74:BJ82,BJ84:BJ92)</f>
        <v>0</v>
      </c>
      <c r="BK94" s="23">
        <f>AVERAGE(BK74:BK82,BK84:BK92)</f>
        <v>1.2</v>
      </c>
      <c r="BL94" s="23">
        <f>AVERAGE(BL74:BL82,BL84:BL92)</f>
        <v>1.5</v>
      </c>
      <c r="BM94" s="41">
        <f>BM83+BM93</f>
        <v>79.999999999999986</v>
      </c>
      <c r="BN94" s="4"/>
      <c r="BO94" s="5">
        <f>BO83+BO93</f>
        <v>93</v>
      </c>
      <c r="BP94" s="2"/>
      <c r="BQ94" s="2">
        <f>BQ83+BQ93</f>
        <v>37</v>
      </c>
      <c r="BR94" s="2"/>
      <c r="BS94" s="2">
        <f>BS83+BS93</f>
        <v>3</v>
      </c>
      <c r="BT94" s="2"/>
      <c r="BU94" s="2">
        <f>BU83+BU93</f>
        <v>0</v>
      </c>
      <c r="BV94" s="2"/>
      <c r="BW94" s="22">
        <f>BQ94-(0.45*BS94+22.5)</f>
        <v>13.149999999999999</v>
      </c>
      <c r="BX94" s="2">
        <f>BX83+BX93</f>
        <v>0</v>
      </c>
      <c r="BY94" s="2"/>
      <c r="BZ94" s="22">
        <f>BZ83+BZ93</f>
        <v>3</v>
      </c>
      <c r="CA94" s="22"/>
      <c r="CB94" s="22">
        <f>CB83+CB93</f>
        <v>10</v>
      </c>
      <c r="CC94" s="22"/>
      <c r="CD94" s="22">
        <f>CD83+CD93</f>
        <v>5</v>
      </c>
      <c r="CE94" s="22"/>
      <c r="CF94" s="2">
        <f>CF83+CF93</f>
        <v>0</v>
      </c>
      <c r="CG94" s="2"/>
      <c r="CH94" s="2">
        <f>CH83+CH93</f>
        <v>1</v>
      </c>
      <c r="CI94" s="2"/>
      <c r="CJ94" s="2">
        <f>CJ83+CJ93</f>
        <v>15</v>
      </c>
      <c r="CK94" s="2"/>
      <c r="CL94" s="2">
        <f>CL83+CL93</f>
        <v>2</v>
      </c>
      <c r="CM94" s="2"/>
      <c r="CN94" s="23">
        <f>AVERAGE(CN74:CN82,CN84:CN92)</f>
        <v>1</v>
      </c>
      <c r="CO94" s="23">
        <f>AVERAGE(CO74:CO82,CO84:CO92)</f>
        <v>1.1000000000000001</v>
      </c>
      <c r="CP94" s="23">
        <f>AVERAGE(CP74:CP82,CP84:CP92)</f>
        <v>1.5</v>
      </c>
      <c r="CQ94" s="41">
        <f>CQ83+CQ93</f>
        <v>73.999999999999986</v>
      </c>
      <c r="CR94" s="4"/>
      <c r="CS94" s="5">
        <f>CS83+CS93</f>
        <v>95</v>
      </c>
      <c r="CT94" s="2"/>
      <c r="CU94" s="2">
        <f>CU83+CU93</f>
        <v>35</v>
      </c>
      <c r="CV94" s="2"/>
      <c r="CW94" s="2">
        <f>CW83+CW93</f>
        <v>4</v>
      </c>
      <c r="CX94" s="2"/>
      <c r="CY94" s="2">
        <f>CY83+CY93</f>
        <v>1</v>
      </c>
      <c r="CZ94" s="2"/>
      <c r="DA94" s="22">
        <f>CU94-(0.45*CW94+22.5)</f>
        <v>10.7</v>
      </c>
      <c r="DB94" s="2">
        <f>DB83+DB93</f>
        <v>0</v>
      </c>
      <c r="DC94" s="2"/>
      <c r="DD94" s="22">
        <f>DD83+DD93</f>
        <v>4</v>
      </c>
      <c r="DE94" s="22"/>
      <c r="DF94" s="22">
        <f>DF83+DF93</f>
        <v>8</v>
      </c>
      <c r="DG94" s="22"/>
      <c r="DH94" s="22">
        <f>DH83+DH93</f>
        <v>6</v>
      </c>
      <c r="DI94" s="22"/>
      <c r="DJ94" s="2">
        <f>DJ83+DJ93</f>
        <v>0</v>
      </c>
      <c r="DK94" s="2"/>
      <c r="DL94" s="2">
        <f>DL83+DL93</f>
        <v>3</v>
      </c>
      <c r="DM94" s="2"/>
      <c r="DN94" s="2">
        <f>DN83+DN93</f>
        <v>13</v>
      </c>
      <c r="DO94" s="2"/>
      <c r="DP94" s="2">
        <f>DP83+DP93</f>
        <v>2</v>
      </c>
      <c r="DQ94" s="2"/>
      <c r="DR94" s="23">
        <f>AVERAGE(DR74:DR82,DR84:DR92)</f>
        <v>1.25</v>
      </c>
      <c r="DS94" s="23">
        <f>AVERAGE(DS74:DS82,DS84:DS92)</f>
        <v>0.9</v>
      </c>
      <c r="DT94" s="23">
        <f>AVERAGE(DT74:DT82,DT84:DT92)</f>
        <v>2.25</v>
      </c>
      <c r="DU94" s="41">
        <f>DU83+DU93</f>
        <v>77</v>
      </c>
      <c r="DV94" s="6"/>
      <c r="DW94" s="5">
        <f>DW83+DW93</f>
        <v>112</v>
      </c>
      <c r="DX94" s="2"/>
      <c r="DY94" s="2">
        <f>DY83+DY93</f>
        <v>42</v>
      </c>
      <c r="DZ94" s="2"/>
      <c r="EA94" s="2">
        <f>EA83+EA93</f>
        <v>0</v>
      </c>
      <c r="EB94" s="2"/>
      <c r="EC94" s="2">
        <f>EC83+EC93</f>
        <v>0</v>
      </c>
      <c r="ED94" s="2"/>
      <c r="EE94" s="22">
        <f>DY94-(0.45*EA94+22.5)</f>
        <v>19.5</v>
      </c>
      <c r="EF94" s="2">
        <f>EF83+EF93</f>
        <v>0</v>
      </c>
      <c r="EG94" s="2"/>
      <c r="EH94" s="22">
        <f>EH83+EH93</f>
        <v>0</v>
      </c>
      <c r="EI94" s="22"/>
      <c r="EJ94" s="22">
        <f>EJ83+EJ93</f>
        <v>5</v>
      </c>
      <c r="EK94" s="22"/>
      <c r="EL94" s="22">
        <f>EL83+EL93</f>
        <v>13</v>
      </c>
      <c r="EM94" s="22"/>
      <c r="EN94" s="2">
        <f>EN83+EN93</f>
        <v>0</v>
      </c>
      <c r="EO94" s="2"/>
      <c r="EP94" s="2">
        <f>EP83+EP93</f>
        <v>0</v>
      </c>
      <c r="EQ94" s="2"/>
      <c r="ER94" s="2">
        <f>ER83+ER93</f>
        <v>12</v>
      </c>
      <c r="ES94" s="2"/>
      <c r="ET94" s="2">
        <f>ET83+ET93</f>
        <v>6</v>
      </c>
      <c r="EU94" s="2"/>
      <c r="EV94" s="23">
        <f>AVERAGE(EV74:EV82,EV84:EV92)</f>
        <v>1.5</v>
      </c>
      <c r="EW94" s="23">
        <f>AVERAGE(EW74:EW82,EW84:EW92)</f>
        <v>2.5</v>
      </c>
      <c r="EX94" s="23">
        <f>AVERAGE(EX74:EX82,EX84:EX92)</f>
        <v>2.25</v>
      </c>
      <c r="EY94" s="41">
        <f>EY83+EY93</f>
        <v>67</v>
      </c>
      <c r="EZ94" s="6"/>
      <c r="FA94" s="5">
        <f>FA83+FA93</f>
        <v>93</v>
      </c>
      <c r="FB94" s="2"/>
      <c r="FC94" s="2">
        <f>FC83+FC93</f>
        <v>29</v>
      </c>
      <c r="FD94" s="2"/>
      <c r="FE94" s="2">
        <f>FE83+FE93</f>
        <v>2</v>
      </c>
      <c r="FF94" s="2"/>
      <c r="FG94" s="2">
        <f>FG83+FG93</f>
        <v>1</v>
      </c>
      <c r="FH94" s="2"/>
      <c r="FI94" s="22">
        <f>FC94-(0.45*FE94+22.5)</f>
        <v>5.6000000000000014</v>
      </c>
      <c r="FJ94" s="2">
        <f>FJ83+FJ93</f>
        <v>0</v>
      </c>
      <c r="FK94" s="2"/>
      <c r="FL94" s="22">
        <f>FL83+FL93</f>
        <v>3</v>
      </c>
      <c r="FM94" s="22"/>
      <c r="FN94" s="22">
        <f>FN83+FN93</f>
        <v>10</v>
      </c>
      <c r="FO94" s="22"/>
      <c r="FP94" s="22">
        <f>FP83+FP93</f>
        <v>5</v>
      </c>
      <c r="FQ94" s="22"/>
      <c r="FR94" s="2">
        <f>FR83+FR93</f>
        <v>0</v>
      </c>
      <c r="FS94" s="2"/>
      <c r="FT94" s="2">
        <f>FT83+FT93</f>
        <v>7</v>
      </c>
      <c r="FU94" s="2"/>
      <c r="FV94" s="2">
        <f>FV83+FV93</f>
        <v>11</v>
      </c>
      <c r="FW94" s="2"/>
      <c r="FX94" s="2">
        <f>FX83+FX93</f>
        <v>0</v>
      </c>
      <c r="FY94" s="2"/>
      <c r="FZ94" s="23">
        <f>AVERAGE(FZ74:FZ82,FZ84:FZ92)</f>
        <v>1.25</v>
      </c>
      <c r="GA94" s="23">
        <f>AVERAGE(GA74:GA82,GA84:GA92)</f>
        <v>1.1000000000000001</v>
      </c>
      <c r="GB94" s="23">
        <f>AVERAGE(GB74:GB82,GB84:GB92)</f>
        <v>1.25</v>
      </c>
      <c r="GC94" s="41">
        <f>GC83+GC93</f>
        <v>70</v>
      </c>
      <c r="GD94" s="6"/>
      <c r="GE94" s="5">
        <f>GE83+GE93</f>
        <v>107</v>
      </c>
      <c r="GF94" s="2"/>
      <c r="GG94" s="2">
        <f>GG83+GG93</f>
        <v>38</v>
      </c>
      <c r="GH94" s="2"/>
      <c r="GI94" s="2">
        <f>GI83+GI93</f>
        <v>1</v>
      </c>
      <c r="GJ94" s="2"/>
      <c r="GK94" s="2">
        <f>GK83+GK93</f>
        <v>0</v>
      </c>
      <c r="GL94" s="2"/>
      <c r="GM94" s="22">
        <f>GG94-(0.45*GI94+22.5)</f>
        <v>15.05</v>
      </c>
      <c r="GN94" s="2">
        <f>GN83+GN93</f>
        <v>0</v>
      </c>
      <c r="GO94" s="2"/>
      <c r="GP94" s="22">
        <f>GP83+GP93</f>
        <v>0</v>
      </c>
      <c r="GQ94" s="22"/>
      <c r="GR94" s="22">
        <f>GR83+GR93</f>
        <v>7</v>
      </c>
      <c r="GS94" s="22"/>
      <c r="GT94" s="22">
        <f>GT83+GT93</f>
        <v>11</v>
      </c>
      <c r="GU94" s="22"/>
      <c r="GV94" s="2">
        <f>GV83+GV93</f>
        <v>0</v>
      </c>
      <c r="GW94" s="2"/>
      <c r="GX94" s="2">
        <f>GX83+GX93</f>
        <v>1</v>
      </c>
      <c r="GY94" s="2"/>
      <c r="GZ94" s="2">
        <f>GZ83+GZ93</f>
        <v>15</v>
      </c>
      <c r="HA94" s="2"/>
      <c r="HB94" s="2">
        <f>HB83+HB93</f>
        <v>2</v>
      </c>
      <c r="HC94" s="2"/>
      <c r="HD94" s="23">
        <f>AVERAGE(HD74:HD82,HD84:HD92)</f>
        <v>2</v>
      </c>
      <c r="HE94" s="23">
        <f>AVERAGE(HE74:HE82,HE84:HE92)</f>
        <v>1.7</v>
      </c>
      <c r="HF94" s="23">
        <f>AVERAGE(HF74:HF82,HF84:HF92)</f>
        <v>2.5</v>
      </c>
      <c r="HG94" s="41">
        <f>HG83+HG93</f>
        <v>75</v>
      </c>
      <c r="HH94" s="6"/>
      <c r="HI94" s="5">
        <f>HI83+HI93</f>
        <v>90</v>
      </c>
      <c r="HJ94" s="2"/>
      <c r="HK94" s="2">
        <f>HK83+HK93</f>
        <v>33</v>
      </c>
      <c r="HL94" s="2"/>
      <c r="HM94" s="2">
        <f>HM83+HM93</f>
        <v>5</v>
      </c>
      <c r="HN94" s="2"/>
      <c r="HO94" s="2">
        <f>HO83+HO93</f>
        <v>2</v>
      </c>
      <c r="HP94" s="2"/>
      <c r="HQ94" s="22">
        <f>HK94-(0.45*HM94+22.5)</f>
        <v>8.25</v>
      </c>
      <c r="HR94" s="2">
        <f>HR83+HR93</f>
        <v>1</v>
      </c>
      <c r="HS94" s="2"/>
      <c r="HT94" s="22">
        <f>HT83+HT93</f>
        <v>5</v>
      </c>
      <c r="HU94" s="22"/>
      <c r="HV94" s="22">
        <f>HV83+HV93</f>
        <v>7</v>
      </c>
      <c r="HW94" s="22"/>
      <c r="HX94" s="22">
        <f>HX83+HX93</f>
        <v>5</v>
      </c>
      <c r="HY94" s="22"/>
      <c r="HZ94" s="2">
        <f>HZ83+HZ93</f>
        <v>0</v>
      </c>
      <c r="IA94" s="2"/>
      <c r="IB94" s="2">
        <f>IB83+IB93</f>
        <v>6</v>
      </c>
      <c r="IC94" s="2"/>
      <c r="ID94" s="2">
        <f>ID83+ID93</f>
        <v>9</v>
      </c>
      <c r="IE94" s="2"/>
      <c r="IF94" s="2">
        <f>IF83+IF93</f>
        <v>3</v>
      </c>
      <c r="IG94" s="2"/>
      <c r="IH94" s="23">
        <f>AVERAGE(IH74:IH82,IH84:IH92)</f>
        <v>1.5</v>
      </c>
      <c r="II94" s="23">
        <f>AVERAGE(II74:II82,II84:II92)</f>
        <v>0.6</v>
      </c>
      <c r="IJ94" s="23">
        <f>AVERAGE(IJ74:IJ82,IJ84:IJ92)</f>
        <v>1.5</v>
      </c>
      <c r="IK94" s="41">
        <f>IK83+IK93</f>
        <v>74</v>
      </c>
      <c r="IL94" s="6"/>
      <c r="IM94" s="5">
        <f>IM83+IM93</f>
        <v>121</v>
      </c>
      <c r="IN94" s="2"/>
      <c r="IO94" s="2">
        <f>IO83+IO93</f>
        <v>40</v>
      </c>
      <c r="IP94" s="2"/>
      <c r="IQ94" s="2">
        <f>IQ83+IQ93</f>
        <v>1</v>
      </c>
      <c r="IR94" s="2"/>
      <c r="IS94" s="2">
        <f>IS83+IS93</f>
        <v>0</v>
      </c>
      <c r="IT94" s="2"/>
      <c r="IU94" s="22">
        <f>IO94-(0.45*IQ94+22.5)</f>
        <v>17.05</v>
      </c>
      <c r="IV94" s="2">
        <f>IV83+IV93</f>
        <v>0</v>
      </c>
      <c r="IW94" s="2"/>
      <c r="IX94" s="22">
        <f>IX83+IX93</f>
        <v>0</v>
      </c>
      <c r="IY94" s="22"/>
      <c r="IZ94" s="22">
        <f>IZ83+IZ93</f>
        <v>4</v>
      </c>
      <c r="JA94" s="22"/>
      <c r="JB94" s="22">
        <f>JB83+JB93</f>
        <v>14</v>
      </c>
      <c r="JC94" s="22"/>
      <c r="JD94" s="2">
        <f>JD83+JD93</f>
        <v>0</v>
      </c>
      <c r="JE94" s="2"/>
      <c r="JF94" s="2">
        <f>JF83+JF93</f>
        <v>0</v>
      </c>
      <c r="JG94" s="2"/>
      <c r="JH94" s="2">
        <f>JH83+JH93</f>
        <v>14</v>
      </c>
      <c r="JI94" s="2"/>
      <c r="JJ94" s="2">
        <f>JJ83+JJ93</f>
        <v>4</v>
      </c>
      <c r="JK94" s="2"/>
      <c r="JL94" s="23">
        <f>AVERAGE(JL74:JL82,JL84:JL92)</f>
        <v>1</v>
      </c>
      <c r="JM94" s="23">
        <f>AVERAGE(JM74:JM82,JM84:JM92)</f>
        <v>3.2</v>
      </c>
      <c r="JN94" s="23">
        <f>AVERAGE(JN74:JN82,JN84:JN92)</f>
        <v>3.25</v>
      </c>
      <c r="JO94" s="41">
        <f>JO83+JO93</f>
        <v>78.999999999999986</v>
      </c>
      <c r="JP94" s="6"/>
      <c r="JQ94" s="5">
        <f>JQ83+JQ93</f>
        <v>59</v>
      </c>
      <c r="JR94" s="2"/>
      <c r="JS94" s="2">
        <f>JS83+JS93</f>
        <v>21</v>
      </c>
      <c r="JT94" s="2"/>
      <c r="JU94" s="2">
        <f>JU83+JU93</f>
        <v>18</v>
      </c>
      <c r="JV94" s="2"/>
      <c r="JW94" s="2">
        <f>JW83+JW93</f>
        <v>0</v>
      </c>
      <c r="JX94" s="2"/>
      <c r="JY94" s="22">
        <f>JS94-(0.45*JU94+22.5)</f>
        <v>-9.6000000000000014</v>
      </c>
      <c r="JZ94" s="2">
        <f>JZ83+JZ93</f>
        <v>0</v>
      </c>
      <c r="KA94" s="2"/>
      <c r="KB94" s="22">
        <f>KB83+KB93</f>
        <v>0</v>
      </c>
      <c r="KC94" s="22"/>
      <c r="KD94" s="22">
        <f>KD83+KD93</f>
        <v>0</v>
      </c>
      <c r="KE94" s="22"/>
      <c r="KF94" s="22">
        <f>KF83+KF93</f>
        <v>0</v>
      </c>
      <c r="KG94" s="22"/>
      <c r="KH94" s="2">
        <f>KH83+KH93</f>
        <v>18</v>
      </c>
      <c r="KI94" s="2"/>
      <c r="KJ94" s="2">
        <f>KJ83+KJ93</f>
        <v>0</v>
      </c>
      <c r="KK94" s="2"/>
      <c r="KL94" s="2">
        <f>KL83+KL93</f>
        <v>0</v>
      </c>
      <c r="KM94" s="2"/>
      <c r="KN94" s="2">
        <f>KN83+KN93</f>
        <v>0</v>
      </c>
      <c r="KO94" s="2"/>
      <c r="KP94" s="23">
        <f>AVERAGE(KP74:KP82,KP84:KP92)</f>
        <v>-3</v>
      </c>
      <c r="KQ94" s="23">
        <f>AVERAGE(KQ74:KQ82,KQ84:KQ92)</f>
        <v>-4</v>
      </c>
      <c r="KR94" s="23">
        <f>AVERAGE(KR74:KR82,KR84:KR92)</f>
        <v>-5</v>
      </c>
      <c r="KS94" s="41" t="e">
        <f>KS83+KS93</f>
        <v>#REF!</v>
      </c>
      <c r="KT94" s="6"/>
    </row>
    <row r="95" spans="1:306" ht="13.8" thickTop="1" x14ac:dyDescent="0.25">
      <c r="A95" s="178" t="s">
        <v>33</v>
      </c>
      <c r="B95" s="181" t="s">
        <v>34</v>
      </c>
      <c r="C95" s="42" t="s">
        <v>30</v>
      </c>
      <c r="D95" s="42"/>
      <c r="E95" s="37">
        <f>E71+E94</f>
        <v>288</v>
      </c>
      <c r="F95" s="36"/>
      <c r="G95" s="37">
        <f>G71+G94</f>
        <v>351</v>
      </c>
      <c r="H95" s="37"/>
      <c r="I95" s="37">
        <f>I71+I94</f>
        <v>135</v>
      </c>
      <c r="J95" s="37"/>
      <c r="K95" s="37">
        <f>K71+K94</f>
        <v>22</v>
      </c>
      <c r="L95" s="37"/>
      <c r="M95" s="37">
        <f>M71+M94</f>
        <v>10</v>
      </c>
      <c r="N95" s="37"/>
      <c r="O95" s="37">
        <f>O71+O94</f>
        <v>35.1</v>
      </c>
      <c r="P95" s="37">
        <f>P71+P94</f>
        <v>3</v>
      </c>
      <c r="Q95" s="37"/>
      <c r="R95" s="37">
        <f>R71+R94</f>
        <v>24</v>
      </c>
      <c r="S95" s="37"/>
      <c r="T95" s="37">
        <f>T71+T94</f>
        <v>31</v>
      </c>
      <c r="U95" s="37"/>
      <c r="V95" s="37">
        <f>V71+V94</f>
        <v>14</v>
      </c>
      <c r="W95" s="37"/>
      <c r="X95" s="37">
        <f>X71+X94</f>
        <v>2</v>
      </c>
      <c r="Y95" s="37"/>
      <c r="Z95" s="37">
        <f>Z71+Z94</f>
        <v>16</v>
      </c>
      <c r="AA95" s="37"/>
      <c r="AB95" s="37">
        <f>AB71+AB94</f>
        <v>44</v>
      </c>
      <c r="AC95" s="37"/>
      <c r="AD95" s="37">
        <f>AD71+AD94</f>
        <v>10</v>
      </c>
      <c r="AE95" s="37"/>
      <c r="AF95" s="38">
        <f>AVERAGE(AF3:AF11,AF13:AF21,AF26:AF34,AF36:AF44,AF50:AF58,AF60:AF68,AF74:AF82,AF84:AF92)</f>
        <v>0.625</v>
      </c>
      <c r="AG95" s="38">
        <f>AVERAGE(AG3:AG11,AG13:AG21,AG26:AG34,AG36:AG44,AG50:AG58,AG60:AG68,AG74:AG82,AG84:AG92)</f>
        <v>0.82499999999999996</v>
      </c>
      <c r="AH95" s="38">
        <f>AVERAGE(AH3:AH11,AH13:AH21,AH26:AH34,AH36:AH44,AH50:AH58,AH60:AH68,AH74:AH82,AH84:AH92)</f>
        <v>1.25</v>
      </c>
      <c r="AI95" s="38">
        <f>AI71+AI94</f>
        <v>291</v>
      </c>
      <c r="AJ95" s="37"/>
      <c r="AK95" s="39">
        <f>AK71+AK94</f>
        <v>349</v>
      </c>
      <c r="AL95" s="37"/>
      <c r="AM95" s="37">
        <f>AM71+AM94</f>
        <v>131</v>
      </c>
      <c r="AN95" s="37"/>
      <c r="AO95" s="37">
        <f>AO71+AO94</f>
        <v>30</v>
      </c>
      <c r="AP95" s="37"/>
      <c r="AQ95" s="37">
        <f>AQ71+AQ94</f>
        <v>10</v>
      </c>
      <c r="AR95" s="37"/>
      <c r="AS95" s="37">
        <f>AS71+AS94</f>
        <v>27.5</v>
      </c>
      <c r="AT95" s="37">
        <f>AT71+AT94</f>
        <v>1</v>
      </c>
      <c r="AU95" s="37"/>
      <c r="AV95" s="37">
        <f>AV71+AV94</f>
        <v>36</v>
      </c>
      <c r="AW95" s="37"/>
      <c r="AX95" s="37">
        <f>AX71+AX94</f>
        <v>20</v>
      </c>
      <c r="AY95" s="37"/>
      <c r="AZ95" s="37">
        <f>AZ71+AZ94</f>
        <v>15</v>
      </c>
      <c r="BA95" s="37"/>
      <c r="BB95" s="37">
        <f>BB71+BB94</f>
        <v>0</v>
      </c>
      <c r="BC95" s="37"/>
      <c r="BD95" s="37">
        <f>BD71+BD94</f>
        <v>18</v>
      </c>
      <c r="BE95" s="37"/>
      <c r="BF95" s="37">
        <f>BF71+BF94</f>
        <v>49</v>
      </c>
      <c r="BG95" s="37"/>
      <c r="BH95" s="37">
        <f>BH71+BH94</f>
        <v>5</v>
      </c>
      <c r="BI95" s="37"/>
      <c r="BJ95" s="38">
        <f>AVERAGE(BJ3:BJ11,BJ13:BJ21,BJ26:BJ34,BJ36:BJ44,BJ50:BJ58,BJ60:BJ68,BJ74:BJ82,BJ84:BJ92)</f>
        <v>0.625</v>
      </c>
      <c r="BK95" s="38">
        <f>AVERAGE(BK3:BK11,BK13:BK21,BK26:BK34,BK36:BK44,BK50:BK58,BK60:BK68,BK74:BK82,BK84:BK92)</f>
        <v>0.8</v>
      </c>
      <c r="BL95" s="38">
        <f>AVERAGE(BL3:BL11,BL13:BL21,BL26:BL34,BL36:BL44,BL50:BL58,BL60:BL68,BL74:BL82,BL84:BL92)</f>
        <v>1.1875</v>
      </c>
      <c r="BM95" s="38">
        <f>BM71+BM94</f>
        <v>308.99999999999994</v>
      </c>
      <c r="BN95" s="37"/>
      <c r="BO95" s="39">
        <f>BO71+BO94</f>
        <v>412</v>
      </c>
      <c r="BP95" s="37"/>
      <c r="BQ95" s="37">
        <f>BQ71+BQ94</f>
        <v>159</v>
      </c>
      <c r="BR95" s="37"/>
      <c r="BS95" s="37">
        <f>BS71+BS94</f>
        <v>13</v>
      </c>
      <c r="BT95" s="37"/>
      <c r="BU95" s="37">
        <f>BU71+BU94</f>
        <v>0</v>
      </c>
      <c r="BV95" s="37"/>
      <c r="BW95" s="37">
        <f>BW71+BW94</f>
        <v>63.15</v>
      </c>
      <c r="BX95" s="37">
        <f>BX71+BX94</f>
        <v>0</v>
      </c>
      <c r="BY95" s="37"/>
      <c r="BZ95" s="37">
        <f>BZ71+BZ94</f>
        <v>7</v>
      </c>
      <c r="CA95" s="37"/>
      <c r="CB95" s="37">
        <f>CB71+CB94</f>
        <v>31</v>
      </c>
      <c r="CC95" s="37"/>
      <c r="CD95" s="37">
        <f>CD71+CD94</f>
        <v>34</v>
      </c>
      <c r="CE95" s="37"/>
      <c r="CF95" s="37">
        <f>CF71+CF94</f>
        <v>0</v>
      </c>
      <c r="CG95" s="37"/>
      <c r="CH95" s="37">
        <f>CH71+CH94</f>
        <v>3</v>
      </c>
      <c r="CI95" s="37"/>
      <c r="CJ95" s="37">
        <f>CJ71+CJ94</f>
        <v>51</v>
      </c>
      <c r="CK95" s="37"/>
      <c r="CL95" s="37">
        <f>CL71+CL94</f>
        <v>18</v>
      </c>
      <c r="CM95" s="37"/>
      <c r="CN95" s="38">
        <f>AVERAGE(CN3:CN11,CN13:CN21,CN26:CN34,CN36:CN44,CN50:CN58,CN60:CN68,CN74:CN82,CN84:CN92)</f>
        <v>1.5</v>
      </c>
      <c r="CO95" s="38">
        <f>AVERAGE(CO3:CO11,CO13:CO21,CO26:CO34,CO36:CO44,CO50:CO58,CO60:CO68,CO74:CO82,CO84:CO92)</f>
        <v>1.825</v>
      </c>
      <c r="CP95" s="38">
        <f>AVERAGE(CP3:CP11,CP13:CP21,CP26:CP34,CP36:CP44,CP50:CP58,CP60:CP68,CP74:CP82,CP84:CP92)</f>
        <v>1.6875</v>
      </c>
      <c r="CQ95" s="38">
        <f>CQ71+CQ94</f>
        <v>335.99999999999994</v>
      </c>
      <c r="CR95" s="37"/>
      <c r="CS95" s="39">
        <f>CS71+CS94</f>
        <v>373</v>
      </c>
      <c r="CT95" s="37"/>
      <c r="CU95" s="37">
        <f>CU71+CU94</f>
        <v>147</v>
      </c>
      <c r="CV95" s="37"/>
      <c r="CW95" s="37">
        <f>CW71+CW94</f>
        <v>21</v>
      </c>
      <c r="CX95" s="37"/>
      <c r="CY95" s="37">
        <f>CY71+CY94</f>
        <v>6</v>
      </c>
      <c r="CZ95" s="37"/>
      <c r="DA95" s="37">
        <f>DA71+DA94</f>
        <v>47.55</v>
      </c>
      <c r="DB95" s="37">
        <f>DB71+DB94</f>
        <v>0</v>
      </c>
      <c r="DC95" s="37"/>
      <c r="DD95" s="37">
        <f>DD71+DD94</f>
        <v>19</v>
      </c>
      <c r="DE95" s="37"/>
      <c r="DF95" s="37">
        <f>DF71+DF94</f>
        <v>33</v>
      </c>
      <c r="DG95" s="37"/>
      <c r="DH95" s="37">
        <f>DH71+DH94</f>
        <v>20</v>
      </c>
      <c r="DI95" s="37"/>
      <c r="DJ95" s="37">
        <f>DJ71+DJ94</f>
        <v>0</v>
      </c>
      <c r="DK95" s="37"/>
      <c r="DL95" s="37">
        <f>DL71+DL94</f>
        <v>14</v>
      </c>
      <c r="DM95" s="37"/>
      <c r="DN95" s="37">
        <f>DN71+DN94</f>
        <v>42</v>
      </c>
      <c r="DO95" s="37"/>
      <c r="DP95" s="37">
        <f>DP71+DP94</f>
        <v>16</v>
      </c>
      <c r="DQ95" s="37"/>
      <c r="DR95" s="38">
        <f>AVERAGE(DR3:DR11,DR13:DR21,DR26:DR34,DR36:DR44,DR50:DR58,DR60:DR68,DR74:DR82,DR84:DR92)</f>
        <v>1.0625</v>
      </c>
      <c r="DS95" s="38">
        <f>AVERAGE(DS3:DS11,DS13:DS21,DS26:DS34,DS36:DS44,DS50:DS58,DS60:DS68,DS74:DS82,DS84:DS92)</f>
        <v>0.97499999999999998</v>
      </c>
      <c r="DT95" s="38">
        <f>AVERAGE(DT3:DT11,DT13:DT21,DT26:DT34,DT36:DT44,DT50:DT58,DT60:DT68,DT74:DT82,DT84:DT92)</f>
        <v>1.8125</v>
      </c>
      <c r="DU95" s="38">
        <f>DU71+DU94</f>
        <v>301</v>
      </c>
      <c r="DV95" s="40"/>
      <c r="DW95" s="39">
        <f>DW71+DW94</f>
        <v>486</v>
      </c>
      <c r="DX95" s="37"/>
      <c r="DY95" s="37">
        <f>DY71+DY94</f>
        <v>160</v>
      </c>
      <c r="DZ95" s="37"/>
      <c r="EA95" s="37">
        <f>EA71+EA94</f>
        <v>0</v>
      </c>
      <c r="EB95" s="37"/>
      <c r="EC95" s="37">
        <f>EC71+EC94</f>
        <v>1</v>
      </c>
      <c r="ED95" s="37"/>
      <c r="EE95" s="37">
        <f>EE71+EE94</f>
        <v>70</v>
      </c>
      <c r="EF95" s="37">
        <f>EF71+EF94</f>
        <v>0</v>
      </c>
      <c r="EG95" s="37"/>
      <c r="EH95" s="37">
        <f>EH71+EH94</f>
        <v>1</v>
      </c>
      <c r="EI95" s="37"/>
      <c r="EJ95" s="37">
        <f>EJ71+EJ94</f>
        <v>15</v>
      </c>
      <c r="EK95" s="37"/>
      <c r="EL95" s="37">
        <f>EL71+EL94</f>
        <v>56</v>
      </c>
      <c r="EM95" s="37"/>
      <c r="EN95" s="37">
        <f>EN71+EN94</f>
        <v>0</v>
      </c>
      <c r="EO95" s="37"/>
      <c r="EP95" s="37">
        <f>EP71+EP94</f>
        <v>6</v>
      </c>
      <c r="EQ95" s="37"/>
      <c r="ER95" s="37">
        <f>ER71+ER94</f>
        <v>45</v>
      </c>
      <c r="ES95" s="37"/>
      <c r="ET95" s="37">
        <f>ET71+ET94</f>
        <v>21</v>
      </c>
      <c r="EU95" s="37"/>
      <c r="EV95" s="38">
        <f>AVERAGE(EV3:EV11,EV13:EV21,EV26:EV34,EV36:EV44,EV50:EV58,EV60:EV68,EV74:EV82,EV84:EV92)</f>
        <v>2</v>
      </c>
      <c r="EW95" s="38">
        <f>AVERAGE(EW3:EW11,EW13:EW21,EW26:EW34,EW36:EW44,EW50:EW58,EW60:EW68,EW74:EW82,EW84:EW92)</f>
        <v>2.875</v>
      </c>
      <c r="EX95" s="38">
        <f>AVERAGE(EX3:EX11,EX13:EX21,EX26:EX34,EX36:EX44,EX50:EX58,EX60:EX68,EX74:EX82,EX84:EX92)</f>
        <v>3.1875</v>
      </c>
      <c r="EY95" s="38">
        <f>EY71+EY94</f>
        <v>306</v>
      </c>
      <c r="EZ95" s="40"/>
      <c r="FA95" s="39">
        <f>FA71+FA94</f>
        <v>390</v>
      </c>
      <c r="FB95" s="37"/>
      <c r="FC95" s="37">
        <f>FC71+FC94</f>
        <v>134</v>
      </c>
      <c r="FD95" s="37"/>
      <c r="FE95" s="37">
        <f>FE71+FE94</f>
        <v>12</v>
      </c>
      <c r="FF95" s="37"/>
      <c r="FG95" s="37">
        <f>FG71+FG94</f>
        <v>5</v>
      </c>
      <c r="FH95" s="37"/>
      <c r="FI95" s="37">
        <f>FI71+FI94</f>
        <v>38.6</v>
      </c>
      <c r="FJ95" s="37">
        <f>FJ71+FJ94</f>
        <v>1</v>
      </c>
      <c r="FK95" s="37"/>
      <c r="FL95" s="37">
        <f>FL71+FL94</f>
        <v>13</v>
      </c>
      <c r="FM95" s="37"/>
      <c r="FN95" s="37">
        <f>FN71+FN94</f>
        <v>30</v>
      </c>
      <c r="FO95" s="37"/>
      <c r="FP95" s="37">
        <f>FP71+FP94</f>
        <v>28</v>
      </c>
      <c r="FQ95" s="37"/>
      <c r="FR95" s="37">
        <f>FR71+FR94</f>
        <v>0</v>
      </c>
      <c r="FS95" s="37"/>
      <c r="FT95" s="37">
        <f>FT71+FT94</f>
        <v>22</v>
      </c>
      <c r="FU95" s="37"/>
      <c r="FV95" s="37">
        <f>FV71+FV94</f>
        <v>38</v>
      </c>
      <c r="FW95" s="37"/>
      <c r="FX95" s="37">
        <f>FX71+FX94</f>
        <v>12</v>
      </c>
      <c r="FY95" s="37"/>
      <c r="FZ95" s="38">
        <f>AVERAGE(FZ3:FZ11,FZ13:FZ21,FZ26:FZ34,FZ36:FZ44,FZ50:FZ58,FZ60:FZ68,FZ74:FZ82,FZ84:FZ92)</f>
        <v>1.0625</v>
      </c>
      <c r="GA95" s="38">
        <f>AVERAGE(GA3:GA11,GA13:GA21,GA26:GA34,GA36:GA44,GA50:GA58,GA60:GA68,GA74:GA82,GA84:GA92)</f>
        <v>1.2749999999999999</v>
      </c>
      <c r="GB95" s="38">
        <f>AVERAGE(GB3:GB11,GB13:GB21,GB26:GB34,GB36:GB44,GB50:GB58,GB60:GB68,GB74:GB82,GB84:GB92)</f>
        <v>2.125</v>
      </c>
      <c r="GC95" s="38">
        <f>GC71+GC94</f>
        <v>298</v>
      </c>
      <c r="GD95" s="40"/>
      <c r="GE95" s="39">
        <f>GE71+GE94</f>
        <v>463</v>
      </c>
      <c r="GF95" s="37"/>
      <c r="GG95" s="37">
        <f>GG71+GG94</f>
        <v>152</v>
      </c>
      <c r="GH95" s="37"/>
      <c r="GI95" s="37">
        <f>GI71+GI94</f>
        <v>2</v>
      </c>
      <c r="GJ95" s="37"/>
      <c r="GK95" s="37">
        <f>GK71+GK94</f>
        <v>1</v>
      </c>
      <c r="GL95" s="37"/>
      <c r="GM95" s="37">
        <f>GM71+GM94</f>
        <v>61.099999999999994</v>
      </c>
      <c r="GN95" s="37">
        <f>GN71+GN94</f>
        <v>0</v>
      </c>
      <c r="GO95" s="37"/>
      <c r="GP95" s="37">
        <f>GP71+GP94</f>
        <v>2</v>
      </c>
      <c r="GQ95" s="37"/>
      <c r="GR95" s="37">
        <f>GR71+GR94</f>
        <v>20</v>
      </c>
      <c r="GS95" s="37"/>
      <c r="GT95" s="37">
        <f>GT71+GT94</f>
        <v>50</v>
      </c>
      <c r="GU95" s="37"/>
      <c r="GV95" s="37">
        <f>GV71+GV94</f>
        <v>0</v>
      </c>
      <c r="GW95" s="37"/>
      <c r="GX95" s="37">
        <f>GX71+GX94</f>
        <v>7</v>
      </c>
      <c r="GY95" s="37"/>
      <c r="GZ95" s="37">
        <f>GZ71+GZ94</f>
        <v>51</v>
      </c>
      <c r="HA95" s="37"/>
      <c r="HB95" s="37">
        <f>HB71+HB94</f>
        <v>14</v>
      </c>
      <c r="HC95" s="37"/>
      <c r="HD95" s="38">
        <f>AVERAGE(HD3:HD11,HD13:HD21,HD26:HD34,HD36:HD44,HD50:HD58,HD60:HD68,HD74:HD82,HD84:HD92)</f>
        <v>1.9375</v>
      </c>
      <c r="HE95" s="38">
        <f>AVERAGE(HE3:HE11,HE13:HE21,HE26:HE34,HE36:HE44,HE50:HE58,HE60:HE68,HE74:HE82,HE84:HE92)</f>
        <v>2.4750000000000001</v>
      </c>
      <c r="HF95" s="38">
        <f>AVERAGE(HF3:HF11,HF13:HF21,HF26:HF34,HF36:HF44,HF50:HF58,HF60:HF68,HF74:HF82,HF84:HF92)</f>
        <v>2.8125</v>
      </c>
      <c r="HG95" s="38">
        <f>HG71+HG94</f>
        <v>335</v>
      </c>
      <c r="HH95" s="40"/>
      <c r="HI95" s="39">
        <f>HI71+HI94</f>
        <v>375</v>
      </c>
      <c r="HJ95" s="37"/>
      <c r="HK95" s="37">
        <f>HK71+HK94</f>
        <v>135</v>
      </c>
      <c r="HL95" s="37"/>
      <c r="HM95" s="37">
        <f>HM71+HM94</f>
        <v>15</v>
      </c>
      <c r="HN95" s="37"/>
      <c r="HO95" s="37">
        <f>HO71+HO94</f>
        <v>9</v>
      </c>
      <c r="HP95" s="37"/>
      <c r="HQ95" s="37">
        <f>HQ71+HQ94</f>
        <v>38.25</v>
      </c>
      <c r="HR95" s="37">
        <f>HR71+HR94</f>
        <v>1</v>
      </c>
      <c r="HS95" s="37"/>
      <c r="HT95" s="37">
        <f>HT71+HT94</f>
        <v>17</v>
      </c>
      <c r="HU95" s="37"/>
      <c r="HV95" s="37">
        <f>HV71+HV94</f>
        <v>29</v>
      </c>
      <c r="HW95" s="37"/>
      <c r="HX95" s="37">
        <f>HX71+HX94</f>
        <v>25</v>
      </c>
      <c r="HY95" s="37"/>
      <c r="HZ95" s="37">
        <f>HZ71+HZ94</f>
        <v>1</v>
      </c>
      <c r="IA95" s="37"/>
      <c r="IB95" s="37">
        <f>IB71+IB94</f>
        <v>19</v>
      </c>
      <c r="IC95" s="37"/>
      <c r="ID95" s="37">
        <f>ID71+ID94</f>
        <v>40</v>
      </c>
      <c r="IE95" s="37"/>
      <c r="IF95" s="37">
        <f>IF71+IF94</f>
        <v>12</v>
      </c>
      <c r="IG95" s="37"/>
      <c r="IH95" s="38">
        <f>AVERAGE(IH3:IH11,IH13:IH21,IH26:IH34,IH36:IH44,IH50:IH58,IH60:IH68,IH74:IH82,IH84:IH92)</f>
        <v>1.5</v>
      </c>
      <c r="II95" s="38">
        <f>AVERAGE(II3:II11,II13:II21,II26:II34,II36:II44,II50:II58,II60:II68,II74:II82,II84:II92)</f>
        <v>1.125</v>
      </c>
      <c r="IJ95" s="38">
        <f>AVERAGE(IJ3:IJ11,IJ13:IJ21,IJ26:IJ34,IJ36:IJ44,IJ50:IJ58,IJ60:IJ68,IJ74:IJ82,IJ84:IJ92)</f>
        <v>1.125</v>
      </c>
      <c r="IK95" s="38">
        <f>IK71+IK94</f>
        <v>311</v>
      </c>
      <c r="IL95" s="40"/>
      <c r="IM95" s="39">
        <f>IM71+IM94</f>
        <v>493</v>
      </c>
      <c r="IN95" s="37"/>
      <c r="IO95" s="37">
        <f>IO71+IO94</f>
        <v>169</v>
      </c>
      <c r="IP95" s="37"/>
      <c r="IQ95" s="37">
        <f>IQ71+IQ94</f>
        <v>8</v>
      </c>
      <c r="IR95" s="37"/>
      <c r="IS95" s="37">
        <f>IS71+IS94</f>
        <v>1</v>
      </c>
      <c r="IT95" s="37"/>
      <c r="IU95" s="37">
        <f>IU71+IU94</f>
        <v>75.399999999999991</v>
      </c>
      <c r="IV95" s="37">
        <f>IV71+IV94</f>
        <v>1</v>
      </c>
      <c r="IW95" s="37"/>
      <c r="IX95" s="37">
        <f>IX71+IX94</f>
        <v>2</v>
      </c>
      <c r="IY95" s="37"/>
      <c r="IZ95" s="37">
        <f>IZ71+IZ94</f>
        <v>13</v>
      </c>
      <c r="JA95" s="37"/>
      <c r="JB95" s="37">
        <f>JB71+JB94</f>
        <v>56</v>
      </c>
      <c r="JC95" s="37"/>
      <c r="JD95" s="37">
        <f>JD71+JD94</f>
        <v>0</v>
      </c>
      <c r="JE95" s="37"/>
      <c r="JF95" s="37">
        <f>JF71+JF94</f>
        <v>8</v>
      </c>
      <c r="JG95" s="37"/>
      <c r="JH95" s="37">
        <f>JH71+JH94</f>
        <v>38</v>
      </c>
      <c r="JI95" s="37"/>
      <c r="JJ95" s="37">
        <f>JJ71+JJ94</f>
        <v>26</v>
      </c>
      <c r="JK95" s="37"/>
      <c r="JL95" s="38">
        <f>AVERAGE(JL3:JL11,JL13:JL21,JL26:JL34,JL36:JL44,JL50:JL58,JL60:JL68,JL74:JL82,JL84:JL92)</f>
        <v>1.875</v>
      </c>
      <c r="JM95" s="38">
        <f>AVERAGE(JM3:JM11,JM13:JM21,JM26:JM34,JM36:JM44,JM50:JM58,JM60:JM68,JM74:JM82,JM84:JM92)</f>
        <v>3.1749999999999998</v>
      </c>
      <c r="JN95" s="38">
        <f>AVERAGE(JN3:JN11,JN13:JN21,JN26:JN34,JN36:JN44,JN50:JN58,JN60:JN68,JN74:JN82,JN84:JN92)</f>
        <v>3</v>
      </c>
      <c r="JO95" s="38">
        <f>JO71+JO94</f>
        <v>324.99999999999994</v>
      </c>
      <c r="JP95" s="40"/>
      <c r="JQ95" s="39">
        <f>JQ71+JQ94</f>
        <v>268</v>
      </c>
      <c r="JR95" s="37"/>
      <c r="JS95" s="37">
        <f>JS71+JS94</f>
        <v>85</v>
      </c>
      <c r="JT95" s="37"/>
      <c r="JU95" s="37">
        <f>JU71+JU94</f>
        <v>72</v>
      </c>
      <c r="JV95" s="37"/>
      <c r="JW95" s="37">
        <f>JW71+JW94</f>
        <v>0</v>
      </c>
      <c r="JX95" s="37"/>
      <c r="JY95" s="37">
        <f>JY71+JY94</f>
        <v>-37.400000000000006</v>
      </c>
      <c r="JZ95" s="37">
        <f>JZ71+JZ94</f>
        <v>0</v>
      </c>
      <c r="KA95" s="37"/>
      <c r="KB95" s="37">
        <f>KB71+KB94</f>
        <v>0</v>
      </c>
      <c r="KC95" s="37"/>
      <c r="KD95" s="37">
        <f>KD71+KD94</f>
        <v>0</v>
      </c>
      <c r="KE95" s="37"/>
      <c r="KF95" s="37">
        <f>KF71+KF94</f>
        <v>0</v>
      </c>
      <c r="KG95" s="37"/>
      <c r="KH95" s="37">
        <f>KH71+KH94</f>
        <v>72</v>
      </c>
      <c r="KI95" s="37"/>
      <c r="KJ95" s="37">
        <f>KJ71+KJ94</f>
        <v>0</v>
      </c>
      <c r="KK95" s="37"/>
      <c r="KL95" s="37">
        <f>KL71+KL94</f>
        <v>0</v>
      </c>
      <c r="KM95" s="37"/>
      <c r="KN95" s="37">
        <f>KN71+KN94</f>
        <v>0</v>
      </c>
      <c r="KO95" s="37"/>
      <c r="KP95" s="38">
        <f>AVERAGE(KP50:KP58,KP60:KP68,KP74:KP82,KP84:KP92)</f>
        <v>-3</v>
      </c>
      <c r="KQ95" s="38">
        <f>AVERAGE(KQ50:KQ58,KQ60:KQ68,KQ74:KQ82,KQ84:KQ92)</f>
        <v>-4</v>
      </c>
      <c r="KR95" s="38">
        <f>AVERAGE(KR50:KR58,KR60:KR68,KR74:KR82,KR84:KR92)</f>
        <v>-5</v>
      </c>
      <c r="KS95" s="38" t="e">
        <f>KS71+KS94</f>
        <v>#REF!</v>
      </c>
      <c r="KT95" s="40"/>
    </row>
    <row r="96" spans="1:306" ht="13.2" x14ac:dyDescent="0.25">
      <c r="A96" s="179"/>
      <c r="B96" s="176"/>
      <c r="C96" s="90" t="s">
        <v>35</v>
      </c>
      <c r="D96" s="90"/>
      <c r="E96" s="44">
        <f>E95-$E95</f>
        <v>0</v>
      </c>
      <c r="F96" s="43"/>
      <c r="G96" s="44">
        <f>G95-$E95</f>
        <v>63</v>
      </c>
      <c r="H96" s="45"/>
      <c r="I96" s="46">
        <f>I95-72*2</f>
        <v>-9</v>
      </c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7">
        <f>AI95-$E95</f>
        <v>3</v>
      </c>
      <c r="AJ96" s="48"/>
      <c r="AK96" s="116">
        <f>AK95-$E95</f>
        <v>61</v>
      </c>
      <c r="AL96" s="45"/>
      <c r="AM96" s="162">
        <f>AM95-72*2</f>
        <v>-13</v>
      </c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7">
        <f>BM95-$E95</f>
        <v>20.999999999999943</v>
      </c>
      <c r="BN96" s="48"/>
      <c r="BO96" s="44">
        <f>BO95-$E95</f>
        <v>124</v>
      </c>
      <c r="BP96" s="45"/>
      <c r="BQ96" s="162">
        <f>BQ95-72*2</f>
        <v>15</v>
      </c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7">
        <f>CQ95-$E95</f>
        <v>47.999999999999943</v>
      </c>
      <c r="CR96" s="48"/>
      <c r="CS96" s="44">
        <f>CS95-$E95</f>
        <v>85</v>
      </c>
      <c r="CT96" s="45"/>
      <c r="CU96" s="162">
        <f>CU95-72*2</f>
        <v>3</v>
      </c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7">
        <f>DU95-$E95</f>
        <v>13</v>
      </c>
      <c r="DV96" s="49"/>
      <c r="DW96" s="44">
        <f>DW95-$E95</f>
        <v>198</v>
      </c>
      <c r="DX96" s="45"/>
      <c r="DY96" s="162">
        <f>DY95-72*2</f>
        <v>16</v>
      </c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7">
        <f>EY95-$E95</f>
        <v>18</v>
      </c>
      <c r="EZ96" s="49"/>
      <c r="FA96" s="44">
        <f>FA95-$E95</f>
        <v>102</v>
      </c>
      <c r="FB96" s="45"/>
      <c r="FC96" s="162">
        <f>FC95-72*2</f>
        <v>-10</v>
      </c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7">
        <f>GC95-$E95</f>
        <v>10</v>
      </c>
      <c r="GD96" s="49"/>
      <c r="GE96" s="44">
        <f>GE95-$E95</f>
        <v>175</v>
      </c>
      <c r="GF96" s="45"/>
      <c r="GG96" s="162">
        <f>GG95-72*2</f>
        <v>8</v>
      </c>
      <c r="GH96" s="45"/>
      <c r="GI96" s="45"/>
      <c r="GJ96" s="45"/>
      <c r="GK96" s="45"/>
      <c r="GL96" s="45"/>
      <c r="GM96" s="45"/>
      <c r="GN96" s="45"/>
      <c r="GO96" s="45"/>
      <c r="GP96" s="45"/>
      <c r="GQ96" s="45"/>
      <c r="GR96" s="45"/>
      <c r="GS96" s="45"/>
      <c r="GT96" s="45"/>
      <c r="GU96" s="45"/>
      <c r="GV96" s="45"/>
      <c r="GW96" s="45"/>
      <c r="GX96" s="45"/>
      <c r="GY96" s="45"/>
      <c r="GZ96" s="45"/>
      <c r="HA96" s="45"/>
      <c r="HB96" s="45"/>
      <c r="HC96" s="45"/>
      <c r="HD96" s="45"/>
      <c r="HE96" s="45"/>
      <c r="HF96" s="45"/>
      <c r="HG96" s="47">
        <f>HG95-$E95</f>
        <v>47</v>
      </c>
      <c r="HH96" s="49"/>
      <c r="HI96" s="44">
        <f>HI95-$E95</f>
        <v>87</v>
      </c>
      <c r="HJ96" s="45"/>
      <c r="HK96" s="162">
        <f>HK95-72*2</f>
        <v>-9</v>
      </c>
      <c r="HL96" s="45"/>
      <c r="HM96" s="45"/>
      <c r="HN96" s="45"/>
      <c r="HO96" s="45"/>
      <c r="HP96" s="45"/>
      <c r="HQ96" s="45"/>
      <c r="HR96" s="45"/>
      <c r="HS96" s="45"/>
      <c r="HT96" s="45"/>
      <c r="HU96" s="45"/>
      <c r="HV96" s="45"/>
      <c r="HW96" s="45"/>
      <c r="HX96" s="45"/>
      <c r="HY96" s="45"/>
      <c r="HZ96" s="45"/>
      <c r="IA96" s="45"/>
      <c r="IB96" s="45"/>
      <c r="IC96" s="45"/>
      <c r="ID96" s="45"/>
      <c r="IE96" s="45"/>
      <c r="IF96" s="45"/>
      <c r="IG96" s="45"/>
      <c r="IH96" s="45"/>
      <c r="II96" s="45"/>
      <c r="IJ96" s="45"/>
      <c r="IK96" s="47">
        <f>IK95-$E95</f>
        <v>23</v>
      </c>
      <c r="IL96" s="49"/>
      <c r="IM96" s="44">
        <f>IM95-$E95</f>
        <v>205</v>
      </c>
      <c r="IN96" s="45"/>
      <c r="IO96" s="46">
        <f>IO95-72*2</f>
        <v>25</v>
      </c>
      <c r="IP96" s="45"/>
      <c r="IQ96" s="45"/>
      <c r="IR96" s="45"/>
      <c r="IS96" s="45"/>
      <c r="IT96" s="45"/>
      <c r="IU96" s="45"/>
      <c r="IV96" s="45"/>
      <c r="IW96" s="45"/>
      <c r="IX96" s="45"/>
      <c r="IY96" s="45"/>
      <c r="IZ96" s="45"/>
      <c r="JA96" s="45"/>
      <c r="JB96" s="45"/>
      <c r="JC96" s="45"/>
      <c r="JD96" s="45"/>
      <c r="JE96" s="45"/>
      <c r="JF96" s="45"/>
      <c r="JG96" s="45"/>
      <c r="JH96" s="45"/>
      <c r="JI96" s="45"/>
      <c r="JJ96" s="45"/>
      <c r="JK96" s="45"/>
      <c r="JL96" s="45"/>
      <c r="JM96" s="45"/>
      <c r="JN96" s="45"/>
      <c r="JO96" s="47">
        <f>JO95-$E95</f>
        <v>36.999999999999943</v>
      </c>
      <c r="JP96" s="49"/>
      <c r="JQ96" s="44">
        <f>JQ95-($E95-2*72)</f>
        <v>124</v>
      </c>
      <c r="JR96" s="45"/>
      <c r="JS96" s="46">
        <f>JS95-72*2</f>
        <v>-59</v>
      </c>
      <c r="JT96" s="45"/>
      <c r="JU96" s="45"/>
      <c r="JV96" s="45"/>
      <c r="JW96" s="45"/>
      <c r="JX96" s="45"/>
      <c r="JY96" s="45"/>
      <c r="JZ96" s="45"/>
      <c r="KA96" s="45"/>
      <c r="KB96" s="45"/>
      <c r="KC96" s="45"/>
      <c r="KD96" s="45"/>
      <c r="KE96" s="45"/>
      <c r="KF96" s="45"/>
      <c r="KG96" s="45"/>
      <c r="KH96" s="45"/>
      <c r="KI96" s="45"/>
      <c r="KJ96" s="45"/>
      <c r="KK96" s="45"/>
      <c r="KL96" s="45"/>
      <c r="KM96" s="45"/>
      <c r="KN96" s="45"/>
      <c r="KO96" s="45"/>
      <c r="KP96" s="45"/>
      <c r="KQ96" s="45"/>
      <c r="KR96" s="45"/>
      <c r="KS96" s="47" t="e">
        <f>KS95-($E95-2*72)</f>
        <v>#REF!</v>
      </c>
      <c r="KT96" s="49"/>
    </row>
    <row r="97" spans="1:306" ht="13.8" thickBot="1" x14ac:dyDescent="0.3">
      <c r="A97" s="180"/>
      <c r="B97" s="182"/>
      <c r="C97" s="20" t="s">
        <v>36</v>
      </c>
      <c r="D97" s="20"/>
      <c r="E97" s="22">
        <f>E96/4</f>
        <v>0</v>
      </c>
      <c r="F97" s="21"/>
      <c r="G97" s="22">
        <f>G96/4</f>
        <v>15.75</v>
      </c>
      <c r="H97" s="22"/>
      <c r="I97" s="23">
        <f>I95/72</f>
        <v>1.875</v>
      </c>
      <c r="J97" s="22"/>
      <c r="K97" s="22">
        <f>K95/4</f>
        <v>5.5</v>
      </c>
      <c r="L97" s="22"/>
      <c r="M97" s="22">
        <f>M95/4</f>
        <v>2.5</v>
      </c>
      <c r="N97" s="22"/>
      <c r="O97" s="23">
        <f>O95/4</f>
        <v>8.7750000000000004</v>
      </c>
      <c r="P97" s="22">
        <f>P95/4</f>
        <v>0.75</v>
      </c>
      <c r="Q97" s="22"/>
      <c r="R97" s="22">
        <f>R95/4</f>
        <v>6</v>
      </c>
      <c r="S97" s="22"/>
      <c r="T97" s="22">
        <f>T95/4</f>
        <v>7.75</v>
      </c>
      <c r="U97" s="22"/>
      <c r="V97" s="22">
        <f>V95/4</f>
        <v>3.5</v>
      </c>
      <c r="W97" s="22"/>
      <c r="X97" s="22">
        <f>X95/4</f>
        <v>0.5</v>
      </c>
      <c r="Y97" s="22"/>
      <c r="Z97" s="22">
        <f>Z95/4</f>
        <v>4</v>
      </c>
      <c r="AA97" s="22"/>
      <c r="AB97" s="22">
        <f>AB95/4</f>
        <v>11</v>
      </c>
      <c r="AC97" s="22"/>
      <c r="AD97" s="22">
        <f>AD95/4</f>
        <v>2.5</v>
      </c>
      <c r="AE97" s="22"/>
      <c r="AF97" s="22"/>
      <c r="AG97" s="22"/>
      <c r="AH97" s="22"/>
      <c r="AI97" s="22"/>
      <c r="AJ97" s="21"/>
      <c r="AK97" s="24">
        <f>AK96/4</f>
        <v>15.25</v>
      </c>
      <c r="AL97" s="22"/>
      <c r="AM97" s="23">
        <f>AM95/72</f>
        <v>1.8194444444444444</v>
      </c>
      <c r="AN97" s="22"/>
      <c r="AO97" s="22">
        <f>AO95/4</f>
        <v>7.5</v>
      </c>
      <c r="AP97" s="22"/>
      <c r="AQ97" s="22">
        <f>AQ95/4</f>
        <v>2.5</v>
      </c>
      <c r="AR97" s="22"/>
      <c r="AS97" s="23">
        <f>AS95/4</f>
        <v>6.875</v>
      </c>
      <c r="AT97" s="22">
        <f>AT95/4</f>
        <v>0.25</v>
      </c>
      <c r="AU97" s="22"/>
      <c r="AV97" s="22">
        <f>AV95/4</f>
        <v>9</v>
      </c>
      <c r="AW97" s="22"/>
      <c r="AX97" s="22">
        <f>AX95/4</f>
        <v>5</v>
      </c>
      <c r="AY97" s="22"/>
      <c r="AZ97" s="22">
        <f>AZ95/4</f>
        <v>3.75</v>
      </c>
      <c r="BA97" s="22"/>
      <c r="BB97" s="22">
        <f>BB95/4</f>
        <v>0</v>
      </c>
      <c r="BC97" s="22"/>
      <c r="BD97" s="22">
        <f>BD95/4</f>
        <v>4.5</v>
      </c>
      <c r="BE97" s="22"/>
      <c r="BF97" s="22">
        <f>BF95/4</f>
        <v>12.25</v>
      </c>
      <c r="BG97" s="22"/>
      <c r="BH97" s="22">
        <f>BH95/4</f>
        <v>1.25</v>
      </c>
      <c r="BI97" s="22"/>
      <c r="BJ97" s="22"/>
      <c r="BK97" s="22"/>
      <c r="BL97" s="22"/>
      <c r="BM97" s="22"/>
      <c r="BN97" s="21"/>
      <c r="BO97" s="24">
        <f>BO96/4</f>
        <v>31</v>
      </c>
      <c r="BP97" s="22"/>
      <c r="BQ97" s="23">
        <f>BQ95/72</f>
        <v>2.2083333333333335</v>
      </c>
      <c r="BR97" s="22"/>
      <c r="BS97" s="22">
        <f>BS95/4</f>
        <v>3.25</v>
      </c>
      <c r="BT97" s="22"/>
      <c r="BU97" s="22">
        <f>BU95/4</f>
        <v>0</v>
      </c>
      <c r="BV97" s="22"/>
      <c r="BW97" s="23">
        <f>BW95/4</f>
        <v>15.7875</v>
      </c>
      <c r="BX97" s="22">
        <f>BX95/4</f>
        <v>0</v>
      </c>
      <c r="BY97" s="22"/>
      <c r="BZ97" s="22">
        <f>BZ95/4</f>
        <v>1.75</v>
      </c>
      <c r="CA97" s="22"/>
      <c r="CB97" s="22">
        <f>CB95/4</f>
        <v>7.75</v>
      </c>
      <c r="CC97" s="22"/>
      <c r="CD97" s="22">
        <f>CD95/4</f>
        <v>8.5</v>
      </c>
      <c r="CE97" s="22"/>
      <c r="CF97" s="22">
        <f>CF95/4</f>
        <v>0</v>
      </c>
      <c r="CG97" s="22"/>
      <c r="CH97" s="22">
        <f>CH95/4</f>
        <v>0.75</v>
      </c>
      <c r="CI97" s="22"/>
      <c r="CJ97" s="22">
        <f>CJ95/4</f>
        <v>12.75</v>
      </c>
      <c r="CK97" s="22"/>
      <c r="CL97" s="22">
        <f>CL95/4</f>
        <v>4.5</v>
      </c>
      <c r="CM97" s="22"/>
      <c r="CN97" s="22"/>
      <c r="CO97" s="22"/>
      <c r="CP97" s="22"/>
      <c r="CQ97" s="22"/>
      <c r="CR97" s="21"/>
      <c r="CS97" s="24">
        <f>CS96/4</f>
        <v>21.25</v>
      </c>
      <c r="CT97" s="22"/>
      <c r="CU97" s="23">
        <f>CU95/72</f>
        <v>2.0416666666666665</v>
      </c>
      <c r="CV97" s="22"/>
      <c r="CW97" s="22">
        <f>CW95/4</f>
        <v>5.25</v>
      </c>
      <c r="CX97" s="22"/>
      <c r="CY97" s="22">
        <f>CY95/4</f>
        <v>1.5</v>
      </c>
      <c r="CZ97" s="22"/>
      <c r="DA97" s="23">
        <f>DA95/4</f>
        <v>11.887499999999999</v>
      </c>
      <c r="DB97" s="22">
        <f>DB95/4</f>
        <v>0</v>
      </c>
      <c r="DC97" s="22"/>
      <c r="DD97" s="22">
        <f>DD95/4</f>
        <v>4.75</v>
      </c>
      <c r="DE97" s="22"/>
      <c r="DF97" s="22">
        <f>DF95/4</f>
        <v>8.25</v>
      </c>
      <c r="DG97" s="22"/>
      <c r="DH97" s="22">
        <f>DH95/4</f>
        <v>5</v>
      </c>
      <c r="DI97" s="22"/>
      <c r="DJ97" s="22">
        <f>DJ95/4</f>
        <v>0</v>
      </c>
      <c r="DK97" s="22"/>
      <c r="DL97" s="22">
        <f>DL95/4</f>
        <v>3.5</v>
      </c>
      <c r="DM97" s="22"/>
      <c r="DN97" s="22">
        <f>DN95/4</f>
        <v>10.5</v>
      </c>
      <c r="DO97" s="22"/>
      <c r="DP97" s="22">
        <f>DP95/4</f>
        <v>4</v>
      </c>
      <c r="DQ97" s="22"/>
      <c r="DR97" s="22"/>
      <c r="DS97" s="22"/>
      <c r="DT97" s="22"/>
      <c r="DU97" s="22"/>
      <c r="DV97" s="25"/>
      <c r="DW97" s="24">
        <f>DW96/4</f>
        <v>49.5</v>
      </c>
      <c r="DX97" s="22"/>
      <c r="DY97" s="23">
        <f>DY95/72</f>
        <v>2.2222222222222223</v>
      </c>
      <c r="DZ97" s="22"/>
      <c r="EA97" s="22">
        <f>EA95/4</f>
        <v>0</v>
      </c>
      <c r="EB97" s="22"/>
      <c r="EC97" s="22">
        <f>EC95/4</f>
        <v>0.25</v>
      </c>
      <c r="ED97" s="22"/>
      <c r="EE97" s="23">
        <f>EE95/4</f>
        <v>17.5</v>
      </c>
      <c r="EF97" s="22">
        <f>EF95/4</f>
        <v>0</v>
      </c>
      <c r="EG97" s="22"/>
      <c r="EH97" s="22">
        <f>EH95/4</f>
        <v>0.25</v>
      </c>
      <c r="EI97" s="22"/>
      <c r="EJ97" s="22">
        <f>EJ95/4</f>
        <v>3.75</v>
      </c>
      <c r="EK97" s="22"/>
      <c r="EL97" s="22">
        <f>EL95/4</f>
        <v>14</v>
      </c>
      <c r="EM97" s="22"/>
      <c r="EN97" s="22">
        <f>EN95/4</f>
        <v>0</v>
      </c>
      <c r="EO97" s="22"/>
      <c r="EP97" s="22">
        <f>EP95/4</f>
        <v>1.5</v>
      </c>
      <c r="EQ97" s="22"/>
      <c r="ER97" s="22">
        <f>ER95/4</f>
        <v>11.25</v>
      </c>
      <c r="ES97" s="22"/>
      <c r="ET97" s="22">
        <f>ET95/4</f>
        <v>5.25</v>
      </c>
      <c r="EU97" s="22"/>
      <c r="EV97" s="22"/>
      <c r="EW97" s="22"/>
      <c r="EX97" s="22"/>
      <c r="EY97" s="22"/>
      <c r="EZ97" s="25"/>
      <c r="FA97" s="24">
        <f>FA96/4</f>
        <v>25.5</v>
      </c>
      <c r="FB97" s="22"/>
      <c r="FC97" s="23">
        <f>FC95/72</f>
        <v>1.8611111111111112</v>
      </c>
      <c r="FD97" s="22"/>
      <c r="FE97" s="22">
        <f>FE95/4</f>
        <v>3</v>
      </c>
      <c r="FF97" s="22"/>
      <c r="FG97" s="22">
        <f>FG95/4</f>
        <v>1.25</v>
      </c>
      <c r="FH97" s="22"/>
      <c r="FI97" s="23">
        <f>FI95/4</f>
        <v>9.65</v>
      </c>
      <c r="FJ97" s="22">
        <f>FJ95/4</f>
        <v>0.25</v>
      </c>
      <c r="FK97" s="22"/>
      <c r="FL97" s="22">
        <f>FL95/4</f>
        <v>3.25</v>
      </c>
      <c r="FM97" s="22"/>
      <c r="FN97" s="22">
        <f>FN95/4</f>
        <v>7.5</v>
      </c>
      <c r="FO97" s="22"/>
      <c r="FP97" s="22">
        <f>FP95/4</f>
        <v>7</v>
      </c>
      <c r="FQ97" s="22"/>
      <c r="FR97" s="22">
        <f>FR95/4</f>
        <v>0</v>
      </c>
      <c r="FS97" s="22"/>
      <c r="FT97" s="22">
        <f>FT95/4</f>
        <v>5.5</v>
      </c>
      <c r="FU97" s="22"/>
      <c r="FV97" s="22">
        <f>FV95/4</f>
        <v>9.5</v>
      </c>
      <c r="FW97" s="22"/>
      <c r="FX97" s="22">
        <f>FX95/4</f>
        <v>3</v>
      </c>
      <c r="FY97" s="22"/>
      <c r="FZ97" s="22"/>
      <c r="GA97" s="22"/>
      <c r="GB97" s="22"/>
      <c r="GC97" s="22"/>
      <c r="GD97" s="25"/>
      <c r="GE97" s="24">
        <f>GE96/4</f>
        <v>43.75</v>
      </c>
      <c r="GF97" s="22"/>
      <c r="GG97" s="23">
        <f>GG95/72</f>
        <v>2.1111111111111112</v>
      </c>
      <c r="GH97" s="22"/>
      <c r="GI97" s="22">
        <f>GI95/4</f>
        <v>0.5</v>
      </c>
      <c r="GJ97" s="22"/>
      <c r="GK97" s="22">
        <f>GK95/4</f>
        <v>0.25</v>
      </c>
      <c r="GL97" s="22"/>
      <c r="GM97" s="23">
        <f>GM95/4</f>
        <v>15.274999999999999</v>
      </c>
      <c r="GN97" s="22">
        <f>GN95/4</f>
        <v>0</v>
      </c>
      <c r="GO97" s="22"/>
      <c r="GP97" s="22">
        <f>GP95/4</f>
        <v>0.5</v>
      </c>
      <c r="GQ97" s="22"/>
      <c r="GR97" s="22">
        <f>GR95/4</f>
        <v>5</v>
      </c>
      <c r="GS97" s="22"/>
      <c r="GT97" s="22">
        <f>GT95/4</f>
        <v>12.5</v>
      </c>
      <c r="GU97" s="22"/>
      <c r="GV97" s="22">
        <f>GV95/4</f>
        <v>0</v>
      </c>
      <c r="GW97" s="22"/>
      <c r="GX97" s="22">
        <f>GX95/4</f>
        <v>1.75</v>
      </c>
      <c r="GY97" s="22"/>
      <c r="GZ97" s="22">
        <f>GZ95/4</f>
        <v>12.75</v>
      </c>
      <c r="HA97" s="22"/>
      <c r="HB97" s="22">
        <f>HB95/4</f>
        <v>3.5</v>
      </c>
      <c r="HC97" s="22"/>
      <c r="HD97" s="22"/>
      <c r="HE97" s="22"/>
      <c r="HF97" s="22"/>
      <c r="HG97" s="22"/>
      <c r="HH97" s="25"/>
      <c r="HI97" s="24">
        <f>HI96/4</f>
        <v>21.75</v>
      </c>
      <c r="HJ97" s="22"/>
      <c r="HK97" s="23">
        <f>HK95/72</f>
        <v>1.875</v>
      </c>
      <c r="HL97" s="22"/>
      <c r="HM97" s="22">
        <f>HM95/4</f>
        <v>3.75</v>
      </c>
      <c r="HN97" s="22"/>
      <c r="HO97" s="22">
        <f>HO95/4</f>
        <v>2.25</v>
      </c>
      <c r="HP97" s="22"/>
      <c r="HQ97" s="23">
        <f>HQ95/4</f>
        <v>9.5625</v>
      </c>
      <c r="HR97" s="22">
        <f>HR95/4</f>
        <v>0.25</v>
      </c>
      <c r="HS97" s="22"/>
      <c r="HT97" s="22">
        <f>HT95/4</f>
        <v>4.25</v>
      </c>
      <c r="HU97" s="22"/>
      <c r="HV97" s="22">
        <f>HV95/4</f>
        <v>7.25</v>
      </c>
      <c r="HW97" s="22"/>
      <c r="HX97" s="22">
        <f>HX95/4</f>
        <v>6.25</v>
      </c>
      <c r="HY97" s="22"/>
      <c r="HZ97" s="22">
        <f>HZ95/4</f>
        <v>0.25</v>
      </c>
      <c r="IA97" s="22"/>
      <c r="IB97" s="22">
        <f>IB95/4</f>
        <v>4.75</v>
      </c>
      <c r="IC97" s="22"/>
      <c r="ID97" s="22">
        <f>ID95/4</f>
        <v>10</v>
      </c>
      <c r="IE97" s="22"/>
      <c r="IF97" s="22">
        <f>IF95/4</f>
        <v>3</v>
      </c>
      <c r="IG97" s="22"/>
      <c r="IH97" s="22"/>
      <c r="II97" s="22"/>
      <c r="IJ97" s="22"/>
      <c r="IK97" s="22"/>
      <c r="IL97" s="25"/>
      <c r="IM97" s="24">
        <f>IM96/4</f>
        <v>51.25</v>
      </c>
      <c r="IN97" s="22"/>
      <c r="IO97" s="23">
        <f>IO95/72</f>
        <v>2.3472222222222223</v>
      </c>
      <c r="IP97" s="22"/>
      <c r="IQ97" s="22">
        <f>IQ95/4</f>
        <v>2</v>
      </c>
      <c r="IR97" s="22"/>
      <c r="IS97" s="22">
        <f>IS95/4</f>
        <v>0.25</v>
      </c>
      <c r="IT97" s="22"/>
      <c r="IU97" s="23">
        <f>IU95/4</f>
        <v>18.849999999999998</v>
      </c>
      <c r="IV97" s="22">
        <f>IV95/4</f>
        <v>0.25</v>
      </c>
      <c r="IW97" s="22"/>
      <c r="IX97" s="22">
        <f>IX95/4</f>
        <v>0.5</v>
      </c>
      <c r="IY97" s="22"/>
      <c r="IZ97" s="22">
        <f>IZ95/4</f>
        <v>3.25</v>
      </c>
      <c r="JA97" s="22"/>
      <c r="JB97" s="22">
        <f>JB95/4</f>
        <v>14</v>
      </c>
      <c r="JC97" s="22"/>
      <c r="JD97" s="22">
        <f>JD95/4</f>
        <v>0</v>
      </c>
      <c r="JE97" s="22"/>
      <c r="JF97" s="22">
        <f>JF95/4</f>
        <v>2</v>
      </c>
      <c r="JG97" s="22"/>
      <c r="JH97" s="22">
        <f>JH95/4</f>
        <v>9.5</v>
      </c>
      <c r="JI97" s="22"/>
      <c r="JJ97" s="22">
        <f>JJ95/4</f>
        <v>6.5</v>
      </c>
      <c r="JK97" s="22"/>
      <c r="JL97" s="22"/>
      <c r="JM97" s="22"/>
      <c r="JN97" s="22"/>
      <c r="JO97" s="22"/>
      <c r="JP97" s="25"/>
      <c r="JQ97" s="24">
        <f>JQ96/2</f>
        <v>62</v>
      </c>
      <c r="JR97" s="22"/>
      <c r="JS97" s="23">
        <f>JS95/36</f>
        <v>2.3611111111111112</v>
      </c>
      <c r="JT97" s="22"/>
      <c r="JU97" s="22">
        <f>JU95/2</f>
        <v>36</v>
      </c>
      <c r="JV97" s="22"/>
      <c r="JW97" s="22">
        <f>JW95/2</f>
        <v>0</v>
      </c>
      <c r="JX97" s="22"/>
      <c r="JY97" s="23">
        <f>JY95/4</f>
        <v>-9.3500000000000014</v>
      </c>
      <c r="JZ97" s="22">
        <f>JZ95/2</f>
        <v>0</v>
      </c>
      <c r="KA97" s="22"/>
      <c r="KB97" s="22">
        <f>KB95/2</f>
        <v>0</v>
      </c>
      <c r="KC97" s="22"/>
      <c r="KD97" s="22">
        <f>KD95/2</f>
        <v>0</v>
      </c>
      <c r="KE97" s="22"/>
      <c r="KF97" s="22">
        <f>KF95/2</f>
        <v>0</v>
      </c>
      <c r="KG97" s="22"/>
      <c r="KH97" s="22">
        <f>KH95/2</f>
        <v>36</v>
      </c>
      <c r="KI97" s="22"/>
      <c r="KJ97" s="22">
        <f>KJ95/2</f>
        <v>0</v>
      </c>
      <c r="KK97" s="22"/>
      <c r="KL97" s="22">
        <f>KL95/2</f>
        <v>0</v>
      </c>
      <c r="KM97" s="22"/>
      <c r="KN97" s="22">
        <f>KN95/2</f>
        <v>0</v>
      </c>
      <c r="KO97" s="22"/>
      <c r="KP97" s="22"/>
      <c r="KQ97" s="22"/>
      <c r="KR97" s="22"/>
      <c r="KS97" s="22"/>
      <c r="KT97" s="25"/>
    </row>
    <row r="98" spans="1:306" ht="13.8" thickTop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FI98" s="2"/>
      <c r="GM98" s="2"/>
      <c r="HQ98" s="2"/>
      <c r="IU98" s="2"/>
      <c r="JY98" s="2"/>
    </row>
    <row r="99" spans="1:30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FI99" s="2"/>
      <c r="GM99" s="2"/>
      <c r="HQ99" s="2"/>
      <c r="IU99" s="2"/>
      <c r="JY99" s="2"/>
    </row>
    <row r="100" spans="1:30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FI100" s="2"/>
      <c r="GM100" s="2"/>
      <c r="HQ100" s="2"/>
      <c r="IU100" s="2"/>
      <c r="JY100" s="2"/>
    </row>
    <row r="101" spans="1:30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FI101" s="2"/>
      <c r="GM101" s="2"/>
      <c r="HQ101" s="2"/>
      <c r="IU101" s="2"/>
      <c r="JY101" s="2"/>
    </row>
    <row r="102" spans="1:30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FI102" s="2"/>
      <c r="GM102" s="2"/>
      <c r="HQ102" s="2"/>
      <c r="IU102" s="2"/>
      <c r="JY102" s="2"/>
    </row>
    <row r="103" spans="1:30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FI103" s="2"/>
      <c r="GM103" s="2"/>
      <c r="HQ103" s="2"/>
      <c r="IU103" s="2"/>
      <c r="JY103" s="2"/>
    </row>
    <row r="104" spans="1:30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FI104" s="2"/>
      <c r="GM104" s="2"/>
      <c r="HQ104" s="2"/>
      <c r="IU104" s="2"/>
      <c r="JY104" s="2"/>
    </row>
    <row r="105" spans="1:30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FI105" s="2"/>
      <c r="GM105" s="2"/>
      <c r="HQ105" s="2"/>
      <c r="IU105" s="2"/>
      <c r="JY105" s="2"/>
    </row>
    <row r="106" spans="1:30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FI106" s="2"/>
      <c r="GM106" s="2"/>
      <c r="HQ106" s="2"/>
      <c r="IU106" s="2"/>
      <c r="JY106" s="2"/>
    </row>
    <row r="107" spans="1:30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FI107" s="2"/>
      <c r="GM107" s="2"/>
      <c r="HQ107" s="2"/>
      <c r="IU107" s="2"/>
      <c r="JY107" s="2"/>
    </row>
    <row r="108" spans="1:30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FI108" s="2"/>
      <c r="GM108" s="2"/>
      <c r="HQ108" s="2"/>
      <c r="IU108" s="2"/>
      <c r="JY108" s="2"/>
    </row>
    <row r="109" spans="1:30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FI109" s="2"/>
      <c r="GM109" s="2"/>
      <c r="HQ109" s="2"/>
      <c r="IU109" s="2"/>
      <c r="JY109" s="2"/>
    </row>
    <row r="110" spans="1:30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FI110" s="2"/>
      <c r="GM110" s="2"/>
      <c r="HQ110" s="2"/>
      <c r="IU110" s="2"/>
      <c r="JY110" s="2"/>
    </row>
    <row r="111" spans="1:30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FI111" s="2"/>
      <c r="GM111" s="2"/>
      <c r="HQ111" s="2"/>
      <c r="IU111" s="2"/>
      <c r="JY111" s="2"/>
    </row>
    <row r="112" spans="1:30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FI112" s="2"/>
      <c r="GM112" s="2"/>
      <c r="HQ112" s="2"/>
      <c r="IU112" s="2"/>
      <c r="JY112" s="2"/>
    </row>
    <row r="113" spans="1:285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FI113" s="2"/>
      <c r="GM113" s="2"/>
      <c r="HQ113" s="2"/>
      <c r="IU113" s="2"/>
      <c r="JY113" s="2"/>
    </row>
    <row r="114" spans="1:285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FI114" s="2"/>
      <c r="GM114" s="2"/>
      <c r="HQ114" s="2"/>
      <c r="IU114" s="2"/>
      <c r="JY114" s="2"/>
    </row>
    <row r="115" spans="1:285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FI115" s="2"/>
      <c r="GM115" s="2"/>
      <c r="HQ115" s="2"/>
      <c r="IU115" s="2"/>
      <c r="JY115" s="2"/>
    </row>
    <row r="116" spans="1:285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FI116" s="2"/>
      <c r="GM116" s="2"/>
      <c r="HQ116" s="2"/>
      <c r="IU116" s="2"/>
      <c r="JY116" s="2"/>
    </row>
    <row r="117" spans="1:285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FI117" s="2"/>
      <c r="GM117" s="2"/>
      <c r="HQ117" s="2"/>
      <c r="IU117" s="2"/>
      <c r="JY117" s="2"/>
    </row>
    <row r="118" spans="1:285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FI118" s="2"/>
      <c r="GM118" s="2"/>
      <c r="HQ118" s="2"/>
      <c r="IU118" s="2"/>
      <c r="JY118" s="2"/>
    </row>
    <row r="119" spans="1:285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FI119" s="2"/>
      <c r="GM119" s="2"/>
      <c r="HQ119" s="2"/>
      <c r="IU119" s="2"/>
      <c r="JY119" s="2"/>
    </row>
    <row r="120" spans="1:285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FI120" s="2"/>
      <c r="GM120" s="2"/>
      <c r="HQ120" s="2"/>
      <c r="IU120" s="2"/>
      <c r="JY120" s="2"/>
    </row>
    <row r="121" spans="1:285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FI121" s="2"/>
      <c r="GM121" s="2"/>
      <c r="HQ121" s="2"/>
      <c r="IU121" s="2"/>
      <c r="JY121" s="2"/>
    </row>
    <row r="122" spans="1:285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FI122" s="2"/>
      <c r="GM122" s="2"/>
      <c r="HQ122" s="2"/>
      <c r="IU122" s="2"/>
      <c r="JY122" s="2"/>
    </row>
    <row r="123" spans="1:285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FI123" s="2"/>
      <c r="GM123" s="2"/>
      <c r="HQ123" s="2"/>
      <c r="IU123" s="2"/>
      <c r="JY123" s="2"/>
    </row>
    <row r="124" spans="1:285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FI124" s="2"/>
      <c r="GM124" s="2"/>
      <c r="HQ124" s="2"/>
      <c r="IU124" s="2"/>
      <c r="JY124" s="2"/>
    </row>
    <row r="125" spans="1:285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FI125" s="2"/>
      <c r="GM125" s="2"/>
      <c r="HQ125" s="2"/>
      <c r="IU125" s="2"/>
      <c r="JY125" s="2"/>
    </row>
    <row r="126" spans="1:285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FI126" s="2"/>
      <c r="GM126" s="2"/>
      <c r="HQ126" s="2"/>
      <c r="IU126" s="2"/>
      <c r="JY126" s="2"/>
    </row>
    <row r="127" spans="1:285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FI127" s="2"/>
      <c r="GM127" s="2"/>
      <c r="HQ127" s="2"/>
      <c r="IU127" s="2"/>
      <c r="JY127" s="2"/>
    </row>
    <row r="128" spans="1:285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FI128" s="2"/>
      <c r="GM128" s="2"/>
      <c r="HQ128" s="2"/>
      <c r="IU128" s="2"/>
      <c r="JY128" s="2"/>
    </row>
    <row r="129" spans="1:285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FI129" s="2"/>
      <c r="GM129" s="2"/>
      <c r="HQ129" s="2"/>
      <c r="IU129" s="2"/>
      <c r="JY129" s="2"/>
    </row>
    <row r="130" spans="1:285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FI130" s="2"/>
      <c r="GM130" s="2"/>
      <c r="HQ130" s="2"/>
      <c r="IU130" s="2"/>
      <c r="JY130" s="2"/>
    </row>
    <row r="131" spans="1:285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FI131" s="2"/>
      <c r="GM131" s="2"/>
      <c r="HQ131" s="2"/>
      <c r="IU131" s="2"/>
      <c r="JY131" s="2"/>
    </row>
    <row r="132" spans="1:285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FI132" s="2"/>
      <c r="GM132" s="2"/>
      <c r="HQ132" s="2"/>
      <c r="IU132" s="2"/>
      <c r="JY132" s="2"/>
    </row>
    <row r="133" spans="1:285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FI133" s="2"/>
      <c r="GM133" s="2"/>
      <c r="HQ133" s="2"/>
      <c r="IU133" s="2"/>
      <c r="JY133" s="2"/>
    </row>
    <row r="134" spans="1:285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FI134" s="2"/>
      <c r="GM134" s="2"/>
      <c r="HQ134" s="2"/>
      <c r="IU134" s="2"/>
      <c r="JY134" s="2"/>
    </row>
    <row r="135" spans="1:285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FI135" s="2"/>
      <c r="GM135" s="2"/>
      <c r="HQ135" s="2"/>
      <c r="IU135" s="2"/>
      <c r="JY135" s="2"/>
    </row>
    <row r="136" spans="1:285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FI136" s="2"/>
      <c r="GM136" s="2"/>
      <c r="HQ136" s="2"/>
      <c r="IU136" s="2"/>
      <c r="JY136" s="2"/>
    </row>
    <row r="137" spans="1:285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FI137" s="2"/>
      <c r="GM137" s="2"/>
      <c r="HQ137" s="2"/>
      <c r="IU137" s="2"/>
      <c r="JY137" s="2"/>
    </row>
    <row r="138" spans="1:285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FI138" s="2"/>
      <c r="GM138" s="2"/>
      <c r="HQ138" s="2"/>
      <c r="IU138" s="2"/>
      <c r="JY138" s="2"/>
    </row>
    <row r="139" spans="1:285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FI139" s="2"/>
      <c r="GM139" s="2"/>
      <c r="HQ139" s="2"/>
      <c r="IU139" s="2"/>
      <c r="JY139" s="2"/>
    </row>
    <row r="140" spans="1:285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FI140" s="2"/>
      <c r="GM140" s="2"/>
      <c r="HQ140" s="2"/>
      <c r="IU140" s="2"/>
      <c r="JY140" s="2"/>
    </row>
    <row r="141" spans="1:285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FI141" s="2"/>
      <c r="GM141" s="2"/>
      <c r="HQ141" s="2"/>
      <c r="IU141" s="2"/>
      <c r="JY141" s="2"/>
    </row>
    <row r="142" spans="1:285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FI142" s="2"/>
      <c r="GM142" s="2"/>
      <c r="HQ142" s="2"/>
      <c r="IU142" s="2"/>
      <c r="JY142" s="2"/>
    </row>
    <row r="143" spans="1:285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FI143" s="2"/>
      <c r="GM143" s="2"/>
      <c r="HQ143" s="2"/>
      <c r="IU143" s="2"/>
      <c r="JY143" s="2"/>
    </row>
    <row r="144" spans="1:285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FI144" s="2"/>
      <c r="GM144" s="2"/>
      <c r="HQ144" s="2"/>
      <c r="IU144" s="2"/>
      <c r="JY144" s="2"/>
    </row>
    <row r="145" spans="1:285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FI145" s="2"/>
      <c r="GM145" s="2"/>
      <c r="HQ145" s="2"/>
      <c r="IU145" s="2"/>
      <c r="JY145" s="2"/>
    </row>
    <row r="146" spans="1:285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FI146" s="2"/>
      <c r="GM146" s="2"/>
      <c r="HQ146" s="2"/>
      <c r="IU146" s="2"/>
      <c r="JY146" s="2"/>
    </row>
    <row r="147" spans="1:285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FI147" s="2"/>
      <c r="GM147" s="2"/>
      <c r="HQ147" s="2"/>
      <c r="IU147" s="2"/>
      <c r="JY147" s="2"/>
    </row>
    <row r="148" spans="1:285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FI148" s="2"/>
      <c r="GM148" s="2"/>
      <c r="HQ148" s="2"/>
      <c r="IU148" s="2"/>
      <c r="JY148" s="2"/>
    </row>
    <row r="149" spans="1:285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FI149" s="2"/>
      <c r="GM149" s="2"/>
      <c r="HQ149" s="2"/>
      <c r="IU149" s="2"/>
      <c r="JY149" s="2"/>
    </row>
    <row r="150" spans="1:285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FI150" s="2"/>
      <c r="GM150" s="2"/>
      <c r="HQ150" s="2"/>
      <c r="IU150" s="2"/>
      <c r="JY150" s="2"/>
    </row>
    <row r="151" spans="1:285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FI151" s="2"/>
      <c r="GM151" s="2"/>
      <c r="HQ151" s="2"/>
      <c r="IU151" s="2"/>
      <c r="JY151" s="2"/>
    </row>
    <row r="152" spans="1:285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FI152" s="2"/>
      <c r="GM152" s="2"/>
      <c r="HQ152" s="2"/>
      <c r="IU152" s="2"/>
      <c r="JY152" s="2"/>
    </row>
    <row r="153" spans="1:285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FI153" s="2"/>
      <c r="GM153" s="2"/>
      <c r="HQ153" s="2"/>
      <c r="IU153" s="2"/>
      <c r="JY153" s="2"/>
    </row>
    <row r="154" spans="1:285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FI154" s="2"/>
      <c r="GM154" s="2"/>
      <c r="HQ154" s="2"/>
      <c r="IU154" s="2"/>
      <c r="JY154" s="2"/>
    </row>
    <row r="155" spans="1:285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FI155" s="2"/>
      <c r="GM155" s="2"/>
      <c r="HQ155" s="2"/>
      <c r="IU155" s="2"/>
      <c r="JY155" s="2"/>
    </row>
    <row r="156" spans="1:285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FI156" s="2"/>
      <c r="GM156" s="2"/>
      <c r="HQ156" s="2"/>
      <c r="IU156" s="2"/>
      <c r="JY156" s="2"/>
    </row>
    <row r="157" spans="1:285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FI157" s="2"/>
      <c r="GM157" s="2"/>
      <c r="HQ157" s="2"/>
      <c r="IU157" s="2"/>
      <c r="JY157" s="2"/>
    </row>
    <row r="158" spans="1:285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FI158" s="2"/>
      <c r="GM158" s="2"/>
      <c r="HQ158" s="2"/>
      <c r="IU158" s="2"/>
      <c r="JY158" s="2"/>
    </row>
    <row r="159" spans="1:285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FI159" s="2"/>
      <c r="GM159" s="2"/>
      <c r="HQ159" s="2"/>
      <c r="IU159" s="2"/>
      <c r="JY159" s="2"/>
    </row>
    <row r="160" spans="1:285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FI160" s="2"/>
      <c r="GM160" s="2"/>
      <c r="HQ160" s="2"/>
      <c r="IU160" s="2"/>
      <c r="JY160" s="2"/>
    </row>
    <row r="161" spans="1:285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FI161" s="2"/>
      <c r="GM161" s="2"/>
      <c r="HQ161" s="2"/>
      <c r="IU161" s="2"/>
      <c r="JY161" s="2"/>
    </row>
    <row r="162" spans="1:285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FI162" s="2"/>
      <c r="GM162" s="2"/>
      <c r="HQ162" s="2"/>
      <c r="IU162" s="2"/>
      <c r="JY162" s="2"/>
    </row>
    <row r="163" spans="1:285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FI163" s="2"/>
      <c r="GM163" s="2"/>
      <c r="HQ163" s="2"/>
      <c r="IU163" s="2"/>
      <c r="JY163" s="2"/>
    </row>
    <row r="164" spans="1:285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FI164" s="2"/>
      <c r="GM164" s="2"/>
      <c r="HQ164" s="2"/>
      <c r="IU164" s="2"/>
      <c r="JY164" s="2"/>
    </row>
    <row r="165" spans="1:285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FI165" s="2"/>
      <c r="GM165" s="2"/>
      <c r="HQ165" s="2"/>
      <c r="IU165" s="2"/>
      <c r="JY165" s="2"/>
    </row>
    <row r="166" spans="1:285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FI166" s="2"/>
      <c r="GM166" s="2"/>
      <c r="HQ166" s="2"/>
      <c r="IU166" s="2"/>
      <c r="JY166" s="2"/>
    </row>
    <row r="167" spans="1:285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FI167" s="2"/>
      <c r="GM167" s="2"/>
      <c r="HQ167" s="2"/>
      <c r="IU167" s="2"/>
      <c r="JY167" s="2"/>
    </row>
    <row r="168" spans="1:285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FI168" s="2"/>
      <c r="GM168" s="2"/>
      <c r="HQ168" s="2"/>
      <c r="IU168" s="2"/>
      <c r="JY168" s="2"/>
    </row>
    <row r="169" spans="1:285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FI169" s="2"/>
      <c r="GM169" s="2"/>
      <c r="HQ169" s="2"/>
      <c r="IU169" s="2"/>
      <c r="JY169" s="2"/>
    </row>
    <row r="170" spans="1:285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FI170" s="2"/>
      <c r="GM170" s="2"/>
      <c r="HQ170" s="2"/>
      <c r="IU170" s="2"/>
      <c r="JY170" s="2"/>
    </row>
    <row r="171" spans="1:285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FI171" s="2"/>
      <c r="GM171" s="2"/>
      <c r="HQ171" s="2"/>
      <c r="IU171" s="2"/>
      <c r="JY171" s="2"/>
    </row>
    <row r="172" spans="1:285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FI172" s="2"/>
      <c r="GM172" s="2"/>
      <c r="HQ172" s="2"/>
      <c r="IU172" s="2"/>
      <c r="JY172" s="2"/>
    </row>
    <row r="173" spans="1:285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FI173" s="2"/>
      <c r="GM173" s="2"/>
      <c r="HQ173" s="2"/>
      <c r="IU173" s="2"/>
      <c r="JY173" s="2"/>
    </row>
    <row r="174" spans="1:285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FI174" s="2"/>
      <c r="GM174" s="2"/>
      <c r="HQ174" s="2"/>
      <c r="IU174" s="2"/>
      <c r="JY174" s="2"/>
    </row>
    <row r="175" spans="1:285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FI175" s="2"/>
      <c r="GM175" s="2"/>
      <c r="HQ175" s="2"/>
      <c r="IU175" s="2"/>
      <c r="JY175" s="2"/>
    </row>
    <row r="176" spans="1:285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FI176" s="2"/>
      <c r="GM176" s="2"/>
      <c r="HQ176" s="2"/>
      <c r="IU176" s="2"/>
      <c r="JY176" s="2"/>
    </row>
    <row r="177" spans="1:285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FI177" s="2"/>
      <c r="GM177" s="2"/>
      <c r="HQ177" s="2"/>
      <c r="IU177" s="2"/>
      <c r="JY177" s="2"/>
    </row>
    <row r="178" spans="1:285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FI178" s="2"/>
      <c r="GM178" s="2"/>
      <c r="HQ178" s="2"/>
      <c r="IU178" s="2"/>
      <c r="JY178" s="2"/>
    </row>
    <row r="179" spans="1:285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FI179" s="2"/>
      <c r="GM179" s="2"/>
      <c r="HQ179" s="2"/>
      <c r="IU179" s="2"/>
      <c r="JY179" s="2"/>
    </row>
    <row r="180" spans="1:285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FI180" s="2"/>
      <c r="GM180" s="2"/>
      <c r="HQ180" s="2"/>
      <c r="IU180" s="2"/>
      <c r="JY180" s="2"/>
    </row>
    <row r="181" spans="1:285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FI181" s="2"/>
      <c r="GM181" s="2"/>
      <c r="HQ181" s="2"/>
      <c r="IU181" s="2"/>
      <c r="JY181" s="2"/>
    </row>
    <row r="182" spans="1:285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FI182" s="2"/>
      <c r="GM182" s="2"/>
      <c r="HQ182" s="2"/>
      <c r="IU182" s="2"/>
      <c r="JY182" s="2"/>
    </row>
    <row r="183" spans="1:285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FI183" s="2"/>
      <c r="GM183" s="2"/>
      <c r="HQ183" s="2"/>
      <c r="IU183" s="2"/>
      <c r="JY183" s="2"/>
    </row>
    <row r="184" spans="1:285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FI184" s="2"/>
      <c r="GM184" s="2"/>
      <c r="HQ184" s="2"/>
      <c r="IU184" s="2"/>
      <c r="JY184" s="2"/>
    </row>
    <row r="185" spans="1:285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FI185" s="2"/>
      <c r="GM185" s="2"/>
      <c r="HQ185" s="2"/>
      <c r="IU185" s="2"/>
      <c r="JY185" s="2"/>
    </row>
    <row r="186" spans="1:285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FI186" s="2"/>
      <c r="GM186" s="2"/>
      <c r="HQ186" s="2"/>
      <c r="IU186" s="2"/>
      <c r="JY186" s="2"/>
    </row>
    <row r="187" spans="1:285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FI187" s="2"/>
      <c r="GM187" s="2"/>
      <c r="HQ187" s="2"/>
      <c r="IU187" s="2"/>
      <c r="JY187" s="2"/>
    </row>
    <row r="188" spans="1:285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FI188" s="2"/>
      <c r="GM188" s="2"/>
      <c r="HQ188" s="2"/>
      <c r="IU188" s="2"/>
      <c r="JY188" s="2"/>
    </row>
    <row r="189" spans="1:285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FI189" s="2"/>
      <c r="GM189" s="2"/>
      <c r="HQ189" s="2"/>
      <c r="IU189" s="2"/>
      <c r="JY189" s="2"/>
    </row>
    <row r="190" spans="1:285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FI190" s="2"/>
      <c r="GM190" s="2"/>
      <c r="HQ190" s="2"/>
      <c r="IU190" s="2"/>
      <c r="JY190" s="2"/>
    </row>
    <row r="191" spans="1:285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FI191" s="2"/>
      <c r="GM191" s="2"/>
      <c r="HQ191" s="2"/>
      <c r="IU191" s="2"/>
      <c r="JY191" s="2"/>
    </row>
    <row r="192" spans="1:285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FI192" s="2"/>
      <c r="GM192" s="2"/>
      <c r="HQ192" s="2"/>
      <c r="IU192" s="2"/>
      <c r="JY192" s="2"/>
    </row>
    <row r="193" spans="1:285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FI193" s="2"/>
      <c r="GM193" s="2"/>
      <c r="HQ193" s="2"/>
      <c r="IU193" s="2"/>
      <c r="JY193" s="2"/>
    </row>
    <row r="194" spans="1:285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FI194" s="2"/>
      <c r="GM194" s="2"/>
      <c r="HQ194" s="2"/>
      <c r="IU194" s="2"/>
      <c r="JY194" s="2"/>
    </row>
    <row r="195" spans="1:285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FI195" s="2"/>
      <c r="GM195" s="2"/>
      <c r="HQ195" s="2"/>
      <c r="IU195" s="2"/>
      <c r="JY195" s="2"/>
    </row>
    <row r="196" spans="1:285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FI196" s="2"/>
      <c r="GM196" s="2"/>
      <c r="HQ196" s="2"/>
      <c r="IU196" s="2"/>
      <c r="JY196" s="2"/>
    </row>
    <row r="197" spans="1:285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FI197" s="2"/>
      <c r="GM197" s="2"/>
      <c r="HQ197" s="2"/>
      <c r="IU197" s="2"/>
      <c r="JY197" s="2"/>
    </row>
    <row r="198" spans="1:285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FI198" s="2"/>
      <c r="GM198" s="2"/>
      <c r="HQ198" s="2"/>
      <c r="IU198" s="2"/>
      <c r="JY198" s="2"/>
    </row>
    <row r="199" spans="1:285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FI199" s="2"/>
      <c r="GM199" s="2"/>
      <c r="HQ199" s="2"/>
      <c r="IU199" s="2"/>
      <c r="JY199" s="2"/>
    </row>
    <row r="200" spans="1:285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FI200" s="2"/>
      <c r="GM200" s="2"/>
      <c r="HQ200" s="2"/>
      <c r="IU200" s="2"/>
      <c r="JY200" s="2"/>
    </row>
    <row r="201" spans="1:285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FI201" s="2"/>
      <c r="GM201" s="2"/>
      <c r="HQ201" s="2"/>
      <c r="IU201" s="2"/>
      <c r="JY201" s="2"/>
    </row>
    <row r="202" spans="1:285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FI202" s="2"/>
      <c r="GM202" s="2"/>
      <c r="HQ202" s="2"/>
      <c r="IU202" s="2"/>
      <c r="JY202" s="2"/>
    </row>
    <row r="203" spans="1:285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FI203" s="2"/>
      <c r="GM203" s="2"/>
      <c r="HQ203" s="2"/>
      <c r="IU203" s="2"/>
      <c r="JY203" s="2"/>
    </row>
    <row r="204" spans="1:285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FI204" s="2"/>
      <c r="GM204" s="2"/>
      <c r="HQ204" s="2"/>
      <c r="IU204" s="2"/>
      <c r="JY204" s="2"/>
    </row>
    <row r="205" spans="1:285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FI205" s="2"/>
      <c r="GM205" s="2"/>
      <c r="HQ205" s="2"/>
      <c r="IU205" s="2"/>
      <c r="JY205" s="2"/>
    </row>
    <row r="206" spans="1:285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FI206" s="2"/>
      <c r="GM206" s="2"/>
      <c r="HQ206" s="2"/>
      <c r="IU206" s="2"/>
      <c r="JY206" s="2"/>
    </row>
    <row r="207" spans="1:285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FI207" s="2"/>
      <c r="GM207" s="2"/>
      <c r="HQ207" s="2"/>
      <c r="IU207" s="2"/>
      <c r="JY207" s="2"/>
    </row>
    <row r="208" spans="1:285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FI208" s="2"/>
      <c r="GM208" s="2"/>
      <c r="HQ208" s="2"/>
      <c r="IU208" s="2"/>
      <c r="JY208" s="2"/>
    </row>
    <row r="209" spans="1:285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FI209" s="2"/>
      <c r="GM209" s="2"/>
      <c r="HQ209" s="2"/>
      <c r="IU209" s="2"/>
      <c r="JY209" s="2"/>
    </row>
    <row r="210" spans="1:285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FI210" s="2"/>
      <c r="GM210" s="2"/>
      <c r="HQ210" s="2"/>
      <c r="IU210" s="2"/>
      <c r="JY210" s="2"/>
    </row>
    <row r="211" spans="1:285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FI211" s="2"/>
      <c r="GM211" s="2"/>
      <c r="HQ211" s="2"/>
      <c r="IU211" s="2"/>
      <c r="JY211" s="2"/>
    </row>
    <row r="212" spans="1:285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FI212" s="2"/>
      <c r="GM212" s="2"/>
      <c r="HQ212" s="2"/>
      <c r="IU212" s="2"/>
      <c r="JY212" s="2"/>
    </row>
    <row r="213" spans="1:285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FI213" s="2"/>
      <c r="GM213" s="2"/>
      <c r="HQ213" s="2"/>
      <c r="IU213" s="2"/>
      <c r="JY213" s="2"/>
    </row>
    <row r="214" spans="1:285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FI214" s="2"/>
      <c r="GM214" s="2"/>
      <c r="HQ214" s="2"/>
      <c r="IU214" s="2"/>
      <c r="JY214" s="2"/>
    </row>
    <row r="215" spans="1:285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FI215" s="2"/>
      <c r="GM215" s="2"/>
      <c r="HQ215" s="2"/>
      <c r="IU215" s="2"/>
      <c r="JY215" s="2"/>
    </row>
    <row r="216" spans="1:285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FI216" s="2"/>
      <c r="GM216" s="2"/>
      <c r="HQ216" s="2"/>
      <c r="IU216" s="2"/>
      <c r="JY216" s="2"/>
    </row>
    <row r="217" spans="1:285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FI217" s="2"/>
      <c r="GM217" s="2"/>
      <c r="HQ217" s="2"/>
      <c r="IU217" s="2"/>
      <c r="JY217" s="2"/>
    </row>
    <row r="218" spans="1:285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FI218" s="2"/>
      <c r="GM218" s="2"/>
      <c r="HQ218" s="2"/>
      <c r="IU218" s="2"/>
      <c r="JY218" s="2"/>
    </row>
    <row r="219" spans="1:285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FI219" s="2"/>
      <c r="GM219" s="2"/>
      <c r="HQ219" s="2"/>
      <c r="IU219" s="2"/>
      <c r="JY219" s="2"/>
    </row>
    <row r="220" spans="1:285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FI220" s="2"/>
      <c r="GM220" s="2"/>
      <c r="HQ220" s="2"/>
      <c r="IU220" s="2"/>
      <c r="JY220" s="2"/>
    </row>
    <row r="221" spans="1:285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FI221" s="2"/>
      <c r="GM221" s="2"/>
      <c r="HQ221" s="2"/>
      <c r="IU221" s="2"/>
      <c r="JY221" s="2"/>
    </row>
    <row r="222" spans="1:285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FI222" s="2"/>
      <c r="GM222" s="2"/>
      <c r="HQ222" s="2"/>
      <c r="IU222" s="2"/>
      <c r="JY222" s="2"/>
    </row>
    <row r="223" spans="1:285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FI223" s="2"/>
      <c r="GM223" s="2"/>
      <c r="HQ223" s="2"/>
      <c r="IU223" s="2"/>
      <c r="JY223" s="2"/>
    </row>
    <row r="224" spans="1:285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FI224" s="2"/>
      <c r="GM224" s="2"/>
      <c r="HQ224" s="2"/>
      <c r="IU224" s="2"/>
      <c r="JY224" s="2"/>
    </row>
    <row r="225" spans="1:285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FI225" s="2"/>
      <c r="GM225" s="2"/>
      <c r="HQ225" s="2"/>
      <c r="IU225" s="2"/>
      <c r="JY225" s="2"/>
    </row>
    <row r="226" spans="1:285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FI226" s="2"/>
      <c r="GM226" s="2"/>
      <c r="HQ226" s="2"/>
      <c r="IU226" s="2"/>
      <c r="JY226" s="2"/>
    </row>
    <row r="227" spans="1:285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FI227" s="2"/>
      <c r="GM227" s="2"/>
      <c r="HQ227" s="2"/>
      <c r="IU227" s="2"/>
      <c r="JY227" s="2"/>
    </row>
    <row r="228" spans="1:285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FI228" s="2"/>
      <c r="GM228" s="2"/>
      <c r="HQ228" s="2"/>
      <c r="IU228" s="2"/>
      <c r="JY228" s="2"/>
    </row>
    <row r="229" spans="1:285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FI229" s="2"/>
      <c r="GM229" s="2"/>
      <c r="HQ229" s="2"/>
      <c r="IU229" s="2"/>
      <c r="JY229" s="2"/>
    </row>
    <row r="230" spans="1:285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FI230" s="2"/>
      <c r="GM230" s="2"/>
      <c r="HQ230" s="2"/>
      <c r="IU230" s="2"/>
      <c r="JY230" s="2"/>
    </row>
    <row r="231" spans="1:285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FI231" s="2"/>
      <c r="GM231" s="2"/>
      <c r="HQ231" s="2"/>
      <c r="IU231" s="2"/>
      <c r="JY231" s="2"/>
    </row>
    <row r="232" spans="1:285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FI232" s="2"/>
      <c r="GM232" s="2"/>
      <c r="HQ232" s="2"/>
      <c r="IU232" s="2"/>
      <c r="JY232" s="2"/>
    </row>
    <row r="233" spans="1:285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FI233" s="2"/>
      <c r="GM233" s="2"/>
      <c r="HQ233" s="2"/>
      <c r="IU233" s="2"/>
      <c r="JY233" s="2"/>
    </row>
    <row r="234" spans="1:285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FI234" s="2"/>
      <c r="GM234" s="2"/>
      <c r="HQ234" s="2"/>
      <c r="IU234" s="2"/>
      <c r="JY234" s="2"/>
    </row>
    <row r="235" spans="1:285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FI235" s="2"/>
      <c r="GM235" s="2"/>
      <c r="HQ235" s="2"/>
      <c r="IU235" s="2"/>
      <c r="JY235" s="2"/>
    </row>
    <row r="236" spans="1:285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FI236" s="2"/>
      <c r="GM236" s="2"/>
      <c r="HQ236" s="2"/>
      <c r="IU236" s="2"/>
      <c r="JY236" s="2"/>
    </row>
    <row r="237" spans="1:285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FI237" s="2"/>
      <c r="GM237" s="2"/>
      <c r="HQ237" s="2"/>
      <c r="IU237" s="2"/>
      <c r="JY237" s="2"/>
    </row>
    <row r="238" spans="1:285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FI238" s="2"/>
      <c r="GM238" s="2"/>
      <c r="HQ238" s="2"/>
      <c r="IU238" s="2"/>
      <c r="JY238" s="2"/>
    </row>
    <row r="239" spans="1:285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FI239" s="2"/>
      <c r="GM239" s="2"/>
      <c r="HQ239" s="2"/>
      <c r="IU239" s="2"/>
      <c r="JY239" s="2"/>
    </row>
    <row r="240" spans="1:285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FI240" s="2"/>
      <c r="GM240" s="2"/>
      <c r="HQ240" s="2"/>
      <c r="IU240" s="2"/>
      <c r="JY240" s="2"/>
    </row>
    <row r="241" spans="1:285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FI241" s="2"/>
      <c r="GM241" s="2"/>
      <c r="HQ241" s="2"/>
      <c r="IU241" s="2"/>
      <c r="JY241" s="2"/>
    </row>
    <row r="242" spans="1:285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FI242" s="2"/>
      <c r="GM242" s="2"/>
      <c r="HQ242" s="2"/>
      <c r="IU242" s="2"/>
      <c r="JY242" s="2"/>
    </row>
    <row r="243" spans="1:285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FI243" s="2"/>
      <c r="GM243" s="2"/>
      <c r="HQ243" s="2"/>
      <c r="IU243" s="2"/>
      <c r="JY243" s="2"/>
    </row>
    <row r="244" spans="1:285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FI244" s="2"/>
      <c r="GM244" s="2"/>
      <c r="HQ244" s="2"/>
      <c r="IU244" s="2"/>
      <c r="JY244" s="2"/>
    </row>
    <row r="245" spans="1:285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FI245" s="2"/>
      <c r="GM245" s="2"/>
      <c r="HQ245" s="2"/>
      <c r="IU245" s="2"/>
      <c r="JY245" s="2"/>
    </row>
    <row r="246" spans="1:285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FI246" s="2"/>
      <c r="GM246" s="2"/>
      <c r="HQ246" s="2"/>
      <c r="IU246" s="2"/>
      <c r="JY246" s="2"/>
    </row>
    <row r="247" spans="1:285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FI247" s="2"/>
      <c r="GM247" s="2"/>
      <c r="HQ247" s="2"/>
      <c r="IU247" s="2"/>
      <c r="JY247" s="2"/>
    </row>
    <row r="248" spans="1:285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FI248" s="2"/>
      <c r="GM248" s="2"/>
      <c r="HQ248" s="2"/>
      <c r="IU248" s="2"/>
      <c r="JY248" s="2"/>
    </row>
    <row r="249" spans="1:285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FI249" s="2"/>
      <c r="GM249" s="2"/>
      <c r="HQ249" s="2"/>
      <c r="IU249" s="2"/>
      <c r="JY249" s="2"/>
    </row>
    <row r="250" spans="1:285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FI250" s="2"/>
      <c r="GM250" s="2"/>
      <c r="HQ250" s="2"/>
      <c r="IU250" s="2"/>
      <c r="JY250" s="2"/>
    </row>
    <row r="251" spans="1:285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FI251" s="2"/>
      <c r="GM251" s="2"/>
      <c r="HQ251" s="2"/>
      <c r="IU251" s="2"/>
      <c r="JY251" s="2"/>
    </row>
    <row r="252" spans="1:285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FI252" s="2"/>
      <c r="GM252" s="2"/>
      <c r="HQ252" s="2"/>
      <c r="IU252" s="2"/>
      <c r="JY252" s="2"/>
    </row>
    <row r="253" spans="1:285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FI253" s="2"/>
      <c r="GM253" s="2"/>
      <c r="HQ253" s="2"/>
      <c r="IU253" s="2"/>
      <c r="JY253" s="2"/>
    </row>
    <row r="254" spans="1:285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FI254" s="2"/>
      <c r="GM254" s="2"/>
      <c r="HQ254" s="2"/>
      <c r="IU254" s="2"/>
      <c r="JY254" s="2"/>
    </row>
    <row r="255" spans="1:285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FI255" s="2"/>
      <c r="GM255" s="2"/>
      <c r="HQ255" s="2"/>
      <c r="IU255" s="2"/>
      <c r="JY255" s="2"/>
    </row>
    <row r="256" spans="1:285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FI256" s="2"/>
      <c r="GM256" s="2"/>
      <c r="HQ256" s="2"/>
      <c r="IU256" s="2"/>
      <c r="JY256" s="2"/>
    </row>
    <row r="257" spans="1:285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FI257" s="2"/>
      <c r="GM257" s="2"/>
      <c r="HQ257" s="2"/>
      <c r="IU257" s="2"/>
      <c r="JY257" s="2"/>
    </row>
    <row r="258" spans="1:285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FI258" s="2"/>
      <c r="GM258" s="2"/>
      <c r="HQ258" s="2"/>
      <c r="IU258" s="2"/>
      <c r="JY258" s="2"/>
    </row>
    <row r="259" spans="1:285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FI259" s="2"/>
      <c r="GM259" s="2"/>
      <c r="HQ259" s="2"/>
      <c r="IU259" s="2"/>
      <c r="JY259" s="2"/>
    </row>
    <row r="260" spans="1:285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FI260" s="2"/>
      <c r="GM260" s="2"/>
      <c r="HQ260" s="2"/>
      <c r="IU260" s="2"/>
      <c r="JY260" s="2"/>
    </row>
    <row r="261" spans="1:285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FI261" s="2"/>
      <c r="GM261" s="2"/>
      <c r="HQ261" s="2"/>
      <c r="IU261" s="2"/>
      <c r="JY261" s="2"/>
    </row>
    <row r="262" spans="1:285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FI262" s="2"/>
      <c r="GM262" s="2"/>
      <c r="HQ262" s="2"/>
      <c r="IU262" s="2"/>
      <c r="JY262" s="2"/>
    </row>
    <row r="263" spans="1:285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FI263" s="2"/>
      <c r="GM263" s="2"/>
      <c r="HQ263" s="2"/>
      <c r="IU263" s="2"/>
      <c r="JY263" s="2"/>
    </row>
    <row r="264" spans="1:285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FI264" s="2"/>
      <c r="GM264" s="2"/>
      <c r="HQ264" s="2"/>
      <c r="IU264" s="2"/>
      <c r="JY264" s="2"/>
    </row>
    <row r="265" spans="1:285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FI265" s="2"/>
      <c r="GM265" s="2"/>
      <c r="HQ265" s="2"/>
      <c r="IU265" s="2"/>
      <c r="JY265" s="2"/>
    </row>
    <row r="266" spans="1:285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FI266" s="2"/>
      <c r="GM266" s="2"/>
      <c r="HQ266" s="2"/>
      <c r="IU266" s="2"/>
      <c r="JY266" s="2"/>
    </row>
    <row r="267" spans="1:285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FI267" s="2"/>
      <c r="GM267" s="2"/>
      <c r="HQ267" s="2"/>
      <c r="IU267" s="2"/>
      <c r="JY267" s="2"/>
    </row>
    <row r="268" spans="1:285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FI268" s="2"/>
      <c r="GM268" s="2"/>
      <c r="HQ268" s="2"/>
      <c r="IU268" s="2"/>
      <c r="JY268" s="2"/>
    </row>
    <row r="269" spans="1:285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FI269" s="2"/>
      <c r="GM269" s="2"/>
      <c r="HQ269" s="2"/>
      <c r="IU269" s="2"/>
      <c r="JY269" s="2"/>
    </row>
    <row r="270" spans="1:285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FI270" s="2"/>
      <c r="GM270" s="2"/>
      <c r="HQ270" s="2"/>
      <c r="IU270" s="2"/>
      <c r="JY270" s="2"/>
    </row>
    <row r="271" spans="1:285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FI271" s="2"/>
      <c r="GM271" s="2"/>
      <c r="HQ271" s="2"/>
      <c r="IU271" s="2"/>
      <c r="JY271" s="2"/>
    </row>
    <row r="272" spans="1:285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FI272" s="2"/>
      <c r="GM272" s="2"/>
      <c r="HQ272" s="2"/>
      <c r="IU272" s="2"/>
      <c r="JY272" s="2"/>
    </row>
    <row r="273" spans="1:285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FI273" s="2"/>
      <c r="GM273" s="2"/>
      <c r="HQ273" s="2"/>
      <c r="IU273" s="2"/>
      <c r="JY273" s="2"/>
    </row>
    <row r="274" spans="1:285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FI274" s="2"/>
      <c r="GM274" s="2"/>
      <c r="HQ274" s="2"/>
      <c r="IU274" s="2"/>
      <c r="JY274" s="2"/>
    </row>
    <row r="275" spans="1:285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FI275" s="2"/>
      <c r="GM275" s="2"/>
      <c r="HQ275" s="2"/>
      <c r="IU275" s="2"/>
      <c r="JY275" s="2"/>
    </row>
    <row r="276" spans="1:285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FI276" s="2"/>
      <c r="GM276" s="2"/>
      <c r="HQ276" s="2"/>
      <c r="IU276" s="2"/>
      <c r="JY276" s="2"/>
    </row>
    <row r="277" spans="1:285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FI277" s="2"/>
      <c r="GM277" s="2"/>
      <c r="HQ277" s="2"/>
      <c r="IU277" s="2"/>
      <c r="JY277" s="2"/>
    </row>
    <row r="278" spans="1:285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FI278" s="2"/>
      <c r="GM278" s="2"/>
      <c r="HQ278" s="2"/>
      <c r="IU278" s="2"/>
      <c r="JY278" s="2"/>
    </row>
    <row r="279" spans="1:285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FI279" s="2"/>
      <c r="GM279" s="2"/>
      <c r="HQ279" s="2"/>
      <c r="IU279" s="2"/>
      <c r="JY279" s="2"/>
    </row>
    <row r="280" spans="1:285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FI280" s="2"/>
      <c r="GM280" s="2"/>
      <c r="HQ280" s="2"/>
      <c r="IU280" s="2"/>
      <c r="JY280" s="2"/>
    </row>
    <row r="281" spans="1:285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FI281" s="2"/>
      <c r="GM281" s="2"/>
      <c r="HQ281" s="2"/>
      <c r="IU281" s="2"/>
      <c r="JY281" s="2"/>
    </row>
    <row r="282" spans="1:285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FI282" s="2"/>
      <c r="GM282" s="2"/>
      <c r="HQ282" s="2"/>
      <c r="IU282" s="2"/>
      <c r="JY282" s="2"/>
    </row>
    <row r="283" spans="1:285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FI283" s="2"/>
      <c r="GM283" s="2"/>
      <c r="HQ283" s="2"/>
      <c r="IU283" s="2"/>
      <c r="JY283" s="2"/>
    </row>
    <row r="284" spans="1:285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FI284" s="2"/>
      <c r="GM284" s="2"/>
      <c r="HQ284" s="2"/>
      <c r="IU284" s="2"/>
      <c r="JY284" s="2"/>
    </row>
    <row r="285" spans="1:285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FI285" s="2"/>
      <c r="GM285" s="2"/>
      <c r="HQ285" s="2"/>
      <c r="IU285" s="2"/>
      <c r="JY285" s="2"/>
    </row>
    <row r="286" spans="1:285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FI286" s="2"/>
      <c r="GM286" s="2"/>
      <c r="HQ286" s="2"/>
      <c r="IU286" s="2"/>
      <c r="JY286" s="2"/>
    </row>
    <row r="287" spans="1:285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FI287" s="2"/>
      <c r="GM287" s="2"/>
      <c r="HQ287" s="2"/>
      <c r="IU287" s="2"/>
      <c r="JY287" s="2"/>
    </row>
    <row r="288" spans="1:285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FI288" s="2"/>
      <c r="GM288" s="2"/>
      <c r="HQ288" s="2"/>
      <c r="IU288" s="2"/>
      <c r="JY288" s="2"/>
    </row>
    <row r="289" spans="1:285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FI289" s="2"/>
      <c r="GM289" s="2"/>
      <c r="HQ289" s="2"/>
      <c r="IU289" s="2"/>
      <c r="JY289" s="2"/>
    </row>
    <row r="290" spans="1:285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FI290" s="2"/>
      <c r="GM290" s="2"/>
      <c r="HQ290" s="2"/>
      <c r="IU290" s="2"/>
      <c r="JY290" s="2"/>
    </row>
    <row r="291" spans="1:285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FI291" s="2"/>
      <c r="GM291" s="2"/>
      <c r="HQ291" s="2"/>
      <c r="IU291" s="2"/>
      <c r="JY291" s="2"/>
    </row>
    <row r="292" spans="1:285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FI292" s="2"/>
      <c r="GM292" s="2"/>
      <c r="HQ292" s="2"/>
      <c r="IU292" s="2"/>
      <c r="JY292" s="2"/>
    </row>
    <row r="293" spans="1:285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FI293" s="2"/>
      <c r="GM293" s="2"/>
      <c r="HQ293" s="2"/>
      <c r="IU293" s="2"/>
      <c r="JY293" s="2"/>
    </row>
    <row r="294" spans="1:285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FI294" s="2"/>
      <c r="GM294" s="2"/>
      <c r="HQ294" s="2"/>
      <c r="IU294" s="2"/>
      <c r="JY294" s="2"/>
    </row>
    <row r="295" spans="1:285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FI295" s="2"/>
      <c r="GM295" s="2"/>
      <c r="HQ295" s="2"/>
      <c r="IU295" s="2"/>
      <c r="JY295" s="2"/>
    </row>
    <row r="296" spans="1:285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FI296" s="2"/>
      <c r="GM296" s="2"/>
      <c r="HQ296" s="2"/>
      <c r="IU296" s="2"/>
      <c r="JY296" s="2"/>
    </row>
    <row r="297" spans="1:285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FI297" s="2"/>
      <c r="GM297" s="2"/>
      <c r="HQ297" s="2"/>
      <c r="IU297" s="2"/>
      <c r="JY297" s="2"/>
    </row>
    <row r="298" spans="1:285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FI298" s="2"/>
      <c r="GM298" s="2"/>
      <c r="HQ298" s="2"/>
      <c r="IU298" s="2"/>
      <c r="JY298" s="2"/>
    </row>
    <row r="299" spans="1:285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FI299" s="2"/>
      <c r="GM299" s="2"/>
      <c r="HQ299" s="2"/>
      <c r="IU299" s="2"/>
      <c r="JY299" s="2"/>
    </row>
    <row r="300" spans="1:285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FI300" s="2"/>
      <c r="GM300" s="2"/>
      <c r="HQ300" s="2"/>
      <c r="IU300" s="2"/>
      <c r="JY300" s="2"/>
    </row>
    <row r="301" spans="1:285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FI301" s="2"/>
      <c r="GM301" s="2"/>
      <c r="HQ301" s="2"/>
      <c r="IU301" s="2"/>
      <c r="JY301" s="2"/>
    </row>
    <row r="302" spans="1:285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FI302" s="2"/>
      <c r="GM302" s="2"/>
      <c r="HQ302" s="2"/>
      <c r="IU302" s="2"/>
      <c r="JY302" s="2"/>
    </row>
    <row r="303" spans="1:285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FI303" s="2"/>
      <c r="GM303" s="2"/>
      <c r="HQ303" s="2"/>
      <c r="IU303" s="2"/>
      <c r="JY303" s="2"/>
    </row>
    <row r="304" spans="1:285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FI304" s="2"/>
      <c r="GM304" s="2"/>
      <c r="HQ304" s="2"/>
      <c r="IU304" s="2"/>
      <c r="JY304" s="2"/>
    </row>
    <row r="305" spans="1:285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FI305" s="2"/>
      <c r="GM305" s="2"/>
      <c r="HQ305" s="2"/>
      <c r="IU305" s="2"/>
      <c r="JY305" s="2"/>
    </row>
    <row r="306" spans="1:285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FI306" s="2"/>
      <c r="GM306" s="2"/>
      <c r="HQ306" s="2"/>
      <c r="IU306" s="2"/>
      <c r="JY306" s="2"/>
    </row>
    <row r="307" spans="1:285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FI307" s="2"/>
      <c r="GM307" s="2"/>
      <c r="HQ307" s="2"/>
      <c r="IU307" s="2"/>
      <c r="JY307" s="2"/>
    </row>
    <row r="308" spans="1:285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FI308" s="2"/>
      <c r="GM308" s="2"/>
      <c r="HQ308" s="2"/>
      <c r="IU308" s="2"/>
      <c r="JY308" s="2"/>
    </row>
    <row r="309" spans="1:285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FI309" s="2"/>
      <c r="GM309" s="2"/>
      <c r="HQ309" s="2"/>
      <c r="IU309" s="2"/>
      <c r="JY309" s="2"/>
    </row>
    <row r="310" spans="1:285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FI310" s="2"/>
      <c r="GM310" s="2"/>
      <c r="HQ310" s="2"/>
      <c r="IU310" s="2"/>
      <c r="JY310" s="2"/>
    </row>
    <row r="311" spans="1:285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FI311" s="2"/>
      <c r="GM311" s="2"/>
      <c r="HQ311" s="2"/>
      <c r="IU311" s="2"/>
      <c r="JY311" s="2"/>
    </row>
    <row r="312" spans="1:285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FI312" s="2"/>
      <c r="GM312" s="2"/>
      <c r="HQ312" s="2"/>
      <c r="IU312" s="2"/>
      <c r="JY312" s="2"/>
    </row>
    <row r="313" spans="1:285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FI313" s="2"/>
      <c r="GM313" s="2"/>
      <c r="HQ313" s="2"/>
      <c r="IU313" s="2"/>
      <c r="JY313" s="2"/>
    </row>
    <row r="314" spans="1:285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FI314" s="2"/>
      <c r="GM314" s="2"/>
      <c r="HQ314" s="2"/>
      <c r="IU314" s="2"/>
      <c r="JY314" s="2"/>
    </row>
    <row r="315" spans="1:285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FI315" s="2"/>
      <c r="GM315" s="2"/>
      <c r="HQ315" s="2"/>
      <c r="IU315" s="2"/>
      <c r="JY315" s="2"/>
    </row>
    <row r="316" spans="1:285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FI316" s="2"/>
      <c r="GM316" s="2"/>
      <c r="HQ316" s="2"/>
      <c r="IU316" s="2"/>
      <c r="JY316" s="2"/>
    </row>
    <row r="317" spans="1:285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FI317" s="2"/>
      <c r="GM317" s="2"/>
      <c r="HQ317" s="2"/>
      <c r="IU317" s="2"/>
      <c r="JY317" s="2"/>
    </row>
    <row r="318" spans="1:285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FI318" s="2"/>
      <c r="GM318" s="2"/>
      <c r="HQ318" s="2"/>
      <c r="IU318" s="2"/>
      <c r="JY318" s="2"/>
    </row>
    <row r="319" spans="1:285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FI319" s="2"/>
      <c r="GM319" s="2"/>
      <c r="HQ319" s="2"/>
      <c r="IU319" s="2"/>
      <c r="JY319" s="2"/>
    </row>
    <row r="320" spans="1:285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FI320" s="2"/>
      <c r="GM320" s="2"/>
      <c r="HQ320" s="2"/>
      <c r="IU320" s="2"/>
      <c r="JY320" s="2"/>
    </row>
    <row r="321" spans="1:285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FI321" s="2"/>
      <c r="GM321" s="2"/>
      <c r="HQ321" s="2"/>
      <c r="IU321" s="2"/>
      <c r="JY321" s="2"/>
    </row>
    <row r="322" spans="1:285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FI322" s="2"/>
      <c r="GM322" s="2"/>
      <c r="HQ322" s="2"/>
      <c r="IU322" s="2"/>
      <c r="JY322" s="2"/>
    </row>
    <row r="323" spans="1:285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FI323" s="2"/>
      <c r="GM323" s="2"/>
      <c r="HQ323" s="2"/>
      <c r="IU323" s="2"/>
      <c r="JY323" s="2"/>
    </row>
    <row r="324" spans="1:285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FI324" s="2"/>
      <c r="GM324" s="2"/>
      <c r="HQ324" s="2"/>
      <c r="IU324" s="2"/>
      <c r="JY324" s="2"/>
    </row>
    <row r="325" spans="1:285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FI325" s="2"/>
      <c r="GM325" s="2"/>
      <c r="HQ325" s="2"/>
      <c r="IU325" s="2"/>
      <c r="JY325" s="2"/>
    </row>
    <row r="326" spans="1:285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FI326" s="2"/>
      <c r="GM326" s="2"/>
      <c r="HQ326" s="2"/>
      <c r="IU326" s="2"/>
      <c r="JY326" s="2"/>
    </row>
    <row r="327" spans="1:285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FI327" s="2"/>
      <c r="GM327" s="2"/>
      <c r="HQ327" s="2"/>
      <c r="IU327" s="2"/>
      <c r="JY327" s="2"/>
    </row>
    <row r="328" spans="1:285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FI328" s="2"/>
      <c r="GM328" s="2"/>
      <c r="HQ328" s="2"/>
      <c r="IU328" s="2"/>
      <c r="JY328" s="2"/>
    </row>
    <row r="329" spans="1:285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FI329" s="2"/>
      <c r="GM329" s="2"/>
      <c r="HQ329" s="2"/>
      <c r="IU329" s="2"/>
      <c r="JY329" s="2"/>
    </row>
    <row r="330" spans="1:285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FI330" s="2"/>
      <c r="GM330" s="2"/>
      <c r="HQ330" s="2"/>
      <c r="IU330" s="2"/>
      <c r="JY330" s="2"/>
    </row>
    <row r="331" spans="1:285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FI331" s="2"/>
      <c r="GM331" s="2"/>
      <c r="HQ331" s="2"/>
      <c r="IU331" s="2"/>
      <c r="JY331" s="2"/>
    </row>
    <row r="332" spans="1:285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FI332" s="2"/>
      <c r="GM332" s="2"/>
      <c r="HQ332" s="2"/>
      <c r="IU332" s="2"/>
      <c r="JY332" s="2"/>
    </row>
    <row r="333" spans="1:285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FI333" s="2"/>
      <c r="GM333" s="2"/>
      <c r="HQ333" s="2"/>
      <c r="IU333" s="2"/>
      <c r="JY333" s="2"/>
    </row>
    <row r="334" spans="1:285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FI334" s="2"/>
      <c r="GM334" s="2"/>
      <c r="HQ334" s="2"/>
      <c r="IU334" s="2"/>
      <c r="JY334" s="2"/>
    </row>
    <row r="335" spans="1:285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FI335" s="2"/>
      <c r="GM335" s="2"/>
      <c r="HQ335" s="2"/>
      <c r="IU335" s="2"/>
      <c r="JY335" s="2"/>
    </row>
    <row r="336" spans="1:285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FI336" s="2"/>
      <c r="GM336" s="2"/>
      <c r="HQ336" s="2"/>
      <c r="IU336" s="2"/>
      <c r="JY336" s="2"/>
    </row>
    <row r="337" spans="1:285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FI337" s="2"/>
      <c r="GM337" s="2"/>
      <c r="HQ337" s="2"/>
      <c r="IU337" s="2"/>
      <c r="JY337" s="2"/>
    </row>
    <row r="338" spans="1:285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FI338" s="2"/>
      <c r="GM338" s="2"/>
      <c r="HQ338" s="2"/>
      <c r="IU338" s="2"/>
      <c r="JY338" s="2"/>
    </row>
    <row r="339" spans="1:285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FI339" s="2"/>
      <c r="GM339" s="2"/>
      <c r="HQ339" s="2"/>
      <c r="IU339" s="2"/>
      <c r="JY339" s="2"/>
    </row>
    <row r="340" spans="1:285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FI340" s="2"/>
      <c r="GM340" s="2"/>
      <c r="HQ340" s="2"/>
      <c r="IU340" s="2"/>
      <c r="JY340" s="2"/>
    </row>
    <row r="341" spans="1:285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FI341" s="2"/>
      <c r="GM341" s="2"/>
      <c r="HQ341" s="2"/>
      <c r="IU341" s="2"/>
      <c r="JY341" s="2"/>
    </row>
    <row r="342" spans="1:285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FI342" s="2"/>
      <c r="GM342" s="2"/>
      <c r="HQ342" s="2"/>
      <c r="IU342" s="2"/>
      <c r="JY342" s="2"/>
    </row>
    <row r="343" spans="1:285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FI343" s="2"/>
      <c r="GM343" s="2"/>
      <c r="HQ343" s="2"/>
      <c r="IU343" s="2"/>
      <c r="JY343" s="2"/>
    </row>
    <row r="344" spans="1:285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FI344" s="2"/>
      <c r="GM344" s="2"/>
      <c r="HQ344" s="2"/>
      <c r="IU344" s="2"/>
      <c r="JY344" s="2"/>
    </row>
    <row r="345" spans="1:285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FI345" s="2"/>
      <c r="GM345" s="2"/>
      <c r="HQ345" s="2"/>
      <c r="IU345" s="2"/>
      <c r="JY345" s="2"/>
    </row>
    <row r="346" spans="1:285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FI346" s="2"/>
      <c r="GM346" s="2"/>
      <c r="HQ346" s="2"/>
      <c r="IU346" s="2"/>
      <c r="JY346" s="2"/>
    </row>
    <row r="347" spans="1:285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FI347" s="2"/>
      <c r="GM347" s="2"/>
      <c r="HQ347" s="2"/>
      <c r="IU347" s="2"/>
      <c r="JY347" s="2"/>
    </row>
    <row r="348" spans="1:285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FI348" s="2"/>
      <c r="GM348" s="2"/>
      <c r="HQ348" s="2"/>
      <c r="IU348" s="2"/>
      <c r="JY348" s="2"/>
    </row>
    <row r="349" spans="1:285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FI349" s="2"/>
      <c r="GM349" s="2"/>
      <c r="HQ349" s="2"/>
      <c r="IU349" s="2"/>
      <c r="JY349" s="2"/>
    </row>
    <row r="350" spans="1:285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FI350" s="2"/>
      <c r="GM350" s="2"/>
      <c r="HQ350" s="2"/>
      <c r="IU350" s="2"/>
      <c r="JY350" s="2"/>
    </row>
    <row r="351" spans="1:285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FI351" s="2"/>
      <c r="GM351" s="2"/>
      <c r="HQ351" s="2"/>
      <c r="IU351" s="2"/>
      <c r="JY351" s="2"/>
    </row>
    <row r="352" spans="1:285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FI352" s="2"/>
      <c r="GM352" s="2"/>
      <c r="HQ352" s="2"/>
      <c r="IU352" s="2"/>
      <c r="JY352" s="2"/>
    </row>
    <row r="353" spans="1:285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FI353" s="2"/>
      <c r="GM353" s="2"/>
      <c r="HQ353" s="2"/>
      <c r="IU353" s="2"/>
      <c r="JY353" s="2"/>
    </row>
    <row r="354" spans="1:285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FI354" s="2"/>
      <c r="GM354" s="2"/>
      <c r="HQ354" s="2"/>
      <c r="IU354" s="2"/>
      <c r="JY354" s="2"/>
    </row>
    <row r="355" spans="1:285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FI355" s="2"/>
      <c r="GM355" s="2"/>
      <c r="HQ355" s="2"/>
      <c r="IU355" s="2"/>
      <c r="JY355" s="2"/>
    </row>
    <row r="356" spans="1:285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FI356" s="2"/>
      <c r="GM356" s="2"/>
      <c r="HQ356" s="2"/>
      <c r="IU356" s="2"/>
      <c r="JY356" s="2"/>
    </row>
    <row r="357" spans="1:285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FI357" s="2"/>
      <c r="GM357" s="2"/>
      <c r="HQ357" s="2"/>
      <c r="IU357" s="2"/>
      <c r="JY357" s="2"/>
    </row>
    <row r="358" spans="1:285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FI358" s="2"/>
      <c r="GM358" s="2"/>
      <c r="HQ358" s="2"/>
      <c r="IU358" s="2"/>
      <c r="JY358" s="2"/>
    </row>
    <row r="359" spans="1:285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FI359" s="2"/>
      <c r="GM359" s="2"/>
      <c r="HQ359" s="2"/>
      <c r="IU359" s="2"/>
      <c r="JY359" s="2"/>
    </row>
    <row r="360" spans="1:285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FI360" s="2"/>
      <c r="GM360" s="2"/>
      <c r="HQ360" s="2"/>
      <c r="IU360" s="2"/>
      <c r="JY360" s="2"/>
    </row>
    <row r="361" spans="1:285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FI361" s="2"/>
      <c r="GM361" s="2"/>
      <c r="HQ361" s="2"/>
      <c r="IU361" s="2"/>
      <c r="JY361" s="2"/>
    </row>
    <row r="362" spans="1:285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FI362" s="2"/>
      <c r="GM362" s="2"/>
      <c r="HQ362" s="2"/>
      <c r="IU362" s="2"/>
      <c r="JY362" s="2"/>
    </row>
    <row r="363" spans="1:285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FI363" s="2"/>
      <c r="GM363" s="2"/>
      <c r="HQ363" s="2"/>
      <c r="IU363" s="2"/>
      <c r="JY363" s="2"/>
    </row>
    <row r="364" spans="1:285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FI364" s="2"/>
      <c r="GM364" s="2"/>
      <c r="HQ364" s="2"/>
      <c r="IU364" s="2"/>
      <c r="JY364" s="2"/>
    </row>
    <row r="365" spans="1:285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FI365" s="2"/>
      <c r="GM365" s="2"/>
      <c r="HQ365" s="2"/>
      <c r="IU365" s="2"/>
      <c r="JY365" s="2"/>
    </row>
    <row r="366" spans="1:285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FI366" s="2"/>
      <c r="GM366" s="2"/>
      <c r="HQ366" s="2"/>
      <c r="IU366" s="2"/>
      <c r="JY366" s="2"/>
    </row>
    <row r="367" spans="1:285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FI367" s="2"/>
      <c r="GM367" s="2"/>
      <c r="HQ367" s="2"/>
      <c r="IU367" s="2"/>
      <c r="JY367" s="2"/>
    </row>
    <row r="368" spans="1:285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FI368" s="2"/>
      <c r="GM368" s="2"/>
      <c r="HQ368" s="2"/>
      <c r="IU368" s="2"/>
      <c r="JY368" s="2"/>
    </row>
    <row r="369" spans="1:285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FI369" s="2"/>
      <c r="GM369" s="2"/>
      <c r="HQ369" s="2"/>
      <c r="IU369" s="2"/>
      <c r="JY369" s="2"/>
    </row>
    <row r="370" spans="1:285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FI370" s="2"/>
      <c r="GM370" s="2"/>
      <c r="HQ370" s="2"/>
      <c r="IU370" s="2"/>
      <c r="JY370" s="2"/>
    </row>
    <row r="371" spans="1:285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FI371" s="2"/>
      <c r="GM371" s="2"/>
      <c r="HQ371" s="2"/>
      <c r="IU371" s="2"/>
      <c r="JY371" s="2"/>
    </row>
    <row r="372" spans="1:285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FI372" s="2"/>
      <c r="GM372" s="2"/>
      <c r="HQ372" s="2"/>
      <c r="IU372" s="2"/>
      <c r="JY372" s="2"/>
    </row>
    <row r="373" spans="1:285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FI373" s="2"/>
      <c r="GM373" s="2"/>
      <c r="HQ373" s="2"/>
      <c r="IU373" s="2"/>
      <c r="JY373" s="2"/>
    </row>
    <row r="374" spans="1:285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FI374" s="2"/>
      <c r="GM374" s="2"/>
      <c r="HQ374" s="2"/>
      <c r="IU374" s="2"/>
      <c r="JY374" s="2"/>
    </row>
    <row r="375" spans="1:285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FI375" s="2"/>
      <c r="GM375" s="2"/>
      <c r="HQ375" s="2"/>
      <c r="IU375" s="2"/>
      <c r="JY375" s="2"/>
    </row>
    <row r="376" spans="1:285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FI376" s="2"/>
      <c r="GM376" s="2"/>
      <c r="HQ376" s="2"/>
      <c r="IU376" s="2"/>
      <c r="JY376" s="2"/>
    </row>
    <row r="377" spans="1:285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FI377" s="2"/>
      <c r="GM377" s="2"/>
      <c r="HQ377" s="2"/>
      <c r="IU377" s="2"/>
      <c r="JY377" s="2"/>
    </row>
    <row r="378" spans="1:285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FI378" s="2"/>
      <c r="GM378" s="2"/>
      <c r="HQ378" s="2"/>
      <c r="IU378" s="2"/>
      <c r="JY378" s="2"/>
    </row>
    <row r="379" spans="1:285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FI379" s="2"/>
      <c r="GM379" s="2"/>
      <c r="HQ379" s="2"/>
      <c r="IU379" s="2"/>
      <c r="JY379" s="2"/>
    </row>
    <row r="380" spans="1:285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FI380" s="2"/>
      <c r="GM380" s="2"/>
      <c r="HQ380" s="2"/>
      <c r="IU380" s="2"/>
      <c r="JY380" s="2"/>
    </row>
    <row r="381" spans="1:285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FI381" s="2"/>
      <c r="GM381" s="2"/>
      <c r="HQ381" s="2"/>
      <c r="IU381" s="2"/>
      <c r="JY381" s="2"/>
    </row>
    <row r="382" spans="1:285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FI382" s="2"/>
      <c r="GM382" s="2"/>
      <c r="HQ382" s="2"/>
      <c r="IU382" s="2"/>
      <c r="JY382" s="2"/>
    </row>
    <row r="383" spans="1:285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FI383" s="2"/>
      <c r="GM383" s="2"/>
      <c r="HQ383" s="2"/>
      <c r="IU383" s="2"/>
      <c r="JY383" s="2"/>
    </row>
    <row r="384" spans="1:285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FI384" s="2"/>
      <c r="GM384" s="2"/>
      <c r="HQ384" s="2"/>
      <c r="IU384" s="2"/>
      <c r="JY384" s="2"/>
    </row>
    <row r="385" spans="1:285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FI385" s="2"/>
      <c r="GM385" s="2"/>
      <c r="HQ385" s="2"/>
      <c r="IU385" s="2"/>
      <c r="JY385" s="2"/>
    </row>
    <row r="386" spans="1:285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FI386" s="2"/>
      <c r="GM386" s="2"/>
      <c r="HQ386" s="2"/>
      <c r="IU386" s="2"/>
      <c r="JY386" s="2"/>
    </row>
    <row r="387" spans="1:285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FI387" s="2"/>
      <c r="GM387" s="2"/>
      <c r="HQ387" s="2"/>
      <c r="IU387" s="2"/>
      <c r="JY387" s="2"/>
    </row>
    <row r="388" spans="1:285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FI388" s="2"/>
      <c r="GM388" s="2"/>
      <c r="HQ388" s="2"/>
      <c r="IU388" s="2"/>
      <c r="JY388" s="2"/>
    </row>
    <row r="389" spans="1:285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FI389" s="2"/>
      <c r="GM389" s="2"/>
      <c r="HQ389" s="2"/>
      <c r="IU389" s="2"/>
      <c r="JY389" s="2"/>
    </row>
    <row r="390" spans="1:285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FI390" s="2"/>
      <c r="GM390" s="2"/>
      <c r="HQ390" s="2"/>
      <c r="IU390" s="2"/>
      <c r="JY390" s="2"/>
    </row>
    <row r="391" spans="1:285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FI391" s="2"/>
      <c r="GM391" s="2"/>
      <c r="HQ391" s="2"/>
      <c r="IU391" s="2"/>
      <c r="JY391" s="2"/>
    </row>
    <row r="392" spans="1:285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FI392" s="2"/>
      <c r="GM392" s="2"/>
      <c r="HQ392" s="2"/>
      <c r="IU392" s="2"/>
      <c r="JY392" s="2"/>
    </row>
    <row r="393" spans="1:285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FI393" s="2"/>
      <c r="GM393" s="2"/>
      <c r="HQ393" s="2"/>
      <c r="IU393" s="2"/>
      <c r="JY393" s="2"/>
    </row>
    <row r="394" spans="1:285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FI394" s="2"/>
      <c r="GM394" s="2"/>
      <c r="HQ394" s="2"/>
      <c r="IU394" s="2"/>
      <c r="JY394" s="2"/>
    </row>
    <row r="395" spans="1:285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FI395" s="2"/>
      <c r="GM395" s="2"/>
      <c r="HQ395" s="2"/>
      <c r="IU395" s="2"/>
      <c r="JY395" s="2"/>
    </row>
    <row r="396" spans="1:285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FI396" s="2"/>
      <c r="GM396" s="2"/>
      <c r="HQ396" s="2"/>
      <c r="IU396" s="2"/>
      <c r="JY396" s="2"/>
    </row>
    <row r="397" spans="1:285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FI397" s="2"/>
      <c r="GM397" s="2"/>
      <c r="HQ397" s="2"/>
      <c r="IU397" s="2"/>
      <c r="JY397" s="2"/>
    </row>
    <row r="398" spans="1:285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FI398" s="2"/>
      <c r="GM398" s="2"/>
      <c r="HQ398" s="2"/>
      <c r="IU398" s="2"/>
      <c r="JY398" s="2"/>
    </row>
    <row r="399" spans="1:285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FI399" s="2"/>
      <c r="GM399" s="2"/>
      <c r="HQ399" s="2"/>
      <c r="IU399" s="2"/>
      <c r="JY399" s="2"/>
    </row>
    <row r="400" spans="1:285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FI400" s="2"/>
      <c r="GM400" s="2"/>
      <c r="HQ400" s="2"/>
      <c r="IU400" s="2"/>
      <c r="JY400" s="2"/>
    </row>
    <row r="401" spans="1:285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FI401" s="2"/>
      <c r="GM401" s="2"/>
      <c r="HQ401" s="2"/>
      <c r="IU401" s="2"/>
      <c r="JY401" s="2"/>
    </row>
    <row r="402" spans="1:285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FI402" s="2"/>
      <c r="GM402" s="2"/>
      <c r="HQ402" s="2"/>
      <c r="IU402" s="2"/>
      <c r="JY402" s="2"/>
    </row>
    <row r="403" spans="1:285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FI403" s="2"/>
      <c r="GM403" s="2"/>
      <c r="HQ403" s="2"/>
      <c r="IU403" s="2"/>
      <c r="JY403" s="2"/>
    </row>
    <row r="404" spans="1:285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FI404" s="2"/>
      <c r="GM404" s="2"/>
      <c r="HQ404" s="2"/>
      <c r="IU404" s="2"/>
      <c r="JY404" s="2"/>
    </row>
    <row r="405" spans="1:285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FI405" s="2"/>
      <c r="GM405" s="2"/>
      <c r="HQ405" s="2"/>
      <c r="IU405" s="2"/>
      <c r="JY405" s="2"/>
    </row>
    <row r="406" spans="1:285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FI406" s="2"/>
      <c r="GM406" s="2"/>
      <c r="HQ406" s="2"/>
      <c r="IU406" s="2"/>
      <c r="JY406" s="2"/>
    </row>
    <row r="407" spans="1:285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FI407" s="2"/>
      <c r="GM407" s="2"/>
      <c r="HQ407" s="2"/>
      <c r="IU407" s="2"/>
      <c r="JY407" s="2"/>
    </row>
    <row r="408" spans="1:285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FI408" s="2"/>
      <c r="GM408" s="2"/>
      <c r="HQ408" s="2"/>
      <c r="IU408" s="2"/>
      <c r="JY408" s="2"/>
    </row>
    <row r="409" spans="1:285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FI409" s="2"/>
      <c r="GM409" s="2"/>
      <c r="HQ409" s="2"/>
      <c r="IU409" s="2"/>
      <c r="JY409" s="2"/>
    </row>
    <row r="410" spans="1:285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FI410" s="2"/>
      <c r="GM410" s="2"/>
      <c r="HQ410" s="2"/>
      <c r="IU410" s="2"/>
      <c r="JY410" s="2"/>
    </row>
    <row r="411" spans="1:285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FI411" s="2"/>
      <c r="GM411" s="2"/>
      <c r="HQ411" s="2"/>
      <c r="IU411" s="2"/>
      <c r="JY411" s="2"/>
    </row>
    <row r="412" spans="1:285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FI412" s="2"/>
      <c r="GM412" s="2"/>
      <c r="HQ412" s="2"/>
      <c r="IU412" s="2"/>
      <c r="JY412" s="2"/>
    </row>
    <row r="413" spans="1:285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FI413" s="2"/>
      <c r="GM413" s="2"/>
      <c r="HQ413" s="2"/>
      <c r="IU413" s="2"/>
      <c r="JY413" s="2"/>
    </row>
    <row r="414" spans="1:285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FI414" s="2"/>
      <c r="GM414" s="2"/>
      <c r="HQ414" s="2"/>
      <c r="IU414" s="2"/>
      <c r="JY414" s="2"/>
    </row>
    <row r="415" spans="1:285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FI415" s="2"/>
      <c r="GM415" s="2"/>
      <c r="HQ415" s="2"/>
      <c r="IU415" s="2"/>
      <c r="JY415" s="2"/>
    </row>
    <row r="416" spans="1:285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FI416" s="2"/>
      <c r="GM416" s="2"/>
      <c r="HQ416" s="2"/>
      <c r="IU416" s="2"/>
      <c r="JY416" s="2"/>
    </row>
    <row r="417" spans="1:285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FI417" s="2"/>
      <c r="GM417" s="2"/>
      <c r="HQ417" s="2"/>
      <c r="IU417" s="2"/>
      <c r="JY417" s="2"/>
    </row>
    <row r="418" spans="1:285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FI418" s="2"/>
      <c r="GM418" s="2"/>
      <c r="HQ418" s="2"/>
      <c r="IU418" s="2"/>
      <c r="JY418" s="2"/>
    </row>
    <row r="419" spans="1:285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FI419" s="2"/>
      <c r="GM419" s="2"/>
      <c r="HQ419" s="2"/>
      <c r="IU419" s="2"/>
      <c r="JY419" s="2"/>
    </row>
    <row r="420" spans="1:285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FI420" s="2"/>
      <c r="GM420" s="2"/>
      <c r="HQ420" s="2"/>
      <c r="IU420" s="2"/>
      <c r="JY420" s="2"/>
    </row>
    <row r="421" spans="1:285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FI421" s="2"/>
      <c r="GM421" s="2"/>
      <c r="HQ421" s="2"/>
      <c r="IU421" s="2"/>
      <c r="JY421" s="2"/>
    </row>
    <row r="422" spans="1:285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FI422" s="2"/>
      <c r="GM422" s="2"/>
      <c r="HQ422" s="2"/>
      <c r="IU422" s="2"/>
      <c r="JY422" s="2"/>
    </row>
    <row r="423" spans="1:285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FI423" s="2"/>
      <c r="GM423" s="2"/>
      <c r="HQ423" s="2"/>
      <c r="IU423" s="2"/>
      <c r="JY423" s="2"/>
    </row>
    <row r="424" spans="1:285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FI424" s="2"/>
      <c r="GM424" s="2"/>
      <c r="HQ424" s="2"/>
      <c r="IU424" s="2"/>
      <c r="JY424" s="2"/>
    </row>
    <row r="425" spans="1:285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FI425" s="2"/>
      <c r="GM425" s="2"/>
      <c r="HQ425" s="2"/>
      <c r="IU425" s="2"/>
      <c r="JY425" s="2"/>
    </row>
    <row r="426" spans="1:285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FI426" s="2"/>
      <c r="GM426" s="2"/>
      <c r="HQ426" s="2"/>
      <c r="IU426" s="2"/>
      <c r="JY426" s="2"/>
    </row>
    <row r="427" spans="1:285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FI427" s="2"/>
      <c r="GM427" s="2"/>
      <c r="HQ427" s="2"/>
      <c r="IU427" s="2"/>
      <c r="JY427" s="2"/>
    </row>
    <row r="428" spans="1:285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FI428" s="2"/>
      <c r="GM428" s="2"/>
      <c r="HQ428" s="2"/>
      <c r="IU428" s="2"/>
      <c r="JY428" s="2"/>
    </row>
    <row r="429" spans="1:285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FI429" s="2"/>
      <c r="GM429" s="2"/>
      <c r="HQ429" s="2"/>
      <c r="IU429" s="2"/>
      <c r="JY429" s="2"/>
    </row>
    <row r="430" spans="1:285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FI430" s="2"/>
      <c r="GM430" s="2"/>
      <c r="HQ430" s="2"/>
      <c r="IU430" s="2"/>
      <c r="JY430" s="2"/>
    </row>
    <row r="431" spans="1:285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FI431" s="2"/>
      <c r="GM431" s="2"/>
      <c r="HQ431" s="2"/>
      <c r="IU431" s="2"/>
      <c r="JY431" s="2"/>
    </row>
    <row r="432" spans="1:285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FI432" s="2"/>
      <c r="GM432" s="2"/>
      <c r="HQ432" s="2"/>
      <c r="IU432" s="2"/>
      <c r="JY432" s="2"/>
    </row>
    <row r="433" spans="1:285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FI433" s="2"/>
      <c r="GM433" s="2"/>
      <c r="HQ433" s="2"/>
      <c r="IU433" s="2"/>
      <c r="JY433" s="2"/>
    </row>
    <row r="434" spans="1:285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FI434" s="2"/>
      <c r="GM434" s="2"/>
      <c r="HQ434" s="2"/>
      <c r="IU434" s="2"/>
      <c r="JY434" s="2"/>
    </row>
    <row r="435" spans="1:285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FI435" s="2"/>
      <c r="GM435" s="2"/>
      <c r="HQ435" s="2"/>
      <c r="IU435" s="2"/>
      <c r="JY435" s="2"/>
    </row>
    <row r="436" spans="1:285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FI436" s="2"/>
      <c r="GM436" s="2"/>
      <c r="HQ436" s="2"/>
      <c r="IU436" s="2"/>
      <c r="JY436" s="2"/>
    </row>
    <row r="437" spans="1:285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FI437" s="2"/>
      <c r="GM437" s="2"/>
      <c r="HQ437" s="2"/>
      <c r="IU437" s="2"/>
      <c r="JY437" s="2"/>
    </row>
    <row r="438" spans="1:285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FI438" s="2"/>
      <c r="GM438" s="2"/>
      <c r="HQ438" s="2"/>
      <c r="IU438" s="2"/>
      <c r="JY438" s="2"/>
    </row>
    <row r="439" spans="1:285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FI439" s="2"/>
      <c r="GM439" s="2"/>
      <c r="HQ439" s="2"/>
      <c r="IU439" s="2"/>
      <c r="JY439" s="2"/>
    </row>
    <row r="440" spans="1:285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FI440" s="2"/>
      <c r="GM440" s="2"/>
      <c r="HQ440" s="2"/>
      <c r="IU440" s="2"/>
      <c r="JY440" s="2"/>
    </row>
    <row r="441" spans="1:285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FI441" s="2"/>
      <c r="GM441" s="2"/>
      <c r="HQ441" s="2"/>
      <c r="IU441" s="2"/>
      <c r="JY441" s="2"/>
    </row>
    <row r="442" spans="1:285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FI442" s="2"/>
      <c r="GM442" s="2"/>
      <c r="HQ442" s="2"/>
      <c r="IU442" s="2"/>
      <c r="JY442" s="2"/>
    </row>
    <row r="443" spans="1:285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FI443" s="2"/>
      <c r="GM443" s="2"/>
      <c r="HQ443" s="2"/>
      <c r="IU443" s="2"/>
      <c r="JY443" s="2"/>
    </row>
    <row r="444" spans="1:285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FI444" s="2"/>
      <c r="GM444" s="2"/>
      <c r="HQ444" s="2"/>
      <c r="IU444" s="2"/>
      <c r="JY444" s="2"/>
    </row>
    <row r="445" spans="1:285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FI445" s="2"/>
      <c r="GM445" s="2"/>
      <c r="HQ445" s="2"/>
      <c r="IU445" s="2"/>
      <c r="JY445" s="2"/>
    </row>
    <row r="446" spans="1:285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FI446" s="2"/>
      <c r="GM446" s="2"/>
      <c r="HQ446" s="2"/>
      <c r="IU446" s="2"/>
      <c r="JY446" s="2"/>
    </row>
    <row r="447" spans="1:285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FI447" s="2"/>
      <c r="GM447" s="2"/>
      <c r="HQ447" s="2"/>
      <c r="IU447" s="2"/>
      <c r="JY447" s="2"/>
    </row>
    <row r="448" spans="1:285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FI448" s="2"/>
      <c r="GM448" s="2"/>
      <c r="HQ448" s="2"/>
      <c r="IU448" s="2"/>
      <c r="JY448" s="2"/>
    </row>
    <row r="449" spans="1:285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FI449" s="2"/>
      <c r="GM449" s="2"/>
      <c r="HQ449" s="2"/>
      <c r="IU449" s="2"/>
      <c r="JY449" s="2"/>
    </row>
    <row r="450" spans="1:285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FI450" s="2"/>
      <c r="GM450" s="2"/>
      <c r="HQ450" s="2"/>
      <c r="IU450" s="2"/>
      <c r="JY450" s="2"/>
    </row>
    <row r="451" spans="1:285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FI451" s="2"/>
      <c r="GM451" s="2"/>
      <c r="HQ451" s="2"/>
      <c r="IU451" s="2"/>
      <c r="JY451" s="2"/>
    </row>
    <row r="452" spans="1:285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FI452" s="2"/>
      <c r="GM452" s="2"/>
      <c r="HQ452" s="2"/>
      <c r="IU452" s="2"/>
      <c r="JY452" s="2"/>
    </row>
    <row r="453" spans="1:285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FI453" s="2"/>
      <c r="GM453" s="2"/>
      <c r="HQ453" s="2"/>
      <c r="IU453" s="2"/>
      <c r="JY453" s="2"/>
    </row>
    <row r="454" spans="1:285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FI454" s="2"/>
      <c r="GM454" s="2"/>
      <c r="HQ454" s="2"/>
      <c r="IU454" s="2"/>
      <c r="JY454" s="2"/>
    </row>
    <row r="455" spans="1:285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FI455" s="2"/>
      <c r="GM455" s="2"/>
      <c r="HQ455" s="2"/>
      <c r="IU455" s="2"/>
      <c r="JY455" s="2"/>
    </row>
    <row r="456" spans="1:285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FI456" s="2"/>
      <c r="GM456" s="2"/>
      <c r="HQ456" s="2"/>
      <c r="IU456" s="2"/>
      <c r="JY456" s="2"/>
    </row>
    <row r="457" spans="1:285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FI457" s="2"/>
      <c r="GM457" s="2"/>
      <c r="HQ457" s="2"/>
      <c r="IU457" s="2"/>
      <c r="JY457" s="2"/>
    </row>
    <row r="458" spans="1:285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FI458" s="2"/>
      <c r="GM458" s="2"/>
      <c r="HQ458" s="2"/>
      <c r="IU458" s="2"/>
      <c r="JY458" s="2"/>
    </row>
    <row r="459" spans="1:285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FI459" s="2"/>
      <c r="GM459" s="2"/>
      <c r="HQ459" s="2"/>
      <c r="IU459" s="2"/>
      <c r="JY459" s="2"/>
    </row>
    <row r="460" spans="1:285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FI460" s="2"/>
      <c r="GM460" s="2"/>
      <c r="HQ460" s="2"/>
      <c r="IU460" s="2"/>
      <c r="JY460" s="2"/>
    </row>
    <row r="461" spans="1:285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FI461" s="2"/>
      <c r="GM461" s="2"/>
      <c r="HQ461" s="2"/>
      <c r="IU461" s="2"/>
      <c r="JY461" s="2"/>
    </row>
    <row r="462" spans="1:285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FI462" s="2"/>
      <c r="GM462" s="2"/>
      <c r="HQ462" s="2"/>
      <c r="IU462" s="2"/>
      <c r="JY462" s="2"/>
    </row>
    <row r="463" spans="1:285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FI463" s="2"/>
      <c r="GM463" s="2"/>
      <c r="HQ463" s="2"/>
      <c r="IU463" s="2"/>
      <c r="JY463" s="2"/>
    </row>
    <row r="464" spans="1:285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FI464" s="2"/>
      <c r="GM464" s="2"/>
      <c r="HQ464" s="2"/>
      <c r="IU464" s="2"/>
      <c r="JY464" s="2"/>
    </row>
    <row r="465" spans="1:285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FI465" s="2"/>
      <c r="GM465" s="2"/>
      <c r="HQ465" s="2"/>
      <c r="IU465" s="2"/>
      <c r="JY465" s="2"/>
    </row>
    <row r="466" spans="1:285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FI466" s="2"/>
      <c r="GM466" s="2"/>
      <c r="HQ466" s="2"/>
      <c r="IU466" s="2"/>
      <c r="JY466" s="2"/>
    </row>
    <row r="467" spans="1:285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FI467" s="2"/>
      <c r="GM467" s="2"/>
      <c r="HQ467" s="2"/>
      <c r="IU467" s="2"/>
      <c r="JY467" s="2"/>
    </row>
    <row r="468" spans="1:285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FI468" s="2"/>
      <c r="GM468" s="2"/>
      <c r="HQ468" s="2"/>
      <c r="IU468" s="2"/>
      <c r="JY468" s="2"/>
    </row>
    <row r="469" spans="1:285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FI469" s="2"/>
      <c r="GM469" s="2"/>
      <c r="HQ469" s="2"/>
      <c r="IU469" s="2"/>
      <c r="JY469" s="2"/>
    </row>
    <row r="470" spans="1:285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FI470" s="2"/>
      <c r="GM470" s="2"/>
      <c r="HQ470" s="2"/>
      <c r="IU470" s="2"/>
      <c r="JY470" s="2"/>
    </row>
    <row r="471" spans="1:285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FI471" s="2"/>
      <c r="GM471" s="2"/>
      <c r="HQ471" s="2"/>
      <c r="IU471" s="2"/>
      <c r="JY471" s="2"/>
    </row>
    <row r="472" spans="1:285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FI472" s="2"/>
      <c r="GM472" s="2"/>
      <c r="HQ472" s="2"/>
      <c r="IU472" s="2"/>
      <c r="JY472" s="2"/>
    </row>
    <row r="473" spans="1:285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FI473" s="2"/>
      <c r="GM473" s="2"/>
      <c r="HQ473" s="2"/>
      <c r="IU473" s="2"/>
      <c r="JY473" s="2"/>
    </row>
    <row r="474" spans="1:285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FI474" s="2"/>
      <c r="GM474" s="2"/>
      <c r="HQ474" s="2"/>
      <c r="IU474" s="2"/>
      <c r="JY474" s="2"/>
    </row>
    <row r="475" spans="1:285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FI475" s="2"/>
      <c r="GM475" s="2"/>
      <c r="HQ475" s="2"/>
      <c r="IU475" s="2"/>
      <c r="JY475" s="2"/>
    </row>
    <row r="476" spans="1:285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FI476" s="2"/>
      <c r="GM476" s="2"/>
      <c r="HQ476" s="2"/>
      <c r="IU476" s="2"/>
      <c r="JY476" s="2"/>
    </row>
    <row r="477" spans="1:285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FI477" s="2"/>
      <c r="GM477" s="2"/>
      <c r="HQ477" s="2"/>
      <c r="IU477" s="2"/>
      <c r="JY477" s="2"/>
    </row>
    <row r="478" spans="1:285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FI478" s="2"/>
      <c r="GM478" s="2"/>
      <c r="HQ478" s="2"/>
      <c r="IU478" s="2"/>
      <c r="JY478" s="2"/>
    </row>
    <row r="479" spans="1:285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FI479" s="2"/>
      <c r="GM479" s="2"/>
      <c r="HQ479" s="2"/>
      <c r="IU479" s="2"/>
      <c r="JY479" s="2"/>
    </row>
    <row r="480" spans="1:285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FI480" s="2"/>
      <c r="GM480" s="2"/>
      <c r="HQ480" s="2"/>
      <c r="IU480" s="2"/>
      <c r="JY480" s="2"/>
    </row>
    <row r="481" spans="1:285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FI481" s="2"/>
      <c r="GM481" s="2"/>
      <c r="HQ481" s="2"/>
      <c r="IU481" s="2"/>
      <c r="JY481" s="2"/>
    </row>
    <row r="482" spans="1:285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FI482" s="2"/>
      <c r="GM482" s="2"/>
      <c r="HQ482" s="2"/>
      <c r="IU482" s="2"/>
      <c r="JY482" s="2"/>
    </row>
    <row r="483" spans="1:285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FI483" s="2"/>
      <c r="GM483" s="2"/>
      <c r="HQ483" s="2"/>
      <c r="IU483" s="2"/>
      <c r="JY483" s="2"/>
    </row>
    <row r="484" spans="1:285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FI484" s="2"/>
      <c r="GM484" s="2"/>
      <c r="HQ484" s="2"/>
      <c r="IU484" s="2"/>
      <c r="JY484" s="2"/>
    </row>
    <row r="485" spans="1:285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FI485" s="2"/>
      <c r="GM485" s="2"/>
      <c r="HQ485" s="2"/>
      <c r="IU485" s="2"/>
      <c r="JY485" s="2"/>
    </row>
    <row r="486" spans="1:285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FI486" s="2"/>
      <c r="GM486" s="2"/>
      <c r="HQ486" s="2"/>
      <c r="IU486" s="2"/>
      <c r="JY486" s="2"/>
    </row>
    <row r="487" spans="1:285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FI487" s="2"/>
      <c r="GM487" s="2"/>
      <c r="HQ487" s="2"/>
      <c r="IU487" s="2"/>
      <c r="JY487" s="2"/>
    </row>
    <row r="488" spans="1:285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FI488" s="2"/>
      <c r="GM488" s="2"/>
      <c r="HQ488" s="2"/>
      <c r="IU488" s="2"/>
      <c r="JY488" s="2"/>
    </row>
    <row r="489" spans="1:285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FI489" s="2"/>
      <c r="GM489" s="2"/>
      <c r="HQ489" s="2"/>
      <c r="IU489" s="2"/>
      <c r="JY489" s="2"/>
    </row>
    <row r="490" spans="1:285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FI490" s="2"/>
      <c r="GM490" s="2"/>
      <c r="HQ490" s="2"/>
      <c r="IU490" s="2"/>
      <c r="JY490" s="2"/>
    </row>
    <row r="491" spans="1:285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FI491" s="2"/>
      <c r="GM491" s="2"/>
      <c r="HQ491" s="2"/>
      <c r="IU491" s="2"/>
      <c r="JY491" s="2"/>
    </row>
    <row r="492" spans="1:285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FI492" s="2"/>
      <c r="GM492" s="2"/>
      <c r="HQ492" s="2"/>
      <c r="IU492" s="2"/>
      <c r="JY492" s="2"/>
    </row>
    <row r="493" spans="1:285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FI493" s="2"/>
      <c r="GM493" s="2"/>
      <c r="HQ493" s="2"/>
      <c r="IU493" s="2"/>
      <c r="JY493" s="2"/>
    </row>
    <row r="494" spans="1:285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FI494" s="2"/>
      <c r="GM494" s="2"/>
      <c r="HQ494" s="2"/>
      <c r="IU494" s="2"/>
      <c r="JY494" s="2"/>
    </row>
    <row r="495" spans="1:285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FI495" s="2"/>
      <c r="GM495" s="2"/>
      <c r="HQ495" s="2"/>
      <c r="IU495" s="2"/>
      <c r="JY495" s="2"/>
    </row>
    <row r="496" spans="1:285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FI496" s="2"/>
      <c r="GM496" s="2"/>
      <c r="HQ496" s="2"/>
      <c r="IU496" s="2"/>
      <c r="JY496" s="2"/>
    </row>
    <row r="497" spans="1:285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FI497" s="2"/>
      <c r="GM497" s="2"/>
      <c r="HQ497" s="2"/>
      <c r="IU497" s="2"/>
      <c r="JY497" s="2"/>
    </row>
    <row r="498" spans="1:285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FI498" s="2"/>
      <c r="GM498" s="2"/>
      <c r="HQ498" s="2"/>
      <c r="IU498" s="2"/>
      <c r="JY498" s="2"/>
    </row>
    <row r="499" spans="1:285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FI499" s="2"/>
      <c r="GM499" s="2"/>
      <c r="HQ499" s="2"/>
      <c r="IU499" s="2"/>
      <c r="JY499" s="2"/>
    </row>
    <row r="500" spans="1:285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FI500" s="2"/>
      <c r="GM500" s="2"/>
      <c r="HQ500" s="2"/>
      <c r="IU500" s="2"/>
      <c r="JY500" s="2"/>
    </row>
    <row r="501" spans="1:285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FI501" s="2"/>
      <c r="GM501" s="2"/>
      <c r="HQ501" s="2"/>
      <c r="IU501" s="2"/>
      <c r="JY501" s="2"/>
    </row>
    <row r="502" spans="1:285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FI502" s="2"/>
      <c r="GM502" s="2"/>
      <c r="HQ502" s="2"/>
      <c r="IU502" s="2"/>
      <c r="JY502" s="2"/>
    </row>
    <row r="503" spans="1:285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FI503" s="2"/>
      <c r="GM503" s="2"/>
      <c r="HQ503" s="2"/>
      <c r="IU503" s="2"/>
      <c r="JY503" s="2"/>
    </row>
    <row r="504" spans="1:285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FI504" s="2"/>
      <c r="GM504" s="2"/>
      <c r="HQ504" s="2"/>
      <c r="IU504" s="2"/>
      <c r="JY504" s="2"/>
    </row>
    <row r="505" spans="1:285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FI505" s="2"/>
      <c r="GM505" s="2"/>
      <c r="HQ505" s="2"/>
      <c r="IU505" s="2"/>
      <c r="JY505" s="2"/>
    </row>
    <row r="506" spans="1:285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FI506" s="2"/>
      <c r="GM506" s="2"/>
      <c r="HQ506" s="2"/>
      <c r="IU506" s="2"/>
      <c r="JY506" s="2"/>
    </row>
    <row r="507" spans="1:285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FI507" s="2"/>
      <c r="GM507" s="2"/>
      <c r="HQ507" s="2"/>
      <c r="IU507" s="2"/>
      <c r="JY507" s="2"/>
    </row>
    <row r="508" spans="1:285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FI508" s="2"/>
      <c r="GM508" s="2"/>
      <c r="HQ508" s="2"/>
      <c r="IU508" s="2"/>
      <c r="JY508" s="2"/>
    </row>
    <row r="509" spans="1:285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FI509" s="2"/>
      <c r="GM509" s="2"/>
      <c r="HQ509" s="2"/>
      <c r="IU509" s="2"/>
      <c r="JY509" s="2"/>
    </row>
    <row r="510" spans="1:285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FI510" s="2"/>
      <c r="GM510" s="2"/>
      <c r="HQ510" s="2"/>
      <c r="IU510" s="2"/>
      <c r="JY510" s="2"/>
    </row>
    <row r="511" spans="1:285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FI511" s="2"/>
      <c r="GM511" s="2"/>
      <c r="HQ511" s="2"/>
      <c r="IU511" s="2"/>
      <c r="JY511" s="2"/>
    </row>
    <row r="512" spans="1:285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FI512" s="2"/>
      <c r="GM512" s="2"/>
      <c r="HQ512" s="2"/>
      <c r="IU512" s="2"/>
      <c r="JY512" s="2"/>
    </row>
    <row r="513" spans="1:285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FI513" s="2"/>
      <c r="GM513" s="2"/>
      <c r="HQ513" s="2"/>
      <c r="IU513" s="2"/>
      <c r="JY513" s="2"/>
    </row>
    <row r="514" spans="1:285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FI514" s="2"/>
      <c r="GM514" s="2"/>
      <c r="HQ514" s="2"/>
      <c r="IU514" s="2"/>
      <c r="JY514" s="2"/>
    </row>
    <row r="515" spans="1:285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FI515" s="2"/>
      <c r="GM515" s="2"/>
      <c r="HQ515" s="2"/>
      <c r="IU515" s="2"/>
      <c r="JY515" s="2"/>
    </row>
    <row r="516" spans="1:285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FI516" s="2"/>
      <c r="GM516" s="2"/>
      <c r="HQ516" s="2"/>
      <c r="IU516" s="2"/>
      <c r="JY516" s="2"/>
    </row>
    <row r="517" spans="1:285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FI517" s="2"/>
      <c r="GM517" s="2"/>
      <c r="HQ517" s="2"/>
      <c r="IU517" s="2"/>
      <c r="JY517" s="2"/>
    </row>
    <row r="518" spans="1:285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FI518" s="2"/>
      <c r="GM518" s="2"/>
      <c r="HQ518" s="2"/>
      <c r="IU518" s="2"/>
      <c r="JY518" s="2"/>
    </row>
    <row r="519" spans="1:285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FI519" s="2"/>
      <c r="GM519" s="2"/>
      <c r="HQ519" s="2"/>
      <c r="IU519" s="2"/>
      <c r="JY519" s="2"/>
    </row>
    <row r="520" spans="1:285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FI520" s="2"/>
      <c r="GM520" s="2"/>
      <c r="HQ520" s="2"/>
      <c r="IU520" s="2"/>
      <c r="JY520" s="2"/>
    </row>
    <row r="521" spans="1:285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FI521" s="2"/>
      <c r="GM521" s="2"/>
      <c r="HQ521" s="2"/>
      <c r="IU521" s="2"/>
      <c r="JY521" s="2"/>
    </row>
    <row r="522" spans="1:285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FI522" s="2"/>
      <c r="GM522" s="2"/>
      <c r="HQ522" s="2"/>
      <c r="IU522" s="2"/>
      <c r="JY522" s="2"/>
    </row>
    <row r="523" spans="1:285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FI523" s="2"/>
      <c r="GM523" s="2"/>
      <c r="HQ523" s="2"/>
      <c r="IU523" s="2"/>
      <c r="JY523" s="2"/>
    </row>
    <row r="524" spans="1:285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FI524" s="2"/>
      <c r="GM524" s="2"/>
      <c r="HQ524" s="2"/>
      <c r="IU524" s="2"/>
      <c r="JY524" s="2"/>
    </row>
    <row r="525" spans="1:285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FI525" s="2"/>
      <c r="GM525" s="2"/>
      <c r="HQ525" s="2"/>
      <c r="IU525" s="2"/>
      <c r="JY525" s="2"/>
    </row>
    <row r="526" spans="1:285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FI526" s="2"/>
      <c r="GM526" s="2"/>
      <c r="HQ526" s="2"/>
      <c r="IU526" s="2"/>
      <c r="JY526" s="2"/>
    </row>
    <row r="527" spans="1:285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FI527" s="2"/>
      <c r="GM527" s="2"/>
      <c r="HQ527" s="2"/>
      <c r="IU527" s="2"/>
      <c r="JY527" s="2"/>
    </row>
    <row r="528" spans="1:285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FI528" s="2"/>
      <c r="GM528" s="2"/>
      <c r="HQ528" s="2"/>
      <c r="IU528" s="2"/>
      <c r="JY528" s="2"/>
    </row>
    <row r="529" spans="1:285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FI529" s="2"/>
      <c r="GM529" s="2"/>
      <c r="HQ529" s="2"/>
      <c r="IU529" s="2"/>
      <c r="JY529" s="2"/>
    </row>
    <row r="530" spans="1:285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FI530" s="2"/>
      <c r="GM530" s="2"/>
      <c r="HQ530" s="2"/>
      <c r="IU530" s="2"/>
      <c r="JY530" s="2"/>
    </row>
    <row r="531" spans="1:285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FI531" s="2"/>
      <c r="GM531" s="2"/>
      <c r="HQ531" s="2"/>
      <c r="IU531" s="2"/>
      <c r="JY531" s="2"/>
    </row>
    <row r="532" spans="1:285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FI532" s="2"/>
      <c r="GM532" s="2"/>
      <c r="HQ532" s="2"/>
      <c r="IU532" s="2"/>
      <c r="JY532" s="2"/>
    </row>
    <row r="533" spans="1:285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FI533" s="2"/>
      <c r="GM533" s="2"/>
      <c r="HQ533" s="2"/>
      <c r="IU533" s="2"/>
      <c r="JY533" s="2"/>
    </row>
    <row r="534" spans="1:285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FI534" s="2"/>
      <c r="GM534" s="2"/>
      <c r="HQ534" s="2"/>
      <c r="IU534" s="2"/>
      <c r="JY534" s="2"/>
    </row>
    <row r="535" spans="1:285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FI535" s="2"/>
      <c r="GM535" s="2"/>
      <c r="HQ535" s="2"/>
      <c r="IU535" s="2"/>
      <c r="JY535" s="2"/>
    </row>
    <row r="536" spans="1:285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FI536" s="2"/>
      <c r="GM536" s="2"/>
      <c r="HQ536" s="2"/>
      <c r="IU536" s="2"/>
      <c r="JY536" s="2"/>
    </row>
    <row r="537" spans="1:285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FI537" s="2"/>
      <c r="GM537" s="2"/>
      <c r="HQ537" s="2"/>
      <c r="IU537" s="2"/>
      <c r="JY537" s="2"/>
    </row>
    <row r="538" spans="1:285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FI538" s="2"/>
      <c r="GM538" s="2"/>
      <c r="HQ538" s="2"/>
      <c r="IU538" s="2"/>
      <c r="JY538" s="2"/>
    </row>
    <row r="539" spans="1:285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FI539" s="2"/>
      <c r="GM539" s="2"/>
      <c r="HQ539" s="2"/>
      <c r="IU539" s="2"/>
      <c r="JY539" s="2"/>
    </row>
    <row r="540" spans="1:285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FI540" s="2"/>
      <c r="GM540" s="2"/>
      <c r="HQ540" s="2"/>
      <c r="IU540" s="2"/>
      <c r="JY540" s="2"/>
    </row>
    <row r="541" spans="1:285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FI541" s="2"/>
      <c r="GM541" s="2"/>
      <c r="HQ541" s="2"/>
      <c r="IU541" s="2"/>
      <c r="JY541" s="2"/>
    </row>
    <row r="542" spans="1:285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FI542" s="2"/>
      <c r="GM542" s="2"/>
      <c r="HQ542" s="2"/>
      <c r="IU542" s="2"/>
      <c r="JY542" s="2"/>
    </row>
    <row r="543" spans="1:285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FI543" s="2"/>
      <c r="GM543" s="2"/>
      <c r="HQ543" s="2"/>
      <c r="IU543" s="2"/>
      <c r="JY543" s="2"/>
    </row>
    <row r="544" spans="1:285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FI544" s="2"/>
      <c r="GM544" s="2"/>
      <c r="HQ544" s="2"/>
      <c r="IU544" s="2"/>
      <c r="JY544" s="2"/>
    </row>
    <row r="545" spans="1:285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FI545" s="2"/>
      <c r="GM545" s="2"/>
      <c r="HQ545" s="2"/>
      <c r="IU545" s="2"/>
      <c r="JY545" s="2"/>
    </row>
    <row r="546" spans="1:285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FI546" s="2"/>
      <c r="GM546" s="2"/>
      <c r="HQ546" s="2"/>
      <c r="IU546" s="2"/>
      <c r="JY546" s="2"/>
    </row>
    <row r="547" spans="1:285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FI547" s="2"/>
      <c r="GM547" s="2"/>
      <c r="HQ547" s="2"/>
      <c r="IU547" s="2"/>
      <c r="JY547" s="2"/>
    </row>
    <row r="548" spans="1:285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FI548" s="2"/>
      <c r="GM548" s="2"/>
      <c r="HQ548" s="2"/>
      <c r="IU548" s="2"/>
      <c r="JY548" s="2"/>
    </row>
    <row r="549" spans="1:285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FI549" s="2"/>
      <c r="GM549" s="2"/>
      <c r="HQ549" s="2"/>
      <c r="IU549" s="2"/>
      <c r="JY549" s="2"/>
    </row>
    <row r="550" spans="1:285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FI550" s="2"/>
      <c r="GM550" s="2"/>
      <c r="HQ550" s="2"/>
      <c r="IU550" s="2"/>
      <c r="JY550" s="2"/>
    </row>
    <row r="551" spans="1:285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FI551" s="2"/>
      <c r="GM551" s="2"/>
      <c r="HQ551" s="2"/>
      <c r="IU551" s="2"/>
      <c r="JY551" s="2"/>
    </row>
    <row r="552" spans="1:285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FI552" s="2"/>
      <c r="GM552" s="2"/>
      <c r="HQ552" s="2"/>
      <c r="IU552" s="2"/>
      <c r="JY552" s="2"/>
    </row>
    <row r="553" spans="1:285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FI553" s="2"/>
      <c r="GM553" s="2"/>
      <c r="HQ553" s="2"/>
      <c r="IU553" s="2"/>
      <c r="JY553" s="2"/>
    </row>
    <row r="554" spans="1:285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FI554" s="2"/>
      <c r="GM554" s="2"/>
      <c r="HQ554" s="2"/>
      <c r="IU554" s="2"/>
      <c r="JY554" s="2"/>
    </row>
    <row r="555" spans="1:285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FI555" s="2"/>
      <c r="GM555" s="2"/>
      <c r="HQ555" s="2"/>
      <c r="IU555" s="2"/>
      <c r="JY555" s="2"/>
    </row>
    <row r="556" spans="1:285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FI556" s="2"/>
      <c r="GM556" s="2"/>
      <c r="HQ556" s="2"/>
      <c r="IU556" s="2"/>
      <c r="JY556" s="2"/>
    </row>
    <row r="557" spans="1:285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FI557" s="2"/>
      <c r="GM557" s="2"/>
      <c r="HQ557" s="2"/>
      <c r="IU557" s="2"/>
      <c r="JY557" s="2"/>
    </row>
    <row r="558" spans="1:285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FI558" s="2"/>
      <c r="GM558" s="2"/>
      <c r="HQ558" s="2"/>
      <c r="IU558" s="2"/>
      <c r="JY558" s="2"/>
    </row>
    <row r="559" spans="1:285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FI559" s="2"/>
      <c r="GM559" s="2"/>
      <c r="HQ559" s="2"/>
      <c r="IU559" s="2"/>
      <c r="JY559" s="2"/>
    </row>
    <row r="560" spans="1:285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FI560" s="2"/>
      <c r="GM560" s="2"/>
      <c r="HQ560" s="2"/>
      <c r="IU560" s="2"/>
      <c r="JY560" s="2"/>
    </row>
    <row r="561" spans="1:285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FI561" s="2"/>
      <c r="GM561" s="2"/>
      <c r="HQ561" s="2"/>
      <c r="IU561" s="2"/>
      <c r="JY561" s="2"/>
    </row>
    <row r="562" spans="1:285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FI562" s="2"/>
      <c r="GM562" s="2"/>
      <c r="HQ562" s="2"/>
      <c r="IU562" s="2"/>
      <c r="JY562" s="2"/>
    </row>
    <row r="563" spans="1:285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FI563" s="2"/>
      <c r="GM563" s="2"/>
      <c r="HQ563" s="2"/>
      <c r="IU563" s="2"/>
      <c r="JY563" s="2"/>
    </row>
    <row r="564" spans="1:285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FI564" s="2"/>
      <c r="GM564" s="2"/>
      <c r="HQ564" s="2"/>
      <c r="IU564" s="2"/>
      <c r="JY564" s="2"/>
    </row>
    <row r="565" spans="1:285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FI565" s="2"/>
      <c r="GM565" s="2"/>
      <c r="HQ565" s="2"/>
      <c r="IU565" s="2"/>
      <c r="JY565" s="2"/>
    </row>
    <row r="566" spans="1:285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FI566" s="2"/>
      <c r="GM566" s="2"/>
      <c r="HQ566" s="2"/>
      <c r="IU566" s="2"/>
      <c r="JY566" s="2"/>
    </row>
    <row r="567" spans="1:285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FI567" s="2"/>
      <c r="GM567" s="2"/>
      <c r="HQ567" s="2"/>
      <c r="IU567" s="2"/>
      <c r="JY567" s="2"/>
    </row>
    <row r="568" spans="1:285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FI568" s="2"/>
      <c r="GM568" s="2"/>
      <c r="HQ568" s="2"/>
      <c r="IU568" s="2"/>
      <c r="JY568" s="2"/>
    </row>
    <row r="569" spans="1:285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FI569" s="2"/>
      <c r="GM569" s="2"/>
      <c r="HQ569" s="2"/>
      <c r="IU569" s="2"/>
      <c r="JY569" s="2"/>
    </row>
    <row r="570" spans="1:285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FI570" s="2"/>
      <c r="GM570" s="2"/>
      <c r="HQ570" s="2"/>
      <c r="IU570" s="2"/>
      <c r="JY570" s="2"/>
    </row>
    <row r="571" spans="1:285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FI571" s="2"/>
      <c r="GM571" s="2"/>
      <c r="HQ571" s="2"/>
      <c r="IU571" s="2"/>
      <c r="JY571" s="2"/>
    </row>
    <row r="572" spans="1:285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FI572" s="2"/>
      <c r="GM572" s="2"/>
      <c r="HQ572" s="2"/>
      <c r="IU572" s="2"/>
      <c r="JY572" s="2"/>
    </row>
    <row r="573" spans="1:285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FI573" s="2"/>
      <c r="GM573" s="2"/>
      <c r="HQ573" s="2"/>
      <c r="IU573" s="2"/>
      <c r="JY573" s="2"/>
    </row>
    <row r="574" spans="1:285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FI574" s="2"/>
      <c r="GM574" s="2"/>
      <c r="HQ574" s="2"/>
      <c r="IU574" s="2"/>
      <c r="JY574" s="2"/>
    </row>
    <row r="575" spans="1:285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FI575" s="2"/>
      <c r="GM575" s="2"/>
      <c r="HQ575" s="2"/>
      <c r="IU575" s="2"/>
      <c r="JY575" s="2"/>
    </row>
    <row r="576" spans="1:285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FI576" s="2"/>
      <c r="GM576" s="2"/>
      <c r="HQ576" s="2"/>
      <c r="IU576" s="2"/>
      <c r="JY576" s="2"/>
    </row>
    <row r="577" spans="1:285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FI577" s="2"/>
      <c r="GM577" s="2"/>
      <c r="HQ577" s="2"/>
      <c r="IU577" s="2"/>
      <c r="JY577" s="2"/>
    </row>
    <row r="578" spans="1:285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FI578" s="2"/>
      <c r="GM578" s="2"/>
      <c r="HQ578" s="2"/>
      <c r="IU578" s="2"/>
      <c r="JY578" s="2"/>
    </row>
    <row r="579" spans="1:285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FI579" s="2"/>
      <c r="GM579" s="2"/>
      <c r="HQ579" s="2"/>
      <c r="IU579" s="2"/>
      <c r="JY579" s="2"/>
    </row>
    <row r="580" spans="1:285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FI580" s="2"/>
      <c r="GM580" s="2"/>
      <c r="HQ580" s="2"/>
      <c r="IU580" s="2"/>
      <c r="JY580" s="2"/>
    </row>
    <row r="581" spans="1:285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FI581" s="2"/>
      <c r="GM581" s="2"/>
      <c r="HQ581" s="2"/>
      <c r="IU581" s="2"/>
      <c r="JY581" s="2"/>
    </row>
    <row r="582" spans="1:285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FI582" s="2"/>
      <c r="GM582" s="2"/>
      <c r="HQ582" s="2"/>
      <c r="IU582" s="2"/>
      <c r="JY582" s="2"/>
    </row>
    <row r="583" spans="1:285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FI583" s="2"/>
      <c r="GM583" s="2"/>
      <c r="HQ583" s="2"/>
      <c r="IU583" s="2"/>
      <c r="JY583" s="2"/>
    </row>
    <row r="584" spans="1:285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FI584" s="2"/>
      <c r="GM584" s="2"/>
      <c r="HQ584" s="2"/>
      <c r="IU584" s="2"/>
      <c r="JY584" s="2"/>
    </row>
    <row r="585" spans="1:285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FI585" s="2"/>
      <c r="GM585" s="2"/>
      <c r="HQ585" s="2"/>
      <c r="IU585" s="2"/>
      <c r="JY585" s="2"/>
    </row>
    <row r="586" spans="1:285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FI586" s="2"/>
      <c r="GM586" s="2"/>
      <c r="HQ586" s="2"/>
      <c r="IU586" s="2"/>
      <c r="JY586" s="2"/>
    </row>
    <row r="587" spans="1:285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FI587" s="2"/>
      <c r="GM587" s="2"/>
      <c r="HQ587" s="2"/>
      <c r="IU587" s="2"/>
      <c r="JY587" s="2"/>
    </row>
    <row r="588" spans="1:285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FI588" s="2"/>
      <c r="GM588" s="2"/>
      <c r="HQ588" s="2"/>
      <c r="IU588" s="2"/>
      <c r="JY588" s="2"/>
    </row>
    <row r="589" spans="1:285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FI589" s="2"/>
      <c r="GM589" s="2"/>
      <c r="HQ589" s="2"/>
      <c r="IU589" s="2"/>
      <c r="JY589" s="2"/>
    </row>
    <row r="590" spans="1:285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FI590" s="2"/>
      <c r="GM590" s="2"/>
      <c r="HQ590" s="2"/>
      <c r="IU590" s="2"/>
      <c r="JY590" s="2"/>
    </row>
    <row r="591" spans="1:285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FI591" s="2"/>
      <c r="GM591" s="2"/>
      <c r="HQ591" s="2"/>
      <c r="IU591" s="2"/>
      <c r="JY591" s="2"/>
    </row>
    <row r="592" spans="1:285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FI592" s="2"/>
      <c r="GM592" s="2"/>
      <c r="HQ592" s="2"/>
      <c r="IU592" s="2"/>
      <c r="JY592" s="2"/>
    </row>
    <row r="593" spans="1:285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FI593" s="2"/>
      <c r="GM593" s="2"/>
      <c r="HQ593" s="2"/>
      <c r="IU593" s="2"/>
      <c r="JY593" s="2"/>
    </row>
    <row r="594" spans="1:285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FI594" s="2"/>
      <c r="GM594" s="2"/>
      <c r="HQ594" s="2"/>
      <c r="IU594" s="2"/>
      <c r="JY594" s="2"/>
    </row>
    <row r="595" spans="1:285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FI595" s="2"/>
      <c r="GM595" s="2"/>
      <c r="HQ595" s="2"/>
      <c r="IU595" s="2"/>
      <c r="JY595" s="2"/>
    </row>
    <row r="596" spans="1:285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FI596" s="2"/>
      <c r="GM596" s="2"/>
      <c r="HQ596" s="2"/>
      <c r="IU596" s="2"/>
      <c r="JY596" s="2"/>
    </row>
    <row r="597" spans="1:285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FI597" s="2"/>
      <c r="GM597" s="2"/>
      <c r="HQ597" s="2"/>
      <c r="IU597" s="2"/>
      <c r="JY597" s="2"/>
    </row>
    <row r="598" spans="1:285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FI598" s="2"/>
      <c r="GM598" s="2"/>
      <c r="HQ598" s="2"/>
      <c r="IU598" s="2"/>
      <c r="JY598" s="2"/>
    </row>
    <row r="599" spans="1:285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FI599" s="2"/>
      <c r="GM599" s="2"/>
      <c r="HQ599" s="2"/>
      <c r="IU599" s="2"/>
      <c r="JY599" s="2"/>
    </row>
    <row r="600" spans="1:285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FI600" s="2"/>
      <c r="GM600" s="2"/>
      <c r="HQ600" s="2"/>
      <c r="IU600" s="2"/>
      <c r="JY600" s="2"/>
    </row>
    <row r="601" spans="1:285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FI601" s="2"/>
      <c r="GM601" s="2"/>
      <c r="HQ601" s="2"/>
      <c r="IU601" s="2"/>
      <c r="JY601" s="2"/>
    </row>
    <row r="602" spans="1:285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FI602" s="2"/>
      <c r="GM602" s="2"/>
      <c r="HQ602" s="2"/>
      <c r="IU602" s="2"/>
      <c r="JY602" s="2"/>
    </row>
    <row r="603" spans="1:285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FI603" s="2"/>
      <c r="GM603" s="2"/>
      <c r="HQ603" s="2"/>
      <c r="IU603" s="2"/>
      <c r="JY603" s="2"/>
    </row>
    <row r="604" spans="1:285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FI604" s="2"/>
      <c r="GM604" s="2"/>
      <c r="HQ604" s="2"/>
      <c r="IU604" s="2"/>
      <c r="JY604" s="2"/>
    </row>
    <row r="605" spans="1:285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FI605" s="2"/>
      <c r="GM605" s="2"/>
      <c r="HQ605" s="2"/>
      <c r="IU605" s="2"/>
      <c r="JY605" s="2"/>
    </row>
    <row r="606" spans="1:285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FI606" s="2"/>
      <c r="GM606" s="2"/>
      <c r="HQ606" s="2"/>
      <c r="IU606" s="2"/>
      <c r="JY606" s="2"/>
    </row>
    <row r="607" spans="1:285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FI607" s="2"/>
      <c r="GM607" s="2"/>
      <c r="HQ607" s="2"/>
      <c r="IU607" s="2"/>
      <c r="JY607" s="2"/>
    </row>
    <row r="608" spans="1:285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FI608" s="2"/>
      <c r="GM608" s="2"/>
      <c r="HQ608" s="2"/>
      <c r="IU608" s="2"/>
      <c r="JY608" s="2"/>
    </row>
    <row r="609" spans="1:285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FI609" s="2"/>
      <c r="GM609" s="2"/>
      <c r="HQ609" s="2"/>
      <c r="IU609" s="2"/>
      <c r="JY609" s="2"/>
    </row>
    <row r="610" spans="1:285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FI610" s="2"/>
      <c r="GM610" s="2"/>
      <c r="HQ610" s="2"/>
      <c r="IU610" s="2"/>
      <c r="JY610" s="2"/>
    </row>
    <row r="611" spans="1:285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FI611" s="2"/>
      <c r="GM611" s="2"/>
      <c r="HQ611" s="2"/>
      <c r="IU611" s="2"/>
      <c r="JY611" s="2"/>
    </row>
    <row r="612" spans="1:285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FI612" s="2"/>
      <c r="GM612" s="2"/>
      <c r="HQ612" s="2"/>
      <c r="IU612" s="2"/>
      <c r="JY612" s="2"/>
    </row>
    <row r="613" spans="1:285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FI613" s="2"/>
      <c r="GM613" s="2"/>
      <c r="HQ613" s="2"/>
      <c r="IU613" s="2"/>
      <c r="JY613" s="2"/>
    </row>
    <row r="614" spans="1:285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FI614" s="2"/>
      <c r="GM614" s="2"/>
      <c r="HQ614" s="2"/>
      <c r="IU614" s="2"/>
      <c r="JY614" s="2"/>
    </row>
    <row r="615" spans="1:285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FI615" s="2"/>
      <c r="GM615" s="2"/>
      <c r="HQ615" s="2"/>
      <c r="IU615" s="2"/>
      <c r="JY615" s="2"/>
    </row>
    <row r="616" spans="1:285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FI616" s="2"/>
      <c r="GM616" s="2"/>
      <c r="HQ616" s="2"/>
      <c r="IU616" s="2"/>
      <c r="JY616" s="2"/>
    </row>
    <row r="617" spans="1:285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FI617" s="2"/>
      <c r="GM617" s="2"/>
      <c r="HQ617" s="2"/>
      <c r="IU617" s="2"/>
      <c r="JY617" s="2"/>
    </row>
    <row r="618" spans="1:285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FI618" s="2"/>
      <c r="GM618" s="2"/>
      <c r="HQ618" s="2"/>
      <c r="IU618" s="2"/>
      <c r="JY618" s="2"/>
    </row>
    <row r="619" spans="1:285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FI619" s="2"/>
      <c r="GM619" s="2"/>
      <c r="HQ619" s="2"/>
      <c r="IU619" s="2"/>
      <c r="JY619" s="2"/>
    </row>
    <row r="620" spans="1:285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FI620" s="2"/>
      <c r="GM620" s="2"/>
      <c r="HQ620" s="2"/>
      <c r="IU620" s="2"/>
      <c r="JY620" s="2"/>
    </row>
    <row r="621" spans="1:285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FI621" s="2"/>
      <c r="GM621" s="2"/>
      <c r="HQ621" s="2"/>
      <c r="IU621" s="2"/>
      <c r="JY621" s="2"/>
    </row>
    <row r="622" spans="1:285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FI622" s="2"/>
      <c r="GM622" s="2"/>
      <c r="HQ622" s="2"/>
      <c r="IU622" s="2"/>
      <c r="JY622" s="2"/>
    </row>
    <row r="623" spans="1:285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FI623" s="2"/>
      <c r="GM623" s="2"/>
      <c r="HQ623" s="2"/>
      <c r="IU623" s="2"/>
      <c r="JY623" s="2"/>
    </row>
    <row r="624" spans="1:285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FI624" s="2"/>
      <c r="GM624" s="2"/>
      <c r="HQ624" s="2"/>
      <c r="IU624" s="2"/>
      <c r="JY624" s="2"/>
    </row>
    <row r="625" spans="1:285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FI625" s="2"/>
      <c r="GM625" s="2"/>
      <c r="HQ625" s="2"/>
      <c r="IU625" s="2"/>
      <c r="JY625" s="2"/>
    </row>
    <row r="626" spans="1:285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FI626" s="2"/>
      <c r="GM626" s="2"/>
      <c r="HQ626" s="2"/>
      <c r="IU626" s="2"/>
      <c r="JY626" s="2"/>
    </row>
    <row r="627" spans="1:285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FI627" s="2"/>
      <c r="GM627" s="2"/>
      <c r="HQ627" s="2"/>
      <c r="IU627" s="2"/>
      <c r="JY627" s="2"/>
    </row>
    <row r="628" spans="1:285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FI628" s="2"/>
      <c r="GM628" s="2"/>
      <c r="HQ628" s="2"/>
      <c r="IU628" s="2"/>
      <c r="JY628" s="2"/>
    </row>
    <row r="629" spans="1:285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FI629" s="2"/>
      <c r="GM629" s="2"/>
      <c r="HQ629" s="2"/>
      <c r="IU629" s="2"/>
      <c r="JY629" s="2"/>
    </row>
    <row r="630" spans="1:285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FI630" s="2"/>
      <c r="GM630" s="2"/>
      <c r="HQ630" s="2"/>
      <c r="IU630" s="2"/>
      <c r="JY630" s="2"/>
    </row>
    <row r="631" spans="1:285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FI631" s="2"/>
      <c r="GM631" s="2"/>
      <c r="HQ631" s="2"/>
      <c r="IU631" s="2"/>
      <c r="JY631" s="2"/>
    </row>
    <row r="632" spans="1:285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FI632" s="2"/>
      <c r="GM632" s="2"/>
      <c r="HQ632" s="2"/>
      <c r="IU632" s="2"/>
      <c r="JY632" s="2"/>
    </row>
    <row r="633" spans="1:285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FI633" s="2"/>
      <c r="GM633" s="2"/>
      <c r="HQ633" s="2"/>
      <c r="IU633" s="2"/>
      <c r="JY633" s="2"/>
    </row>
    <row r="634" spans="1:285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FI634" s="2"/>
      <c r="GM634" s="2"/>
      <c r="HQ634" s="2"/>
      <c r="IU634" s="2"/>
      <c r="JY634" s="2"/>
    </row>
    <row r="635" spans="1:285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FI635" s="2"/>
      <c r="GM635" s="2"/>
      <c r="HQ635" s="2"/>
      <c r="IU635" s="2"/>
      <c r="JY635" s="2"/>
    </row>
    <row r="636" spans="1:285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FI636" s="2"/>
      <c r="GM636" s="2"/>
      <c r="HQ636" s="2"/>
      <c r="IU636" s="2"/>
      <c r="JY636" s="2"/>
    </row>
    <row r="637" spans="1:285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FI637" s="2"/>
      <c r="GM637" s="2"/>
      <c r="HQ637" s="2"/>
      <c r="IU637" s="2"/>
      <c r="JY637" s="2"/>
    </row>
    <row r="638" spans="1:285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FI638" s="2"/>
      <c r="GM638" s="2"/>
      <c r="HQ638" s="2"/>
      <c r="IU638" s="2"/>
      <c r="JY638" s="2"/>
    </row>
    <row r="639" spans="1:285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FI639" s="2"/>
      <c r="GM639" s="2"/>
      <c r="HQ639" s="2"/>
      <c r="IU639" s="2"/>
      <c r="JY639" s="2"/>
    </row>
    <row r="640" spans="1:285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FI640" s="2"/>
      <c r="GM640" s="2"/>
      <c r="HQ640" s="2"/>
      <c r="IU640" s="2"/>
      <c r="JY640" s="2"/>
    </row>
    <row r="641" spans="1:285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FI641" s="2"/>
      <c r="GM641" s="2"/>
      <c r="HQ641" s="2"/>
      <c r="IU641" s="2"/>
      <c r="JY641" s="2"/>
    </row>
    <row r="642" spans="1:285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FI642" s="2"/>
      <c r="GM642" s="2"/>
      <c r="HQ642" s="2"/>
      <c r="IU642" s="2"/>
      <c r="JY642" s="2"/>
    </row>
    <row r="643" spans="1:285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FI643" s="2"/>
      <c r="GM643" s="2"/>
      <c r="HQ643" s="2"/>
      <c r="IU643" s="2"/>
      <c r="JY643" s="2"/>
    </row>
    <row r="644" spans="1:285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FI644" s="2"/>
      <c r="GM644" s="2"/>
      <c r="HQ644" s="2"/>
      <c r="IU644" s="2"/>
      <c r="JY644" s="2"/>
    </row>
    <row r="645" spans="1:285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FI645" s="2"/>
      <c r="GM645" s="2"/>
      <c r="HQ645" s="2"/>
      <c r="IU645" s="2"/>
      <c r="JY645" s="2"/>
    </row>
    <row r="646" spans="1:285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FI646" s="2"/>
      <c r="GM646" s="2"/>
      <c r="HQ646" s="2"/>
      <c r="IU646" s="2"/>
      <c r="JY646" s="2"/>
    </row>
    <row r="647" spans="1:285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FI647" s="2"/>
      <c r="GM647" s="2"/>
      <c r="HQ647" s="2"/>
      <c r="IU647" s="2"/>
      <c r="JY647" s="2"/>
    </row>
    <row r="648" spans="1:285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FI648" s="2"/>
      <c r="GM648" s="2"/>
      <c r="HQ648" s="2"/>
      <c r="IU648" s="2"/>
      <c r="JY648" s="2"/>
    </row>
    <row r="649" spans="1:285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FI649" s="2"/>
      <c r="GM649" s="2"/>
      <c r="HQ649" s="2"/>
      <c r="IU649" s="2"/>
      <c r="JY649" s="2"/>
    </row>
    <row r="650" spans="1:285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FI650" s="2"/>
      <c r="GM650" s="2"/>
      <c r="HQ650" s="2"/>
      <c r="IU650" s="2"/>
      <c r="JY650" s="2"/>
    </row>
    <row r="651" spans="1:285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FI651" s="2"/>
      <c r="GM651" s="2"/>
      <c r="HQ651" s="2"/>
      <c r="IU651" s="2"/>
      <c r="JY651" s="2"/>
    </row>
    <row r="652" spans="1:285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FI652" s="2"/>
      <c r="GM652" s="2"/>
      <c r="HQ652" s="2"/>
      <c r="IU652" s="2"/>
      <c r="JY652" s="2"/>
    </row>
    <row r="653" spans="1:285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FI653" s="2"/>
      <c r="GM653" s="2"/>
      <c r="HQ653" s="2"/>
      <c r="IU653" s="2"/>
      <c r="JY653" s="2"/>
    </row>
    <row r="654" spans="1:285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FI654" s="2"/>
      <c r="GM654" s="2"/>
      <c r="HQ654" s="2"/>
      <c r="IU654" s="2"/>
      <c r="JY654" s="2"/>
    </row>
    <row r="655" spans="1:285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FI655" s="2"/>
      <c r="GM655" s="2"/>
      <c r="HQ655" s="2"/>
      <c r="IU655" s="2"/>
      <c r="JY655" s="2"/>
    </row>
    <row r="656" spans="1:285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FI656" s="2"/>
      <c r="GM656" s="2"/>
      <c r="HQ656" s="2"/>
      <c r="IU656" s="2"/>
      <c r="JY656" s="2"/>
    </row>
    <row r="657" spans="1:285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FI657" s="2"/>
      <c r="GM657" s="2"/>
      <c r="HQ657" s="2"/>
      <c r="IU657" s="2"/>
      <c r="JY657" s="2"/>
    </row>
    <row r="658" spans="1:285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FI658" s="2"/>
      <c r="GM658" s="2"/>
      <c r="HQ658" s="2"/>
      <c r="IU658" s="2"/>
      <c r="JY658" s="2"/>
    </row>
    <row r="659" spans="1:285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FI659" s="2"/>
      <c r="GM659" s="2"/>
      <c r="HQ659" s="2"/>
      <c r="IU659" s="2"/>
      <c r="JY659" s="2"/>
    </row>
    <row r="660" spans="1:285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FI660" s="2"/>
      <c r="GM660" s="2"/>
      <c r="HQ660" s="2"/>
      <c r="IU660" s="2"/>
      <c r="JY660" s="2"/>
    </row>
    <row r="661" spans="1:285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FI661" s="2"/>
      <c r="GM661" s="2"/>
      <c r="HQ661" s="2"/>
      <c r="IU661" s="2"/>
      <c r="JY661" s="2"/>
    </row>
    <row r="662" spans="1:285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FI662" s="2"/>
      <c r="GM662" s="2"/>
      <c r="HQ662" s="2"/>
      <c r="IU662" s="2"/>
      <c r="JY662" s="2"/>
    </row>
    <row r="663" spans="1:285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FI663" s="2"/>
      <c r="GM663" s="2"/>
      <c r="HQ663" s="2"/>
      <c r="IU663" s="2"/>
      <c r="JY663" s="2"/>
    </row>
    <row r="664" spans="1:285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FI664" s="2"/>
      <c r="GM664" s="2"/>
      <c r="HQ664" s="2"/>
      <c r="IU664" s="2"/>
      <c r="JY664" s="2"/>
    </row>
    <row r="665" spans="1:285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FI665" s="2"/>
      <c r="GM665" s="2"/>
      <c r="HQ665" s="2"/>
      <c r="IU665" s="2"/>
      <c r="JY665" s="2"/>
    </row>
    <row r="666" spans="1:285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FI666" s="2"/>
      <c r="GM666" s="2"/>
      <c r="HQ666" s="2"/>
      <c r="IU666" s="2"/>
      <c r="JY666" s="2"/>
    </row>
    <row r="667" spans="1:285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FI667" s="2"/>
      <c r="GM667" s="2"/>
      <c r="HQ667" s="2"/>
      <c r="IU667" s="2"/>
      <c r="JY667" s="2"/>
    </row>
    <row r="668" spans="1:285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FI668" s="2"/>
      <c r="GM668" s="2"/>
      <c r="HQ668" s="2"/>
      <c r="IU668" s="2"/>
      <c r="JY668" s="2"/>
    </row>
    <row r="669" spans="1:285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FI669" s="2"/>
      <c r="GM669" s="2"/>
      <c r="HQ669" s="2"/>
      <c r="IU669" s="2"/>
      <c r="JY669" s="2"/>
    </row>
    <row r="670" spans="1:285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FI670" s="2"/>
      <c r="GM670" s="2"/>
      <c r="HQ670" s="2"/>
      <c r="IU670" s="2"/>
      <c r="JY670" s="2"/>
    </row>
    <row r="671" spans="1:285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FI671" s="2"/>
      <c r="GM671" s="2"/>
      <c r="HQ671" s="2"/>
      <c r="IU671" s="2"/>
      <c r="JY671" s="2"/>
    </row>
    <row r="672" spans="1:285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FI672" s="2"/>
      <c r="GM672" s="2"/>
      <c r="HQ672" s="2"/>
      <c r="IU672" s="2"/>
      <c r="JY672" s="2"/>
    </row>
    <row r="673" spans="1:285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FI673" s="2"/>
      <c r="GM673" s="2"/>
      <c r="HQ673" s="2"/>
      <c r="IU673" s="2"/>
      <c r="JY673" s="2"/>
    </row>
    <row r="674" spans="1:285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FI674" s="2"/>
      <c r="GM674" s="2"/>
      <c r="HQ674" s="2"/>
      <c r="IU674" s="2"/>
      <c r="JY674" s="2"/>
    </row>
    <row r="675" spans="1:285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FI675" s="2"/>
      <c r="GM675" s="2"/>
      <c r="HQ675" s="2"/>
      <c r="IU675" s="2"/>
      <c r="JY675" s="2"/>
    </row>
    <row r="676" spans="1:285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FI676" s="2"/>
      <c r="GM676" s="2"/>
      <c r="HQ676" s="2"/>
      <c r="IU676" s="2"/>
      <c r="JY676" s="2"/>
    </row>
    <row r="677" spans="1:285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FI677" s="2"/>
      <c r="GM677" s="2"/>
      <c r="HQ677" s="2"/>
      <c r="IU677" s="2"/>
      <c r="JY677" s="2"/>
    </row>
    <row r="678" spans="1:285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FI678" s="2"/>
      <c r="GM678" s="2"/>
      <c r="HQ678" s="2"/>
      <c r="IU678" s="2"/>
      <c r="JY678" s="2"/>
    </row>
    <row r="679" spans="1:285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FI679" s="2"/>
      <c r="GM679" s="2"/>
      <c r="HQ679" s="2"/>
      <c r="IU679" s="2"/>
      <c r="JY679" s="2"/>
    </row>
    <row r="680" spans="1:285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FI680" s="2"/>
      <c r="GM680" s="2"/>
      <c r="HQ680" s="2"/>
      <c r="IU680" s="2"/>
      <c r="JY680" s="2"/>
    </row>
    <row r="681" spans="1:285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FI681" s="2"/>
      <c r="GM681" s="2"/>
      <c r="HQ681" s="2"/>
      <c r="IU681" s="2"/>
      <c r="JY681" s="2"/>
    </row>
    <row r="682" spans="1:285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FI682" s="2"/>
      <c r="GM682" s="2"/>
      <c r="HQ682" s="2"/>
      <c r="IU682" s="2"/>
      <c r="JY682" s="2"/>
    </row>
    <row r="683" spans="1:285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FI683" s="2"/>
      <c r="GM683" s="2"/>
      <c r="HQ683" s="2"/>
      <c r="IU683" s="2"/>
      <c r="JY683" s="2"/>
    </row>
    <row r="684" spans="1:285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FI684" s="2"/>
      <c r="GM684" s="2"/>
      <c r="HQ684" s="2"/>
      <c r="IU684" s="2"/>
      <c r="JY684" s="2"/>
    </row>
    <row r="685" spans="1:285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FI685" s="2"/>
      <c r="GM685" s="2"/>
      <c r="HQ685" s="2"/>
      <c r="IU685" s="2"/>
      <c r="JY685" s="2"/>
    </row>
    <row r="686" spans="1:285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FI686" s="2"/>
      <c r="GM686" s="2"/>
      <c r="HQ686" s="2"/>
      <c r="IU686" s="2"/>
      <c r="JY686" s="2"/>
    </row>
    <row r="687" spans="1:285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FI687" s="2"/>
      <c r="GM687" s="2"/>
      <c r="HQ687" s="2"/>
      <c r="IU687" s="2"/>
      <c r="JY687" s="2"/>
    </row>
    <row r="688" spans="1:285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FI688" s="2"/>
      <c r="GM688" s="2"/>
      <c r="HQ688" s="2"/>
      <c r="IU688" s="2"/>
      <c r="JY688" s="2"/>
    </row>
    <row r="689" spans="1:285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FI689" s="2"/>
      <c r="GM689" s="2"/>
      <c r="HQ689" s="2"/>
      <c r="IU689" s="2"/>
      <c r="JY689" s="2"/>
    </row>
    <row r="690" spans="1:285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FI690" s="2"/>
      <c r="GM690" s="2"/>
      <c r="HQ690" s="2"/>
      <c r="IU690" s="2"/>
      <c r="JY690" s="2"/>
    </row>
    <row r="691" spans="1:285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FI691" s="2"/>
      <c r="GM691" s="2"/>
      <c r="HQ691" s="2"/>
      <c r="IU691" s="2"/>
      <c r="JY691" s="2"/>
    </row>
    <row r="692" spans="1:285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FI692" s="2"/>
      <c r="GM692" s="2"/>
      <c r="HQ692" s="2"/>
      <c r="IU692" s="2"/>
      <c r="JY692" s="2"/>
    </row>
    <row r="693" spans="1:285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FI693" s="2"/>
      <c r="GM693" s="2"/>
      <c r="HQ693" s="2"/>
      <c r="IU693" s="2"/>
      <c r="JY693" s="2"/>
    </row>
    <row r="694" spans="1:285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FI694" s="2"/>
      <c r="GM694" s="2"/>
      <c r="HQ694" s="2"/>
      <c r="IU694" s="2"/>
      <c r="JY694" s="2"/>
    </row>
    <row r="695" spans="1:285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FI695" s="2"/>
      <c r="GM695" s="2"/>
      <c r="HQ695" s="2"/>
      <c r="IU695" s="2"/>
      <c r="JY695" s="2"/>
    </row>
    <row r="696" spans="1:285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FI696" s="2"/>
      <c r="GM696" s="2"/>
      <c r="HQ696" s="2"/>
      <c r="IU696" s="2"/>
      <c r="JY696" s="2"/>
    </row>
    <row r="697" spans="1:285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FI697" s="2"/>
      <c r="GM697" s="2"/>
      <c r="HQ697" s="2"/>
      <c r="IU697" s="2"/>
      <c r="JY697" s="2"/>
    </row>
    <row r="698" spans="1:285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FI698" s="2"/>
      <c r="GM698" s="2"/>
      <c r="HQ698" s="2"/>
      <c r="IU698" s="2"/>
      <c r="JY698" s="2"/>
    </row>
    <row r="699" spans="1:285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FI699" s="2"/>
      <c r="GM699" s="2"/>
      <c r="HQ699" s="2"/>
      <c r="IU699" s="2"/>
      <c r="JY699" s="2"/>
    </row>
    <row r="700" spans="1:285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FI700" s="2"/>
      <c r="GM700" s="2"/>
      <c r="HQ700" s="2"/>
      <c r="IU700" s="2"/>
      <c r="JY700" s="2"/>
    </row>
    <row r="701" spans="1:285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FI701" s="2"/>
      <c r="GM701" s="2"/>
      <c r="HQ701" s="2"/>
      <c r="IU701" s="2"/>
      <c r="JY701" s="2"/>
    </row>
    <row r="702" spans="1:285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FI702" s="2"/>
      <c r="GM702" s="2"/>
      <c r="HQ702" s="2"/>
      <c r="IU702" s="2"/>
      <c r="JY702" s="2"/>
    </row>
    <row r="703" spans="1:285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FI703" s="2"/>
      <c r="GM703" s="2"/>
      <c r="HQ703" s="2"/>
      <c r="IU703" s="2"/>
      <c r="JY703" s="2"/>
    </row>
    <row r="704" spans="1:285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FI704" s="2"/>
      <c r="GM704" s="2"/>
      <c r="HQ704" s="2"/>
      <c r="IU704" s="2"/>
      <c r="JY704" s="2"/>
    </row>
    <row r="705" spans="1:285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FI705" s="2"/>
      <c r="GM705" s="2"/>
      <c r="HQ705" s="2"/>
      <c r="IU705" s="2"/>
      <c r="JY705" s="2"/>
    </row>
    <row r="706" spans="1:285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FI706" s="2"/>
      <c r="GM706" s="2"/>
      <c r="HQ706" s="2"/>
      <c r="IU706" s="2"/>
      <c r="JY706" s="2"/>
    </row>
    <row r="707" spans="1:285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FI707" s="2"/>
      <c r="GM707" s="2"/>
      <c r="HQ707" s="2"/>
      <c r="IU707" s="2"/>
      <c r="JY707" s="2"/>
    </row>
    <row r="708" spans="1:285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FI708" s="2"/>
      <c r="GM708" s="2"/>
      <c r="HQ708" s="2"/>
      <c r="IU708" s="2"/>
      <c r="JY708" s="2"/>
    </row>
    <row r="709" spans="1:285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FI709" s="2"/>
      <c r="GM709" s="2"/>
      <c r="HQ709" s="2"/>
      <c r="IU709" s="2"/>
      <c r="JY709" s="2"/>
    </row>
    <row r="710" spans="1:285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FI710" s="2"/>
      <c r="GM710" s="2"/>
      <c r="HQ710" s="2"/>
      <c r="IU710" s="2"/>
      <c r="JY710" s="2"/>
    </row>
    <row r="711" spans="1:285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FI711" s="2"/>
      <c r="GM711" s="2"/>
      <c r="HQ711" s="2"/>
      <c r="IU711" s="2"/>
      <c r="JY711" s="2"/>
    </row>
    <row r="712" spans="1:285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FI712" s="2"/>
      <c r="GM712" s="2"/>
      <c r="HQ712" s="2"/>
      <c r="IU712" s="2"/>
      <c r="JY712" s="2"/>
    </row>
    <row r="713" spans="1:285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FI713" s="2"/>
      <c r="GM713" s="2"/>
      <c r="HQ713" s="2"/>
      <c r="IU713" s="2"/>
      <c r="JY713" s="2"/>
    </row>
    <row r="714" spans="1:285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FI714" s="2"/>
      <c r="GM714" s="2"/>
      <c r="HQ714" s="2"/>
      <c r="IU714" s="2"/>
      <c r="JY714" s="2"/>
    </row>
    <row r="715" spans="1:285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FI715" s="2"/>
      <c r="GM715" s="2"/>
      <c r="HQ715" s="2"/>
      <c r="IU715" s="2"/>
      <c r="JY715" s="2"/>
    </row>
    <row r="716" spans="1:285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FI716" s="2"/>
      <c r="GM716" s="2"/>
      <c r="HQ716" s="2"/>
      <c r="IU716" s="2"/>
      <c r="JY716" s="2"/>
    </row>
    <row r="717" spans="1:285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FI717" s="2"/>
      <c r="GM717" s="2"/>
      <c r="HQ717" s="2"/>
      <c r="IU717" s="2"/>
      <c r="JY717" s="2"/>
    </row>
    <row r="718" spans="1:285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FI718" s="2"/>
      <c r="GM718" s="2"/>
      <c r="HQ718" s="2"/>
      <c r="IU718" s="2"/>
      <c r="JY718" s="2"/>
    </row>
    <row r="719" spans="1:285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FI719" s="2"/>
      <c r="GM719" s="2"/>
      <c r="HQ719" s="2"/>
      <c r="IU719" s="2"/>
      <c r="JY719" s="2"/>
    </row>
    <row r="720" spans="1:285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FI720" s="2"/>
      <c r="GM720" s="2"/>
      <c r="HQ720" s="2"/>
      <c r="IU720" s="2"/>
      <c r="JY720" s="2"/>
    </row>
    <row r="721" spans="1:285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FI721" s="2"/>
      <c r="GM721" s="2"/>
      <c r="HQ721" s="2"/>
      <c r="IU721" s="2"/>
      <c r="JY721" s="2"/>
    </row>
    <row r="722" spans="1:285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FI722" s="2"/>
      <c r="GM722" s="2"/>
      <c r="HQ722" s="2"/>
      <c r="IU722" s="2"/>
      <c r="JY722" s="2"/>
    </row>
    <row r="723" spans="1:285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FI723" s="2"/>
      <c r="GM723" s="2"/>
      <c r="HQ723" s="2"/>
      <c r="IU723" s="2"/>
      <c r="JY723" s="2"/>
    </row>
    <row r="724" spans="1:285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FI724" s="2"/>
      <c r="GM724" s="2"/>
      <c r="HQ724" s="2"/>
      <c r="IU724" s="2"/>
      <c r="JY724" s="2"/>
    </row>
    <row r="725" spans="1:285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FI725" s="2"/>
      <c r="GM725" s="2"/>
      <c r="HQ725" s="2"/>
      <c r="IU725" s="2"/>
      <c r="JY725" s="2"/>
    </row>
    <row r="726" spans="1:285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FI726" s="2"/>
      <c r="GM726" s="2"/>
      <c r="HQ726" s="2"/>
      <c r="IU726" s="2"/>
      <c r="JY726" s="2"/>
    </row>
    <row r="727" spans="1:285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FI727" s="2"/>
      <c r="GM727" s="2"/>
      <c r="HQ727" s="2"/>
      <c r="IU727" s="2"/>
      <c r="JY727" s="2"/>
    </row>
    <row r="728" spans="1:285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FI728" s="2"/>
      <c r="GM728" s="2"/>
      <c r="HQ728" s="2"/>
      <c r="IU728" s="2"/>
      <c r="JY728" s="2"/>
    </row>
    <row r="729" spans="1:285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FI729" s="2"/>
      <c r="GM729" s="2"/>
      <c r="HQ729" s="2"/>
      <c r="IU729" s="2"/>
      <c r="JY729" s="2"/>
    </row>
    <row r="730" spans="1:285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FI730" s="2"/>
      <c r="GM730" s="2"/>
      <c r="HQ730" s="2"/>
      <c r="IU730" s="2"/>
      <c r="JY730" s="2"/>
    </row>
    <row r="731" spans="1:285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FI731" s="2"/>
      <c r="GM731" s="2"/>
      <c r="HQ731" s="2"/>
      <c r="IU731" s="2"/>
      <c r="JY731" s="2"/>
    </row>
    <row r="732" spans="1:285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FI732" s="2"/>
      <c r="GM732" s="2"/>
      <c r="HQ732" s="2"/>
      <c r="IU732" s="2"/>
      <c r="JY732" s="2"/>
    </row>
    <row r="733" spans="1:285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FI733" s="2"/>
      <c r="GM733" s="2"/>
      <c r="HQ733" s="2"/>
      <c r="IU733" s="2"/>
      <c r="JY733" s="2"/>
    </row>
    <row r="734" spans="1:285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FI734" s="2"/>
      <c r="GM734" s="2"/>
      <c r="HQ734" s="2"/>
      <c r="IU734" s="2"/>
      <c r="JY734" s="2"/>
    </row>
    <row r="735" spans="1:285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FI735" s="2"/>
      <c r="GM735" s="2"/>
      <c r="HQ735" s="2"/>
      <c r="IU735" s="2"/>
      <c r="JY735" s="2"/>
    </row>
    <row r="736" spans="1:285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FI736" s="2"/>
      <c r="GM736" s="2"/>
      <c r="HQ736" s="2"/>
      <c r="IU736" s="2"/>
      <c r="JY736" s="2"/>
    </row>
    <row r="737" spans="1:285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FI737" s="2"/>
      <c r="GM737" s="2"/>
      <c r="HQ737" s="2"/>
      <c r="IU737" s="2"/>
      <c r="JY737" s="2"/>
    </row>
    <row r="738" spans="1:285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FI738" s="2"/>
      <c r="GM738" s="2"/>
      <c r="HQ738" s="2"/>
      <c r="IU738" s="2"/>
      <c r="JY738" s="2"/>
    </row>
    <row r="739" spans="1:285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FI739" s="2"/>
      <c r="GM739" s="2"/>
      <c r="HQ739" s="2"/>
      <c r="IU739" s="2"/>
      <c r="JY739" s="2"/>
    </row>
    <row r="740" spans="1:285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FI740" s="2"/>
      <c r="GM740" s="2"/>
      <c r="HQ740" s="2"/>
      <c r="IU740" s="2"/>
      <c r="JY740" s="2"/>
    </row>
    <row r="741" spans="1:285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FI741" s="2"/>
      <c r="GM741" s="2"/>
      <c r="HQ741" s="2"/>
      <c r="IU741" s="2"/>
      <c r="JY741" s="2"/>
    </row>
    <row r="742" spans="1:285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FI742" s="2"/>
      <c r="GM742" s="2"/>
      <c r="HQ742" s="2"/>
      <c r="IU742" s="2"/>
      <c r="JY742" s="2"/>
    </row>
    <row r="743" spans="1:285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FI743" s="2"/>
      <c r="GM743" s="2"/>
      <c r="HQ743" s="2"/>
      <c r="IU743" s="2"/>
      <c r="JY743" s="2"/>
    </row>
    <row r="744" spans="1:285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FI744" s="2"/>
      <c r="GM744" s="2"/>
      <c r="HQ744" s="2"/>
      <c r="IU744" s="2"/>
      <c r="JY744" s="2"/>
    </row>
    <row r="745" spans="1:285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FI745" s="2"/>
      <c r="GM745" s="2"/>
      <c r="HQ745" s="2"/>
      <c r="IU745" s="2"/>
      <c r="JY745" s="2"/>
    </row>
    <row r="746" spans="1:285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FI746" s="2"/>
      <c r="GM746" s="2"/>
      <c r="HQ746" s="2"/>
      <c r="IU746" s="2"/>
      <c r="JY746" s="2"/>
    </row>
    <row r="747" spans="1:285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FI747" s="2"/>
      <c r="GM747" s="2"/>
      <c r="HQ747" s="2"/>
      <c r="IU747" s="2"/>
      <c r="JY747" s="2"/>
    </row>
    <row r="748" spans="1:285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FI748" s="2"/>
      <c r="GM748" s="2"/>
      <c r="HQ748" s="2"/>
      <c r="IU748" s="2"/>
      <c r="JY748" s="2"/>
    </row>
    <row r="749" spans="1:285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FI749" s="2"/>
      <c r="GM749" s="2"/>
      <c r="HQ749" s="2"/>
      <c r="IU749" s="2"/>
      <c r="JY749" s="2"/>
    </row>
    <row r="750" spans="1:285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FI750" s="2"/>
      <c r="GM750" s="2"/>
      <c r="HQ750" s="2"/>
      <c r="IU750" s="2"/>
      <c r="JY750" s="2"/>
    </row>
    <row r="751" spans="1:285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FI751" s="2"/>
      <c r="GM751" s="2"/>
      <c r="HQ751" s="2"/>
      <c r="IU751" s="2"/>
      <c r="JY751" s="2"/>
    </row>
    <row r="752" spans="1:285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FI752" s="2"/>
      <c r="GM752" s="2"/>
      <c r="HQ752" s="2"/>
      <c r="IU752" s="2"/>
      <c r="JY752" s="2"/>
    </row>
    <row r="753" spans="1:285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FI753" s="2"/>
      <c r="GM753" s="2"/>
      <c r="HQ753" s="2"/>
      <c r="IU753" s="2"/>
      <c r="JY753" s="2"/>
    </row>
    <row r="754" spans="1:285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FI754" s="2"/>
      <c r="GM754" s="2"/>
      <c r="HQ754" s="2"/>
      <c r="IU754" s="2"/>
      <c r="JY754" s="2"/>
    </row>
    <row r="755" spans="1:285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FI755" s="2"/>
      <c r="GM755" s="2"/>
      <c r="HQ755" s="2"/>
      <c r="IU755" s="2"/>
      <c r="JY755" s="2"/>
    </row>
    <row r="756" spans="1:285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FI756" s="2"/>
      <c r="GM756" s="2"/>
      <c r="HQ756" s="2"/>
      <c r="IU756" s="2"/>
      <c r="JY756" s="2"/>
    </row>
    <row r="757" spans="1:285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FI757" s="2"/>
      <c r="GM757" s="2"/>
      <c r="HQ757" s="2"/>
      <c r="IU757" s="2"/>
      <c r="JY757" s="2"/>
    </row>
    <row r="758" spans="1:285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FI758" s="2"/>
      <c r="GM758" s="2"/>
      <c r="HQ758" s="2"/>
      <c r="IU758" s="2"/>
      <c r="JY758" s="2"/>
    </row>
    <row r="759" spans="1:285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FI759" s="2"/>
      <c r="GM759" s="2"/>
      <c r="HQ759" s="2"/>
      <c r="IU759" s="2"/>
      <c r="JY759" s="2"/>
    </row>
    <row r="760" spans="1:285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FI760" s="2"/>
      <c r="GM760" s="2"/>
      <c r="HQ760" s="2"/>
      <c r="IU760" s="2"/>
      <c r="JY760" s="2"/>
    </row>
    <row r="761" spans="1:285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FI761" s="2"/>
      <c r="GM761" s="2"/>
      <c r="HQ761" s="2"/>
      <c r="IU761" s="2"/>
      <c r="JY761" s="2"/>
    </row>
    <row r="762" spans="1:285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FI762" s="2"/>
      <c r="GM762" s="2"/>
      <c r="HQ762" s="2"/>
      <c r="IU762" s="2"/>
      <c r="JY762" s="2"/>
    </row>
    <row r="763" spans="1:285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FI763" s="2"/>
      <c r="GM763" s="2"/>
      <c r="HQ763" s="2"/>
      <c r="IU763" s="2"/>
      <c r="JY763" s="2"/>
    </row>
    <row r="764" spans="1:285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FI764" s="2"/>
      <c r="GM764" s="2"/>
      <c r="HQ764" s="2"/>
      <c r="IU764" s="2"/>
      <c r="JY764" s="2"/>
    </row>
    <row r="765" spans="1:285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FI765" s="2"/>
      <c r="GM765" s="2"/>
      <c r="HQ765" s="2"/>
      <c r="IU765" s="2"/>
      <c r="JY765" s="2"/>
    </row>
    <row r="766" spans="1:285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FI766" s="2"/>
      <c r="GM766" s="2"/>
      <c r="HQ766" s="2"/>
      <c r="IU766" s="2"/>
      <c r="JY766" s="2"/>
    </row>
    <row r="767" spans="1:285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FI767" s="2"/>
      <c r="GM767" s="2"/>
      <c r="HQ767" s="2"/>
      <c r="IU767" s="2"/>
      <c r="JY767" s="2"/>
    </row>
    <row r="768" spans="1:285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FI768" s="2"/>
      <c r="GM768" s="2"/>
      <c r="HQ768" s="2"/>
      <c r="IU768" s="2"/>
      <c r="JY768" s="2"/>
    </row>
    <row r="769" spans="1:285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FI769" s="2"/>
      <c r="GM769" s="2"/>
      <c r="HQ769" s="2"/>
      <c r="IU769" s="2"/>
      <c r="JY769" s="2"/>
    </row>
    <row r="770" spans="1:285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FI770" s="2"/>
      <c r="GM770" s="2"/>
      <c r="HQ770" s="2"/>
      <c r="IU770" s="2"/>
      <c r="JY770" s="2"/>
    </row>
    <row r="771" spans="1:285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FI771" s="2"/>
      <c r="GM771" s="2"/>
      <c r="HQ771" s="2"/>
      <c r="IU771" s="2"/>
      <c r="JY771" s="2"/>
    </row>
    <row r="772" spans="1:285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FI772" s="2"/>
      <c r="GM772" s="2"/>
      <c r="HQ772" s="2"/>
      <c r="IU772" s="2"/>
      <c r="JY772" s="2"/>
    </row>
    <row r="773" spans="1:285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FI773" s="2"/>
      <c r="GM773" s="2"/>
      <c r="HQ773" s="2"/>
      <c r="IU773" s="2"/>
      <c r="JY773" s="2"/>
    </row>
    <row r="774" spans="1:285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FI774" s="2"/>
      <c r="GM774" s="2"/>
      <c r="HQ774" s="2"/>
      <c r="IU774" s="2"/>
      <c r="JY774" s="2"/>
    </row>
    <row r="775" spans="1:285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FI775" s="2"/>
      <c r="GM775" s="2"/>
      <c r="HQ775" s="2"/>
      <c r="IU775" s="2"/>
      <c r="JY775" s="2"/>
    </row>
    <row r="776" spans="1:285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FI776" s="2"/>
      <c r="GM776" s="2"/>
      <c r="HQ776" s="2"/>
      <c r="IU776" s="2"/>
      <c r="JY776" s="2"/>
    </row>
    <row r="777" spans="1:285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FI777" s="2"/>
      <c r="GM777" s="2"/>
      <c r="HQ777" s="2"/>
      <c r="IU777" s="2"/>
      <c r="JY777" s="2"/>
    </row>
    <row r="778" spans="1:285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FI778" s="2"/>
      <c r="GM778" s="2"/>
      <c r="HQ778" s="2"/>
      <c r="IU778" s="2"/>
      <c r="JY778" s="2"/>
    </row>
    <row r="779" spans="1:285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FI779" s="2"/>
      <c r="GM779" s="2"/>
      <c r="HQ779" s="2"/>
      <c r="IU779" s="2"/>
      <c r="JY779" s="2"/>
    </row>
    <row r="780" spans="1:285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FI780" s="2"/>
      <c r="GM780" s="2"/>
      <c r="HQ780" s="2"/>
      <c r="IU780" s="2"/>
      <c r="JY780" s="2"/>
    </row>
    <row r="781" spans="1:285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FI781" s="2"/>
      <c r="GM781" s="2"/>
      <c r="HQ781" s="2"/>
      <c r="IU781" s="2"/>
      <c r="JY781" s="2"/>
    </row>
    <row r="782" spans="1:285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FI782" s="2"/>
      <c r="GM782" s="2"/>
      <c r="HQ782" s="2"/>
      <c r="IU782" s="2"/>
      <c r="JY782" s="2"/>
    </row>
    <row r="783" spans="1:285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FI783" s="2"/>
      <c r="GM783" s="2"/>
      <c r="HQ783" s="2"/>
      <c r="IU783" s="2"/>
      <c r="JY783" s="2"/>
    </row>
    <row r="784" spans="1:285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FI784" s="2"/>
      <c r="GM784" s="2"/>
      <c r="HQ784" s="2"/>
      <c r="IU784" s="2"/>
      <c r="JY784" s="2"/>
    </row>
    <row r="785" spans="1:285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FI785" s="2"/>
      <c r="GM785" s="2"/>
      <c r="HQ785" s="2"/>
      <c r="IU785" s="2"/>
      <c r="JY785" s="2"/>
    </row>
    <row r="786" spans="1:285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FI786" s="2"/>
      <c r="GM786" s="2"/>
      <c r="HQ786" s="2"/>
      <c r="IU786" s="2"/>
      <c r="JY786" s="2"/>
    </row>
    <row r="787" spans="1:285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FI787" s="2"/>
      <c r="GM787" s="2"/>
      <c r="HQ787" s="2"/>
      <c r="IU787" s="2"/>
      <c r="JY787" s="2"/>
    </row>
    <row r="788" spans="1:285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FI788" s="2"/>
      <c r="GM788" s="2"/>
      <c r="HQ788" s="2"/>
      <c r="IU788" s="2"/>
      <c r="JY788" s="2"/>
    </row>
    <row r="789" spans="1:285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FI789" s="2"/>
      <c r="GM789" s="2"/>
      <c r="HQ789" s="2"/>
      <c r="IU789" s="2"/>
      <c r="JY789" s="2"/>
    </row>
    <row r="790" spans="1:285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FI790" s="2"/>
      <c r="GM790" s="2"/>
      <c r="HQ790" s="2"/>
      <c r="IU790" s="2"/>
      <c r="JY790" s="2"/>
    </row>
    <row r="791" spans="1:285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FI791" s="2"/>
      <c r="GM791" s="2"/>
      <c r="HQ791" s="2"/>
      <c r="IU791" s="2"/>
      <c r="JY791" s="2"/>
    </row>
    <row r="792" spans="1:285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FI792" s="2"/>
      <c r="GM792" s="2"/>
      <c r="HQ792" s="2"/>
      <c r="IU792" s="2"/>
      <c r="JY792" s="2"/>
    </row>
    <row r="793" spans="1:285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FI793" s="2"/>
      <c r="GM793" s="2"/>
      <c r="HQ793" s="2"/>
      <c r="IU793" s="2"/>
      <c r="JY793" s="2"/>
    </row>
    <row r="794" spans="1:285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FI794" s="2"/>
      <c r="GM794" s="2"/>
      <c r="HQ794" s="2"/>
      <c r="IU794" s="2"/>
      <c r="JY794" s="2"/>
    </row>
    <row r="795" spans="1:285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FI795" s="2"/>
      <c r="GM795" s="2"/>
      <c r="HQ795" s="2"/>
      <c r="IU795" s="2"/>
      <c r="JY795" s="2"/>
    </row>
    <row r="796" spans="1:285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FI796" s="2"/>
      <c r="GM796" s="2"/>
      <c r="HQ796" s="2"/>
      <c r="IU796" s="2"/>
      <c r="JY796" s="2"/>
    </row>
    <row r="797" spans="1:285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FI797" s="2"/>
      <c r="GM797" s="2"/>
      <c r="HQ797" s="2"/>
      <c r="IU797" s="2"/>
      <c r="JY797" s="2"/>
    </row>
    <row r="798" spans="1:285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FI798" s="2"/>
      <c r="GM798" s="2"/>
      <c r="HQ798" s="2"/>
      <c r="IU798" s="2"/>
      <c r="JY798" s="2"/>
    </row>
    <row r="799" spans="1:285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FI799" s="2"/>
      <c r="GM799" s="2"/>
      <c r="HQ799" s="2"/>
      <c r="IU799" s="2"/>
      <c r="JY799" s="2"/>
    </row>
    <row r="800" spans="1:285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FI800" s="2"/>
      <c r="GM800" s="2"/>
      <c r="HQ800" s="2"/>
      <c r="IU800" s="2"/>
      <c r="JY800" s="2"/>
    </row>
    <row r="801" spans="1:285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FI801" s="2"/>
      <c r="GM801" s="2"/>
      <c r="HQ801" s="2"/>
      <c r="IU801" s="2"/>
      <c r="JY801" s="2"/>
    </row>
    <row r="802" spans="1:285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FI802" s="2"/>
      <c r="GM802" s="2"/>
      <c r="HQ802" s="2"/>
      <c r="IU802" s="2"/>
      <c r="JY802" s="2"/>
    </row>
    <row r="803" spans="1:285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FI803" s="2"/>
      <c r="GM803" s="2"/>
      <c r="HQ803" s="2"/>
      <c r="IU803" s="2"/>
      <c r="JY803" s="2"/>
    </row>
    <row r="804" spans="1:285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FI804" s="2"/>
      <c r="GM804" s="2"/>
      <c r="HQ804" s="2"/>
      <c r="IU804" s="2"/>
      <c r="JY804" s="2"/>
    </row>
    <row r="805" spans="1:285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FI805" s="2"/>
      <c r="GM805" s="2"/>
      <c r="HQ805" s="2"/>
      <c r="IU805" s="2"/>
      <c r="JY805" s="2"/>
    </row>
    <row r="806" spans="1:285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FI806" s="2"/>
      <c r="GM806" s="2"/>
      <c r="HQ806" s="2"/>
      <c r="IU806" s="2"/>
      <c r="JY806" s="2"/>
    </row>
    <row r="807" spans="1:285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FI807" s="2"/>
      <c r="GM807" s="2"/>
      <c r="HQ807" s="2"/>
      <c r="IU807" s="2"/>
      <c r="JY807" s="2"/>
    </row>
    <row r="808" spans="1:285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FI808" s="2"/>
      <c r="GM808" s="2"/>
      <c r="HQ808" s="2"/>
      <c r="IU808" s="2"/>
      <c r="JY808" s="2"/>
    </row>
    <row r="809" spans="1:285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FI809" s="2"/>
      <c r="GM809" s="2"/>
      <c r="HQ809" s="2"/>
      <c r="IU809" s="2"/>
      <c r="JY809" s="2"/>
    </row>
    <row r="810" spans="1:285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FI810" s="2"/>
      <c r="GM810" s="2"/>
      <c r="HQ810" s="2"/>
      <c r="IU810" s="2"/>
      <c r="JY810" s="2"/>
    </row>
    <row r="811" spans="1:285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FI811" s="2"/>
      <c r="GM811" s="2"/>
      <c r="HQ811" s="2"/>
      <c r="IU811" s="2"/>
      <c r="JY811" s="2"/>
    </row>
    <row r="812" spans="1:285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FI812" s="2"/>
      <c r="GM812" s="2"/>
      <c r="HQ812" s="2"/>
      <c r="IU812" s="2"/>
      <c r="JY812" s="2"/>
    </row>
    <row r="813" spans="1:285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FI813" s="2"/>
      <c r="GM813" s="2"/>
      <c r="HQ813" s="2"/>
      <c r="IU813" s="2"/>
      <c r="JY813" s="2"/>
    </row>
    <row r="814" spans="1:285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FI814" s="2"/>
      <c r="GM814" s="2"/>
      <c r="HQ814" s="2"/>
      <c r="IU814" s="2"/>
      <c r="JY814" s="2"/>
    </row>
    <row r="815" spans="1:285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FI815" s="2"/>
      <c r="GM815" s="2"/>
      <c r="HQ815" s="2"/>
      <c r="IU815" s="2"/>
      <c r="JY815" s="2"/>
    </row>
    <row r="816" spans="1:285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FI816" s="2"/>
      <c r="GM816" s="2"/>
      <c r="HQ816" s="2"/>
      <c r="IU816" s="2"/>
      <c r="JY816" s="2"/>
    </row>
    <row r="817" spans="1:285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FI817" s="2"/>
      <c r="GM817" s="2"/>
      <c r="HQ817" s="2"/>
      <c r="IU817" s="2"/>
      <c r="JY817" s="2"/>
    </row>
    <row r="818" spans="1:285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FI818" s="2"/>
      <c r="GM818" s="2"/>
      <c r="HQ818" s="2"/>
      <c r="IU818" s="2"/>
      <c r="JY818" s="2"/>
    </row>
    <row r="819" spans="1:285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FI819" s="2"/>
      <c r="GM819" s="2"/>
      <c r="HQ819" s="2"/>
      <c r="IU819" s="2"/>
      <c r="JY819" s="2"/>
    </row>
    <row r="820" spans="1:285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FI820" s="2"/>
      <c r="GM820" s="2"/>
      <c r="HQ820" s="2"/>
      <c r="IU820" s="2"/>
      <c r="JY820" s="2"/>
    </row>
    <row r="821" spans="1:285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FI821" s="2"/>
      <c r="GM821" s="2"/>
      <c r="HQ821" s="2"/>
      <c r="IU821" s="2"/>
      <c r="JY821" s="2"/>
    </row>
    <row r="822" spans="1:285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FI822" s="2"/>
      <c r="GM822" s="2"/>
      <c r="HQ822" s="2"/>
      <c r="IU822" s="2"/>
      <c r="JY822" s="2"/>
    </row>
    <row r="823" spans="1:285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FI823" s="2"/>
      <c r="GM823" s="2"/>
      <c r="HQ823" s="2"/>
      <c r="IU823" s="2"/>
      <c r="JY823" s="2"/>
    </row>
    <row r="824" spans="1:285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FI824" s="2"/>
      <c r="GM824" s="2"/>
      <c r="HQ824" s="2"/>
      <c r="IU824" s="2"/>
      <c r="JY824" s="2"/>
    </row>
    <row r="825" spans="1:285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FI825" s="2"/>
      <c r="GM825" s="2"/>
      <c r="HQ825" s="2"/>
      <c r="IU825" s="2"/>
      <c r="JY825" s="2"/>
    </row>
    <row r="826" spans="1:285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FI826" s="2"/>
      <c r="GM826" s="2"/>
      <c r="HQ826" s="2"/>
      <c r="IU826" s="2"/>
      <c r="JY826" s="2"/>
    </row>
    <row r="827" spans="1:285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FI827" s="2"/>
      <c r="GM827" s="2"/>
      <c r="HQ827" s="2"/>
      <c r="IU827" s="2"/>
      <c r="JY827" s="2"/>
    </row>
    <row r="828" spans="1:285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FI828" s="2"/>
      <c r="GM828" s="2"/>
      <c r="HQ828" s="2"/>
      <c r="IU828" s="2"/>
      <c r="JY828" s="2"/>
    </row>
    <row r="829" spans="1:285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FI829" s="2"/>
      <c r="GM829" s="2"/>
      <c r="HQ829" s="2"/>
      <c r="IU829" s="2"/>
      <c r="JY829" s="2"/>
    </row>
    <row r="830" spans="1:285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FI830" s="2"/>
      <c r="GM830" s="2"/>
      <c r="HQ830" s="2"/>
      <c r="IU830" s="2"/>
      <c r="JY830" s="2"/>
    </row>
    <row r="831" spans="1:285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FI831" s="2"/>
      <c r="GM831" s="2"/>
      <c r="HQ831" s="2"/>
      <c r="IU831" s="2"/>
      <c r="JY831" s="2"/>
    </row>
    <row r="832" spans="1:285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FI832" s="2"/>
      <c r="GM832" s="2"/>
      <c r="HQ832" s="2"/>
      <c r="IU832" s="2"/>
      <c r="JY832" s="2"/>
    </row>
    <row r="833" spans="1:285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FI833" s="2"/>
      <c r="GM833" s="2"/>
      <c r="HQ833" s="2"/>
      <c r="IU833" s="2"/>
      <c r="JY833" s="2"/>
    </row>
    <row r="834" spans="1:285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FI834" s="2"/>
      <c r="GM834" s="2"/>
      <c r="HQ834" s="2"/>
      <c r="IU834" s="2"/>
      <c r="JY834" s="2"/>
    </row>
    <row r="835" spans="1:285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FI835" s="2"/>
      <c r="GM835" s="2"/>
      <c r="HQ835" s="2"/>
      <c r="IU835" s="2"/>
      <c r="JY835" s="2"/>
    </row>
    <row r="836" spans="1:285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FI836" s="2"/>
      <c r="GM836" s="2"/>
      <c r="HQ836" s="2"/>
      <c r="IU836" s="2"/>
      <c r="JY836" s="2"/>
    </row>
    <row r="837" spans="1:285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FI837" s="2"/>
      <c r="GM837" s="2"/>
      <c r="HQ837" s="2"/>
      <c r="IU837" s="2"/>
      <c r="JY837" s="2"/>
    </row>
    <row r="838" spans="1:285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FI838" s="2"/>
      <c r="GM838" s="2"/>
      <c r="HQ838" s="2"/>
      <c r="IU838" s="2"/>
      <c r="JY838" s="2"/>
    </row>
    <row r="839" spans="1:285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FI839" s="2"/>
      <c r="GM839" s="2"/>
      <c r="HQ839" s="2"/>
      <c r="IU839" s="2"/>
      <c r="JY839" s="2"/>
    </row>
    <row r="840" spans="1:285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FI840" s="2"/>
      <c r="GM840" s="2"/>
      <c r="HQ840" s="2"/>
      <c r="IU840" s="2"/>
      <c r="JY840" s="2"/>
    </row>
    <row r="841" spans="1:285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FI841" s="2"/>
      <c r="GM841" s="2"/>
      <c r="HQ841" s="2"/>
      <c r="IU841" s="2"/>
      <c r="JY841" s="2"/>
    </row>
    <row r="842" spans="1:285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FI842" s="2"/>
      <c r="GM842" s="2"/>
      <c r="HQ842" s="2"/>
      <c r="IU842" s="2"/>
      <c r="JY842" s="2"/>
    </row>
    <row r="843" spans="1:285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FI843" s="2"/>
      <c r="GM843" s="2"/>
      <c r="HQ843" s="2"/>
      <c r="IU843" s="2"/>
      <c r="JY843" s="2"/>
    </row>
    <row r="844" spans="1:285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FI844" s="2"/>
      <c r="GM844" s="2"/>
      <c r="HQ844" s="2"/>
      <c r="IU844" s="2"/>
      <c r="JY844" s="2"/>
    </row>
    <row r="845" spans="1:285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FI845" s="2"/>
      <c r="GM845" s="2"/>
      <c r="HQ845" s="2"/>
      <c r="IU845" s="2"/>
      <c r="JY845" s="2"/>
    </row>
    <row r="846" spans="1:285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FI846" s="2"/>
      <c r="GM846" s="2"/>
      <c r="HQ846" s="2"/>
      <c r="IU846" s="2"/>
      <c r="JY846" s="2"/>
    </row>
    <row r="847" spans="1:285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FI847" s="2"/>
      <c r="GM847" s="2"/>
      <c r="HQ847" s="2"/>
      <c r="IU847" s="2"/>
      <c r="JY847" s="2"/>
    </row>
    <row r="848" spans="1:285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FI848" s="2"/>
      <c r="GM848" s="2"/>
      <c r="HQ848" s="2"/>
      <c r="IU848" s="2"/>
      <c r="JY848" s="2"/>
    </row>
    <row r="849" spans="1:285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FI849" s="2"/>
      <c r="GM849" s="2"/>
      <c r="HQ849" s="2"/>
      <c r="IU849" s="2"/>
      <c r="JY849" s="2"/>
    </row>
    <row r="850" spans="1:285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FI850" s="2"/>
      <c r="GM850" s="2"/>
      <c r="HQ850" s="2"/>
      <c r="IU850" s="2"/>
      <c r="JY850" s="2"/>
    </row>
    <row r="851" spans="1:285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FI851" s="2"/>
      <c r="GM851" s="2"/>
      <c r="HQ851" s="2"/>
      <c r="IU851" s="2"/>
      <c r="JY851" s="2"/>
    </row>
    <row r="852" spans="1:285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FI852" s="2"/>
      <c r="GM852" s="2"/>
      <c r="HQ852" s="2"/>
      <c r="IU852" s="2"/>
      <c r="JY852" s="2"/>
    </row>
    <row r="853" spans="1:285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FI853" s="2"/>
      <c r="GM853" s="2"/>
      <c r="HQ853" s="2"/>
      <c r="IU853" s="2"/>
      <c r="JY853" s="2"/>
    </row>
    <row r="854" spans="1:285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FI854" s="2"/>
      <c r="GM854" s="2"/>
      <c r="HQ854" s="2"/>
      <c r="IU854" s="2"/>
      <c r="JY854" s="2"/>
    </row>
    <row r="855" spans="1:285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FI855" s="2"/>
      <c r="GM855" s="2"/>
      <c r="HQ855" s="2"/>
      <c r="IU855" s="2"/>
      <c r="JY855" s="2"/>
    </row>
    <row r="856" spans="1:285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FI856" s="2"/>
      <c r="GM856" s="2"/>
      <c r="HQ856" s="2"/>
      <c r="IU856" s="2"/>
      <c r="JY856" s="2"/>
    </row>
    <row r="857" spans="1:285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FI857" s="2"/>
      <c r="GM857" s="2"/>
      <c r="HQ857" s="2"/>
      <c r="IU857" s="2"/>
      <c r="JY857" s="2"/>
    </row>
    <row r="858" spans="1:285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FI858" s="2"/>
      <c r="GM858" s="2"/>
      <c r="HQ858" s="2"/>
      <c r="IU858" s="2"/>
      <c r="JY858" s="2"/>
    </row>
    <row r="859" spans="1:285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FI859" s="2"/>
      <c r="GM859" s="2"/>
      <c r="HQ859" s="2"/>
      <c r="IU859" s="2"/>
      <c r="JY859" s="2"/>
    </row>
    <row r="860" spans="1:285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FI860" s="2"/>
      <c r="GM860" s="2"/>
      <c r="HQ860" s="2"/>
      <c r="IU860" s="2"/>
      <c r="JY860" s="2"/>
    </row>
    <row r="861" spans="1:285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FI861" s="2"/>
      <c r="GM861" s="2"/>
      <c r="HQ861" s="2"/>
      <c r="IU861" s="2"/>
      <c r="JY861" s="2"/>
    </row>
    <row r="862" spans="1:285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FI862" s="2"/>
      <c r="GM862" s="2"/>
      <c r="HQ862" s="2"/>
      <c r="IU862" s="2"/>
      <c r="JY862" s="2"/>
    </row>
    <row r="863" spans="1:285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FI863" s="2"/>
      <c r="GM863" s="2"/>
      <c r="HQ863" s="2"/>
      <c r="IU863" s="2"/>
      <c r="JY863" s="2"/>
    </row>
    <row r="864" spans="1:285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FI864" s="2"/>
      <c r="GM864" s="2"/>
      <c r="HQ864" s="2"/>
      <c r="IU864" s="2"/>
      <c r="JY864" s="2"/>
    </row>
    <row r="865" spans="1:285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FI865" s="2"/>
      <c r="GM865" s="2"/>
      <c r="HQ865" s="2"/>
      <c r="IU865" s="2"/>
      <c r="JY865" s="2"/>
    </row>
    <row r="866" spans="1:285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FI866" s="2"/>
      <c r="GM866" s="2"/>
      <c r="HQ866" s="2"/>
      <c r="IU866" s="2"/>
      <c r="JY866" s="2"/>
    </row>
    <row r="867" spans="1:285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FI867" s="2"/>
      <c r="GM867" s="2"/>
      <c r="HQ867" s="2"/>
      <c r="IU867" s="2"/>
      <c r="JY867" s="2"/>
    </row>
    <row r="868" spans="1:285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FI868" s="2"/>
      <c r="GM868" s="2"/>
      <c r="HQ868" s="2"/>
      <c r="IU868" s="2"/>
      <c r="JY868" s="2"/>
    </row>
    <row r="869" spans="1:285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FI869" s="2"/>
      <c r="GM869" s="2"/>
      <c r="HQ869" s="2"/>
      <c r="IU869" s="2"/>
      <c r="JY869" s="2"/>
    </row>
    <row r="870" spans="1:285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FI870" s="2"/>
      <c r="GM870" s="2"/>
      <c r="HQ870" s="2"/>
      <c r="IU870" s="2"/>
      <c r="JY870" s="2"/>
    </row>
    <row r="871" spans="1:285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FI871" s="2"/>
      <c r="GM871" s="2"/>
      <c r="HQ871" s="2"/>
      <c r="IU871" s="2"/>
      <c r="JY871" s="2"/>
    </row>
    <row r="872" spans="1:285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FI872" s="2"/>
      <c r="GM872" s="2"/>
      <c r="HQ872" s="2"/>
      <c r="IU872" s="2"/>
      <c r="JY872" s="2"/>
    </row>
    <row r="873" spans="1:285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FI873" s="2"/>
      <c r="GM873" s="2"/>
      <c r="HQ873" s="2"/>
      <c r="IU873" s="2"/>
      <c r="JY873" s="2"/>
    </row>
    <row r="874" spans="1:285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FI874" s="2"/>
      <c r="GM874" s="2"/>
      <c r="HQ874" s="2"/>
      <c r="IU874" s="2"/>
      <c r="JY874" s="2"/>
    </row>
    <row r="875" spans="1:285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FI875" s="2"/>
      <c r="GM875" s="2"/>
      <c r="HQ875" s="2"/>
      <c r="IU875" s="2"/>
      <c r="JY875" s="2"/>
    </row>
    <row r="876" spans="1:285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FI876" s="2"/>
      <c r="GM876" s="2"/>
      <c r="HQ876" s="2"/>
      <c r="IU876" s="2"/>
      <c r="JY876" s="2"/>
    </row>
    <row r="877" spans="1:285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FI877" s="2"/>
      <c r="GM877" s="2"/>
      <c r="HQ877" s="2"/>
      <c r="IU877" s="2"/>
      <c r="JY877" s="2"/>
    </row>
    <row r="878" spans="1:285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FI878" s="2"/>
      <c r="GM878" s="2"/>
      <c r="HQ878" s="2"/>
      <c r="IU878" s="2"/>
      <c r="JY878" s="2"/>
    </row>
    <row r="879" spans="1:285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FI879" s="2"/>
      <c r="GM879" s="2"/>
      <c r="HQ879" s="2"/>
      <c r="IU879" s="2"/>
      <c r="JY879" s="2"/>
    </row>
    <row r="880" spans="1:285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FI880" s="2"/>
      <c r="GM880" s="2"/>
      <c r="HQ880" s="2"/>
      <c r="IU880" s="2"/>
      <c r="JY880" s="2"/>
    </row>
    <row r="881" spans="1:285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FI881" s="2"/>
      <c r="GM881" s="2"/>
      <c r="HQ881" s="2"/>
      <c r="IU881" s="2"/>
      <c r="JY881" s="2"/>
    </row>
    <row r="882" spans="1:285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FI882" s="2"/>
      <c r="GM882" s="2"/>
      <c r="HQ882" s="2"/>
      <c r="IU882" s="2"/>
      <c r="JY882" s="2"/>
    </row>
    <row r="883" spans="1:285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FI883" s="2"/>
      <c r="GM883" s="2"/>
      <c r="HQ883" s="2"/>
      <c r="IU883" s="2"/>
      <c r="JY883" s="2"/>
    </row>
    <row r="884" spans="1:285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FI884" s="2"/>
      <c r="GM884" s="2"/>
      <c r="HQ884" s="2"/>
      <c r="IU884" s="2"/>
      <c r="JY884" s="2"/>
    </row>
    <row r="885" spans="1:285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FI885" s="2"/>
      <c r="GM885" s="2"/>
      <c r="HQ885" s="2"/>
      <c r="IU885" s="2"/>
      <c r="JY885" s="2"/>
    </row>
    <row r="886" spans="1:285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FI886" s="2"/>
      <c r="GM886" s="2"/>
      <c r="HQ886" s="2"/>
      <c r="IU886" s="2"/>
      <c r="JY886" s="2"/>
    </row>
    <row r="887" spans="1:285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FI887" s="2"/>
      <c r="GM887" s="2"/>
      <c r="HQ887" s="2"/>
      <c r="IU887" s="2"/>
      <c r="JY887" s="2"/>
    </row>
    <row r="888" spans="1:285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FI888" s="2"/>
      <c r="GM888" s="2"/>
      <c r="HQ888" s="2"/>
      <c r="IU888" s="2"/>
      <c r="JY888" s="2"/>
    </row>
    <row r="889" spans="1:285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FI889" s="2"/>
      <c r="GM889" s="2"/>
      <c r="HQ889" s="2"/>
      <c r="IU889" s="2"/>
      <c r="JY889" s="2"/>
    </row>
    <row r="890" spans="1:285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FI890" s="2"/>
      <c r="GM890" s="2"/>
      <c r="HQ890" s="2"/>
      <c r="IU890" s="2"/>
      <c r="JY890" s="2"/>
    </row>
    <row r="891" spans="1:285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FI891" s="2"/>
      <c r="GM891" s="2"/>
      <c r="HQ891" s="2"/>
      <c r="IU891" s="2"/>
      <c r="JY891" s="2"/>
    </row>
    <row r="892" spans="1:285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FI892" s="2"/>
      <c r="GM892" s="2"/>
      <c r="HQ892" s="2"/>
      <c r="IU892" s="2"/>
      <c r="JY892" s="2"/>
    </row>
    <row r="893" spans="1:285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FI893" s="2"/>
      <c r="GM893" s="2"/>
      <c r="HQ893" s="2"/>
      <c r="IU893" s="2"/>
      <c r="JY893" s="2"/>
    </row>
    <row r="894" spans="1:285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FI894" s="2"/>
      <c r="GM894" s="2"/>
      <c r="HQ894" s="2"/>
      <c r="IU894" s="2"/>
      <c r="JY894" s="2"/>
    </row>
    <row r="895" spans="1:285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FI895" s="2"/>
      <c r="GM895" s="2"/>
      <c r="HQ895" s="2"/>
      <c r="IU895" s="2"/>
      <c r="JY895" s="2"/>
    </row>
    <row r="896" spans="1:285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FI896" s="2"/>
      <c r="GM896" s="2"/>
      <c r="HQ896" s="2"/>
      <c r="IU896" s="2"/>
      <c r="JY896" s="2"/>
    </row>
    <row r="897" spans="1:285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FI897" s="2"/>
      <c r="GM897" s="2"/>
      <c r="HQ897" s="2"/>
      <c r="IU897" s="2"/>
      <c r="JY897" s="2"/>
    </row>
    <row r="898" spans="1:285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FI898" s="2"/>
      <c r="GM898" s="2"/>
      <c r="HQ898" s="2"/>
      <c r="IU898" s="2"/>
      <c r="JY898" s="2"/>
    </row>
    <row r="899" spans="1:285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FI899" s="2"/>
      <c r="GM899" s="2"/>
      <c r="HQ899" s="2"/>
      <c r="IU899" s="2"/>
      <c r="JY899" s="2"/>
    </row>
    <row r="900" spans="1:285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FI900" s="2"/>
      <c r="GM900" s="2"/>
      <c r="HQ900" s="2"/>
      <c r="IU900" s="2"/>
      <c r="JY900" s="2"/>
    </row>
    <row r="901" spans="1:285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FI901" s="2"/>
      <c r="GM901" s="2"/>
      <c r="HQ901" s="2"/>
      <c r="IU901" s="2"/>
      <c r="JY901" s="2"/>
    </row>
    <row r="902" spans="1:285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FI902" s="2"/>
      <c r="GM902" s="2"/>
      <c r="HQ902" s="2"/>
      <c r="IU902" s="2"/>
      <c r="JY902" s="2"/>
    </row>
    <row r="903" spans="1:285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FI903" s="2"/>
      <c r="GM903" s="2"/>
      <c r="HQ903" s="2"/>
      <c r="IU903" s="2"/>
      <c r="JY903" s="2"/>
    </row>
    <row r="904" spans="1:285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FI904" s="2"/>
      <c r="GM904" s="2"/>
      <c r="HQ904" s="2"/>
      <c r="IU904" s="2"/>
      <c r="JY904" s="2"/>
    </row>
    <row r="905" spans="1:285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FI905" s="2"/>
      <c r="GM905" s="2"/>
      <c r="HQ905" s="2"/>
      <c r="IU905" s="2"/>
      <c r="JY905" s="2"/>
    </row>
    <row r="906" spans="1:285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FI906" s="2"/>
      <c r="GM906" s="2"/>
      <c r="HQ906" s="2"/>
      <c r="IU906" s="2"/>
      <c r="JY906" s="2"/>
    </row>
    <row r="907" spans="1:285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FI907" s="2"/>
      <c r="GM907" s="2"/>
      <c r="HQ907" s="2"/>
      <c r="IU907" s="2"/>
      <c r="JY907" s="2"/>
    </row>
    <row r="908" spans="1:285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FI908" s="2"/>
      <c r="GM908" s="2"/>
      <c r="HQ908" s="2"/>
      <c r="IU908" s="2"/>
      <c r="JY908" s="2"/>
    </row>
    <row r="909" spans="1:285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FI909" s="2"/>
      <c r="GM909" s="2"/>
      <c r="HQ909" s="2"/>
      <c r="IU909" s="2"/>
      <c r="JY909" s="2"/>
    </row>
    <row r="910" spans="1:285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FI910" s="2"/>
      <c r="GM910" s="2"/>
      <c r="HQ910" s="2"/>
      <c r="IU910" s="2"/>
      <c r="JY910" s="2"/>
    </row>
    <row r="911" spans="1:285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FI911" s="2"/>
      <c r="GM911" s="2"/>
      <c r="HQ911" s="2"/>
      <c r="IU911" s="2"/>
      <c r="JY911" s="2"/>
    </row>
    <row r="912" spans="1:285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FI912" s="2"/>
      <c r="GM912" s="2"/>
      <c r="HQ912" s="2"/>
      <c r="IU912" s="2"/>
      <c r="JY912" s="2"/>
    </row>
    <row r="913" spans="1:285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FI913" s="2"/>
      <c r="GM913" s="2"/>
      <c r="HQ913" s="2"/>
      <c r="IU913" s="2"/>
      <c r="JY913" s="2"/>
    </row>
    <row r="914" spans="1:285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FI914" s="2"/>
      <c r="GM914" s="2"/>
      <c r="HQ914" s="2"/>
      <c r="IU914" s="2"/>
      <c r="JY914" s="2"/>
    </row>
    <row r="915" spans="1:285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FI915" s="2"/>
      <c r="GM915" s="2"/>
      <c r="HQ915" s="2"/>
      <c r="IU915" s="2"/>
      <c r="JY915" s="2"/>
    </row>
    <row r="916" spans="1:285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FI916" s="2"/>
      <c r="GM916" s="2"/>
      <c r="HQ916" s="2"/>
      <c r="IU916" s="2"/>
      <c r="JY916" s="2"/>
    </row>
    <row r="917" spans="1:285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FI917" s="2"/>
      <c r="GM917" s="2"/>
      <c r="HQ917" s="2"/>
      <c r="IU917" s="2"/>
      <c r="JY917" s="2"/>
    </row>
    <row r="918" spans="1:285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FI918" s="2"/>
      <c r="GM918" s="2"/>
      <c r="HQ918" s="2"/>
      <c r="IU918" s="2"/>
      <c r="JY918" s="2"/>
    </row>
    <row r="919" spans="1:285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FI919" s="2"/>
      <c r="GM919" s="2"/>
      <c r="HQ919" s="2"/>
      <c r="IU919" s="2"/>
      <c r="JY919" s="2"/>
    </row>
    <row r="920" spans="1:285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FI920" s="2"/>
      <c r="GM920" s="2"/>
      <c r="HQ920" s="2"/>
      <c r="IU920" s="2"/>
      <c r="JY920" s="2"/>
    </row>
    <row r="921" spans="1:285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FI921" s="2"/>
      <c r="GM921" s="2"/>
      <c r="HQ921" s="2"/>
      <c r="IU921" s="2"/>
      <c r="JY921" s="2"/>
    </row>
    <row r="922" spans="1:285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FI922" s="2"/>
      <c r="GM922" s="2"/>
      <c r="HQ922" s="2"/>
      <c r="IU922" s="2"/>
      <c r="JY922" s="2"/>
    </row>
    <row r="923" spans="1:285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FI923" s="2"/>
      <c r="GM923" s="2"/>
      <c r="HQ923" s="2"/>
      <c r="IU923" s="2"/>
      <c r="JY923" s="2"/>
    </row>
    <row r="924" spans="1:285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FI924" s="2"/>
      <c r="GM924" s="2"/>
      <c r="HQ924" s="2"/>
      <c r="IU924" s="2"/>
      <c r="JY924" s="2"/>
    </row>
    <row r="925" spans="1:285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FI925" s="2"/>
      <c r="GM925" s="2"/>
      <c r="HQ925" s="2"/>
      <c r="IU925" s="2"/>
      <c r="JY925" s="2"/>
    </row>
    <row r="926" spans="1:285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FI926" s="2"/>
      <c r="GM926" s="2"/>
      <c r="HQ926" s="2"/>
      <c r="IU926" s="2"/>
      <c r="JY926" s="2"/>
    </row>
    <row r="927" spans="1:285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FI927" s="2"/>
      <c r="GM927" s="2"/>
      <c r="HQ927" s="2"/>
      <c r="IU927" s="2"/>
      <c r="JY927" s="2"/>
    </row>
    <row r="928" spans="1:285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FI928" s="2"/>
      <c r="GM928" s="2"/>
      <c r="HQ928" s="2"/>
      <c r="IU928" s="2"/>
      <c r="JY928" s="2"/>
    </row>
    <row r="929" spans="1:285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FI929" s="2"/>
      <c r="GM929" s="2"/>
      <c r="HQ929" s="2"/>
      <c r="IU929" s="2"/>
      <c r="JY929" s="2"/>
    </row>
    <row r="930" spans="1:285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FI930" s="2"/>
      <c r="GM930" s="2"/>
      <c r="HQ930" s="2"/>
      <c r="IU930" s="2"/>
      <c r="JY930" s="2"/>
    </row>
    <row r="931" spans="1:285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FI931" s="2"/>
      <c r="GM931" s="2"/>
      <c r="HQ931" s="2"/>
      <c r="IU931" s="2"/>
      <c r="JY931" s="2"/>
    </row>
    <row r="932" spans="1:285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FI932" s="2"/>
      <c r="GM932" s="2"/>
      <c r="HQ932" s="2"/>
      <c r="IU932" s="2"/>
      <c r="JY932" s="2"/>
    </row>
    <row r="933" spans="1:285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FI933" s="2"/>
      <c r="GM933" s="2"/>
      <c r="HQ933" s="2"/>
      <c r="IU933" s="2"/>
      <c r="JY933" s="2"/>
    </row>
    <row r="934" spans="1:285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FI934" s="2"/>
      <c r="GM934" s="2"/>
      <c r="HQ934" s="2"/>
      <c r="IU934" s="2"/>
      <c r="JY934" s="2"/>
    </row>
    <row r="935" spans="1:285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FI935" s="2"/>
      <c r="GM935" s="2"/>
      <c r="HQ935" s="2"/>
      <c r="IU935" s="2"/>
      <c r="JY935" s="2"/>
    </row>
    <row r="936" spans="1:285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FI936" s="2"/>
      <c r="GM936" s="2"/>
      <c r="HQ936" s="2"/>
      <c r="IU936" s="2"/>
      <c r="JY936" s="2"/>
    </row>
    <row r="937" spans="1:285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FI937" s="2"/>
      <c r="GM937" s="2"/>
      <c r="HQ937" s="2"/>
      <c r="IU937" s="2"/>
      <c r="JY937" s="2"/>
    </row>
    <row r="938" spans="1:285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FI938" s="2"/>
      <c r="GM938" s="2"/>
      <c r="HQ938" s="2"/>
      <c r="IU938" s="2"/>
      <c r="JY938" s="2"/>
    </row>
    <row r="939" spans="1:285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FI939" s="2"/>
      <c r="GM939" s="2"/>
      <c r="HQ939" s="2"/>
      <c r="IU939" s="2"/>
      <c r="JY939" s="2"/>
    </row>
    <row r="940" spans="1:285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FI940" s="2"/>
      <c r="GM940" s="2"/>
      <c r="HQ940" s="2"/>
      <c r="IU940" s="2"/>
      <c r="JY940" s="2"/>
    </row>
    <row r="941" spans="1:285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FI941" s="2"/>
      <c r="GM941" s="2"/>
      <c r="HQ941" s="2"/>
      <c r="IU941" s="2"/>
      <c r="JY941" s="2"/>
    </row>
    <row r="942" spans="1:285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FI942" s="2"/>
      <c r="GM942" s="2"/>
      <c r="HQ942" s="2"/>
      <c r="IU942" s="2"/>
      <c r="JY942" s="2"/>
    </row>
    <row r="943" spans="1:285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FI943" s="2"/>
      <c r="GM943" s="2"/>
      <c r="HQ943" s="2"/>
      <c r="IU943" s="2"/>
      <c r="JY943" s="2"/>
    </row>
    <row r="944" spans="1:285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FI944" s="2"/>
      <c r="GM944" s="2"/>
      <c r="HQ944" s="2"/>
      <c r="IU944" s="2"/>
      <c r="JY944" s="2"/>
    </row>
    <row r="945" spans="1:285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FI945" s="2"/>
      <c r="GM945" s="2"/>
      <c r="HQ945" s="2"/>
      <c r="IU945" s="2"/>
      <c r="JY945" s="2"/>
    </row>
    <row r="946" spans="1:285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FI946" s="2"/>
      <c r="GM946" s="2"/>
      <c r="HQ946" s="2"/>
      <c r="IU946" s="2"/>
      <c r="JY946" s="2"/>
    </row>
    <row r="947" spans="1:285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FI947" s="2"/>
      <c r="GM947" s="2"/>
      <c r="HQ947" s="2"/>
      <c r="IU947" s="2"/>
      <c r="JY947" s="2"/>
    </row>
    <row r="948" spans="1:285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FI948" s="2"/>
      <c r="GM948" s="2"/>
      <c r="HQ948" s="2"/>
      <c r="IU948" s="2"/>
      <c r="JY948" s="2"/>
    </row>
    <row r="949" spans="1:285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FI949" s="2"/>
      <c r="GM949" s="2"/>
      <c r="HQ949" s="2"/>
      <c r="IU949" s="2"/>
      <c r="JY949" s="2"/>
    </row>
    <row r="950" spans="1:285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FI950" s="2"/>
      <c r="GM950" s="2"/>
      <c r="HQ950" s="2"/>
      <c r="IU950" s="2"/>
      <c r="JY950" s="2"/>
    </row>
    <row r="951" spans="1:285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FI951" s="2"/>
      <c r="GM951" s="2"/>
      <c r="HQ951" s="2"/>
      <c r="IU951" s="2"/>
      <c r="JY951" s="2"/>
    </row>
    <row r="952" spans="1:285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FI952" s="2"/>
      <c r="GM952" s="2"/>
      <c r="HQ952" s="2"/>
      <c r="IU952" s="2"/>
      <c r="JY952" s="2"/>
    </row>
    <row r="953" spans="1:285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FI953" s="2"/>
      <c r="GM953" s="2"/>
      <c r="HQ953" s="2"/>
      <c r="IU953" s="2"/>
      <c r="JY953" s="2"/>
    </row>
    <row r="954" spans="1:285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FI954" s="2"/>
      <c r="GM954" s="2"/>
      <c r="HQ954" s="2"/>
      <c r="IU954" s="2"/>
      <c r="JY954" s="2"/>
    </row>
    <row r="955" spans="1:285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FI955" s="2"/>
      <c r="GM955" s="2"/>
      <c r="HQ955" s="2"/>
      <c r="IU955" s="2"/>
      <c r="JY955" s="2"/>
    </row>
    <row r="956" spans="1:285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FI956" s="2"/>
      <c r="GM956" s="2"/>
      <c r="HQ956" s="2"/>
      <c r="IU956" s="2"/>
      <c r="JY956" s="2"/>
    </row>
    <row r="957" spans="1:285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FI957" s="2"/>
      <c r="GM957" s="2"/>
      <c r="HQ957" s="2"/>
      <c r="IU957" s="2"/>
      <c r="JY957" s="2"/>
    </row>
    <row r="958" spans="1:285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FI958" s="2"/>
      <c r="GM958" s="2"/>
      <c r="HQ958" s="2"/>
      <c r="IU958" s="2"/>
      <c r="JY958" s="2"/>
    </row>
    <row r="959" spans="1:285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FI959" s="2"/>
      <c r="GM959" s="2"/>
      <c r="HQ959" s="2"/>
      <c r="IU959" s="2"/>
      <c r="JY959" s="2"/>
    </row>
    <row r="960" spans="1:285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FI960" s="2"/>
      <c r="GM960" s="2"/>
      <c r="HQ960" s="2"/>
      <c r="IU960" s="2"/>
      <c r="JY960" s="2"/>
    </row>
    <row r="961" spans="1:285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FI961" s="2"/>
      <c r="GM961" s="2"/>
      <c r="HQ961" s="2"/>
      <c r="IU961" s="2"/>
      <c r="JY961" s="2"/>
    </row>
    <row r="962" spans="1:285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FI962" s="2"/>
      <c r="GM962" s="2"/>
      <c r="HQ962" s="2"/>
      <c r="IU962" s="2"/>
      <c r="JY962" s="2"/>
    </row>
    <row r="963" spans="1:285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FI963" s="2"/>
      <c r="GM963" s="2"/>
      <c r="HQ963" s="2"/>
      <c r="IU963" s="2"/>
      <c r="JY963" s="2"/>
    </row>
    <row r="964" spans="1:285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FI964" s="2"/>
      <c r="GM964" s="2"/>
      <c r="HQ964" s="2"/>
      <c r="IU964" s="2"/>
      <c r="JY964" s="2"/>
    </row>
    <row r="965" spans="1:285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FI965" s="2"/>
      <c r="GM965" s="2"/>
      <c r="HQ965" s="2"/>
      <c r="IU965" s="2"/>
      <c r="JY965" s="2"/>
    </row>
    <row r="966" spans="1:285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FI966" s="2"/>
      <c r="GM966" s="2"/>
      <c r="HQ966" s="2"/>
      <c r="IU966" s="2"/>
      <c r="JY966" s="2"/>
    </row>
    <row r="967" spans="1:285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FI967" s="2"/>
      <c r="GM967" s="2"/>
      <c r="HQ967" s="2"/>
      <c r="IU967" s="2"/>
      <c r="JY967" s="2"/>
    </row>
    <row r="968" spans="1:285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FI968" s="2"/>
      <c r="GM968" s="2"/>
      <c r="HQ968" s="2"/>
      <c r="IU968" s="2"/>
      <c r="JY968" s="2"/>
    </row>
    <row r="969" spans="1:285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FI969" s="2"/>
      <c r="GM969" s="2"/>
      <c r="HQ969" s="2"/>
      <c r="IU969" s="2"/>
      <c r="JY969" s="2"/>
    </row>
    <row r="970" spans="1:285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FI970" s="2"/>
      <c r="GM970" s="2"/>
      <c r="HQ970" s="2"/>
      <c r="IU970" s="2"/>
      <c r="JY970" s="2"/>
    </row>
    <row r="971" spans="1:285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FI971" s="2"/>
      <c r="GM971" s="2"/>
      <c r="HQ971" s="2"/>
      <c r="IU971" s="2"/>
      <c r="JY971" s="2"/>
    </row>
    <row r="972" spans="1:285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FI972" s="2"/>
      <c r="GM972" s="2"/>
      <c r="HQ972" s="2"/>
      <c r="IU972" s="2"/>
      <c r="JY972" s="2"/>
    </row>
    <row r="973" spans="1:285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FI973" s="2"/>
      <c r="GM973" s="2"/>
      <c r="HQ973" s="2"/>
      <c r="IU973" s="2"/>
      <c r="JY973" s="2"/>
    </row>
    <row r="974" spans="1:285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FI974" s="2"/>
      <c r="GM974" s="2"/>
      <c r="HQ974" s="2"/>
      <c r="IU974" s="2"/>
      <c r="JY974" s="2"/>
    </row>
    <row r="975" spans="1:285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FI975" s="2"/>
      <c r="GM975" s="2"/>
      <c r="HQ975" s="2"/>
      <c r="IU975" s="2"/>
      <c r="JY975" s="2"/>
    </row>
    <row r="976" spans="1:285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FI976" s="2"/>
      <c r="GM976" s="2"/>
      <c r="HQ976" s="2"/>
      <c r="IU976" s="2"/>
      <c r="JY976" s="2"/>
    </row>
    <row r="977" spans="1:285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FI977" s="2"/>
      <c r="GM977" s="2"/>
      <c r="HQ977" s="2"/>
      <c r="IU977" s="2"/>
      <c r="JY977" s="2"/>
    </row>
    <row r="978" spans="1:285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FI978" s="2"/>
      <c r="GM978" s="2"/>
      <c r="HQ978" s="2"/>
      <c r="IU978" s="2"/>
      <c r="JY978" s="2"/>
    </row>
    <row r="979" spans="1:285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FI979" s="2"/>
      <c r="GM979" s="2"/>
      <c r="HQ979" s="2"/>
      <c r="IU979" s="2"/>
      <c r="JY979" s="2"/>
    </row>
    <row r="980" spans="1:285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FI980" s="2"/>
      <c r="GM980" s="2"/>
      <c r="HQ980" s="2"/>
      <c r="IU980" s="2"/>
      <c r="JY980" s="2"/>
    </row>
    <row r="981" spans="1:285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FI981" s="2"/>
      <c r="GM981" s="2"/>
      <c r="HQ981" s="2"/>
      <c r="IU981" s="2"/>
      <c r="JY981" s="2"/>
    </row>
    <row r="982" spans="1:285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FI982" s="2"/>
      <c r="GM982" s="2"/>
      <c r="HQ982" s="2"/>
      <c r="IU982" s="2"/>
      <c r="JY982" s="2"/>
    </row>
    <row r="983" spans="1:285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FI983" s="2"/>
      <c r="GM983" s="2"/>
      <c r="HQ983" s="2"/>
      <c r="IU983" s="2"/>
      <c r="JY983" s="2"/>
    </row>
    <row r="984" spans="1:285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FI984" s="2"/>
      <c r="GM984" s="2"/>
      <c r="HQ984" s="2"/>
      <c r="IU984" s="2"/>
      <c r="JY984" s="2"/>
    </row>
    <row r="985" spans="1:285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FI985" s="2"/>
      <c r="GM985" s="2"/>
      <c r="HQ985" s="2"/>
      <c r="IU985" s="2"/>
      <c r="JY985" s="2"/>
    </row>
    <row r="986" spans="1:285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FI986" s="2"/>
      <c r="GM986" s="2"/>
      <c r="HQ986" s="2"/>
      <c r="IU986" s="2"/>
      <c r="JY986" s="2"/>
    </row>
    <row r="987" spans="1:285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FI987" s="2"/>
      <c r="GM987" s="2"/>
      <c r="HQ987" s="2"/>
      <c r="IU987" s="2"/>
      <c r="JY987" s="2"/>
    </row>
    <row r="988" spans="1:285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FI988" s="2"/>
      <c r="GM988" s="2"/>
      <c r="HQ988" s="2"/>
      <c r="IU988" s="2"/>
      <c r="JY988" s="2"/>
    </row>
    <row r="989" spans="1:285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FI989" s="2"/>
      <c r="GM989" s="2"/>
      <c r="HQ989" s="2"/>
      <c r="IU989" s="2"/>
      <c r="JY989" s="2"/>
    </row>
    <row r="990" spans="1:285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FI990" s="2"/>
      <c r="GM990" s="2"/>
      <c r="HQ990" s="2"/>
      <c r="IU990" s="2"/>
      <c r="JY990" s="2"/>
    </row>
    <row r="991" spans="1:285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FI991" s="2"/>
      <c r="GM991" s="2"/>
      <c r="HQ991" s="2"/>
      <c r="IU991" s="2"/>
      <c r="JY991" s="2"/>
    </row>
    <row r="992" spans="1:285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FI992" s="2"/>
      <c r="GM992" s="2"/>
      <c r="HQ992" s="2"/>
      <c r="IU992" s="2"/>
      <c r="JY992" s="2"/>
    </row>
    <row r="993" spans="1:285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FI993" s="2"/>
      <c r="GM993" s="2"/>
      <c r="HQ993" s="2"/>
      <c r="IU993" s="2"/>
      <c r="JY993" s="2"/>
    </row>
    <row r="994" spans="1:285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FI994" s="2"/>
      <c r="GM994" s="2"/>
      <c r="HQ994" s="2"/>
      <c r="IU994" s="2"/>
      <c r="JY994" s="2"/>
    </row>
    <row r="995" spans="1:285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FI995" s="2"/>
      <c r="GM995" s="2"/>
      <c r="HQ995" s="2"/>
      <c r="IU995" s="2"/>
      <c r="JY995" s="2"/>
    </row>
    <row r="996" spans="1:285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FI996" s="2"/>
      <c r="GM996" s="2"/>
      <c r="HQ996" s="2"/>
      <c r="IU996" s="2"/>
      <c r="JY996" s="2"/>
    </row>
    <row r="997" spans="1:285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FI997" s="2"/>
      <c r="GM997" s="2"/>
      <c r="HQ997" s="2"/>
      <c r="IU997" s="2"/>
      <c r="JY997" s="2"/>
    </row>
    <row r="998" spans="1:285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FI998" s="2"/>
      <c r="GM998" s="2"/>
      <c r="HQ998" s="2"/>
      <c r="IU998" s="2"/>
      <c r="JY998" s="2"/>
    </row>
    <row r="999" spans="1:285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FI999" s="2"/>
      <c r="GM999" s="2"/>
      <c r="HQ999" s="2"/>
      <c r="IU999" s="2"/>
      <c r="JY999" s="2"/>
    </row>
    <row r="1000" spans="1:285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FI1000" s="2"/>
      <c r="GM1000" s="2"/>
      <c r="HQ1000" s="2"/>
      <c r="IU1000" s="2"/>
      <c r="JY1000" s="2"/>
    </row>
    <row r="1001" spans="1:285" ht="13.2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FI1001" s="2"/>
      <c r="GM1001" s="2"/>
      <c r="HQ1001" s="2"/>
      <c r="IU1001" s="2"/>
      <c r="JY1001" s="2"/>
    </row>
    <row r="1002" spans="1:285" ht="13.2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FI1002" s="2"/>
      <c r="GM1002" s="2"/>
      <c r="HQ1002" s="2"/>
      <c r="IU1002" s="2"/>
      <c r="JY1002" s="2"/>
    </row>
    <row r="1003" spans="1:285" ht="13.2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FI1003" s="2"/>
      <c r="GM1003" s="2"/>
      <c r="HQ1003" s="2"/>
      <c r="IU1003" s="2"/>
      <c r="JY1003" s="2"/>
    </row>
    <row r="1004" spans="1:285" ht="13.2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FI1004" s="2"/>
      <c r="GM1004" s="2"/>
      <c r="HQ1004" s="2"/>
      <c r="IU1004" s="2"/>
      <c r="JY1004" s="2"/>
    </row>
    <row r="1005" spans="1:285" ht="13.2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FI1005" s="2"/>
      <c r="GM1005" s="2"/>
      <c r="HQ1005" s="2"/>
      <c r="IU1005" s="2"/>
      <c r="JY1005" s="2"/>
    </row>
    <row r="1006" spans="1:285" ht="13.2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FI1006" s="2"/>
      <c r="GM1006" s="2"/>
      <c r="HQ1006" s="2"/>
      <c r="IU1006" s="2"/>
      <c r="JY1006" s="2"/>
    </row>
    <row r="1007" spans="1:285" ht="13.2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FI1007" s="2"/>
      <c r="GM1007" s="2"/>
      <c r="HQ1007" s="2"/>
      <c r="IU1007" s="2"/>
      <c r="JY1007" s="2"/>
    </row>
    <row r="1008" spans="1:285" ht="13.2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FI1008" s="2"/>
      <c r="GM1008" s="2"/>
      <c r="HQ1008" s="2"/>
      <c r="IU1008" s="2"/>
      <c r="JY1008" s="2"/>
    </row>
    <row r="1009" spans="1:285" ht="13.2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FI1009" s="2"/>
      <c r="GM1009" s="2"/>
      <c r="HQ1009" s="2"/>
      <c r="IU1009" s="2"/>
      <c r="JY1009" s="2"/>
    </row>
    <row r="1010" spans="1:285" ht="13.2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FI1010" s="2"/>
      <c r="GM1010" s="2"/>
      <c r="HQ1010" s="2"/>
      <c r="IU1010" s="2"/>
      <c r="JY1010" s="2"/>
    </row>
    <row r="1011" spans="1:285" ht="13.2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FI1011" s="2"/>
      <c r="GM1011" s="2"/>
      <c r="HQ1011" s="2"/>
      <c r="IU1011" s="2"/>
      <c r="JY1011" s="2"/>
    </row>
    <row r="1012" spans="1:285" ht="13.2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FI1012" s="2"/>
      <c r="GM1012" s="2"/>
      <c r="HQ1012" s="2"/>
      <c r="IU1012" s="2"/>
      <c r="JY1012" s="2"/>
    </row>
    <row r="1013" spans="1:285" ht="13.2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FI1013" s="2"/>
      <c r="GM1013" s="2"/>
      <c r="HQ1013" s="2"/>
      <c r="IU1013" s="2"/>
      <c r="JY1013" s="2"/>
    </row>
    <row r="1014" spans="1:285" ht="13.2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FI1014" s="2"/>
      <c r="GM1014" s="2"/>
      <c r="HQ1014" s="2"/>
      <c r="IU1014" s="2"/>
      <c r="JY1014" s="2"/>
    </row>
  </sheetData>
  <mergeCells count="58">
    <mergeCell ref="IM1:JP1"/>
    <mergeCell ref="IM24:JP24"/>
    <mergeCell ref="IM48:JP48"/>
    <mergeCell ref="IM72:JP72"/>
    <mergeCell ref="JQ1:KT1"/>
    <mergeCell ref="JQ24:KT24"/>
    <mergeCell ref="JQ48:KT48"/>
    <mergeCell ref="JQ72:KT72"/>
    <mergeCell ref="GE1:HH1"/>
    <mergeCell ref="GE24:HH24"/>
    <mergeCell ref="GE48:HH48"/>
    <mergeCell ref="GE72:HH72"/>
    <mergeCell ref="HI1:IL1"/>
    <mergeCell ref="HI24:IL24"/>
    <mergeCell ref="HI48:IL48"/>
    <mergeCell ref="HI72:IL72"/>
    <mergeCell ref="DW1:EZ1"/>
    <mergeCell ref="DW24:EZ24"/>
    <mergeCell ref="DW48:EZ48"/>
    <mergeCell ref="DW72:EZ72"/>
    <mergeCell ref="FA1:GD1"/>
    <mergeCell ref="FA24:GD24"/>
    <mergeCell ref="FA48:GD48"/>
    <mergeCell ref="FA72:GD72"/>
    <mergeCell ref="G1:AJ1"/>
    <mergeCell ref="AK1:BN1"/>
    <mergeCell ref="BO1:CR1"/>
    <mergeCell ref="CS1:DV1"/>
    <mergeCell ref="B3:B12"/>
    <mergeCell ref="B1:F1"/>
    <mergeCell ref="A1:A23"/>
    <mergeCell ref="A24:A46"/>
    <mergeCell ref="B26:B35"/>
    <mergeCell ref="B36:B45"/>
    <mergeCell ref="A48:A70"/>
    <mergeCell ref="B50:B59"/>
    <mergeCell ref="B60:B69"/>
    <mergeCell ref="B48:F48"/>
    <mergeCell ref="B13:B22"/>
    <mergeCell ref="B24:F24"/>
    <mergeCell ref="A95:A97"/>
    <mergeCell ref="B95:B97"/>
    <mergeCell ref="A72:A94"/>
    <mergeCell ref="G72:AJ72"/>
    <mergeCell ref="AK72:BN72"/>
    <mergeCell ref="B72:F72"/>
    <mergeCell ref="CS72:DV72"/>
    <mergeCell ref="AK24:BN24"/>
    <mergeCell ref="BO24:CR24"/>
    <mergeCell ref="B74:B83"/>
    <mergeCell ref="B84:B93"/>
    <mergeCell ref="BO72:CR72"/>
    <mergeCell ref="CS24:DV24"/>
    <mergeCell ref="G48:AJ48"/>
    <mergeCell ref="AK48:BN48"/>
    <mergeCell ref="BO48:CR48"/>
    <mergeCell ref="CS48:DV48"/>
    <mergeCell ref="G24:AJ24"/>
  </mergeCells>
  <pageMargins left="0.7" right="0.7" top="0.78740157499999996" bottom="0.78740157499999996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AD59-C891-409C-96AE-08B65E533121}">
  <dimension ref="A1:K48"/>
  <sheetViews>
    <sheetView zoomScale="93" workbookViewId="0">
      <selection activeCell="L220" sqref="L220"/>
    </sheetView>
  </sheetViews>
  <sheetFormatPr baseColWidth="10" defaultColWidth="11.5546875" defaultRowHeight="13.2" x14ac:dyDescent="0.25"/>
  <cols>
    <col min="1" max="1" width="27.33203125" style="58" bestFit="1" customWidth="1"/>
    <col min="2" max="9" width="11.5546875" style="58"/>
    <col min="10" max="10" width="11.5546875" style="58" customWidth="1"/>
    <col min="11" max="16384" width="11.5546875" style="58"/>
  </cols>
  <sheetData>
    <row r="1" spans="1:11" x14ac:dyDescent="0.25">
      <c r="A1" s="81" t="s">
        <v>76</v>
      </c>
      <c r="B1" s="122" t="s">
        <v>40</v>
      </c>
      <c r="C1" s="123" t="s">
        <v>41</v>
      </c>
      <c r="D1" s="123" t="s">
        <v>42</v>
      </c>
      <c r="E1" s="123" t="s">
        <v>43</v>
      </c>
      <c r="F1" s="123" t="s">
        <v>107</v>
      </c>
      <c r="G1" s="123" t="s">
        <v>69</v>
      </c>
      <c r="H1" s="123" t="s">
        <v>70</v>
      </c>
      <c r="I1" s="123" t="s">
        <v>71</v>
      </c>
      <c r="J1" s="124" t="s">
        <v>108</v>
      </c>
      <c r="K1" s="125"/>
    </row>
    <row r="2" spans="1:11" x14ac:dyDescent="0.25">
      <c r="A2" s="85" t="s">
        <v>72</v>
      </c>
      <c r="B2" s="86">
        <v>15</v>
      </c>
      <c r="C2" s="87">
        <v>10</v>
      </c>
      <c r="D2" s="87">
        <v>19</v>
      </c>
      <c r="E2" s="87">
        <v>18</v>
      </c>
      <c r="F2" s="123">
        <v>45</v>
      </c>
      <c r="G2" s="123">
        <v>23</v>
      </c>
      <c r="H2" s="87">
        <v>32</v>
      </c>
      <c r="I2" s="87">
        <v>16</v>
      </c>
      <c r="J2" s="88">
        <v>42</v>
      </c>
      <c r="K2" s="125"/>
    </row>
    <row r="3" spans="1:11" x14ac:dyDescent="0.25">
      <c r="A3" s="65" t="s">
        <v>5</v>
      </c>
      <c r="B3" s="65">
        <f>Rohdaten!G23</f>
        <v>82</v>
      </c>
      <c r="C3" s="75">
        <f>Rohdaten!AK23</f>
        <v>93</v>
      </c>
      <c r="D3" s="75">
        <f>Rohdaten!BO23</f>
        <v>108</v>
      </c>
      <c r="E3" s="75">
        <f>Rohdaten!CS23</f>
        <v>101</v>
      </c>
      <c r="F3" s="75">
        <f>Rohdaten!DW23</f>
        <v>136</v>
      </c>
      <c r="G3" s="75">
        <f>Rohdaten!FA23</f>
        <v>101</v>
      </c>
      <c r="H3" s="75">
        <f>Rohdaten!GE23</f>
        <v>123</v>
      </c>
      <c r="I3" s="75">
        <f>Rohdaten!HI23</f>
        <v>104</v>
      </c>
      <c r="J3" s="76">
        <f>Rohdaten!IM23</f>
        <v>121</v>
      </c>
    </row>
    <row r="4" spans="1:11" x14ac:dyDescent="0.25">
      <c r="A4" s="60" t="s">
        <v>85</v>
      </c>
      <c r="B4" s="60">
        <f>Rohdaten!G12</f>
        <v>41</v>
      </c>
      <c r="C4" s="64">
        <f>Rohdaten!AK12</f>
        <v>46</v>
      </c>
      <c r="D4" s="64">
        <f>Rohdaten!BO12</f>
        <v>55</v>
      </c>
      <c r="E4" s="64">
        <f>Rohdaten!CS12</f>
        <v>51</v>
      </c>
      <c r="F4" s="64">
        <f>Rohdaten!DW12</f>
        <v>70</v>
      </c>
      <c r="G4" s="64">
        <f>Rohdaten!FA12</f>
        <v>55</v>
      </c>
      <c r="H4" s="64">
        <f>Rohdaten!GE12</f>
        <v>64</v>
      </c>
      <c r="I4" s="64">
        <f>Rohdaten!HI12</f>
        <v>53</v>
      </c>
      <c r="J4" s="77">
        <f>Rohdaten!IM12</f>
        <v>63</v>
      </c>
    </row>
    <row r="5" spans="1:11" x14ac:dyDescent="0.25">
      <c r="A5" s="60" t="s">
        <v>86</v>
      </c>
      <c r="B5" s="60">
        <f>Rohdaten!G22</f>
        <v>41</v>
      </c>
      <c r="C5" s="64">
        <f>Rohdaten!AK22</f>
        <v>47</v>
      </c>
      <c r="D5" s="64">
        <f>Rohdaten!BO22</f>
        <v>53</v>
      </c>
      <c r="E5" s="64">
        <f>Rohdaten!CS22</f>
        <v>50</v>
      </c>
      <c r="F5" s="64">
        <f>Rohdaten!DW22</f>
        <v>66</v>
      </c>
      <c r="G5" s="64">
        <f>Rohdaten!FA22</f>
        <v>46</v>
      </c>
      <c r="H5" s="64">
        <f>Rohdaten!GE22</f>
        <v>59</v>
      </c>
      <c r="I5" s="64">
        <f>Rohdaten!HI22</f>
        <v>51</v>
      </c>
      <c r="J5" s="77">
        <f>Rohdaten!IM22</f>
        <v>58</v>
      </c>
    </row>
    <row r="6" spans="1:11" x14ac:dyDescent="0.25">
      <c r="A6" s="60" t="s">
        <v>84</v>
      </c>
      <c r="B6" s="93">
        <f>B3-Rohdaten!$E23</f>
        <v>10</v>
      </c>
      <c r="C6" s="94">
        <f>C3-Rohdaten!$E23</f>
        <v>21</v>
      </c>
      <c r="D6" s="94">
        <f>D3-Rohdaten!$E23</f>
        <v>36</v>
      </c>
      <c r="E6" s="94">
        <f>E3-Rohdaten!$E23</f>
        <v>29</v>
      </c>
      <c r="F6" s="94">
        <f>F3-Rohdaten!$E23</f>
        <v>64</v>
      </c>
      <c r="G6" s="94">
        <f>G3-Rohdaten!$E23</f>
        <v>29</v>
      </c>
      <c r="H6" s="94">
        <f>H3-Rohdaten!$E23</f>
        <v>51</v>
      </c>
      <c r="I6" s="94">
        <f>I3-Rohdaten!$E23</f>
        <v>32</v>
      </c>
      <c r="J6" s="95">
        <f>J3-Rohdaten!$E23</f>
        <v>49</v>
      </c>
    </row>
    <row r="7" spans="1:11" x14ac:dyDescent="0.25">
      <c r="A7" s="60" t="s">
        <v>89</v>
      </c>
      <c r="B7" s="59">
        <f>Rohdaten!AI23</f>
        <v>67.000000000000014</v>
      </c>
      <c r="C7" s="79">
        <f>Rohdaten!BM23</f>
        <v>82.999999999999986</v>
      </c>
      <c r="D7" s="79">
        <f>Rohdaten!CQ23</f>
        <v>88.999999999999986</v>
      </c>
      <c r="E7" s="79">
        <f>Rohdaten!DU23</f>
        <v>83</v>
      </c>
      <c r="F7" s="79">
        <f>Rohdaten!EY23</f>
        <v>91</v>
      </c>
      <c r="G7" s="79">
        <f>Rohdaten!GC23</f>
        <v>78</v>
      </c>
      <c r="H7" s="79">
        <f>Rohdaten!HG23</f>
        <v>91</v>
      </c>
      <c r="I7" s="79">
        <f>Rohdaten!IK23</f>
        <v>88</v>
      </c>
      <c r="J7" s="80">
        <f>Rohdaten!JO23</f>
        <v>78.999999999999972</v>
      </c>
    </row>
    <row r="8" spans="1:11" x14ac:dyDescent="0.25">
      <c r="A8" s="60" t="s">
        <v>90</v>
      </c>
      <c r="B8" s="59">
        <f>B7-Rohdaten!$E23</f>
        <v>-4.9999999999999858</v>
      </c>
      <c r="C8" s="79">
        <f>C7-Rohdaten!$E23</f>
        <v>10.999999999999986</v>
      </c>
      <c r="D8" s="79">
        <f>D7-Rohdaten!$E23</f>
        <v>16.999999999999986</v>
      </c>
      <c r="E8" s="79">
        <f>E7-Rohdaten!$E23</f>
        <v>11</v>
      </c>
      <c r="F8" s="79">
        <f>F7-Rohdaten!$E23</f>
        <v>19</v>
      </c>
      <c r="G8" s="79">
        <f>G7-Rohdaten!$E23</f>
        <v>6</v>
      </c>
      <c r="H8" s="79">
        <f>H7-Rohdaten!$E23</f>
        <v>19</v>
      </c>
      <c r="I8" s="79">
        <f>I7-Rohdaten!$E23</f>
        <v>16</v>
      </c>
      <c r="J8" s="80">
        <f>J7-Rohdaten!$E23</f>
        <v>6.9999999999999716</v>
      </c>
    </row>
    <row r="9" spans="1:11" x14ac:dyDescent="0.25">
      <c r="A9" s="108" t="s">
        <v>78</v>
      </c>
      <c r="B9" s="109">
        <f t="shared" ref="B9:J9" si="0">_xlfn.RANK.EQ(B8,$B8:$J8,1)</f>
        <v>1</v>
      </c>
      <c r="C9" s="110">
        <f t="shared" si="0"/>
        <v>4</v>
      </c>
      <c r="D9" s="110">
        <f t="shared" si="0"/>
        <v>7</v>
      </c>
      <c r="E9" s="110">
        <f t="shared" si="0"/>
        <v>5</v>
      </c>
      <c r="F9" s="110">
        <f t="shared" si="0"/>
        <v>8</v>
      </c>
      <c r="G9" s="110">
        <f t="shared" si="0"/>
        <v>2</v>
      </c>
      <c r="H9" s="110">
        <f t="shared" si="0"/>
        <v>8</v>
      </c>
      <c r="I9" s="110">
        <f t="shared" si="0"/>
        <v>6</v>
      </c>
      <c r="J9" s="111">
        <f t="shared" si="0"/>
        <v>3</v>
      </c>
    </row>
    <row r="10" spans="1:11" x14ac:dyDescent="0.25">
      <c r="A10" s="65" t="s">
        <v>7</v>
      </c>
      <c r="B10" s="65">
        <f>Rohdaten!I23</f>
        <v>34</v>
      </c>
      <c r="C10" s="75">
        <f>Rohdaten!AM23</f>
        <v>34</v>
      </c>
      <c r="D10" s="75">
        <f>Rohdaten!BQ23</f>
        <v>44</v>
      </c>
      <c r="E10" s="75">
        <f>Rohdaten!CU23</f>
        <v>43</v>
      </c>
      <c r="F10" s="75">
        <f>Rohdaten!DY23</f>
        <v>45</v>
      </c>
      <c r="G10" s="75">
        <f>Rohdaten!FC23</f>
        <v>38</v>
      </c>
      <c r="H10" s="75">
        <f>Rohdaten!GG23</f>
        <v>36</v>
      </c>
      <c r="I10" s="75">
        <f>Rohdaten!HK23</f>
        <v>35</v>
      </c>
      <c r="J10" s="76">
        <f>Rohdaten!IO23</f>
        <v>48</v>
      </c>
    </row>
    <row r="11" spans="1:11" x14ac:dyDescent="0.25">
      <c r="A11" s="60" t="s">
        <v>87</v>
      </c>
      <c r="B11" s="60">
        <f>Rohdaten!I12</f>
        <v>16</v>
      </c>
      <c r="C11" s="64">
        <f>Rohdaten!AM12</f>
        <v>18</v>
      </c>
      <c r="D11" s="64">
        <f>Rohdaten!BQ12</f>
        <v>22</v>
      </c>
      <c r="E11" s="64">
        <f>Rohdaten!CU12</f>
        <v>23</v>
      </c>
      <c r="F11" s="64">
        <f>Rohdaten!DY12</f>
        <v>22</v>
      </c>
      <c r="G11" s="64">
        <f>Rohdaten!FC12</f>
        <v>19</v>
      </c>
      <c r="H11" s="64">
        <f>Rohdaten!GG12</f>
        <v>18</v>
      </c>
      <c r="I11" s="64">
        <f>Rohdaten!HK12</f>
        <v>17</v>
      </c>
      <c r="J11" s="77">
        <f>Rohdaten!IO12</f>
        <v>27</v>
      </c>
    </row>
    <row r="12" spans="1:11" x14ac:dyDescent="0.25">
      <c r="A12" s="60" t="s">
        <v>88</v>
      </c>
      <c r="B12" s="60">
        <f>Rohdaten!I22</f>
        <v>18</v>
      </c>
      <c r="C12" s="64">
        <f>Rohdaten!AM22</f>
        <v>16</v>
      </c>
      <c r="D12" s="64">
        <f>Rohdaten!BQ22</f>
        <v>22</v>
      </c>
      <c r="E12" s="64">
        <f>Rohdaten!CU22</f>
        <v>20</v>
      </c>
      <c r="F12" s="64">
        <f>Rohdaten!DY22</f>
        <v>23</v>
      </c>
      <c r="G12" s="64">
        <f>Rohdaten!FC22</f>
        <v>19</v>
      </c>
      <c r="H12" s="64">
        <f>Rohdaten!GG22</f>
        <v>18</v>
      </c>
      <c r="I12" s="64">
        <f>Rohdaten!HK22</f>
        <v>18</v>
      </c>
      <c r="J12" s="77">
        <f>Rohdaten!IO22</f>
        <v>21</v>
      </c>
    </row>
    <row r="13" spans="1:11" x14ac:dyDescent="0.25">
      <c r="A13" s="60" t="s">
        <v>9</v>
      </c>
      <c r="B13" s="60">
        <f>Rohdaten!K23</f>
        <v>6</v>
      </c>
      <c r="C13" s="64">
        <f>Rohdaten!AO23</f>
        <v>7</v>
      </c>
      <c r="D13" s="64">
        <f>Rohdaten!BS23</f>
        <v>5</v>
      </c>
      <c r="E13" s="64">
        <f>Rohdaten!CW23</f>
        <v>6</v>
      </c>
      <c r="F13" s="64">
        <f>Rohdaten!EA23</f>
        <v>0</v>
      </c>
      <c r="G13" s="64">
        <f>Rohdaten!FE23</f>
        <v>3</v>
      </c>
      <c r="H13" s="64">
        <f>Rohdaten!GI23</f>
        <v>1</v>
      </c>
      <c r="I13" s="64">
        <f>Rohdaten!HM23</f>
        <v>1</v>
      </c>
      <c r="J13" s="77">
        <f>Rohdaten!IQ23</f>
        <v>5</v>
      </c>
    </row>
    <row r="14" spans="1:11" x14ac:dyDescent="0.25">
      <c r="A14" s="60" t="s">
        <v>95</v>
      </c>
      <c r="B14" s="60">
        <f>Rohdaten!M23</f>
        <v>3</v>
      </c>
      <c r="C14" s="64">
        <f>Rohdaten!AQ23</f>
        <v>1</v>
      </c>
      <c r="D14" s="64">
        <f>Rohdaten!BU23</f>
        <v>0</v>
      </c>
      <c r="E14" s="64">
        <f>Rohdaten!CY23</f>
        <v>0</v>
      </c>
      <c r="F14" s="64">
        <f>Rohdaten!EC23</f>
        <v>0</v>
      </c>
      <c r="G14" s="64">
        <f>Rohdaten!FG23</f>
        <v>1</v>
      </c>
      <c r="H14" s="64">
        <f>Rohdaten!GK23</f>
        <v>1</v>
      </c>
      <c r="I14" s="64">
        <f>Rohdaten!HO23</f>
        <v>1</v>
      </c>
      <c r="J14" s="77">
        <f>Rohdaten!IS23</f>
        <v>0</v>
      </c>
    </row>
    <row r="15" spans="1:11" x14ac:dyDescent="0.25">
      <c r="A15" s="71" t="s">
        <v>93</v>
      </c>
      <c r="B15" s="126">
        <f>Rohdaten!O23</f>
        <v>8.8000000000000007</v>
      </c>
      <c r="C15" s="127">
        <f>Rohdaten!AS23</f>
        <v>8.3500000000000014</v>
      </c>
      <c r="D15" s="128">
        <f>Rohdaten!BW23</f>
        <v>19.25</v>
      </c>
      <c r="E15" s="128">
        <f>Rohdaten!DA23</f>
        <v>17.8</v>
      </c>
      <c r="F15" s="128">
        <f>Rohdaten!EE23</f>
        <v>22.5</v>
      </c>
      <c r="G15" s="128">
        <f>Rohdaten!FI23</f>
        <v>14.149999999999999</v>
      </c>
      <c r="H15" s="128">
        <f>Rohdaten!GM23</f>
        <v>13.05</v>
      </c>
      <c r="I15" s="128">
        <f>Rohdaten!HQ23</f>
        <v>12.05</v>
      </c>
      <c r="J15" s="161">
        <f>Rohdaten!IU23</f>
        <v>23.25</v>
      </c>
    </row>
    <row r="16" spans="1:11" x14ac:dyDescent="0.25">
      <c r="A16" s="65" t="s">
        <v>91</v>
      </c>
      <c r="B16" s="65">
        <f>Rohdaten!P23</f>
        <v>1</v>
      </c>
      <c r="C16" s="75">
        <f>Rohdaten!AT23</f>
        <v>0</v>
      </c>
      <c r="D16" s="75">
        <f>Rohdaten!BX23</f>
        <v>0</v>
      </c>
      <c r="E16" s="75">
        <f>Rohdaten!DB23</f>
        <v>0</v>
      </c>
      <c r="F16" s="75">
        <f>Rohdaten!EF23</f>
        <v>0</v>
      </c>
      <c r="G16" s="75">
        <f>Rohdaten!FJ23</f>
        <v>0</v>
      </c>
      <c r="H16" s="75">
        <f>Rohdaten!GN23</f>
        <v>0</v>
      </c>
      <c r="I16" s="75">
        <f>Rohdaten!HR23</f>
        <v>0</v>
      </c>
      <c r="J16" s="76">
        <f>Rohdaten!IV23</f>
        <v>0</v>
      </c>
    </row>
    <row r="17" spans="1:10" x14ac:dyDescent="0.25">
      <c r="A17" s="60" t="s">
        <v>50</v>
      </c>
      <c r="B17" s="60">
        <f>Rohdaten!R23</f>
        <v>7</v>
      </c>
      <c r="C17" s="64">
        <f>Rohdaten!AV23</f>
        <v>7</v>
      </c>
      <c r="D17" s="64">
        <f>Rohdaten!BZ23</f>
        <v>2</v>
      </c>
      <c r="E17" s="64">
        <f>Rohdaten!DD23</f>
        <v>2</v>
      </c>
      <c r="F17" s="64">
        <f>Rohdaten!EH23</f>
        <v>0</v>
      </c>
      <c r="G17" s="64">
        <f>Rohdaten!FL23</f>
        <v>2</v>
      </c>
      <c r="H17" s="64">
        <f>Rohdaten!GP23</f>
        <v>2</v>
      </c>
      <c r="I17" s="64">
        <f>Rohdaten!HT23</f>
        <v>2</v>
      </c>
      <c r="J17" s="77">
        <f>Rohdaten!IX23</f>
        <v>1</v>
      </c>
    </row>
    <row r="18" spans="1:10" x14ac:dyDescent="0.25">
      <c r="A18" s="60" t="s">
        <v>51</v>
      </c>
      <c r="B18" s="60">
        <f>Rohdaten!T23</f>
        <v>9</v>
      </c>
      <c r="C18" s="64">
        <f>Rohdaten!AX23</f>
        <v>6</v>
      </c>
      <c r="D18" s="64">
        <f>Rohdaten!CB23</f>
        <v>7</v>
      </c>
      <c r="E18" s="64">
        <f>Rohdaten!DF23</f>
        <v>9</v>
      </c>
      <c r="F18" s="64">
        <f>Rohdaten!EJ23</f>
        <v>2</v>
      </c>
      <c r="G18" s="64">
        <f>Rohdaten!FN23</f>
        <v>7</v>
      </c>
      <c r="H18" s="64">
        <f>Rohdaten!GR23</f>
        <v>4</v>
      </c>
      <c r="I18" s="64">
        <f>Rohdaten!HV23</f>
        <v>4</v>
      </c>
      <c r="J18" s="77">
        <f>Rohdaten!IZ23</f>
        <v>4</v>
      </c>
    </row>
    <row r="19" spans="1:10" x14ac:dyDescent="0.25">
      <c r="A19" s="71" t="s">
        <v>55</v>
      </c>
      <c r="B19" s="71">
        <f>Rohdaten!V23</f>
        <v>1</v>
      </c>
      <c r="C19" s="62">
        <f>Rohdaten!AZ23</f>
        <v>5</v>
      </c>
      <c r="D19" s="62">
        <f>Rohdaten!CD23</f>
        <v>9</v>
      </c>
      <c r="E19" s="62">
        <f>Rohdaten!DH23</f>
        <v>7</v>
      </c>
      <c r="F19" s="62">
        <f>Rohdaten!EL23</f>
        <v>16</v>
      </c>
      <c r="G19" s="62">
        <f>Rohdaten!FP23</f>
        <v>9</v>
      </c>
      <c r="H19" s="62">
        <f>Rohdaten!GT23</f>
        <v>12</v>
      </c>
      <c r="I19" s="62">
        <f>Rohdaten!HX23</f>
        <v>12</v>
      </c>
      <c r="J19" s="78">
        <f>Rohdaten!JB23</f>
        <v>13</v>
      </c>
    </row>
    <row r="20" spans="1:10" x14ac:dyDescent="0.25">
      <c r="A20" s="65" t="s">
        <v>38</v>
      </c>
      <c r="B20" s="65">
        <f>Rohdaten!X23</f>
        <v>0</v>
      </c>
      <c r="C20" s="75">
        <f>Rohdaten!BB23</f>
        <v>0</v>
      </c>
      <c r="D20" s="75">
        <f>Rohdaten!CF23</f>
        <v>0</v>
      </c>
      <c r="E20" s="75">
        <f>Rohdaten!DJ23</f>
        <v>0</v>
      </c>
      <c r="F20" s="75">
        <f>Rohdaten!EN23</f>
        <v>0</v>
      </c>
      <c r="G20" s="75">
        <f>Rohdaten!FR23</f>
        <v>0</v>
      </c>
      <c r="H20" s="75">
        <f>Rohdaten!GV23</f>
        <v>0</v>
      </c>
      <c r="I20" s="75">
        <f>Rohdaten!HZ23</f>
        <v>0</v>
      </c>
      <c r="J20" s="76">
        <f>Rohdaten!JD23</f>
        <v>0</v>
      </c>
    </row>
    <row r="21" spans="1:10" x14ac:dyDescent="0.25">
      <c r="A21" s="60" t="s">
        <v>15</v>
      </c>
      <c r="B21" s="60">
        <f>Rohdaten!Z23</f>
        <v>4</v>
      </c>
      <c r="C21" s="64">
        <f>Rohdaten!BD23</f>
        <v>3</v>
      </c>
      <c r="D21" s="64">
        <f>Rohdaten!CH23</f>
        <v>0</v>
      </c>
      <c r="E21" s="64">
        <f>Rohdaten!DL23</f>
        <v>2</v>
      </c>
      <c r="F21" s="64">
        <f>Rohdaten!EP23</f>
        <v>0</v>
      </c>
      <c r="G21" s="64">
        <f>Rohdaten!FT23</f>
        <v>3</v>
      </c>
      <c r="H21" s="64">
        <f>Rohdaten!GX23</f>
        <v>3</v>
      </c>
      <c r="I21" s="64">
        <f>Rohdaten!IB23</f>
        <v>3</v>
      </c>
      <c r="J21" s="77">
        <f>Rohdaten!JF23</f>
        <v>0</v>
      </c>
    </row>
    <row r="22" spans="1:10" x14ac:dyDescent="0.25">
      <c r="A22" s="60" t="s">
        <v>73</v>
      </c>
      <c r="B22" s="60">
        <f>Rohdaten!AB23</f>
        <v>13</v>
      </c>
      <c r="C22" s="64">
        <f>Rohdaten!BF23</f>
        <v>14</v>
      </c>
      <c r="D22" s="64">
        <f>Rohdaten!CJ23</f>
        <v>10</v>
      </c>
      <c r="E22" s="64">
        <f>Rohdaten!DN23</f>
        <v>8</v>
      </c>
      <c r="F22" s="64">
        <f>Rohdaten!ER23</f>
        <v>10</v>
      </c>
      <c r="G22" s="64">
        <f>Rohdaten!FV23</f>
        <v>10</v>
      </c>
      <c r="H22" s="64">
        <f>Rohdaten!GZ23</f>
        <v>12</v>
      </c>
      <c r="I22" s="64">
        <f>Rohdaten!ID23</f>
        <v>13</v>
      </c>
      <c r="J22" s="77">
        <f>Rohdaten!JH23</f>
        <v>9</v>
      </c>
    </row>
    <row r="23" spans="1:10" x14ac:dyDescent="0.25">
      <c r="A23" s="71" t="s">
        <v>17</v>
      </c>
      <c r="B23" s="71">
        <f>Rohdaten!AD23</f>
        <v>1</v>
      </c>
      <c r="C23" s="62">
        <f>Rohdaten!BH23</f>
        <v>1</v>
      </c>
      <c r="D23" s="62">
        <f>Rohdaten!CL23</f>
        <v>8</v>
      </c>
      <c r="E23" s="62">
        <f>Rohdaten!DP23</f>
        <v>8</v>
      </c>
      <c r="F23" s="62">
        <f>Rohdaten!ET23</f>
        <v>8</v>
      </c>
      <c r="G23" s="62">
        <f>Rohdaten!FX23</f>
        <v>5</v>
      </c>
      <c r="H23" s="62">
        <f>Rohdaten!HB23</f>
        <v>3</v>
      </c>
      <c r="I23" s="62">
        <f>Rohdaten!IF23</f>
        <v>2</v>
      </c>
      <c r="J23" s="78">
        <f>Rohdaten!JJ23</f>
        <v>9</v>
      </c>
    </row>
    <row r="24" spans="1:10" x14ac:dyDescent="0.25">
      <c r="A24" s="65" t="s">
        <v>49</v>
      </c>
      <c r="B24" s="96">
        <f>B10/18</f>
        <v>1.8888888888888888</v>
      </c>
      <c r="C24" s="97">
        <f t="shared" ref="C24:J24" si="1">C10/18</f>
        <v>1.8888888888888888</v>
      </c>
      <c r="D24" s="97">
        <f t="shared" si="1"/>
        <v>2.4444444444444446</v>
      </c>
      <c r="E24" s="97">
        <f t="shared" si="1"/>
        <v>2.3888888888888888</v>
      </c>
      <c r="F24" s="97">
        <f>F10/18</f>
        <v>2.5</v>
      </c>
      <c r="G24" s="97">
        <f t="shared" si="1"/>
        <v>2.1111111111111112</v>
      </c>
      <c r="H24" s="97">
        <f t="shared" si="1"/>
        <v>2</v>
      </c>
      <c r="I24" s="97">
        <f t="shared" si="1"/>
        <v>1.9444444444444444</v>
      </c>
      <c r="J24" s="98">
        <f t="shared" si="1"/>
        <v>2.6666666666666665</v>
      </c>
    </row>
    <row r="25" spans="1:10" x14ac:dyDescent="0.25">
      <c r="A25" s="65" t="s">
        <v>19</v>
      </c>
      <c r="B25" s="66">
        <f>Rohdaten!AF23</f>
        <v>0.75</v>
      </c>
      <c r="C25" s="67">
        <f>Rohdaten!BJ23</f>
        <v>1.25</v>
      </c>
      <c r="D25" s="67">
        <f>Rohdaten!CN23</f>
        <v>1.75</v>
      </c>
      <c r="E25" s="67">
        <f>Rohdaten!DR23</f>
        <v>1.25</v>
      </c>
      <c r="F25" s="67">
        <f>Rohdaten!EV23</f>
        <v>2.75</v>
      </c>
      <c r="G25" s="67">
        <f>Rohdaten!FZ23</f>
        <v>1.5</v>
      </c>
      <c r="H25" s="67">
        <f>Rohdaten!HD23</f>
        <v>1.25</v>
      </c>
      <c r="I25" s="67">
        <f>Rohdaten!IH23</f>
        <v>2.5</v>
      </c>
      <c r="J25" s="68">
        <f>Rohdaten!JL23</f>
        <v>2</v>
      </c>
    </row>
    <row r="26" spans="1:10" x14ac:dyDescent="0.25">
      <c r="A26" s="60" t="s">
        <v>20</v>
      </c>
      <c r="B26" s="61">
        <f>Rohdaten!AG23</f>
        <v>0.4</v>
      </c>
      <c r="C26" s="69">
        <f>Rohdaten!BK23</f>
        <v>1</v>
      </c>
      <c r="D26" s="69">
        <f>Rohdaten!CO23</f>
        <v>2.2999999999999998</v>
      </c>
      <c r="E26" s="69">
        <f>Rohdaten!DS23</f>
        <v>1.2</v>
      </c>
      <c r="F26" s="69">
        <f>Rohdaten!EW23</f>
        <v>3.6</v>
      </c>
      <c r="G26" s="69">
        <f>Rohdaten!GA23</f>
        <v>1.6</v>
      </c>
      <c r="H26" s="69">
        <f>Rohdaten!HE23</f>
        <v>2.9</v>
      </c>
      <c r="I26" s="69">
        <f>Rohdaten!II23</f>
        <v>1.6</v>
      </c>
      <c r="J26" s="70">
        <f>Rohdaten!JM23</f>
        <v>3</v>
      </c>
    </row>
    <row r="27" spans="1:10" x14ac:dyDescent="0.25">
      <c r="A27" s="71" t="s">
        <v>21</v>
      </c>
      <c r="B27" s="72">
        <f>Rohdaten!AH23</f>
        <v>0.75</v>
      </c>
      <c r="C27" s="73">
        <f>Rohdaten!BL23</f>
        <v>1.5</v>
      </c>
      <c r="D27" s="73">
        <f>Rohdaten!CP23</f>
        <v>1.5</v>
      </c>
      <c r="E27" s="73">
        <f>Rohdaten!DT23</f>
        <v>3</v>
      </c>
      <c r="F27" s="73">
        <f>Rohdaten!EX23</f>
        <v>4.25</v>
      </c>
      <c r="G27" s="73">
        <f>Rohdaten!GB23</f>
        <v>1.75</v>
      </c>
      <c r="H27" s="73">
        <f>Rohdaten!HF23</f>
        <v>4.25</v>
      </c>
      <c r="I27" s="73">
        <f>Rohdaten!IJ23</f>
        <v>1.5</v>
      </c>
      <c r="J27" s="74">
        <f>Rohdaten!JN23</f>
        <v>2.75</v>
      </c>
    </row>
    <row r="30" spans="1:10" x14ac:dyDescent="0.25">
      <c r="A30" s="131" t="s">
        <v>102</v>
      </c>
      <c r="B30" s="132" t="str" cm="1">
        <f t="array" ref="B30:J30">_xlfn.SORTBY(B$1:J$1,B8:J8)</f>
        <v>Manu</v>
      </c>
      <c r="C30" s="133" t="str">
        <v>Jens</v>
      </c>
      <c r="D30" s="133" t="str">
        <v>Aui</v>
      </c>
      <c r="E30" s="133" t="str">
        <v>Parli</v>
      </c>
      <c r="F30" s="133" t="str">
        <v>Pulfer</v>
      </c>
      <c r="G30" s="133" t="str">
        <v>Lenz</v>
      </c>
      <c r="H30" s="133" t="str">
        <v>Meiky</v>
      </c>
      <c r="I30" s="133" t="str">
        <v>Sutti</v>
      </c>
      <c r="J30" s="118" t="str">
        <v>Köbi</v>
      </c>
    </row>
    <row r="31" spans="1:10" x14ac:dyDescent="0.25">
      <c r="A31" s="134" t="str">
        <f>A8</f>
        <v>Schläge Netto über Par</v>
      </c>
      <c r="B31" s="134" cm="1">
        <f t="array" ref="B31:J31">_xlfn.SORTBY(B8:J8,B$8:J$8)</f>
        <v>-4.9999999999999858</v>
      </c>
      <c r="C31" s="142">
        <v>6</v>
      </c>
      <c r="D31" s="142">
        <v>6.9999999999999716</v>
      </c>
      <c r="E31" s="142">
        <v>10.999999999999986</v>
      </c>
      <c r="F31" s="142">
        <v>11</v>
      </c>
      <c r="G31" s="142">
        <v>16</v>
      </c>
      <c r="H31" s="142">
        <v>16.999999999999986</v>
      </c>
      <c r="I31" s="142">
        <v>19</v>
      </c>
      <c r="J31" s="119">
        <v>19</v>
      </c>
    </row>
    <row r="32" spans="1:10" x14ac:dyDescent="0.25">
      <c r="A32" s="137" t="str">
        <f>A3</f>
        <v>Schläge</v>
      </c>
      <c r="B32" s="156" cm="1">
        <f t="array" ref="B32:J32">_xlfn.SORTBY(B3:J3,B$8:J$8)</f>
        <v>82</v>
      </c>
      <c r="C32" s="157">
        <v>101</v>
      </c>
      <c r="D32" s="157">
        <v>121</v>
      </c>
      <c r="E32" s="157">
        <v>93</v>
      </c>
      <c r="F32" s="157">
        <v>101</v>
      </c>
      <c r="G32" s="157">
        <v>104</v>
      </c>
      <c r="H32" s="157">
        <v>108</v>
      </c>
      <c r="I32" s="157">
        <v>136</v>
      </c>
      <c r="J32" s="80">
        <v>123</v>
      </c>
    </row>
    <row r="33" spans="1:10" x14ac:dyDescent="0.25">
      <c r="A33" s="140" t="s">
        <v>44</v>
      </c>
      <c r="B33" s="158" cm="1">
        <f t="array" ref="B33:J33">_xlfn.SORTBY(B6:J6,B$8:J$8)</f>
        <v>10</v>
      </c>
      <c r="C33" s="159">
        <v>29</v>
      </c>
      <c r="D33" s="159">
        <v>49</v>
      </c>
      <c r="E33" s="159">
        <v>21</v>
      </c>
      <c r="F33" s="159">
        <v>29</v>
      </c>
      <c r="G33" s="159">
        <v>32</v>
      </c>
      <c r="H33" s="159">
        <v>36</v>
      </c>
      <c r="I33" s="159">
        <v>64</v>
      </c>
      <c r="J33" s="160">
        <v>51</v>
      </c>
    </row>
    <row r="34" spans="1:10" x14ac:dyDescent="0.25">
      <c r="A34" s="134" t="str">
        <f>A24</f>
        <v>Ø Putts pro Loch</v>
      </c>
      <c r="B34" s="135" cm="1">
        <f t="array" ref="B34:J34">_xlfn.SORTBY(B24:J24,B$8:J$8)</f>
        <v>1.8888888888888888</v>
      </c>
      <c r="C34" s="136">
        <v>2.1111111111111112</v>
      </c>
      <c r="D34" s="136">
        <v>2.6666666666666665</v>
      </c>
      <c r="E34" s="136">
        <v>1.8888888888888888</v>
      </c>
      <c r="F34" s="136">
        <v>2.3888888888888888</v>
      </c>
      <c r="G34" s="136">
        <v>1.9444444444444444</v>
      </c>
      <c r="H34" s="136">
        <v>2.4444444444444446</v>
      </c>
      <c r="I34" s="136">
        <v>2.5</v>
      </c>
      <c r="J34" s="101">
        <v>2</v>
      </c>
    </row>
    <row r="35" spans="1:10" x14ac:dyDescent="0.25">
      <c r="A35" s="140" t="str">
        <f>A15</f>
        <v>Unnötige Putts</v>
      </c>
      <c r="B35" s="141" cm="1">
        <f t="array" ref="B35:J35">_xlfn.SORTBY(B15:J15,B$8:J$8)</f>
        <v>8.8000000000000007</v>
      </c>
      <c r="C35" s="130">
        <v>14.149999999999999</v>
      </c>
      <c r="D35" s="130">
        <v>23.25</v>
      </c>
      <c r="E35" s="130">
        <v>8.3500000000000014</v>
      </c>
      <c r="F35" s="130">
        <v>17.8</v>
      </c>
      <c r="G35" s="130">
        <v>12.05</v>
      </c>
      <c r="H35" s="130">
        <v>19.25</v>
      </c>
      <c r="I35" s="130">
        <v>22.5</v>
      </c>
      <c r="J35" s="120">
        <v>13.05</v>
      </c>
    </row>
    <row r="36" spans="1:10" x14ac:dyDescent="0.25">
      <c r="A36" s="134" t="str">
        <f>A13</f>
        <v>GIR</v>
      </c>
      <c r="B36" s="135" cm="1">
        <f t="array" ref="B36:J36">_xlfn.SORTBY(B13:J13,B$8:J$8)</f>
        <v>6</v>
      </c>
      <c r="C36" s="136">
        <v>3</v>
      </c>
      <c r="D36" s="136">
        <v>5</v>
      </c>
      <c r="E36" s="136">
        <v>7</v>
      </c>
      <c r="F36" s="136">
        <v>6</v>
      </c>
      <c r="G36" s="136">
        <v>1</v>
      </c>
      <c r="H36" s="136">
        <v>5</v>
      </c>
      <c r="I36" s="136">
        <v>0</v>
      </c>
      <c r="J36" s="119">
        <v>1</v>
      </c>
    </row>
    <row r="37" spans="1:10" x14ac:dyDescent="0.25">
      <c r="A37" s="140" t="str">
        <f>A14</f>
        <v>Scramble</v>
      </c>
      <c r="B37" s="141" cm="1">
        <f t="array" ref="B37:J37">_xlfn.SORTBY(B14:J14,B$8:J$8)</f>
        <v>3</v>
      </c>
      <c r="C37" s="130">
        <v>1</v>
      </c>
      <c r="D37" s="130">
        <v>0</v>
      </c>
      <c r="E37" s="130">
        <v>1</v>
      </c>
      <c r="F37" s="130">
        <v>0</v>
      </c>
      <c r="G37" s="130">
        <v>1</v>
      </c>
      <c r="H37" s="130">
        <v>0</v>
      </c>
      <c r="I37" s="130">
        <v>0</v>
      </c>
      <c r="J37" s="120">
        <v>1</v>
      </c>
    </row>
    <row r="38" spans="1:10" x14ac:dyDescent="0.25">
      <c r="A38" s="134" t="str">
        <f t="shared" ref="A38:A45" si="2">A16</f>
        <v>Birdies</v>
      </c>
      <c r="B38" s="135" cm="1">
        <f t="array" ref="B38:J38">_xlfn.SORTBY(B16:J16,B$8:J$8)</f>
        <v>1</v>
      </c>
      <c r="C38" s="136">
        <v>0</v>
      </c>
      <c r="D38" s="136">
        <v>0</v>
      </c>
      <c r="E38" s="136">
        <v>0</v>
      </c>
      <c r="F38" s="136">
        <v>0</v>
      </c>
      <c r="G38" s="136">
        <v>0</v>
      </c>
      <c r="H38" s="136">
        <v>0</v>
      </c>
      <c r="I38" s="136">
        <v>0</v>
      </c>
      <c r="J38" s="119">
        <v>0</v>
      </c>
    </row>
    <row r="39" spans="1:10" x14ac:dyDescent="0.25">
      <c r="A39" s="137" t="str">
        <f t="shared" si="2"/>
        <v>Pars</v>
      </c>
      <c r="B39" s="138" cm="1">
        <f t="array" ref="B39:J39">_xlfn.SORTBY(B17:J17,B$8:J$8)</f>
        <v>7</v>
      </c>
      <c r="C39" s="139">
        <v>2</v>
      </c>
      <c r="D39" s="139">
        <v>1</v>
      </c>
      <c r="E39" s="139">
        <v>7</v>
      </c>
      <c r="F39" s="139">
        <v>2</v>
      </c>
      <c r="G39" s="139">
        <v>2</v>
      </c>
      <c r="H39" s="139">
        <v>2</v>
      </c>
      <c r="I39" s="139">
        <v>0</v>
      </c>
      <c r="J39" s="121">
        <v>2</v>
      </c>
    </row>
    <row r="40" spans="1:10" x14ac:dyDescent="0.25">
      <c r="A40" s="137" t="str">
        <f t="shared" si="2"/>
        <v>Bogeys</v>
      </c>
      <c r="B40" s="138" cm="1">
        <f t="array" ref="B40:J40">_xlfn.SORTBY(B18:J18,B$8:J$8)</f>
        <v>9</v>
      </c>
      <c r="C40" s="139">
        <v>7</v>
      </c>
      <c r="D40" s="139">
        <v>4</v>
      </c>
      <c r="E40" s="139">
        <v>6</v>
      </c>
      <c r="F40" s="139">
        <v>9</v>
      </c>
      <c r="G40" s="139">
        <v>4</v>
      </c>
      <c r="H40" s="139">
        <v>7</v>
      </c>
      <c r="I40" s="139">
        <v>2</v>
      </c>
      <c r="J40" s="121">
        <v>4</v>
      </c>
    </row>
    <row r="41" spans="1:10" x14ac:dyDescent="0.25">
      <c r="A41" s="140" t="str">
        <f t="shared" si="2"/>
        <v>Double Bogey +</v>
      </c>
      <c r="B41" s="141" cm="1">
        <f t="array" ref="B41:J41">_xlfn.SORTBY(B19:J19,B$8:J$8)</f>
        <v>1</v>
      </c>
      <c r="C41" s="130">
        <v>9</v>
      </c>
      <c r="D41" s="130">
        <v>13</v>
      </c>
      <c r="E41" s="130">
        <v>5</v>
      </c>
      <c r="F41" s="130">
        <v>7</v>
      </c>
      <c r="G41" s="130">
        <v>12</v>
      </c>
      <c r="H41" s="130">
        <v>9</v>
      </c>
      <c r="I41" s="130">
        <v>16</v>
      </c>
      <c r="J41" s="120">
        <v>12</v>
      </c>
    </row>
    <row r="42" spans="1:10" x14ac:dyDescent="0.25">
      <c r="A42" s="134" t="str">
        <f t="shared" si="2"/>
        <v>Chip in</v>
      </c>
      <c r="B42" s="135" cm="1">
        <f t="array" ref="B42:J42">_xlfn.SORTBY(B20:J20,B$8:J$8)</f>
        <v>0</v>
      </c>
      <c r="C42" s="136">
        <v>0</v>
      </c>
      <c r="D42" s="136">
        <v>0</v>
      </c>
      <c r="E42" s="136">
        <v>0</v>
      </c>
      <c r="F42" s="136">
        <v>0</v>
      </c>
      <c r="G42" s="136">
        <v>0</v>
      </c>
      <c r="H42" s="136">
        <v>0</v>
      </c>
      <c r="I42" s="136">
        <v>0</v>
      </c>
      <c r="J42" s="119">
        <v>0</v>
      </c>
    </row>
    <row r="43" spans="1:10" x14ac:dyDescent="0.25">
      <c r="A43" s="137" t="str">
        <f t="shared" si="2"/>
        <v>1 Put</v>
      </c>
      <c r="B43" s="138" cm="1">
        <f t="array" ref="B43:J43">_xlfn.SORTBY(B21:J21,B$8:J$8)</f>
        <v>4</v>
      </c>
      <c r="C43" s="139">
        <v>3</v>
      </c>
      <c r="D43" s="139">
        <v>0</v>
      </c>
      <c r="E43" s="139">
        <v>3</v>
      </c>
      <c r="F43" s="139">
        <v>2</v>
      </c>
      <c r="G43" s="139">
        <v>3</v>
      </c>
      <c r="H43" s="139">
        <v>0</v>
      </c>
      <c r="I43" s="139">
        <v>0</v>
      </c>
      <c r="J43" s="121">
        <v>3</v>
      </c>
    </row>
    <row r="44" spans="1:10" x14ac:dyDescent="0.25">
      <c r="A44" s="137" t="str">
        <f t="shared" si="2"/>
        <v>2 Put</v>
      </c>
      <c r="B44" s="138" cm="1">
        <f t="array" ref="B44:J44">_xlfn.SORTBY(B22:J22,B$8:J$8)</f>
        <v>13</v>
      </c>
      <c r="C44" s="139">
        <v>10</v>
      </c>
      <c r="D44" s="139">
        <v>9</v>
      </c>
      <c r="E44" s="139">
        <v>14</v>
      </c>
      <c r="F44" s="139">
        <v>8</v>
      </c>
      <c r="G44" s="139">
        <v>13</v>
      </c>
      <c r="H44" s="139">
        <v>10</v>
      </c>
      <c r="I44" s="139">
        <v>10</v>
      </c>
      <c r="J44" s="121">
        <v>12</v>
      </c>
    </row>
    <row r="45" spans="1:10" x14ac:dyDescent="0.25">
      <c r="A45" s="140" t="str">
        <f t="shared" si="2"/>
        <v>3+ Put</v>
      </c>
      <c r="B45" s="141" cm="1">
        <f t="array" ref="B45:J45">_xlfn.SORTBY(B23:J23,B$8:J$8)</f>
        <v>1</v>
      </c>
      <c r="C45" s="130">
        <v>5</v>
      </c>
      <c r="D45" s="130">
        <v>9</v>
      </c>
      <c r="E45" s="130">
        <v>1</v>
      </c>
      <c r="F45" s="130">
        <v>8</v>
      </c>
      <c r="G45" s="130">
        <v>2</v>
      </c>
      <c r="H45" s="130">
        <v>8</v>
      </c>
      <c r="I45" s="130">
        <v>8</v>
      </c>
      <c r="J45" s="120">
        <v>3</v>
      </c>
    </row>
    <row r="46" spans="1:10" x14ac:dyDescent="0.25">
      <c r="A46" s="134" t="str">
        <f t="shared" ref="A46:A48" si="3">A25</f>
        <v>Par3 Perf</v>
      </c>
      <c r="B46" s="135" cm="1">
        <f t="array" ref="B46:J46">_xlfn.SORTBY(B25:J25,B$8:J$8)</f>
        <v>0.75</v>
      </c>
      <c r="C46" s="136">
        <v>1.5</v>
      </c>
      <c r="D46" s="136">
        <v>2</v>
      </c>
      <c r="E46" s="136">
        <v>1.25</v>
      </c>
      <c r="F46" s="136">
        <v>1.25</v>
      </c>
      <c r="G46" s="136">
        <v>2.5</v>
      </c>
      <c r="H46" s="136">
        <v>1.75</v>
      </c>
      <c r="I46" s="136">
        <v>2.75</v>
      </c>
      <c r="J46" s="119">
        <v>1.25</v>
      </c>
    </row>
    <row r="47" spans="1:10" x14ac:dyDescent="0.25">
      <c r="A47" s="137" t="str">
        <f t="shared" si="3"/>
        <v>Par4 Perf</v>
      </c>
      <c r="B47" s="138" cm="1">
        <f t="array" ref="B47:J47">_xlfn.SORTBY(B26:J26,B$8:J$8)</f>
        <v>0.4</v>
      </c>
      <c r="C47" s="139">
        <v>1.6</v>
      </c>
      <c r="D47" s="139">
        <v>3</v>
      </c>
      <c r="E47" s="139">
        <v>1</v>
      </c>
      <c r="F47" s="139">
        <v>1.2</v>
      </c>
      <c r="G47" s="139">
        <v>1.6</v>
      </c>
      <c r="H47" s="139">
        <v>2.2999999999999998</v>
      </c>
      <c r="I47" s="139">
        <v>3.6</v>
      </c>
      <c r="J47" s="121">
        <v>2.9</v>
      </c>
    </row>
    <row r="48" spans="1:10" x14ac:dyDescent="0.25">
      <c r="A48" s="140" t="str">
        <f t="shared" si="3"/>
        <v>Par5 Perf</v>
      </c>
      <c r="B48" s="141" cm="1">
        <f t="array" ref="B48:J48">_xlfn.SORTBY(B27:J27,B$8:J$8)</f>
        <v>0.75</v>
      </c>
      <c r="C48" s="130">
        <v>1.75</v>
      </c>
      <c r="D48" s="130">
        <v>2.75</v>
      </c>
      <c r="E48" s="130">
        <v>1.5</v>
      </c>
      <c r="F48" s="130">
        <v>3</v>
      </c>
      <c r="G48" s="130">
        <v>1.5</v>
      </c>
      <c r="H48" s="130">
        <v>1.5</v>
      </c>
      <c r="I48" s="130">
        <v>4.25</v>
      </c>
      <c r="J48" s="120">
        <v>4.25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692D-A226-4FDA-ADDF-0C2795DE809E}">
  <dimension ref="A1:J27"/>
  <sheetViews>
    <sheetView workbookViewId="0">
      <selection activeCell="J6" sqref="J6"/>
    </sheetView>
  </sheetViews>
  <sheetFormatPr baseColWidth="10" defaultColWidth="11.5546875" defaultRowHeight="13.2" x14ac:dyDescent="0.25"/>
  <cols>
    <col min="1" max="1" width="27.33203125" style="58" bestFit="1" customWidth="1"/>
    <col min="2" max="9" width="11.5546875" style="58"/>
    <col min="10" max="10" width="11.5546875" style="58" customWidth="1"/>
    <col min="11" max="16384" width="11.5546875" style="58"/>
  </cols>
  <sheetData>
    <row r="1" spans="1:10" x14ac:dyDescent="0.25">
      <c r="A1" s="81" t="s">
        <v>83</v>
      </c>
      <c r="B1" s="122" t="s">
        <v>40</v>
      </c>
      <c r="C1" s="123" t="s">
        <v>41</v>
      </c>
      <c r="D1" s="123" t="s">
        <v>42</v>
      </c>
      <c r="E1" s="123" t="s">
        <v>43</v>
      </c>
      <c r="F1" s="123" t="s">
        <v>107</v>
      </c>
      <c r="G1" s="123" t="s">
        <v>69</v>
      </c>
      <c r="H1" s="123" t="s">
        <v>70</v>
      </c>
      <c r="I1" s="123" t="s">
        <v>71</v>
      </c>
      <c r="J1" s="124" t="s">
        <v>108</v>
      </c>
    </row>
    <row r="2" spans="1:10" x14ac:dyDescent="0.25">
      <c r="A2" s="85" t="s">
        <v>72</v>
      </c>
      <c r="B2" s="86">
        <v>15</v>
      </c>
      <c r="C2" s="87">
        <v>10</v>
      </c>
      <c r="D2" s="87">
        <v>19</v>
      </c>
      <c r="E2" s="87">
        <v>18</v>
      </c>
      <c r="F2" s="123">
        <v>45</v>
      </c>
      <c r="G2" s="123">
        <v>23</v>
      </c>
      <c r="H2" s="87">
        <v>32</v>
      </c>
      <c r="I2" s="87">
        <v>16</v>
      </c>
      <c r="J2" s="88">
        <v>42</v>
      </c>
    </row>
    <row r="3" spans="1:10" x14ac:dyDescent="0.25">
      <c r="A3" s="112" t="s">
        <v>5</v>
      </c>
      <c r="B3" s="65">
        <f>Rohdaten!G46</f>
        <v>90</v>
      </c>
      <c r="C3" s="75">
        <f>Rohdaten!AK46</f>
        <v>80</v>
      </c>
      <c r="D3" s="75">
        <f>Rohdaten!BO46</f>
        <v>100</v>
      </c>
      <c r="E3" s="75">
        <f>Rohdaten!CS46</f>
        <v>93</v>
      </c>
      <c r="F3" s="75">
        <f>Rohdaten!DW46</f>
        <v>119</v>
      </c>
      <c r="G3" s="75">
        <f>Rohdaten!FA46</f>
        <v>99</v>
      </c>
      <c r="H3" s="75">
        <f>Rohdaten!GE46</f>
        <v>114</v>
      </c>
      <c r="I3" s="75">
        <f>Rohdaten!HI46</f>
        <v>95</v>
      </c>
      <c r="J3" s="76">
        <f>Rohdaten!IM46</f>
        <v>124</v>
      </c>
    </row>
    <row r="4" spans="1:10" x14ac:dyDescent="0.25">
      <c r="A4" s="60" t="s">
        <v>85</v>
      </c>
      <c r="B4" s="60">
        <f>Rohdaten!G35</f>
        <v>47</v>
      </c>
      <c r="C4" s="64">
        <f>Rohdaten!AK35</f>
        <v>42</v>
      </c>
      <c r="D4" s="64">
        <f>Rohdaten!BO35</f>
        <v>49</v>
      </c>
      <c r="E4" s="64">
        <f>Rohdaten!CS35</f>
        <v>48</v>
      </c>
      <c r="F4" s="64">
        <f>Rohdaten!DW35</f>
        <v>56</v>
      </c>
      <c r="G4" s="64">
        <f>Rohdaten!FA35</f>
        <v>50</v>
      </c>
      <c r="H4" s="64">
        <f>Rohdaten!GE35</f>
        <v>55</v>
      </c>
      <c r="I4" s="64">
        <f>Rohdaten!HI35</f>
        <v>49</v>
      </c>
      <c r="J4" s="77">
        <f>Rohdaten!IM35</f>
        <v>63</v>
      </c>
    </row>
    <row r="5" spans="1:10" x14ac:dyDescent="0.25">
      <c r="A5" s="60" t="s">
        <v>86</v>
      </c>
      <c r="B5" s="60">
        <f>Rohdaten!G45</f>
        <v>43</v>
      </c>
      <c r="C5" s="64">
        <f>Rohdaten!AK45</f>
        <v>38</v>
      </c>
      <c r="D5" s="64">
        <f>Rohdaten!BO45</f>
        <v>51</v>
      </c>
      <c r="E5" s="64">
        <f>Rohdaten!CS45</f>
        <v>45</v>
      </c>
      <c r="F5" s="64">
        <f>Rohdaten!DW45</f>
        <v>63</v>
      </c>
      <c r="G5" s="64">
        <f>Rohdaten!FA45</f>
        <v>49</v>
      </c>
      <c r="H5" s="64">
        <f>Rohdaten!GE45</f>
        <v>59</v>
      </c>
      <c r="I5" s="64">
        <f>Rohdaten!HI45</f>
        <v>46</v>
      </c>
      <c r="J5" s="77">
        <f>Rohdaten!IM45</f>
        <v>61</v>
      </c>
    </row>
    <row r="6" spans="1:10" x14ac:dyDescent="0.25">
      <c r="A6" s="113" t="s">
        <v>84</v>
      </c>
      <c r="B6" s="93">
        <f>B3-Rohdaten!$E46</f>
        <v>18</v>
      </c>
      <c r="C6" s="94">
        <f>C3-Rohdaten!$E46</f>
        <v>8</v>
      </c>
      <c r="D6" s="94">
        <f>D3-Rohdaten!$E46</f>
        <v>28</v>
      </c>
      <c r="E6" s="94">
        <f>E3-Rohdaten!$E46</f>
        <v>21</v>
      </c>
      <c r="F6" s="94">
        <f>F3-Rohdaten!$E46</f>
        <v>47</v>
      </c>
      <c r="G6" s="94">
        <f>G3-Rohdaten!$E46</f>
        <v>27</v>
      </c>
      <c r="H6" s="94">
        <f>H3-Rohdaten!$E46</f>
        <v>42</v>
      </c>
      <c r="I6" s="94">
        <f>I3-Rohdaten!$E46</f>
        <v>23</v>
      </c>
      <c r="J6" s="95">
        <f>J3-Rohdaten!$E46</f>
        <v>52</v>
      </c>
    </row>
    <row r="7" spans="1:10" x14ac:dyDescent="0.25">
      <c r="A7" s="113" t="s">
        <v>89</v>
      </c>
      <c r="B7" s="59">
        <f>Rohdaten!AI46</f>
        <v>75</v>
      </c>
      <c r="C7" s="79">
        <f>Rohdaten!BM46</f>
        <v>69.999999999999986</v>
      </c>
      <c r="D7" s="79">
        <f>Rohdaten!CQ46</f>
        <v>80.999999999999986</v>
      </c>
      <c r="E7" s="79">
        <f>Rohdaten!DU46</f>
        <v>75</v>
      </c>
      <c r="F7" s="79">
        <f>Rohdaten!EY46</f>
        <v>74</v>
      </c>
      <c r="G7" s="79">
        <f>Rohdaten!GC46</f>
        <v>76</v>
      </c>
      <c r="H7" s="79">
        <f>Rohdaten!HG46</f>
        <v>82</v>
      </c>
      <c r="I7" s="79">
        <f>Rohdaten!IK46</f>
        <v>79</v>
      </c>
      <c r="J7" s="80">
        <f>Rohdaten!JO46</f>
        <v>82</v>
      </c>
    </row>
    <row r="8" spans="1:10" x14ac:dyDescent="0.25">
      <c r="A8" s="113" t="s">
        <v>90</v>
      </c>
      <c r="B8" s="59">
        <f>B7-Rohdaten!$E46</f>
        <v>3</v>
      </c>
      <c r="C8" s="79">
        <f>C7-Rohdaten!$E46</f>
        <v>-2.0000000000000142</v>
      </c>
      <c r="D8" s="79">
        <f>D7-Rohdaten!$E46</f>
        <v>8.9999999999999858</v>
      </c>
      <c r="E8" s="79">
        <f>E7-Rohdaten!$E46</f>
        <v>3</v>
      </c>
      <c r="F8" s="79">
        <f>F7-Rohdaten!$E46</f>
        <v>2</v>
      </c>
      <c r="G8" s="79">
        <f>G7-Rohdaten!$E46</f>
        <v>4</v>
      </c>
      <c r="H8" s="79">
        <f>H7-Rohdaten!$E46</f>
        <v>10</v>
      </c>
      <c r="I8" s="79">
        <f>I7-Rohdaten!$E46</f>
        <v>7</v>
      </c>
      <c r="J8" s="80">
        <f>J7-Rohdaten!$E46</f>
        <v>10</v>
      </c>
    </row>
    <row r="9" spans="1:10" x14ac:dyDescent="0.25">
      <c r="A9" s="114" t="s">
        <v>78</v>
      </c>
      <c r="B9" s="109">
        <f t="shared" ref="B9:J9" si="0">_xlfn.RANK.EQ(B8,$B8:$J8,1)</f>
        <v>3</v>
      </c>
      <c r="C9" s="110">
        <f t="shared" si="0"/>
        <v>1</v>
      </c>
      <c r="D9" s="110">
        <f t="shared" si="0"/>
        <v>7</v>
      </c>
      <c r="E9" s="110">
        <f t="shared" si="0"/>
        <v>3</v>
      </c>
      <c r="F9" s="110">
        <f t="shared" si="0"/>
        <v>2</v>
      </c>
      <c r="G9" s="110">
        <f t="shared" si="0"/>
        <v>5</v>
      </c>
      <c r="H9" s="110">
        <f t="shared" si="0"/>
        <v>8</v>
      </c>
      <c r="I9" s="110">
        <f t="shared" si="0"/>
        <v>6</v>
      </c>
      <c r="J9" s="111">
        <f t="shared" si="0"/>
        <v>8</v>
      </c>
    </row>
    <row r="10" spans="1:10" x14ac:dyDescent="0.25">
      <c r="A10" s="65" t="s">
        <v>7</v>
      </c>
      <c r="B10" s="65">
        <f>Rohdaten!I46</f>
        <v>33</v>
      </c>
      <c r="C10" s="75">
        <f>Rohdaten!AM46</f>
        <v>35</v>
      </c>
      <c r="D10" s="75">
        <f>Rohdaten!BQ46</f>
        <v>38</v>
      </c>
      <c r="E10" s="75">
        <f>Rohdaten!CU46</f>
        <v>37</v>
      </c>
      <c r="F10" s="75">
        <f>Rohdaten!DY46</f>
        <v>40</v>
      </c>
      <c r="G10" s="75">
        <f>Rohdaten!FC46</f>
        <v>31</v>
      </c>
      <c r="H10" s="75">
        <f>Rohdaten!GG46</f>
        <v>36</v>
      </c>
      <c r="I10" s="75">
        <f>Rohdaten!HK46</f>
        <v>38</v>
      </c>
      <c r="J10" s="76">
        <f>Rohdaten!IO46</f>
        <v>40</v>
      </c>
    </row>
    <row r="11" spans="1:10" x14ac:dyDescent="0.25">
      <c r="A11" s="60" t="s">
        <v>87</v>
      </c>
      <c r="B11" s="60">
        <f>Rohdaten!I35</f>
        <v>18</v>
      </c>
      <c r="C11" s="64">
        <f>Rohdaten!AM35</f>
        <v>17</v>
      </c>
      <c r="D11" s="64">
        <f>Rohdaten!BQ35</f>
        <v>18</v>
      </c>
      <c r="E11" s="64">
        <f>Rohdaten!CU35</f>
        <v>20</v>
      </c>
      <c r="F11" s="64">
        <f>Rohdaten!DY35</f>
        <v>19</v>
      </c>
      <c r="G11" s="64">
        <f>Rohdaten!FC35</f>
        <v>13</v>
      </c>
      <c r="H11" s="64">
        <f>Rohdaten!GG35</f>
        <v>15</v>
      </c>
      <c r="I11" s="64">
        <f>Rohdaten!HK35</f>
        <v>19</v>
      </c>
      <c r="J11" s="77">
        <f>Rohdaten!IO35</f>
        <v>22</v>
      </c>
    </row>
    <row r="12" spans="1:10" x14ac:dyDescent="0.25">
      <c r="A12" s="60" t="s">
        <v>88</v>
      </c>
      <c r="B12" s="60">
        <f>Rohdaten!I45</f>
        <v>15</v>
      </c>
      <c r="C12" s="64">
        <f>Rohdaten!AM45</f>
        <v>18</v>
      </c>
      <c r="D12" s="64">
        <f>Rohdaten!BQ45</f>
        <v>20</v>
      </c>
      <c r="E12" s="64">
        <f>Rohdaten!CU45</f>
        <v>17</v>
      </c>
      <c r="F12" s="64">
        <f>Rohdaten!DY45</f>
        <v>21</v>
      </c>
      <c r="G12" s="64">
        <f>Rohdaten!FC45</f>
        <v>18</v>
      </c>
      <c r="H12" s="64">
        <f>Rohdaten!GG45</f>
        <v>21</v>
      </c>
      <c r="I12" s="64">
        <f>Rohdaten!HK45</f>
        <v>19</v>
      </c>
      <c r="J12" s="77">
        <f>Rohdaten!IO45</f>
        <v>18</v>
      </c>
    </row>
    <row r="13" spans="1:10" x14ac:dyDescent="0.25">
      <c r="A13" s="60" t="s">
        <v>9</v>
      </c>
      <c r="B13" s="60">
        <f>Rohdaten!K46</f>
        <v>5</v>
      </c>
      <c r="C13" s="64">
        <f>Rohdaten!AO46</f>
        <v>9</v>
      </c>
      <c r="D13" s="64">
        <f>Rohdaten!BS46</f>
        <v>3</v>
      </c>
      <c r="E13" s="64">
        <f>Rohdaten!CW46</f>
        <v>5</v>
      </c>
      <c r="F13" s="64">
        <f>Rohdaten!EA46</f>
        <v>0</v>
      </c>
      <c r="G13" s="64">
        <f>Rohdaten!FE46</f>
        <v>3</v>
      </c>
      <c r="H13" s="64">
        <f>Rohdaten!GI46</f>
        <v>0</v>
      </c>
      <c r="I13" s="64">
        <f>Rohdaten!HM46</f>
        <v>4</v>
      </c>
      <c r="J13" s="77">
        <f>Rohdaten!IQ46</f>
        <v>1</v>
      </c>
    </row>
    <row r="14" spans="1:10" x14ac:dyDescent="0.25">
      <c r="A14" s="60" t="s">
        <v>95</v>
      </c>
      <c r="B14" s="60">
        <f>Rohdaten!M46</f>
        <v>2</v>
      </c>
      <c r="C14" s="64">
        <f>Rohdaten!AQ46</f>
        <v>4</v>
      </c>
      <c r="D14" s="64">
        <f>Rohdaten!BU46</f>
        <v>0</v>
      </c>
      <c r="E14" s="64">
        <f>Rohdaten!CY46</f>
        <v>1</v>
      </c>
      <c r="F14" s="64">
        <f>Rohdaten!EC46</f>
        <v>0</v>
      </c>
      <c r="G14" s="64">
        <f>Rohdaten!FG46</f>
        <v>3</v>
      </c>
      <c r="H14" s="64">
        <f>Rohdaten!GK46</f>
        <v>0</v>
      </c>
      <c r="I14" s="64">
        <f>Rohdaten!HO46</f>
        <v>2</v>
      </c>
      <c r="J14" s="77">
        <f>Rohdaten!IS46</f>
        <v>0</v>
      </c>
    </row>
    <row r="15" spans="1:10" x14ac:dyDescent="0.25">
      <c r="A15" s="71" t="s">
        <v>93</v>
      </c>
      <c r="B15" s="129">
        <f>Rohdaten!O46</f>
        <v>8.25</v>
      </c>
      <c r="C15" s="128">
        <f>Rohdaten!AS46</f>
        <v>8.4499999999999993</v>
      </c>
      <c r="D15" s="128">
        <f>Rohdaten!BW46</f>
        <v>14.149999999999999</v>
      </c>
      <c r="E15" s="128">
        <f>Rohdaten!DA46</f>
        <v>12.25</v>
      </c>
      <c r="F15" s="128">
        <f>Rohdaten!EE46</f>
        <v>17.5</v>
      </c>
      <c r="G15" s="128">
        <f>Rohdaten!FI46</f>
        <v>7.1499999999999986</v>
      </c>
      <c r="H15" s="128">
        <f>Rohdaten!GM46</f>
        <v>13.5</v>
      </c>
      <c r="I15" s="128">
        <f>Rohdaten!HQ46</f>
        <v>13.7</v>
      </c>
      <c r="J15" s="78">
        <f>Rohdaten!IU46</f>
        <v>17.05</v>
      </c>
    </row>
    <row r="16" spans="1:10" x14ac:dyDescent="0.25">
      <c r="A16" s="65" t="s">
        <v>91</v>
      </c>
      <c r="B16" s="65">
        <f>Rohdaten!P46</f>
        <v>1</v>
      </c>
      <c r="C16" s="75">
        <f>Rohdaten!AT46</f>
        <v>0</v>
      </c>
      <c r="D16" s="75">
        <f>Rohdaten!BX46</f>
        <v>0</v>
      </c>
      <c r="E16" s="75">
        <f>Rohdaten!DB46</f>
        <v>0</v>
      </c>
      <c r="F16" s="75">
        <f>Rohdaten!EF46</f>
        <v>0</v>
      </c>
      <c r="G16" s="75">
        <f>Rohdaten!FJ46</f>
        <v>0</v>
      </c>
      <c r="H16" s="75">
        <f>Rohdaten!GN46</f>
        <v>0</v>
      </c>
      <c r="I16" s="75">
        <f>Rohdaten!HR46</f>
        <v>0</v>
      </c>
      <c r="J16" s="76">
        <f>Rohdaten!IV46</f>
        <v>1</v>
      </c>
    </row>
    <row r="17" spans="1:10" x14ac:dyDescent="0.25">
      <c r="A17" s="60" t="s">
        <v>50</v>
      </c>
      <c r="B17" s="60">
        <f>Rohdaten!R46</f>
        <v>6</v>
      </c>
      <c r="C17" s="64">
        <f>Rohdaten!AV46</f>
        <v>11</v>
      </c>
      <c r="D17" s="64">
        <f>Rohdaten!BZ46</f>
        <v>2</v>
      </c>
      <c r="E17" s="64">
        <f>Rohdaten!DD46</f>
        <v>5</v>
      </c>
      <c r="F17" s="64">
        <f>Rohdaten!EH46</f>
        <v>0</v>
      </c>
      <c r="G17" s="64">
        <f>Rohdaten!FL46</f>
        <v>5</v>
      </c>
      <c r="H17" s="64">
        <f>Rohdaten!GP46</f>
        <v>0</v>
      </c>
      <c r="I17" s="64">
        <f>Rohdaten!HT46</f>
        <v>3</v>
      </c>
      <c r="J17" s="77">
        <f>Rohdaten!IX46</f>
        <v>0</v>
      </c>
    </row>
    <row r="18" spans="1:10" x14ac:dyDescent="0.25">
      <c r="A18" s="60" t="s">
        <v>51</v>
      </c>
      <c r="B18" s="60">
        <f>Rohdaten!T46</f>
        <v>6</v>
      </c>
      <c r="C18" s="64">
        <f>Rohdaten!AX46</f>
        <v>6</v>
      </c>
      <c r="D18" s="64">
        <f>Rohdaten!CB46</f>
        <v>7</v>
      </c>
      <c r="E18" s="64">
        <f>Rohdaten!DF46</f>
        <v>8</v>
      </c>
      <c r="F18" s="64">
        <f>Rohdaten!EJ46</f>
        <v>5</v>
      </c>
      <c r="G18" s="64">
        <f>Rohdaten!FN46</f>
        <v>7</v>
      </c>
      <c r="H18" s="64">
        <f>Rohdaten!GR46</f>
        <v>5</v>
      </c>
      <c r="I18" s="64">
        <f>Rohdaten!GS46</f>
        <v>0</v>
      </c>
      <c r="J18" s="77">
        <f>Rohdaten!IZ46</f>
        <v>3</v>
      </c>
    </row>
    <row r="19" spans="1:10" x14ac:dyDescent="0.25">
      <c r="A19" s="71" t="s">
        <v>55</v>
      </c>
      <c r="B19" s="71">
        <f>Rohdaten!V46</f>
        <v>5</v>
      </c>
      <c r="C19" s="62">
        <f>Rohdaten!AZ46</f>
        <v>1</v>
      </c>
      <c r="D19" s="62">
        <f>Rohdaten!CD46</f>
        <v>9</v>
      </c>
      <c r="E19" s="62">
        <f>Rohdaten!DH46</f>
        <v>5</v>
      </c>
      <c r="F19" s="62">
        <f>Rohdaten!EL46</f>
        <v>13</v>
      </c>
      <c r="G19" s="62">
        <f>Rohdaten!FP46</f>
        <v>6</v>
      </c>
      <c r="H19" s="62">
        <f>Rohdaten!GT46</f>
        <v>13</v>
      </c>
      <c r="I19" s="62">
        <f>Rohdaten!HX46</f>
        <v>5</v>
      </c>
      <c r="J19" s="78">
        <f>Rohdaten!JB46</f>
        <v>14</v>
      </c>
    </row>
    <row r="20" spans="1:10" x14ac:dyDescent="0.25">
      <c r="A20" s="65" t="s">
        <v>38</v>
      </c>
      <c r="B20" s="65">
        <f>Rohdaten!X46</f>
        <v>1</v>
      </c>
      <c r="C20" s="75">
        <f>Rohdaten!BB46</f>
        <v>0</v>
      </c>
      <c r="D20" s="75">
        <f>Rohdaten!CF46</f>
        <v>0</v>
      </c>
      <c r="E20" s="75">
        <f>Rohdaten!DJ46</f>
        <v>0</v>
      </c>
      <c r="F20" s="75">
        <f>Rohdaten!EN46</f>
        <v>0</v>
      </c>
      <c r="G20" s="75">
        <f>Rohdaten!FR46</f>
        <v>0</v>
      </c>
      <c r="H20" s="75">
        <f>Rohdaten!GV46</f>
        <v>0</v>
      </c>
      <c r="I20" s="75">
        <f>Rohdaten!HZ46</f>
        <v>0</v>
      </c>
      <c r="J20" s="76">
        <f>Rohdaten!JD46</f>
        <v>0</v>
      </c>
    </row>
    <row r="21" spans="1:10" x14ac:dyDescent="0.25">
      <c r="A21" s="60" t="s">
        <v>15</v>
      </c>
      <c r="B21" s="60">
        <f>Rohdaten!Z46</f>
        <v>3</v>
      </c>
      <c r="C21" s="64">
        <f>Rohdaten!BD46</f>
        <v>4</v>
      </c>
      <c r="D21" s="64">
        <f>Rohdaten!CH46</f>
        <v>1</v>
      </c>
      <c r="E21" s="64">
        <f>Rohdaten!DL46</f>
        <v>2</v>
      </c>
      <c r="F21" s="64">
        <f>Rohdaten!EP46</f>
        <v>1</v>
      </c>
      <c r="G21" s="64">
        <f>Rohdaten!FT46</f>
        <v>8</v>
      </c>
      <c r="H21" s="64">
        <f>Rohdaten!GX46</f>
        <v>3</v>
      </c>
      <c r="I21" s="64">
        <f>Rohdaten!IB46</f>
        <v>3</v>
      </c>
      <c r="J21" s="77">
        <f>Rohdaten!JF46</f>
        <v>4</v>
      </c>
    </row>
    <row r="22" spans="1:10" x14ac:dyDescent="0.25">
      <c r="A22" s="60" t="s">
        <v>73</v>
      </c>
      <c r="B22" s="60">
        <f>Rohdaten!AB46</f>
        <v>12</v>
      </c>
      <c r="C22" s="64">
        <f>Rohdaten!BF46</f>
        <v>11</v>
      </c>
      <c r="D22" s="64">
        <f>Rohdaten!CJ46</f>
        <v>14</v>
      </c>
      <c r="E22" s="64">
        <f>Rohdaten!DN46</f>
        <v>13</v>
      </c>
      <c r="F22" s="64">
        <f>Rohdaten!ER46</f>
        <v>12</v>
      </c>
      <c r="G22" s="64">
        <f>Rohdaten!FV46</f>
        <v>7</v>
      </c>
      <c r="H22" s="64">
        <f>Rohdaten!GZ46</f>
        <v>12</v>
      </c>
      <c r="I22" s="64">
        <f>Rohdaten!ID46</f>
        <v>10</v>
      </c>
      <c r="J22" s="77">
        <f>Rohdaten!JH46</f>
        <v>8</v>
      </c>
    </row>
    <row r="23" spans="1:10" x14ac:dyDescent="0.25">
      <c r="A23" s="71" t="s">
        <v>17</v>
      </c>
      <c r="B23" s="71">
        <f>Rohdaten!AD46</f>
        <v>2</v>
      </c>
      <c r="C23" s="62">
        <f>Rohdaten!BH46</f>
        <v>3</v>
      </c>
      <c r="D23" s="62">
        <f>Rohdaten!CL46</f>
        <v>3</v>
      </c>
      <c r="E23" s="62">
        <f>Rohdaten!DP46</f>
        <v>3</v>
      </c>
      <c r="F23" s="62">
        <f>Rohdaten!ET46</f>
        <v>5</v>
      </c>
      <c r="G23" s="62">
        <f>Rohdaten!FX46</f>
        <v>3</v>
      </c>
      <c r="H23" s="62">
        <f>Rohdaten!HB46</f>
        <v>3</v>
      </c>
      <c r="I23" s="62">
        <f>Rohdaten!IF46</f>
        <v>5</v>
      </c>
      <c r="J23" s="78">
        <f>Rohdaten!JJ46</f>
        <v>6</v>
      </c>
    </row>
    <row r="24" spans="1:10" x14ac:dyDescent="0.25">
      <c r="A24" s="65" t="s">
        <v>49</v>
      </c>
      <c r="B24" s="96">
        <f>B10/18</f>
        <v>1.8333333333333333</v>
      </c>
      <c r="C24" s="97">
        <f t="shared" ref="C24:J24" si="1">C10/18</f>
        <v>1.9444444444444444</v>
      </c>
      <c r="D24" s="97">
        <f t="shared" si="1"/>
        <v>2.1111111111111112</v>
      </c>
      <c r="E24" s="97">
        <f t="shared" si="1"/>
        <v>2.0555555555555554</v>
      </c>
      <c r="F24" s="97">
        <f t="shared" si="1"/>
        <v>2.2222222222222223</v>
      </c>
      <c r="G24" s="97">
        <f t="shared" si="1"/>
        <v>1.7222222222222223</v>
      </c>
      <c r="H24" s="97">
        <f t="shared" si="1"/>
        <v>2</v>
      </c>
      <c r="I24" s="97">
        <f t="shared" si="1"/>
        <v>2.1111111111111112</v>
      </c>
      <c r="J24" s="98">
        <f t="shared" si="1"/>
        <v>2.2222222222222223</v>
      </c>
    </row>
    <row r="25" spans="1:10" x14ac:dyDescent="0.25">
      <c r="A25" s="65" t="s">
        <v>19</v>
      </c>
      <c r="B25" s="66">
        <f>Rohdaten!AF46</f>
        <v>1</v>
      </c>
      <c r="C25" s="67">
        <f>Rohdaten!BJ46</f>
        <v>0.25</v>
      </c>
      <c r="D25" s="67">
        <f>Rohdaten!CN46</f>
        <v>1.25</v>
      </c>
      <c r="E25" s="67">
        <f>Rohdaten!DR46</f>
        <v>0.75</v>
      </c>
      <c r="F25" s="67">
        <f>Rohdaten!EV46</f>
        <v>2.5</v>
      </c>
      <c r="G25" s="67">
        <f>Rohdaten!FZ46</f>
        <v>0.5</v>
      </c>
      <c r="H25" s="67">
        <f>Rohdaten!HD46</f>
        <v>2</v>
      </c>
      <c r="I25" s="67">
        <f>Rohdaten!IH46</f>
        <v>1</v>
      </c>
      <c r="J25" s="68">
        <f>Rohdaten!JL46</f>
        <v>1.5</v>
      </c>
    </row>
    <row r="26" spans="1:10" x14ac:dyDescent="0.25">
      <c r="A26" s="60" t="s">
        <v>20</v>
      </c>
      <c r="B26" s="61">
        <f>Rohdaten!AG46</f>
        <v>0.7</v>
      </c>
      <c r="C26" s="69">
        <f>Rohdaten!BK46</f>
        <v>0.6</v>
      </c>
      <c r="D26" s="69">
        <f>Rohdaten!CO46</f>
        <v>1.6</v>
      </c>
      <c r="E26" s="69">
        <f>Rohdaten!DS46</f>
        <v>1.3</v>
      </c>
      <c r="F26" s="69">
        <f>Rohdaten!EW46</f>
        <v>2.6</v>
      </c>
      <c r="G26" s="69">
        <f>Rohdaten!GA46</f>
        <v>1.3</v>
      </c>
      <c r="H26" s="69">
        <f>Rohdaten!HE46</f>
        <v>2.7</v>
      </c>
      <c r="I26" s="69">
        <f>Rohdaten!II46</f>
        <v>1.5</v>
      </c>
      <c r="J26" s="70">
        <f>Rohdaten!JM46</f>
        <v>3.6</v>
      </c>
    </row>
    <row r="27" spans="1:10" x14ac:dyDescent="0.25">
      <c r="A27" s="71" t="s">
        <v>21</v>
      </c>
      <c r="B27" s="72">
        <f>Rohdaten!AH46</f>
        <v>1.75</v>
      </c>
      <c r="C27" s="73">
        <f>Rohdaten!BL46</f>
        <v>0.25</v>
      </c>
      <c r="D27" s="73">
        <f>Rohdaten!CP46</f>
        <v>1.75</v>
      </c>
      <c r="E27" s="73">
        <f>Rohdaten!DT46</f>
        <v>1.25</v>
      </c>
      <c r="F27" s="73">
        <f>Rohdaten!EX46</f>
        <v>2.75</v>
      </c>
      <c r="G27" s="73">
        <f>Rohdaten!GB46</f>
        <v>3</v>
      </c>
      <c r="H27" s="73">
        <f>Rohdaten!HF46</f>
        <v>1.75</v>
      </c>
      <c r="I27" s="73">
        <f>Rohdaten!IJ46</f>
        <v>1</v>
      </c>
      <c r="J27" s="74">
        <f>Rohdaten!JN46</f>
        <v>2.5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C796-BEEE-4267-845B-179B14432BA0}">
  <dimension ref="A1:J69"/>
  <sheetViews>
    <sheetView topLeftCell="A30" zoomScale="89" workbookViewId="0">
      <selection activeCell="A48" sqref="A48:J48"/>
    </sheetView>
  </sheetViews>
  <sheetFormatPr baseColWidth="10" defaultColWidth="11.5546875" defaultRowHeight="13.2" x14ac:dyDescent="0.25"/>
  <cols>
    <col min="1" max="1" width="31.88671875" style="58" bestFit="1" customWidth="1"/>
    <col min="2" max="16384" width="11.5546875" style="58"/>
  </cols>
  <sheetData>
    <row r="1" spans="1:10" x14ac:dyDescent="0.25">
      <c r="A1" s="81" t="s">
        <v>79</v>
      </c>
      <c r="B1" s="122" t="s">
        <v>40</v>
      </c>
      <c r="C1" s="123" t="s">
        <v>41</v>
      </c>
      <c r="D1" s="123" t="s">
        <v>42</v>
      </c>
      <c r="E1" s="123" t="s">
        <v>43</v>
      </c>
      <c r="F1" s="123" t="s">
        <v>107</v>
      </c>
      <c r="G1" s="123" t="s">
        <v>69</v>
      </c>
      <c r="H1" s="123" t="s">
        <v>70</v>
      </c>
      <c r="I1" s="123" t="s">
        <v>71</v>
      </c>
      <c r="J1" s="124" t="s">
        <v>108</v>
      </c>
    </row>
    <row r="2" spans="1:10" x14ac:dyDescent="0.25">
      <c r="A2" s="85" t="s">
        <v>72</v>
      </c>
      <c r="B2" s="86">
        <v>15</v>
      </c>
      <c r="C2" s="87">
        <v>10</v>
      </c>
      <c r="D2" s="87">
        <v>19</v>
      </c>
      <c r="E2" s="87">
        <v>18</v>
      </c>
      <c r="F2" s="123">
        <v>45</v>
      </c>
      <c r="G2" s="123">
        <v>23</v>
      </c>
      <c r="H2" s="87">
        <v>32</v>
      </c>
      <c r="I2" s="87">
        <v>16</v>
      </c>
      <c r="J2" s="88">
        <v>42</v>
      </c>
    </row>
    <row r="3" spans="1:10" x14ac:dyDescent="0.25">
      <c r="A3" s="112" t="s">
        <v>5</v>
      </c>
      <c r="B3" s="65">
        <f>Rohdaten!G47</f>
        <v>172</v>
      </c>
      <c r="C3" s="75">
        <f>Rohdaten!AK47</f>
        <v>173</v>
      </c>
      <c r="D3" s="75">
        <f>Rohdaten!BO47</f>
        <v>208</v>
      </c>
      <c r="E3" s="75">
        <f>Rohdaten!CS47</f>
        <v>194</v>
      </c>
      <c r="F3" s="75">
        <f>Rohdaten!DW47</f>
        <v>255</v>
      </c>
      <c r="G3" s="75">
        <f>Rohdaten!FA47</f>
        <v>200</v>
      </c>
      <c r="H3" s="75">
        <f>Rohdaten!GE47</f>
        <v>237</v>
      </c>
      <c r="I3" s="75">
        <f>Rohdaten!HI47</f>
        <v>199</v>
      </c>
      <c r="J3" s="76">
        <f>Rohdaten!IM47</f>
        <v>245</v>
      </c>
    </row>
    <row r="4" spans="1:10" x14ac:dyDescent="0.25">
      <c r="A4" s="113" t="s">
        <v>44</v>
      </c>
      <c r="B4" s="60">
        <f>B3-Rohdaten!$E47</f>
        <v>28</v>
      </c>
      <c r="C4" s="64">
        <f>C3-Rohdaten!$E47</f>
        <v>29</v>
      </c>
      <c r="D4" s="64">
        <f>D3-Rohdaten!$E47</f>
        <v>64</v>
      </c>
      <c r="E4" s="64">
        <f>E3-Rohdaten!$E47</f>
        <v>50</v>
      </c>
      <c r="F4" s="64">
        <f>F3-Rohdaten!$E47</f>
        <v>111</v>
      </c>
      <c r="G4" s="64">
        <f>G3-Rohdaten!$E47</f>
        <v>56</v>
      </c>
      <c r="H4" s="64">
        <f>H3-Rohdaten!$E47</f>
        <v>93</v>
      </c>
      <c r="I4" s="64">
        <f>I3-Rohdaten!$E47</f>
        <v>55</v>
      </c>
      <c r="J4" s="77">
        <f>J3-Rohdaten!$E47</f>
        <v>101</v>
      </c>
    </row>
    <row r="5" spans="1:10" x14ac:dyDescent="0.25">
      <c r="A5" s="113" t="s">
        <v>48</v>
      </c>
      <c r="B5" s="60">
        <f>B4/2</f>
        <v>14</v>
      </c>
      <c r="C5" s="64">
        <f t="shared" ref="C5:J5" si="0">C4/2</f>
        <v>14.5</v>
      </c>
      <c r="D5" s="64">
        <f t="shared" si="0"/>
        <v>32</v>
      </c>
      <c r="E5" s="64">
        <f t="shared" si="0"/>
        <v>25</v>
      </c>
      <c r="F5" s="64">
        <f t="shared" si="0"/>
        <v>55.5</v>
      </c>
      <c r="G5" s="64">
        <f t="shared" si="0"/>
        <v>28</v>
      </c>
      <c r="H5" s="64">
        <f t="shared" si="0"/>
        <v>46.5</v>
      </c>
      <c r="I5" s="64">
        <f t="shared" si="0"/>
        <v>27.5</v>
      </c>
      <c r="J5" s="77">
        <f t="shared" si="0"/>
        <v>50.5</v>
      </c>
    </row>
    <row r="6" spans="1:10" x14ac:dyDescent="0.25">
      <c r="A6" s="113" t="s">
        <v>89</v>
      </c>
      <c r="B6" s="59">
        <f>Rohdaten!AI47</f>
        <v>142</v>
      </c>
      <c r="C6" s="79">
        <f>Rohdaten!BM47</f>
        <v>152.99999999999997</v>
      </c>
      <c r="D6" s="79">
        <f>Rohdaten!CQ47</f>
        <v>169.99999999999997</v>
      </c>
      <c r="E6" s="79">
        <f>Rohdaten!DU47</f>
        <v>158</v>
      </c>
      <c r="F6" s="79">
        <f>Rohdaten!EY47</f>
        <v>165</v>
      </c>
      <c r="G6" s="79">
        <f>Rohdaten!GC47</f>
        <v>154</v>
      </c>
      <c r="H6" s="79">
        <f>Rohdaten!HG47</f>
        <v>173</v>
      </c>
      <c r="I6" s="79">
        <f>Rohdaten!IK47</f>
        <v>167</v>
      </c>
      <c r="J6" s="80">
        <f>Rohdaten!JO47</f>
        <v>160.99999999999997</v>
      </c>
    </row>
    <row r="7" spans="1:10" x14ac:dyDescent="0.25">
      <c r="A7" s="113" t="s">
        <v>90</v>
      </c>
      <c r="B7" s="59">
        <f>B6-Rohdaten!$E47</f>
        <v>-2</v>
      </c>
      <c r="C7" s="79">
        <f>C6-Rohdaten!$E47</f>
        <v>8.9999999999999716</v>
      </c>
      <c r="D7" s="79">
        <f>D6-Rohdaten!$E47</f>
        <v>25.999999999999972</v>
      </c>
      <c r="E7" s="79">
        <f>E6-Rohdaten!$E47</f>
        <v>14</v>
      </c>
      <c r="F7" s="79">
        <f>F6-Rohdaten!$E47</f>
        <v>21</v>
      </c>
      <c r="G7" s="79">
        <f>G6-Rohdaten!$E47</f>
        <v>10</v>
      </c>
      <c r="H7" s="79">
        <f>H6-Rohdaten!$E47</f>
        <v>29</v>
      </c>
      <c r="I7" s="79">
        <f>I6-Rohdaten!$E47</f>
        <v>23</v>
      </c>
      <c r="J7" s="80">
        <f>J6-Rohdaten!$E47</f>
        <v>16.999999999999972</v>
      </c>
    </row>
    <row r="8" spans="1:10" x14ac:dyDescent="0.25">
      <c r="A8" s="114" t="s">
        <v>78</v>
      </c>
      <c r="B8" s="109">
        <f t="shared" ref="B8:J8" si="1">_xlfn.RANK.EQ(B7,$B7:$J7,1)</f>
        <v>1</v>
      </c>
      <c r="C8" s="110">
        <f t="shared" si="1"/>
        <v>2</v>
      </c>
      <c r="D8" s="110">
        <f t="shared" si="1"/>
        <v>8</v>
      </c>
      <c r="E8" s="110">
        <f t="shared" si="1"/>
        <v>4</v>
      </c>
      <c r="F8" s="110">
        <f t="shared" si="1"/>
        <v>6</v>
      </c>
      <c r="G8" s="110">
        <f t="shared" si="1"/>
        <v>3</v>
      </c>
      <c r="H8" s="110">
        <f t="shared" si="1"/>
        <v>9</v>
      </c>
      <c r="I8" s="110">
        <f t="shared" si="1"/>
        <v>7</v>
      </c>
      <c r="J8" s="111">
        <f t="shared" si="1"/>
        <v>5</v>
      </c>
    </row>
    <row r="9" spans="1:10" x14ac:dyDescent="0.25">
      <c r="A9" s="60" t="s">
        <v>61</v>
      </c>
      <c r="B9" s="60">
        <f>MAX(Rohdaten!G23,Rohdaten!G46)</f>
        <v>90</v>
      </c>
      <c r="C9" s="64">
        <f>MAX(Rohdaten!AK23,Rohdaten!AK46)</f>
        <v>93</v>
      </c>
      <c r="D9" s="64">
        <f>MAX(Rohdaten!BO23,Rohdaten!BO46)</f>
        <v>108</v>
      </c>
      <c r="E9" s="64">
        <f>MAX(Rohdaten!CS23,Rohdaten!CS46)</f>
        <v>101</v>
      </c>
      <c r="F9" s="64">
        <f>MAX(Rohdaten!DW23,Rohdaten!DW46)</f>
        <v>136</v>
      </c>
      <c r="G9" s="64">
        <f>MAX(Rohdaten!FA23,Rohdaten!FA46)</f>
        <v>101</v>
      </c>
      <c r="H9" s="64">
        <f>MAX(Rohdaten!GE23,Rohdaten!GE46)</f>
        <v>123</v>
      </c>
      <c r="I9" s="64">
        <f>MAX(Rohdaten!HI23,Rohdaten!HI46)</f>
        <v>104</v>
      </c>
      <c r="J9" s="77">
        <f>MAX(Rohdaten!IM23,Rohdaten!IM46)</f>
        <v>124</v>
      </c>
    </row>
    <row r="10" spans="1:10" x14ac:dyDescent="0.25">
      <c r="A10" s="60" t="s">
        <v>62</v>
      </c>
      <c r="B10" s="60">
        <f>MIN(Rohdaten!G23,Rohdaten!G46)</f>
        <v>82</v>
      </c>
      <c r="C10" s="64">
        <f>MIN(Rohdaten!AK23,Rohdaten!AK46)</f>
        <v>80</v>
      </c>
      <c r="D10" s="64">
        <f>MIN(Rohdaten!BO23,Rohdaten!BO46)</f>
        <v>100</v>
      </c>
      <c r="E10" s="64">
        <f>MIN(Rohdaten!CS23,Rohdaten!CS46)</f>
        <v>93</v>
      </c>
      <c r="F10" s="64">
        <f>MIN(Rohdaten!DW23,Rohdaten!DW46)</f>
        <v>119</v>
      </c>
      <c r="G10" s="64">
        <f>MIN(Rohdaten!FA23,Rohdaten!FA46)</f>
        <v>99</v>
      </c>
      <c r="H10" s="64">
        <f>MIN(Rohdaten!GE23,Rohdaten!GE46)</f>
        <v>114</v>
      </c>
      <c r="I10" s="64">
        <f>MIN(Rohdaten!HI23,Rohdaten!HI46)</f>
        <v>95</v>
      </c>
      <c r="J10" s="77">
        <f>MIN(Rohdaten!IM23,Rohdaten!IM46)</f>
        <v>121</v>
      </c>
    </row>
    <row r="11" spans="1:10" x14ac:dyDescent="0.25">
      <c r="A11" s="60" t="s">
        <v>63</v>
      </c>
      <c r="B11" s="71">
        <f>AVERAGE(Rohdaten!G23,Rohdaten!G46)</f>
        <v>86</v>
      </c>
      <c r="C11" s="62">
        <f>AVERAGE(Rohdaten!AK23,Rohdaten!AK46)</f>
        <v>86.5</v>
      </c>
      <c r="D11" s="62">
        <f>AVERAGE(Rohdaten!BO23,Rohdaten!BO46)</f>
        <v>104</v>
      </c>
      <c r="E11" s="62">
        <f>AVERAGE(Rohdaten!CS23,Rohdaten!CS46)</f>
        <v>97</v>
      </c>
      <c r="F11" s="62">
        <f>AVERAGE(Rohdaten!DW23,Rohdaten!DW46)</f>
        <v>127.5</v>
      </c>
      <c r="G11" s="62">
        <f>AVERAGE(Rohdaten!FA23,Rohdaten!FA46)</f>
        <v>100</v>
      </c>
      <c r="H11" s="62">
        <f>AVERAGE(Rohdaten!GE23,Rohdaten!GE46)</f>
        <v>118.5</v>
      </c>
      <c r="I11" s="62">
        <f>AVERAGE(Rohdaten!HI23,Rohdaten!HI46)</f>
        <v>99.5</v>
      </c>
      <c r="J11" s="78">
        <f>AVERAGE(Rohdaten!IM23,Rohdaten!IM46)</f>
        <v>122.5</v>
      </c>
    </row>
    <row r="12" spans="1:10" x14ac:dyDescent="0.25">
      <c r="A12" s="65" t="s">
        <v>7</v>
      </c>
      <c r="B12" s="65">
        <f>Rohdaten!I47</f>
        <v>67</v>
      </c>
      <c r="C12" s="75">
        <f>Rohdaten!AM47</f>
        <v>69</v>
      </c>
      <c r="D12" s="75">
        <f>Rohdaten!BQ47</f>
        <v>82</v>
      </c>
      <c r="E12" s="75">
        <f>Rohdaten!CU47</f>
        <v>80</v>
      </c>
      <c r="F12" s="75">
        <f>Rohdaten!DY47</f>
        <v>85</v>
      </c>
      <c r="G12" s="75">
        <f>Rohdaten!FC47</f>
        <v>69</v>
      </c>
      <c r="H12" s="75">
        <f>Rohdaten!GG47</f>
        <v>72</v>
      </c>
      <c r="I12" s="75">
        <f>Rohdaten!HK47</f>
        <v>73</v>
      </c>
      <c r="J12" s="76">
        <f>Rohdaten!IO47</f>
        <v>88</v>
      </c>
    </row>
    <row r="13" spans="1:10" x14ac:dyDescent="0.25">
      <c r="A13" s="60" t="s">
        <v>9</v>
      </c>
      <c r="B13" s="60">
        <f>Rohdaten!K47</f>
        <v>11</v>
      </c>
      <c r="C13" s="64">
        <f>Rohdaten!AO47</f>
        <v>16</v>
      </c>
      <c r="D13" s="64">
        <f>Rohdaten!BS47</f>
        <v>8</v>
      </c>
      <c r="E13" s="64">
        <f>Rohdaten!CW47</f>
        <v>11</v>
      </c>
      <c r="F13" s="64">
        <f>Rohdaten!EA47</f>
        <v>0</v>
      </c>
      <c r="G13" s="64">
        <f>Rohdaten!FE47</f>
        <v>6</v>
      </c>
      <c r="H13" s="64">
        <f>Rohdaten!GI47</f>
        <v>1</v>
      </c>
      <c r="I13" s="64">
        <f>Rohdaten!HM47</f>
        <v>5</v>
      </c>
      <c r="J13" s="77">
        <f>Rohdaten!IQ47</f>
        <v>6</v>
      </c>
    </row>
    <row r="14" spans="1:10" x14ac:dyDescent="0.25">
      <c r="A14" s="60" t="s">
        <v>95</v>
      </c>
      <c r="B14" s="60">
        <f>Rohdaten!M47</f>
        <v>5</v>
      </c>
      <c r="C14" s="64">
        <f>Rohdaten!AQ47</f>
        <v>5</v>
      </c>
      <c r="D14" s="64">
        <f>Rohdaten!BU47</f>
        <v>0</v>
      </c>
      <c r="E14" s="64">
        <f>Rohdaten!CY47</f>
        <v>1</v>
      </c>
      <c r="F14" s="64">
        <f>Rohdaten!EC47</f>
        <v>0</v>
      </c>
      <c r="G14" s="64">
        <f>Rohdaten!FG47</f>
        <v>4</v>
      </c>
      <c r="H14" s="64">
        <f>Rohdaten!GK47</f>
        <v>1</v>
      </c>
      <c r="I14" s="64">
        <f>Rohdaten!HO47</f>
        <v>3</v>
      </c>
      <c r="J14" s="77">
        <f>Rohdaten!IS47</f>
        <v>0</v>
      </c>
    </row>
    <row r="15" spans="1:10" x14ac:dyDescent="0.25">
      <c r="A15" s="71" t="s">
        <v>93</v>
      </c>
      <c r="B15" s="129">
        <f>Rohdaten!O47</f>
        <v>17.05</v>
      </c>
      <c r="C15" s="128">
        <f>Rohdaten!AS47</f>
        <v>16.8</v>
      </c>
      <c r="D15" s="128">
        <f>Rohdaten!BW47</f>
        <v>33.4</v>
      </c>
      <c r="E15" s="128">
        <f>Rohdaten!DA47</f>
        <v>30.05</v>
      </c>
      <c r="F15" s="128">
        <f>Rohdaten!EE47</f>
        <v>40</v>
      </c>
      <c r="G15" s="128">
        <f>Rohdaten!FI47</f>
        <v>21.299999999999997</v>
      </c>
      <c r="H15" s="128">
        <f>Rohdaten!GM47</f>
        <v>26.55</v>
      </c>
      <c r="I15" s="128">
        <f>Rohdaten!HQ47</f>
        <v>25.75</v>
      </c>
      <c r="J15" s="161">
        <f>Rohdaten!IU47</f>
        <v>40.299999999999997</v>
      </c>
    </row>
    <row r="16" spans="1:10" x14ac:dyDescent="0.25">
      <c r="A16" s="65" t="s">
        <v>91</v>
      </c>
      <c r="B16" s="65">
        <f>Rohdaten!P47</f>
        <v>2</v>
      </c>
      <c r="C16" s="75">
        <f>Rohdaten!AT47</f>
        <v>0</v>
      </c>
      <c r="D16" s="75">
        <f>Rohdaten!BX47</f>
        <v>0</v>
      </c>
      <c r="E16" s="75">
        <f>Rohdaten!DB47</f>
        <v>0</v>
      </c>
      <c r="F16" s="75">
        <f>Rohdaten!EF47</f>
        <v>0</v>
      </c>
      <c r="G16" s="75">
        <f>Rohdaten!FJ47</f>
        <v>0</v>
      </c>
      <c r="H16" s="75">
        <f>Rohdaten!GN47</f>
        <v>0</v>
      </c>
      <c r="I16" s="75">
        <f>Rohdaten!HR47</f>
        <v>0</v>
      </c>
      <c r="J16" s="76">
        <f>Rohdaten!IV47</f>
        <v>1</v>
      </c>
    </row>
    <row r="17" spans="1:10" x14ac:dyDescent="0.25">
      <c r="A17" s="60" t="s">
        <v>50</v>
      </c>
      <c r="B17" s="60">
        <f>Rohdaten!R47</f>
        <v>13</v>
      </c>
      <c r="C17" s="64">
        <f>Rohdaten!AV47</f>
        <v>18</v>
      </c>
      <c r="D17" s="64">
        <f>Rohdaten!BZ47</f>
        <v>4</v>
      </c>
      <c r="E17" s="64">
        <f>Rohdaten!DD47</f>
        <v>7</v>
      </c>
      <c r="F17" s="64">
        <f>Rohdaten!EH47</f>
        <v>0</v>
      </c>
      <c r="G17" s="64">
        <f>Rohdaten!FL47</f>
        <v>7</v>
      </c>
      <c r="H17" s="64">
        <f>Rohdaten!GP47</f>
        <v>2</v>
      </c>
      <c r="I17" s="64">
        <f>Rohdaten!HT47</f>
        <v>5</v>
      </c>
      <c r="J17" s="77">
        <f>Rohdaten!IX47</f>
        <v>1</v>
      </c>
    </row>
    <row r="18" spans="1:10" x14ac:dyDescent="0.25">
      <c r="A18" s="60" t="s">
        <v>51</v>
      </c>
      <c r="B18" s="60">
        <f>Rohdaten!T47</f>
        <v>15</v>
      </c>
      <c r="C18" s="64">
        <f>Rohdaten!AX47</f>
        <v>12</v>
      </c>
      <c r="D18" s="64">
        <f>Rohdaten!CB47</f>
        <v>14</v>
      </c>
      <c r="E18" s="64">
        <f>Rohdaten!DF47</f>
        <v>17</v>
      </c>
      <c r="F18" s="64">
        <f>Rohdaten!EJ47</f>
        <v>7</v>
      </c>
      <c r="G18" s="64">
        <f>Rohdaten!FN47</f>
        <v>14</v>
      </c>
      <c r="H18" s="64">
        <f>Rohdaten!GR47</f>
        <v>9</v>
      </c>
      <c r="I18" s="64">
        <f>Rohdaten!HV47</f>
        <v>14</v>
      </c>
      <c r="J18" s="77">
        <f>Rohdaten!IZ47</f>
        <v>7</v>
      </c>
    </row>
    <row r="19" spans="1:10" x14ac:dyDescent="0.25">
      <c r="A19" s="71" t="s">
        <v>55</v>
      </c>
      <c r="B19" s="71">
        <f>Rohdaten!V47</f>
        <v>6</v>
      </c>
      <c r="C19" s="62">
        <f>Rohdaten!AZ47</f>
        <v>6</v>
      </c>
      <c r="D19" s="62">
        <f>Rohdaten!CD47</f>
        <v>18</v>
      </c>
      <c r="E19" s="62">
        <f>Rohdaten!DH47</f>
        <v>12</v>
      </c>
      <c r="F19" s="62">
        <f>Rohdaten!EL47</f>
        <v>29</v>
      </c>
      <c r="G19" s="62">
        <f>Rohdaten!FP47</f>
        <v>15</v>
      </c>
      <c r="H19" s="62">
        <f>Rohdaten!GT47</f>
        <v>25</v>
      </c>
      <c r="I19" s="62">
        <f>Rohdaten!HX47</f>
        <v>17</v>
      </c>
      <c r="J19" s="78">
        <f>Rohdaten!JB47</f>
        <v>27</v>
      </c>
    </row>
    <row r="20" spans="1:10" x14ac:dyDescent="0.25">
      <c r="A20" s="65" t="s">
        <v>38</v>
      </c>
      <c r="B20" s="65">
        <f>Rohdaten!X47</f>
        <v>1</v>
      </c>
      <c r="C20" s="75">
        <f>Rohdaten!BB47</f>
        <v>0</v>
      </c>
      <c r="D20" s="75">
        <f>Rohdaten!CF47</f>
        <v>0</v>
      </c>
      <c r="E20" s="75">
        <f>Rohdaten!DJ47</f>
        <v>0</v>
      </c>
      <c r="F20" s="75">
        <f>Rohdaten!EN47</f>
        <v>0</v>
      </c>
      <c r="G20" s="75">
        <f>Rohdaten!FR47</f>
        <v>0</v>
      </c>
      <c r="H20" s="75">
        <f>Rohdaten!GV47</f>
        <v>0</v>
      </c>
      <c r="I20" s="75">
        <f>Rohdaten!HZ47</f>
        <v>0</v>
      </c>
      <c r="J20" s="76">
        <f>Rohdaten!JD47</f>
        <v>0</v>
      </c>
    </row>
    <row r="21" spans="1:10" x14ac:dyDescent="0.25">
      <c r="A21" s="60" t="s">
        <v>15</v>
      </c>
      <c r="B21" s="60">
        <f>Rohdaten!Z47</f>
        <v>7</v>
      </c>
      <c r="C21" s="64">
        <f>Rohdaten!BD47</f>
        <v>7</v>
      </c>
      <c r="D21" s="64">
        <f>Rohdaten!CH47</f>
        <v>1</v>
      </c>
      <c r="E21" s="64">
        <f>Rohdaten!DL47</f>
        <v>4</v>
      </c>
      <c r="F21" s="64">
        <f>Rohdaten!EP47</f>
        <v>1</v>
      </c>
      <c r="G21" s="64">
        <f>Rohdaten!FT47</f>
        <v>11</v>
      </c>
      <c r="H21" s="64">
        <f>Rohdaten!GX47</f>
        <v>6</v>
      </c>
      <c r="I21" s="64">
        <f>Rohdaten!IB47</f>
        <v>6</v>
      </c>
      <c r="J21" s="77">
        <f>Rohdaten!JF47</f>
        <v>4</v>
      </c>
    </row>
    <row r="22" spans="1:10" x14ac:dyDescent="0.25">
      <c r="A22" s="60" t="s">
        <v>73</v>
      </c>
      <c r="B22" s="60">
        <f>Rohdaten!AB47</f>
        <v>25</v>
      </c>
      <c r="C22" s="64">
        <f>Rohdaten!BF47</f>
        <v>25</v>
      </c>
      <c r="D22" s="64">
        <f>Rohdaten!CJ47</f>
        <v>24</v>
      </c>
      <c r="E22" s="64">
        <f>Rohdaten!DN47</f>
        <v>21</v>
      </c>
      <c r="F22" s="64">
        <f>Rohdaten!ER47</f>
        <v>22</v>
      </c>
      <c r="G22" s="64">
        <f>Rohdaten!FV47</f>
        <v>17</v>
      </c>
      <c r="H22" s="64">
        <f>Rohdaten!GZ47</f>
        <v>24</v>
      </c>
      <c r="I22" s="64">
        <f>Rohdaten!ID47</f>
        <v>23</v>
      </c>
      <c r="J22" s="77">
        <f>Rohdaten!JH47</f>
        <v>17</v>
      </c>
    </row>
    <row r="23" spans="1:10" x14ac:dyDescent="0.25">
      <c r="A23" s="71" t="s">
        <v>17</v>
      </c>
      <c r="B23" s="71">
        <f>Rohdaten!AD47</f>
        <v>3</v>
      </c>
      <c r="C23" s="62">
        <f>Rohdaten!BH47</f>
        <v>4</v>
      </c>
      <c r="D23" s="62">
        <f>Rohdaten!CL47</f>
        <v>11</v>
      </c>
      <c r="E23" s="62">
        <f>Rohdaten!DP47</f>
        <v>11</v>
      </c>
      <c r="F23" s="62">
        <f>Rohdaten!ET47</f>
        <v>13</v>
      </c>
      <c r="G23" s="62">
        <f>Rohdaten!FX47</f>
        <v>8</v>
      </c>
      <c r="H23" s="62">
        <f>Rohdaten!HB47</f>
        <v>6</v>
      </c>
      <c r="I23" s="62">
        <f>Rohdaten!IF47</f>
        <v>7</v>
      </c>
      <c r="J23" s="78">
        <f>Rohdaten!JJ47</f>
        <v>15</v>
      </c>
    </row>
    <row r="24" spans="1:10" s="117" customFormat="1" x14ac:dyDescent="0.25">
      <c r="A24" s="137" t="s">
        <v>98</v>
      </c>
      <c r="B24" s="134">
        <f>B3/2</f>
        <v>86</v>
      </c>
      <c r="C24" s="142">
        <f t="shared" ref="C24:I24" si="2">C3/2</f>
        <v>86.5</v>
      </c>
      <c r="D24" s="142">
        <f t="shared" si="2"/>
        <v>104</v>
      </c>
      <c r="E24" s="142">
        <f t="shared" si="2"/>
        <v>97</v>
      </c>
      <c r="F24" s="142">
        <f t="shared" si="2"/>
        <v>127.5</v>
      </c>
      <c r="G24" s="142">
        <f t="shared" si="2"/>
        <v>100</v>
      </c>
      <c r="H24" s="142">
        <f t="shared" si="2"/>
        <v>118.5</v>
      </c>
      <c r="I24" s="142">
        <f t="shared" si="2"/>
        <v>99.5</v>
      </c>
      <c r="J24" s="151">
        <f t="shared" ref="J24" si="3">J3/2</f>
        <v>122.5</v>
      </c>
    </row>
    <row r="25" spans="1:10" s="117" customFormat="1" x14ac:dyDescent="0.25">
      <c r="A25" s="137" t="s">
        <v>100</v>
      </c>
      <c r="B25" s="137">
        <f>B4/2</f>
        <v>14</v>
      </c>
      <c r="C25" s="143">
        <f t="shared" ref="C25:I25" si="4">C4/2</f>
        <v>14.5</v>
      </c>
      <c r="D25" s="143">
        <f t="shared" si="4"/>
        <v>32</v>
      </c>
      <c r="E25" s="143">
        <f t="shared" si="4"/>
        <v>25</v>
      </c>
      <c r="F25" s="143">
        <f t="shared" si="4"/>
        <v>55.5</v>
      </c>
      <c r="G25" s="143">
        <f t="shared" si="4"/>
        <v>28</v>
      </c>
      <c r="H25" s="143">
        <f t="shared" si="4"/>
        <v>46.5</v>
      </c>
      <c r="I25" s="143">
        <f t="shared" si="4"/>
        <v>27.5</v>
      </c>
      <c r="J25" s="152">
        <f t="shared" ref="J25" si="5">J4/2</f>
        <v>50.5</v>
      </c>
    </row>
    <row r="26" spans="1:10" s="117" customFormat="1" x14ac:dyDescent="0.25">
      <c r="A26" s="137" t="s">
        <v>99</v>
      </c>
      <c r="B26" s="137">
        <f>B6/2</f>
        <v>71</v>
      </c>
      <c r="C26" s="143">
        <f t="shared" ref="C26:I26" si="6">C6/2</f>
        <v>76.499999999999986</v>
      </c>
      <c r="D26" s="143">
        <f t="shared" si="6"/>
        <v>84.999999999999986</v>
      </c>
      <c r="E26" s="143">
        <f t="shared" si="6"/>
        <v>79</v>
      </c>
      <c r="F26" s="143">
        <f t="shared" si="6"/>
        <v>82.5</v>
      </c>
      <c r="G26" s="143">
        <f t="shared" si="6"/>
        <v>77</v>
      </c>
      <c r="H26" s="143">
        <f t="shared" si="6"/>
        <v>86.5</v>
      </c>
      <c r="I26" s="143">
        <f t="shared" si="6"/>
        <v>83.5</v>
      </c>
      <c r="J26" s="152">
        <f t="shared" ref="J26" si="7">J6/2</f>
        <v>80.499999999999986</v>
      </c>
    </row>
    <row r="27" spans="1:10" s="117" customFormat="1" x14ac:dyDescent="0.25">
      <c r="A27" s="137" t="s">
        <v>101</v>
      </c>
      <c r="B27" s="140">
        <f>B7/2</f>
        <v>-1</v>
      </c>
      <c r="C27" s="144">
        <f t="shared" ref="C27:I27" si="8">C7/2</f>
        <v>4.4999999999999858</v>
      </c>
      <c r="D27" s="144">
        <f t="shared" si="8"/>
        <v>12.999999999999986</v>
      </c>
      <c r="E27" s="144">
        <f t="shared" si="8"/>
        <v>7</v>
      </c>
      <c r="F27" s="144">
        <f t="shared" si="8"/>
        <v>10.5</v>
      </c>
      <c r="G27" s="144">
        <f t="shared" si="8"/>
        <v>5</v>
      </c>
      <c r="H27" s="144">
        <f t="shared" si="8"/>
        <v>14.5</v>
      </c>
      <c r="I27" s="144">
        <f t="shared" si="8"/>
        <v>11.5</v>
      </c>
      <c r="J27" s="153">
        <f t="shared" ref="J27" si="9">J7/2</f>
        <v>8.4999999999999858</v>
      </c>
    </row>
    <row r="28" spans="1:10" x14ac:dyDescent="0.25">
      <c r="A28" s="65" t="s">
        <v>49</v>
      </c>
      <c r="B28" s="66">
        <f>B12/36</f>
        <v>1.8611111111111112</v>
      </c>
      <c r="C28" s="67">
        <f t="shared" ref="C28:I28" si="10">C12/36</f>
        <v>1.9166666666666667</v>
      </c>
      <c r="D28" s="67">
        <f t="shared" si="10"/>
        <v>2.2777777777777777</v>
      </c>
      <c r="E28" s="67">
        <f t="shared" si="10"/>
        <v>2.2222222222222223</v>
      </c>
      <c r="F28" s="67">
        <f t="shared" si="10"/>
        <v>2.3611111111111112</v>
      </c>
      <c r="G28" s="67">
        <f t="shared" si="10"/>
        <v>1.9166666666666667</v>
      </c>
      <c r="H28" s="67">
        <f t="shared" si="10"/>
        <v>2</v>
      </c>
      <c r="I28" s="67">
        <f t="shared" si="10"/>
        <v>2.0277777777777777</v>
      </c>
      <c r="J28" s="68">
        <f t="shared" ref="J28" si="11">J12/36</f>
        <v>2.4444444444444446</v>
      </c>
    </row>
    <row r="29" spans="1:10" x14ac:dyDescent="0.25">
      <c r="A29" s="71" t="s">
        <v>94</v>
      </c>
      <c r="B29" s="105">
        <f t="shared" ref="B29:I29" si="12">B15/2</f>
        <v>8.5250000000000004</v>
      </c>
      <c r="C29" s="130">
        <f t="shared" si="12"/>
        <v>8.4</v>
      </c>
      <c r="D29" s="130">
        <f t="shared" si="12"/>
        <v>16.7</v>
      </c>
      <c r="E29" s="130">
        <f t="shared" si="12"/>
        <v>15.025</v>
      </c>
      <c r="F29" s="130">
        <f t="shared" si="12"/>
        <v>20</v>
      </c>
      <c r="G29" s="130">
        <f t="shared" si="12"/>
        <v>10.649999999999999</v>
      </c>
      <c r="H29" s="130">
        <f t="shared" si="12"/>
        <v>13.275</v>
      </c>
      <c r="I29" s="130">
        <f t="shared" si="12"/>
        <v>12.875</v>
      </c>
      <c r="J29" s="154">
        <f t="shared" ref="J29" si="13">J15/2</f>
        <v>20.149999999999999</v>
      </c>
    </row>
    <row r="30" spans="1:10" x14ac:dyDescent="0.25">
      <c r="A30" s="60" t="s">
        <v>45</v>
      </c>
      <c r="B30" s="61">
        <f t="shared" ref="B30:I31" si="14">B13/2</f>
        <v>5.5</v>
      </c>
      <c r="C30" s="69">
        <f t="shared" si="14"/>
        <v>8</v>
      </c>
      <c r="D30" s="69">
        <f t="shared" si="14"/>
        <v>4</v>
      </c>
      <c r="E30" s="69">
        <f t="shared" si="14"/>
        <v>5.5</v>
      </c>
      <c r="F30" s="69">
        <f t="shared" si="14"/>
        <v>0</v>
      </c>
      <c r="G30" s="69">
        <f t="shared" si="14"/>
        <v>3</v>
      </c>
      <c r="H30" s="69">
        <f t="shared" si="14"/>
        <v>0.5</v>
      </c>
      <c r="I30" s="69">
        <f t="shared" si="14"/>
        <v>2.5</v>
      </c>
      <c r="J30" s="70">
        <f t="shared" ref="J30" si="15">J13/2</f>
        <v>3</v>
      </c>
    </row>
    <row r="31" spans="1:10" x14ac:dyDescent="0.25">
      <c r="A31" s="60" t="s">
        <v>96</v>
      </c>
      <c r="B31" s="102">
        <f t="shared" si="14"/>
        <v>2.5</v>
      </c>
      <c r="C31" s="103">
        <f t="shared" si="14"/>
        <v>2.5</v>
      </c>
      <c r="D31" s="103">
        <f t="shared" si="14"/>
        <v>0</v>
      </c>
      <c r="E31" s="103">
        <f t="shared" si="14"/>
        <v>0.5</v>
      </c>
      <c r="F31" s="103">
        <f t="shared" si="14"/>
        <v>0</v>
      </c>
      <c r="G31" s="103">
        <f t="shared" si="14"/>
        <v>2</v>
      </c>
      <c r="H31" s="103">
        <f t="shared" si="14"/>
        <v>0.5</v>
      </c>
      <c r="I31" s="103">
        <f t="shared" si="14"/>
        <v>1.5</v>
      </c>
      <c r="J31" s="104">
        <f t="shared" ref="J31" si="16">J14/2</f>
        <v>0</v>
      </c>
    </row>
    <row r="32" spans="1:10" x14ac:dyDescent="0.25">
      <c r="A32" s="65" t="s">
        <v>92</v>
      </c>
      <c r="B32" s="99">
        <f t="shared" ref="B32:I39" si="17">B16/2</f>
        <v>1</v>
      </c>
      <c r="C32" s="100">
        <f t="shared" si="17"/>
        <v>0</v>
      </c>
      <c r="D32" s="100">
        <f t="shared" si="17"/>
        <v>0</v>
      </c>
      <c r="E32" s="100">
        <f t="shared" si="17"/>
        <v>0</v>
      </c>
      <c r="F32" s="100">
        <f t="shared" si="17"/>
        <v>0</v>
      </c>
      <c r="G32" s="100">
        <f t="shared" si="17"/>
        <v>0</v>
      </c>
      <c r="H32" s="100">
        <f t="shared" si="17"/>
        <v>0</v>
      </c>
      <c r="I32" s="100">
        <f t="shared" si="17"/>
        <v>0</v>
      </c>
      <c r="J32" s="101">
        <f t="shared" ref="J32" si="18">J16/2</f>
        <v>0.5</v>
      </c>
    </row>
    <row r="33" spans="1:10" x14ac:dyDescent="0.25">
      <c r="A33" s="60" t="s">
        <v>52</v>
      </c>
      <c r="B33" s="102">
        <f t="shared" si="17"/>
        <v>6.5</v>
      </c>
      <c r="C33" s="103">
        <f t="shared" si="17"/>
        <v>9</v>
      </c>
      <c r="D33" s="103">
        <f t="shared" si="17"/>
        <v>2</v>
      </c>
      <c r="E33" s="103">
        <f t="shared" si="17"/>
        <v>3.5</v>
      </c>
      <c r="F33" s="103">
        <f t="shared" si="17"/>
        <v>0</v>
      </c>
      <c r="G33" s="103">
        <f t="shared" si="17"/>
        <v>3.5</v>
      </c>
      <c r="H33" s="103">
        <f t="shared" si="17"/>
        <v>1</v>
      </c>
      <c r="I33" s="103">
        <f t="shared" si="17"/>
        <v>2.5</v>
      </c>
      <c r="J33" s="104">
        <f t="shared" ref="J33" si="19">J17/2</f>
        <v>0.5</v>
      </c>
    </row>
    <row r="34" spans="1:10" x14ac:dyDescent="0.25">
      <c r="A34" s="60" t="s">
        <v>53</v>
      </c>
      <c r="B34" s="102">
        <f t="shared" si="17"/>
        <v>7.5</v>
      </c>
      <c r="C34" s="103">
        <f t="shared" si="17"/>
        <v>6</v>
      </c>
      <c r="D34" s="103">
        <f t="shared" si="17"/>
        <v>7</v>
      </c>
      <c r="E34" s="103">
        <f t="shared" si="17"/>
        <v>8.5</v>
      </c>
      <c r="F34" s="103">
        <f t="shared" si="17"/>
        <v>3.5</v>
      </c>
      <c r="G34" s="103">
        <f t="shared" si="17"/>
        <v>7</v>
      </c>
      <c r="H34" s="103">
        <f t="shared" si="17"/>
        <v>4.5</v>
      </c>
      <c r="I34" s="103">
        <f t="shared" si="17"/>
        <v>7</v>
      </c>
      <c r="J34" s="104">
        <f t="shared" ref="J34" si="20">J18/2</f>
        <v>3.5</v>
      </c>
    </row>
    <row r="35" spans="1:10" x14ac:dyDescent="0.25">
      <c r="A35" s="71" t="s">
        <v>54</v>
      </c>
      <c r="B35" s="105">
        <f t="shared" si="17"/>
        <v>3</v>
      </c>
      <c r="C35" s="106">
        <f t="shared" si="17"/>
        <v>3</v>
      </c>
      <c r="D35" s="106">
        <f t="shared" si="17"/>
        <v>9</v>
      </c>
      <c r="E35" s="106">
        <f t="shared" si="17"/>
        <v>6</v>
      </c>
      <c r="F35" s="106">
        <f t="shared" si="17"/>
        <v>14.5</v>
      </c>
      <c r="G35" s="106">
        <f t="shared" si="17"/>
        <v>7.5</v>
      </c>
      <c r="H35" s="106">
        <f t="shared" si="17"/>
        <v>12.5</v>
      </c>
      <c r="I35" s="106">
        <f t="shared" si="17"/>
        <v>8.5</v>
      </c>
      <c r="J35" s="107">
        <f t="shared" ref="J35" si="21">J19/2</f>
        <v>13.5</v>
      </c>
    </row>
    <row r="36" spans="1:10" x14ac:dyDescent="0.25">
      <c r="A36" s="65" t="s">
        <v>60</v>
      </c>
      <c r="B36" s="99">
        <f t="shared" si="17"/>
        <v>0.5</v>
      </c>
      <c r="C36" s="100">
        <f t="shared" si="17"/>
        <v>0</v>
      </c>
      <c r="D36" s="100">
        <f t="shared" si="17"/>
        <v>0</v>
      </c>
      <c r="E36" s="100">
        <f t="shared" si="17"/>
        <v>0</v>
      </c>
      <c r="F36" s="100">
        <f t="shared" si="17"/>
        <v>0</v>
      </c>
      <c r="G36" s="100">
        <f t="shared" si="17"/>
        <v>0</v>
      </c>
      <c r="H36" s="100">
        <f t="shared" si="17"/>
        <v>0</v>
      </c>
      <c r="I36" s="100">
        <f t="shared" si="17"/>
        <v>0</v>
      </c>
      <c r="J36" s="101">
        <f t="shared" ref="J36" si="22">J20/2</f>
        <v>0</v>
      </c>
    </row>
    <row r="37" spans="1:10" x14ac:dyDescent="0.25">
      <c r="A37" s="60" t="s">
        <v>46</v>
      </c>
      <c r="B37" s="102">
        <f t="shared" si="17"/>
        <v>3.5</v>
      </c>
      <c r="C37" s="103">
        <f t="shared" si="17"/>
        <v>3.5</v>
      </c>
      <c r="D37" s="103">
        <f t="shared" si="17"/>
        <v>0.5</v>
      </c>
      <c r="E37" s="103">
        <f t="shared" si="17"/>
        <v>2</v>
      </c>
      <c r="F37" s="103">
        <f t="shared" si="17"/>
        <v>0.5</v>
      </c>
      <c r="G37" s="103">
        <f t="shared" si="17"/>
        <v>5.5</v>
      </c>
      <c r="H37" s="103">
        <f t="shared" si="17"/>
        <v>3</v>
      </c>
      <c r="I37" s="103">
        <f t="shared" si="17"/>
        <v>3</v>
      </c>
      <c r="J37" s="104">
        <f t="shared" ref="J37" si="23">J21/2</f>
        <v>2</v>
      </c>
    </row>
    <row r="38" spans="1:10" x14ac:dyDescent="0.25">
      <c r="A38" s="60" t="s">
        <v>74</v>
      </c>
      <c r="B38" s="102">
        <f t="shared" si="17"/>
        <v>12.5</v>
      </c>
      <c r="C38" s="103">
        <f t="shared" si="17"/>
        <v>12.5</v>
      </c>
      <c r="D38" s="103">
        <f t="shared" si="17"/>
        <v>12</v>
      </c>
      <c r="E38" s="103">
        <f t="shared" si="17"/>
        <v>10.5</v>
      </c>
      <c r="F38" s="103">
        <f t="shared" si="17"/>
        <v>11</v>
      </c>
      <c r="G38" s="103">
        <f t="shared" si="17"/>
        <v>8.5</v>
      </c>
      <c r="H38" s="103">
        <f t="shared" si="17"/>
        <v>12</v>
      </c>
      <c r="I38" s="103">
        <f t="shared" si="17"/>
        <v>11.5</v>
      </c>
      <c r="J38" s="104">
        <f t="shared" ref="J38" si="24">J22/2</f>
        <v>8.5</v>
      </c>
    </row>
    <row r="39" spans="1:10" x14ac:dyDescent="0.25">
      <c r="A39" s="71" t="s">
        <v>47</v>
      </c>
      <c r="B39" s="105">
        <f t="shared" si="17"/>
        <v>1.5</v>
      </c>
      <c r="C39" s="106">
        <f t="shared" si="17"/>
        <v>2</v>
      </c>
      <c r="D39" s="106">
        <f t="shared" si="17"/>
        <v>5.5</v>
      </c>
      <c r="E39" s="106">
        <f t="shared" si="17"/>
        <v>5.5</v>
      </c>
      <c r="F39" s="106">
        <f t="shared" si="17"/>
        <v>6.5</v>
      </c>
      <c r="G39" s="106">
        <f t="shared" si="17"/>
        <v>4</v>
      </c>
      <c r="H39" s="106">
        <f t="shared" si="17"/>
        <v>3</v>
      </c>
      <c r="I39" s="106">
        <f t="shared" si="17"/>
        <v>3.5</v>
      </c>
      <c r="J39" s="107">
        <f t="shared" ref="J39" si="25">J23/2</f>
        <v>7.5</v>
      </c>
    </row>
    <row r="40" spans="1:10" x14ac:dyDescent="0.25">
      <c r="A40" s="65" t="s">
        <v>19</v>
      </c>
      <c r="B40" s="66">
        <f>Rohdaten!AF47</f>
        <v>0.875</v>
      </c>
      <c r="C40" s="67">
        <f>Rohdaten!BJ47</f>
        <v>0.75</v>
      </c>
      <c r="D40" s="67">
        <f>Rohdaten!CN47</f>
        <v>1.5</v>
      </c>
      <c r="E40" s="67">
        <f>Rohdaten!DR47</f>
        <v>1</v>
      </c>
      <c r="F40" s="67">
        <f>Rohdaten!EV47</f>
        <v>2.625</v>
      </c>
      <c r="G40" s="67">
        <f>Rohdaten!FZ47</f>
        <v>1</v>
      </c>
      <c r="H40" s="67">
        <f>Rohdaten!HD47</f>
        <v>1.625</v>
      </c>
      <c r="I40" s="67">
        <f>Rohdaten!IH47</f>
        <v>1.75</v>
      </c>
      <c r="J40" s="68">
        <f>Rohdaten!JL47</f>
        <v>1.75</v>
      </c>
    </row>
    <row r="41" spans="1:10" x14ac:dyDescent="0.25">
      <c r="A41" s="60" t="s">
        <v>20</v>
      </c>
      <c r="B41" s="61">
        <f>Rohdaten!AG47</f>
        <v>0.55000000000000004</v>
      </c>
      <c r="C41" s="69">
        <f>Rohdaten!BK47</f>
        <v>0.8</v>
      </c>
      <c r="D41" s="69">
        <f>Rohdaten!CO47</f>
        <v>1.95</v>
      </c>
      <c r="E41" s="69">
        <f>Rohdaten!DS47</f>
        <v>1.25</v>
      </c>
      <c r="F41" s="69">
        <f>Rohdaten!EW47</f>
        <v>3.1</v>
      </c>
      <c r="G41" s="69">
        <f>Rohdaten!GA47</f>
        <v>1.45</v>
      </c>
      <c r="H41" s="69">
        <f>Rohdaten!HE47</f>
        <v>2.8</v>
      </c>
      <c r="I41" s="69">
        <f>Rohdaten!II47</f>
        <v>1.55</v>
      </c>
      <c r="J41" s="70">
        <f>Rohdaten!JM47</f>
        <v>3.3</v>
      </c>
    </row>
    <row r="42" spans="1:10" x14ac:dyDescent="0.25">
      <c r="A42" s="71" t="s">
        <v>21</v>
      </c>
      <c r="B42" s="72">
        <f>Rohdaten!AH47</f>
        <v>1.25</v>
      </c>
      <c r="C42" s="73">
        <f>Rohdaten!BL47</f>
        <v>0.875</v>
      </c>
      <c r="D42" s="73">
        <f>Rohdaten!CP47</f>
        <v>1.625</v>
      </c>
      <c r="E42" s="73">
        <f>Rohdaten!DT47</f>
        <v>2.125</v>
      </c>
      <c r="F42" s="73">
        <f>Rohdaten!EX47</f>
        <v>3.5</v>
      </c>
      <c r="G42" s="73">
        <f>Rohdaten!GB47</f>
        <v>2.375</v>
      </c>
      <c r="H42" s="73">
        <f>Rohdaten!HF47</f>
        <v>3</v>
      </c>
      <c r="I42" s="73">
        <f>Rohdaten!IJ47</f>
        <v>1.25</v>
      </c>
      <c r="J42" s="74">
        <f>Rohdaten!JN47</f>
        <v>2.625</v>
      </c>
    </row>
    <row r="43" spans="1:10" x14ac:dyDescent="0.25">
      <c r="A43" s="64"/>
      <c r="B43" s="69"/>
      <c r="C43" s="69"/>
      <c r="D43" s="69"/>
      <c r="E43" s="69"/>
      <c r="F43" s="69"/>
      <c r="G43" s="69"/>
      <c r="H43" s="69"/>
      <c r="I43" s="69"/>
      <c r="J43" s="69"/>
    </row>
    <row r="45" spans="1:10" x14ac:dyDescent="0.25">
      <c r="A45" s="131" t="s">
        <v>102</v>
      </c>
      <c r="B45" s="132" t="str" cm="1">
        <f t="array" ref="B45:J45">_xlfn.SORTBY(B1:J1,B$7:J$7)</f>
        <v>Manu</v>
      </c>
      <c r="C45" s="133" t="str">
        <v>Parli</v>
      </c>
      <c r="D45" s="133" t="str">
        <v>Jens</v>
      </c>
      <c r="E45" s="133" t="str">
        <v>Pulfer</v>
      </c>
      <c r="F45" s="133" t="str">
        <v>Aui</v>
      </c>
      <c r="G45" s="133" t="str">
        <v>Sutti</v>
      </c>
      <c r="H45" s="133" t="str">
        <v>Lenz</v>
      </c>
      <c r="I45" s="133" t="str">
        <v>Meiky</v>
      </c>
      <c r="J45" s="118" t="str">
        <v>Köbi</v>
      </c>
    </row>
    <row r="46" spans="1:10" x14ac:dyDescent="0.25">
      <c r="A46" s="132" t="str">
        <f>A7</f>
        <v>Schläge Netto über Par</v>
      </c>
      <c r="B46" s="132" cm="1">
        <f t="array" ref="B46:J46">_xlfn.SORTBY(B7:J7,B$7:J$7)</f>
        <v>-2</v>
      </c>
      <c r="C46" s="133">
        <v>8.9999999999999716</v>
      </c>
      <c r="D46" s="133">
        <v>10</v>
      </c>
      <c r="E46" s="133">
        <v>14</v>
      </c>
      <c r="F46" s="133">
        <v>16.999999999999972</v>
      </c>
      <c r="G46" s="133">
        <v>21</v>
      </c>
      <c r="H46" s="133">
        <v>23</v>
      </c>
      <c r="I46" s="133">
        <v>25.999999999999972</v>
      </c>
      <c r="J46" s="163">
        <v>29</v>
      </c>
    </row>
    <row r="47" spans="1:10" x14ac:dyDescent="0.25">
      <c r="A47" s="134" t="str">
        <f>A24</f>
        <v>Ø Schläge pro Runde</v>
      </c>
      <c r="B47" s="135" cm="1">
        <f t="array" ref="B47:J47">_xlfn.SORTBY(B24:J24,B$7:J$7)</f>
        <v>86</v>
      </c>
      <c r="C47" s="136">
        <v>86.5</v>
      </c>
      <c r="D47" s="136">
        <v>100</v>
      </c>
      <c r="E47" s="136">
        <v>97</v>
      </c>
      <c r="F47" s="136">
        <v>122.5</v>
      </c>
      <c r="G47" s="136">
        <v>127.5</v>
      </c>
      <c r="H47" s="136">
        <v>99.5</v>
      </c>
      <c r="I47" s="136">
        <v>104</v>
      </c>
      <c r="J47" s="164">
        <v>118.5</v>
      </c>
    </row>
    <row r="48" spans="1:10" x14ac:dyDescent="0.25">
      <c r="A48" s="140" t="str">
        <f>A25</f>
        <v>Ø Schläge über Par pro Runde</v>
      </c>
      <c r="B48" s="141" cm="1">
        <f t="array" ref="B48:J48">_xlfn.SORTBY(B25:J25,B$7:J$7)</f>
        <v>14</v>
      </c>
      <c r="C48" s="130">
        <v>14.5</v>
      </c>
      <c r="D48" s="130">
        <v>28</v>
      </c>
      <c r="E48" s="130">
        <v>25</v>
      </c>
      <c r="F48" s="130">
        <v>50.5</v>
      </c>
      <c r="G48" s="130">
        <v>55.5</v>
      </c>
      <c r="H48" s="130">
        <v>27.5</v>
      </c>
      <c r="I48" s="130">
        <v>32</v>
      </c>
      <c r="J48" s="154">
        <v>46.5</v>
      </c>
    </row>
    <row r="49" spans="1:10" x14ac:dyDescent="0.25">
      <c r="A49" s="137" t="str">
        <f>A9</f>
        <v>High Score</v>
      </c>
      <c r="B49" s="138" cm="1">
        <f t="array" ref="B49:J49">_xlfn.SORTBY(B9:J9,B$7:J$7)</f>
        <v>90</v>
      </c>
      <c r="C49" s="139">
        <v>93</v>
      </c>
      <c r="D49" s="139">
        <v>101</v>
      </c>
      <c r="E49" s="139">
        <v>101</v>
      </c>
      <c r="F49" s="139">
        <v>124</v>
      </c>
      <c r="G49" s="139">
        <v>136</v>
      </c>
      <c r="H49" s="139">
        <v>104</v>
      </c>
      <c r="I49" s="139">
        <v>108</v>
      </c>
      <c r="J49" s="165">
        <v>123</v>
      </c>
    </row>
    <row r="50" spans="1:10" x14ac:dyDescent="0.25">
      <c r="A50" s="137" t="str">
        <f>A10</f>
        <v>Low Score</v>
      </c>
      <c r="B50" s="138" cm="1">
        <f t="array" ref="B50:J50">_xlfn.SORTBY(B10:J10,B$7:J$7)</f>
        <v>82</v>
      </c>
      <c r="C50" s="139">
        <v>80</v>
      </c>
      <c r="D50" s="139">
        <v>99</v>
      </c>
      <c r="E50" s="139">
        <v>93</v>
      </c>
      <c r="F50" s="139">
        <v>121</v>
      </c>
      <c r="G50" s="139">
        <v>119</v>
      </c>
      <c r="H50" s="139">
        <v>95</v>
      </c>
      <c r="I50" s="139">
        <v>100</v>
      </c>
      <c r="J50" s="165">
        <v>114</v>
      </c>
    </row>
    <row r="51" spans="1:10" x14ac:dyDescent="0.25">
      <c r="A51" s="134" t="str">
        <f>A28</f>
        <v>Ø Putts pro Loch</v>
      </c>
      <c r="B51" s="135" cm="1">
        <f t="array" ref="B51:J51">_xlfn.SORTBY(B28:J28,B$7:J$7)</f>
        <v>1.8611111111111112</v>
      </c>
      <c r="C51" s="136">
        <v>1.9166666666666667</v>
      </c>
      <c r="D51" s="136">
        <v>1.9166666666666667</v>
      </c>
      <c r="E51" s="136">
        <v>2.2222222222222223</v>
      </c>
      <c r="F51" s="136">
        <v>2.4444444444444446</v>
      </c>
      <c r="G51" s="136">
        <v>2.3611111111111112</v>
      </c>
      <c r="H51" s="136">
        <v>2.0277777777777777</v>
      </c>
      <c r="I51" s="136">
        <v>2.2777777777777777</v>
      </c>
      <c r="J51" s="164">
        <v>2</v>
      </c>
    </row>
    <row r="52" spans="1:10" x14ac:dyDescent="0.25">
      <c r="A52" s="140" t="str">
        <f>A29</f>
        <v>Ø Unnötige Putts pro Runde</v>
      </c>
      <c r="B52" s="141" cm="1">
        <f t="array" ref="B52:J52">_xlfn.SORTBY(B29:J29,B$7:J$7)</f>
        <v>8.5250000000000004</v>
      </c>
      <c r="C52" s="130">
        <v>8.4</v>
      </c>
      <c r="D52" s="130">
        <v>10.649999999999999</v>
      </c>
      <c r="E52" s="130">
        <v>15.025</v>
      </c>
      <c r="F52" s="130">
        <v>20.149999999999999</v>
      </c>
      <c r="G52" s="130">
        <v>20</v>
      </c>
      <c r="H52" s="130">
        <v>12.875</v>
      </c>
      <c r="I52" s="130">
        <v>16.7</v>
      </c>
      <c r="J52" s="154">
        <v>13.275</v>
      </c>
    </row>
    <row r="53" spans="1:10" x14ac:dyDescent="0.25">
      <c r="A53" s="134" t="str">
        <f>A30</f>
        <v>Ø GIR pro Runde</v>
      </c>
      <c r="B53" s="135" cm="1">
        <f t="array" ref="B53:J53">_xlfn.SORTBY(B30:J30,B$7:J$7)</f>
        <v>5.5</v>
      </c>
      <c r="C53" s="136">
        <v>8</v>
      </c>
      <c r="D53" s="136">
        <v>3</v>
      </c>
      <c r="E53" s="136">
        <v>5.5</v>
      </c>
      <c r="F53" s="136">
        <v>3</v>
      </c>
      <c r="G53" s="136">
        <v>0</v>
      </c>
      <c r="H53" s="136">
        <v>2.5</v>
      </c>
      <c r="I53" s="136">
        <v>4</v>
      </c>
      <c r="J53" s="164">
        <v>0.5</v>
      </c>
    </row>
    <row r="54" spans="1:10" x14ac:dyDescent="0.25">
      <c r="A54" s="140" t="str">
        <f>A31</f>
        <v>Ø Scramble pro Runde</v>
      </c>
      <c r="B54" s="141" cm="1">
        <f t="array" ref="B54:J54">_xlfn.SORTBY(B31:J31,B$7:J$7)</f>
        <v>2.5</v>
      </c>
      <c r="C54" s="130">
        <v>2.5</v>
      </c>
      <c r="D54" s="130">
        <v>2</v>
      </c>
      <c r="E54" s="130">
        <v>0.5</v>
      </c>
      <c r="F54" s="130">
        <v>0</v>
      </c>
      <c r="G54" s="130">
        <v>0</v>
      </c>
      <c r="H54" s="130">
        <v>1.5</v>
      </c>
      <c r="I54" s="130">
        <v>0</v>
      </c>
      <c r="J54" s="154">
        <v>0.5</v>
      </c>
    </row>
    <row r="55" spans="1:10" x14ac:dyDescent="0.25">
      <c r="A55" s="134" t="str">
        <f t="shared" ref="A55:A65" si="26">A32</f>
        <v>Ø Birdies pro Runde</v>
      </c>
      <c r="B55" s="135" cm="1">
        <f t="array" ref="B55:J55">_xlfn.SORTBY(B32:J32,B$7:J$7)</f>
        <v>1</v>
      </c>
      <c r="C55" s="136">
        <v>0</v>
      </c>
      <c r="D55" s="136">
        <v>0</v>
      </c>
      <c r="E55" s="136">
        <v>0</v>
      </c>
      <c r="F55" s="136">
        <v>0.5</v>
      </c>
      <c r="G55" s="136">
        <v>0</v>
      </c>
      <c r="H55" s="136">
        <v>0</v>
      </c>
      <c r="I55" s="136">
        <v>0</v>
      </c>
      <c r="J55" s="164">
        <v>0</v>
      </c>
    </row>
    <row r="56" spans="1:10" x14ac:dyDescent="0.25">
      <c r="A56" s="137" t="str">
        <f t="shared" si="26"/>
        <v>Ø Pars pro Runde</v>
      </c>
      <c r="B56" s="138" cm="1">
        <f t="array" ref="B56:J56">_xlfn.SORTBY(B33:J33,B$7:J$7)</f>
        <v>6.5</v>
      </c>
      <c r="C56" s="139">
        <v>9</v>
      </c>
      <c r="D56" s="139">
        <v>3.5</v>
      </c>
      <c r="E56" s="139">
        <v>3.5</v>
      </c>
      <c r="F56" s="139">
        <v>0.5</v>
      </c>
      <c r="G56" s="139">
        <v>0</v>
      </c>
      <c r="H56" s="139">
        <v>2.5</v>
      </c>
      <c r="I56" s="139">
        <v>2</v>
      </c>
      <c r="J56" s="165">
        <v>1</v>
      </c>
    </row>
    <row r="57" spans="1:10" x14ac:dyDescent="0.25">
      <c r="A57" s="137" t="str">
        <f t="shared" si="26"/>
        <v>Ø Bogeys pro Runde</v>
      </c>
      <c r="B57" s="138" cm="1">
        <f t="array" ref="B57:J57">_xlfn.SORTBY(B34:J34,B$7:J$7)</f>
        <v>7.5</v>
      </c>
      <c r="C57" s="139">
        <v>6</v>
      </c>
      <c r="D57" s="139">
        <v>7</v>
      </c>
      <c r="E57" s="139">
        <v>8.5</v>
      </c>
      <c r="F57" s="139">
        <v>3.5</v>
      </c>
      <c r="G57" s="139">
        <v>3.5</v>
      </c>
      <c r="H57" s="139">
        <v>7</v>
      </c>
      <c r="I57" s="139">
        <v>7</v>
      </c>
      <c r="J57" s="165">
        <v>4.5</v>
      </c>
    </row>
    <row r="58" spans="1:10" x14ac:dyDescent="0.25">
      <c r="A58" s="140" t="str">
        <f t="shared" si="26"/>
        <v>Ø Doubley Bogeys + pro Runde</v>
      </c>
      <c r="B58" s="141" cm="1">
        <f t="array" ref="B58:J58">_xlfn.SORTBY(B35:J35,B$7:J$7)</f>
        <v>3</v>
      </c>
      <c r="C58" s="130">
        <v>3</v>
      </c>
      <c r="D58" s="130">
        <v>7.5</v>
      </c>
      <c r="E58" s="130">
        <v>6</v>
      </c>
      <c r="F58" s="130">
        <v>13.5</v>
      </c>
      <c r="G58" s="130">
        <v>14.5</v>
      </c>
      <c r="H58" s="130">
        <v>8.5</v>
      </c>
      <c r="I58" s="130">
        <v>9</v>
      </c>
      <c r="J58" s="154">
        <v>12.5</v>
      </c>
    </row>
    <row r="59" spans="1:10" x14ac:dyDescent="0.25">
      <c r="A59" s="134" t="str">
        <f t="shared" si="26"/>
        <v>Ø Chip in pro Runde</v>
      </c>
      <c r="B59" s="135" cm="1">
        <f t="array" ref="B59:J59">_xlfn.SORTBY(B36:J36,B$7:J$7)</f>
        <v>0.5</v>
      </c>
      <c r="C59" s="136">
        <v>0</v>
      </c>
      <c r="D59" s="136">
        <v>0</v>
      </c>
      <c r="E59" s="136">
        <v>0</v>
      </c>
      <c r="F59" s="136">
        <v>0</v>
      </c>
      <c r="G59" s="136">
        <v>0</v>
      </c>
      <c r="H59" s="136">
        <v>0</v>
      </c>
      <c r="I59" s="136">
        <v>0</v>
      </c>
      <c r="J59" s="164">
        <v>0</v>
      </c>
    </row>
    <row r="60" spans="1:10" x14ac:dyDescent="0.25">
      <c r="A60" s="137" t="str">
        <f t="shared" si="26"/>
        <v>Ø 1 Put pro Runde</v>
      </c>
      <c r="B60" s="138" cm="1">
        <f t="array" ref="B60:J60">_xlfn.SORTBY(B37:J37,B$7:J$7)</f>
        <v>3.5</v>
      </c>
      <c r="C60" s="139">
        <v>3.5</v>
      </c>
      <c r="D60" s="139">
        <v>5.5</v>
      </c>
      <c r="E60" s="139">
        <v>2</v>
      </c>
      <c r="F60" s="139">
        <v>2</v>
      </c>
      <c r="G60" s="139">
        <v>0.5</v>
      </c>
      <c r="H60" s="139">
        <v>3</v>
      </c>
      <c r="I60" s="139">
        <v>0.5</v>
      </c>
      <c r="J60" s="165">
        <v>3</v>
      </c>
    </row>
    <row r="61" spans="1:10" x14ac:dyDescent="0.25">
      <c r="A61" s="137" t="str">
        <f t="shared" si="26"/>
        <v>Ø 2 Put pro Runde</v>
      </c>
      <c r="B61" s="138" cm="1">
        <f t="array" ref="B61:J61">_xlfn.SORTBY(B38:J38,B$7:J$7)</f>
        <v>12.5</v>
      </c>
      <c r="C61" s="139">
        <v>12.5</v>
      </c>
      <c r="D61" s="139">
        <v>8.5</v>
      </c>
      <c r="E61" s="139">
        <v>10.5</v>
      </c>
      <c r="F61" s="139">
        <v>8.5</v>
      </c>
      <c r="G61" s="139">
        <v>11</v>
      </c>
      <c r="H61" s="139">
        <v>11.5</v>
      </c>
      <c r="I61" s="139">
        <v>12</v>
      </c>
      <c r="J61" s="165">
        <v>12</v>
      </c>
    </row>
    <row r="62" spans="1:10" x14ac:dyDescent="0.25">
      <c r="A62" s="140" t="str">
        <f>A39</f>
        <v>Ø 3+ Put pro Runde</v>
      </c>
      <c r="B62" s="141" cm="1">
        <f t="array" ref="B62:J62">_xlfn.SORTBY(B39:J39,B$7:J$7)</f>
        <v>1.5</v>
      </c>
      <c r="C62" s="130">
        <v>2</v>
      </c>
      <c r="D62" s="130">
        <v>4</v>
      </c>
      <c r="E62" s="130">
        <v>5.5</v>
      </c>
      <c r="F62" s="130">
        <v>7.5</v>
      </c>
      <c r="G62" s="130">
        <v>6.5</v>
      </c>
      <c r="H62" s="130">
        <v>3.5</v>
      </c>
      <c r="I62" s="130">
        <v>5.5</v>
      </c>
      <c r="J62" s="154">
        <v>3</v>
      </c>
    </row>
    <row r="63" spans="1:10" x14ac:dyDescent="0.25">
      <c r="A63" s="134" t="str">
        <f t="shared" si="26"/>
        <v>Par3 Perf</v>
      </c>
      <c r="B63" s="135" cm="1">
        <f t="array" ref="B63:J63">_xlfn.SORTBY(B40:J40,B$7:J$7)</f>
        <v>0.875</v>
      </c>
      <c r="C63" s="136">
        <v>0.75</v>
      </c>
      <c r="D63" s="136">
        <v>1</v>
      </c>
      <c r="E63" s="136">
        <v>1</v>
      </c>
      <c r="F63" s="136">
        <v>1.75</v>
      </c>
      <c r="G63" s="136">
        <v>2.625</v>
      </c>
      <c r="H63" s="136">
        <v>1.75</v>
      </c>
      <c r="I63" s="136">
        <v>1.5</v>
      </c>
      <c r="J63" s="164">
        <v>1.625</v>
      </c>
    </row>
    <row r="64" spans="1:10" x14ac:dyDescent="0.25">
      <c r="A64" s="137" t="str">
        <f t="shared" si="26"/>
        <v>Par4 Perf</v>
      </c>
      <c r="B64" s="138" cm="1">
        <f t="array" ref="B64:J64">_xlfn.SORTBY(B41:J41,B$7:J$7)</f>
        <v>0.55000000000000004</v>
      </c>
      <c r="C64" s="139">
        <v>0.8</v>
      </c>
      <c r="D64" s="139">
        <v>1.45</v>
      </c>
      <c r="E64" s="139">
        <v>1.25</v>
      </c>
      <c r="F64" s="139">
        <v>3.3</v>
      </c>
      <c r="G64" s="139">
        <v>3.1</v>
      </c>
      <c r="H64" s="139">
        <v>1.55</v>
      </c>
      <c r="I64" s="139">
        <v>1.95</v>
      </c>
      <c r="J64" s="165">
        <v>2.8</v>
      </c>
    </row>
    <row r="65" spans="1:10" x14ac:dyDescent="0.25">
      <c r="A65" s="140" t="str">
        <f t="shared" si="26"/>
        <v>Par5 Perf</v>
      </c>
      <c r="B65" s="141" cm="1">
        <f t="array" ref="B65:J65">_xlfn.SORTBY(B42:J42,B$7:J$7)</f>
        <v>1.25</v>
      </c>
      <c r="C65" s="130">
        <v>0.875</v>
      </c>
      <c r="D65" s="130">
        <v>2.375</v>
      </c>
      <c r="E65" s="130">
        <v>2.125</v>
      </c>
      <c r="F65" s="130">
        <v>2.625</v>
      </c>
      <c r="G65" s="130">
        <v>3.5</v>
      </c>
      <c r="H65" s="130">
        <v>1.25</v>
      </c>
      <c r="I65" s="130">
        <v>1.625</v>
      </c>
      <c r="J65" s="154">
        <v>3</v>
      </c>
    </row>
    <row r="66" spans="1:10" x14ac:dyDescent="0.25">
      <c r="A66" s="143"/>
      <c r="B66" s="139"/>
      <c r="C66" s="139"/>
      <c r="D66" s="139"/>
      <c r="E66" s="139"/>
      <c r="F66" s="139"/>
      <c r="G66" s="139"/>
      <c r="H66" s="139"/>
      <c r="I66" s="139"/>
      <c r="J66" s="139"/>
    </row>
    <row r="67" spans="1:10" x14ac:dyDescent="0.25">
      <c r="B67" s="103"/>
      <c r="C67" s="103"/>
      <c r="D67" s="103"/>
      <c r="E67" s="103"/>
      <c r="F67" s="103"/>
      <c r="G67" s="103"/>
      <c r="H67" s="103"/>
      <c r="I67" s="103"/>
      <c r="J67" s="103"/>
    </row>
    <row r="68" spans="1:10" x14ac:dyDescent="0.25">
      <c r="A68" s="131" t="s">
        <v>104</v>
      </c>
      <c r="B68" s="132" t="str" cm="1">
        <f t="array" ref="B68:J68">_xlfn.SORTBY(B1:J1,B$7:J$7)</f>
        <v>Manu</v>
      </c>
      <c r="C68" s="133" t="str">
        <v>Parli</v>
      </c>
      <c r="D68" s="133" t="str">
        <v>Jens</v>
      </c>
      <c r="E68" s="133" t="str">
        <v>Pulfer</v>
      </c>
      <c r="F68" s="133" t="str">
        <v>Aui</v>
      </c>
      <c r="G68" s="133" t="str">
        <v>Sutti</v>
      </c>
      <c r="H68" s="133" t="str">
        <v>Lenz</v>
      </c>
      <c r="I68" s="133" t="str">
        <v>Meiky</v>
      </c>
      <c r="J68" s="163" t="str">
        <v>Köbi</v>
      </c>
    </row>
    <row r="69" spans="1:10" x14ac:dyDescent="0.25">
      <c r="A69" s="145" t="s">
        <v>103</v>
      </c>
      <c r="B69" s="150">
        <f>'Zusammenfassung Tag1'!B31</f>
        <v>-4.9999999999999858</v>
      </c>
      <c r="C69" s="166">
        <f>'Zusammenfassung Tag1'!C8</f>
        <v>10.999999999999986</v>
      </c>
      <c r="D69" s="166">
        <f>'Zusammenfassung Tag1'!G8</f>
        <v>6</v>
      </c>
      <c r="E69" s="166">
        <f>'Zusammenfassung Tag1'!E8</f>
        <v>11</v>
      </c>
      <c r="F69" s="166">
        <f>'Zusammenfassung Tag1'!J8</f>
        <v>6.9999999999999716</v>
      </c>
      <c r="G69" s="166">
        <f>'Zusammenfassung Tag1'!F8</f>
        <v>19</v>
      </c>
      <c r="H69" s="166">
        <f>'Zusammenfassung Tag1'!I8</f>
        <v>16</v>
      </c>
      <c r="I69" s="166">
        <f>'Zusammenfassung Tag1'!D8</f>
        <v>16.999999999999986</v>
      </c>
      <c r="J69" s="155">
        <f>'Zusammenfassung Tag1'!H8</f>
        <v>19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5C98-EA83-480A-A637-54B1599CD359}">
  <dimension ref="A1:K27"/>
  <sheetViews>
    <sheetView workbookViewId="0">
      <selection activeCell="E29" sqref="E29"/>
    </sheetView>
  </sheetViews>
  <sheetFormatPr baseColWidth="10" defaultColWidth="11.5546875" defaultRowHeight="13.2" x14ac:dyDescent="0.25"/>
  <cols>
    <col min="1" max="1" width="27.33203125" style="58" bestFit="1" customWidth="1"/>
    <col min="2" max="16384" width="11.5546875" style="58"/>
  </cols>
  <sheetData>
    <row r="1" spans="1:11" x14ac:dyDescent="0.25">
      <c r="A1" s="81" t="s">
        <v>82</v>
      </c>
      <c r="B1" s="122" t="s">
        <v>40</v>
      </c>
      <c r="C1" s="123" t="s">
        <v>41</v>
      </c>
      <c r="D1" s="123" t="s">
        <v>42</v>
      </c>
      <c r="E1" s="123" t="s">
        <v>43</v>
      </c>
      <c r="F1" s="123" t="s">
        <v>107</v>
      </c>
      <c r="G1" s="123" t="s">
        <v>69</v>
      </c>
      <c r="H1" s="123" t="s">
        <v>70</v>
      </c>
      <c r="I1" s="123" t="s">
        <v>71</v>
      </c>
      <c r="J1" s="124" t="s">
        <v>108</v>
      </c>
    </row>
    <row r="2" spans="1:11" x14ac:dyDescent="0.25">
      <c r="A2" s="85" t="s">
        <v>72</v>
      </c>
      <c r="B2" s="86">
        <v>15</v>
      </c>
      <c r="C2" s="87">
        <v>10</v>
      </c>
      <c r="D2" s="87">
        <v>19</v>
      </c>
      <c r="E2" s="87">
        <v>18</v>
      </c>
      <c r="F2" s="123">
        <v>45</v>
      </c>
      <c r="G2" s="123">
        <v>23</v>
      </c>
      <c r="H2" s="87">
        <v>32</v>
      </c>
      <c r="I2" s="87">
        <v>16</v>
      </c>
      <c r="J2" s="88">
        <v>42</v>
      </c>
    </row>
    <row r="3" spans="1:11" x14ac:dyDescent="0.25">
      <c r="A3" s="112" t="s">
        <v>5</v>
      </c>
      <c r="B3" s="65">
        <f>Rohdaten!G70</f>
        <v>90</v>
      </c>
      <c r="C3" s="75">
        <f>Rohdaten!AK70</f>
        <v>86</v>
      </c>
      <c r="D3" s="75">
        <f>Rohdaten!BO70</f>
        <v>111</v>
      </c>
      <c r="E3" s="75">
        <f>Rohdaten!CS70</f>
        <v>84</v>
      </c>
      <c r="F3" s="75">
        <f>Rohdaten!DW70</f>
        <v>119</v>
      </c>
      <c r="G3" s="75">
        <f>Rohdaten!FA70</f>
        <v>97</v>
      </c>
      <c r="H3" s="75">
        <f>Rohdaten!GE70</f>
        <v>119</v>
      </c>
      <c r="I3" s="75">
        <f>Rohdaten!HI70</f>
        <v>86</v>
      </c>
      <c r="J3" s="76">
        <f>Rohdaten!IM70</f>
        <v>127</v>
      </c>
    </row>
    <row r="4" spans="1:11" x14ac:dyDescent="0.25">
      <c r="A4" s="60" t="s">
        <v>85</v>
      </c>
      <c r="B4" s="60">
        <f>Rohdaten!G59</f>
        <v>45</v>
      </c>
      <c r="C4" s="58">
        <f>Rohdaten!AK59</f>
        <v>45</v>
      </c>
      <c r="D4" s="64">
        <f>Rohdaten!BO59</f>
        <v>56</v>
      </c>
      <c r="E4" s="64">
        <f>Rohdaten!CS59</f>
        <v>42</v>
      </c>
      <c r="F4" s="64">
        <f>Rohdaten!DW59</f>
        <v>61</v>
      </c>
      <c r="G4" s="64">
        <f>Rohdaten!FA59</f>
        <v>49</v>
      </c>
      <c r="H4" s="64">
        <f>Rohdaten!GE59</f>
        <v>58</v>
      </c>
      <c r="I4" s="64">
        <f>Rohdaten!HI59</f>
        <v>42</v>
      </c>
      <c r="J4" s="77">
        <f>Rohdaten!IM59</f>
        <v>61</v>
      </c>
    </row>
    <row r="5" spans="1:11" x14ac:dyDescent="0.25">
      <c r="A5" s="60" t="s">
        <v>86</v>
      </c>
      <c r="B5" s="60">
        <f>Rohdaten!G69</f>
        <v>45</v>
      </c>
      <c r="C5" s="58">
        <f>Rohdaten!AK69</f>
        <v>41</v>
      </c>
      <c r="D5" s="64">
        <f>Rohdaten!BO69</f>
        <v>55</v>
      </c>
      <c r="E5" s="64">
        <f>Rohdaten!CS69</f>
        <v>42</v>
      </c>
      <c r="F5" s="64">
        <f>Rohdaten!DW69</f>
        <v>58</v>
      </c>
      <c r="G5" s="64">
        <f>Rohdaten!FA69</f>
        <v>48</v>
      </c>
      <c r="H5" s="64">
        <f>Rohdaten!GE69</f>
        <v>61</v>
      </c>
      <c r="I5" s="64">
        <f>Rohdaten!HI69</f>
        <v>44</v>
      </c>
      <c r="J5" s="77">
        <f>Rohdaten!IM69</f>
        <v>66</v>
      </c>
    </row>
    <row r="6" spans="1:11" x14ac:dyDescent="0.25">
      <c r="A6" s="113" t="s">
        <v>84</v>
      </c>
      <c r="B6" s="93">
        <f>B3-Rohdaten!$E70</f>
        <v>18</v>
      </c>
      <c r="C6" s="94">
        <f>C3-Rohdaten!$E70</f>
        <v>14</v>
      </c>
      <c r="D6" s="94">
        <f>D3-Rohdaten!$E70</f>
        <v>39</v>
      </c>
      <c r="E6" s="94">
        <f>E3-Rohdaten!$E70</f>
        <v>12</v>
      </c>
      <c r="F6" s="94">
        <f>F3-Rohdaten!$E70</f>
        <v>47</v>
      </c>
      <c r="G6" s="94">
        <f>G3-Rohdaten!$E70</f>
        <v>25</v>
      </c>
      <c r="H6" s="94">
        <f>H3-Rohdaten!$E70</f>
        <v>47</v>
      </c>
      <c r="I6" s="94">
        <f>I3-Rohdaten!$E70</f>
        <v>14</v>
      </c>
      <c r="J6" s="95">
        <f>J3-Rohdaten!$E70</f>
        <v>55</v>
      </c>
      <c r="K6" s="79"/>
    </row>
    <row r="7" spans="1:11" x14ac:dyDescent="0.25">
      <c r="A7" s="113" t="s">
        <v>89</v>
      </c>
      <c r="B7" s="59">
        <f>Rohdaten!AI70</f>
        <v>75</v>
      </c>
      <c r="C7" s="79">
        <f>Rohdaten!BM70</f>
        <v>75.999999999999986</v>
      </c>
      <c r="D7" s="79">
        <f>Rohdaten!CQ70</f>
        <v>91.999999999999986</v>
      </c>
      <c r="E7" s="79">
        <f>Rohdaten!DU70</f>
        <v>66</v>
      </c>
      <c r="F7" s="79">
        <f>Rohdaten!EY70</f>
        <v>74</v>
      </c>
      <c r="G7" s="79">
        <f>Rohdaten!GC70</f>
        <v>74</v>
      </c>
      <c r="H7" s="79">
        <f>Rohdaten!HG70</f>
        <v>87</v>
      </c>
      <c r="I7" s="79">
        <f>Rohdaten!IK70</f>
        <v>70</v>
      </c>
      <c r="J7" s="80">
        <f>Rohdaten!JO70</f>
        <v>84.999999999999972</v>
      </c>
    </row>
    <row r="8" spans="1:11" x14ac:dyDescent="0.25">
      <c r="A8" s="113" t="s">
        <v>90</v>
      </c>
      <c r="B8" s="59">
        <f>B7-Rohdaten!$E70</f>
        <v>3</v>
      </c>
      <c r="C8" s="79">
        <f>C7-Rohdaten!$E70</f>
        <v>3.9999999999999858</v>
      </c>
      <c r="D8" s="79">
        <f>D7-Rohdaten!$E70</f>
        <v>19.999999999999986</v>
      </c>
      <c r="E8" s="79">
        <f>E7-Rohdaten!$E70</f>
        <v>-6</v>
      </c>
      <c r="F8" s="79">
        <f>F7-Rohdaten!$E70</f>
        <v>2</v>
      </c>
      <c r="G8" s="79">
        <f>G7-Rohdaten!$E70</f>
        <v>2</v>
      </c>
      <c r="H8" s="79">
        <f>H7-Rohdaten!$E70</f>
        <v>15</v>
      </c>
      <c r="I8" s="79">
        <f>I7-Rohdaten!$E70</f>
        <v>-2</v>
      </c>
      <c r="J8" s="80">
        <f>J7-Rohdaten!$E70</f>
        <v>12.999999999999972</v>
      </c>
    </row>
    <row r="9" spans="1:11" x14ac:dyDescent="0.25">
      <c r="A9" s="114" t="s">
        <v>78</v>
      </c>
      <c r="B9" s="109">
        <f t="shared" ref="B9:J9" si="0">_xlfn.RANK.EQ(B8,$B8:$J8,1)</f>
        <v>5</v>
      </c>
      <c r="C9" s="110">
        <f t="shared" si="0"/>
        <v>6</v>
      </c>
      <c r="D9" s="110">
        <f t="shared" si="0"/>
        <v>9</v>
      </c>
      <c r="E9" s="110">
        <f t="shared" si="0"/>
        <v>1</v>
      </c>
      <c r="F9" s="110">
        <f t="shared" si="0"/>
        <v>3</v>
      </c>
      <c r="G9" s="110">
        <f t="shared" si="0"/>
        <v>3</v>
      </c>
      <c r="H9" s="110">
        <f t="shared" si="0"/>
        <v>8</v>
      </c>
      <c r="I9" s="110">
        <f t="shared" si="0"/>
        <v>2</v>
      </c>
      <c r="J9" s="111">
        <f t="shared" si="0"/>
        <v>7</v>
      </c>
    </row>
    <row r="10" spans="1:11" x14ac:dyDescent="0.25">
      <c r="A10" s="65" t="s">
        <v>7</v>
      </c>
      <c r="B10" s="65">
        <f>Rohdaten!I70</f>
        <v>37</v>
      </c>
      <c r="C10" s="75">
        <f>Rohdaten!AM70</f>
        <v>29</v>
      </c>
      <c r="D10" s="75">
        <f>Rohdaten!BQ70</f>
        <v>40</v>
      </c>
      <c r="E10" s="75">
        <f>Rohdaten!CU70</f>
        <v>32</v>
      </c>
      <c r="F10" s="75">
        <f>Rohdaten!DY70</f>
        <v>33</v>
      </c>
      <c r="G10" s="75">
        <f>Rohdaten!FC70</f>
        <v>36</v>
      </c>
      <c r="H10" s="75">
        <f>Rohdaten!GG70</f>
        <v>42</v>
      </c>
      <c r="I10" s="75">
        <f>Rohdaten!HK70</f>
        <v>29</v>
      </c>
      <c r="J10" s="76">
        <f>Rohdaten!IO70</f>
        <v>41</v>
      </c>
    </row>
    <row r="11" spans="1:11" x14ac:dyDescent="0.25">
      <c r="A11" s="60" t="s">
        <v>87</v>
      </c>
      <c r="B11" s="60">
        <f>Rohdaten!I59</f>
        <v>17</v>
      </c>
      <c r="C11" s="64">
        <f>Rohdaten!AM59</f>
        <v>15</v>
      </c>
      <c r="D11" s="64">
        <f>Rohdaten!BQ59</f>
        <v>21</v>
      </c>
      <c r="E11" s="64">
        <f>Rohdaten!CU59</f>
        <v>15</v>
      </c>
      <c r="F11" s="64">
        <f>Rohdaten!DY59</f>
        <v>13</v>
      </c>
      <c r="G11" s="64">
        <f>Rohdaten!FC59</f>
        <v>20</v>
      </c>
      <c r="H11" s="64">
        <f>Rohdaten!GG59</f>
        <v>18</v>
      </c>
      <c r="I11" s="64">
        <f>Rohdaten!HK59</f>
        <v>14</v>
      </c>
      <c r="J11" s="77">
        <f>Rohdaten!IO59</f>
        <v>21</v>
      </c>
    </row>
    <row r="12" spans="1:11" x14ac:dyDescent="0.25">
      <c r="A12" s="60" t="s">
        <v>88</v>
      </c>
      <c r="B12" s="60">
        <f>Rohdaten!I69</f>
        <v>20</v>
      </c>
      <c r="C12" s="64">
        <f>Rohdaten!AM69</f>
        <v>14</v>
      </c>
      <c r="D12" s="64">
        <f>Rohdaten!BQ69</f>
        <v>19</v>
      </c>
      <c r="E12" s="64">
        <f>Rohdaten!CU69</f>
        <v>17</v>
      </c>
      <c r="F12" s="64">
        <f>Rohdaten!DY69</f>
        <v>20</v>
      </c>
      <c r="G12" s="64">
        <f>Rohdaten!FC69</f>
        <v>16</v>
      </c>
      <c r="H12" s="64">
        <f>Rohdaten!GG69</f>
        <v>24</v>
      </c>
      <c r="I12" s="64">
        <f>Rohdaten!HK69</f>
        <v>15</v>
      </c>
      <c r="J12" s="77">
        <f>Rohdaten!IO69</f>
        <v>20</v>
      </c>
    </row>
    <row r="13" spans="1:11" x14ac:dyDescent="0.25">
      <c r="A13" s="60" t="s">
        <v>9</v>
      </c>
      <c r="B13" s="60">
        <f>Rohdaten!K70</f>
        <v>7</v>
      </c>
      <c r="C13" s="64">
        <f>Rohdaten!AO70</f>
        <v>8</v>
      </c>
      <c r="D13" s="64">
        <f>Rohdaten!BS70</f>
        <v>2</v>
      </c>
      <c r="E13" s="64">
        <f>Rohdaten!CW70</f>
        <v>6</v>
      </c>
      <c r="F13" s="64">
        <f>Rohdaten!EA70</f>
        <v>0</v>
      </c>
      <c r="G13" s="64">
        <f>Rohdaten!FE70</f>
        <v>4</v>
      </c>
      <c r="H13" s="64">
        <f>Rohdaten!GI70</f>
        <v>0</v>
      </c>
      <c r="I13" s="64">
        <f>Rohdaten!HM70</f>
        <v>5</v>
      </c>
      <c r="J13" s="77">
        <f>Rohdaten!IQ70</f>
        <v>1</v>
      </c>
    </row>
    <row r="14" spans="1:11" x14ac:dyDescent="0.25">
      <c r="A14" s="60" t="s">
        <v>95</v>
      </c>
      <c r="B14" s="60">
        <f>Rohdaten!M70</f>
        <v>1</v>
      </c>
      <c r="C14" s="64">
        <f>Rohdaten!AQ70</f>
        <v>2</v>
      </c>
      <c r="D14" s="64">
        <f>Rohdaten!BU70</f>
        <v>0</v>
      </c>
      <c r="E14" s="64">
        <f>Rohdaten!CY70</f>
        <v>4</v>
      </c>
      <c r="F14" s="64">
        <f>Rohdaten!EC70</f>
        <v>1</v>
      </c>
      <c r="G14" s="64">
        <f>Rohdaten!FG70</f>
        <v>0</v>
      </c>
      <c r="H14" s="64">
        <f>Rohdaten!GK70</f>
        <v>0</v>
      </c>
      <c r="I14" s="64">
        <f>Rohdaten!HO70</f>
        <v>4</v>
      </c>
      <c r="J14" s="77">
        <f>Rohdaten!IS70</f>
        <v>1</v>
      </c>
    </row>
    <row r="15" spans="1:11" x14ac:dyDescent="0.25">
      <c r="A15" s="71" t="s">
        <v>93</v>
      </c>
      <c r="B15" s="129">
        <f>Rohdaten!O70</f>
        <v>11.350000000000001</v>
      </c>
      <c r="C15" s="128">
        <f>Rohdaten!AS70</f>
        <v>2.8999999999999986</v>
      </c>
      <c r="D15" s="128">
        <f>Rohdaten!BW70</f>
        <v>16.600000000000001</v>
      </c>
      <c r="E15" s="128">
        <f>Rohdaten!DA70</f>
        <v>6.8000000000000007</v>
      </c>
      <c r="F15" s="128">
        <f>Rohdaten!EE70</f>
        <v>10.5</v>
      </c>
      <c r="G15" s="128">
        <f>Rohdaten!FI70</f>
        <v>11.7</v>
      </c>
      <c r="H15" s="128">
        <f>Rohdaten!GM70</f>
        <v>19.5</v>
      </c>
      <c r="I15" s="128">
        <f>Rohdaten!HQ70</f>
        <v>4.25</v>
      </c>
      <c r="J15" s="78">
        <f>Rohdaten!IU70</f>
        <v>18.05</v>
      </c>
    </row>
    <row r="16" spans="1:11" x14ac:dyDescent="0.25">
      <c r="A16" s="65" t="s">
        <v>91</v>
      </c>
      <c r="B16" s="65">
        <f>Rohdaten!P70</f>
        <v>1</v>
      </c>
      <c r="C16" s="75">
        <f>Rohdaten!AT70</f>
        <v>0</v>
      </c>
      <c r="D16" s="75">
        <f>Rohdaten!BX70</f>
        <v>0</v>
      </c>
      <c r="E16" s="75">
        <f>Rohdaten!DB70</f>
        <v>0</v>
      </c>
      <c r="F16" s="75">
        <f>Rohdaten!EF70</f>
        <v>0</v>
      </c>
      <c r="G16" s="75">
        <f>Rohdaten!FJ70</f>
        <v>1</v>
      </c>
      <c r="H16" s="75">
        <f>Rohdaten!GN70</f>
        <v>0</v>
      </c>
      <c r="I16" s="75">
        <f>Rohdaten!HR70</f>
        <v>0</v>
      </c>
      <c r="J16" s="76">
        <f>Rohdaten!IV70</f>
        <v>0</v>
      </c>
    </row>
    <row r="17" spans="1:10" x14ac:dyDescent="0.25">
      <c r="A17" s="60" t="s">
        <v>50</v>
      </c>
      <c r="B17" s="60">
        <f>Rohdaten!R70</f>
        <v>5</v>
      </c>
      <c r="C17" s="64">
        <f>Rohdaten!AV70</f>
        <v>10</v>
      </c>
      <c r="D17" s="64">
        <f>Rohdaten!BZ70</f>
        <v>0</v>
      </c>
      <c r="E17" s="64">
        <f>Rohdaten!DD70</f>
        <v>8</v>
      </c>
      <c r="F17" s="64">
        <f>Rohdaten!EH70</f>
        <v>1</v>
      </c>
      <c r="G17" s="64">
        <f>Rohdaten!FL70</f>
        <v>3</v>
      </c>
      <c r="H17" s="64">
        <f>Rohdaten!GP70</f>
        <v>0</v>
      </c>
      <c r="I17" s="64">
        <f>Rohdaten!HT70</f>
        <v>7</v>
      </c>
      <c r="J17" s="77">
        <f>Rohdaten!IX70</f>
        <v>1</v>
      </c>
    </row>
    <row r="18" spans="1:10" x14ac:dyDescent="0.25">
      <c r="A18" s="60" t="s">
        <v>51</v>
      </c>
      <c r="B18" s="60">
        <f>Rohdaten!T70</f>
        <v>8</v>
      </c>
      <c r="C18" s="64">
        <f>Rohdaten!AX70</f>
        <v>4</v>
      </c>
      <c r="D18" s="64">
        <f>Rohdaten!CB70</f>
        <v>7</v>
      </c>
      <c r="E18" s="64">
        <f>Rohdaten!DF70</f>
        <v>8</v>
      </c>
      <c r="F18" s="64">
        <f>Rohdaten!EJ70</f>
        <v>3</v>
      </c>
      <c r="G18" s="64">
        <f>Rohdaten!FN70</f>
        <v>6</v>
      </c>
      <c r="H18" s="64">
        <f>Rohdaten!GR70</f>
        <v>4</v>
      </c>
      <c r="I18" s="64">
        <f>Rohdaten!HV70</f>
        <v>8</v>
      </c>
      <c r="J18" s="77">
        <f>Rohdaten!IZ70</f>
        <v>2</v>
      </c>
    </row>
    <row r="19" spans="1:10" x14ac:dyDescent="0.25">
      <c r="A19" s="71" t="s">
        <v>55</v>
      </c>
      <c r="B19" s="71">
        <f>Rohdaten!V70</f>
        <v>4</v>
      </c>
      <c r="C19" s="62">
        <f>Rohdaten!AZ70</f>
        <v>4</v>
      </c>
      <c r="D19" s="62">
        <f>Rohdaten!CD70</f>
        <v>11</v>
      </c>
      <c r="E19" s="62">
        <f>Rohdaten!DH70</f>
        <v>2</v>
      </c>
      <c r="F19" s="62">
        <f>Rohdaten!EL70</f>
        <v>14</v>
      </c>
      <c r="G19" s="62">
        <f>Rohdaten!FP70</f>
        <v>8</v>
      </c>
      <c r="H19" s="62">
        <f>Rohdaten!GT70</f>
        <v>14</v>
      </c>
      <c r="I19" s="62">
        <f>Rohdaten!HX70</f>
        <v>3</v>
      </c>
      <c r="J19" s="78">
        <f>Rohdaten!JB70</f>
        <v>15</v>
      </c>
    </row>
    <row r="20" spans="1:10" x14ac:dyDescent="0.25">
      <c r="A20" s="65" t="s">
        <v>38</v>
      </c>
      <c r="B20" s="65">
        <f>Rohdaten!X70</f>
        <v>1</v>
      </c>
      <c r="C20" s="75">
        <f>Rohdaten!BB70</f>
        <v>0</v>
      </c>
      <c r="D20" s="75">
        <f>Rohdaten!CF70</f>
        <v>0</v>
      </c>
      <c r="E20" s="75">
        <f>Rohdaten!DJ70</f>
        <v>0</v>
      </c>
      <c r="F20" s="75">
        <f>Rohdaten!EN70</f>
        <v>0</v>
      </c>
      <c r="G20" s="75">
        <f>Rohdaten!FR70</f>
        <v>0</v>
      </c>
      <c r="H20" s="75">
        <f>Rohdaten!GV70</f>
        <v>0</v>
      </c>
      <c r="I20" s="75">
        <f>Rohdaten!HZ70</f>
        <v>1</v>
      </c>
      <c r="J20" s="76">
        <f>Rohdaten!JD70</f>
        <v>0</v>
      </c>
    </row>
    <row r="21" spans="1:10" x14ac:dyDescent="0.25">
      <c r="A21" s="60" t="s">
        <v>15</v>
      </c>
      <c r="B21" s="60">
        <f>Rohdaten!Z70</f>
        <v>2</v>
      </c>
      <c r="C21" s="64">
        <f>Rohdaten!BD70</f>
        <v>7</v>
      </c>
      <c r="D21" s="64">
        <f>Rohdaten!CH70</f>
        <v>1</v>
      </c>
      <c r="E21" s="64">
        <f>Rohdaten!DL70</f>
        <v>7</v>
      </c>
      <c r="F21" s="64">
        <f>Rohdaten!EP70</f>
        <v>5</v>
      </c>
      <c r="G21" s="64">
        <f>Rohdaten!FT70</f>
        <v>4</v>
      </c>
      <c r="H21" s="64">
        <f>Rohdaten!GX70</f>
        <v>0</v>
      </c>
      <c r="I21" s="64">
        <f>Rohdaten!IB70</f>
        <v>7</v>
      </c>
      <c r="J21" s="77">
        <f>Rohdaten!JF70</f>
        <v>4</v>
      </c>
    </row>
    <row r="22" spans="1:10" x14ac:dyDescent="0.25">
      <c r="A22" s="60" t="s">
        <v>73</v>
      </c>
      <c r="B22" s="60">
        <f>Rohdaten!AB70</f>
        <v>10</v>
      </c>
      <c r="C22" s="64">
        <f>Rohdaten!BF70</f>
        <v>11</v>
      </c>
      <c r="D22" s="64">
        <f>Rohdaten!CJ70</f>
        <v>12</v>
      </c>
      <c r="E22" s="64">
        <f>Rohdaten!DN70</f>
        <v>8</v>
      </c>
      <c r="F22" s="64">
        <f>Rohdaten!ER70</f>
        <v>11</v>
      </c>
      <c r="G22" s="64">
        <f>Rohdaten!FV70</f>
        <v>10</v>
      </c>
      <c r="H22" s="64">
        <f>Rohdaten!GZ70</f>
        <v>12</v>
      </c>
      <c r="I22" s="64">
        <f>Rohdaten!ID70</f>
        <v>8</v>
      </c>
      <c r="J22" s="77">
        <f>Rohdaten!JH70</f>
        <v>7</v>
      </c>
    </row>
    <row r="23" spans="1:10" x14ac:dyDescent="0.25">
      <c r="A23" s="71" t="s">
        <v>17</v>
      </c>
      <c r="B23" s="71">
        <f>Rohdaten!AD70</f>
        <v>5</v>
      </c>
      <c r="C23" s="62">
        <f>Rohdaten!BH70</f>
        <v>0</v>
      </c>
      <c r="D23" s="62">
        <f>Rohdaten!CL70</f>
        <v>5</v>
      </c>
      <c r="E23" s="62">
        <f>Rohdaten!DP70</f>
        <v>3</v>
      </c>
      <c r="F23" s="62">
        <f>Rohdaten!ET70</f>
        <v>2</v>
      </c>
      <c r="G23" s="62">
        <f>Rohdaten!FX70</f>
        <v>4</v>
      </c>
      <c r="H23" s="62">
        <f>Rohdaten!HB70</f>
        <v>6</v>
      </c>
      <c r="I23" s="62">
        <f>Rohdaten!IF70</f>
        <v>2</v>
      </c>
      <c r="J23" s="78">
        <f>Rohdaten!JJ70</f>
        <v>7</v>
      </c>
    </row>
    <row r="24" spans="1:10" x14ac:dyDescent="0.25">
      <c r="A24" s="65" t="s">
        <v>49</v>
      </c>
      <c r="B24" s="96">
        <f>B10/18</f>
        <v>2.0555555555555554</v>
      </c>
      <c r="C24" s="97">
        <f t="shared" ref="C24:J24" si="1">C10/18</f>
        <v>1.6111111111111112</v>
      </c>
      <c r="D24" s="97">
        <f t="shared" si="1"/>
        <v>2.2222222222222223</v>
      </c>
      <c r="E24" s="97">
        <f t="shared" si="1"/>
        <v>1.7777777777777777</v>
      </c>
      <c r="F24" s="97">
        <f t="shared" si="1"/>
        <v>1.8333333333333333</v>
      </c>
      <c r="G24" s="97">
        <f t="shared" si="1"/>
        <v>2</v>
      </c>
      <c r="H24" s="97">
        <f t="shared" si="1"/>
        <v>2.3333333333333335</v>
      </c>
      <c r="I24" s="97">
        <f t="shared" si="1"/>
        <v>1.6111111111111112</v>
      </c>
      <c r="J24" s="98">
        <f t="shared" si="1"/>
        <v>2.2777777777777777</v>
      </c>
    </row>
    <row r="25" spans="1:10" x14ac:dyDescent="0.25">
      <c r="A25" s="65" t="s">
        <v>19</v>
      </c>
      <c r="B25" s="66">
        <f>Rohdaten!AF70</f>
        <v>0</v>
      </c>
      <c r="C25" s="67">
        <f>Rohdaten!BJ70</f>
        <v>1</v>
      </c>
      <c r="D25" s="67">
        <f>Rohdaten!CN70</f>
        <v>2</v>
      </c>
      <c r="E25" s="67">
        <f>Rohdaten!DR70</f>
        <v>1</v>
      </c>
      <c r="F25" s="67">
        <f>Rohdaten!EV70</f>
        <v>1.25</v>
      </c>
      <c r="G25" s="67">
        <f>Rohdaten!FZ70</f>
        <v>1</v>
      </c>
      <c r="H25" s="67">
        <f>Rohdaten!HD70</f>
        <v>2.5</v>
      </c>
      <c r="I25" s="67">
        <f>Rohdaten!IH70</f>
        <v>1</v>
      </c>
      <c r="J25" s="68">
        <f>Rohdaten!JL70</f>
        <v>3</v>
      </c>
    </row>
    <row r="26" spans="1:10" x14ac:dyDescent="0.25">
      <c r="A26" s="60" t="s">
        <v>20</v>
      </c>
      <c r="B26" s="61">
        <f>Rohdaten!AG70</f>
        <v>1</v>
      </c>
      <c r="C26" s="69">
        <f>Rohdaten!BK70</f>
        <v>0.4</v>
      </c>
      <c r="D26" s="69">
        <f>Rohdaten!CO70</f>
        <v>2.2999999999999998</v>
      </c>
      <c r="E26" s="69">
        <f>Rohdaten!DS70</f>
        <v>0.5</v>
      </c>
      <c r="F26" s="69">
        <f>Rohdaten!EW70</f>
        <v>2.8</v>
      </c>
      <c r="G26" s="69">
        <f>Rohdaten!GA70</f>
        <v>1.1000000000000001</v>
      </c>
      <c r="H26" s="69">
        <f>Rohdaten!HE70</f>
        <v>2.6</v>
      </c>
      <c r="I26" s="69">
        <f>Rohdaten!II70</f>
        <v>0.8</v>
      </c>
      <c r="J26" s="70">
        <f>Rohdaten!JM70</f>
        <v>2.9</v>
      </c>
    </row>
    <row r="27" spans="1:10" x14ac:dyDescent="0.25">
      <c r="A27" s="71" t="s">
        <v>21</v>
      </c>
      <c r="B27" s="72">
        <f>Rohdaten!AH70</f>
        <v>2</v>
      </c>
      <c r="C27" s="73">
        <f>Rohdaten!BL70</f>
        <v>1.5</v>
      </c>
      <c r="D27" s="73">
        <f>Rohdaten!CP70</f>
        <v>2</v>
      </c>
      <c r="E27" s="73">
        <f>Rohdaten!DT70</f>
        <v>0.75</v>
      </c>
      <c r="F27" s="73">
        <f>Rohdaten!EX70</f>
        <v>3.5</v>
      </c>
      <c r="G27" s="73">
        <f>Rohdaten!GB70</f>
        <v>2.5</v>
      </c>
      <c r="H27" s="73">
        <f>Rohdaten!HF70</f>
        <v>2.75</v>
      </c>
      <c r="I27" s="73">
        <f>Rohdaten!IJ70</f>
        <v>0.5</v>
      </c>
      <c r="J27" s="74">
        <f>Rohdaten!JN70</f>
        <v>3.5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6073-E31E-490D-BA0E-6DAC2F52B4BC}">
  <dimension ref="A1:J70"/>
  <sheetViews>
    <sheetView topLeftCell="A44" workbookViewId="0">
      <selection activeCell="B49" sqref="B49"/>
    </sheetView>
  </sheetViews>
  <sheetFormatPr baseColWidth="10" defaultColWidth="11.5546875" defaultRowHeight="13.2" x14ac:dyDescent="0.25"/>
  <cols>
    <col min="1" max="1" width="31.44140625" style="58" bestFit="1" customWidth="1"/>
    <col min="2" max="16384" width="11.5546875" style="58"/>
  </cols>
  <sheetData>
    <row r="1" spans="1:10" x14ac:dyDescent="0.25">
      <c r="A1" s="81" t="s">
        <v>81</v>
      </c>
      <c r="B1" s="122" t="s">
        <v>40</v>
      </c>
      <c r="C1" s="123" t="s">
        <v>41</v>
      </c>
      <c r="D1" s="123" t="s">
        <v>42</v>
      </c>
      <c r="E1" s="123" t="s">
        <v>43</v>
      </c>
      <c r="F1" s="123" t="s">
        <v>107</v>
      </c>
      <c r="G1" s="123" t="s">
        <v>69</v>
      </c>
      <c r="H1" s="123" t="s">
        <v>70</v>
      </c>
      <c r="I1" s="123" t="s">
        <v>71</v>
      </c>
      <c r="J1" s="124" t="s">
        <v>108</v>
      </c>
    </row>
    <row r="2" spans="1:10" x14ac:dyDescent="0.25">
      <c r="A2" s="85" t="s">
        <v>72</v>
      </c>
      <c r="B2" s="86">
        <v>15</v>
      </c>
      <c r="C2" s="87">
        <v>10</v>
      </c>
      <c r="D2" s="87">
        <v>19</v>
      </c>
      <c r="E2" s="87">
        <v>18</v>
      </c>
      <c r="F2" s="123">
        <v>45</v>
      </c>
      <c r="G2" s="123">
        <v>23</v>
      </c>
      <c r="H2" s="87">
        <v>32</v>
      </c>
      <c r="I2" s="87">
        <v>16</v>
      </c>
      <c r="J2" s="88">
        <v>42</v>
      </c>
    </row>
    <row r="3" spans="1:10" x14ac:dyDescent="0.25">
      <c r="A3" s="112" t="s">
        <v>5</v>
      </c>
      <c r="B3" s="65">
        <f>Rohdaten!G71</f>
        <v>262</v>
      </c>
      <c r="C3" s="75">
        <f>Rohdaten!AK71</f>
        <v>259</v>
      </c>
      <c r="D3" s="75">
        <f>Rohdaten!BO71</f>
        <v>319</v>
      </c>
      <c r="E3" s="75">
        <f>Rohdaten!CS71</f>
        <v>278</v>
      </c>
      <c r="F3" s="75">
        <f>Rohdaten!DW71</f>
        <v>374</v>
      </c>
      <c r="G3" s="75">
        <f>Rohdaten!FA71</f>
        <v>297</v>
      </c>
      <c r="H3" s="75">
        <f>Rohdaten!GE71</f>
        <v>356</v>
      </c>
      <c r="I3" s="75">
        <f>Rohdaten!HI71</f>
        <v>285</v>
      </c>
      <c r="J3" s="76">
        <f>Rohdaten!IM71</f>
        <v>372</v>
      </c>
    </row>
    <row r="4" spans="1:10" x14ac:dyDescent="0.25">
      <c r="A4" s="113" t="s">
        <v>44</v>
      </c>
      <c r="B4" s="60">
        <f>B3-Rohdaten!$E71</f>
        <v>46</v>
      </c>
      <c r="C4" s="64">
        <f>C3-Rohdaten!$E71</f>
        <v>43</v>
      </c>
      <c r="D4" s="64">
        <f>D3-Rohdaten!$E71</f>
        <v>103</v>
      </c>
      <c r="E4" s="64">
        <f>E3-Rohdaten!$E71</f>
        <v>62</v>
      </c>
      <c r="F4" s="64">
        <f>F3-Rohdaten!$E71</f>
        <v>158</v>
      </c>
      <c r="G4" s="64">
        <f>G3-Rohdaten!$E71</f>
        <v>81</v>
      </c>
      <c r="H4" s="64">
        <f>H3-Rohdaten!$E71</f>
        <v>140</v>
      </c>
      <c r="I4" s="64">
        <f>I3-Rohdaten!$E71</f>
        <v>69</v>
      </c>
      <c r="J4" s="77">
        <f>J3-Rohdaten!$E71</f>
        <v>156</v>
      </c>
    </row>
    <row r="5" spans="1:10" x14ac:dyDescent="0.25">
      <c r="A5" s="113" t="s">
        <v>48</v>
      </c>
      <c r="B5" s="61">
        <f t="shared" ref="B5:J5" si="0">B4/3</f>
        <v>15.333333333333334</v>
      </c>
      <c r="C5" s="69">
        <f t="shared" si="0"/>
        <v>14.333333333333334</v>
      </c>
      <c r="D5" s="69">
        <f t="shared" si="0"/>
        <v>34.333333333333336</v>
      </c>
      <c r="E5" s="69">
        <f t="shared" si="0"/>
        <v>20.666666666666668</v>
      </c>
      <c r="F5" s="69">
        <f t="shared" si="0"/>
        <v>52.666666666666664</v>
      </c>
      <c r="G5" s="69">
        <f t="shared" si="0"/>
        <v>27</v>
      </c>
      <c r="H5" s="69">
        <f t="shared" si="0"/>
        <v>46.666666666666664</v>
      </c>
      <c r="I5" s="69">
        <f t="shared" si="0"/>
        <v>23</v>
      </c>
      <c r="J5" s="70">
        <f t="shared" si="0"/>
        <v>52</v>
      </c>
    </row>
    <row r="6" spans="1:10" x14ac:dyDescent="0.25">
      <c r="A6" s="113" t="s">
        <v>89</v>
      </c>
      <c r="B6" s="59">
        <f>Rohdaten!AI71</f>
        <v>217</v>
      </c>
      <c r="C6" s="79">
        <f>Rohdaten!BM71</f>
        <v>228.99999999999994</v>
      </c>
      <c r="D6" s="79">
        <f>Rohdaten!CQ71</f>
        <v>261.99999999999994</v>
      </c>
      <c r="E6" s="79">
        <f>Rohdaten!DU71</f>
        <v>224</v>
      </c>
      <c r="F6" s="79">
        <f>Rohdaten!EY71</f>
        <v>239</v>
      </c>
      <c r="G6" s="79">
        <f>Rohdaten!GC71</f>
        <v>228</v>
      </c>
      <c r="H6" s="79">
        <f>Rohdaten!HG71</f>
        <v>260</v>
      </c>
      <c r="I6" s="79">
        <f>Rohdaten!IK71</f>
        <v>237</v>
      </c>
      <c r="J6" s="80">
        <f>Rohdaten!JO71</f>
        <v>245.99999999999994</v>
      </c>
    </row>
    <row r="7" spans="1:10" x14ac:dyDescent="0.25">
      <c r="A7" s="113" t="s">
        <v>90</v>
      </c>
      <c r="B7" s="59">
        <f>B6-Rohdaten!$E71</f>
        <v>1</v>
      </c>
      <c r="C7" s="79">
        <f>C6-Rohdaten!$E71</f>
        <v>12.999999999999943</v>
      </c>
      <c r="D7" s="79">
        <f>D6-Rohdaten!$E71</f>
        <v>45.999999999999943</v>
      </c>
      <c r="E7" s="79">
        <f>E6-Rohdaten!$E71</f>
        <v>8</v>
      </c>
      <c r="F7" s="79">
        <f>F6-Rohdaten!$E71</f>
        <v>23</v>
      </c>
      <c r="G7" s="79">
        <f>G6-Rohdaten!$E71</f>
        <v>12</v>
      </c>
      <c r="H7" s="79">
        <f>H6-Rohdaten!$E71</f>
        <v>44</v>
      </c>
      <c r="I7" s="79">
        <f>I6-Rohdaten!$E71</f>
        <v>21</v>
      </c>
      <c r="J7" s="80">
        <f>J6-Rohdaten!$E71</f>
        <v>29.999999999999943</v>
      </c>
    </row>
    <row r="8" spans="1:10" x14ac:dyDescent="0.25">
      <c r="A8" s="114" t="s">
        <v>78</v>
      </c>
      <c r="B8" s="109">
        <f t="shared" ref="B8:J8" si="1">_xlfn.RANK.EQ(B7,$B7:$J7,1)</f>
        <v>1</v>
      </c>
      <c r="C8" s="110">
        <f t="shared" si="1"/>
        <v>4</v>
      </c>
      <c r="D8" s="110">
        <f t="shared" si="1"/>
        <v>9</v>
      </c>
      <c r="E8" s="110">
        <f t="shared" si="1"/>
        <v>2</v>
      </c>
      <c r="F8" s="110">
        <f t="shared" si="1"/>
        <v>6</v>
      </c>
      <c r="G8" s="110">
        <f t="shared" si="1"/>
        <v>3</v>
      </c>
      <c r="H8" s="110">
        <f t="shared" si="1"/>
        <v>8</v>
      </c>
      <c r="I8" s="110">
        <f t="shared" si="1"/>
        <v>5</v>
      </c>
      <c r="J8" s="111">
        <f t="shared" si="1"/>
        <v>7</v>
      </c>
    </row>
    <row r="9" spans="1:10" x14ac:dyDescent="0.25">
      <c r="A9" s="60" t="s">
        <v>61</v>
      </c>
      <c r="B9" s="60">
        <f>MAX(Rohdaten!G23,Rohdaten!G46,Rohdaten!G70)</f>
        <v>90</v>
      </c>
      <c r="C9" s="64">
        <f>MAX(Rohdaten!AK23,Rohdaten!AK46,Rohdaten!AK70)</f>
        <v>93</v>
      </c>
      <c r="D9" s="64">
        <f>MAX(Rohdaten!BO23,Rohdaten!BO46,Rohdaten!BO70)</f>
        <v>111</v>
      </c>
      <c r="E9" s="64">
        <f>MAX(Rohdaten!CS23,Rohdaten!CS46,Rohdaten!CS70)</f>
        <v>101</v>
      </c>
      <c r="F9" s="64">
        <f>MAX(Rohdaten!DW23,Rohdaten!DW46,Rohdaten!DW70)</f>
        <v>136</v>
      </c>
      <c r="G9" s="64">
        <f>MAX(Rohdaten!FA23,Rohdaten!FA46,Rohdaten!FA70)</f>
        <v>101</v>
      </c>
      <c r="H9" s="64">
        <f>MAX(Rohdaten!GE23,Rohdaten!GE46,Rohdaten!GE70)</f>
        <v>123</v>
      </c>
      <c r="I9" s="64">
        <f>MAX(Rohdaten!HI23,Rohdaten!HI46,Rohdaten!HI70)</f>
        <v>104</v>
      </c>
      <c r="J9" s="76">
        <f>MAX(Rohdaten!IM23,Rohdaten!IM46,Rohdaten!IM70)</f>
        <v>127</v>
      </c>
    </row>
    <row r="10" spans="1:10" x14ac:dyDescent="0.25">
      <c r="A10" s="60" t="s">
        <v>62</v>
      </c>
      <c r="B10" s="60">
        <f>MIN(Rohdaten!G23,Rohdaten!G46,Rohdaten!G70)</f>
        <v>82</v>
      </c>
      <c r="C10" s="64">
        <f>MIN(Rohdaten!AK23,Rohdaten!AK46,Rohdaten!AK70)</f>
        <v>80</v>
      </c>
      <c r="D10" s="64">
        <f>MIN(Rohdaten!BO23,Rohdaten!BO46,Rohdaten!BO70)</f>
        <v>100</v>
      </c>
      <c r="E10" s="64">
        <f>MIN(Rohdaten!CS23,Rohdaten!CS46,Rohdaten!CS70)</f>
        <v>84</v>
      </c>
      <c r="F10" s="64">
        <f>MIN(Rohdaten!DW23,Rohdaten!DW46,Rohdaten!DW70)</f>
        <v>119</v>
      </c>
      <c r="G10" s="64">
        <f>MIN(Rohdaten!FA23,Rohdaten!FA46,Rohdaten!FA70)</f>
        <v>97</v>
      </c>
      <c r="H10" s="64">
        <f>MIN(Rohdaten!GE23,Rohdaten!GE46,Rohdaten!GE70)</f>
        <v>114</v>
      </c>
      <c r="I10" s="64">
        <f>MIN(Rohdaten!HI23,Rohdaten!HI46,Rohdaten!HI70)</f>
        <v>86</v>
      </c>
      <c r="J10" s="77">
        <f>MIN(Rohdaten!IM23,Rohdaten!IM46,Rohdaten!IM70)</f>
        <v>121</v>
      </c>
    </row>
    <row r="11" spans="1:10" x14ac:dyDescent="0.25">
      <c r="A11" s="60" t="s">
        <v>63</v>
      </c>
      <c r="B11" s="72">
        <f>AVERAGE(Rohdaten!G23,Rohdaten!G46,Rohdaten!G70)</f>
        <v>87.333333333333329</v>
      </c>
      <c r="C11" s="73">
        <f>AVERAGE(Rohdaten!AK23,Rohdaten!AK46,Rohdaten!AK70)</f>
        <v>86.333333333333329</v>
      </c>
      <c r="D11" s="73">
        <f>AVERAGE(Rohdaten!BO23,Rohdaten!BO46,Rohdaten!BO70)</f>
        <v>106.33333333333333</v>
      </c>
      <c r="E11" s="73">
        <f>AVERAGE(Rohdaten!CS23,Rohdaten!CS46,Rohdaten!CS70)</f>
        <v>92.666666666666671</v>
      </c>
      <c r="F11" s="73">
        <f>AVERAGE(Rohdaten!DW23,Rohdaten!DW46,Rohdaten!DW70)</f>
        <v>124.66666666666667</v>
      </c>
      <c r="G11" s="73">
        <f>AVERAGE(Rohdaten!FA23,Rohdaten!FA46,Rohdaten!FA70)</f>
        <v>99</v>
      </c>
      <c r="H11" s="73">
        <f>AVERAGE(Rohdaten!GE23,Rohdaten!GE46,Rohdaten!GE70)</f>
        <v>118.66666666666667</v>
      </c>
      <c r="I11" s="73">
        <f>AVERAGE(Rohdaten!HI23,Rohdaten!HI46,Rohdaten!HI70)</f>
        <v>95</v>
      </c>
      <c r="J11" s="74">
        <f>AVERAGE(Rohdaten!IM23,Rohdaten!IM46,Rohdaten!IM70)</f>
        <v>124</v>
      </c>
    </row>
    <row r="12" spans="1:10" x14ac:dyDescent="0.25">
      <c r="A12" s="65" t="s">
        <v>7</v>
      </c>
      <c r="B12" s="65">
        <f>Rohdaten!I71</f>
        <v>104</v>
      </c>
      <c r="C12" s="75">
        <f>Rohdaten!AM71</f>
        <v>98</v>
      </c>
      <c r="D12" s="75">
        <f>Rohdaten!BQ71</f>
        <v>122</v>
      </c>
      <c r="E12" s="75">
        <f>Rohdaten!CU71</f>
        <v>112</v>
      </c>
      <c r="F12" s="75">
        <f>Rohdaten!DY71</f>
        <v>118</v>
      </c>
      <c r="G12" s="75">
        <f>Rohdaten!FC71</f>
        <v>105</v>
      </c>
      <c r="H12" s="75">
        <f>Rohdaten!GG71</f>
        <v>114</v>
      </c>
      <c r="I12" s="75">
        <f>Rohdaten!HK71</f>
        <v>102</v>
      </c>
      <c r="J12" s="76">
        <f>Rohdaten!IO71</f>
        <v>129</v>
      </c>
    </row>
    <row r="13" spans="1:10" x14ac:dyDescent="0.25">
      <c r="A13" s="60" t="s">
        <v>9</v>
      </c>
      <c r="B13" s="60">
        <f>Rohdaten!K71</f>
        <v>18</v>
      </c>
      <c r="C13" s="64">
        <f>Rohdaten!AO71</f>
        <v>24</v>
      </c>
      <c r="D13" s="64">
        <f>Rohdaten!BS71</f>
        <v>10</v>
      </c>
      <c r="E13" s="64">
        <f>Rohdaten!CW71</f>
        <v>17</v>
      </c>
      <c r="F13" s="64">
        <f>Rohdaten!EA71</f>
        <v>0</v>
      </c>
      <c r="G13" s="64">
        <f>Rohdaten!FE71</f>
        <v>10</v>
      </c>
      <c r="H13" s="64">
        <f>Rohdaten!GI71</f>
        <v>1</v>
      </c>
      <c r="I13" s="64">
        <f>Rohdaten!HM71</f>
        <v>10</v>
      </c>
      <c r="J13" s="77">
        <f>Rohdaten!IQ71</f>
        <v>7</v>
      </c>
    </row>
    <row r="14" spans="1:10" x14ac:dyDescent="0.25">
      <c r="A14" s="60" t="s">
        <v>95</v>
      </c>
      <c r="B14" s="60">
        <f>Rohdaten!M71</f>
        <v>6</v>
      </c>
      <c r="C14" s="64">
        <f>Rohdaten!AQ71</f>
        <v>7</v>
      </c>
      <c r="D14" s="64">
        <f>Rohdaten!BU71</f>
        <v>0</v>
      </c>
      <c r="E14" s="64">
        <f>Rohdaten!CY71</f>
        <v>5</v>
      </c>
      <c r="F14" s="64">
        <f>Rohdaten!EC71</f>
        <v>1</v>
      </c>
      <c r="G14" s="64">
        <f>Rohdaten!FG71</f>
        <v>4</v>
      </c>
      <c r="H14" s="64">
        <f>Rohdaten!GK71</f>
        <v>1</v>
      </c>
      <c r="I14" s="64">
        <f>Rohdaten!HO71</f>
        <v>7</v>
      </c>
      <c r="J14" s="77">
        <f>Rohdaten!IS71</f>
        <v>1</v>
      </c>
    </row>
    <row r="15" spans="1:10" x14ac:dyDescent="0.25">
      <c r="A15" s="71" t="s">
        <v>93</v>
      </c>
      <c r="B15" s="129">
        <f>Rohdaten!O71</f>
        <v>28.400000000000002</v>
      </c>
      <c r="C15" s="128">
        <f>Rohdaten!AS71</f>
        <v>19.7</v>
      </c>
      <c r="D15" s="128">
        <f>Rohdaten!BW71</f>
        <v>50</v>
      </c>
      <c r="E15" s="128">
        <f>Rohdaten!DA71</f>
        <v>36.85</v>
      </c>
      <c r="F15" s="128">
        <f>Rohdaten!EE71</f>
        <v>50.5</v>
      </c>
      <c r="G15" s="128">
        <f>Rohdaten!FI71</f>
        <v>33</v>
      </c>
      <c r="H15" s="128">
        <f>Rohdaten!GM71</f>
        <v>46.05</v>
      </c>
      <c r="I15" s="128">
        <f>Rohdaten!HQ71</f>
        <v>30</v>
      </c>
      <c r="J15" s="78">
        <f>Rohdaten!IU71</f>
        <v>58.349999999999994</v>
      </c>
    </row>
    <row r="16" spans="1:10" x14ac:dyDescent="0.25">
      <c r="A16" s="65" t="s">
        <v>91</v>
      </c>
      <c r="B16" s="65">
        <f>Rohdaten!P71</f>
        <v>3</v>
      </c>
      <c r="C16" s="75">
        <f>Rohdaten!AT71</f>
        <v>0</v>
      </c>
      <c r="D16" s="75">
        <f>Rohdaten!BX71</f>
        <v>0</v>
      </c>
      <c r="E16" s="75">
        <f>Rohdaten!DB71</f>
        <v>0</v>
      </c>
      <c r="F16" s="75">
        <f>Rohdaten!EF71</f>
        <v>0</v>
      </c>
      <c r="G16" s="75">
        <f>Rohdaten!FJ71</f>
        <v>1</v>
      </c>
      <c r="H16" s="75">
        <f>Rohdaten!GN71</f>
        <v>0</v>
      </c>
      <c r="I16" s="75">
        <f>Rohdaten!HR71</f>
        <v>0</v>
      </c>
      <c r="J16" s="76">
        <f>Rohdaten!IV71</f>
        <v>1</v>
      </c>
    </row>
    <row r="17" spans="1:10" x14ac:dyDescent="0.25">
      <c r="A17" s="60" t="s">
        <v>50</v>
      </c>
      <c r="B17" s="60">
        <f>Rohdaten!R71</f>
        <v>18</v>
      </c>
      <c r="C17" s="64">
        <f>Rohdaten!AV71</f>
        <v>28</v>
      </c>
      <c r="D17" s="64">
        <f>Rohdaten!BZ71</f>
        <v>4</v>
      </c>
      <c r="E17" s="64">
        <f>Rohdaten!DD71</f>
        <v>15</v>
      </c>
      <c r="F17" s="64">
        <f>Rohdaten!EH71</f>
        <v>1</v>
      </c>
      <c r="G17" s="64">
        <f>Rohdaten!FL71</f>
        <v>10</v>
      </c>
      <c r="H17" s="64">
        <f>Rohdaten!GP71</f>
        <v>2</v>
      </c>
      <c r="I17" s="64">
        <f>Rohdaten!HT71</f>
        <v>12</v>
      </c>
      <c r="J17" s="77">
        <f>Rohdaten!IX71</f>
        <v>2</v>
      </c>
    </row>
    <row r="18" spans="1:10" x14ac:dyDescent="0.25">
      <c r="A18" s="60" t="s">
        <v>51</v>
      </c>
      <c r="B18" s="60">
        <f>Rohdaten!T71</f>
        <v>23</v>
      </c>
      <c r="C18" s="64">
        <f>Rohdaten!AX71</f>
        <v>16</v>
      </c>
      <c r="D18" s="64">
        <f>Rohdaten!CB71</f>
        <v>21</v>
      </c>
      <c r="E18" s="64">
        <f>Rohdaten!DF71</f>
        <v>25</v>
      </c>
      <c r="F18" s="64">
        <f>Rohdaten!EJ71</f>
        <v>10</v>
      </c>
      <c r="G18" s="64">
        <f>Rohdaten!FN71</f>
        <v>20</v>
      </c>
      <c r="H18" s="64">
        <f>Rohdaten!GR71</f>
        <v>13</v>
      </c>
      <c r="I18" s="64">
        <f>Rohdaten!HV71</f>
        <v>22</v>
      </c>
      <c r="J18" s="77">
        <f>Rohdaten!IZ71</f>
        <v>9</v>
      </c>
    </row>
    <row r="19" spans="1:10" x14ac:dyDescent="0.25">
      <c r="A19" s="71" t="s">
        <v>55</v>
      </c>
      <c r="B19" s="71">
        <f>Rohdaten!V71</f>
        <v>10</v>
      </c>
      <c r="C19" s="62">
        <f>Rohdaten!AZ71</f>
        <v>10</v>
      </c>
      <c r="D19" s="62">
        <f>Rohdaten!CD71</f>
        <v>29</v>
      </c>
      <c r="E19" s="62">
        <f>Rohdaten!DH71</f>
        <v>14</v>
      </c>
      <c r="F19" s="62">
        <f>Rohdaten!EL71</f>
        <v>43</v>
      </c>
      <c r="G19" s="62">
        <f>Rohdaten!FP71</f>
        <v>23</v>
      </c>
      <c r="H19" s="62">
        <f>Rohdaten!GT71</f>
        <v>39</v>
      </c>
      <c r="I19" s="62">
        <f>Rohdaten!HX71</f>
        <v>20</v>
      </c>
      <c r="J19" s="78">
        <f>Rohdaten!JB71</f>
        <v>42</v>
      </c>
    </row>
    <row r="20" spans="1:10" x14ac:dyDescent="0.25">
      <c r="A20" s="65" t="s">
        <v>38</v>
      </c>
      <c r="B20" s="65">
        <f>Rohdaten!X71</f>
        <v>2</v>
      </c>
      <c r="C20" s="75">
        <f>Rohdaten!BB71</f>
        <v>0</v>
      </c>
      <c r="D20" s="75">
        <f>Rohdaten!CF71</f>
        <v>0</v>
      </c>
      <c r="E20" s="75">
        <f>Rohdaten!DJ71</f>
        <v>0</v>
      </c>
      <c r="F20" s="75">
        <f>Rohdaten!EN71</f>
        <v>0</v>
      </c>
      <c r="G20" s="75">
        <f>Rohdaten!FR71</f>
        <v>0</v>
      </c>
      <c r="H20" s="75">
        <f>Rohdaten!GV71</f>
        <v>0</v>
      </c>
      <c r="I20" s="75">
        <f>Rohdaten!HZ71</f>
        <v>1</v>
      </c>
      <c r="J20" s="76">
        <f>Rohdaten!JD71</f>
        <v>0</v>
      </c>
    </row>
    <row r="21" spans="1:10" x14ac:dyDescent="0.25">
      <c r="A21" s="60" t="s">
        <v>15</v>
      </c>
      <c r="B21" s="60">
        <f>Rohdaten!Z71</f>
        <v>9</v>
      </c>
      <c r="C21" s="64">
        <f>Rohdaten!BD71</f>
        <v>14</v>
      </c>
      <c r="D21" s="64">
        <f>Rohdaten!CH71</f>
        <v>2</v>
      </c>
      <c r="E21" s="64">
        <f>Rohdaten!DL71</f>
        <v>11</v>
      </c>
      <c r="F21" s="64">
        <f>Rohdaten!EP71</f>
        <v>6</v>
      </c>
      <c r="G21" s="64">
        <f>Rohdaten!FT71</f>
        <v>15</v>
      </c>
      <c r="H21" s="64">
        <f>Rohdaten!GX71</f>
        <v>6</v>
      </c>
      <c r="I21" s="64">
        <f>Rohdaten!IB71</f>
        <v>13</v>
      </c>
      <c r="J21" s="77">
        <f>Rohdaten!JF71</f>
        <v>8</v>
      </c>
    </row>
    <row r="22" spans="1:10" x14ac:dyDescent="0.25">
      <c r="A22" s="60" t="s">
        <v>73</v>
      </c>
      <c r="B22" s="60">
        <f>Rohdaten!AB71</f>
        <v>35</v>
      </c>
      <c r="C22" s="64">
        <f>Rohdaten!BF71</f>
        <v>36</v>
      </c>
      <c r="D22" s="64">
        <f>Rohdaten!CJ71</f>
        <v>36</v>
      </c>
      <c r="E22" s="64">
        <f>Rohdaten!DN71</f>
        <v>29</v>
      </c>
      <c r="F22" s="64">
        <f>Rohdaten!ER71</f>
        <v>33</v>
      </c>
      <c r="G22" s="64">
        <f>Rohdaten!FV71</f>
        <v>27</v>
      </c>
      <c r="H22" s="64">
        <f>Rohdaten!GZ71</f>
        <v>36</v>
      </c>
      <c r="I22" s="64">
        <f>Rohdaten!ID71</f>
        <v>31</v>
      </c>
      <c r="J22" s="77">
        <f>Rohdaten!JH71</f>
        <v>24</v>
      </c>
    </row>
    <row r="23" spans="1:10" x14ac:dyDescent="0.25">
      <c r="A23" s="71" t="s">
        <v>17</v>
      </c>
      <c r="B23" s="71">
        <f>Rohdaten!AD71</f>
        <v>8</v>
      </c>
      <c r="C23" s="62">
        <f>Rohdaten!BH71</f>
        <v>4</v>
      </c>
      <c r="D23" s="62">
        <f>Rohdaten!CL71</f>
        <v>16</v>
      </c>
      <c r="E23" s="62">
        <f>Rohdaten!DP71</f>
        <v>14</v>
      </c>
      <c r="F23" s="62">
        <f>Rohdaten!ET71</f>
        <v>15</v>
      </c>
      <c r="G23" s="62">
        <f>Rohdaten!FX71</f>
        <v>12</v>
      </c>
      <c r="H23" s="62">
        <f>Rohdaten!HB71</f>
        <v>12</v>
      </c>
      <c r="I23" s="62">
        <f>Rohdaten!IF71</f>
        <v>9</v>
      </c>
      <c r="J23" s="78">
        <f>Rohdaten!JJ71</f>
        <v>22</v>
      </c>
    </row>
    <row r="24" spans="1:10" x14ac:dyDescent="0.25">
      <c r="A24" s="137" t="s">
        <v>98</v>
      </c>
      <c r="B24" s="135">
        <f t="shared" ref="B24:I25" si="2">B3/3</f>
        <v>87.333333333333329</v>
      </c>
      <c r="C24" s="136">
        <f t="shared" si="2"/>
        <v>86.333333333333329</v>
      </c>
      <c r="D24" s="136">
        <f t="shared" si="2"/>
        <v>106.33333333333333</v>
      </c>
      <c r="E24" s="136">
        <f t="shared" si="2"/>
        <v>92.666666666666671</v>
      </c>
      <c r="F24" s="136">
        <f t="shared" si="2"/>
        <v>124.66666666666667</v>
      </c>
      <c r="G24" s="136">
        <f t="shared" si="2"/>
        <v>99</v>
      </c>
      <c r="H24" s="136">
        <f t="shared" si="2"/>
        <v>118.66666666666667</v>
      </c>
      <c r="I24" s="136">
        <f t="shared" si="2"/>
        <v>95</v>
      </c>
      <c r="J24" s="164">
        <f t="shared" ref="J24" si="3">J3/3</f>
        <v>124</v>
      </c>
    </row>
    <row r="25" spans="1:10" x14ac:dyDescent="0.25">
      <c r="A25" s="137" t="s">
        <v>100</v>
      </c>
      <c r="B25" s="138">
        <f t="shared" si="2"/>
        <v>15.333333333333334</v>
      </c>
      <c r="C25" s="139">
        <f t="shared" si="2"/>
        <v>14.333333333333334</v>
      </c>
      <c r="D25" s="139">
        <f t="shared" si="2"/>
        <v>34.333333333333336</v>
      </c>
      <c r="E25" s="139">
        <f t="shared" si="2"/>
        <v>20.666666666666668</v>
      </c>
      <c r="F25" s="139">
        <f t="shared" si="2"/>
        <v>52.666666666666664</v>
      </c>
      <c r="G25" s="139">
        <f t="shared" si="2"/>
        <v>27</v>
      </c>
      <c r="H25" s="139">
        <f t="shared" si="2"/>
        <v>46.666666666666664</v>
      </c>
      <c r="I25" s="139">
        <f t="shared" si="2"/>
        <v>23</v>
      </c>
      <c r="J25" s="165">
        <f t="shared" ref="J25" si="4">J4/3</f>
        <v>52</v>
      </c>
    </row>
    <row r="26" spans="1:10" x14ac:dyDescent="0.25">
      <c r="A26" s="137" t="s">
        <v>99</v>
      </c>
      <c r="B26" s="138">
        <f t="shared" ref="B26:I27" si="5">B6/3</f>
        <v>72.333333333333329</v>
      </c>
      <c r="C26" s="139">
        <f t="shared" si="5"/>
        <v>76.333333333333314</v>
      </c>
      <c r="D26" s="139">
        <f t="shared" si="5"/>
        <v>87.333333333333314</v>
      </c>
      <c r="E26" s="139">
        <f t="shared" si="5"/>
        <v>74.666666666666671</v>
      </c>
      <c r="F26" s="139">
        <f t="shared" si="5"/>
        <v>79.666666666666671</v>
      </c>
      <c r="G26" s="139">
        <f t="shared" si="5"/>
        <v>76</v>
      </c>
      <c r="H26" s="139">
        <f t="shared" si="5"/>
        <v>86.666666666666671</v>
      </c>
      <c r="I26" s="139">
        <f t="shared" si="5"/>
        <v>79</v>
      </c>
      <c r="J26" s="165">
        <f t="shared" ref="J26" si="6">J6/3</f>
        <v>81.999999999999986</v>
      </c>
    </row>
    <row r="27" spans="1:10" x14ac:dyDescent="0.25">
      <c r="A27" s="137" t="s">
        <v>101</v>
      </c>
      <c r="B27" s="141">
        <f t="shared" si="5"/>
        <v>0.33333333333333331</v>
      </c>
      <c r="C27" s="130">
        <f t="shared" si="5"/>
        <v>4.3333333333333144</v>
      </c>
      <c r="D27" s="130">
        <f t="shared" si="5"/>
        <v>15.333333333333314</v>
      </c>
      <c r="E27" s="130">
        <f t="shared" si="5"/>
        <v>2.6666666666666665</v>
      </c>
      <c r="F27" s="130">
        <f t="shared" si="5"/>
        <v>7.666666666666667</v>
      </c>
      <c r="G27" s="130">
        <f t="shared" si="5"/>
        <v>4</v>
      </c>
      <c r="H27" s="130">
        <f t="shared" si="5"/>
        <v>14.666666666666666</v>
      </c>
      <c r="I27" s="130">
        <f t="shared" si="5"/>
        <v>7</v>
      </c>
      <c r="J27" s="154">
        <f t="shared" ref="J27" si="7">J7/3</f>
        <v>9.9999999999999805</v>
      </c>
    </row>
    <row r="28" spans="1:10" x14ac:dyDescent="0.25">
      <c r="A28" s="65" t="s">
        <v>49</v>
      </c>
      <c r="B28" s="66">
        <f t="shared" ref="B28:I28" si="8">B12/54</f>
        <v>1.9259259259259258</v>
      </c>
      <c r="C28" s="67">
        <f t="shared" si="8"/>
        <v>1.8148148148148149</v>
      </c>
      <c r="D28" s="67">
        <f t="shared" si="8"/>
        <v>2.2592592592592591</v>
      </c>
      <c r="E28" s="67">
        <f t="shared" si="8"/>
        <v>2.074074074074074</v>
      </c>
      <c r="F28" s="67">
        <f t="shared" si="8"/>
        <v>2.1851851851851851</v>
      </c>
      <c r="G28" s="67">
        <f t="shared" si="8"/>
        <v>1.9444444444444444</v>
      </c>
      <c r="H28" s="67">
        <f t="shared" si="8"/>
        <v>2.1111111111111112</v>
      </c>
      <c r="I28" s="67">
        <f t="shared" si="8"/>
        <v>1.8888888888888888</v>
      </c>
      <c r="J28" s="68">
        <f t="shared" ref="J28" si="9">J12/54</f>
        <v>2.3888888888888888</v>
      </c>
    </row>
    <row r="29" spans="1:10" x14ac:dyDescent="0.25">
      <c r="A29" s="60" t="s">
        <v>45</v>
      </c>
      <c r="B29" s="61">
        <f t="shared" ref="B29:I30" si="10">B13/3</f>
        <v>6</v>
      </c>
      <c r="C29" s="69">
        <f t="shared" si="10"/>
        <v>8</v>
      </c>
      <c r="D29" s="69">
        <f t="shared" si="10"/>
        <v>3.3333333333333335</v>
      </c>
      <c r="E29" s="69">
        <f t="shared" si="10"/>
        <v>5.666666666666667</v>
      </c>
      <c r="F29" s="69">
        <f t="shared" si="10"/>
        <v>0</v>
      </c>
      <c r="G29" s="69">
        <f t="shared" si="10"/>
        <v>3.3333333333333335</v>
      </c>
      <c r="H29" s="69">
        <f t="shared" si="10"/>
        <v>0.33333333333333331</v>
      </c>
      <c r="I29" s="69">
        <f t="shared" si="10"/>
        <v>3.3333333333333335</v>
      </c>
      <c r="J29" s="70">
        <f t="shared" ref="J29" si="11">J13/3</f>
        <v>2.3333333333333335</v>
      </c>
    </row>
    <row r="30" spans="1:10" x14ac:dyDescent="0.25">
      <c r="A30" s="60" t="s">
        <v>96</v>
      </c>
      <c r="B30" s="61">
        <f t="shared" si="10"/>
        <v>2</v>
      </c>
      <c r="C30" s="69">
        <f t="shared" si="10"/>
        <v>2.3333333333333335</v>
      </c>
      <c r="D30" s="69">
        <f t="shared" si="10"/>
        <v>0</v>
      </c>
      <c r="E30" s="69">
        <f t="shared" si="10"/>
        <v>1.6666666666666667</v>
      </c>
      <c r="F30" s="69">
        <f t="shared" si="10"/>
        <v>0.33333333333333331</v>
      </c>
      <c r="G30" s="69">
        <f t="shared" si="10"/>
        <v>1.3333333333333333</v>
      </c>
      <c r="H30" s="69">
        <f t="shared" si="10"/>
        <v>0.33333333333333331</v>
      </c>
      <c r="I30" s="69">
        <f t="shared" si="10"/>
        <v>2.3333333333333335</v>
      </c>
      <c r="J30" s="70">
        <f t="shared" ref="J30" si="12">J14/3</f>
        <v>0.33333333333333331</v>
      </c>
    </row>
    <row r="31" spans="1:10" x14ac:dyDescent="0.25">
      <c r="A31" s="71" t="s">
        <v>94</v>
      </c>
      <c r="B31" s="72">
        <f t="shared" ref="B31:I31" si="13">B15/3</f>
        <v>9.4666666666666668</v>
      </c>
      <c r="C31" s="73">
        <f t="shared" si="13"/>
        <v>6.5666666666666664</v>
      </c>
      <c r="D31" s="73">
        <f t="shared" si="13"/>
        <v>16.666666666666668</v>
      </c>
      <c r="E31" s="73">
        <f t="shared" si="13"/>
        <v>12.283333333333333</v>
      </c>
      <c r="F31" s="73">
        <f t="shared" si="13"/>
        <v>16.833333333333332</v>
      </c>
      <c r="G31" s="73">
        <f t="shared" si="13"/>
        <v>11</v>
      </c>
      <c r="H31" s="73">
        <f t="shared" si="13"/>
        <v>15.35</v>
      </c>
      <c r="I31" s="73">
        <f t="shared" si="13"/>
        <v>10</v>
      </c>
      <c r="J31" s="74">
        <f t="shared" ref="J31" si="14">J15/3</f>
        <v>19.45</v>
      </c>
    </row>
    <row r="32" spans="1:10" x14ac:dyDescent="0.25">
      <c r="A32" s="65" t="s">
        <v>92</v>
      </c>
      <c r="B32" s="99">
        <f>B16/3</f>
        <v>1</v>
      </c>
      <c r="C32" s="100">
        <f t="shared" ref="C32:I32" si="15">C16/3</f>
        <v>0</v>
      </c>
      <c r="D32" s="100">
        <f t="shared" si="15"/>
        <v>0</v>
      </c>
      <c r="E32" s="100">
        <f t="shared" si="15"/>
        <v>0</v>
      </c>
      <c r="F32" s="100">
        <f t="shared" si="15"/>
        <v>0</v>
      </c>
      <c r="G32" s="100">
        <f t="shared" si="15"/>
        <v>0.33333333333333331</v>
      </c>
      <c r="H32" s="100">
        <f t="shared" si="15"/>
        <v>0</v>
      </c>
      <c r="I32" s="100">
        <f t="shared" si="15"/>
        <v>0</v>
      </c>
      <c r="J32" s="101">
        <f t="shared" ref="J32" si="16">J16/3</f>
        <v>0.33333333333333331</v>
      </c>
    </row>
    <row r="33" spans="1:10" x14ac:dyDescent="0.25">
      <c r="A33" s="60" t="s">
        <v>52</v>
      </c>
      <c r="B33" s="102">
        <f t="shared" ref="B33:I33" si="17">B17/3</f>
        <v>6</v>
      </c>
      <c r="C33" s="103">
        <f t="shared" si="17"/>
        <v>9.3333333333333339</v>
      </c>
      <c r="D33" s="103">
        <f t="shared" si="17"/>
        <v>1.3333333333333333</v>
      </c>
      <c r="E33" s="103">
        <f t="shared" si="17"/>
        <v>5</v>
      </c>
      <c r="F33" s="103">
        <f t="shared" si="17"/>
        <v>0.33333333333333331</v>
      </c>
      <c r="G33" s="103">
        <f t="shared" si="17"/>
        <v>3.3333333333333335</v>
      </c>
      <c r="H33" s="103">
        <f t="shared" si="17"/>
        <v>0.66666666666666663</v>
      </c>
      <c r="I33" s="103">
        <f t="shared" si="17"/>
        <v>4</v>
      </c>
      <c r="J33" s="104">
        <f t="shared" ref="J33" si="18">J17/3</f>
        <v>0.66666666666666663</v>
      </c>
    </row>
    <row r="34" spans="1:10" x14ac:dyDescent="0.25">
      <c r="A34" s="60" t="s">
        <v>53</v>
      </c>
      <c r="B34" s="102">
        <f t="shared" ref="B34:I34" si="19">B18/3</f>
        <v>7.666666666666667</v>
      </c>
      <c r="C34" s="103">
        <f t="shared" si="19"/>
        <v>5.333333333333333</v>
      </c>
      <c r="D34" s="103">
        <f t="shared" si="19"/>
        <v>7</v>
      </c>
      <c r="E34" s="103">
        <f t="shared" si="19"/>
        <v>8.3333333333333339</v>
      </c>
      <c r="F34" s="103">
        <f t="shared" si="19"/>
        <v>3.3333333333333335</v>
      </c>
      <c r="G34" s="103">
        <f t="shared" si="19"/>
        <v>6.666666666666667</v>
      </c>
      <c r="H34" s="103">
        <f t="shared" si="19"/>
        <v>4.333333333333333</v>
      </c>
      <c r="I34" s="103">
        <f t="shared" si="19"/>
        <v>7.333333333333333</v>
      </c>
      <c r="J34" s="104">
        <f t="shared" ref="J34" si="20">J18/3</f>
        <v>3</v>
      </c>
    </row>
    <row r="35" spans="1:10" x14ac:dyDescent="0.25">
      <c r="A35" s="71" t="s">
        <v>54</v>
      </c>
      <c r="B35" s="105">
        <f t="shared" ref="B35:I35" si="21">B19/3</f>
        <v>3.3333333333333335</v>
      </c>
      <c r="C35" s="106">
        <f t="shared" si="21"/>
        <v>3.3333333333333335</v>
      </c>
      <c r="D35" s="106">
        <f t="shared" si="21"/>
        <v>9.6666666666666661</v>
      </c>
      <c r="E35" s="106">
        <f t="shared" si="21"/>
        <v>4.666666666666667</v>
      </c>
      <c r="F35" s="106">
        <f t="shared" si="21"/>
        <v>14.333333333333334</v>
      </c>
      <c r="G35" s="106">
        <f t="shared" si="21"/>
        <v>7.666666666666667</v>
      </c>
      <c r="H35" s="106">
        <f t="shared" si="21"/>
        <v>13</v>
      </c>
      <c r="I35" s="106">
        <f t="shared" si="21"/>
        <v>6.666666666666667</v>
      </c>
      <c r="J35" s="107">
        <f t="shared" ref="J35" si="22">J19/3</f>
        <v>14</v>
      </c>
    </row>
    <row r="36" spans="1:10" x14ac:dyDescent="0.25">
      <c r="A36" s="65" t="s">
        <v>60</v>
      </c>
      <c r="B36" s="99">
        <f>B20/3</f>
        <v>0.66666666666666663</v>
      </c>
      <c r="C36" s="100">
        <f t="shared" ref="C36:I36" si="23">C20/3</f>
        <v>0</v>
      </c>
      <c r="D36" s="100">
        <f t="shared" si="23"/>
        <v>0</v>
      </c>
      <c r="E36" s="100">
        <f t="shared" si="23"/>
        <v>0</v>
      </c>
      <c r="F36" s="100">
        <f t="shared" si="23"/>
        <v>0</v>
      </c>
      <c r="G36" s="100">
        <f t="shared" si="23"/>
        <v>0</v>
      </c>
      <c r="H36" s="100">
        <f t="shared" si="23"/>
        <v>0</v>
      </c>
      <c r="I36" s="100">
        <f t="shared" si="23"/>
        <v>0.33333333333333331</v>
      </c>
      <c r="J36" s="101">
        <f t="shared" ref="J36" si="24">J20/3</f>
        <v>0</v>
      </c>
    </row>
    <row r="37" spans="1:10" x14ac:dyDescent="0.25">
      <c r="A37" s="60" t="s">
        <v>46</v>
      </c>
      <c r="B37" s="102">
        <f t="shared" ref="B37:I37" si="25">B21/3</f>
        <v>3</v>
      </c>
      <c r="C37" s="103">
        <f t="shared" si="25"/>
        <v>4.666666666666667</v>
      </c>
      <c r="D37" s="103">
        <f t="shared" si="25"/>
        <v>0.66666666666666663</v>
      </c>
      <c r="E37" s="103">
        <f t="shared" si="25"/>
        <v>3.6666666666666665</v>
      </c>
      <c r="F37" s="103">
        <f t="shared" si="25"/>
        <v>2</v>
      </c>
      <c r="G37" s="103">
        <f t="shared" si="25"/>
        <v>5</v>
      </c>
      <c r="H37" s="103">
        <f t="shared" si="25"/>
        <v>2</v>
      </c>
      <c r="I37" s="103">
        <f t="shared" si="25"/>
        <v>4.333333333333333</v>
      </c>
      <c r="J37" s="104">
        <f t="shared" ref="J37" si="26">J21/3</f>
        <v>2.6666666666666665</v>
      </c>
    </row>
    <row r="38" spans="1:10" x14ac:dyDescent="0.25">
      <c r="A38" s="60" t="s">
        <v>74</v>
      </c>
      <c r="B38" s="102">
        <f t="shared" ref="B38:I38" si="27">B22/3</f>
        <v>11.666666666666666</v>
      </c>
      <c r="C38" s="103">
        <f t="shared" si="27"/>
        <v>12</v>
      </c>
      <c r="D38" s="103">
        <f t="shared" si="27"/>
        <v>12</v>
      </c>
      <c r="E38" s="103">
        <f t="shared" si="27"/>
        <v>9.6666666666666661</v>
      </c>
      <c r="F38" s="103">
        <f t="shared" si="27"/>
        <v>11</v>
      </c>
      <c r="G38" s="103">
        <f t="shared" si="27"/>
        <v>9</v>
      </c>
      <c r="H38" s="103">
        <f t="shared" si="27"/>
        <v>12</v>
      </c>
      <c r="I38" s="103">
        <f t="shared" si="27"/>
        <v>10.333333333333334</v>
      </c>
      <c r="J38" s="104">
        <f t="shared" ref="J38" si="28">J22/3</f>
        <v>8</v>
      </c>
    </row>
    <row r="39" spans="1:10" x14ac:dyDescent="0.25">
      <c r="A39" s="71" t="s">
        <v>47</v>
      </c>
      <c r="B39" s="105">
        <f t="shared" ref="B39:I39" si="29">B23/3</f>
        <v>2.6666666666666665</v>
      </c>
      <c r="C39" s="106">
        <f t="shared" si="29"/>
        <v>1.3333333333333333</v>
      </c>
      <c r="D39" s="106">
        <f t="shared" si="29"/>
        <v>5.333333333333333</v>
      </c>
      <c r="E39" s="106">
        <f t="shared" si="29"/>
        <v>4.666666666666667</v>
      </c>
      <c r="F39" s="106">
        <f t="shared" si="29"/>
        <v>5</v>
      </c>
      <c r="G39" s="106">
        <f t="shared" si="29"/>
        <v>4</v>
      </c>
      <c r="H39" s="106">
        <f t="shared" si="29"/>
        <v>4</v>
      </c>
      <c r="I39" s="106">
        <f t="shared" si="29"/>
        <v>3</v>
      </c>
      <c r="J39" s="107">
        <f t="shared" ref="J39" si="30">J23/3</f>
        <v>7.333333333333333</v>
      </c>
    </row>
    <row r="40" spans="1:10" x14ac:dyDescent="0.25">
      <c r="A40" s="65" t="s">
        <v>19</v>
      </c>
      <c r="B40" s="66">
        <f>Rohdaten!AF71</f>
        <v>0.58333333333333337</v>
      </c>
      <c r="C40" s="67">
        <f>Rohdaten!BJ71</f>
        <v>0.83333333333333337</v>
      </c>
      <c r="D40" s="67">
        <f>Rohdaten!CN71</f>
        <v>1.6666666666666667</v>
      </c>
      <c r="E40" s="67">
        <f>Rohdaten!DR71</f>
        <v>1</v>
      </c>
      <c r="F40" s="67">
        <f>Rohdaten!EV71</f>
        <v>2.1666666666666665</v>
      </c>
      <c r="G40" s="67">
        <f>Rohdaten!FZ71</f>
        <v>1</v>
      </c>
      <c r="H40" s="67">
        <f>Rohdaten!HD71</f>
        <v>1.9166666666666667</v>
      </c>
      <c r="I40" s="67">
        <f>Rohdaten!IH71</f>
        <v>1.5</v>
      </c>
      <c r="J40" s="68">
        <f>Rohdaten!JL71</f>
        <v>2.1666666666666665</v>
      </c>
    </row>
    <row r="41" spans="1:10" x14ac:dyDescent="0.25">
      <c r="A41" s="60" t="s">
        <v>20</v>
      </c>
      <c r="B41" s="61">
        <f>Rohdaten!AG71</f>
        <v>0.7</v>
      </c>
      <c r="C41" s="69">
        <f>Rohdaten!BK71</f>
        <v>0.66666666666666663</v>
      </c>
      <c r="D41" s="69">
        <f>Rohdaten!CO71</f>
        <v>2.0666666666666669</v>
      </c>
      <c r="E41" s="69">
        <f>Rohdaten!DS71</f>
        <v>1</v>
      </c>
      <c r="F41" s="69">
        <f>Rohdaten!EW71</f>
        <v>3</v>
      </c>
      <c r="G41" s="69">
        <f>Rohdaten!GA71</f>
        <v>1.3333333333333333</v>
      </c>
      <c r="H41" s="69">
        <f>Rohdaten!HE71</f>
        <v>2.7333333333333334</v>
      </c>
      <c r="I41" s="69">
        <f>Rohdaten!II71</f>
        <v>1.3</v>
      </c>
      <c r="J41" s="70">
        <f>Rohdaten!JM71</f>
        <v>3.1666666666666665</v>
      </c>
    </row>
    <row r="42" spans="1:10" x14ac:dyDescent="0.25">
      <c r="A42" s="71" t="s">
        <v>21</v>
      </c>
      <c r="B42" s="72">
        <f>Rohdaten!AH71</f>
        <v>1.5</v>
      </c>
      <c r="C42" s="73">
        <f>Rohdaten!BL71</f>
        <v>1.0833333333333333</v>
      </c>
      <c r="D42" s="73">
        <f>Rohdaten!CP71</f>
        <v>1.75</v>
      </c>
      <c r="E42" s="73">
        <f>Rohdaten!DT71</f>
        <v>1.6666666666666667</v>
      </c>
      <c r="F42" s="73">
        <f>Rohdaten!EX71</f>
        <v>3.5</v>
      </c>
      <c r="G42" s="73">
        <f>Rohdaten!GB71</f>
        <v>2.4166666666666665</v>
      </c>
      <c r="H42" s="73">
        <f>Rohdaten!HF71</f>
        <v>2.9166666666666665</v>
      </c>
      <c r="I42" s="73">
        <f>Rohdaten!IJ71</f>
        <v>1</v>
      </c>
      <c r="J42" s="74">
        <f>Rohdaten!JN71</f>
        <v>2.9166666666666665</v>
      </c>
    </row>
    <row r="45" spans="1:10" x14ac:dyDescent="0.25">
      <c r="A45" s="131" t="s">
        <v>102</v>
      </c>
      <c r="B45" s="132" t="str" cm="1">
        <f t="array" ref="B45:J45">_xlfn.SORTBY(B1:J1,B$7:J$7)</f>
        <v>Manu</v>
      </c>
      <c r="C45" s="133" t="str">
        <v>Pulfer</v>
      </c>
      <c r="D45" s="133" t="str">
        <v>Jens</v>
      </c>
      <c r="E45" s="133" t="str">
        <v>Parli</v>
      </c>
      <c r="F45" s="133" t="str">
        <v>Lenz</v>
      </c>
      <c r="G45" s="133" t="str">
        <v>Sutti</v>
      </c>
      <c r="H45" s="133" t="str">
        <v>Aui</v>
      </c>
      <c r="I45" s="133" t="str">
        <v>Köbi</v>
      </c>
      <c r="J45" s="118" t="str">
        <v>Meiky</v>
      </c>
    </row>
    <row r="46" spans="1:10" x14ac:dyDescent="0.25">
      <c r="A46" s="132" t="str">
        <f>A7</f>
        <v>Schläge Netto über Par</v>
      </c>
      <c r="B46" s="132" cm="1">
        <f t="array" ref="B46:J46">_xlfn.SORTBY(B7:J7,B$7:J$7)</f>
        <v>1</v>
      </c>
      <c r="C46" s="133">
        <v>8</v>
      </c>
      <c r="D46" s="133">
        <v>12</v>
      </c>
      <c r="E46" s="133">
        <v>12.999999999999943</v>
      </c>
      <c r="F46" s="133">
        <v>21</v>
      </c>
      <c r="G46" s="133">
        <v>23</v>
      </c>
      <c r="H46" s="133">
        <v>29.999999999999943</v>
      </c>
      <c r="I46" s="133">
        <v>44</v>
      </c>
      <c r="J46" s="118">
        <v>45.999999999999943</v>
      </c>
    </row>
    <row r="47" spans="1:10" x14ac:dyDescent="0.25">
      <c r="A47" s="134" t="str">
        <f>A24</f>
        <v>Ø Schläge pro Runde</v>
      </c>
      <c r="B47" s="135" cm="1">
        <f t="array" ref="B47:J47">_xlfn.SORTBY(B24:J24,B$7:J$7)</f>
        <v>87.333333333333329</v>
      </c>
      <c r="C47" s="136">
        <v>92.666666666666671</v>
      </c>
      <c r="D47" s="136">
        <v>99</v>
      </c>
      <c r="E47" s="136">
        <v>86.333333333333329</v>
      </c>
      <c r="F47" s="136">
        <v>95</v>
      </c>
      <c r="G47" s="136">
        <v>124.66666666666667</v>
      </c>
      <c r="H47" s="136">
        <v>124</v>
      </c>
      <c r="I47" s="136">
        <v>118.66666666666667</v>
      </c>
      <c r="J47" s="101">
        <v>106.33333333333333</v>
      </c>
    </row>
    <row r="48" spans="1:10" x14ac:dyDescent="0.25">
      <c r="A48" s="140" t="str">
        <f>A25</f>
        <v>Ø Schläge über Par pro Runde</v>
      </c>
      <c r="B48" s="141" cm="1">
        <f t="array" ref="B48:J48">_xlfn.SORTBY(B25:J25,B$7:J$7)</f>
        <v>15.333333333333334</v>
      </c>
      <c r="C48" s="130">
        <v>20.666666666666668</v>
      </c>
      <c r="D48" s="130">
        <v>27</v>
      </c>
      <c r="E48" s="130">
        <v>14.333333333333334</v>
      </c>
      <c r="F48" s="130">
        <v>23</v>
      </c>
      <c r="G48" s="130">
        <v>52.666666666666664</v>
      </c>
      <c r="H48" s="130">
        <v>52</v>
      </c>
      <c r="I48" s="130">
        <v>46.666666666666664</v>
      </c>
      <c r="J48" s="107">
        <v>34.333333333333336</v>
      </c>
    </row>
    <row r="49" spans="1:10" x14ac:dyDescent="0.25">
      <c r="A49" s="137" t="str">
        <f>A9</f>
        <v>High Score</v>
      </c>
      <c r="B49" s="138" cm="1">
        <f t="array" ref="B49:J49">_xlfn.SORTBY(B9:J9,B$7:J$7)</f>
        <v>90</v>
      </c>
      <c r="C49" s="139">
        <v>101</v>
      </c>
      <c r="D49" s="139">
        <v>101</v>
      </c>
      <c r="E49" s="139">
        <v>93</v>
      </c>
      <c r="F49" s="139">
        <v>104</v>
      </c>
      <c r="G49" s="139">
        <v>136</v>
      </c>
      <c r="H49" s="139">
        <v>127</v>
      </c>
      <c r="I49" s="139">
        <v>123</v>
      </c>
      <c r="J49" s="104">
        <v>111</v>
      </c>
    </row>
    <row r="50" spans="1:10" x14ac:dyDescent="0.25">
      <c r="A50" s="137" t="str">
        <f>A10</f>
        <v>Low Score</v>
      </c>
      <c r="B50" s="138" cm="1">
        <f t="array" ref="B50:J50">_xlfn.SORTBY(B10:J10,B$7:J$7)</f>
        <v>82</v>
      </c>
      <c r="C50" s="139">
        <v>84</v>
      </c>
      <c r="D50" s="139">
        <v>97</v>
      </c>
      <c r="E50" s="139">
        <v>80</v>
      </c>
      <c r="F50" s="139">
        <v>86</v>
      </c>
      <c r="G50" s="139">
        <v>119</v>
      </c>
      <c r="H50" s="139">
        <v>121</v>
      </c>
      <c r="I50" s="139">
        <v>114</v>
      </c>
      <c r="J50" s="104">
        <v>100</v>
      </c>
    </row>
    <row r="51" spans="1:10" x14ac:dyDescent="0.25">
      <c r="A51" s="134" t="str">
        <f>A28</f>
        <v>Ø Putts pro Loch</v>
      </c>
      <c r="B51" s="135" cm="1">
        <f t="array" ref="B51:J51">_xlfn.SORTBY(B28:J28,B$7:J$7)</f>
        <v>1.9259259259259258</v>
      </c>
      <c r="C51" s="136">
        <v>2.074074074074074</v>
      </c>
      <c r="D51" s="136">
        <v>1.9444444444444444</v>
      </c>
      <c r="E51" s="136">
        <v>1.8148148148148149</v>
      </c>
      <c r="F51" s="136">
        <v>1.8888888888888888</v>
      </c>
      <c r="G51" s="136">
        <v>2.1851851851851851</v>
      </c>
      <c r="H51" s="136">
        <v>2.3888888888888888</v>
      </c>
      <c r="I51" s="136">
        <v>2.1111111111111112</v>
      </c>
      <c r="J51" s="101">
        <v>2.2592592592592591</v>
      </c>
    </row>
    <row r="52" spans="1:10" x14ac:dyDescent="0.25">
      <c r="A52" s="140" t="str">
        <f>A31</f>
        <v>Ø Unnötige Putts pro Runde</v>
      </c>
      <c r="B52" s="141" cm="1">
        <f t="array" ref="B52:J52">_xlfn.SORTBY(B31:J31,B$7:J$7)</f>
        <v>9.4666666666666668</v>
      </c>
      <c r="C52" s="130">
        <v>12.283333333333333</v>
      </c>
      <c r="D52" s="130">
        <v>11</v>
      </c>
      <c r="E52" s="130">
        <v>6.5666666666666664</v>
      </c>
      <c r="F52" s="130">
        <v>10</v>
      </c>
      <c r="G52" s="130">
        <v>16.833333333333332</v>
      </c>
      <c r="H52" s="130">
        <v>19.45</v>
      </c>
      <c r="I52" s="130">
        <v>15.35</v>
      </c>
      <c r="J52" s="107">
        <v>16.666666666666668</v>
      </c>
    </row>
    <row r="53" spans="1:10" x14ac:dyDescent="0.25">
      <c r="A53" s="134" t="str">
        <f>A29</f>
        <v>Ø GIR pro Runde</v>
      </c>
      <c r="B53" s="135" cm="1">
        <f t="array" ref="B53:J53">_xlfn.SORTBY(B29:J29,B$7:J$7)</f>
        <v>6</v>
      </c>
      <c r="C53" s="136">
        <v>5.666666666666667</v>
      </c>
      <c r="D53" s="136">
        <v>3.3333333333333335</v>
      </c>
      <c r="E53" s="136">
        <v>8</v>
      </c>
      <c r="F53" s="136">
        <v>3.3333333333333335</v>
      </c>
      <c r="G53" s="136">
        <v>0</v>
      </c>
      <c r="H53" s="136">
        <v>2.3333333333333335</v>
      </c>
      <c r="I53" s="136">
        <v>0.33333333333333331</v>
      </c>
      <c r="J53" s="101">
        <v>3.3333333333333335</v>
      </c>
    </row>
    <row r="54" spans="1:10" x14ac:dyDescent="0.25">
      <c r="A54" s="140" t="str">
        <f>A30</f>
        <v>Ø Scramble pro Runde</v>
      </c>
      <c r="B54" s="141" cm="1">
        <f t="array" ref="B54:J54">_xlfn.SORTBY(B30:J30,B$7:J$7)</f>
        <v>2</v>
      </c>
      <c r="C54" s="130">
        <v>1.6666666666666667</v>
      </c>
      <c r="D54" s="130">
        <v>1.3333333333333333</v>
      </c>
      <c r="E54" s="130">
        <v>2.3333333333333335</v>
      </c>
      <c r="F54" s="130">
        <v>2.3333333333333335</v>
      </c>
      <c r="G54" s="130">
        <v>0.33333333333333331</v>
      </c>
      <c r="H54" s="130">
        <v>0.33333333333333331</v>
      </c>
      <c r="I54" s="130">
        <v>0.33333333333333331</v>
      </c>
      <c r="J54" s="120">
        <v>0</v>
      </c>
    </row>
    <row r="55" spans="1:10" x14ac:dyDescent="0.25">
      <c r="A55" s="134" t="str">
        <f t="shared" ref="A55:A61" si="31">A32</f>
        <v>Ø Birdies pro Runde</v>
      </c>
      <c r="B55" s="135" cm="1">
        <f t="array" ref="B55:J55">_xlfn.SORTBY(B32:J32,B$7:J$7)</f>
        <v>1</v>
      </c>
      <c r="C55" s="136">
        <v>0</v>
      </c>
      <c r="D55" s="136">
        <v>0.33333333333333331</v>
      </c>
      <c r="E55" s="136">
        <v>0</v>
      </c>
      <c r="F55" s="136">
        <v>0</v>
      </c>
      <c r="G55" s="136">
        <v>0</v>
      </c>
      <c r="H55" s="136">
        <v>0.33333333333333331</v>
      </c>
      <c r="I55" s="136">
        <v>0</v>
      </c>
      <c r="J55" s="119">
        <v>0</v>
      </c>
    </row>
    <row r="56" spans="1:10" x14ac:dyDescent="0.25">
      <c r="A56" s="137" t="str">
        <f t="shared" si="31"/>
        <v>Ø Pars pro Runde</v>
      </c>
      <c r="B56" s="138" cm="1">
        <f t="array" ref="B56:J56">_xlfn.SORTBY(B33:J33,B$7:J$7)</f>
        <v>6</v>
      </c>
      <c r="C56" s="139">
        <v>5</v>
      </c>
      <c r="D56" s="139">
        <v>3.3333333333333335</v>
      </c>
      <c r="E56" s="139">
        <v>9.3333333333333339</v>
      </c>
      <c r="F56" s="139">
        <v>4</v>
      </c>
      <c r="G56" s="139">
        <v>0.33333333333333331</v>
      </c>
      <c r="H56" s="139">
        <v>0.66666666666666663</v>
      </c>
      <c r="I56" s="139">
        <v>0.66666666666666663</v>
      </c>
      <c r="J56" s="104">
        <v>1.3333333333333333</v>
      </c>
    </row>
    <row r="57" spans="1:10" x14ac:dyDescent="0.25">
      <c r="A57" s="137" t="str">
        <f t="shared" si="31"/>
        <v>Ø Bogeys pro Runde</v>
      </c>
      <c r="B57" s="138" cm="1">
        <f t="array" ref="B57:J57">_xlfn.SORTBY(B34:J34,B$7:J$7)</f>
        <v>7.666666666666667</v>
      </c>
      <c r="C57" s="139">
        <v>8.3333333333333339</v>
      </c>
      <c r="D57" s="139">
        <v>6.666666666666667</v>
      </c>
      <c r="E57" s="139">
        <v>5.333333333333333</v>
      </c>
      <c r="F57" s="139">
        <v>7.333333333333333</v>
      </c>
      <c r="G57" s="139">
        <v>3.3333333333333335</v>
      </c>
      <c r="H57" s="139">
        <v>3</v>
      </c>
      <c r="I57" s="139">
        <v>4.333333333333333</v>
      </c>
      <c r="J57" s="104">
        <v>7</v>
      </c>
    </row>
    <row r="58" spans="1:10" x14ac:dyDescent="0.25">
      <c r="A58" s="140" t="str">
        <f t="shared" si="31"/>
        <v>Ø Doubley Bogeys + pro Runde</v>
      </c>
      <c r="B58" s="141" cm="1">
        <f t="array" ref="B58:J58">_xlfn.SORTBY(B35:J35,B$7:J$7)</f>
        <v>3.3333333333333335</v>
      </c>
      <c r="C58" s="130">
        <v>4.666666666666667</v>
      </c>
      <c r="D58" s="130">
        <v>7.666666666666667</v>
      </c>
      <c r="E58" s="130">
        <v>3.3333333333333335</v>
      </c>
      <c r="F58" s="130">
        <v>6.666666666666667</v>
      </c>
      <c r="G58" s="130">
        <v>14.333333333333334</v>
      </c>
      <c r="H58" s="130">
        <v>14</v>
      </c>
      <c r="I58" s="130">
        <v>13</v>
      </c>
      <c r="J58" s="107">
        <v>9.6666666666666661</v>
      </c>
    </row>
    <row r="59" spans="1:10" x14ac:dyDescent="0.25">
      <c r="A59" s="134" t="str">
        <f t="shared" si="31"/>
        <v>Ø Chip in pro Runde</v>
      </c>
      <c r="B59" s="135" cm="1">
        <f t="array" ref="B59:J59">_xlfn.SORTBY(B36:J36,B$7:J$7)</f>
        <v>0.66666666666666663</v>
      </c>
      <c r="C59" s="136">
        <v>0</v>
      </c>
      <c r="D59" s="136">
        <v>0</v>
      </c>
      <c r="E59" s="136">
        <v>0</v>
      </c>
      <c r="F59" s="136">
        <v>0.33333333333333331</v>
      </c>
      <c r="G59" s="136">
        <v>0</v>
      </c>
      <c r="H59" s="136">
        <v>0</v>
      </c>
      <c r="I59" s="136">
        <v>0</v>
      </c>
      <c r="J59" s="119">
        <v>0</v>
      </c>
    </row>
    <row r="60" spans="1:10" x14ac:dyDescent="0.25">
      <c r="A60" s="137" t="str">
        <f t="shared" si="31"/>
        <v>Ø 1 Put pro Runde</v>
      </c>
      <c r="B60" s="138" cm="1">
        <f t="array" ref="B60:J60">_xlfn.SORTBY(B37:J37,B$7:J$7)</f>
        <v>3</v>
      </c>
      <c r="C60" s="139">
        <v>3.6666666666666665</v>
      </c>
      <c r="D60" s="139">
        <v>5</v>
      </c>
      <c r="E60" s="139">
        <v>4.666666666666667</v>
      </c>
      <c r="F60" s="139">
        <v>4.333333333333333</v>
      </c>
      <c r="G60" s="139">
        <v>2</v>
      </c>
      <c r="H60" s="139">
        <v>2.6666666666666665</v>
      </c>
      <c r="I60" s="139">
        <v>2</v>
      </c>
      <c r="J60" s="104">
        <v>0.66666666666666663</v>
      </c>
    </row>
    <row r="61" spans="1:10" x14ac:dyDescent="0.25">
      <c r="A61" s="137" t="str">
        <f t="shared" si="31"/>
        <v>Ø 2 Put pro Runde</v>
      </c>
      <c r="B61" s="138" cm="1">
        <f t="array" ref="B61:J61">_xlfn.SORTBY(B38:J38,B$7:J$7)</f>
        <v>11.666666666666666</v>
      </c>
      <c r="C61" s="139">
        <v>9.6666666666666661</v>
      </c>
      <c r="D61" s="139">
        <v>9</v>
      </c>
      <c r="E61" s="139">
        <v>12</v>
      </c>
      <c r="F61" s="139">
        <v>10.333333333333334</v>
      </c>
      <c r="G61" s="139">
        <v>11</v>
      </c>
      <c r="H61" s="139">
        <v>8</v>
      </c>
      <c r="I61" s="139">
        <v>12</v>
      </c>
      <c r="J61" s="104">
        <v>12</v>
      </c>
    </row>
    <row r="62" spans="1:10" x14ac:dyDescent="0.25">
      <c r="A62" s="140" t="str">
        <f>A39</f>
        <v>Ø 3+ Put pro Runde</v>
      </c>
      <c r="B62" s="141" cm="1">
        <f t="array" ref="B62:J62">_xlfn.SORTBY(B39:J39,B$7:J$7)</f>
        <v>2.6666666666666665</v>
      </c>
      <c r="C62" s="130">
        <v>4.666666666666667</v>
      </c>
      <c r="D62" s="130">
        <v>4</v>
      </c>
      <c r="E62" s="130">
        <v>1.3333333333333333</v>
      </c>
      <c r="F62" s="130">
        <v>3</v>
      </c>
      <c r="G62" s="130">
        <v>5</v>
      </c>
      <c r="H62" s="130">
        <v>7.333333333333333</v>
      </c>
      <c r="I62" s="130">
        <v>4</v>
      </c>
      <c r="J62" s="107">
        <v>5.333333333333333</v>
      </c>
    </row>
    <row r="63" spans="1:10" x14ac:dyDescent="0.25">
      <c r="A63" s="134" t="str">
        <f t="shared" ref="A63:A65" si="32">A40</f>
        <v>Par3 Perf</v>
      </c>
      <c r="B63" s="135" cm="1">
        <f t="array" ref="B63:J63">_xlfn.SORTBY(B40:J40,B$7:J$7)</f>
        <v>0.58333333333333337</v>
      </c>
      <c r="C63" s="136">
        <v>1</v>
      </c>
      <c r="D63" s="136">
        <v>1</v>
      </c>
      <c r="E63" s="136">
        <v>0.83333333333333337</v>
      </c>
      <c r="F63" s="136">
        <v>1.5</v>
      </c>
      <c r="G63" s="136">
        <v>2.1666666666666665</v>
      </c>
      <c r="H63" s="136">
        <v>2.1666666666666665</v>
      </c>
      <c r="I63" s="136">
        <v>1.9166666666666667</v>
      </c>
      <c r="J63" s="101">
        <v>1.6666666666666667</v>
      </c>
    </row>
    <row r="64" spans="1:10" x14ac:dyDescent="0.25">
      <c r="A64" s="137" t="str">
        <f t="shared" si="32"/>
        <v>Par4 Perf</v>
      </c>
      <c r="B64" s="138" cm="1">
        <f t="array" ref="B64:J64">_xlfn.SORTBY(B41:J41,B$7:J$7)</f>
        <v>0.7</v>
      </c>
      <c r="C64" s="139">
        <v>1</v>
      </c>
      <c r="D64" s="139">
        <v>1.3333333333333333</v>
      </c>
      <c r="E64" s="139">
        <v>0.66666666666666663</v>
      </c>
      <c r="F64" s="139">
        <v>1.3</v>
      </c>
      <c r="G64" s="139">
        <v>3</v>
      </c>
      <c r="H64" s="139">
        <v>3.1666666666666665</v>
      </c>
      <c r="I64" s="139">
        <v>2.7333333333333334</v>
      </c>
      <c r="J64" s="104">
        <v>2.0666666666666669</v>
      </c>
    </row>
    <row r="65" spans="1:10" x14ac:dyDescent="0.25">
      <c r="A65" s="140" t="str">
        <f t="shared" si="32"/>
        <v>Par5 Perf</v>
      </c>
      <c r="B65" s="141" cm="1">
        <f t="array" ref="B65:J65">_xlfn.SORTBY(B42:J42,B$7:J$7)</f>
        <v>1.5</v>
      </c>
      <c r="C65" s="130">
        <v>1.6666666666666667</v>
      </c>
      <c r="D65" s="130">
        <v>2.4166666666666665</v>
      </c>
      <c r="E65" s="130">
        <v>1.0833333333333333</v>
      </c>
      <c r="F65" s="130">
        <v>1</v>
      </c>
      <c r="G65" s="130">
        <v>3.5</v>
      </c>
      <c r="H65" s="130">
        <v>2.9166666666666665</v>
      </c>
      <c r="I65" s="130">
        <v>2.9166666666666665</v>
      </c>
      <c r="J65" s="107">
        <v>1.75</v>
      </c>
    </row>
    <row r="66" spans="1:10" x14ac:dyDescent="0.25">
      <c r="A66" s="143"/>
      <c r="B66" s="139"/>
      <c r="C66" s="139"/>
      <c r="D66" s="139"/>
      <c r="E66" s="139"/>
      <c r="F66" s="139"/>
      <c r="G66" s="139"/>
      <c r="H66" s="139"/>
      <c r="I66" s="139"/>
    </row>
    <row r="68" spans="1:10" x14ac:dyDescent="0.25">
      <c r="A68" s="131" t="s">
        <v>104</v>
      </c>
      <c r="B68" s="132" t="str" cm="1">
        <f t="array" ref="B68:J68">_xlfn.SORTBY(B1:J1,B$7:J$7)</f>
        <v>Manu</v>
      </c>
      <c r="C68" s="133" t="str">
        <v>Pulfer</v>
      </c>
      <c r="D68" s="133" t="str">
        <v>Jens</v>
      </c>
      <c r="E68" s="133" t="str">
        <v>Parli</v>
      </c>
      <c r="F68" s="133" t="str">
        <v>Lenz</v>
      </c>
      <c r="G68" s="133" t="str">
        <v>Sutti</v>
      </c>
      <c r="H68" s="133" t="str">
        <v>Aui</v>
      </c>
      <c r="I68" s="133" t="str">
        <v>Köbi</v>
      </c>
      <c r="J68" s="118" t="str">
        <v>Meiky</v>
      </c>
    </row>
    <row r="69" spans="1:10" x14ac:dyDescent="0.25">
      <c r="A69" s="112" t="s">
        <v>103</v>
      </c>
      <c r="B69" s="147">
        <f>'Zusammenfassung Tag1'!B31</f>
        <v>-4.9999999999999858</v>
      </c>
      <c r="C69" s="167">
        <f>'Zusammenfassung Tag1'!E8</f>
        <v>11</v>
      </c>
      <c r="D69" s="167">
        <f>'Zusammenfassung Tag1'!G8</f>
        <v>6</v>
      </c>
      <c r="E69" s="167">
        <f>'Zusammenfassung Tag1'!C8</f>
        <v>10.999999999999986</v>
      </c>
      <c r="F69" s="167">
        <f>'Zusammenfassung Tag1'!I8</f>
        <v>16</v>
      </c>
      <c r="G69" s="167">
        <f>'Zusammenfassung Tag1'!F8</f>
        <v>19</v>
      </c>
      <c r="H69" s="167">
        <f>'Zusammenfassung Tag1'!J8</f>
        <v>6.9999999999999716</v>
      </c>
      <c r="I69" s="167">
        <f>'Zusammenfassung Tag1'!H8</f>
        <v>19</v>
      </c>
      <c r="J69" s="168">
        <f>'Zusammenfassung Tag1'!D8</f>
        <v>16.999999999999986</v>
      </c>
    </row>
    <row r="70" spans="1:10" x14ac:dyDescent="0.25">
      <c r="A70" s="146" t="s">
        <v>105</v>
      </c>
      <c r="B70" s="149">
        <f>'Zusammenfassung Tag1-2'!$B$46</f>
        <v>-2</v>
      </c>
      <c r="C70" s="169">
        <f>'Zusammenfassung Tag1-2'!E7</f>
        <v>14</v>
      </c>
      <c r="D70" s="169">
        <f>'Zusammenfassung Tag1-2'!G7</f>
        <v>10</v>
      </c>
      <c r="E70" s="169">
        <f>'Zusammenfassung Tag1-2'!C7</f>
        <v>8.9999999999999716</v>
      </c>
      <c r="F70" s="169">
        <f>'Zusammenfassung Tag1-2'!I7</f>
        <v>23</v>
      </c>
      <c r="G70" s="169">
        <f>'Zusammenfassung Tag1-2'!F7</f>
        <v>21</v>
      </c>
      <c r="H70" s="169">
        <f>'Zusammenfassung Tag1-2'!J7</f>
        <v>16.999999999999972</v>
      </c>
      <c r="I70" s="169">
        <f>'Zusammenfassung Tag1-2'!H7</f>
        <v>29</v>
      </c>
      <c r="J70" s="170">
        <f>'Zusammenfassung Tag1-2'!D7</f>
        <v>25.999999999999972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05F2-B6B5-45EF-9826-ED747D0004AA}">
  <dimension ref="A1:J27"/>
  <sheetViews>
    <sheetView workbookViewId="0">
      <selection activeCell="F31" sqref="F31"/>
    </sheetView>
  </sheetViews>
  <sheetFormatPr baseColWidth="10" defaultColWidth="11.5546875" defaultRowHeight="13.2" x14ac:dyDescent="0.25"/>
  <cols>
    <col min="1" max="1" width="27.33203125" style="58" bestFit="1" customWidth="1"/>
    <col min="2" max="16384" width="11.5546875" style="58"/>
  </cols>
  <sheetData>
    <row r="1" spans="1:10" x14ac:dyDescent="0.25">
      <c r="A1" s="81" t="s">
        <v>80</v>
      </c>
      <c r="B1" s="122" t="s">
        <v>40</v>
      </c>
      <c r="C1" s="123" t="s">
        <v>41</v>
      </c>
      <c r="D1" s="123" t="s">
        <v>42</v>
      </c>
      <c r="E1" s="123" t="s">
        <v>43</v>
      </c>
      <c r="F1" s="123" t="s">
        <v>107</v>
      </c>
      <c r="G1" s="123" t="s">
        <v>69</v>
      </c>
      <c r="H1" s="123" t="s">
        <v>70</v>
      </c>
      <c r="I1" s="123" t="s">
        <v>71</v>
      </c>
      <c r="J1" s="124" t="s">
        <v>108</v>
      </c>
    </row>
    <row r="2" spans="1:10" x14ac:dyDescent="0.25">
      <c r="A2" s="85" t="s">
        <v>72</v>
      </c>
      <c r="B2" s="86">
        <v>15</v>
      </c>
      <c r="C2" s="87">
        <v>10</v>
      </c>
      <c r="D2" s="87">
        <v>19</v>
      </c>
      <c r="E2" s="87">
        <v>18</v>
      </c>
      <c r="F2" s="123">
        <v>45</v>
      </c>
      <c r="G2" s="123">
        <v>23</v>
      </c>
      <c r="H2" s="87">
        <v>32</v>
      </c>
      <c r="I2" s="87">
        <v>16</v>
      </c>
      <c r="J2" s="88">
        <v>42</v>
      </c>
    </row>
    <row r="3" spans="1:10" x14ac:dyDescent="0.25">
      <c r="A3" s="65" t="s">
        <v>5</v>
      </c>
      <c r="B3" s="65">
        <f>Rohdaten!G94</f>
        <v>89</v>
      </c>
      <c r="C3" s="75">
        <f>Rohdaten!AK94</f>
        <v>90</v>
      </c>
      <c r="D3" s="75">
        <f>Rohdaten!BO94</f>
        <v>93</v>
      </c>
      <c r="E3" s="75">
        <f>Rohdaten!CS94</f>
        <v>95</v>
      </c>
      <c r="F3" s="75">
        <f>Rohdaten!DW94</f>
        <v>112</v>
      </c>
      <c r="G3" s="75">
        <f>Rohdaten!FA94</f>
        <v>93</v>
      </c>
      <c r="H3" s="75">
        <f>Rohdaten!GE94</f>
        <v>107</v>
      </c>
      <c r="I3" s="75">
        <f>Rohdaten!HI94</f>
        <v>90</v>
      </c>
      <c r="J3" s="191">
        <f>Rohdaten!IM94</f>
        <v>121</v>
      </c>
    </row>
    <row r="4" spans="1:10" x14ac:dyDescent="0.25">
      <c r="A4" s="60" t="s">
        <v>85</v>
      </c>
      <c r="B4" s="93">
        <f>Rohdaten!G83</f>
        <v>44</v>
      </c>
      <c r="C4" s="94">
        <f>Rohdaten!AK83</f>
        <v>45</v>
      </c>
      <c r="D4" s="94">
        <f>Rohdaten!BO83</f>
        <v>44</v>
      </c>
      <c r="E4" s="94">
        <f>Rohdaten!CS83</f>
        <v>51</v>
      </c>
      <c r="F4" s="94">
        <f>Rohdaten!DW83</f>
        <v>52</v>
      </c>
      <c r="G4" s="94">
        <f>Rohdaten!FA83</f>
        <v>47</v>
      </c>
      <c r="H4" s="94">
        <f>Rohdaten!GE83</f>
        <v>55</v>
      </c>
      <c r="I4" s="94">
        <f>Rohdaten!HI83</f>
        <v>43</v>
      </c>
      <c r="J4" s="192">
        <f>Rohdaten!IM83</f>
        <v>62</v>
      </c>
    </row>
    <row r="5" spans="1:10" x14ac:dyDescent="0.25">
      <c r="A5" s="60" t="s">
        <v>86</v>
      </c>
      <c r="B5" s="93">
        <f>Rohdaten!G93</f>
        <v>45</v>
      </c>
      <c r="C5" s="94">
        <f>Rohdaten!AK93</f>
        <v>45</v>
      </c>
      <c r="D5" s="94">
        <f>Rohdaten!BO93</f>
        <v>49</v>
      </c>
      <c r="E5" s="94">
        <f>Rohdaten!CS93</f>
        <v>44</v>
      </c>
      <c r="F5" s="94">
        <f>Rohdaten!DW93</f>
        <v>60</v>
      </c>
      <c r="G5" s="94">
        <f>Rohdaten!FA93</f>
        <v>46</v>
      </c>
      <c r="H5" s="94">
        <f>Rohdaten!GE93</f>
        <v>52</v>
      </c>
      <c r="I5" s="94">
        <f>Rohdaten!HI93</f>
        <v>47</v>
      </c>
      <c r="J5" s="192">
        <f>Rohdaten!IM93</f>
        <v>59</v>
      </c>
    </row>
    <row r="6" spans="1:10" x14ac:dyDescent="0.25">
      <c r="A6" s="60" t="s">
        <v>84</v>
      </c>
      <c r="B6" s="93">
        <f>B3-Rohdaten!$E94</f>
        <v>17</v>
      </c>
      <c r="C6" s="94">
        <f>C3-Rohdaten!$E94</f>
        <v>18</v>
      </c>
      <c r="D6" s="94">
        <f>D3-Rohdaten!$E94</f>
        <v>21</v>
      </c>
      <c r="E6" s="94">
        <f>E3-Rohdaten!$E94</f>
        <v>23</v>
      </c>
      <c r="F6" s="94">
        <f>F3-Rohdaten!$E94</f>
        <v>40</v>
      </c>
      <c r="G6" s="94">
        <f>G3-Rohdaten!$E94</f>
        <v>21</v>
      </c>
      <c r="H6" s="94">
        <f>H3-Rohdaten!$E94</f>
        <v>35</v>
      </c>
      <c r="I6" s="94">
        <f>I3-Rohdaten!$E94</f>
        <v>18</v>
      </c>
      <c r="J6" s="192">
        <f>J3-Rohdaten!$E94</f>
        <v>49</v>
      </c>
    </row>
    <row r="7" spans="1:10" x14ac:dyDescent="0.25">
      <c r="A7" s="60" t="s">
        <v>89</v>
      </c>
      <c r="B7" s="59">
        <f>Rohdaten!AI94</f>
        <v>74</v>
      </c>
      <c r="C7" s="79">
        <f>Rohdaten!BM94</f>
        <v>79.999999999999986</v>
      </c>
      <c r="D7" s="79">
        <f>Rohdaten!CQ94</f>
        <v>73.999999999999986</v>
      </c>
      <c r="E7" s="79">
        <f>Rohdaten!DU94</f>
        <v>77</v>
      </c>
      <c r="F7" s="79">
        <f>Rohdaten!EY94</f>
        <v>67</v>
      </c>
      <c r="G7" s="79">
        <f>Rohdaten!GC94</f>
        <v>70</v>
      </c>
      <c r="H7" s="79">
        <f>Rohdaten!HG94</f>
        <v>75</v>
      </c>
      <c r="I7" s="79">
        <f>Rohdaten!IK94</f>
        <v>74</v>
      </c>
      <c r="J7" s="193">
        <f>Rohdaten!JO94</f>
        <v>78.999999999999986</v>
      </c>
    </row>
    <row r="8" spans="1:10" x14ac:dyDescent="0.25">
      <c r="A8" s="60" t="s">
        <v>90</v>
      </c>
      <c r="B8" s="59">
        <f>B7-Rohdaten!$E94</f>
        <v>2</v>
      </c>
      <c r="C8" s="79">
        <f>C7-Rohdaten!$E94</f>
        <v>7.9999999999999858</v>
      </c>
      <c r="D8" s="79">
        <f>D7-Rohdaten!$E94</f>
        <v>1.9999999999999858</v>
      </c>
      <c r="E8" s="79">
        <f>E7-Rohdaten!$E94</f>
        <v>5</v>
      </c>
      <c r="F8" s="79">
        <f>F7-Rohdaten!$E94</f>
        <v>-5</v>
      </c>
      <c r="G8" s="79">
        <f>G7-Rohdaten!$E94</f>
        <v>-2</v>
      </c>
      <c r="H8" s="79">
        <f>H7-Rohdaten!$E94</f>
        <v>3</v>
      </c>
      <c r="I8" s="79">
        <f>I7-Rohdaten!$E94</f>
        <v>2</v>
      </c>
      <c r="J8" s="193">
        <f>J7-Rohdaten!$E94</f>
        <v>6.9999999999999858</v>
      </c>
    </row>
    <row r="9" spans="1:10" x14ac:dyDescent="0.25">
      <c r="A9" s="108" t="s">
        <v>78</v>
      </c>
      <c r="B9" s="109">
        <f t="shared" ref="B9:J9" si="0">_xlfn.RANK.EQ(B8,$B8:$J8,1)</f>
        <v>4</v>
      </c>
      <c r="C9" s="110">
        <f t="shared" si="0"/>
        <v>9</v>
      </c>
      <c r="D9" s="110">
        <f t="shared" si="0"/>
        <v>3</v>
      </c>
      <c r="E9" s="110">
        <f t="shared" si="0"/>
        <v>7</v>
      </c>
      <c r="F9" s="110">
        <f t="shared" si="0"/>
        <v>1</v>
      </c>
      <c r="G9" s="110">
        <f t="shared" si="0"/>
        <v>2</v>
      </c>
      <c r="H9" s="110">
        <f t="shared" si="0"/>
        <v>6</v>
      </c>
      <c r="I9" s="110">
        <f t="shared" si="0"/>
        <v>4</v>
      </c>
      <c r="J9" s="194">
        <f t="shared" si="0"/>
        <v>8</v>
      </c>
    </row>
    <row r="10" spans="1:10" x14ac:dyDescent="0.25">
      <c r="A10" s="65" t="s">
        <v>7</v>
      </c>
      <c r="B10" s="65">
        <f>Rohdaten!I94</f>
        <v>31</v>
      </c>
      <c r="C10" s="75">
        <f>Rohdaten!AM94</f>
        <v>33</v>
      </c>
      <c r="D10" s="75">
        <f>Rohdaten!BQ94</f>
        <v>37</v>
      </c>
      <c r="E10" s="75">
        <f>Rohdaten!CU94</f>
        <v>35</v>
      </c>
      <c r="F10" s="75">
        <f>Rohdaten!DY94</f>
        <v>42</v>
      </c>
      <c r="G10" s="75">
        <f>Rohdaten!FC94</f>
        <v>29</v>
      </c>
      <c r="H10" s="75">
        <f>Rohdaten!GG94</f>
        <v>38</v>
      </c>
      <c r="I10" s="75">
        <f>Rohdaten!HK94</f>
        <v>33</v>
      </c>
      <c r="J10" s="191">
        <f>Rohdaten!IO94</f>
        <v>40</v>
      </c>
    </row>
    <row r="11" spans="1:10" x14ac:dyDescent="0.25">
      <c r="A11" s="60" t="s">
        <v>87</v>
      </c>
      <c r="B11" s="60">
        <f>Rohdaten!I83</f>
        <v>15</v>
      </c>
      <c r="C11" s="64">
        <f>Rohdaten!AM83</f>
        <v>16</v>
      </c>
      <c r="D11" s="64">
        <f>Rohdaten!BQ83</f>
        <v>18</v>
      </c>
      <c r="E11" s="64">
        <f>Rohdaten!CU83</f>
        <v>19</v>
      </c>
      <c r="F11" s="64">
        <f>Rohdaten!DY83</f>
        <v>21</v>
      </c>
      <c r="G11" s="64">
        <f>Rohdaten!FC83</f>
        <v>15</v>
      </c>
      <c r="H11" s="64">
        <f>Rohdaten!GG83</f>
        <v>18</v>
      </c>
      <c r="I11" s="64">
        <f>Rohdaten!HK83</f>
        <v>15</v>
      </c>
      <c r="J11" s="195">
        <f>Rohdaten!IO83</f>
        <v>20</v>
      </c>
    </row>
    <row r="12" spans="1:10" x14ac:dyDescent="0.25">
      <c r="A12" s="60" t="s">
        <v>88</v>
      </c>
      <c r="B12" s="60">
        <f>Rohdaten!I93</f>
        <v>16</v>
      </c>
      <c r="C12" s="64">
        <f>Rohdaten!AM93</f>
        <v>17</v>
      </c>
      <c r="D12" s="64">
        <f>Rohdaten!BQ93</f>
        <v>19</v>
      </c>
      <c r="E12" s="64">
        <f>Rohdaten!CU93</f>
        <v>16</v>
      </c>
      <c r="F12" s="64">
        <f>Rohdaten!DY93</f>
        <v>21</v>
      </c>
      <c r="G12" s="64">
        <f>Rohdaten!FC93</f>
        <v>14</v>
      </c>
      <c r="H12" s="64">
        <f>Rohdaten!GG93</f>
        <v>20</v>
      </c>
      <c r="I12" s="64">
        <f>Rohdaten!HK93</f>
        <v>18</v>
      </c>
      <c r="J12" s="195">
        <f>Rohdaten!IO93</f>
        <v>20</v>
      </c>
    </row>
    <row r="13" spans="1:10" x14ac:dyDescent="0.25">
      <c r="A13" s="60" t="s">
        <v>9</v>
      </c>
      <c r="B13" s="60">
        <f>Rohdaten!K94</f>
        <v>4</v>
      </c>
      <c r="C13" s="64">
        <f>Rohdaten!AO94</f>
        <v>6</v>
      </c>
      <c r="D13" s="64">
        <f>Rohdaten!BS94</f>
        <v>3</v>
      </c>
      <c r="E13" s="64">
        <f>Rohdaten!CW94</f>
        <v>4</v>
      </c>
      <c r="F13" s="64">
        <f>Rohdaten!EA94</f>
        <v>0</v>
      </c>
      <c r="G13" s="64">
        <f>Rohdaten!FE94</f>
        <v>2</v>
      </c>
      <c r="H13" s="64">
        <f>Rohdaten!GI94</f>
        <v>1</v>
      </c>
      <c r="I13" s="64">
        <f>Rohdaten!HM94</f>
        <v>5</v>
      </c>
      <c r="J13" s="195">
        <f>Rohdaten!IQ94</f>
        <v>1</v>
      </c>
    </row>
    <row r="14" spans="1:10" x14ac:dyDescent="0.25">
      <c r="A14" s="60" t="s">
        <v>95</v>
      </c>
      <c r="B14" s="60">
        <f>Rohdaten!M94</f>
        <v>4</v>
      </c>
      <c r="C14" s="64">
        <f>Rohdaten!AQ94</f>
        <v>3</v>
      </c>
      <c r="D14" s="64">
        <f>Rohdaten!BU94</f>
        <v>0</v>
      </c>
      <c r="E14" s="64">
        <f>Rohdaten!CY94</f>
        <v>1</v>
      </c>
      <c r="F14" s="64">
        <f>Rohdaten!EC94</f>
        <v>0</v>
      </c>
      <c r="G14" s="64">
        <f>Rohdaten!FG94</f>
        <v>1</v>
      </c>
      <c r="H14" s="64">
        <f>Rohdaten!GK94</f>
        <v>0</v>
      </c>
      <c r="I14" s="64">
        <f>Rohdaten!HO94</f>
        <v>2</v>
      </c>
      <c r="J14" s="195">
        <f>Rohdaten!IS94</f>
        <v>0</v>
      </c>
    </row>
    <row r="15" spans="1:10" x14ac:dyDescent="0.25">
      <c r="A15" s="71" t="s">
        <v>93</v>
      </c>
      <c r="B15" s="129">
        <f>Rohdaten!O94</f>
        <v>6.6999999999999993</v>
      </c>
      <c r="C15" s="128">
        <f>Rohdaten!AS94</f>
        <v>7.8000000000000007</v>
      </c>
      <c r="D15" s="128">
        <f>Rohdaten!BW94</f>
        <v>13.149999999999999</v>
      </c>
      <c r="E15" s="128">
        <f>Rohdaten!DA94</f>
        <v>10.7</v>
      </c>
      <c r="F15" s="128">
        <f>Rohdaten!EE94</f>
        <v>19.5</v>
      </c>
      <c r="G15" s="128">
        <f>Rohdaten!FI94</f>
        <v>5.6000000000000014</v>
      </c>
      <c r="H15" s="128">
        <f>Rohdaten!GM94</f>
        <v>15.05</v>
      </c>
      <c r="I15" s="128">
        <f>Rohdaten!HQ94</f>
        <v>8.25</v>
      </c>
      <c r="J15" s="196">
        <f>Rohdaten!IU94</f>
        <v>17.05</v>
      </c>
    </row>
    <row r="16" spans="1:10" x14ac:dyDescent="0.25">
      <c r="A16" s="65" t="s">
        <v>91</v>
      </c>
      <c r="B16" s="65">
        <f>Rohdaten!P94</f>
        <v>0</v>
      </c>
      <c r="C16" s="75">
        <f>Rohdaten!AT94</f>
        <v>1</v>
      </c>
      <c r="D16" s="75">
        <f>Rohdaten!BX94</f>
        <v>0</v>
      </c>
      <c r="E16" s="75">
        <f>Rohdaten!DB94</f>
        <v>0</v>
      </c>
      <c r="F16" s="75">
        <f>Rohdaten!EF94</f>
        <v>0</v>
      </c>
      <c r="G16" s="75">
        <f>Rohdaten!FJ94</f>
        <v>0</v>
      </c>
      <c r="H16" s="75">
        <f>Rohdaten!GN94</f>
        <v>0</v>
      </c>
      <c r="I16" s="75">
        <f>Rohdaten!HR94</f>
        <v>1</v>
      </c>
      <c r="J16" s="191">
        <f>Rohdaten!IV94</f>
        <v>0</v>
      </c>
    </row>
    <row r="17" spans="1:10" x14ac:dyDescent="0.25">
      <c r="A17" s="60" t="s">
        <v>50</v>
      </c>
      <c r="B17" s="60">
        <f>Rohdaten!R94</f>
        <v>6</v>
      </c>
      <c r="C17" s="64">
        <f>Rohdaten!AV94</f>
        <v>8</v>
      </c>
      <c r="D17" s="64">
        <f>Rohdaten!BZ94</f>
        <v>3</v>
      </c>
      <c r="E17" s="64">
        <f>Rohdaten!DD94</f>
        <v>4</v>
      </c>
      <c r="F17" s="64">
        <f>Rohdaten!EH94</f>
        <v>0</v>
      </c>
      <c r="G17" s="64">
        <f>Rohdaten!FL94</f>
        <v>3</v>
      </c>
      <c r="H17" s="64">
        <f>Rohdaten!GP94</f>
        <v>0</v>
      </c>
      <c r="I17" s="64">
        <f>Rohdaten!HT94</f>
        <v>5</v>
      </c>
      <c r="J17" s="195">
        <f>Rohdaten!IX94</f>
        <v>0</v>
      </c>
    </row>
    <row r="18" spans="1:10" x14ac:dyDescent="0.25">
      <c r="A18" s="60" t="s">
        <v>51</v>
      </c>
      <c r="B18" s="60">
        <f>Rohdaten!T94</f>
        <v>8</v>
      </c>
      <c r="C18" s="64">
        <f>Rohdaten!AX94</f>
        <v>4</v>
      </c>
      <c r="D18" s="64">
        <f>Rohdaten!CB94</f>
        <v>10</v>
      </c>
      <c r="E18" s="64">
        <f>Rohdaten!DF94</f>
        <v>8</v>
      </c>
      <c r="F18" s="64">
        <f>Rohdaten!EJ94</f>
        <v>5</v>
      </c>
      <c r="G18" s="64">
        <f>Rohdaten!FN94</f>
        <v>10</v>
      </c>
      <c r="H18" s="64">
        <f>Rohdaten!GR94</f>
        <v>7</v>
      </c>
      <c r="I18" s="64">
        <f>Rohdaten!HV94</f>
        <v>7</v>
      </c>
      <c r="J18" s="195">
        <f>Rohdaten!IZ94</f>
        <v>4</v>
      </c>
    </row>
    <row r="19" spans="1:10" x14ac:dyDescent="0.25">
      <c r="A19" s="71" t="s">
        <v>55</v>
      </c>
      <c r="B19" s="71">
        <f>Rohdaten!V94</f>
        <v>4</v>
      </c>
      <c r="C19" s="62">
        <f>Rohdaten!AZ94</f>
        <v>5</v>
      </c>
      <c r="D19" s="62">
        <f>Rohdaten!CD94</f>
        <v>5</v>
      </c>
      <c r="E19" s="62">
        <f>Rohdaten!DH94</f>
        <v>6</v>
      </c>
      <c r="F19" s="62">
        <f>Rohdaten!EL94</f>
        <v>13</v>
      </c>
      <c r="G19" s="62">
        <f>Rohdaten!FP94</f>
        <v>5</v>
      </c>
      <c r="H19" s="62">
        <f>Rohdaten!GT94</f>
        <v>11</v>
      </c>
      <c r="I19" s="62">
        <f>Rohdaten!HX94</f>
        <v>5</v>
      </c>
      <c r="J19" s="196">
        <f>Rohdaten!JB94</f>
        <v>14</v>
      </c>
    </row>
    <row r="20" spans="1:10" x14ac:dyDescent="0.25">
      <c r="A20" s="65" t="s">
        <v>38</v>
      </c>
      <c r="B20" s="65">
        <f>Rohdaten!X94</f>
        <v>0</v>
      </c>
      <c r="C20" s="75">
        <f>Rohdaten!BB94</f>
        <v>0</v>
      </c>
      <c r="D20" s="75">
        <f>Rohdaten!CF94</f>
        <v>0</v>
      </c>
      <c r="E20" s="75">
        <f>Rohdaten!DJ94</f>
        <v>0</v>
      </c>
      <c r="F20" s="75">
        <f>Rohdaten!EN94</f>
        <v>0</v>
      </c>
      <c r="G20" s="75">
        <f>Rohdaten!FR94</f>
        <v>0</v>
      </c>
      <c r="H20" s="75">
        <f>Rohdaten!GV94</f>
        <v>0</v>
      </c>
      <c r="I20" s="75">
        <f>Rohdaten!HZ94</f>
        <v>0</v>
      </c>
      <c r="J20" s="191">
        <f>Rohdaten!JD94</f>
        <v>0</v>
      </c>
    </row>
    <row r="21" spans="1:10" x14ac:dyDescent="0.25">
      <c r="A21" s="60" t="s">
        <v>15</v>
      </c>
      <c r="B21" s="60">
        <f>Rohdaten!Z94</f>
        <v>7</v>
      </c>
      <c r="C21" s="64">
        <f>Rohdaten!BD94</f>
        <v>4</v>
      </c>
      <c r="D21" s="64">
        <f>Rohdaten!CH94</f>
        <v>1</v>
      </c>
      <c r="E21" s="64">
        <f>Rohdaten!DL94</f>
        <v>3</v>
      </c>
      <c r="F21" s="64">
        <f>Rohdaten!EP94</f>
        <v>0</v>
      </c>
      <c r="G21" s="64">
        <f>Rohdaten!FT94</f>
        <v>7</v>
      </c>
      <c r="H21" s="64">
        <f>Rohdaten!GX94</f>
        <v>1</v>
      </c>
      <c r="I21" s="64">
        <f>Rohdaten!IB94</f>
        <v>6</v>
      </c>
      <c r="J21" s="195">
        <f>Rohdaten!JF94</f>
        <v>0</v>
      </c>
    </row>
    <row r="22" spans="1:10" x14ac:dyDescent="0.25">
      <c r="A22" s="60" t="s">
        <v>73</v>
      </c>
      <c r="B22" s="60">
        <f>Rohdaten!AB94</f>
        <v>9</v>
      </c>
      <c r="C22" s="64">
        <f>Rohdaten!BF94</f>
        <v>13</v>
      </c>
      <c r="D22" s="64">
        <f>Rohdaten!CJ94</f>
        <v>15</v>
      </c>
      <c r="E22" s="64">
        <f>Rohdaten!DN94</f>
        <v>13</v>
      </c>
      <c r="F22" s="64">
        <f>Rohdaten!ER94</f>
        <v>12</v>
      </c>
      <c r="G22" s="64">
        <f>Rohdaten!FV94</f>
        <v>11</v>
      </c>
      <c r="H22" s="64">
        <f>Rohdaten!GZ94</f>
        <v>15</v>
      </c>
      <c r="I22" s="64">
        <f>Rohdaten!ID94</f>
        <v>9</v>
      </c>
      <c r="J22" s="195">
        <f>Rohdaten!JH94</f>
        <v>14</v>
      </c>
    </row>
    <row r="23" spans="1:10" x14ac:dyDescent="0.25">
      <c r="A23" s="71" t="s">
        <v>17</v>
      </c>
      <c r="B23" s="71">
        <f>Rohdaten!AD94</f>
        <v>2</v>
      </c>
      <c r="C23" s="62">
        <f>Rohdaten!BH94</f>
        <v>1</v>
      </c>
      <c r="D23" s="62">
        <f>Rohdaten!CL94</f>
        <v>2</v>
      </c>
      <c r="E23" s="62">
        <f>Rohdaten!DP94</f>
        <v>2</v>
      </c>
      <c r="F23" s="62">
        <f>Rohdaten!ET94</f>
        <v>6</v>
      </c>
      <c r="G23" s="62">
        <f>Rohdaten!FX94</f>
        <v>0</v>
      </c>
      <c r="H23" s="62">
        <f>Rohdaten!HB94</f>
        <v>2</v>
      </c>
      <c r="I23" s="62">
        <f>Rohdaten!IF94</f>
        <v>3</v>
      </c>
      <c r="J23" s="196">
        <f>Rohdaten!JJ94</f>
        <v>4</v>
      </c>
    </row>
    <row r="24" spans="1:10" x14ac:dyDescent="0.25">
      <c r="A24" s="65" t="s">
        <v>49</v>
      </c>
      <c r="B24" s="96">
        <f>B10/18</f>
        <v>1.7222222222222223</v>
      </c>
      <c r="C24" s="97">
        <f t="shared" ref="C24:J24" si="1">C10/18</f>
        <v>1.8333333333333333</v>
      </c>
      <c r="D24" s="97">
        <f t="shared" si="1"/>
        <v>2.0555555555555554</v>
      </c>
      <c r="E24" s="97">
        <f t="shared" si="1"/>
        <v>1.9444444444444444</v>
      </c>
      <c r="F24" s="97">
        <f t="shared" si="1"/>
        <v>2.3333333333333335</v>
      </c>
      <c r="G24" s="97">
        <f t="shared" si="1"/>
        <v>1.6111111111111112</v>
      </c>
      <c r="H24" s="97">
        <f t="shared" si="1"/>
        <v>2.1111111111111112</v>
      </c>
      <c r="I24" s="97">
        <f t="shared" si="1"/>
        <v>1.8333333333333333</v>
      </c>
      <c r="J24" s="197">
        <f t="shared" si="1"/>
        <v>2.2222222222222223</v>
      </c>
    </row>
    <row r="25" spans="1:10" x14ac:dyDescent="0.25">
      <c r="A25" s="65" t="s">
        <v>19</v>
      </c>
      <c r="B25" s="66">
        <f>Rohdaten!AF94</f>
        <v>0.75</v>
      </c>
      <c r="C25" s="67">
        <f>Rohdaten!BJ94</f>
        <v>0</v>
      </c>
      <c r="D25" s="67">
        <f>Rohdaten!CN94</f>
        <v>1</v>
      </c>
      <c r="E25" s="67">
        <f>Rohdaten!DR94</f>
        <v>1.25</v>
      </c>
      <c r="F25" s="67">
        <f>Rohdaten!EV94</f>
        <v>1.5</v>
      </c>
      <c r="G25" s="67">
        <f>Rohdaten!FZ94</f>
        <v>1.25</v>
      </c>
      <c r="H25" s="67">
        <f>Rohdaten!HD94</f>
        <v>2</v>
      </c>
      <c r="I25" s="67">
        <f>Rohdaten!IH94</f>
        <v>1.5</v>
      </c>
      <c r="J25" s="198">
        <f>Rohdaten!JL94</f>
        <v>1</v>
      </c>
    </row>
    <row r="26" spans="1:10" x14ac:dyDescent="0.25">
      <c r="A26" s="60" t="s">
        <v>20</v>
      </c>
      <c r="B26" s="61">
        <f>Rohdaten!AG94</f>
        <v>1.2</v>
      </c>
      <c r="C26" s="69">
        <f>Rohdaten!BK94</f>
        <v>1.2</v>
      </c>
      <c r="D26" s="69">
        <f>Rohdaten!CO94</f>
        <v>1.1000000000000001</v>
      </c>
      <c r="E26" s="69">
        <f>Rohdaten!DS94</f>
        <v>0.9</v>
      </c>
      <c r="F26" s="69">
        <f>Rohdaten!EW94</f>
        <v>2.5</v>
      </c>
      <c r="G26" s="69">
        <f>Rohdaten!GA94</f>
        <v>1.1000000000000001</v>
      </c>
      <c r="H26" s="69">
        <f>Rohdaten!HE94</f>
        <v>1.7</v>
      </c>
      <c r="I26" s="69">
        <f>Rohdaten!II94</f>
        <v>0.6</v>
      </c>
      <c r="J26" s="199">
        <f>Rohdaten!JM94</f>
        <v>3.2</v>
      </c>
    </row>
    <row r="27" spans="1:10" x14ac:dyDescent="0.25">
      <c r="A27" s="71" t="s">
        <v>21</v>
      </c>
      <c r="B27" s="72">
        <f>Rohdaten!AH94</f>
        <v>0.5</v>
      </c>
      <c r="C27" s="73">
        <f>Rohdaten!BL94</f>
        <v>1.5</v>
      </c>
      <c r="D27" s="73">
        <f>Rohdaten!CP94</f>
        <v>1.5</v>
      </c>
      <c r="E27" s="73">
        <f>Rohdaten!DT94</f>
        <v>2.25</v>
      </c>
      <c r="F27" s="73">
        <f>Rohdaten!EX94</f>
        <v>2.25</v>
      </c>
      <c r="G27" s="73">
        <f>Rohdaten!GB94</f>
        <v>1.25</v>
      </c>
      <c r="H27" s="73">
        <f>Rohdaten!HF94</f>
        <v>2.5</v>
      </c>
      <c r="I27" s="73">
        <f>Rohdaten!IJ94</f>
        <v>1.5</v>
      </c>
      <c r="J27" s="200">
        <f>Rohdaten!JN94</f>
        <v>3.25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1533-F2C5-4D63-AA28-C60988A9359A}">
  <dimension ref="A1:J71"/>
  <sheetViews>
    <sheetView tabSelected="1" topLeftCell="A247" workbookViewId="0">
      <selection activeCell="L118" sqref="L118"/>
    </sheetView>
  </sheetViews>
  <sheetFormatPr baseColWidth="10" defaultColWidth="11.5546875" defaultRowHeight="13.2" x14ac:dyDescent="0.25"/>
  <cols>
    <col min="1" max="1" width="31.44140625" style="58" bestFit="1" customWidth="1"/>
    <col min="2" max="16384" width="11.5546875" style="58"/>
  </cols>
  <sheetData>
    <row r="1" spans="1:10" x14ac:dyDescent="0.25">
      <c r="A1" s="81" t="s">
        <v>77</v>
      </c>
      <c r="B1" s="122" t="s">
        <v>40</v>
      </c>
      <c r="C1" s="123" t="s">
        <v>41</v>
      </c>
      <c r="D1" s="123" t="s">
        <v>42</v>
      </c>
      <c r="E1" s="123" t="s">
        <v>43</v>
      </c>
      <c r="F1" s="123" t="s">
        <v>107</v>
      </c>
      <c r="G1" s="123" t="s">
        <v>69</v>
      </c>
      <c r="H1" s="123" t="s">
        <v>70</v>
      </c>
      <c r="I1" s="123" t="s">
        <v>71</v>
      </c>
      <c r="J1" s="124" t="s">
        <v>108</v>
      </c>
    </row>
    <row r="2" spans="1:10" x14ac:dyDescent="0.25">
      <c r="A2" s="85" t="s">
        <v>72</v>
      </c>
      <c r="B2" s="86">
        <v>15</v>
      </c>
      <c r="C2" s="87">
        <v>10</v>
      </c>
      <c r="D2" s="87">
        <v>19</v>
      </c>
      <c r="E2" s="87">
        <v>18</v>
      </c>
      <c r="F2" s="123">
        <v>45</v>
      </c>
      <c r="G2" s="123">
        <v>23</v>
      </c>
      <c r="H2" s="87">
        <v>32</v>
      </c>
      <c r="I2" s="87">
        <v>16</v>
      </c>
      <c r="J2" s="88">
        <v>42</v>
      </c>
    </row>
    <row r="3" spans="1:10" x14ac:dyDescent="0.25">
      <c r="A3" s="112" t="s">
        <v>5</v>
      </c>
      <c r="B3" s="65">
        <f>Rohdaten!G95</f>
        <v>351</v>
      </c>
      <c r="C3" s="75">
        <f>Rohdaten!AK95</f>
        <v>349</v>
      </c>
      <c r="D3" s="75">
        <f>Rohdaten!BO95</f>
        <v>412</v>
      </c>
      <c r="E3" s="75">
        <f>Rohdaten!CS95</f>
        <v>373</v>
      </c>
      <c r="F3" s="75">
        <f>Rohdaten!DW95</f>
        <v>486</v>
      </c>
      <c r="G3" s="75">
        <f>Rohdaten!FA95</f>
        <v>390</v>
      </c>
      <c r="H3" s="75">
        <f>Rohdaten!GE95</f>
        <v>463</v>
      </c>
      <c r="I3" s="75">
        <f>Rohdaten!HI95</f>
        <v>375</v>
      </c>
      <c r="J3" s="191">
        <f>Rohdaten!IM95</f>
        <v>493</v>
      </c>
    </row>
    <row r="4" spans="1:10" x14ac:dyDescent="0.25">
      <c r="A4" s="113" t="s">
        <v>44</v>
      </c>
      <c r="B4" s="60">
        <f>Rohdaten!G96</f>
        <v>63</v>
      </c>
      <c r="C4" s="64">
        <f>Rohdaten!AK96</f>
        <v>61</v>
      </c>
      <c r="D4" s="64">
        <f>Rohdaten!BO96</f>
        <v>124</v>
      </c>
      <c r="E4" s="64">
        <f>Rohdaten!CS96</f>
        <v>85</v>
      </c>
      <c r="F4" s="64">
        <f>Rohdaten!DW96</f>
        <v>198</v>
      </c>
      <c r="G4" s="64">
        <f>Rohdaten!FA96</f>
        <v>102</v>
      </c>
      <c r="H4" s="64">
        <f>Rohdaten!GE96</f>
        <v>175</v>
      </c>
      <c r="I4" s="64">
        <f>Rohdaten!HI96</f>
        <v>87</v>
      </c>
      <c r="J4" s="195">
        <f>Rohdaten!IM96</f>
        <v>205</v>
      </c>
    </row>
    <row r="5" spans="1:10" x14ac:dyDescent="0.25">
      <c r="A5" s="113" t="s">
        <v>48</v>
      </c>
      <c r="B5" s="60">
        <f>Rohdaten!G97</f>
        <v>15.75</v>
      </c>
      <c r="C5" s="64">
        <f>Rohdaten!AK97</f>
        <v>15.25</v>
      </c>
      <c r="D5" s="64">
        <f>Rohdaten!BO97</f>
        <v>31</v>
      </c>
      <c r="E5" s="64">
        <f>Rohdaten!CS97</f>
        <v>21.25</v>
      </c>
      <c r="F5" s="64">
        <f>Rohdaten!DW97</f>
        <v>49.5</v>
      </c>
      <c r="G5" s="64">
        <f>Rohdaten!FA97</f>
        <v>25.5</v>
      </c>
      <c r="H5" s="64">
        <f>Rohdaten!GE97</f>
        <v>43.75</v>
      </c>
      <c r="I5" s="64">
        <f>Rohdaten!HI97</f>
        <v>21.75</v>
      </c>
      <c r="J5" s="195">
        <f>Rohdaten!IM97</f>
        <v>51.25</v>
      </c>
    </row>
    <row r="6" spans="1:10" x14ac:dyDescent="0.25">
      <c r="A6" s="113" t="s">
        <v>89</v>
      </c>
      <c r="B6" s="59">
        <f>Rohdaten!AI95</f>
        <v>291</v>
      </c>
      <c r="C6" s="79">
        <f>Rohdaten!BM95</f>
        <v>308.99999999999994</v>
      </c>
      <c r="D6" s="79">
        <f>Rohdaten!CQ95</f>
        <v>335.99999999999994</v>
      </c>
      <c r="E6" s="79">
        <f>Rohdaten!DU95</f>
        <v>301</v>
      </c>
      <c r="F6" s="79">
        <f>Rohdaten!EY95</f>
        <v>306</v>
      </c>
      <c r="G6" s="79">
        <f>Rohdaten!GC95</f>
        <v>298</v>
      </c>
      <c r="H6" s="79">
        <f>Rohdaten!HG95</f>
        <v>335</v>
      </c>
      <c r="I6" s="79">
        <f>Rohdaten!IK95</f>
        <v>311</v>
      </c>
      <c r="J6" s="193">
        <f>Rohdaten!JO95</f>
        <v>324.99999999999994</v>
      </c>
    </row>
    <row r="7" spans="1:10" x14ac:dyDescent="0.25">
      <c r="A7" s="113" t="s">
        <v>90</v>
      </c>
      <c r="B7" s="59">
        <f>Rohdaten!AI96</f>
        <v>3</v>
      </c>
      <c r="C7" s="79">
        <f>Rohdaten!BM96</f>
        <v>20.999999999999943</v>
      </c>
      <c r="D7" s="79">
        <f>Rohdaten!CQ96</f>
        <v>47.999999999999943</v>
      </c>
      <c r="E7" s="79">
        <f>Rohdaten!DU96</f>
        <v>13</v>
      </c>
      <c r="F7" s="79">
        <f>Rohdaten!EY96</f>
        <v>18</v>
      </c>
      <c r="G7" s="79">
        <f>Rohdaten!GC96</f>
        <v>10</v>
      </c>
      <c r="H7" s="79">
        <f>Rohdaten!HG96</f>
        <v>47</v>
      </c>
      <c r="I7" s="79">
        <f>Rohdaten!IK96</f>
        <v>23</v>
      </c>
      <c r="J7" s="193">
        <f>Rohdaten!JO96</f>
        <v>36.999999999999943</v>
      </c>
    </row>
    <row r="8" spans="1:10" x14ac:dyDescent="0.25">
      <c r="A8" s="114" t="s">
        <v>78</v>
      </c>
      <c r="B8" s="109">
        <f t="shared" ref="B8:J8" si="0">_xlfn.RANK.EQ(B7,$B7:$J7,1)</f>
        <v>1</v>
      </c>
      <c r="C8" s="110">
        <f t="shared" si="0"/>
        <v>5</v>
      </c>
      <c r="D8" s="110">
        <f t="shared" si="0"/>
        <v>9</v>
      </c>
      <c r="E8" s="110">
        <f t="shared" si="0"/>
        <v>3</v>
      </c>
      <c r="F8" s="110">
        <f t="shared" si="0"/>
        <v>4</v>
      </c>
      <c r="G8" s="110">
        <f t="shared" si="0"/>
        <v>2</v>
      </c>
      <c r="H8" s="110">
        <f t="shared" si="0"/>
        <v>8</v>
      </c>
      <c r="I8" s="110">
        <f t="shared" si="0"/>
        <v>6</v>
      </c>
      <c r="J8" s="194">
        <f t="shared" si="0"/>
        <v>7</v>
      </c>
    </row>
    <row r="9" spans="1:10" x14ac:dyDescent="0.25">
      <c r="A9" s="60" t="s">
        <v>61</v>
      </c>
      <c r="B9" s="60">
        <f>MAX(Rohdaten!G23,Rohdaten!G46,Rohdaten!G70,Rohdaten!G94)</f>
        <v>90</v>
      </c>
      <c r="C9" s="64">
        <f>MAX(Rohdaten!AK23,Rohdaten!AK46,Rohdaten!AK70,Rohdaten!AK94)</f>
        <v>93</v>
      </c>
      <c r="D9" s="64">
        <f>MAX(Rohdaten!BO23,Rohdaten!BO46,Rohdaten!BO70,Rohdaten!BO94)</f>
        <v>111</v>
      </c>
      <c r="E9" s="64">
        <f>MAX(Rohdaten!CS23,Rohdaten!CS46,Rohdaten!CS70,Rohdaten!CS94)</f>
        <v>101</v>
      </c>
      <c r="F9" s="64">
        <f>MAX(Rohdaten!DW23,Rohdaten!DW46,Rohdaten!DW70,Rohdaten!DW94)</f>
        <v>136</v>
      </c>
      <c r="G9" s="64">
        <f>MAX(Rohdaten!FA23,Rohdaten!FA46,Rohdaten!FA70,Rohdaten!FA94)</f>
        <v>101</v>
      </c>
      <c r="H9" s="64">
        <f>MAX(Rohdaten!GE23,Rohdaten!GE46,Rohdaten!GE70,Rohdaten!GE94)</f>
        <v>123</v>
      </c>
      <c r="I9" s="64">
        <f>MAX(Rohdaten!HI23,Rohdaten!HI46,Rohdaten!HI70,Rohdaten!HI94)</f>
        <v>104</v>
      </c>
      <c r="J9" s="76">
        <f>MAX(Rohdaten!IM23,Rohdaten!IM46,Rohdaten!IM70,Rohdaten!IM94)</f>
        <v>127</v>
      </c>
    </row>
    <row r="10" spans="1:10" x14ac:dyDescent="0.25">
      <c r="A10" s="60" t="s">
        <v>62</v>
      </c>
      <c r="B10" s="60">
        <f>MIN(Rohdaten!G23,Rohdaten!G46,Rohdaten!G70,Rohdaten!G94)</f>
        <v>82</v>
      </c>
      <c r="C10" s="64">
        <f>MIN(Rohdaten!AK23,Rohdaten!AK46,Rohdaten!AK70,Rohdaten!AK94)</f>
        <v>80</v>
      </c>
      <c r="D10" s="64">
        <f>MIN(Rohdaten!BO23,Rohdaten!BO46,Rohdaten!BO70,Rohdaten!BO94)</f>
        <v>93</v>
      </c>
      <c r="E10" s="64">
        <f>MIN(Rohdaten!CS23,Rohdaten!CS46,Rohdaten!CS70,Rohdaten!CS94)</f>
        <v>84</v>
      </c>
      <c r="F10" s="64">
        <f>MIN(Rohdaten!DW23,Rohdaten!DW46,Rohdaten!DW70,Rohdaten!DW94)</f>
        <v>112</v>
      </c>
      <c r="G10" s="64">
        <f>MIN(Rohdaten!FA23,Rohdaten!FA46,Rohdaten!FA70,Rohdaten!FA94)</f>
        <v>93</v>
      </c>
      <c r="H10" s="64">
        <f>MIN(Rohdaten!GE23,Rohdaten!GE46,Rohdaten!GE70,Rohdaten!GE94)</f>
        <v>107</v>
      </c>
      <c r="I10" s="64">
        <f>MIN(Rohdaten!HI23,Rohdaten!HI46,Rohdaten!HI70,Rohdaten!HI94)</f>
        <v>86</v>
      </c>
      <c r="J10" s="77">
        <f>MIN(Rohdaten!IM23,Rohdaten!IM46,Rohdaten!IMJ70,Rohdaten!IM94)</f>
        <v>121</v>
      </c>
    </row>
    <row r="11" spans="1:10" x14ac:dyDescent="0.25">
      <c r="A11" s="60" t="s">
        <v>63</v>
      </c>
      <c r="B11" s="71">
        <f>AVERAGE(Rohdaten!G23,Rohdaten!G46,Rohdaten!G70,Rohdaten!G94)</f>
        <v>87.75</v>
      </c>
      <c r="C11" s="62">
        <f>AVERAGE(Rohdaten!AK23,Rohdaten!AK46,Rohdaten!AK70,Rohdaten!AK94)</f>
        <v>87.25</v>
      </c>
      <c r="D11" s="62">
        <f>AVERAGE(Rohdaten!BO23,Rohdaten!BO46,Rohdaten!BO70,Rohdaten!BO94)</f>
        <v>103</v>
      </c>
      <c r="E11" s="62">
        <f>AVERAGE(Rohdaten!CS23,Rohdaten!CS46,Rohdaten!CS70,Rohdaten!CS94)</f>
        <v>93.25</v>
      </c>
      <c r="F11" s="62">
        <f>AVERAGE(Rohdaten!DW23,Rohdaten!DW46,Rohdaten!DW70,Rohdaten!DW94)</f>
        <v>121.5</v>
      </c>
      <c r="G11" s="62">
        <f>AVERAGE(Rohdaten!FA23,Rohdaten!FA46,Rohdaten!FA70,Rohdaten!FA94)</f>
        <v>97.5</v>
      </c>
      <c r="H11" s="62">
        <f>AVERAGE(Rohdaten!GE23,Rohdaten!GE46,Rohdaten!GE70,Rohdaten!GE94)</f>
        <v>115.75</v>
      </c>
      <c r="I11" s="62">
        <f>AVERAGE(Rohdaten!HI23,Rohdaten!HI46,Rohdaten!HI70,Rohdaten!HI94)</f>
        <v>93.75</v>
      </c>
      <c r="J11" s="78">
        <f>AVERAGE(Rohdaten!IM23,Rohdaten!IM46,Rohdaten!IM70,Rohdaten!IM94)</f>
        <v>123.25</v>
      </c>
    </row>
    <row r="12" spans="1:10" x14ac:dyDescent="0.25">
      <c r="A12" s="65" t="s">
        <v>7</v>
      </c>
      <c r="B12" s="65">
        <f>Rohdaten!I95</f>
        <v>135</v>
      </c>
      <c r="C12" s="75">
        <f>Rohdaten!AM95</f>
        <v>131</v>
      </c>
      <c r="D12" s="75">
        <f>Rohdaten!BQ95</f>
        <v>159</v>
      </c>
      <c r="E12" s="75">
        <f>Rohdaten!CU95</f>
        <v>147</v>
      </c>
      <c r="F12" s="75">
        <f>Rohdaten!DY95</f>
        <v>160</v>
      </c>
      <c r="G12" s="75">
        <f>Rohdaten!FC95</f>
        <v>134</v>
      </c>
      <c r="H12" s="75">
        <f>Rohdaten!GG95</f>
        <v>152</v>
      </c>
      <c r="I12" s="75">
        <f>Rohdaten!HK95</f>
        <v>135</v>
      </c>
      <c r="J12" s="191">
        <f>Rohdaten!IO95</f>
        <v>169</v>
      </c>
    </row>
    <row r="13" spans="1:10" x14ac:dyDescent="0.25">
      <c r="A13" s="60" t="s">
        <v>9</v>
      </c>
      <c r="B13" s="60">
        <f>Rohdaten!K95</f>
        <v>22</v>
      </c>
      <c r="C13" s="64">
        <f>Rohdaten!AO95</f>
        <v>30</v>
      </c>
      <c r="D13" s="64">
        <f>Rohdaten!BS95</f>
        <v>13</v>
      </c>
      <c r="E13" s="64">
        <f>Rohdaten!CW95</f>
        <v>21</v>
      </c>
      <c r="F13" s="64">
        <f>Rohdaten!EA95</f>
        <v>0</v>
      </c>
      <c r="G13" s="64">
        <f>Rohdaten!FE95</f>
        <v>12</v>
      </c>
      <c r="H13" s="64">
        <f>Rohdaten!GI95</f>
        <v>2</v>
      </c>
      <c r="I13" s="64">
        <f>Rohdaten!HM95</f>
        <v>15</v>
      </c>
      <c r="J13" s="195">
        <f>Rohdaten!IQ95</f>
        <v>8</v>
      </c>
    </row>
    <row r="14" spans="1:10" x14ac:dyDescent="0.25">
      <c r="A14" s="60" t="s">
        <v>95</v>
      </c>
      <c r="B14" s="60">
        <f>Rohdaten!M95</f>
        <v>10</v>
      </c>
      <c r="C14" s="64">
        <f>Rohdaten!AQ95</f>
        <v>10</v>
      </c>
      <c r="D14" s="64">
        <f>Rohdaten!BU95</f>
        <v>0</v>
      </c>
      <c r="E14" s="64">
        <f>Rohdaten!CY95</f>
        <v>6</v>
      </c>
      <c r="F14" s="64">
        <f>Rohdaten!EC95</f>
        <v>1</v>
      </c>
      <c r="G14" s="64">
        <f>Rohdaten!FG95</f>
        <v>5</v>
      </c>
      <c r="H14" s="64">
        <f>Rohdaten!GK95</f>
        <v>1</v>
      </c>
      <c r="I14" s="64">
        <f>Rohdaten!HO95</f>
        <v>9</v>
      </c>
      <c r="J14" s="195">
        <f>Rohdaten!IS95</f>
        <v>1</v>
      </c>
    </row>
    <row r="15" spans="1:10" x14ac:dyDescent="0.25">
      <c r="A15" s="71" t="s">
        <v>93</v>
      </c>
      <c r="B15" s="71">
        <f>Rohdaten!O95</f>
        <v>35.1</v>
      </c>
      <c r="C15" s="62">
        <f>Rohdaten!AS95</f>
        <v>27.5</v>
      </c>
      <c r="D15" s="62">
        <f>Rohdaten!BW95</f>
        <v>63.15</v>
      </c>
      <c r="E15" s="62">
        <f>Rohdaten!DA95</f>
        <v>47.55</v>
      </c>
      <c r="F15" s="62">
        <f>Rohdaten!EE95</f>
        <v>70</v>
      </c>
      <c r="G15" s="62">
        <f>Rohdaten!FI95</f>
        <v>38.6</v>
      </c>
      <c r="H15" s="62">
        <f>Rohdaten!GM95</f>
        <v>61.099999999999994</v>
      </c>
      <c r="I15" s="62">
        <f>Rohdaten!HQ95</f>
        <v>38.25</v>
      </c>
      <c r="J15" s="196">
        <f>Rohdaten!IU95</f>
        <v>75.399999999999991</v>
      </c>
    </row>
    <row r="16" spans="1:10" x14ac:dyDescent="0.25">
      <c r="A16" s="65" t="s">
        <v>91</v>
      </c>
      <c r="B16" s="65">
        <f>Rohdaten!P95</f>
        <v>3</v>
      </c>
      <c r="C16" s="75">
        <f>Rohdaten!AT95</f>
        <v>1</v>
      </c>
      <c r="D16" s="75">
        <f>Rohdaten!BX95</f>
        <v>0</v>
      </c>
      <c r="E16" s="75">
        <f>Rohdaten!DB95</f>
        <v>0</v>
      </c>
      <c r="F16" s="75">
        <f>Rohdaten!EF95</f>
        <v>0</v>
      </c>
      <c r="G16" s="75">
        <f>Rohdaten!FJ95</f>
        <v>1</v>
      </c>
      <c r="H16" s="75">
        <f>Rohdaten!GN95</f>
        <v>0</v>
      </c>
      <c r="I16" s="75">
        <f>Rohdaten!HR95</f>
        <v>1</v>
      </c>
      <c r="J16" s="191">
        <f>Rohdaten!IV95</f>
        <v>1</v>
      </c>
    </row>
    <row r="17" spans="1:10" x14ac:dyDescent="0.25">
      <c r="A17" s="60" t="s">
        <v>50</v>
      </c>
      <c r="B17" s="60">
        <f>Rohdaten!R95</f>
        <v>24</v>
      </c>
      <c r="C17" s="64">
        <f>Rohdaten!AV95</f>
        <v>36</v>
      </c>
      <c r="D17" s="64">
        <f>Rohdaten!BZ95</f>
        <v>7</v>
      </c>
      <c r="E17" s="64">
        <f>Rohdaten!DD95</f>
        <v>19</v>
      </c>
      <c r="F17" s="64">
        <f>Rohdaten!EH95</f>
        <v>1</v>
      </c>
      <c r="G17" s="64">
        <f>Rohdaten!FL95</f>
        <v>13</v>
      </c>
      <c r="H17" s="64">
        <f>Rohdaten!GP95</f>
        <v>2</v>
      </c>
      <c r="I17" s="64">
        <f>Rohdaten!HT95</f>
        <v>17</v>
      </c>
      <c r="J17" s="195">
        <f>Rohdaten!IX95</f>
        <v>2</v>
      </c>
    </row>
    <row r="18" spans="1:10" x14ac:dyDescent="0.25">
      <c r="A18" s="60" t="s">
        <v>51</v>
      </c>
      <c r="B18" s="60">
        <f>Rohdaten!T95</f>
        <v>31</v>
      </c>
      <c r="C18" s="64">
        <f>Rohdaten!AX95</f>
        <v>20</v>
      </c>
      <c r="D18" s="64">
        <f>Rohdaten!CB95</f>
        <v>31</v>
      </c>
      <c r="E18" s="64">
        <f>Rohdaten!DF95</f>
        <v>33</v>
      </c>
      <c r="F18" s="64">
        <f>Rohdaten!EJ95</f>
        <v>15</v>
      </c>
      <c r="G18" s="64">
        <f>Rohdaten!FN95</f>
        <v>30</v>
      </c>
      <c r="H18" s="64">
        <f>Rohdaten!GR95</f>
        <v>20</v>
      </c>
      <c r="I18" s="64">
        <f>Rohdaten!HV95</f>
        <v>29</v>
      </c>
      <c r="J18" s="195">
        <f>Rohdaten!IZ95</f>
        <v>13</v>
      </c>
    </row>
    <row r="19" spans="1:10" x14ac:dyDescent="0.25">
      <c r="A19" s="71" t="s">
        <v>55</v>
      </c>
      <c r="B19" s="71">
        <f>Rohdaten!V95</f>
        <v>14</v>
      </c>
      <c r="C19" s="62">
        <f>Rohdaten!AZ95</f>
        <v>15</v>
      </c>
      <c r="D19" s="62">
        <f>Rohdaten!CD95</f>
        <v>34</v>
      </c>
      <c r="E19" s="62">
        <f>Rohdaten!DH95</f>
        <v>20</v>
      </c>
      <c r="F19" s="62">
        <f>Rohdaten!EL95</f>
        <v>56</v>
      </c>
      <c r="G19" s="62">
        <f>Rohdaten!FP95</f>
        <v>28</v>
      </c>
      <c r="H19" s="62">
        <f>Rohdaten!GT95</f>
        <v>50</v>
      </c>
      <c r="I19" s="62">
        <f>Rohdaten!HX95</f>
        <v>25</v>
      </c>
      <c r="J19" s="196">
        <f>Rohdaten!JB95</f>
        <v>56</v>
      </c>
    </row>
    <row r="20" spans="1:10" x14ac:dyDescent="0.25">
      <c r="A20" s="65" t="s">
        <v>38</v>
      </c>
      <c r="B20" s="65">
        <f>Rohdaten!X95</f>
        <v>2</v>
      </c>
      <c r="C20" s="75">
        <f>Rohdaten!BB95</f>
        <v>0</v>
      </c>
      <c r="D20" s="75">
        <f>Rohdaten!CF95</f>
        <v>0</v>
      </c>
      <c r="E20" s="75">
        <f>Rohdaten!DJ95</f>
        <v>0</v>
      </c>
      <c r="F20" s="75">
        <f>Rohdaten!EN95</f>
        <v>0</v>
      </c>
      <c r="G20" s="75">
        <f>Rohdaten!FR95</f>
        <v>0</v>
      </c>
      <c r="H20" s="75">
        <f>Rohdaten!GV95</f>
        <v>0</v>
      </c>
      <c r="I20" s="75">
        <f>Rohdaten!HZ95</f>
        <v>1</v>
      </c>
      <c r="J20" s="191">
        <f>Rohdaten!JD95</f>
        <v>0</v>
      </c>
    </row>
    <row r="21" spans="1:10" x14ac:dyDescent="0.25">
      <c r="A21" s="60" t="s">
        <v>15</v>
      </c>
      <c r="B21" s="60">
        <f>Rohdaten!Z95</f>
        <v>16</v>
      </c>
      <c r="C21" s="64">
        <f>Rohdaten!BD95</f>
        <v>18</v>
      </c>
      <c r="D21" s="64">
        <f>Rohdaten!CH95</f>
        <v>3</v>
      </c>
      <c r="E21" s="64">
        <f>Rohdaten!DL95</f>
        <v>14</v>
      </c>
      <c r="F21" s="64">
        <f>Rohdaten!EP95</f>
        <v>6</v>
      </c>
      <c r="G21" s="64">
        <f>Rohdaten!FT95</f>
        <v>22</v>
      </c>
      <c r="H21" s="64">
        <f>Rohdaten!GX95</f>
        <v>7</v>
      </c>
      <c r="I21" s="64">
        <f>Rohdaten!IB95</f>
        <v>19</v>
      </c>
      <c r="J21" s="195">
        <f>Rohdaten!JF95</f>
        <v>8</v>
      </c>
    </row>
    <row r="22" spans="1:10" x14ac:dyDescent="0.25">
      <c r="A22" s="60" t="s">
        <v>73</v>
      </c>
      <c r="B22" s="60">
        <f>Rohdaten!AB95</f>
        <v>44</v>
      </c>
      <c r="C22" s="64">
        <f>Rohdaten!BF95</f>
        <v>49</v>
      </c>
      <c r="D22" s="64">
        <f>Rohdaten!CJ95</f>
        <v>51</v>
      </c>
      <c r="E22" s="64">
        <f>Rohdaten!DN95</f>
        <v>42</v>
      </c>
      <c r="F22" s="64">
        <f>Rohdaten!ER95</f>
        <v>45</v>
      </c>
      <c r="G22" s="64">
        <f>Rohdaten!FV95</f>
        <v>38</v>
      </c>
      <c r="H22" s="64">
        <f>Rohdaten!GZ95</f>
        <v>51</v>
      </c>
      <c r="I22" s="64">
        <f>Rohdaten!ID95</f>
        <v>40</v>
      </c>
      <c r="J22" s="195">
        <f>Rohdaten!JH95</f>
        <v>38</v>
      </c>
    </row>
    <row r="23" spans="1:10" x14ac:dyDescent="0.25">
      <c r="A23" s="71" t="s">
        <v>17</v>
      </c>
      <c r="B23" s="71">
        <f>Rohdaten!AD95</f>
        <v>10</v>
      </c>
      <c r="C23" s="62">
        <f>Rohdaten!BH95</f>
        <v>5</v>
      </c>
      <c r="D23" s="62">
        <f>Rohdaten!CL95</f>
        <v>18</v>
      </c>
      <c r="E23" s="62">
        <f>Rohdaten!DP95</f>
        <v>16</v>
      </c>
      <c r="F23" s="62">
        <f>Rohdaten!ET95</f>
        <v>21</v>
      </c>
      <c r="G23" s="62">
        <f>Rohdaten!FX95</f>
        <v>12</v>
      </c>
      <c r="H23" s="62">
        <f>Rohdaten!HB95</f>
        <v>14</v>
      </c>
      <c r="I23" s="62">
        <f>Rohdaten!IF95</f>
        <v>12</v>
      </c>
      <c r="J23" s="196">
        <f>Rohdaten!JJ95</f>
        <v>26</v>
      </c>
    </row>
    <row r="24" spans="1:10" x14ac:dyDescent="0.25">
      <c r="A24" s="137" t="s">
        <v>98</v>
      </c>
      <c r="B24" s="135">
        <f t="shared" ref="B24:J25" si="1">B3/4</f>
        <v>87.75</v>
      </c>
      <c r="C24" s="136">
        <f t="shared" si="1"/>
        <v>87.25</v>
      </c>
      <c r="D24" s="136">
        <f t="shared" si="1"/>
        <v>103</v>
      </c>
      <c r="E24" s="136">
        <f t="shared" si="1"/>
        <v>93.25</v>
      </c>
      <c r="F24" s="136">
        <f t="shared" si="1"/>
        <v>121.5</v>
      </c>
      <c r="G24" s="136">
        <f t="shared" si="1"/>
        <v>97.5</v>
      </c>
      <c r="H24" s="136">
        <f t="shared" si="1"/>
        <v>115.75</v>
      </c>
      <c r="I24" s="136">
        <f t="shared" si="1"/>
        <v>93.75</v>
      </c>
      <c r="J24" s="136">
        <f t="shared" si="1"/>
        <v>123.25</v>
      </c>
    </row>
    <row r="25" spans="1:10" x14ac:dyDescent="0.25">
      <c r="A25" s="137" t="s">
        <v>100</v>
      </c>
      <c r="B25" s="138">
        <f t="shared" si="1"/>
        <v>15.75</v>
      </c>
      <c r="C25" s="139">
        <f t="shared" si="1"/>
        <v>15.25</v>
      </c>
      <c r="D25" s="139">
        <f t="shared" si="1"/>
        <v>31</v>
      </c>
      <c r="E25" s="139">
        <f t="shared" si="1"/>
        <v>21.25</v>
      </c>
      <c r="F25" s="139">
        <f t="shared" si="1"/>
        <v>49.5</v>
      </c>
      <c r="G25" s="139">
        <f t="shared" si="1"/>
        <v>25.5</v>
      </c>
      <c r="H25" s="139">
        <f t="shared" si="1"/>
        <v>43.75</v>
      </c>
      <c r="I25" s="139">
        <f t="shared" si="1"/>
        <v>21.75</v>
      </c>
      <c r="J25" s="139">
        <f t="shared" si="1"/>
        <v>51.25</v>
      </c>
    </row>
    <row r="26" spans="1:10" x14ac:dyDescent="0.25">
      <c r="A26" s="137" t="s">
        <v>99</v>
      </c>
      <c r="B26" s="138">
        <f t="shared" ref="B26:J27" si="2">B6/4</f>
        <v>72.75</v>
      </c>
      <c r="C26" s="139">
        <f t="shared" si="2"/>
        <v>77.249999999999986</v>
      </c>
      <c r="D26" s="139">
        <f t="shared" si="2"/>
        <v>83.999999999999986</v>
      </c>
      <c r="E26" s="139">
        <f t="shared" si="2"/>
        <v>75.25</v>
      </c>
      <c r="F26" s="139">
        <f t="shared" si="2"/>
        <v>76.5</v>
      </c>
      <c r="G26" s="139">
        <f t="shared" si="2"/>
        <v>74.5</v>
      </c>
      <c r="H26" s="139">
        <f t="shared" si="2"/>
        <v>83.75</v>
      </c>
      <c r="I26" s="139">
        <f t="shared" si="2"/>
        <v>77.75</v>
      </c>
      <c r="J26" s="139">
        <f t="shared" si="2"/>
        <v>81.249999999999986</v>
      </c>
    </row>
    <row r="27" spans="1:10" x14ac:dyDescent="0.25">
      <c r="A27" s="137" t="s">
        <v>101</v>
      </c>
      <c r="B27" s="141">
        <f t="shared" si="2"/>
        <v>0.75</v>
      </c>
      <c r="C27" s="130">
        <f t="shared" si="2"/>
        <v>5.2499999999999858</v>
      </c>
      <c r="D27" s="130">
        <f t="shared" si="2"/>
        <v>11.999999999999986</v>
      </c>
      <c r="E27" s="130">
        <f t="shared" si="2"/>
        <v>3.25</v>
      </c>
      <c r="F27" s="130">
        <f t="shared" si="2"/>
        <v>4.5</v>
      </c>
      <c r="G27" s="130">
        <f t="shared" si="2"/>
        <v>2.5</v>
      </c>
      <c r="H27" s="130">
        <f t="shared" si="2"/>
        <v>11.75</v>
      </c>
      <c r="I27" s="130">
        <f t="shared" si="2"/>
        <v>5.75</v>
      </c>
      <c r="J27" s="130">
        <f t="shared" si="2"/>
        <v>9.2499999999999858</v>
      </c>
    </row>
    <row r="28" spans="1:10" x14ac:dyDescent="0.25">
      <c r="A28" s="65" t="s">
        <v>49</v>
      </c>
      <c r="B28" s="66">
        <f>Rohdaten!I97</f>
        <v>1.875</v>
      </c>
      <c r="C28" s="67">
        <f>Rohdaten!AM97</f>
        <v>1.8194444444444444</v>
      </c>
      <c r="D28" s="67">
        <f>Rohdaten!BQ97</f>
        <v>2.2083333333333335</v>
      </c>
      <c r="E28" s="67">
        <f>Rohdaten!CU97</f>
        <v>2.0416666666666665</v>
      </c>
      <c r="F28" s="67">
        <f>Rohdaten!DY97</f>
        <v>2.2222222222222223</v>
      </c>
      <c r="G28" s="67">
        <f>Rohdaten!FC97</f>
        <v>1.8611111111111112</v>
      </c>
      <c r="H28" s="67">
        <f>Rohdaten!GG97</f>
        <v>2.1111111111111112</v>
      </c>
      <c r="I28" s="67">
        <f>Rohdaten!HK97</f>
        <v>1.875</v>
      </c>
      <c r="J28" s="198">
        <f>Rohdaten!IO97</f>
        <v>2.3472222222222223</v>
      </c>
    </row>
    <row r="29" spans="1:10" x14ac:dyDescent="0.25">
      <c r="A29" s="60" t="s">
        <v>45</v>
      </c>
      <c r="B29" s="61">
        <f>Rohdaten!K97</f>
        <v>5.5</v>
      </c>
      <c r="C29" s="69">
        <f>Rohdaten!AO97</f>
        <v>7.5</v>
      </c>
      <c r="D29" s="69">
        <f>Rohdaten!BS97</f>
        <v>3.25</v>
      </c>
      <c r="E29" s="69">
        <f>Rohdaten!CW97</f>
        <v>5.25</v>
      </c>
      <c r="F29" s="69">
        <f>Rohdaten!EA97</f>
        <v>0</v>
      </c>
      <c r="G29" s="69">
        <f>Rohdaten!FE97</f>
        <v>3</v>
      </c>
      <c r="H29" s="69">
        <f>Rohdaten!GI97</f>
        <v>0.5</v>
      </c>
      <c r="I29" s="69">
        <f>Rohdaten!HM97</f>
        <v>3.75</v>
      </c>
      <c r="J29" s="199">
        <f>Rohdaten!IQ97</f>
        <v>2</v>
      </c>
    </row>
    <row r="30" spans="1:10" x14ac:dyDescent="0.25">
      <c r="A30" s="60" t="s">
        <v>96</v>
      </c>
      <c r="B30" s="102">
        <f>Rohdaten!M97</f>
        <v>2.5</v>
      </c>
      <c r="C30" s="103">
        <f>Rohdaten!AQ97</f>
        <v>2.5</v>
      </c>
      <c r="D30" s="103">
        <f>Rohdaten!BU97</f>
        <v>0</v>
      </c>
      <c r="E30" s="103">
        <f>Rohdaten!CY97</f>
        <v>1.5</v>
      </c>
      <c r="F30" s="103">
        <f>Rohdaten!EC97</f>
        <v>0.25</v>
      </c>
      <c r="G30" s="103">
        <f>Rohdaten!FG97</f>
        <v>1.25</v>
      </c>
      <c r="H30" s="103">
        <f>Rohdaten!GK97</f>
        <v>0.25</v>
      </c>
      <c r="I30" s="103">
        <f>Rohdaten!HO97</f>
        <v>2.25</v>
      </c>
      <c r="J30" s="201">
        <f>Rohdaten!IS97</f>
        <v>0.25</v>
      </c>
    </row>
    <row r="31" spans="1:10" x14ac:dyDescent="0.25">
      <c r="A31" s="71" t="s">
        <v>94</v>
      </c>
      <c r="B31" s="105">
        <f>Rohdaten!O97</f>
        <v>8.7750000000000004</v>
      </c>
      <c r="C31" s="106">
        <f>Rohdaten!AS97</f>
        <v>6.875</v>
      </c>
      <c r="D31" s="106">
        <f>Rohdaten!BW97</f>
        <v>15.7875</v>
      </c>
      <c r="E31" s="106">
        <f>Rohdaten!DA97</f>
        <v>11.887499999999999</v>
      </c>
      <c r="F31" s="106">
        <f>Rohdaten!EE97</f>
        <v>17.5</v>
      </c>
      <c r="G31" s="106">
        <f>Rohdaten!FI97</f>
        <v>9.65</v>
      </c>
      <c r="H31" s="106">
        <f>Rohdaten!GM97</f>
        <v>15.274999999999999</v>
      </c>
      <c r="I31" s="106">
        <f>Rohdaten!HQ97</f>
        <v>9.5625</v>
      </c>
      <c r="J31" s="202">
        <f>Rohdaten!IU97</f>
        <v>18.849999999999998</v>
      </c>
    </row>
    <row r="32" spans="1:10" x14ac:dyDescent="0.25">
      <c r="A32" s="65" t="s">
        <v>92</v>
      </c>
      <c r="B32" s="99">
        <f>Rohdaten!P97</f>
        <v>0.75</v>
      </c>
      <c r="C32" s="100">
        <f>Rohdaten!AT97</f>
        <v>0.25</v>
      </c>
      <c r="D32" s="100">
        <f>Rohdaten!BX97</f>
        <v>0</v>
      </c>
      <c r="E32" s="100">
        <f>Rohdaten!DB97</f>
        <v>0</v>
      </c>
      <c r="F32" s="100">
        <f>Rohdaten!EF97</f>
        <v>0</v>
      </c>
      <c r="G32" s="100">
        <f>Rohdaten!FJ97</f>
        <v>0.25</v>
      </c>
      <c r="H32" s="100">
        <f>Rohdaten!GN97</f>
        <v>0</v>
      </c>
      <c r="I32" s="100">
        <f>Rohdaten!HR97</f>
        <v>0.25</v>
      </c>
      <c r="J32" s="203">
        <f>Rohdaten!IV97</f>
        <v>0.25</v>
      </c>
    </row>
    <row r="33" spans="1:10" x14ac:dyDescent="0.25">
      <c r="A33" s="60" t="s">
        <v>52</v>
      </c>
      <c r="B33" s="102">
        <f>Rohdaten!R97</f>
        <v>6</v>
      </c>
      <c r="C33" s="103">
        <f>Rohdaten!AV97</f>
        <v>9</v>
      </c>
      <c r="D33" s="103">
        <f>Rohdaten!BZ97</f>
        <v>1.75</v>
      </c>
      <c r="E33" s="103">
        <f>Rohdaten!DD97</f>
        <v>4.75</v>
      </c>
      <c r="F33" s="103">
        <f>Rohdaten!EH97</f>
        <v>0.25</v>
      </c>
      <c r="G33" s="103">
        <f>Rohdaten!FL97</f>
        <v>3.25</v>
      </c>
      <c r="H33" s="103">
        <f>Rohdaten!GP97</f>
        <v>0.5</v>
      </c>
      <c r="I33" s="103">
        <f>Rohdaten!HT97</f>
        <v>4.25</v>
      </c>
      <c r="J33" s="201">
        <f>Rohdaten!IX97</f>
        <v>0.5</v>
      </c>
    </row>
    <row r="34" spans="1:10" x14ac:dyDescent="0.25">
      <c r="A34" s="60" t="s">
        <v>53</v>
      </c>
      <c r="B34" s="102">
        <f>Rohdaten!T97</f>
        <v>7.75</v>
      </c>
      <c r="C34" s="103">
        <f>Rohdaten!AX97</f>
        <v>5</v>
      </c>
      <c r="D34" s="103">
        <f>Rohdaten!CB97</f>
        <v>7.75</v>
      </c>
      <c r="E34" s="103">
        <f>Rohdaten!DF97</f>
        <v>8.25</v>
      </c>
      <c r="F34" s="103">
        <f>Rohdaten!EJ97</f>
        <v>3.75</v>
      </c>
      <c r="G34" s="103">
        <f>Rohdaten!FN97</f>
        <v>7.5</v>
      </c>
      <c r="H34" s="103">
        <f>Rohdaten!GR97</f>
        <v>5</v>
      </c>
      <c r="I34" s="103">
        <f>Rohdaten!HV97</f>
        <v>7.25</v>
      </c>
      <c r="J34" s="201">
        <f>Rohdaten!IZ97</f>
        <v>3.25</v>
      </c>
    </row>
    <row r="35" spans="1:10" x14ac:dyDescent="0.25">
      <c r="A35" s="71" t="s">
        <v>54</v>
      </c>
      <c r="B35" s="105">
        <f>Rohdaten!V97</f>
        <v>3.5</v>
      </c>
      <c r="C35" s="106">
        <f>Rohdaten!AZ97</f>
        <v>3.75</v>
      </c>
      <c r="D35" s="106">
        <f>Rohdaten!CD97</f>
        <v>8.5</v>
      </c>
      <c r="E35" s="106">
        <f>Rohdaten!DH97</f>
        <v>5</v>
      </c>
      <c r="F35" s="106">
        <f>Rohdaten!EL97</f>
        <v>14</v>
      </c>
      <c r="G35" s="106">
        <f>Rohdaten!FP97</f>
        <v>7</v>
      </c>
      <c r="H35" s="106">
        <f>Rohdaten!GT97</f>
        <v>12.5</v>
      </c>
      <c r="I35" s="106">
        <f>Rohdaten!HX97</f>
        <v>6.25</v>
      </c>
      <c r="J35" s="202">
        <f>Rohdaten!JB97</f>
        <v>14</v>
      </c>
    </row>
    <row r="36" spans="1:10" x14ac:dyDescent="0.25">
      <c r="A36" s="65" t="s">
        <v>60</v>
      </c>
      <c r="B36" s="99">
        <f>Rohdaten!X97</f>
        <v>0.5</v>
      </c>
      <c r="C36" s="100">
        <f>Rohdaten!BB97</f>
        <v>0</v>
      </c>
      <c r="D36" s="100">
        <f>Rohdaten!CF97</f>
        <v>0</v>
      </c>
      <c r="E36" s="100">
        <f>Rohdaten!DJ97</f>
        <v>0</v>
      </c>
      <c r="F36" s="100">
        <f>Rohdaten!EN97</f>
        <v>0</v>
      </c>
      <c r="G36" s="100">
        <f>Rohdaten!FR97</f>
        <v>0</v>
      </c>
      <c r="H36" s="100">
        <f>Rohdaten!GV97</f>
        <v>0</v>
      </c>
      <c r="I36" s="100">
        <f>Rohdaten!HZ97</f>
        <v>0.25</v>
      </c>
      <c r="J36" s="203">
        <f>Rohdaten!JD97</f>
        <v>0</v>
      </c>
    </row>
    <row r="37" spans="1:10" x14ac:dyDescent="0.25">
      <c r="A37" s="60" t="s">
        <v>46</v>
      </c>
      <c r="B37" s="102">
        <f>Rohdaten!Z97</f>
        <v>4</v>
      </c>
      <c r="C37" s="103">
        <f>Rohdaten!BD97</f>
        <v>4.5</v>
      </c>
      <c r="D37" s="103">
        <f>Rohdaten!CH97</f>
        <v>0.75</v>
      </c>
      <c r="E37" s="103">
        <f>Rohdaten!DL97</f>
        <v>3.5</v>
      </c>
      <c r="F37" s="103">
        <f>Rohdaten!EP97</f>
        <v>1.5</v>
      </c>
      <c r="G37" s="103">
        <f>Rohdaten!FT97</f>
        <v>5.5</v>
      </c>
      <c r="H37" s="103">
        <f>Rohdaten!GX97</f>
        <v>1.75</v>
      </c>
      <c r="I37" s="103">
        <f>Rohdaten!IB97</f>
        <v>4.75</v>
      </c>
      <c r="J37" s="201">
        <f>Rohdaten!JF97</f>
        <v>2</v>
      </c>
    </row>
    <row r="38" spans="1:10" x14ac:dyDescent="0.25">
      <c r="A38" s="60" t="s">
        <v>74</v>
      </c>
      <c r="B38" s="61">
        <f>Rohdaten!AB97</f>
        <v>11</v>
      </c>
      <c r="C38" s="69">
        <f>Rohdaten!BF97</f>
        <v>12.25</v>
      </c>
      <c r="D38" s="69">
        <f>Rohdaten!CJ97</f>
        <v>12.75</v>
      </c>
      <c r="E38" s="69">
        <f>Rohdaten!DN97</f>
        <v>10.5</v>
      </c>
      <c r="F38" s="69">
        <f>Rohdaten!ER97</f>
        <v>11.25</v>
      </c>
      <c r="G38" s="69">
        <f>Rohdaten!FV97</f>
        <v>9.5</v>
      </c>
      <c r="H38" s="69">
        <f>Rohdaten!GZ97</f>
        <v>12.75</v>
      </c>
      <c r="I38" s="69">
        <f>Rohdaten!ID97</f>
        <v>10</v>
      </c>
      <c r="J38" s="199">
        <f>Rohdaten!JH97</f>
        <v>9.5</v>
      </c>
    </row>
    <row r="39" spans="1:10" x14ac:dyDescent="0.25">
      <c r="A39" s="71" t="s">
        <v>47</v>
      </c>
      <c r="B39" s="105">
        <f>Rohdaten!AD97</f>
        <v>2.5</v>
      </c>
      <c r="C39" s="106">
        <f>Rohdaten!BH97</f>
        <v>1.25</v>
      </c>
      <c r="D39" s="106">
        <f>Rohdaten!CL97</f>
        <v>4.5</v>
      </c>
      <c r="E39" s="106">
        <f>Rohdaten!DP97</f>
        <v>4</v>
      </c>
      <c r="F39" s="106">
        <f>Rohdaten!ET97</f>
        <v>5.25</v>
      </c>
      <c r="G39" s="106">
        <f>Rohdaten!FX97</f>
        <v>3</v>
      </c>
      <c r="H39" s="106">
        <f>Rohdaten!HB97</f>
        <v>3.5</v>
      </c>
      <c r="I39" s="106">
        <f>Rohdaten!IF97</f>
        <v>3</v>
      </c>
      <c r="J39" s="202">
        <f>Rohdaten!JJ97</f>
        <v>6.5</v>
      </c>
    </row>
    <row r="40" spans="1:10" x14ac:dyDescent="0.25">
      <c r="A40" s="65" t="s">
        <v>19</v>
      </c>
      <c r="B40" s="66">
        <f>Rohdaten!AF95</f>
        <v>0.625</v>
      </c>
      <c r="C40" s="67">
        <f>Rohdaten!BJ95</f>
        <v>0.625</v>
      </c>
      <c r="D40" s="67">
        <f>Rohdaten!CN95</f>
        <v>1.5</v>
      </c>
      <c r="E40" s="67">
        <f>Rohdaten!DR95</f>
        <v>1.0625</v>
      </c>
      <c r="F40" s="67">
        <f>Rohdaten!EV95</f>
        <v>2</v>
      </c>
      <c r="G40" s="67">
        <f>Rohdaten!FZ95</f>
        <v>1.0625</v>
      </c>
      <c r="H40" s="67">
        <f>Rohdaten!HD95</f>
        <v>1.9375</v>
      </c>
      <c r="I40" s="67">
        <f>Rohdaten!IH95</f>
        <v>1.5</v>
      </c>
      <c r="J40" s="198">
        <f>Rohdaten!JL95</f>
        <v>1.875</v>
      </c>
    </row>
    <row r="41" spans="1:10" x14ac:dyDescent="0.25">
      <c r="A41" s="60" t="s">
        <v>20</v>
      </c>
      <c r="B41" s="61">
        <f>Rohdaten!AG95</f>
        <v>0.82499999999999996</v>
      </c>
      <c r="C41" s="69">
        <f>Rohdaten!BK95</f>
        <v>0.8</v>
      </c>
      <c r="D41" s="69">
        <f>Rohdaten!CO95</f>
        <v>1.825</v>
      </c>
      <c r="E41" s="69">
        <f>Rohdaten!DS95</f>
        <v>0.97499999999999998</v>
      </c>
      <c r="F41" s="69">
        <f>Rohdaten!EW95</f>
        <v>2.875</v>
      </c>
      <c r="G41" s="69">
        <f>Rohdaten!GA95</f>
        <v>1.2749999999999999</v>
      </c>
      <c r="H41" s="69">
        <f>Rohdaten!HE95</f>
        <v>2.4750000000000001</v>
      </c>
      <c r="I41" s="69">
        <f>Rohdaten!II95</f>
        <v>1.125</v>
      </c>
      <c r="J41" s="199">
        <f>Rohdaten!JM95</f>
        <v>3.1749999999999998</v>
      </c>
    </row>
    <row r="42" spans="1:10" x14ac:dyDescent="0.25">
      <c r="A42" s="71" t="s">
        <v>21</v>
      </c>
      <c r="B42" s="72">
        <f>Rohdaten!AH95</f>
        <v>1.25</v>
      </c>
      <c r="C42" s="73">
        <f>Rohdaten!BL95</f>
        <v>1.1875</v>
      </c>
      <c r="D42" s="73">
        <f>Rohdaten!CP95</f>
        <v>1.6875</v>
      </c>
      <c r="E42" s="73">
        <f>Rohdaten!DT95</f>
        <v>1.8125</v>
      </c>
      <c r="F42" s="73">
        <f>Rohdaten!EX95</f>
        <v>3.1875</v>
      </c>
      <c r="G42" s="73">
        <f>Rohdaten!GB95</f>
        <v>2.125</v>
      </c>
      <c r="H42" s="73">
        <f>Rohdaten!HF95</f>
        <v>2.8125</v>
      </c>
      <c r="I42" s="73">
        <f>Rohdaten!IJ95</f>
        <v>1.125</v>
      </c>
      <c r="J42" s="200">
        <f>Rohdaten!JN95</f>
        <v>3</v>
      </c>
    </row>
    <row r="45" spans="1:10" x14ac:dyDescent="0.25">
      <c r="A45" s="131" t="s">
        <v>102</v>
      </c>
      <c r="B45" s="132" t="str" cm="1">
        <f t="array" ref="B45:J45">_xlfn.SORTBY(B1:J1,B$7:J$7)</f>
        <v>Manu</v>
      </c>
      <c r="C45" s="133" t="str">
        <v>Jens</v>
      </c>
      <c r="D45" s="133" t="str">
        <v>Pulfer</v>
      </c>
      <c r="E45" s="133" t="str">
        <v>Sutti</v>
      </c>
      <c r="F45" s="133" t="str">
        <v>Parli</v>
      </c>
      <c r="G45" s="133" t="str">
        <v>Lenz</v>
      </c>
      <c r="H45" s="133" t="str">
        <v>Aui</v>
      </c>
      <c r="I45" s="133" t="str">
        <v>Köbi</v>
      </c>
      <c r="J45" s="118" t="str">
        <v>Meiky</v>
      </c>
    </row>
    <row r="46" spans="1:10" x14ac:dyDescent="0.25">
      <c r="A46" s="132" t="str">
        <f>A7</f>
        <v>Schläge Netto über Par</v>
      </c>
      <c r="B46" s="132" cm="1">
        <f t="array" ref="B46:J46">_xlfn.SORTBY(B7:J7,B$7:J$7)</f>
        <v>3</v>
      </c>
      <c r="C46" s="133">
        <v>10</v>
      </c>
      <c r="D46" s="133">
        <v>13</v>
      </c>
      <c r="E46" s="133">
        <v>18</v>
      </c>
      <c r="F46" s="133">
        <v>20.999999999999943</v>
      </c>
      <c r="G46" s="133">
        <v>23</v>
      </c>
      <c r="H46" s="133">
        <v>36.999999999999943</v>
      </c>
      <c r="I46" s="133">
        <v>47</v>
      </c>
      <c r="J46" s="118">
        <v>47.999999999999943</v>
      </c>
    </row>
    <row r="47" spans="1:10" x14ac:dyDescent="0.25">
      <c r="A47" s="134" t="str">
        <f>A24</f>
        <v>Ø Schläge pro Runde</v>
      </c>
      <c r="B47" s="135" cm="1">
        <f t="array" ref="B47:J47">_xlfn.SORTBY(B24:J24,B$7:J$7)</f>
        <v>87.75</v>
      </c>
      <c r="C47" s="136">
        <v>97.5</v>
      </c>
      <c r="D47" s="136">
        <v>93.25</v>
      </c>
      <c r="E47" s="136">
        <v>121.5</v>
      </c>
      <c r="F47" s="136">
        <v>87.25</v>
      </c>
      <c r="G47" s="136">
        <v>93.75</v>
      </c>
      <c r="H47" s="136">
        <v>123.25</v>
      </c>
      <c r="I47" s="136">
        <v>115.75</v>
      </c>
      <c r="J47" s="119">
        <v>103</v>
      </c>
    </row>
    <row r="48" spans="1:10" x14ac:dyDescent="0.25">
      <c r="A48" s="140" t="str">
        <f>A25</f>
        <v>Ø Schläge über Par pro Runde</v>
      </c>
      <c r="B48" s="141" cm="1">
        <f t="array" ref="B48:J48">_xlfn.SORTBY(B25:J25,B$7:J$7)</f>
        <v>15.75</v>
      </c>
      <c r="C48" s="130">
        <v>25.5</v>
      </c>
      <c r="D48" s="130">
        <v>21.25</v>
      </c>
      <c r="E48" s="130">
        <v>49.5</v>
      </c>
      <c r="F48" s="130">
        <v>15.25</v>
      </c>
      <c r="G48" s="130">
        <v>21.75</v>
      </c>
      <c r="H48" s="130">
        <v>51.25</v>
      </c>
      <c r="I48" s="130">
        <v>43.75</v>
      </c>
      <c r="J48" s="120">
        <v>31</v>
      </c>
    </row>
    <row r="49" spans="1:10" x14ac:dyDescent="0.25">
      <c r="A49" s="137" t="str">
        <f>A9</f>
        <v>High Score</v>
      </c>
      <c r="B49" s="138" cm="1">
        <f t="array" ref="B49:J49">_xlfn.SORTBY(B9:J9,B$7:J$7)</f>
        <v>90</v>
      </c>
      <c r="C49" s="139">
        <v>101</v>
      </c>
      <c r="D49" s="139">
        <v>101</v>
      </c>
      <c r="E49" s="139">
        <v>136</v>
      </c>
      <c r="F49" s="139">
        <v>93</v>
      </c>
      <c r="G49" s="139">
        <v>104</v>
      </c>
      <c r="H49" s="139">
        <v>127</v>
      </c>
      <c r="I49" s="139">
        <v>123</v>
      </c>
      <c r="J49" s="121">
        <v>111</v>
      </c>
    </row>
    <row r="50" spans="1:10" x14ac:dyDescent="0.25">
      <c r="A50" s="137" t="str">
        <f>A10</f>
        <v>Low Score</v>
      </c>
      <c r="B50" s="138" cm="1">
        <f t="array" ref="B50:J50">_xlfn.SORTBY(B10:J10,B$7:J$7)</f>
        <v>82</v>
      </c>
      <c r="C50" s="139">
        <v>93</v>
      </c>
      <c r="D50" s="139">
        <v>84</v>
      </c>
      <c r="E50" s="139">
        <v>112</v>
      </c>
      <c r="F50" s="139">
        <v>80</v>
      </c>
      <c r="G50" s="139">
        <v>86</v>
      </c>
      <c r="H50" s="139">
        <v>121</v>
      </c>
      <c r="I50" s="139">
        <v>107</v>
      </c>
      <c r="J50" s="121">
        <v>93</v>
      </c>
    </row>
    <row r="51" spans="1:10" x14ac:dyDescent="0.25">
      <c r="A51" s="134" t="str">
        <f>A28</f>
        <v>Ø Putts pro Loch</v>
      </c>
      <c r="B51" s="135" cm="1">
        <f t="array" ref="B51:J51">_xlfn.SORTBY(B28:J28,B$7:J$7)</f>
        <v>1.875</v>
      </c>
      <c r="C51" s="136">
        <v>1.8611111111111112</v>
      </c>
      <c r="D51" s="136">
        <v>2.0416666666666665</v>
      </c>
      <c r="E51" s="136">
        <v>2.2222222222222223</v>
      </c>
      <c r="F51" s="136">
        <v>1.8194444444444444</v>
      </c>
      <c r="G51" s="136">
        <v>1.875</v>
      </c>
      <c r="H51" s="136">
        <v>2.3472222222222223</v>
      </c>
      <c r="I51" s="136">
        <v>2.1111111111111112</v>
      </c>
      <c r="J51" s="101">
        <v>2.2083333333333335</v>
      </c>
    </row>
    <row r="52" spans="1:10" x14ac:dyDescent="0.25">
      <c r="A52" s="140" t="str">
        <f>A31</f>
        <v>Ø Unnötige Putts pro Runde</v>
      </c>
      <c r="B52" s="141" cm="1">
        <f t="array" ref="B52:J52">_xlfn.SORTBY(B31:J31,B$7:J$7)</f>
        <v>8.7750000000000004</v>
      </c>
      <c r="C52" s="130">
        <v>9.65</v>
      </c>
      <c r="D52" s="130">
        <v>11.887499999999999</v>
      </c>
      <c r="E52" s="130">
        <v>17.5</v>
      </c>
      <c r="F52" s="130">
        <v>6.875</v>
      </c>
      <c r="G52" s="130">
        <v>9.5625</v>
      </c>
      <c r="H52" s="130">
        <v>18.849999999999998</v>
      </c>
      <c r="I52" s="130">
        <v>15.274999999999999</v>
      </c>
      <c r="J52" s="107">
        <v>15.7875</v>
      </c>
    </row>
    <row r="53" spans="1:10" x14ac:dyDescent="0.25">
      <c r="A53" s="134" t="str">
        <f>A29</f>
        <v>Ø GIR pro Runde</v>
      </c>
      <c r="B53" s="135" cm="1">
        <f t="array" ref="B53:J53">_xlfn.SORTBY(B29:J29,B$7:J$7)</f>
        <v>5.5</v>
      </c>
      <c r="C53" s="136">
        <v>3</v>
      </c>
      <c r="D53" s="136">
        <v>5.25</v>
      </c>
      <c r="E53" s="136">
        <v>0</v>
      </c>
      <c r="F53" s="136">
        <v>7.5</v>
      </c>
      <c r="G53" s="136">
        <v>3.75</v>
      </c>
      <c r="H53" s="136">
        <v>2</v>
      </c>
      <c r="I53" s="136">
        <v>0.5</v>
      </c>
      <c r="J53" s="119">
        <v>3.25</v>
      </c>
    </row>
    <row r="54" spans="1:10" x14ac:dyDescent="0.25">
      <c r="A54" s="140" t="str">
        <f>A30</f>
        <v>Ø Scramble pro Runde</v>
      </c>
      <c r="B54" s="141" cm="1">
        <f t="array" ref="B54:J54">_xlfn.SORTBY(B30:J30,B$7:J$7)</f>
        <v>2.5</v>
      </c>
      <c r="C54" s="130">
        <v>1.25</v>
      </c>
      <c r="D54" s="130">
        <v>1.5</v>
      </c>
      <c r="E54" s="130">
        <v>0.25</v>
      </c>
      <c r="F54" s="130">
        <v>2.5</v>
      </c>
      <c r="G54" s="130">
        <v>2.25</v>
      </c>
      <c r="H54" s="130">
        <v>0.25</v>
      </c>
      <c r="I54" s="130">
        <v>0.25</v>
      </c>
      <c r="J54" s="120">
        <v>0</v>
      </c>
    </row>
    <row r="55" spans="1:10" x14ac:dyDescent="0.25">
      <c r="A55" s="134" t="str">
        <f t="shared" ref="A55:A61" si="3">A32</f>
        <v>Ø Birdies pro Runde</v>
      </c>
      <c r="B55" s="135" cm="1">
        <f t="array" ref="B55:J55">_xlfn.SORTBY(B32:J32,B$7:J$7)</f>
        <v>0.75</v>
      </c>
      <c r="C55" s="136">
        <v>0.25</v>
      </c>
      <c r="D55" s="136">
        <v>0</v>
      </c>
      <c r="E55" s="136">
        <v>0</v>
      </c>
      <c r="F55" s="136">
        <v>0.25</v>
      </c>
      <c r="G55" s="136">
        <v>0.25</v>
      </c>
      <c r="H55" s="136">
        <v>0.25</v>
      </c>
      <c r="I55" s="136">
        <v>0</v>
      </c>
      <c r="J55" s="119">
        <v>0</v>
      </c>
    </row>
    <row r="56" spans="1:10" x14ac:dyDescent="0.25">
      <c r="A56" s="137" t="str">
        <f t="shared" si="3"/>
        <v>Ø Pars pro Runde</v>
      </c>
      <c r="B56" s="138" cm="1">
        <f t="array" ref="B56:J56">_xlfn.SORTBY(B33:J33,B$7:J$7)</f>
        <v>6</v>
      </c>
      <c r="C56" s="139">
        <v>3.25</v>
      </c>
      <c r="D56" s="139">
        <v>4.75</v>
      </c>
      <c r="E56" s="139">
        <v>0.25</v>
      </c>
      <c r="F56" s="139">
        <v>9</v>
      </c>
      <c r="G56" s="139">
        <v>4.25</v>
      </c>
      <c r="H56" s="139">
        <v>0.5</v>
      </c>
      <c r="I56" s="139">
        <v>0.5</v>
      </c>
      <c r="J56" s="121">
        <v>1.75</v>
      </c>
    </row>
    <row r="57" spans="1:10" x14ac:dyDescent="0.25">
      <c r="A57" s="137" t="str">
        <f t="shared" si="3"/>
        <v>Ø Bogeys pro Runde</v>
      </c>
      <c r="B57" s="138" cm="1">
        <f t="array" ref="B57:J57">_xlfn.SORTBY(B34:J34,B$7:J$7)</f>
        <v>7.75</v>
      </c>
      <c r="C57" s="139">
        <v>7.5</v>
      </c>
      <c r="D57" s="139">
        <v>8.25</v>
      </c>
      <c r="E57" s="139">
        <v>3.75</v>
      </c>
      <c r="F57" s="139">
        <v>5</v>
      </c>
      <c r="G57" s="139">
        <v>7.25</v>
      </c>
      <c r="H57" s="139">
        <v>3.25</v>
      </c>
      <c r="I57" s="139">
        <v>5</v>
      </c>
      <c r="J57" s="121">
        <v>7.75</v>
      </c>
    </row>
    <row r="58" spans="1:10" x14ac:dyDescent="0.25">
      <c r="A58" s="140" t="str">
        <f t="shared" si="3"/>
        <v>Ø Doubley Bogeys + pro Runde</v>
      </c>
      <c r="B58" s="141" cm="1">
        <f t="array" ref="B58:J58">_xlfn.SORTBY(B35:J35,B$7:J$7)</f>
        <v>3.5</v>
      </c>
      <c r="C58" s="130">
        <v>7</v>
      </c>
      <c r="D58" s="130">
        <v>5</v>
      </c>
      <c r="E58" s="130">
        <v>14</v>
      </c>
      <c r="F58" s="130">
        <v>3.75</v>
      </c>
      <c r="G58" s="130">
        <v>6.25</v>
      </c>
      <c r="H58" s="130">
        <v>14</v>
      </c>
      <c r="I58" s="130">
        <v>12.5</v>
      </c>
      <c r="J58" s="120">
        <v>8.5</v>
      </c>
    </row>
    <row r="59" spans="1:10" x14ac:dyDescent="0.25">
      <c r="A59" s="134" t="str">
        <f t="shared" si="3"/>
        <v>Ø Chip in pro Runde</v>
      </c>
      <c r="B59" s="135" cm="1">
        <f t="array" ref="B59:J59">_xlfn.SORTBY(B36:J36,B$7:J$7)</f>
        <v>0.5</v>
      </c>
      <c r="C59" s="136">
        <v>0</v>
      </c>
      <c r="D59" s="136">
        <v>0</v>
      </c>
      <c r="E59" s="136">
        <v>0</v>
      </c>
      <c r="F59" s="136">
        <v>0</v>
      </c>
      <c r="G59" s="136">
        <v>0.25</v>
      </c>
      <c r="H59" s="136">
        <v>0</v>
      </c>
      <c r="I59" s="136">
        <v>0</v>
      </c>
      <c r="J59" s="119">
        <v>0</v>
      </c>
    </row>
    <row r="60" spans="1:10" x14ac:dyDescent="0.25">
      <c r="A60" s="137" t="str">
        <f t="shared" si="3"/>
        <v>Ø 1 Put pro Runde</v>
      </c>
      <c r="B60" s="138" cm="1">
        <f t="array" ref="B60:J60">_xlfn.SORTBY(B37:J37,B$7:J$7)</f>
        <v>4</v>
      </c>
      <c r="C60" s="139">
        <v>5.5</v>
      </c>
      <c r="D60" s="139">
        <v>3.5</v>
      </c>
      <c r="E60" s="139">
        <v>1.5</v>
      </c>
      <c r="F60" s="139">
        <v>4.5</v>
      </c>
      <c r="G60" s="139">
        <v>4.75</v>
      </c>
      <c r="H60" s="139">
        <v>2</v>
      </c>
      <c r="I60" s="139">
        <v>1.75</v>
      </c>
      <c r="J60" s="121">
        <v>0.75</v>
      </c>
    </row>
    <row r="61" spans="1:10" x14ac:dyDescent="0.25">
      <c r="A61" s="137" t="str">
        <f t="shared" si="3"/>
        <v>Ø 2 Put pro Runde</v>
      </c>
      <c r="B61" s="138" cm="1">
        <f t="array" ref="B61:J61">_xlfn.SORTBY(B38:J38,B$7:J$7)</f>
        <v>11</v>
      </c>
      <c r="C61" s="139">
        <v>9.5</v>
      </c>
      <c r="D61" s="139">
        <v>10.5</v>
      </c>
      <c r="E61" s="139">
        <v>11.25</v>
      </c>
      <c r="F61" s="139">
        <v>12.25</v>
      </c>
      <c r="G61" s="139">
        <v>10</v>
      </c>
      <c r="H61" s="139">
        <v>9.5</v>
      </c>
      <c r="I61" s="139">
        <v>12.75</v>
      </c>
      <c r="J61" s="121">
        <v>12.75</v>
      </c>
    </row>
    <row r="62" spans="1:10" x14ac:dyDescent="0.25">
      <c r="A62" s="140" t="str">
        <f>A39</f>
        <v>Ø 3+ Put pro Runde</v>
      </c>
      <c r="B62" s="141" cm="1">
        <f t="array" ref="B62:J62">_xlfn.SORTBY(B39:J39,B$7:J$7)</f>
        <v>2.5</v>
      </c>
      <c r="C62" s="130">
        <v>3</v>
      </c>
      <c r="D62" s="130">
        <v>4</v>
      </c>
      <c r="E62" s="130">
        <v>5.25</v>
      </c>
      <c r="F62" s="130">
        <v>1.25</v>
      </c>
      <c r="G62" s="130">
        <v>3</v>
      </c>
      <c r="H62" s="130">
        <v>6.5</v>
      </c>
      <c r="I62" s="130">
        <v>3.5</v>
      </c>
      <c r="J62" s="120">
        <v>4.5</v>
      </c>
    </row>
    <row r="63" spans="1:10" x14ac:dyDescent="0.25">
      <c r="A63" s="134" t="str">
        <f t="shared" ref="A63:A65" si="4">A40</f>
        <v>Par3 Perf</v>
      </c>
      <c r="B63" s="135" cm="1">
        <f t="array" ref="B63:J63">_xlfn.SORTBY(B40:J40,B$7:J$7)</f>
        <v>0.625</v>
      </c>
      <c r="C63" s="136">
        <v>1.0625</v>
      </c>
      <c r="D63" s="136">
        <v>1.0625</v>
      </c>
      <c r="E63" s="136">
        <v>2</v>
      </c>
      <c r="F63" s="136">
        <v>0.625</v>
      </c>
      <c r="G63" s="136">
        <v>1.5</v>
      </c>
      <c r="H63" s="136">
        <v>1.875</v>
      </c>
      <c r="I63" s="136">
        <v>1.9375</v>
      </c>
      <c r="J63" s="119">
        <v>1.5</v>
      </c>
    </row>
    <row r="64" spans="1:10" x14ac:dyDescent="0.25">
      <c r="A64" s="137" t="str">
        <f t="shared" si="4"/>
        <v>Par4 Perf</v>
      </c>
      <c r="B64" s="138" cm="1">
        <f t="array" ref="B64:J64">_xlfn.SORTBY(B41:J41,B$7:J$7)</f>
        <v>0.82499999999999996</v>
      </c>
      <c r="C64" s="139">
        <v>1.2749999999999999</v>
      </c>
      <c r="D64" s="139">
        <v>0.97499999999999998</v>
      </c>
      <c r="E64" s="139">
        <v>2.875</v>
      </c>
      <c r="F64" s="139">
        <v>0.8</v>
      </c>
      <c r="G64" s="139">
        <v>1.125</v>
      </c>
      <c r="H64" s="139">
        <v>3.1749999999999998</v>
      </c>
      <c r="I64" s="139">
        <v>2.4750000000000001</v>
      </c>
      <c r="J64" s="104">
        <v>1.825</v>
      </c>
    </row>
    <row r="65" spans="1:10" x14ac:dyDescent="0.25">
      <c r="A65" s="140" t="str">
        <f t="shared" si="4"/>
        <v>Par5 Perf</v>
      </c>
      <c r="B65" s="141" cm="1">
        <f t="array" ref="B65:J65">_xlfn.SORTBY(B42:J42,B$7:J$7)</f>
        <v>1.25</v>
      </c>
      <c r="C65" s="130">
        <v>2.125</v>
      </c>
      <c r="D65" s="130">
        <v>1.8125</v>
      </c>
      <c r="E65" s="130">
        <v>3.1875</v>
      </c>
      <c r="F65" s="130">
        <v>1.1875</v>
      </c>
      <c r="G65" s="130">
        <v>1.125</v>
      </c>
      <c r="H65" s="130">
        <v>3</v>
      </c>
      <c r="I65" s="130">
        <v>2.8125</v>
      </c>
      <c r="J65" s="107">
        <v>1.6875</v>
      </c>
    </row>
    <row r="66" spans="1:10" x14ac:dyDescent="0.25">
      <c r="A66" s="143"/>
      <c r="B66" s="139"/>
      <c r="C66" s="139"/>
      <c r="D66" s="139"/>
      <c r="E66" s="139"/>
      <c r="F66" s="139"/>
      <c r="G66" s="139"/>
      <c r="H66" s="139"/>
      <c r="I66" s="139"/>
    </row>
    <row r="68" spans="1:10" x14ac:dyDescent="0.25">
      <c r="A68" s="131" t="s">
        <v>104</v>
      </c>
      <c r="B68" s="132" t="str" cm="1">
        <f t="array" ref="B68:J68">_xlfn.SORTBY(B1:J1,B$7:J$7)</f>
        <v>Manu</v>
      </c>
      <c r="C68" s="133" t="str">
        <v>Jens</v>
      </c>
      <c r="D68" s="133" t="str">
        <v>Pulfer</v>
      </c>
      <c r="E68" s="133" t="str">
        <v>Sutti</v>
      </c>
      <c r="F68" s="133" t="str">
        <v>Parli</v>
      </c>
      <c r="G68" s="133" t="str">
        <v>Lenz</v>
      </c>
      <c r="H68" s="133" t="str">
        <v>Aui</v>
      </c>
      <c r="I68" s="133" t="str">
        <v>Köbi</v>
      </c>
      <c r="J68" s="118" t="str">
        <v>Meiky</v>
      </c>
    </row>
    <row r="69" spans="1:10" x14ac:dyDescent="0.25">
      <c r="A69" s="112" t="s">
        <v>103</v>
      </c>
      <c r="B69" s="147">
        <f>'Zusammenfassung Tag1'!B31</f>
        <v>-4.9999999999999858</v>
      </c>
      <c r="C69" s="167">
        <f>'Zusammenfassung Tag1'!G8</f>
        <v>6</v>
      </c>
      <c r="D69" s="167">
        <f>'Zusammenfassung Tag1'!E8</f>
        <v>11</v>
      </c>
      <c r="E69" s="167">
        <f>'Zusammenfassung Tag1'!F8</f>
        <v>19</v>
      </c>
      <c r="F69" s="167">
        <f>'Zusammenfassung Tag1'!E8</f>
        <v>11</v>
      </c>
      <c r="G69" s="167">
        <f>'Zusammenfassung Tag1'!I8</f>
        <v>16</v>
      </c>
      <c r="H69" s="167">
        <f>'Zusammenfassung Tag1'!J8</f>
        <v>6.9999999999999716</v>
      </c>
      <c r="I69" s="167">
        <f>'Zusammenfassung Tag1'!H8</f>
        <v>19</v>
      </c>
      <c r="J69" s="168">
        <f>'Zusammenfassung Tag1'!D8</f>
        <v>16.999999999999986</v>
      </c>
    </row>
    <row r="70" spans="1:10" x14ac:dyDescent="0.25">
      <c r="A70" s="113" t="s">
        <v>105</v>
      </c>
      <c r="B70" s="148">
        <f>'Zusammenfassung Tag1-2'!$B$46</f>
        <v>-2</v>
      </c>
      <c r="C70" s="190">
        <f>'Zusammenfassung Tag1-2'!G7</f>
        <v>10</v>
      </c>
      <c r="D70" s="190">
        <f>'Zusammenfassung Tag1-2'!E7</f>
        <v>14</v>
      </c>
      <c r="E70" s="190">
        <f>'Zusammenfassung Tag1-2'!F7</f>
        <v>21</v>
      </c>
      <c r="F70" s="190">
        <f>'Zusammenfassung Tag1-2'!C7</f>
        <v>8.9999999999999716</v>
      </c>
      <c r="G70" s="190">
        <f>'Zusammenfassung Tag1-2'!I7</f>
        <v>23</v>
      </c>
      <c r="H70" s="190">
        <f>'Zusammenfassung Tag1-2'!J7</f>
        <v>16.999999999999972</v>
      </c>
      <c r="I70" s="190">
        <f>'Zusammenfassung Tag1-2'!H7</f>
        <v>29</v>
      </c>
      <c r="J70" s="204">
        <f>'Zusammenfassung Tag1-2'!D7</f>
        <v>25.999999999999972</v>
      </c>
    </row>
    <row r="71" spans="1:10" x14ac:dyDescent="0.25">
      <c r="A71" s="146" t="s">
        <v>106</v>
      </c>
      <c r="B71" s="149">
        <f>'Zusammenfassung Tag1-3'!B46</f>
        <v>1</v>
      </c>
      <c r="C71" s="169">
        <f>'Zusammenfassung Tag1-3'!G7</f>
        <v>12</v>
      </c>
      <c r="D71" s="169">
        <f>'Zusammenfassung Tag1-3'!E7</f>
        <v>8</v>
      </c>
      <c r="E71" s="169">
        <f>'Zusammenfassung Tag1-3'!F7</f>
        <v>23</v>
      </c>
      <c r="F71" s="169">
        <f>'Zusammenfassung Tag1-3'!C7</f>
        <v>12.999999999999943</v>
      </c>
      <c r="G71" s="169">
        <f>'Zusammenfassung Tag1-3'!I7</f>
        <v>21</v>
      </c>
      <c r="H71" s="169">
        <f>'Zusammenfassung Tag1-2'!J7</f>
        <v>16.999999999999972</v>
      </c>
      <c r="I71" s="169">
        <f>'Zusammenfassung Tag1-3'!H7</f>
        <v>44</v>
      </c>
      <c r="J71" s="170">
        <f>'Zusammenfassung Tag1-3'!D7</f>
        <v>45.999999999999943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Rohdaten</vt:lpstr>
      <vt:lpstr>Zusammenfassung Tag1</vt:lpstr>
      <vt:lpstr>Zusammenfassung Tag2</vt:lpstr>
      <vt:lpstr>Zusammenfassung Tag1-2</vt:lpstr>
      <vt:lpstr>Zusammenfassung Tag3</vt:lpstr>
      <vt:lpstr>Zusammenfassung Tag1-3</vt:lpstr>
      <vt:lpstr>Zusammenfassung Tag4</vt:lpstr>
      <vt:lpstr>Zusammenfassung Tag1-4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Hartmann</cp:lastModifiedBy>
  <cp:lastPrinted>2023-07-13T22:29:37Z</cp:lastPrinted>
  <dcterms:modified xsi:type="dcterms:W3CDTF">2023-07-16T15:01:57Z</dcterms:modified>
</cp:coreProperties>
</file>